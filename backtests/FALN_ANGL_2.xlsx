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ABED0067-BE8F-49B6-827E-17C4EDFE3807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FALN_ANGL_2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F164" i="1" s="1"/>
  <c r="BG164" i="1" s="1"/>
  <c r="BQ162" i="1"/>
  <c r="BO162" i="1"/>
  <c r="BN162" i="1"/>
  <c r="BE162" i="1"/>
  <c r="BC162" i="1"/>
  <c r="BB162" i="1"/>
  <c r="BR161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R153" i="1" s="1"/>
  <c r="BE152" i="1"/>
  <c r="BC152" i="1"/>
  <c r="BB152" i="1"/>
  <c r="BQ151" i="1"/>
  <c r="BO151" i="1"/>
  <c r="BN151" i="1"/>
  <c r="BE151" i="1"/>
  <c r="BC151" i="1"/>
  <c r="BB151" i="1"/>
  <c r="BF152" i="1" s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F147" i="1" s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R143" i="1" s="1"/>
  <c r="BE142" i="1"/>
  <c r="BC142" i="1"/>
  <c r="BB142" i="1"/>
  <c r="BF143" i="1" s="1"/>
  <c r="BQ141" i="1"/>
  <c r="BO141" i="1"/>
  <c r="BN141" i="1"/>
  <c r="BR142" i="1" s="1"/>
  <c r="BE141" i="1"/>
  <c r="BC141" i="1"/>
  <c r="BB141" i="1"/>
  <c r="BR140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F138" i="1" s="1"/>
  <c r="BD138" i="1" s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F136" i="1" s="1"/>
  <c r="BD136" i="1" s="1"/>
  <c r="BQ134" i="1"/>
  <c r="BO134" i="1"/>
  <c r="BN134" i="1"/>
  <c r="BE134" i="1"/>
  <c r="BC134" i="1"/>
  <c r="BF135" i="1" s="1"/>
  <c r="BG135" i="1" s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F122" i="1" s="1"/>
  <c r="BH122" i="1" s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F119" i="1" s="1"/>
  <c r="BD119" i="1" s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F113" i="1" s="1"/>
  <c r="BQ111" i="1"/>
  <c r="BO111" i="1"/>
  <c r="BN111" i="1"/>
  <c r="BE111" i="1"/>
  <c r="BC111" i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R109" i="1" s="1"/>
  <c r="BE108" i="1"/>
  <c r="BC108" i="1"/>
  <c r="BB108" i="1"/>
  <c r="BQ107" i="1"/>
  <c r="BO107" i="1"/>
  <c r="BR108" i="1" s="1"/>
  <c r="BP108" i="1" s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R98" i="1" s="1"/>
  <c r="BE97" i="1"/>
  <c r="BC97" i="1"/>
  <c r="BB97" i="1"/>
  <c r="BQ96" i="1"/>
  <c r="BO96" i="1"/>
  <c r="BN96" i="1"/>
  <c r="BE96" i="1"/>
  <c r="BC96" i="1"/>
  <c r="BB96" i="1"/>
  <c r="BF97" i="1" s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F90" i="1" s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R83" i="1" s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F77" i="1" s="1"/>
  <c r="BH77" i="1" s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F75" i="1" s="1"/>
  <c r="BQ73" i="1"/>
  <c r="BO73" i="1"/>
  <c r="BN73" i="1"/>
  <c r="BR74" i="1" s="1"/>
  <c r="BP74" i="1" s="1"/>
  <c r="BE73" i="1"/>
  <c r="BC73" i="1"/>
  <c r="BB73" i="1"/>
  <c r="BQ72" i="1"/>
  <c r="BO72" i="1"/>
  <c r="BN72" i="1"/>
  <c r="BE72" i="1"/>
  <c r="BC72" i="1"/>
  <c r="BB72" i="1"/>
  <c r="BF73" i="1" s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F71" i="1" s="1"/>
  <c r="BQ69" i="1"/>
  <c r="BO69" i="1"/>
  <c r="BN69" i="1"/>
  <c r="BE69" i="1"/>
  <c r="BC69" i="1"/>
  <c r="BB69" i="1"/>
  <c r="BF70" i="1" s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F67" i="1" s="1"/>
  <c r="BH67" i="1" s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F62" i="1" s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F59" i="1" s="1"/>
  <c r="BD59" i="1" s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F56" i="1" s="1"/>
  <c r="BG56" i="1" s="1"/>
  <c r="BQ54" i="1"/>
  <c r="BO54" i="1"/>
  <c r="BN54" i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R46" i="1" s="1"/>
  <c r="BS46" i="1" s="1"/>
  <c r="BE45" i="1"/>
  <c r="BC45" i="1"/>
  <c r="BB45" i="1"/>
  <c r="BQ44" i="1"/>
  <c r="BO44" i="1"/>
  <c r="BN44" i="1"/>
  <c r="BE44" i="1"/>
  <c r="BC44" i="1"/>
  <c r="BB44" i="1"/>
  <c r="BF45" i="1" s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F42" i="1" s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R39" i="1" s="1"/>
  <c r="BT39" i="1" s="1"/>
  <c r="BE38" i="1"/>
  <c r="BC38" i="1"/>
  <c r="BB38" i="1"/>
  <c r="BQ37" i="1"/>
  <c r="BO37" i="1"/>
  <c r="BN37" i="1"/>
  <c r="BE37" i="1"/>
  <c r="BC37" i="1"/>
  <c r="BB37" i="1"/>
  <c r="BF38" i="1" s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F35" i="1" s="1"/>
  <c r="BG35" i="1" s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F33" i="1" s="1"/>
  <c r="BH33" i="1" s="1"/>
  <c r="BQ31" i="1"/>
  <c r="BO31" i="1"/>
  <c r="BN31" i="1"/>
  <c r="BE31" i="1"/>
  <c r="BC31" i="1"/>
  <c r="BB31" i="1"/>
  <c r="BF32" i="1" s="1"/>
  <c r="BH32" i="1" s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F30" i="1" s="1"/>
  <c r="BG30" i="1" s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F25" i="1" s="1"/>
  <c r="BH25" i="1" s="1"/>
  <c r="BQ23" i="1"/>
  <c r="BO23" i="1"/>
  <c r="BN23" i="1"/>
  <c r="BE23" i="1"/>
  <c r="BC23" i="1"/>
  <c r="BB23" i="1"/>
  <c r="BQ22" i="1"/>
  <c r="BP22" i="1"/>
  <c r="BO22" i="1"/>
  <c r="BN22" i="1"/>
  <c r="BH22" i="1"/>
  <c r="BI22" i="1" s="1"/>
  <c r="BF22" i="1"/>
  <c r="BG22" i="1" s="1"/>
  <c r="BE22" i="1"/>
  <c r="BD22" i="1"/>
  <c r="BC22" i="1"/>
  <c r="BB22" i="1"/>
  <c r="BQ21" i="1"/>
  <c r="BR22" i="1" s="1"/>
  <c r="BE21" i="1"/>
  <c r="BT20" i="1"/>
  <c r="BS20" i="1"/>
  <c r="BH20" i="1"/>
  <c r="BG20" i="1"/>
  <c r="CL17" i="1"/>
  <c r="CL18" i="1" s="1"/>
  <c r="CL19" i="1" s="1"/>
  <c r="CL20" i="1" s="1"/>
  <c r="CL21" i="1" s="1"/>
  <c r="CL22" i="1" s="1"/>
  <c r="CL16" i="1"/>
  <c r="CP14" i="1"/>
  <c r="CQ14" i="1" s="1"/>
  <c r="CR14" i="1" s="1"/>
  <c r="CS14" i="1" s="1"/>
  <c r="CT14" i="1" s="1"/>
  <c r="CO14" i="1"/>
  <c r="CN14" i="1"/>
  <c r="CL5" i="1"/>
  <c r="CL6" i="1" s="1"/>
  <c r="CL7" i="1" s="1"/>
  <c r="CL8" i="1" s="1"/>
  <c r="CL9" i="1" s="1"/>
  <c r="CL10" i="1" s="1"/>
  <c r="CL11" i="1" s="1"/>
  <c r="CN3" i="1"/>
  <c r="CO3" i="1" s="1"/>
  <c r="CP3" i="1" s="1"/>
  <c r="CQ3" i="1" s="1"/>
  <c r="CR3" i="1" s="1"/>
  <c r="CS3" i="1" s="1"/>
  <c r="CT3" i="1" s="1"/>
  <c r="BR152" i="1" l="1"/>
  <c r="BR148" i="1"/>
  <c r="BR37" i="1"/>
  <c r="BR44" i="1"/>
  <c r="BS44" i="1" s="1"/>
  <c r="BR79" i="1"/>
  <c r="BR165" i="1"/>
  <c r="BP165" i="1" s="1"/>
  <c r="BR70" i="1"/>
  <c r="BT70" i="1" s="1"/>
  <c r="BR144" i="1"/>
  <c r="BT144" i="1" s="1"/>
  <c r="BR42" i="1"/>
  <c r="BS42" i="1" s="1"/>
  <c r="BR31" i="1"/>
  <c r="BT31" i="1" s="1"/>
  <c r="BR75" i="1"/>
  <c r="BP75" i="1" s="1"/>
  <c r="BR29" i="1"/>
  <c r="BS29" i="1" s="1"/>
  <c r="BR110" i="1"/>
  <c r="BT110" i="1" s="1"/>
  <c r="BR64" i="1"/>
  <c r="BT64" i="1" s="1"/>
  <c r="BR27" i="1"/>
  <c r="BP27" i="1" s="1"/>
  <c r="BR23" i="1"/>
  <c r="BT23" i="1" s="1"/>
  <c r="BR80" i="1"/>
  <c r="BT80" i="1" s="1"/>
  <c r="BR151" i="1"/>
  <c r="BS151" i="1" s="1"/>
  <c r="BR158" i="1"/>
  <c r="BT158" i="1" s="1"/>
  <c r="BR160" i="1"/>
  <c r="BP160" i="1" s="1"/>
  <c r="BR76" i="1"/>
  <c r="BS76" i="1" s="1"/>
  <c r="BP46" i="1"/>
  <c r="BR47" i="1" s="1"/>
  <c r="BF55" i="1"/>
  <c r="BF63" i="1"/>
  <c r="BD63" i="1" s="1"/>
  <c r="BF61" i="1"/>
  <c r="BF121" i="1"/>
  <c r="BH121" i="1" s="1"/>
  <c r="BF57" i="1"/>
  <c r="BF118" i="1"/>
  <c r="BF100" i="1"/>
  <c r="BD100" i="1" s="1"/>
  <c r="BD35" i="1"/>
  <c r="BF46" i="1"/>
  <c r="BH46" i="1" s="1"/>
  <c r="BF82" i="1"/>
  <c r="BH82" i="1" s="1"/>
  <c r="BF98" i="1"/>
  <c r="BG98" i="1" s="1"/>
  <c r="BF24" i="1"/>
  <c r="BH24" i="1" s="1"/>
  <c r="BF87" i="1"/>
  <c r="BH87" i="1" s="1"/>
  <c r="BF96" i="1"/>
  <c r="BH96" i="1" s="1"/>
  <c r="BF58" i="1"/>
  <c r="BF94" i="1"/>
  <c r="BH94" i="1" s="1"/>
  <c r="BF131" i="1"/>
  <c r="BH131" i="1" s="1"/>
  <c r="BF133" i="1"/>
  <c r="BH133" i="1" s="1"/>
  <c r="BF49" i="1"/>
  <c r="BH49" i="1" s="1"/>
  <c r="BF132" i="1"/>
  <c r="BH132" i="1" s="1"/>
  <c r="BF103" i="1"/>
  <c r="BG103" i="1" s="1"/>
  <c r="BF26" i="1"/>
  <c r="BH26" i="1" s="1"/>
  <c r="BF157" i="1"/>
  <c r="BG157" i="1" s="1"/>
  <c r="BF124" i="1"/>
  <c r="BD124" i="1" s="1"/>
  <c r="BD30" i="1"/>
  <c r="BD32" i="1"/>
  <c r="BF95" i="1"/>
  <c r="BG95" i="1" s="1"/>
  <c r="BR141" i="1"/>
  <c r="BP141" i="1" s="1"/>
  <c r="BR146" i="1"/>
  <c r="BP146" i="1" s="1"/>
  <c r="BR155" i="1"/>
  <c r="BT155" i="1" s="1"/>
  <c r="BR32" i="1"/>
  <c r="BT32" i="1" s="1"/>
  <c r="BR34" i="1"/>
  <c r="BP34" i="1" s="1"/>
  <c r="BR147" i="1"/>
  <c r="BT147" i="1" s="1"/>
  <c r="BR28" i="1"/>
  <c r="BP28" i="1" s="1"/>
  <c r="BR81" i="1"/>
  <c r="BT81" i="1" s="1"/>
  <c r="BR43" i="1"/>
  <c r="BS43" i="1" s="1"/>
  <c r="BT46" i="1"/>
  <c r="BU46" i="1" s="1"/>
  <c r="BR66" i="1"/>
  <c r="BT66" i="1" s="1"/>
  <c r="BR73" i="1"/>
  <c r="BS73" i="1" s="1"/>
  <c r="BR167" i="1"/>
  <c r="BR84" i="1"/>
  <c r="BP84" i="1" s="1"/>
  <c r="BR107" i="1"/>
  <c r="BS107" i="1" s="1"/>
  <c r="BR35" i="1"/>
  <c r="BT35" i="1" s="1"/>
  <c r="BR69" i="1"/>
  <c r="BT69" i="1" s="1"/>
  <c r="BR38" i="1"/>
  <c r="BS38" i="1" s="1"/>
  <c r="BR40" i="1"/>
  <c r="BS40" i="1" s="1"/>
  <c r="BR67" i="1"/>
  <c r="BT67" i="1" s="1"/>
  <c r="BR162" i="1"/>
  <c r="BP162" i="1" s="1"/>
  <c r="BR30" i="1"/>
  <c r="BT30" i="1" s="1"/>
  <c r="BR36" i="1"/>
  <c r="BS36" i="1" s="1"/>
  <c r="BR85" i="1"/>
  <c r="BP85" i="1" s="1"/>
  <c r="BR145" i="1"/>
  <c r="BP145" i="1" s="1"/>
  <c r="BH124" i="1"/>
  <c r="BG124" i="1"/>
  <c r="BD131" i="1"/>
  <c r="BD152" i="1"/>
  <c r="BF153" i="1" s="1"/>
  <c r="BG153" i="1" s="1"/>
  <c r="BG152" i="1"/>
  <c r="BH152" i="1"/>
  <c r="BF89" i="1"/>
  <c r="BH89" i="1" s="1"/>
  <c r="BF79" i="1"/>
  <c r="BF126" i="1"/>
  <c r="BD126" i="1" s="1"/>
  <c r="BG138" i="1"/>
  <c r="BH35" i="1"/>
  <c r="BI35" i="1" s="1"/>
  <c r="BF128" i="1"/>
  <c r="BH128" i="1" s="1"/>
  <c r="BH138" i="1"/>
  <c r="BF53" i="1"/>
  <c r="BG53" i="1" s="1"/>
  <c r="BF112" i="1"/>
  <c r="BG112" i="1" s="1"/>
  <c r="BF114" i="1"/>
  <c r="BD114" i="1" s="1"/>
  <c r="BD135" i="1"/>
  <c r="BH30" i="1"/>
  <c r="BI30" i="1" s="1"/>
  <c r="BF37" i="1"/>
  <c r="BF41" i="1"/>
  <c r="BD41" i="1" s="1"/>
  <c r="BF104" i="1"/>
  <c r="BD104" i="1" s="1"/>
  <c r="BF156" i="1"/>
  <c r="BD156" i="1" s="1"/>
  <c r="BF47" i="1"/>
  <c r="BH47" i="1" s="1"/>
  <c r="BF74" i="1"/>
  <c r="BH74" i="1" s="1"/>
  <c r="BF115" i="1"/>
  <c r="BD115" i="1" s="1"/>
  <c r="BH45" i="1"/>
  <c r="BG45" i="1"/>
  <c r="BI45" i="1" s="1"/>
  <c r="BD45" i="1"/>
  <c r="BJ22" i="1"/>
  <c r="BT37" i="1"/>
  <c r="BS37" i="1"/>
  <c r="BU37" i="1" s="1"/>
  <c r="BP37" i="1"/>
  <c r="BP23" i="1"/>
  <c r="BR24" i="1" s="1"/>
  <c r="BG25" i="1"/>
  <c r="BI25" i="1" s="1"/>
  <c r="BH61" i="1"/>
  <c r="BG61" i="1"/>
  <c r="BI61" i="1" s="1"/>
  <c r="BD61" i="1"/>
  <c r="BF23" i="1"/>
  <c r="BH38" i="1"/>
  <c r="BD38" i="1"/>
  <c r="BF39" i="1" s="1"/>
  <c r="BP79" i="1"/>
  <c r="BT79" i="1"/>
  <c r="BS79" i="1"/>
  <c r="BU79" i="1" s="1"/>
  <c r="BS153" i="1"/>
  <c r="BT153" i="1"/>
  <c r="BP153" i="1"/>
  <c r="BR154" i="1" s="1"/>
  <c r="BS22" i="1"/>
  <c r="BT22" i="1"/>
  <c r="BD55" i="1"/>
  <c r="BH55" i="1"/>
  <c r="BG33" i="1"/>
  <c r="BI33" i="1" s="1"/>
  <c r="BD33" i="1"/>
  <c r="BF34" i="1" s="1"/>
  <c r="BG38" i="1"/>
  <c r="BH57" i="1"/>
  <c r="BD57" i="1"/>
  <c r="BG57" i="1"/>
  <c r="BR58" i="1"/>
  <c r="BD70" i="1"/>
  <c r="BH70" i="1"/>
  <c r="BG70" i="1"/>
  <c r="BS141" i="1"/>
  <c r="BS148" i="1"/>
  <c r="BP148" i="1"/>
  <c r="BT148" i="1"/>
  <c r="BP161" i="1"/>
  <c r="BS161" i="1"/>
  <c r="BT161" i="1"/>
  <c r="BF52" i="1"/>
  <c r="BS39" i="1"/>
  <c r="BU39" i="1" s="1"/>
  <c r="BP39" i="1"/>
  <c r="BD67" i="1"/>
  <c r="BF68" i="1" s="1"/>
  <c r="BG67" i="1"/>
  <c r="BI67" i="1" s="1"/>
  <c r="BH63" i="1"/>
  <c r="BG63" i="1"/>
  <c r="BH56" i="1"/>
  <c r="BI56" i="1" s="1"/>
  <c r="BD56" i="1"/>
  <c r="BH59" i="1"/>
  <c r="BG59" i="1"/>
  <c r="BD118" i="1"/>
  <c r="BH118" i="1"/>
  <c r="BG118" i="1"/>
  <c r="BI118" i="1" s="1"/>
  <c r="BS142" i="1"/>
  <c r="BT142" i="1"/>
  <c r="BP142" i="1"/>
  <c r="BT44" i="1"/>
  <c r="BU44" i="1" s="1"/>
  <c r="BP44" i="1"/>
  <c r="BR45" i="1" s="1"/>
  <c r="BH42" i="1"/>
  <c r="BG42" i="1"/>
  <c r="BD42" i="1"/>
  <c r="BF43" i="1" s="1"/>
  <c r="BP70" i="1"/>
  <c r="BH75" i="1"/>
  <c r="BG75" i="1"/>
  <c r="BI75" i="1" s="1"/>
  <c r="BD75" i="1"/>
  <c r="BS109" i="1"/>
  <c r="BP109" i="1"/>
  <c r="BT109" i="1"/>
  <c r="BF31" i="1"/>
  <c r="BF36" i="1"/>
  <c r="BR33" i="1"/>
  <c r="BD62" i="1"/>
  <c r="BH62" i="1"/>
  <c r="BG62" i="1"/>
  <c r="BG77" i="1"/>
  <c r="BI77" i="1" s="1"/>
  <c r="BD77" i="1"/>
  <c r="BG55" i="1"/>
  <c r="BD58" i="1"/>
  <c r="BG58" i="1"/>
  <c r="BD25" i="1"/>
  <c r="BF48" i="1"/>
  <c r="BH58" i="1"/>
  <c r="BF116" i="1"/>
  <c r="BP42" i="1"/>
  <c r="BT42" i="1"/>
  <c r="BF64" i="1"/>
  <c r="BR72" i="1"/>
  <c r="BT74" i="1"/>
  <c r="BS74" i="1"/>
  <c r="BS85" i="1"/>
  <c r="BF123" i="1"/>
  <c r="BF130" i="1"/>
  <c r="BR71" i="1"/>
  <c r="BR78" i="1"/>
  <c r="BF102" i="1"/>
  <c r="BG122" i="1"/>
  <c r="BI122" i="1" s="1"/>
  <c r="BF129" i="1"/>
  <c r="BR163" i="1"/>
  <c r="BD122" i="1"/>
  <c r="BH143" i="1"/>
  <c r="BG143" i="1"/>
  <c r="BI143" i="1" s="1"/>
  <c r="BD143" i="1"/>
  <c r="BF144" i="1" s="1"/>
  <c r="BR51" i="1"/>
  <c r="BT83" i="1"/>
  <c r="BS83" i="1"/>
  <c r="BP83" i="1"/>
  <c r="BD90" i="1"/>
  <c r="BG90" i="1"/>
  <c r="BH90" i="1"/>
  <c r="BH136" i="1"/>
  <c r="BG136" i="1"/>
  <c r="BR65" i="1"/>
  <c r="BR68" i="1"/>
  <c r="BD97" i="1"/>
  <c r="BH97" i="1"/>
  <c r="BG97" i="1"/>
  <c r="BP140" i="1"/>
  <c r="BT140" i="1"/>
  <c r="BS140" i="1"/>
  <c r="BR166" i="1"/>
  <c r="BG32" i="1"/>
  <c r="BI32" i="1" s="1"/>
  <c r="BF60" i="1"/>
  <c r="BP98" i="1"/>
  <c r="BR99" i="1" s="1"/>
  <c r="BT98" i="1"/>
  <c r="BS98" i="1"/>
  <c r="BH135" i="1"/>
  <c r="BI135" i="1" s="1"/>
  <c r="BS143" i="1"/>
  <c r="BT143" i="1"/>
  <c r="BP143" i="1"/>
  <c r="BR77" i="1"/>
  <c r="BF93" i="1"/>
  <c r="BF125" i="1"/>
  <c r="BR159" i="1"/>
  <c r="BR54" i="1"/>
  <c r="BG71" i="1"/>
  <c r="BH71" i="1"/>
  <c r="BD71" i="1"/>
  <c r="BF72" i="1"/>
  <c r="BR86" i="1"/>
  <c r="BF139" i="1"/>
  <c r="BT152" i="1"/>
  <c r="BS152" i="1"/>
  <c r="BP152" i="1"/>
  <c r="BH73" i="1"/>
  <c r="BD73" i="1"/>
  <c r="BH164" i="1"/>
  <c r="BI164" i="1" s="1"/>
  <c r="BD164" i="1"/>
  <c r="BF165" i="1" s="1"/>
  <c r="BF76" i="1"/>
  <c r="BH113" i="1"/>
  <c r="BD113" i="1"/>
  <c r="BG113" i="1"/>
  <c r="BF154" i="1"/>
  <c r="BF88" i="1"/>
  <c r="BR150" i="1"/>
  <c r="BS144" i="1"/>
  <c r="BP144" i="1"/>
  <c r="BR149" i="1"/>
  <c r="BR50" i="1"/>
  <c r="BG73" i="1"/>
  <c r="BF101" i="1"/>
  <c r="BT108" i="1"/>
  <c r="BS108" i="1"/>
  <c r="BU108" i="1" s="1"/>
  <c r="BF111" i="1"/>
  <c r="BH119" i="1"/>
  <c r="BG119" i="1"/>
  <c r="BH147" i="1"/>
  <c r="BG147" i="1"/>
  <c r="BD147" i="1"/>
  <c r="BF148" i="1" s="1"/>
  <c r="BF92" i="1"/>
  <c r="BF137" i="1"/>
  <c r="BF78" i="1"/>
  <c r="BF99" i="1"/>
  <c r="BR106" i="1"/>
  <c r="BF117" i="1"/>
  <c r="BF134" i="1"/>
  <c r="BF91" i="1"/>
  <c r="BF127" i="1"/>
  <c r="BT165" i="1"/>
  <c r="BS165" i="1"/>
  <c r="BF105" i="1"/>
  <c r="BF120" i="1"/>
  <c r="BF151" i="1"/>
  <c r="BT167" i="1"/>
  <c r="BT34" i="1" l="1"/>
  <c r="BP29" i="1"/>
  <c r="BT29" i="1"/>
  <c r="BS75" i="1"/>
  <c r="BS70" i="1"/>
  <c r="BU70" i="1" s="1"/>
  <c r="BS32" i="1"/>
  <c r="BU42" i="1"/>
  <c r="BP147" i="1"/>
  <c r="BP64" i="1"/>
  <c r="BS146" i="1"/>
  <c r="BS64" i="1"/>
  <c r="BP73" i="1"/>
  <c r="BU74" i="1"/>
  <c r="BP158" i="1"/>
  <c r="BT73" i="1"/>
  <c r="BU73" i="1" s="1"/>
  <c r="BT75" i="1"/>
  <c r="BP35" i="1"/>
  <c r="BT28" i="1"/>
  <c r="BU144" i="1"/>
  <c r="BS28" i="1"/>
  <c r="BU28" i="1" s="1"/>
  <c r="BP151" i="1"/>
  <c r="BS35" i="1"/>
  <c r="BU35" i="1" s="1"/>
  <c r="BX35" i="1" s="1"/>
  <c r="BS30" i="1"/>
  <c r="BU30" i="1" s="1"/>
  <c r="BX30" i="1" s="1"/>
  <c r="BT76" i="1"/>
  <c r="BU76" i="1" s="1"/>
  <c r="BP76" i="1"/>
  <c r="BS158" i="1"/>
  <c r="BU158" i="1" s="1"/>
  <c r="BS160" i="1"/>
  <c r="BS66" i="1"/>
  <c r="BU66" i="1" s="1"/>
  <c r="BP110" i="1"/>
  <c r="BR111" i="1" s="1"/>
  <c r="BS111" i="1" s="1"/>
  <c r="BS23" i="1"/>
  <c r="BU23" i="1" s="1"/>
  <c r="BP30" i="1"/>
  <c r="BP80" i="1"/>
  <c r="BS110" i="1"/>
  <c r="BU110" i="1" s="1"/>
  <c r="BT160" i="1"/>
  <c r="BP66" i="1"/>
  <c r="BP31" i="1"/>
  <c r="BS31" i="1"/>
  <c r="BU31" i="1" s="1"/>
  <c r="BU83" i="1"/>
  <c r="BP99" i="1"/>
  <c r="BR100" i="1" s="1"/>
  <c r="BS99" i="1"/>
  <c r="BT99" i="1"/>
  <c r="BS47" i="1"/>
  <c r="BT47" i="1"/>
  <c r="BP47" i="1"/>
  <c r="BR48" i="1" s="1"/>
  <c r="BP48" i="1" s="1"/>
  <c r="BR49" i="1" s="1"/>
  <c r="BS45" i="1"/>
  <c r="BP45" i="1"/>
  <c r="BT45" i="1"/>
  <c r="BT24" i="1"/>
  <c r="BS24" i="1"/>
  <c r="BU24" i="1" s="1"/>
  <c r="BP24" i="1"/>
  <c r="BR25" i="1" s="1"/>
  <c r="BS25" i="1" s="1"/>
  <c r="BT151" i="1"/>
  <c r="BU151" i="1" s="1"/>
  <c r="BT85" i="1"/>
  <c r="BU85" i="1" s="1"/>
  <c r="BS80" i="1"/>
  <c r="BU80" i="1" s="1"/>
  <c r="BS84" i="1"/>
  <c r="BT84" i="1"/>
  <c r="BU98" i="1"/>
  <c r="BS34" i="1"/>
  <c r="BU34" i="1" s="1"/>
  <c r="BT27" i="1"/>
  <c r="BT36" i="1"/>
  <c r="BU36" i="1" s="1"/>
  <c r="BS27" i="1"/>
  <c r="BU27" i="1" s="1"/>
  <c r="BU142" i="1"/>
  <c r="BP67" i="1"/>
  <c r="BT107" i="1"/>
  <c r="BU107" i="1" s="1"/>
  <c r="BS147" i="1"/>
  <c r="BU147" i="1" s="1"/>
  <c r="BT43" i="1"/>
  <c r="BU43" i="1" s="1"/>
  <c r="BS67" i="1"/>
  <c r="BU67" i="1" s="1"/>
  <c r="BX67" i="1" s="1"/>
  <c r="BU165" i="1"/>
  <c r="BP36" i="1"/>
  <c r="BP107" i="1"/>
  <c r="BG96" i="1"/>
  <c r="BH98" i="1"/>
  <c r="BD96" i="1"/>
  <c r="BD121" i="1"/>
  <c r="BD157" i="1"/>
  <c r="BF158" i="1" s="1"/>
  <c r="BD158" i="1" s="1"/>
  <c r="BF159" i="1" s="1"/>
  <c r="BD26" i="1"/>
  <c r="BF27" i="1" s="1"/>
  <c r="BD27" i="1" s="1"/>
  <c r="BF28" i="1" s="1"/>
  <c r="BH28" i="1" s="1"/>
  <c r="BG121" i="1"/>
  <c r="BH100" i="1"/>
  <c r="BI119" i="1"/>
  <c r="BG100" i="1"/>
  <c r="BI100" i="1" s="1"/>
  <c r="BH157" i="1"/>
  <c r="BI157" i="1" s="1"/>
  <c r="BG26" i="1"/>
  <c r="BI26" i="1" s="1"/>
  <c r="BH158" i="1"/>
  <c r="BG158" i="1"/>
  <c r="BI62" i="1"/>
  <c r="BD87" i="1"/>
  <c r="BH41" i="1"/>
  <c r="BH126" i="1"/>
  <c r="BD82" i="1"/>
  <c r="BF83" i="1" s="1"/>
  <c r="BG83" i="1" s="1"/>
  <c r="BG46" i="1"/>
  <c r="BI46" i="1" s="1"/>
  <c r="BX46" i="1" s="1"/>
  <c r="BG82" i="1"/>
  <c r="BI82" i="1" s="1"/>
  <c r="BD46" i="1"/>
  <c r="BG104" i="1"/>
  <c r="BG87" i="1"/>
  <c r="BI87" i="1" s="1"/>
  <c r="BG131" i="1"/>
  <c r="BI131" i="1" s="1"/>
  <c r="BD132" i="1"/>
  <c r="BH95" i="1"/>
  <c r="BI95" i="1" s="1"/>
  <c r="BD94" i="1"/>
  <c r="BG133" i="1"/>
  <c r="BI133" i="1" s="1"/>
  <c r="BG24" i="1"/>
  <c r="BI24" i="1" s="1"/>
  <c r="BG132" i="1"/>
  <c r="BI132" i="1" s="1"/>
  <c r="BG49" i="1"/>
  <c r="BI49" i="1" s="1"/>
  <c r="BD49" i="1"/>
  <c r="BF50" i="1" s="1"/>
  <c r="BG50" i="1" s="1"/>
  <c r="BG94" i="1"/>
  <c r="BI94" i="1" s="1"/>
  <c r="BD133" i="1"/>
  <c r="BD98" i="1"/>
  <c r="BD95" i="1"/>
  <c r="BD24" i="1"/>
  <c r="BH156" i="1"/>
  <c r="BG126" i="1"/>
  <c r="BH104" i="1"/>
  <c r="BH103" i="1"/>
  <c r="BI103" i="1" s="1"/>
  <c r="BD128" i="1"/>
  <c r="BI73" i="1"/>
  <c r="BD103" i="1"/>
  <c r="BI70" i="1"/>
  <c r="BH54" i="1"/>
  <c r="BI54" i="1" s="1"/>
  <c r="BG41" i="1"/>
  <c r="BI41" i="1" s="1"/>
  <c r="BI57" i="1"/>
  <c r="BS167" i="1"/>
  <c r="BU167" i="1" s="1"/>
  <c r="BP167" i="1"/>
  <c r="BU32" i="1"/>
  <c r="BX32" i="1" s="1"/>
  <c r="BP38" i="1"/>
  <c r="BP40" i="1"/>
  <c r="BR41" i="1" s="1"/>
  <c r="BS41" i="1" s="1"/>
  <c r="BT38" i="1"/>
  <c r="BU38" i="1" s="1"/>
  <c r="BT40" i="1"/>
  <c r="BU40" i="1" s="1"/>
  <c r="BP81" i="1"/>
  <c r="BR82" i="1" s="1"/>
  <c r="BS82" i="1" s="1"/>
  <c r="BS81" i="1"/>
  <c r="BU81" i="1" s="1"/>
  <c r="BU109" i="1"/>
  <c r="BU161" i="1"/>
  <c r="BU75" i="1"/>
  <c r="BX75" i="1" s="1"/>
  <c r="BS155" i="1"/>
  <c r="BU155" i="1" s="1"/>
  <c r="BS162" i="1"/>
  <c r="BT146" i="1"/>
  <c r="BP69" i="1"/>
  <c r="BP155" i="1"/>
  <c r="BR156" i="1" s="1"/>
  <c r="BS156" i="1" s="1"/>
  <c r="BU64" i="1"/>
  <c r="BT162" i="1"/>
  <c r="BS69" i="1"/>
  <c r="BU69" i="1" s="1"/>
  <c r="BS145" i="1"/>
  <c r="BP43" i="1"/>
  <c r="BP32" i="1"/>
  <c r="BT145" i="1"/>
  <c r="BT141" i="1"/>
  <c r="BU141" i="1" s="1"/>
  <c r="BD79" i="1"/>
  <c r="BF80" i="1" s="1"/>
  <c r="BH79" i="1"/>
  <c r="BG79" i="1"/>
  <c r="BI79" i="1" s="1"/>
  <c r="BX79" i="1" s="1"/>
  <c r="BG156" i="1"/>
  <c r="BD74" i="1"/>
  <c r="BG74" i="1"/>
  <c r="BI74" i="1" s="1"/>
  <c r="BX74" i="1" s="1"/>
  <c r="BD89" i="1"/>
  <c r="BG89" i="1"/>
  <c r="BI89" i="1" s="1"/>
  <c r="BH114" i="1"/>
  <c r="BI152" i="1"/>
  <c r="BG47" i="1"/>
  <c r="BI47" i="1" s="1"/>
  <c r="BH153" i="1"/>
  <c r="BI153" i="1" s="1"/>
  <c r="BI138" i="1"/>
  <c r="BD153" i="1"/>
  <c r="BH40" i="1"/>
  <c r="BH53" i="1"/>
  <c r="BI53" i="1" s="1"/>
  <c r="BI59" i="1"/>
  <c r="BG115" i="1"/>
  <c r="BI58" i="1"/>
  <c r="BD112" i="1"/>
  <c r="BH112" i="1"/>
  <c r="BI112" i="1" s="1"/>
  <c r="BH115" i="1"/>
  <c r="BG114" i="1"/>
  <c r="BD53" i="1"/>
  <c r="BF54" i="1" s="1"/>
  <c r="BG54" i="1" s="1"/>
  <c r="BD47" i="1"/>
  <c r="BD44" i="1"/>
  <c r="BI113" i="1"/>
  <c r="BG128" i="1"/>
  <c r="BI128" i="1" s="1"/>
  <c r="BG37" i="1"/>
  <c r="BH37" i="1"/>
  <c r="BD37" i="1"/>
  <c r="BI124" i="1"/>
  <c r="BH43" i="1"/>
  <c r="BG43" i="1"/>
  <c r="BI43" i="1" s="1"/>
  <c r="BD43" i="1"/>
  <c r="BF44" i="1" s="1"/>
  <c r="BH44" i="1" s="1"/>
  <c r="BP154" i="1"/>
  <c r="BT154" i="1"/>
  <c r="BS154" i="1"/>
  <c r="BD34" i="1"/>
  <c r="BH34" i="1"/>
  <c r="BG34" i="1"/>
  <c r="BG27" i="1"/>
  <c r="BH27" i="1"/>
  <c r="BD83" i="1"/>
  <c r="BF84" i="1" s="1"/>
  <c r="BH83" i="1"/>
  <c r="BG144" i="1"/>
  <c r="BD144" i="1"/>
  <c r="BF145" i="1" s="1"/>
  <c r="BH144" i="1"/>
  <c r="BT54" i="1"/>
  <c r="BP54" i="1"/>
  <c r="BR55" i="1" s="1"/>
  <c r="BS54" i="1"/>
  <c r="BG134" i="1"/>
  <c r="BD134" i="1"/>
  <c r="BH134" i="1"/>
  <c r="BS50" i="1"/>
  <c r="BP50" i="1"/>
  <c r="BT50" i="1"/>
  <c r="BU29" i="1"/>
  <c r="BG91" i="1"/>
  <c r="BD91" i="1"/>
  <c r="BH91" i="1"/>
  <c r="BG23" i="1"/>
  <c r="BH23" i="1"/>
  <c r="BD23" i="1"/>
  <c r="BD117" i="1"/>
  <c r="BH117" i="1"/>
  <c r="BG117" i="1"/>
  <c r="BI147" i="1"/>
  <c r="BS149" i="1"/>
  <c r="BP149" i="1"/>
  <c r="BT149" i="1"/>
  <c r="BD76" i="1"/>
  <c r="BH76" i="1"/>
  <c r="BG76" i="1"/>
  <c r="BI76" i="1" s="1"/>
  <c r="BI96" i="1"/>
  <c r="BS51" i="1"/>
  <c r="BP51" i="1"/>
  <c r="BR52" i="1" s="1"/>
  <c r="BT51" i="1"/>
  <c r="BH123" i="1"/>
  <c r="BG123" i="1"/>
  <c r="BD123" i="1"/>
  <c r="BD48" i="1"/>
  <c r="BH48" i="1"/>
  <c r="BG48" i="1"/>
  <c r="BI42" i="1"/>
  <c r="BX42" i="1" s="1"/>
  <c r="BU153" i="1"/>
  <c r="BT163" i="1"/>
  <c r="BS163" i="1"/>
  <c r="BP163" i="1"/>
  <c r="BR164" i="1" s="1"/>
  <c r="BH36" i="1"/>
  <c r="BD36" i="1"/>
  <c r="BG36" i="1"/>
  <c r="BG88" i="1"/>
  <c r="BH88" i="1"/>
  <c r="BD88" i="1"/>
  <c r="BU152" i="1"/>
  <c r="BP77" i="1"/>
  <c r="BT77" i="1"/>
  <c r="BS77" i="1"/>
  <c r="BI97" i="1"/>
  <c r="BI63" i="1"/>
  <c r="BH68" i="1"/>
  <c r="BG68" i="1"/>
  <c r="BI68" i="1" s="1"/>
  <c r="BD68" i="1"/>
  <c r="BF69" i="1" s="1"/>
  <c r="BP68" i="1"/>
  <c r="BT68" i="1"/>
  <c r="BS68" i="1"/>
  <c r="BT58" i="1"/>
  <c r="BS58" i="1"/>
  <c r="BP58" i="1"/>
  <c r="BR59" i="1" s="1"/>
  <c r="BU22" i="1"/>
  <c r="BG78" i="1"/>
  <c r="BD78" i="1"/>
  <c r="BH78" i="1"/>
  <c r="BD111" i="1"/>
  <c r="BH111" i="1"/>
  <c r="BG111" i="1"/>
  <c r="BS166" i="1"/>
  <c r="BP166" i="1"/>
  <c r="BT166" i="1"/>
  <c r="BT65" i="1"/>
  <c r="BP65" i="1"/>
  <c r="BS65" i="1"/>
  <c r="BP72" i="1"/>
  <c r="BS72" i="1"/>
  <c r="BT72" i="1"/>
  <c r="BH129" i="1"/>
  <c r="BG129" i="1"/>
  <c r="BD129" i="1"/>
  <c r="BH154" i="1"/>
  <c r="BG154" i="1"/>
  <c r="BD154" i="1"/>
  <c r="BF155" i="1" s="1"/>
  <c r="BD139" i="1"/>
  <c r="BF140" i="1" s="1"/>
  <c r="BH139" i="1"/>
  <c r="BG139" i="1"/>
  <c r="BI55" i="1"/>
  <c r="BH151" i="1"/>
  <c r="BG151" i="1"/>
  <c r="BD151" i="1"/>
  <c r="BG120" i="1"/>
  <c r="BD120" i="1"/>
  <c r="BH120" i="1"/>
  <c r="BH99" i="1"/>
  <c r="BG99" i="1"/>
  <c r="BD99" i="1"/>
  <c r="BT159" i="1"/>
  <c r="BS159" i="1"/>
  <c r="BP159" i="1"/>
  <c r="BS150" i="1"/>
  <c r="BT150" i="1"/>
  <c r="BP150" i="1"/>
  <c r="BT86" i="1"/>
  <c r="BS86" i="1"/>
  <c r="BU86" i="1" s="1"/>
  <c r="BP86" i="1"/>
  <c r="BR87" i="1" s="1"/>
  <c r="BG102" i="1"/>
  <c r="BH102" i="1"/>
  <c r="BD102" i="1"/>
  <c r="BH72" i="1"/>
  <c r="BG72" i="1"/>
  <c r="BD72" i="1"/>
  <c r="BT78" i="1"/>
  <c r="BP78" i="1"/>
  <c r="BS78" i="1"/>
  <c r="BU148" i="1"/>
  <c r="BP111" i="1"/>
  <c r="BR112" i="1" s="1"/>
  <c r="BH137" i="1"/>
  <c r="BD137" i="1"/>
  <c r="BG137" i="1"/>
  <c r="BH101" i="1"/>
  <c r="BG101" i="1"/>
  <c r="BD101" i="1"/>
  <c r="BI98" i="1"/>
  <c r="BU160" i="1"/>
  <c r="BI38" i="1"/>
  <c r="BT71" i="1"/>
  <c r="BP71" i="1"/>
  <c r="BS71" i="1"/>
  <c r="BH31" i="1"/>
  <c r="BG31" i="1"/>
  <c r="BD31" i="1"/>
  <c r="BH39" i="1"/>
  <c r="BD39" i="1"/>
  <c r="BF40" i="1" s="1"/>
  <c r="BD40" i="1" s="1"/>
  <c r="BG39" i="1"/>
  <c r="BG105" i="1"/>
  <c r="BH105" i="1"/>
  <c r="BD105" i="1"/>
  <c r="BF106" i="1" s="1"/>
  <c r="BH106" i="1" s="1"/>
  <c r="BH64" i="1"/>
  <c r="BD64" i="1"/>
  <c r="BF65" i="1" s="1"/>
  <c r="BG64" i="1"/>
  <c r="BG92" i="1"/>
  <c r="BD92" i="1"/>
  <c r="BH92" i="1"/>
  <c r="BH165" i="1"/>
  <c r="BG165" i="1"/>
  <c r="BD165" i="1"/>
  <c r="BF166" i="1" s="1"/>
  <c r="BH130" i="1"/>
  <c r="BG130" i="1"/>
  <c r="BI130" i="1" s="1"/>
  <c r="BD130" i="1"/>
  <c r="BG116" i="1"/>
  <c r="BH116" i="1"/>
  <c r="BD116" i="1"/>
  <c r="BH52" i="1"/>
  <c r="BD52" i="1"/>
  <c r="BG52" i="1"/>
  <c r="BS106" i="1"/>
  <c r="BT106" i="1"/>
  <c r="BP106" i="1"/>
  <c r="BG148" i="1"/>
  <c r="BD148" i="1"/>
  <c r="BF149" i="1" s="1"/>
  <c r="BH148" i="1"/>
  <c r="BG60" i="1"/>
  <c r="BD60" i="1"/>
  <c r="BH60" i="1"/>
  <c r="BU143" i="1"/>
  <c r="BX143" i="1" s="1"/>
  <c r="BI90" i="1"/>
  <c r="BD125" i="1"/>
  <c r="BH125" i="1"/>
  <c r="BG125" i="1"/>
  <c r="BG127" i="1"/>
  <c r="BH127" i="1"/>
  <c r="BD127" i="1"/>
  <c r="BI71" i="1"/>
  <c r="BH93" i="1"/>
  <c r="BG93" i="1"/>
  <c r="BD93" i="1"/>
  <c r="BU140" i="1"/>
  <c r="BI136" i="1"/>
  <c r="BS33" i="1"/>
  <c r="BT33" i="1"/>
  <c r="BP33" i="1"/>
  <c r="BI121" i="1"/>
  <c r="BX98" i="1" l="1"/>
  <c r="BX76" i="1"/>
  <c r="BU146" i="1"/>
  <c r="BX70" i="1"/>
  <c r="BU162" i="1"/>
  <c r="BU47" i="1"/>
  <c r="BX47" i="1" s="1"/>
  <c r="BX73" i="1"/>
  <c r="BU45" i="1"/>
  <c r="BX45" i="1" s="1"/>
  <c r="BT82" i="1"/>
  <c r="BU82" i="1" s="1"/>
  <c r="BX82" i="1" s="1"/>
  <c r="BX43" i="1"/>
  <c r="BT111" i="1"/>
  <c r="BU111" i="1" s="1"/>
  <c r="BX111" i="1" s="1"/>
  <c r="BP41" i="1"/>
  <c r="BT41" i="1"/>
  <c r="BU41" i="1" s="1"/>
  <c r="BX41" i="1" s="1"/>
  <c r="BU65" i="1"/>
  <c r="BP82" i="1"/>
  <c r="BU78" i="1"/>
  <c r="BU58" i="1"/>
  <c r="BX58" i="1" s="1"/>
  <c r="BS48" i="1"/>
  <c r="BT48" i="1"/>
  <c r="BU48" i="1" s="1"/>
  <c r="BU71" i="1"/>
  <c r="BX71" i="1" s="1"/>
  <c r="BX24" i="1"/>
  <c r="BU50" i="1"/>
  <c r="BT25" i="1"/>
  <c r="BU25" i="1" s="1"/>
  <c r="BX25" i="1" s="1"/>
  <c r="BU84" i="1"/>
  <c r="BP25" i="1"/>
  <c r="BR26" i="1" s="1"/>
  <c r="BS26" i="1" s="1"/>
  <c r="BU99" i="1"/>
  <c r="BP59" i="1"/>
  <c r="BR60" i="1" s="1"/>
  <c r="BS59" i="1"/>
  <c r="BT59" i="1"/>
  <c r="BX38" i="1"/>
  <c r="BS100" i="1"/>
  <c r="BT100" i="1"/>
  <c r="BP100" i="1"/>
  <c r="BR101" i="1" s="1"/>
  <c r="BH159" i="1"/>
  <c r="BD159" i="1"/>
  <c r="BF160" i="1" s="1"/>
  <c r="BG159" i="1"/>
  <c r="BD106" i="1"/>
  <c r="BF107" i="1" s="1"/>
  <c r="BD107" i="1" s="1"/>
  <c r="BF108" i="1" s="1"/>
  <c r="BD54" i="1"/>
  <c r="BG106" i="1"/>
  <c r="BG44" i="1"/>
  <c r="BI44" i="1" s="1"/>
  <c r="BX44" i="1" s="1"/>
  <c r="BI126" i="1"/>
  <c r="BD28" i="1"/>
  <c r="BF29" i="1" s="1"/>
  <c r="BG28" i="1"/>
  <c r="BI28" i="1" s="1"/>
  <c r="BX28" i="1" s="1"/>
  <c r="BG40" i="1"/>
  <c r="BI40" i="1" s="1"/>
  <c r="BX40" i="1" s="1"/>
  <c r="BG166" i="1"/>
  <c r="BH166" i="1"/>
  <c r="BD166" i="1"/>
  <c r="BF167" i="1" s="1"/>
  <c r="BI104" i="1"/>
  <c r="BH107" i="1"/>
  <c r="BH140" i="1"/>
  <c r="BG140" i="1"/>
  <c r="BI140" i="1" s="1"/>
  <c r="BX140" i="1" s="1"/>
  <c r="BD140" i="1"/>
  <c r="BF141" i="1" s="1"/>
  <c r="BG160" i="1"/>
  <c r="BD160" i="1"/>
  <c r="BF161" i="1" s="1"/>
  <c r="BH160" i="1"/>
  <c r="BI158" i="1"/>
  <c r="BX158" i="1" s="1"/>
  <c r="BI125" i="1"/>
  <c r="BI115" i="1"/>
  <c r="BH50" i="1"/>
  <c r="BI50" i="1" s="1"/>
  <c r="BD50" i="1"/>
  <c r="BF51" i="1" s="1"/>
  <c r="BG51" i="1" s="1"/>
  <c r="BI156" i="1"/>
  <c r="BI31" i="1"/>
  <c r="BX31" i="1" s="1"/>
  <c r="BI111" i="1"/>
  <c r="BX152" i="1"/>
  <c r="BX153" i="1"/>
  <c r="BI72" i="1"/>
  <c r="BI27" i="1"/>
  <c r="BX27" i="1" s="1"/>
  <c r="BI114" i="1"/>
  <c r="BI99" i="1"/>
  <c r="BI154" i="1"/>
  <c r="BI48" i="1"/>
  <c r="BI39" i="1"/>
  <c r="BX39" i="1" s="1"/>
  <c r="BI129" i="1"/>
  <c r="BI83" i="1"/>
  <c r="BX83" i="1" s="1"/>
  <c r="BI34" i="1"/>
  <c r="BX34" i="1" s="1"/>
  <c r="BU33" i="1"/>
  <c r="BX33" i="1" s="1"/>
  <c r="BU166" i="1"/>
  <c r="BP156" i="1"/>
  <c r="BR157" i="1" s="1"/>
  <c r="BS157" i="1" s="1"/>
  <c r="BU150" i="1"/>
  <c r="BT156" i="1"/>
  <c r="BU156" i="1" s="1"/>
  <c r="BU159" i="1"/>
  <c r="BU51" i="1"/>
  <c r="BU145" i="1"/>
  <c r="BI92" i="1"/>
  <c r="BI127" i="1"/>
  <c r="BI91" i="1"/>
  <c r="BG80" i="1"/>
  <c r="BD80" i="1"/>
  <c r="BF81" i="1" s="1"/>
  <c r="BH80" i="1"/>
  <c r="BI60" i="1"/>
  <c r="BI102" i="1"/>
  <c r="BI120" i="1"/>
  <c r="BI165" i="1"/>
  <c r="BX165" i="1" s="1"/>
  <c r="BI105" i="1"/>
  <c r="BI101" i="1"/>
  <c r="BI36" i="1"/>
  <c r="BX36" i="1" s="1"/>
  <c r="BI37" i="1"/>
  <c r="BX37" i="1" s="1"/>
  <c r="BI159" i="1"/>
  <c r="BI139" i="1"/>
  <c r="BH145" i="1"/>
  <c r="BG145" i="1"/>
  <c r="BD145" i="1"/>
  <c r="BF146" i="1" s="1"/>
  <c r="BD149" i="1"/>
  <c r="BF150" i="1" s="1"/>
  <c r="BH149" i="1"/>
  <c r="BG149" i="1"/>
  <c r="BI149" i="1" s="1"/>
  <c r="BG155" i="1"/>
  <c r="BD155" i="1"/>
  <c r="BH155" i="1"/>
  <c r="BU72" i="1"/>
  <c r="BI88" i="1"/>
  <c r="BI148" i="1"/>
  <c r="BX148" i="1" s="1"/>
  <c r="BI116" i="1"/>
  <c r="BI64" i="1"/>
  <c r="BX64" i="1" s="1"/>
  <c r="BI144" i="1"/>
  <c r="BX144" i="1" s="1"/>
  <c r="BI93" i="1"/>
  <c r="BG65" i="1"/>
  <c r="BH65" i="1"/>
  <c r="BD65" i="1"/>
  <c r="BF66" i="1" s="1"/>
  <c r="BI106" i="1"/>
  <c r="BU68" i="1"/>
  <c r="BX68" i="1" s="1"/>
  <c r="BH84" i="1"/>
  <c r="BG84" i="1"/>
  <c r="BD84" i="1"/>
  <c r="BF85" i="1" s="1"/>
  <c r="BU106" i="1"/>
  <c r="BI78" i="1"/>
  <c r="BU149" i="1"/>
  <c r="BP87" i="1"/>
  <c r="BR88" i="1" s="1"/>
  <c r="BT87" i="1"/>
  <c r="BS87" i="1"/>
  <c r="BI52" i="1"/>
  <c r="BP164" i="1"/>
  <c r="BS164" i="1"/>
  <c r="BT164" i="1"/>
  <c r="BX147" i="1"/>
  <c r="BI134" i="1"/>
  <c r="BT49" i="1"/>
  <c r="BS49" i="1"/>
  <c r="BP49" i="1"/>
  <c r="BP112" i="1"/>
  <c r="BR113" i="1" s="1"/>
  <c r="BS112" i="1"/>
  <c r="BT112" i="1"/>
  <c r="BI23" i="1"/>
  <c r="BI151" i="1"/>
  <c r="BX151" i="1" s="1"/>
  <c r="BV22" i="1"/>
  <c r="BV23" i="1" s="1"/>
  <c r="BV24" i="1" s="1"/>
  <c r="BX22" i="1"/>
  <c r="BU77" i="1"/>
  <c r="BX77" i="1" s="1"/>
  <c r="BU163" i="1"/>
  <c r="BI123" i="1"/>
  <c r="BI117" i="1"/>
  <c r="BU154" i="1"/>
  <c r="BX154" i="1" s="1"/>
  <c r="BI137" i="1"/>
  <c r="BU54" i="1"/>
  <c r="BX54" i="1" s="1"/>
  <c r="BD69" i="1"/>
  <c r="BH69" i="1"/>
  <c r="BG69" i="1"/>
  <c r="BS55" i="1"/>
  <c r="BP55" i="1"/>
  <c r="BR56" i="1" s="1"/>
  <c r="BT55" i="1"/>
  <c r="BT52" i="1"/>
  <c r="BP52" i="1"/>
  <c r="BR53" i="1" s="1"/>
  <c r="BS52" i="1"/>
  <c r="BX99" i="1" l="1"/>
  <c r="BU49" i="1"/>
  <c r="BX49" i="1" s="1"/>
  <c r="BX78" i="1"/>
  <c r="BU100" i="1"/>
  <c r="BX100" i="1" s="1"/>
  <c r="BT26" i="1"/>
  <c r="BP26" i="1"/>
  <c r="BX50" i="1"/>
  <c r="BV25" i="1"/>
  <c r="BP157" i="1"/>
  <c r="BT53" i="1"/>
  <c r="BS53" i="1"/>
  <c r="BP53" i="1"/>
  <c r="BU59" i="1"/>
  <c r="BX59" i="1" s="1"/>
  <c r="BP101" i="1"/>
  <c r="BR102" i="1" s="1"/>
  <c r="BS101" i="1"/>
  <c r="BT101" i="1"/>
  <c r="BP60" i="1"/>
  <c r="BR61" i="1" s="1"/>
  <c r="BT60" i="1"/>
  <c r="BS60" i="1"/>
  <c r="BG107" i="1"/>
  <c r="BI107" i="1" s="1"/>
  <c r="BX107" i="1" s="1"/>
  <c r="BI160" i="1"/>
  <c r="BX160" i="1" s="1"/>
  <c r="BX159" i="1"/>
  <c r="BI145" i="1"/>
  <c r="BX145" i="1" s="1"/>
  <c r="BI80" i="1"/>
  <c r="BX80" i="1" s="1"/>
  <c r="BH108" i="1"/>
  <c r="BD108" i="1"/>
  <c r="BF109" i="1" s="1"/>
  <c r="BG108" i="1"/>
  <c r="BI108" i="1" s="1"/>
  <c r="BX108" i="1" s="1"/>
  <c r="BD81" i="1"/>
  <c r="BH81" i="1"/>
  <c r="BG81" i="1"/>
  <c r="BI51" i="1"/>
  <c r="BX51" i="1" s="1"/>
  <c r="BH167" i="1"/>
  <c r="BG167" i="1"/>
  <c r="BI167" i="1" s="1"/>
  <c r="BX167" i="1" s="1"/>
  <c r="BD167" i="1"/>
  <c r="BX72" i="1"/>
  <c r="BI166" i="1"/>
  <c r="BX166" i="1" s="1"/>
  <c r="BD161" i="1"/>
  <c r="BF162" i="1" s="1"/>
  <c r="BG161" i="1"/>
  <c r="BH161" i="1"/>
  <c r="BG29" i="1"/>
  <c r="BD29" i="1"/>
  <c r="BH29" i="1"/>
  <c r="BH51" i="1"/>
  <c r="BG141" i="1"/>
  <c r="BH141" i="1"/>
  <c r="BD141" i="1"/>
  <c r="BF142" i="1" s="1"/>
  <c r="BX156" i="1"/>
  <c r="BD51" i="1"/>
  <c r="BX48" i="1"/>
  <c r="BT157" i="1"/>
  <c r="BU157" i="1" s="1"/>
  <c r="BX157" i="1" s="1"/>
  <c r="BI69" i="1"/>
  <c r="BX69" i="1" s="1"/>
  <c r="BI84" i="1"/>
  <c r="BX84" i="1" s="1"/>
  <c r="BX106" i="1"/>
  <c r="BD146" i="1"/>
  <c r="BH146" i="1"/>
  <c r="BG146" i="1"/>
  <c r="BI146" i="1" s="1"/>
  <c r="BX146" i="1" s="1"/>
  <c r="BP56" i="1"/>
  <c r="BR57" i="1" s="1"/>
  <c r="BT56" i="1"/>
  <c r="BS56" i="1"/>
  <c r="BH66" i="1"/>
  <c r="BG66" i="1"/>
  <c r="BD66" i="1"/>
  <c r="BX23" i="1"/>
  <c r="BJ23" i="1"/>
  <c r="BJ24" i="1" s="1"/>
  <c r="BJ25" i="1" s="1"/>
  <c r="BJ26" i="1" s="1"/>
  <c r="BJ27" i="1" s="1"/>
  <c r="BJ28" i="1" s="1"/>
  <c r="BU55" i="1"/>
  <c r="BX55" i="1" s="1"/>
  <c r="BI65" i="1"/>
  <c r="BX65" i="1" s="1"/>
  <c r="BI155" i="1"/>
  <c r="BX155" i="1" s="1"/>
  <c r="BU26" i="1"/>
  <c r="BU164" i="1"/>
  <c r="BX164" i="1" s="1"/>
  <c r="BU112" i="1"/>
  <c r="BX112" i="1" s="1"/>
  <c r="BU87" i="1"/>
  <c r="BX87" i="1" s="1"/>
  <c r="BH85" i="1"/>
  <c r="BG85" i="1"/>
  <c r="BD85" i="1"/>
  <c r="BF86" i="1" s="1"/>
  <c r="BT113" i="1"/>
  <c r="BS113" i="1"/>
  <c r="BP113" i="1"/>
  <c r="BR114" i="1" s="1"/>
  <c r="BS88" i="1"/>
  <c r="BP88" i="1"/>
  <c r="BR89" i="1" s="1"/>
  <c r="BT88" i="1"/>
  <c r="BX149" i="1"/>
  <c r="BU52" i="1"/>
  <c r="BX52" i="1" s="1"/>
  <c r="BY22" i="1"/>
  <c r="BH150" i="1"/>
  <c r="BG150" i="1"/>
  <c r="BD150" i="1"/>
  <c r="BU56" i="1" l="1"/>
  <c r="BX56" i="1" s="1"/>
  <c r="BU60" i="1"/>
  <c r="BX60" i="1" s="1"/>
  <c r="BP57" i="1"/>
  <c r="BT57" i="1"/>
  <c r="BS57" i="1"/>
  <c r="BU57" i="1" s="1"/>
  <c r="BX57" i="1" s="1"/>
  <c r="BU101" i="1"/>
  <c r="BX101" i="1" s="1"/>
  <c r="BT61" i="1"/>
  <c r="BS61" i="1"/>
  <c r="BP61" i="1"/>
  <c r="BR62" i="1" s="1"/>
  <c r="BT89" i="1"/>
  <c r="BS89" i="1"/>
  <c r="BP89" i="1"/>
  <c r="BR90" i="1" s="1"/>
  <c r="BU53" i="1"/>
  <c r="BX53" i="1" s="1"/>
  <c r="BP102" i="1"/>
  <c r="BR103" i="1" s="1"/>
  <c r="BT102" i="1"/>
  <c r="BS102" i="1"/>
  <c r="BI141" i="1"/>
  <c r="BX141" i="1" s="1"/>
  <c r="BI29" i="1"/>
  <c r="BX29" i="1" s="1"/>
  <c r="BI161" i="1"/>
  <c r="BX161" i="1" s="1"/>
  <c r="BD109" i="1"/>
  <c r="BF110" i="1" s="1"/>
  <c r="BH109" i="1"/>
  <c r="BG109" i="1"/>
  <c r="BI109" i="1" s="1"/>
  <c r="BX109" i="1" s="1"/>
  <c r="BG162" i="1"/>
  <c r="BD162" i="1"/>
  <c r="BF163" i="1" s="1"/>
  <c r="BH162" i="1"/>
  <c r="BG142" i="1"/>
  <c r="BH142" i="1"/>
  <c r="BI142" i="1" s="1"/>
  <c r="BX142" i="1" s="1"/>
  <c r="BD142" i="1"/>
  <c r="BI81" i="1"/>
  <c r="BX81" i="1" s="1"/>
  <c r="BD86" i="1"/>
  <c r="BH86" i="1"/>
  <c r="BG86" i="1"/>
  <c r="BI86" i="1" s="1"/>
  <c r="BX86" i="1" s="1"/>
  <c r="BI66" i="1"/>
  <c r="BX66" i="1" s="1"/>
  <c r="BU113" i="1"/>
  <c r="BX113" i="1" s="1"/>
  <c r="BI85" i="1"/>
  <c r="BX85" i="1" s="1"/>
  <c r="BY23" i="1"/>
  <c r="BY24" i="1" s="1"/>
  <c r="BY25" i="1" s="1"/>
  <c r="BI150" i="1"/>
  <c r="BX150" i="1" s="1"/>
  <c r="BT114" i="1"/>
  <c r="BP114" i="1"/>
  <c r="BR115" i="1" s="1"/>
  <c r="BS114" i="1"/>
  <c r="BU114" i="1" s="1"/>
  <c r="BX114" i="1" s="1"/>
  <c r="BV26" i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X26" i="1"/>
  <c r="BU88" i="1"/>
  <c r="BX88" i="1" s="1"/>
  <c r="BU89" i="1" l="1"/>
  <c r="BX89" i="1" s="1"/>
  <c r="BU102" i="1"/>
  <c r="BX102" i="1" s="1"/>
  <c r="BT103" i="1"/>
  <c r="BS103" i="1"/>
  <c r="BU103" i="1" s="1"/>
  <c r="BX103" i="1" s="1"/>
  <c r="BP103" i="1"/>
  <c r="BR104" i="1" s="1"/>
  <c r="BU61" i="1"/>
  <c r="BX61" i="1" s="1"/>
  <c r="BV61" i="1"/>
  <c r="BT90" i="1"/>
  <c r="BS90" i="1"/>
  <c r="BU90" i="1" s="1"/>
  <c r="BX90" i="1" s="1"/>
  <c r="BP90" i="1"/>
  <c r="BR91" i="1" s="1"/>
  <c r="BT62" i="1"/>
  <c r="BS62" i="1"/>
  <c r="BU62" i="1" s="1"/>
  <c r="BX62" i="1" s="1"/>
  <c r="BP62" i="1"/>
  <c r="BR63" i="1" s="1"/>
  <c r="BH110" i="1"/>
  <c r="BD110" i="1"/>
  <c r="BG110" i="1"/>
  <c r="BI110" i="1" s="1"/>
  <c r="BX110" i="1" s="1"/>
  <c r="BH163" i="1"/>
  <c r="BG163" i="1"/>
  <c r="BI163" i="1" s="1"/>
  <c r="BX163" i="1" s="1"/>
  <c r="BD163" i="1"/>
  <c r="BI162" i="1"/>
  <c r="BX162" i="1" s="1"/>
  <c r="BJ10" i="1"/>
  <c r="BJ29" i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J9" i="1"/>
  <c r="BJ11" i="1" s="1"/>
  <c r="CL3" i="1" s="1"/>
  <c r="BY26" i="1"/>
  <c r="BY27" i="1" s="1"/>
  <c r="BY28" i="1" s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P115" i="1"/>
  <c r="BR116" i="1" s="1"/>
  <c r="BT115" i="1"/>
  <c r="BS115" i="1"/>
  <c r="BU115" i="1" s="1"/>
  <c r="BT91" i="1" l="1"/>
  <c r="BP91" i="1"/>
  <c r="BR92" i="1" s="1"/>
  <c r="BS91" i="1"/>
  <c r="BT104" i="1"/>
  <c r="BS104" i="1"/>
  <c r="BP104" i="1"/>
  <c r="BR105" i="1" s="1"/>
  <c r="BS63" i="1"/>
  <c r="BT63" i="1"/>
  <c r="BP63" i="1"/>
  <c r="BP116" i="1"/>
  <c r="BR117" i="1" s="1"/>
  <c r="BS116" i="1"/>
  <c r="BT116" i="1"/>
  <c r="BU116" i="1" s="1"/>
  <c r="BX116" i="1" s="1"/>
  <c r="BV62" i="1"/>
  <c r="BX115" i="1"/>
  <c r="BU91" i="1" l="1"/>
  <c r="BX91" i="1" s="1"/>
  <c r="BP92" i="1"/>
  <c r="BR93" i="1" s="1"/>
  <c r="BS92" i="1"/>
  <c r="BT92" i="1"/>
  <c r="BS105" i="1"/>
  <c r="BT105" i="1"/>
  <c r="BP105" i="1"/>
  <c r="BU104" i="1"/>
  <c r="BX104" i="1" s="1"/>
  <c r="BT117" i="1"/>
  <c r="BP117" i="1"/>
  <c r="BR118" i="1" s="1"/>
  <c r="BS117" i="1"/>
  <c r="BU117" i="1" s="1"/>
  <c r="BX117" i="1" s="1"/>
  <c r="BU63" i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U105" i="1" l="1"/>
  <c r="BX105" i="1" s="1"/>
  <c r="BU92" i="1"/>
  <c r="BX92" i="1" s="1"/>
  <c r="BX63" i="1"/>
  <c r="BS118" i="1"/>
  <c r="BT118" i="1"/>
  <c r="BP118" i="1"/>
  <c r="BR119" i="1" s="1"/>
  <c r="BT93" i="1"/>
  <c r="BP93" i="1"/>
  <c r="BR94" i="1" s="1"/>
  <c r="BS93" i="1"/>
  <c r="BU93" i="1" s="1"/>
  <c r="BX93" i="1" s="1"/>
  <c r="BV92" i="1" l="1"/>
  <c r="BV93" i="1" s="1"/>
  <c r="BT94" i="1"/>
  <c r="BS94" i="1"/>
  <c r="BP94" i="1"/>
  <c r="BR95" i="1" s="1"/>
  <c r="BP119" i="1"/>
  <c r="BR120" i="1" s="1"/>
  <c r="BT119" i="1"/>
  <c r="BS119" i="1"/>
  <c r="BU119" i="1" s="1"/>
  <c r="BX119" i="1" s="1"/>
  <c r="BU118" i="1"/>
  <c r="BX118" i="1" s="1"/>
  <c r="BY63" i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U94" i="1" l="1"/>
  <c r="BV94" i="1" s="1"/>
  <c r="BT120" i="1"/>
  <c r="BS120" i="1"/>
  <c r="BP120" i="1"/>
  <c r="BR121" i="1" s="1"/>
  <c r="BP95" i="1"/>
  <c r="BR96" i="1" s="1"/>
  <c r="BT95" i="1"/>
  <c r="BS95" i="1"/>
  <c r="BU95" i="1" s="1"/>
  <c r="BX94" i="1"/>
  <c r="BP96" i="1" l="1"/>
  <c r="BR97" i="1" s="1"/>
  <c r="BS96" i="1"/>
  <c r="BT96" i="1"/>
  <c r="BX95" i="1"/>
  <c r="BY94" i="1"/>
  <c r="BY95" i="1" s="1"/>
  <c r="BS121" i="1"/>
  <c r="BP121" i="1"/>
  <c r="BR122" i="1" s="1"/>
  <c r="BT121" i="1"/>
  <c r="BU120" i="1"/>
  <c r="BX120" i="1" s="1"/>
  <c r="BV95" i="1"/>
  <c r="BU121" i="1" l="1"/>
  <c r="BX121" i="1" s="1"/>
  <c r="BS122" i="1"/>
  <c r="BP122" i="1"/>
  <c r="BR123" i="1" s="1"/>
  <c r="BT122" i="1"/>
  <c r="BU96" i="1"/>
  <c r="BV96" i="1" s="1"/>
  <c r="BP97" i="1"/>
  <c r="BT97" i="1"/>
  <c r="BS97" i="1"/>
  <c r="BU97" i="1" l="1"/>
  <c r="BX97" i="1" s="1"/>
  <c r="BV97" i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U122" i="1"/>
  <c r="BX122" i="1" s="1"/>
  <c r="BX96" i="1"/>
  <c r="BT123" i="1"/>
  <c r="BS123" i="1"/>
  <c r="BP123" i="1"/>
  <c r="BR124" i="1" s="1"/>
  <c r="BU123" i="1" l="1"/>
  <c r="BX123" i="1" s="1"/>
  <c r="BV122" i="1"/>
  <c r="BS124" i="1"/>
  <c r="BT124" i="1"/>
  <c r="BP124" i="1"/>
  <c r="BR125" i="1" s="1"/>
  <c r="BY96" i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V123" i="1"/>
  <c r="BT125" i="1" l="1"/>
  <c r="BS125" i="1"/>
  <c r="BU125" i="1" s="1"/>
  <c r="BX125" i="1" s="1"/>
  <c r="BP125" i="1"/>
  <c r="BR126" i="1" s="1"/>
  <c r="BU124" i="1"/>
  <c r="BX124" i="1" l="1"/>
  <c r="BP126" i="1"/>
  <c r="BR127" i="1" s="1"/>
  <c r="BT126" i="1"/>
  <c r="BS126" i="1"/>
  <c r="BU126" i="1" s="1"/>
  <c r="BX126" i="1" s="1"/>
  <c r="BV124" i="1"/>
  <c r="BV125" i="1" s="1"/>
  <c r="BV126" i="1" l="1"/>
  <c r="BY124" i="1"/>
  <c r="BY125" i="1" s="1"/>
  <c r="BY126" i="1" s="1"/>
  <c r="BT127" i="1"/>
  <c r="BS127" i="1"/>
  <c r="BU127" i="1" s="1"/>
  <c r="BX127" i="1" s="1"/>
  <c r="BP127" i="1"/>
  <c r="BR128" i="1" s="1"/>
  <c r="BY127" i="1" l="1"/>
  <c r="BS128" i="1"/>
  <c r="BP128" i="1"/>
  <c r="BR129" i="1" s="1"/>
  <c r="BT128" i="1"/>
  <c r="BV127" i="1"/>
  <c r="BS129" i="1" l="1"/>
  <c r="BP129" i="1"/>
  <c r="BR130" i="1" s="1"/>
  <c r="BT129" i="1"/>
  <c r="BU128" i="1"/>
  <c r="BX128" i="1" s="1"/>
  <c r="BY128" i="1" l="1"/>
  <c r="BP130" i="1"/>
  <c r="BR131" i="1" s="1"/>
  <c r="BT130" i="1"/>
  <c r="BS130" i="1"/>
  <c r="BU130" i="1" s="1"/>
  <c r="BX130" i="1" s="1"/>
  <c r="BU129" i="1"/>
  <c r="BX129" i="1" s="1"/>
  <c r="BV128" i="1"/>
  <c r="BV129" i="1" s="1"/>
  <c r="BV130" i="1" l="1"/>
  <c r="BP131" i="1"/>
  <c r="BR132" i="1" s="1"/>
  <c r="BT131" i="1"/>
  <c r="BS131" i="1"/>
  <c r="BU131" i="1" s="1"/>
  <c r="BX131" i="1" s="1"/>
  <c r="BY129" i="1"/>
  <c r="BY130" i="1" s="1"/>
  <c r="BY131" i="1" s="1"/>
  <c r="BP132" i="1" l="1"/>
  <c r="BR133" i="1" s="1"/>
  <c r="BS132" i="1"/>
  <c r="BT132" i="1"/>
  <c r="BV131" i="1"/>
  <c r="BU132" i="1" l="1"/>
  <c r="BX132" i="1" s="1"/>
  <c r="BY132" i="1" s="1"/>
  <c r="BT133" i="1"/>
  <c r="BP133" i="1"/>
  <c r="BR134" i="1" s="1"/>
  <c r="BS133" i="1"/>
  <c r="BU133" i="1" s="1"/>
  <c r="BX133" i="1" s="1"/>
  <c r="BY133" i="1" l="1"/>
  <c r="BT134" i="1"/>
  <c r="BS134" i="1"/>
  <c r="BU134" i="1" s="1"/>
  <c r="BX134" i="1" s="1"/>
  <c r="BP134" i="1"/>
  <c r="BR135" i="1" s="1"/>
  <c r="BV132" i="1"/>
  <c r="BV133" i="1" s="1"/>
  <c r="BV134" i="1" s="1"/>
  <c r="BT135" i="1" l="1"/>
  <c r="BP135" i="1"/>
  <c r="BR136" i="1" s="1"/>
  <c r="BS135" i="1"/>
  <c r="BU135" i="1" s="1"/>
  <c r="BX135" i="1" s="1"/>
  <c r="BV135" i="1"/>
  <c r="BY134" i="1"/>
  <c r="BY135" i="1" s="1"/>
  <c r="BP136" i="1" l="1"/>
  <c r="BR137" i="1" s="1"/>
  <c r="BS136" i="1"/>
  <c r="BT136" i="1"/>
  <c r="BU136" i="1" l="1"/>
  <c r="BX136" i="1" s="1"/>
  <c r="BY136" i="1" s="1"/>
  <c r="BP137" i="1"/>
  <c r="BR138" i="1" s="1"/>
  <c r="BT137" i="1"/>
  <c r="BS137" i="1"/>
  <c r="BU137" i="1" s="1"/>
  <c r="BX137" i="1" s="1"/>
  <c r="BY137" i="1" s="1"/>
  <c r="BV136" i="1"/>
  <c r="BV137" i="1" s="1"/>
  <c r="BT138" i="1" l="1"/>
  <c r="BP138" i="1"/>
  <c r="BR139" i="1" s="1"/>
  <c r="BS138" i="1"/>
  <c r="BU138" i="1" s="1"/>
  <c r="BX138" i="1" s="1"/>
  <c r="BY138" i="1" s="1"/>
  <c r="BS139" i="1" l="1"/>
  <c r="BT139" i="1"/>
  <c r="BP139" i="1"/>
  <c r="BV138" i="1"/>
  <c r="BU139" i="1" l="1"/>
  <c r="BX139" i="1" l="1"/>
  <c r="BV9" i="1"/>
  <c r="BV10" i="1"/>
  <c r="BV139" i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V11" i="1" l="1"/>
  <c r="CL14" i="1" s="1"/>
  <c r="BY9" i="1"/>
  <c r="BY10" i="1"/>
  <c r="BY139" i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1" i="1" l="1"/>
</calcChain>
</file>

<file path=xl/sharedStrings.xml><?xml version="1.0" encoding="utf-8"?>
<sst xmlns="http://schemas.openxmlformats.org/spreadsheetml/2006/main" count="65" uniqueCount="50">
  <si>
    <t>date</t>
  </si>
  <si>
    <t>FALN</t>
  </si>
  <si>
    <t>ANGL</t>
  </si>
  <si>
    <t>FALN log rtn</t>
  </si>
  <si>
    <t>ANGL log rtn</t>
  </si>
  <si>
    <t>FALN div</t>
  </si>
  <si>
    <t>FALN div cumsum</t>
  </si>
  <si>
    <t>ANGL div</t>
  </si>
  <si>
    <t>ANGL div cumsum</t>
  </si>
  <si>
    <t>FALN div adjustment</t>
  </si>
  <si>
    <t>ANGL div adjustment</t>
  </si>
  <si>
    <t>FALN*</t>
  </si>
  <si>
    <t>ANGL*</t>
  </si>
  <si>
    <t>ANGL/FALN</t>
  </si>
  <si>
    <t>ANGL/FALN avg</t>
  </si>
  <si>
    <t>ANGL/FALN 10 dma</t>
  </si>
  <si>
    <t>ANGL/FALN 20 dma</t>
  </si>
  <si>
    <t>FALN x avg</t>
  </si>
  <si>
    <t>FALN x 10 dma</t>
  </si>
  <si>
    <t>FALN x 20 dma</t>
  </si>
  <si>
    <t>log diff FALN x avg / ANGL</t>
  </si>
  <si>
    <t>log diff FALN x 10 dma / ANGL</t>
  </si>
  <si>
    <t>log diff FALN x 20 dma / ANGL</t>
  </si>
  <si>
    <t>ANGL*/FALN*</t>
  </si>
  <si>
    <t>ANGL*/FALN* avg</t>
  </si>
  <si>
    <t>ANGL*/FALN* 10 dma</t>
  </si>
  <si>
    <t>ANGL*/FALN* 20 dma</t>
  </si>
  <si>
    <t>FALN* x avg</t>
  </si>
  <si>
    <t>FALN* x 10 dma</t>
  </si>
  <si>
    <t>FALN* x 20 dma</t>
  </si>
  <si>
    <t>log diff FALN* x avg / ANGL*</t>
  </si>
  <si>
    <t>log diff FALN* x 10 dma / ANGL*</t>
  </si>
  <si>
    <t>log diff FALN* x 20 dma / ANGL*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</si>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</sst>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70C0"/>
      <name val="Aptos Narrow"/>
      <family val="2"/>
    </font>
    <font>
      <b/>
      <sz val="11"/>
      <color rgb="FFC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0" fontId="19" fillId="0" borderId="0" xfId="0" applyNumberFormat="1" applyFont="1" applyAlignment="1">
      <alignment horizontal="right"/>
    </xf>
    <xf numFmtId="0" fontId="20" fillId="0" borderId="0" xfId="0" applyFont="1"/>
    <xf numFmtId="44" fontId="20" fillId="0" borderId="0" xfId="2" applyFont="1" applyFill="1" applyBorder="1"/>
    <xf numFmtId="43" fontId="21" fillId="0" borderId="0" xfId="1" applyFont="1" applyFill="1" applyBorder="1"/>
    <xf numFmtId="10" fontId="21" fillId="0" borderId="0" xfId="3" applyNumberFormat="1" applyFont="1" applyFill="1" applyBorder="1"/>
    <xf numFmtId="43" fontId="20" fillId="0" borderId="0" xfId="1" applyFont="1" applyFill="1" applyBorder="1"/>
    <xf numFmtId="43" fontId="20" fillId="0" borderId="10" xfId="1" applyFont="1" applyFill="1" applyBorder="1"/>
    <xf numFmtId="10" fontId="20" fillId="0" borderId="0" xfId="0" applyNumberFormat="1" applyFont="1"/>
    <xf numFmtId="44" fontId="22" fillId="0" borderId="0" xfId="2" applyFont="1" applyFill="1" applyBorder="1"/>
    <xf numFmtId="44" fontId="19" fillId="0" borderId="0" xfId="2" applyFont="1" applyFill="1" applyBorder="1" applyAlignment="1">
      <alignment horizontal="right"/>
    </xf>
    <xf numFmtId="10" fontId="19" fillId="33" borderId="0" xfId="2" applyNumberFormat="1" applyFont="1" applyFill="1" applyBorder="1" applyAlignment="1">
      <alignment horizontal="right"/>
    </xf>
    <xf numFmtId="0" fontId="23" fillId="0" borderId="0" xfId="0" applyFont="1"/>
    <xf numFmtId="10" fontId="20" fillId="0" borderId="0" xfId="3" applyNumberFormat="1" applyFont="1" applyFill="1" applyBorder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FALN_ANGL_2!$O$1</c:f>
              <c:strCache>
                <c:ptCount val="1"/>
                <c:pt idx="0">
                  <c:v> ANGL/FALN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FALN_ANGL_2!$O$2:$O$167</c:f>
              <c:numCache>
                <c:formatCode>_(* #,##0.0000_);_(* \(#,##0.0000\);_(* "-"??_);_(@_)</c:formatCode>
                <c:ptCount val="166"/>
                <c:pt idx="0">
                  <c:v>1.0748223497963401</c:v>
                </c:pt>
                <c:pt idx="1">
                  <c:v>1.0748223497963401</c:v>
                </c:pt>
                <c:pt idx="2">
                  <c:v>1.0748223497963401</c:v>
                </c:pt>
                <c:pt idx="3">
                  <c:v>1.0748223497963401</c:v>
                </c:pt>
                <c:pt idx="4">
                  <c:v>1.0748223497963401</c:v>
                </c:pt>
                <c:pt idx="5">
                  <c:v>1.0748223497963401</c:v>
                </c:pt>
                <c:pt idx="6">
                  <c:v>1.0748223497963401</c:v>
                </c:pt>
                <c:pt idx="7">
                  <c:v>1.0748223497963401</c:v>
                </c:pt>
                <c:pt idx="8">
                  <c:v>1.0748223497963401</c:v>
                </c:pt>
                <c:pt idx="9">
                  <c:v>1.0748223497963401</c:v>
                </c:pt>
                <c:pt idx="10">
                  <c:v>1.0748223497963401</c:v>
                </c:pt>
                <c:pt idx="11">
                  <c:v>1.0748223497963401</c:v>
                </c:pt>
                <c:pt idx="12">
                  <c:v>1.0748223497963401</c:v>
                </c:pt>
                <c:pt idx="13">
                  <c:v>1.0748223497963401</c:v>
                </c:pt>
                <c:pt idx="14">
                  <c:v>1.0748223497963401</c:v>
                </c:pt>
                <c:pt idx="15">
                  <c:v>1.0748223497963401</c:v>
                </c:pt>
                <c:pt idx="16">
                  <c:v>1.0748223497963401</c:v>
                </c:pt>
                <c:pt idx="17">
                  <c:v>1.0748223497963401</c:v>
                </c:pt>
                <c:pt idx="18">
                  <c:v>1.0748223497963401</c:v>
                </c:pt>
                <c:pt idx="19">
                  <c:v>1.0748223497963401</c:v>
                </c:pt>
                <c:pt idx="20">
                  <c:v>1.0748223497963401</c:v>
                </c:pt>
                <c:pt idx="21">
                  <c:v>1.0748223497963401</c:v>
                </c:pt>
                <c:pt idx="22">
                  <c:v>1.0748223497963401</c:v>
                </c:pt>
                <c:pt idx="23">
                  <c:v>1.0748223497963401</c:v>
                </c:pt>
                <c:pt idx="24">
                  <c:v>1.0748223497963401</c:v>
                </c:pt>
                <c:pt idx="25">
                  <c:v>1.0748223497963401</c:v>
                </c:pt>
                <c:pt idx="26">
                  <c:v>1.0748223497963401</c:v>
                </c:pt>
                <c:pt idx="27">
                  <c:v>1.0748223497963401</c:v>
                </c:pt>
                <c:pt idx="28">
                  <c:v>1.0748223497963401</c:v>
                </c:pt>
                <c:pt idx="29">
                  <c:v>1.0748223497963401</c:v>
                </c:pt>
                <c:pt idx="30">
                  <c:v>1.0748223497963401</c:v>
                </c:pt>
                <c:pt idx="31">
                  <c:v>1.0748223497963401</c:v>
                </c:pt>
                <c:pt idx="32">
                  <c:v>1.0748223497963401</c:v>
                </c:pt>
                <c:pt idx="33">
                  <c:v>1.0748223497963401</c:v>
                </c:pt>
                <c:pt idx="34">
                  <c:v>1.0748223497963401</c:v>
                </c:pt>
                <c:pt idx="35">
                  <c:v>1.0748223497963401</c:v>
                </c:pt>
                <c:pt idx="36">
                  <c:v>1.0748223497963401</c:v>
                </c:pt>
                <c:pt idx="37">
                  <c:v>1.0748223497963401</c:v>
                </c:pt>
                <c:pt idx="38">
                  <c:v>1.0748223497963401</c:v>
                </c:pt>
                <c:pt idx="39">
                  <c:v>1.0748223497963401</c:v>
                </c:pt>
                <c:pt idx="40">
                  <c:v>1.0748223497963401</c:v>
                </c:pt>
                <c:pt idx="41">
                  <c:v>1.0748223497963401</c:v>
                </c:pt>
                <c:pt idx="42">
                  <c:v>1.0748223497963401</c:v>
                </c:pt>
                <c:pt idx="43">
                  <c:v>1.0748223497963401</c:v>
                </c:pt>
                <c:pt idx="44">
                  <c:v>1.0748223497963401</c:v>
                </c:pt>
                <c:pt idx="45">
                  <c:v>1.0748223497963401</c:v>
                </c:pt>
                <c:pt idx="46">
                  <c:v>1.0748223497963401</c:v>
                </c:pt>
                <c:pt idx="47">
                  <c:v>1.0748223497963401</c:v>
                </c:pt>
                <c:pt idx="48">
                  <c:v>1.0748223497963401</c:v>
                </c:pt>
                <c:pt idx="49">
                  <c:v>1.0748223497963401</c:v>
                </c:pt>
                <c:pt idx="50">
                  <c:v>1.0748223497963401</c:v>
                </c:pt>
                <c:pt idx="51">
                  <c:v>1.0748223497963401</c:v>
                </c:pt>
                <c:pt idx="52">
                  <c:v>1.0748223497963401</c:v>
                </c:pt>
                <c:pt idx="53">
                  <c:v>1.0748223497963401</c:v>
                </c:pt>
                <c:pt idx="54">
                  <c:v>1.0748223497963401</c:v>
                </c:pt>
                <c:pt idx="55">
                  <c:v>1.0748223497963401</c:v>
                </c:pt>
                <c:pt idx="56">
                  <c:v>1.0748223497963401</c:v>
                </c:pt>
                <c:pt idx="57">
                  <c:v>1.0748223497963401</c:v>
                </c:pt>
                <c:pt idx="58">
                  <c:v>1.0748223497963401</c:v>
                </c:pt>
                <c:pt idx="59">
                  <c:v>1.0748223497963401</c:v>
                </c:pt>
                <c:pt idx="60">
                  <c:v>1.0748223497963401</c:v>
                </c:pt>
                <c:pt idx="61">
                  <c:v>1.0748223497963401</c:v>
                </c:pt>
                <c:pt idx="62">
                  <c:v>1.0748223497963401</c:v>
                </c:pt>
                <c:pt idx="63">
                  <c:v>1.0748223497963401</c:v>
                </c:pt>
                <c:pt idx="64">
                  <c:v>1.0748223497963401</c:v>
                </c:pt>
                <c:pt idx="65">
                  <c:v>1.0748223497963401</c:v>
                </c:pt>
                <c:pt idx="66">
                  <c:v>1.0748223497963401</c:v>
                </c:pt>
                <c:pt idx="67">
                  <c:v>1.0748223497963401</c:v>
                </c:pt>
                <c:pt idx="68">
                  <c:v>1.0748223497963401</c:v>
                </c:pt>
                <c:pt idx="69">
                  <c:v>1.0748223497963401</c:v>
                </c:pt>
                <c:pt idx="70">
                  <c:v>1.0748223497963401</c:v>
                </c:pt>
                <c:pt idx="71">
                  <c:v>1.0748223497963401</c:v>
                </c:pt>
                <c:pt idx="72">
                  <c:v>1.0748223497963401</c:v>
                </c:pt>
                <c:pt idx="73">
                  <c:v>1.0748223497963401</c:v>
                </c:pt>
                <c:pt idx="74">
                  <c:v>1.0748223497963401</c:v>
                </c:pt>
                <c:pt idx="75">
                  <c:v>1.0748223497963401</c:v>
                </c:pt>
                <c:pt idx="76">
                  <c:v>1.0748223497963401</c:v>
                </c:pt>
                <c:pt idx="77">
                  <c:v>1.0748223497963401</c:v>
                </c:pt>
                <c:pt idx="78">
                  <c:v>1.0748223497963401</c:v>
                </c:pt>
                <c:pt idx="79">
                  <c:v>1.0748223497963401</c:v>
                </c:pt>
                <c:pt idx="80">
                  <c:v>1.0748223497963401</c:v>
                </c:pt>
                <c:pt idx="81">
                  <c:v>1.0748223497963401</c:v>
                </c:pt>
                <c:pt idx="82">
                  <c:v>1.0748223497963401</c:v>
                </c:pt>
                <c:pt idx="83">
                  <c:v>1.0748223497963401</c:v>
                </c:pt>
                <c:pt idx="84">
                  <c:v>1.0748223497963401</c:v>
                </c:pt>
                <c:pt idx="85">
                  <c:v>1.0748223497963401</c:v>
                </c:pt>
                <c:pt idx="86">
                  <c:v>1.0748223497963401</c:v>
                </c:pt>
                <c:pt idx="87">
                  <c:v>1.0748223497963401</c:v>
                </c:pt>
                <c:pt idx="88">
                  <c:v>1.0748223497963401</c:v>
                </c:pt>
                <c:pt idx="89">
                  <c:v>1.0748223497963401</c:v>
                </c:pt>
                <c:pt idx="90">
                  <c:v>1.0748223497963401</c:v>
                </c:pt>
                <c:pt idx="91">
                  <c:v>1.0748223497963401</c:v>
                </c:pt>
                <c:pt idx="92">
                  <c:v>1.0748223497963401</c:v>
                </c:pt>
                <c:pt idx="93">
                  <c:v>1.0748223497963401</c:v>
                </c:pt>
                <c:pt idx="94">
                  <c:v>1.0748223497963401</c:v>
                </c:pt>
                <c:pt idx="95">
                  <c:v>1.0748223497963401</c:v>
                </c:pt>
                <c:pt idx="96">
                  <c:v>1.0748223497963401</c:v>
                </c:pt>
                <c:pt idx="97">
                  <c:v>1.0748223497963401</c:v>
                </c:pt>
                <c:pt idx="98">
                  <c:v>1.0748223497963401</c:v>
                </c:pt>
                <c:pt idx="99">
                  <c:v>1.0748223497963401</c:v>
                </c:pt>
                <c:pt idx="100">
                  <c:v>1.0748223497963401</c:v>
                </c:pt>
                <c:pt idx="101">
                  <c:v>1.0748223497963401</c:v>
                </c:pt>
                <c:pt idx="102">
                  <c:v>1.0748223497963401</c:v>
                </c:pt>
                <c:pt idx="103">
                  <c:v>1.0748223497963401</c:v>
                </c:pt>
                <c:pt idx="104">
                  <c:v>1.0748223497963401</c:v>
                </c:pt>
                <c:pt idx="105">
                  <c:v>1.0748223497963401</c:v>
                </c:pt>
                <c:pt idx="106">
                  <c:v>1.0748223497963401</c:v>
                </c:pt>
                <c:pt idx="107">
                  <c:v>1.0748223497963401</c:v>
                </c:pt>
                <c:pt idx="108">
                  <c:v>1.0748223497963401</c:v>
                </c:pt>
                <c:pt idx="109">
                  <c:v>1.0748223497963401</c:v>
                </c:pt>
                <c:pt idx="110">
                  <c:v>1.0748223497963401</c:v>
                </c:pt>
                <c:pt idx="111">
                  <c:v>1.0748223497963401</c:v>
                </c:pt>
                <c:pt idx="112">
                  <c:v>1.0748223497963401</c:v>
                </c:pt>
                <c:pt idx="113">
                  <c:v>1.0748223497963401</c:v>
                </c:pt>
                <c:pt idx="114">
                  <c:v>1.0748223497963401</c:v>
                </c:pt>
                <c:pt idx="115">
                  <c:v>1.0748223497963401</c:v>
                </c:pt>
                <c:pt idx="116">
                  <c:v>1.0748223497963401</c:v>
                </c:pt>
                <c:pt idx="117">
                  <c:v>1.0748223497963401</c:v>
                </c:pt>
                <c:pt idx="118">
                  <c:v>1.0748223497963401</c:v>
                </c:pt>
                <c:pt idx="119">
                  <c:v>1.0748223497963401</c:v>
                </c:pt>
                <c:pt idx="120">
                  <c:v>1.0748223497963401</c:v>
                </c:pt>
                <c:pt idx="121">
                  <c:v>1.0748223497963401</c:v>
                </c:pt>
                <c:pt idx="122">
                  <c:v>1.0748223497963401</c:v>
                </c:pt>
                <c:pt idx="123">
                  <c:v>1.0748223497963401</c:v>
                </c:pt>
                <c:pt idx="124">
                  <c:v>1.0748223497963401</c:v>
                </c:pt>
                <c:pt idx="125">
                  <c:v>1.0748223497963401</c:v>
                </c:pt>
                <c:pt idx="126">
                  <c:v>1.0748223497963401</c:v>
                </c:pt>
                <c:pt idx="127">
                  <c:v>1.0748223497963401</c:v>
                </c:pt>
                <c:pt idx="128">
                  <c:v>1.0748223497963401</c:v>
                </c:pt>
                <c:pt idx="129">
                  <c:v>1.0748223497963401</c:v>
                </c:pt>
                <c:pt idx="130">
                  <c:v>1.0748223497963401</c:v>
                </c:pt>
                <c:pt idx="131">
                  <c:v>1.0748223497963401</c:v>
                </c:pt>
                <c:pt idx="132">
                  <c:v>1.0748223497963401</c:v>
                </c:pt>
                <c:pt idx="133">
                  <c:v>1.0748223497963401</c:v>
                </c:pt>
                <c:pt idx="134">
                  <c:v>1.0748223497963401</c:v>
                </c:pt>
                <c:pt idx="135">
                  <c:v>1.0748223497963401</c:v>
                </c:pt>
                <c:pt idx="136">
                  <c:v>1.0748223497963401</c:v>
                </c:pt>
                <c:pt idx="137">
                  <c:v>1.0748223497963401</c:v>
                </c:pt>
                <c:pt idx="138">
                  <c:v>1.0748223497963401</c:v>
                </c:pt>
                <c:pt idx="139">
                  <c:v>1.0748223497963401</c:v>
                </c:pt>
                <c:pt idx="140">
                  <c:v>1.0748223497963401</c:v>
                </c:pt>
                <c:pt idx="141">
                  <c:v>1.0748223497963401</c:v>
                </c:pt>
                <c:pt idx="142">
                  <c:v>1.0748223497963401</c:v>
                </c:pt>
                <c:pt idx="143">
                  <c:v>1.0748223497963401</c:v>
                </c:pt>
                <c:pt idx="144">
                  <c:v>1.0748223497963401</c:v>
                </c:pt>
                <c:pt idx="145">
                  <c:v>1.0748223497963401</c:v>
                </c:pt>
                <c:pt idx="146">
                  <c:v>1.0748223497963401</c:v>
                </c:pt>
                <c:pt idx="147">
                  <c:v>1.0748223497963401</c:v>
                </c:pt>
                <c:pt idx="148">
                  <c:v>1.0748223497963401</c:v>
                </c:pt>
                <c:pt idx="149">
                  <c:v>1.0748223497963401</c:v>
                </c:pt>
                <c:pt idx="150">
                  <c:v>1.0748223497963401</c:v>
                </c:pt>
                <c:pt idx="151">
                  <c:v>1.0748223497963401</c:v>
                </c:pt>
                <c:pt idx="152">
                  <c:v>1.0748223497963401</c:v>
                </c:pt>
                <c:pt idx="153">
                  <c:v>1.0748223497963401</c:v>
                </c:pt>
                <c:pt idx="154">
                  <c:v>1.0748223497963401</c:v>
                </c:pt>
                <c:pt idx="155">
                  <c:v>1.0748223497963401</c:v>
                </c:pt>
                <c:pt idx="156">
                  <c:v>1.0748223497963401</c:v>
                </c:pt>
                <c:pt idx="157">
                  <c:v>1.0748223497963401</c:v>
                </c:pt>
                <c:pt idx="158">
                  <c:v>1.0748223497963401</c:v>
                </c:pt>
                <c:pt idx="159">
                  <c:v>1.0748223497963401</c:v>
                </c:pt>
                <c:pt idx="160">
                  <c:v>1.0748223497963401</c:v>
                </c:pt>
                <c:pt idx="161">
                  <c:v>1.0748223497963401</c:v>
                </c:pt>
                <c:pt idx="162">
                  <c:v>1.0748223497963401</c:v>
                </c:pt>
                <c:pt idx="163">
                  <c:v>1.0748223497963401</c:v>
                </c:pt>
                <c:pt idx="164">
                  <c:v>1.0748223497963401</c:v>
                </c:pt>
                <c:pt idx="165">
                  <c:v>1.0748223497963401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FALN_ANGL_2!$P$1</c:f>
              <c:strCache>
                <c:ptCount val="1"/>
                <c:pt idx="0">
                  <c:v> ANGL/FALN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FALN_ANGL_2!$P$2:$P$167</c:f>
              <c:numCache>
                <c:formatCode>_(* #,##0.0000_);_(* \(#,##0.0000\);_(* "-"??_);_(@_)</c:formatCode>
                <c:ptCount val="166"/>
                <c:pt idx="9">
                  <c:v>1.07471589511613</c:v>
                </c:pt>
                <c:pt idx="10">
                  <c:v>1.0745882227993699</c:v>
                </c:pt>
                <c:pt idx="11">
                  <c:v>1.0744679284630201</c:v>
                </c:pt>
                <c:pt idx="12">
                  <c:v>1.07428986210039</c:v>
                </c:pt>
                <c:pt idx="13">
                  <c:v>1.07422365969592</c:v>
                </c:pt>
                <c:pt idx="14">
                  <c:v>1.0741737438752099</c:v>
                </c:pt>
                <c:pt idx="15">
                  <c:v>1.07416563230217</c:v>
                </c:pt>
                <c:pt idx="16">
                  <c:v>1.0741886506513101</c:v>
                </c:pt>
                <c:pt idx="17">
                  <c:v>1.0740636194528399</c:v>
                </c:pt>
                <c:pt idx="18">
                  <c:v>1.07390784366255</c:v>
                </c:pt>
                <c:pt idx="19">
                  <c:v>1.07382455008536</c:v>
                </c:pt>
                <c:pt idx="20">
                  <c:v>1.07370053237195</c:v>
                </c:pt>
                <c:pt idx="21">
                  <c:v>1.0735548128819701</c:v>
                </c:pt>
                <c:pt idx="22">
                  <c:v>1.0734832091122399</c:v>
                </c:pt>
                <c:pt idx="23">
                  <c:v>1.07338335710977</c:v>
                </c:pt>
                <c:pt idx="24">
                  <c:v>1.0734077627433001</c:v>
                </c:pt>
                <c:pt idx="25">
                  <c:v>1.07338223168745</c:v>
                </c:pt>
                <c:pt idx="26">
                  <c:v>1.07350716047777</c:v>
                </c:pt>
                <c:pt idx="27">
                  <c:v>1.0737720741058101</c:v>
                </c:pt>
                <c:pt idx="28">
                  <c:v>1.07414018124051</c:v>
                </c:pt>
                <c:pt idx="29">
                  <c:v>1.07446107518433</c:v>
                </c:pt>
                <c:pt idx="30">
                  <c:v>1.0747556457855401</c:v>
                </c:pt>
                <c:pt idx="31">
                  <c:v>1.0749977205083201</c:v>
                </c:pt>
                <c:pt idx="32">
                  <c:v>1.07526491387048</c:v>
                </c:pt>
                <c:pt idx="33">
                  <c:v>1.07556301141239</c:v>
                </c:pt>
                <c:pt idx="34">
                  <c:v>1.07570358320299</c:v>
                </c:pt>
                <c:pt idx="35">
                  <c:v>1.07593579636638</c:v>
                </c:pt>
                <c:pt idx="36">
                  <c:v>1.0760563547303299</c:v>
                </c:pt>
                <c:pt idx="37">
                  <c:v>1.0759537827696299</c:v>
                </c:pt>
                <c:pt idx="38">
                  <c:v>1.0758059337530299</c:v>
                </c:pt>
                <c:pt idx="39">
                  <c:v>1.0759404786436799</c:v>
                </c:pt>
                <c:pt idx="40">
                  <c:v>1.0759988617318501</c:v>
                </c:pt>
                <c:pt idx="41">
                  <c:v>1.07608149673977</c:v>
                </c:pt>
                <c:pt idx="42">
                  <c:v>1.0759893183979601</c:v>
                </c:pt>
                <c:pt idx="43">
                  <c:v>1.0760278043214999</c:v>
                </c:pt>
                <c:pt idx="44">
                  <c:v>1.0759781057194699</c:v>
                </c:pt>
                <c:pt idx="45">
                  <c:v>1.0759431197687701</c:v>
                </c:pt>
                <c:pt idx="46">
                  <c:v>1.07601708887471</c:v>
                </c:pt>
                <c:pt idx="47">
                  <c:v>1.0762662604667399</c:v>
                </c:pt>
                <c:pt idx="48">
                  <c:v>1.07652130246446</c:v>
                </c:pt>
                <c:pt idx="49">
                  <c:v>1.07632500831022</c:v>
                </c:pt>
                <c:pt idx="50">
                  <c:v>1.0761645312016399</c:v>
                </c:pt>
                <c:pt idx="51">
                  <c:v>1.07623174959358</c:v>
                </c:pt>
                <c:pt idx="52">
                  <c:v>1.0762719337209301</c:v>
                </c:pt>
                <c:pt idx="53">
                  <c:v>1.07615816281927</c:v>
                </c:pt>
                <c:pt idx="54">
                  <c:v>1.0760579363838201</c:v>
                </c:pt>
                <c:pt idx="55">
                  <c:v>1.07584567468194</c:v>
                </c:pt>
                <c:pt idx="56">
                  <c:v>1.0756467595324299</c:v>
                </c:pt>
                <c:pt idx="57">
                  <c:v>1.0753311998763999</c:v>
                </c:pt>
                <c:pt idx="58">
                  <c:v>1.0751771572006401</c:v>
                </c:pt>
                <c:pt idx="59">
                  <c:v>1.0750392231456301</c:v>
                </c:pt>
                <c:pt idx="60">
                  <c:v>1.07500937213337</c:v>
                </c:pt>
                <c:pt idx="61">
                  <c:v>1.0748136992160999</c:v>
                </c:pt>
                <c:pt idx="62">
                  <c:v>1.0748108836347301</c:v>
                </c:pt>
                <c:pt idx="63">
                  <c:v>1.07489015859691</c:v>
                </c:pt>
                <c:pt idx="64">
                  <c:v>1.0750950784584099</c:v>
                </c:pt>
                <c:pt idx="65">
                  <c:v>1.0753017177729201</c:v>
                </c:pt>
                <c:pt idx="66">
                  <c:v>1.0754527537693099</c:v>
                </c:pt>
                <c:pt idx="67">
                  <c:v>1.07575928560916</c:v>
                </c:pt>
                <c:pt idx="68">
                  <c:v>1.0758872071636301</c:v>
                </c:pt>
                <c:pt idx="69">
                  <c:v>1.0760694194802201</c:v>
                </c:pt>
                <c:pt idx="70">
                  <c:v>1.07625974760107</c:v>
                </c:pt>
                <c:pt idx="71">
                  <c:v>1.07654343618885</c:v>
                </c:pt>
                <c:pt idx="72">
                  <c:v>1.0767350791549</c:v>
                </c:pt>
                <c:pt idx="73">
                  <c:v>1.07680082021657</c:v>
                </c:pt>
                <c:pt idx="74">
                  <c:v>1.0768633990560601</c:v>
                </c:pt>
                <c:pt idx="75">
                  <c:v>1.07696839121487</c:v>
                </c:pt>
                <c:pt idx="76">
                  <c:v>1.0771383818874201</c:v>
                </c:pt>
                <c:pt idx="77">
                  <c:v>1.0770929154760001</c:v>
                </c:pt>
                <c:pt idx="78">
                  <c:v>1.0770335449819199</c:v>
                </c:pt>
                <c:pt idx="79">
                  <c:v>1.0770136116600999</c:v>
                </c:pt>
                <c:pt idx="80">
                  <c:v>1.0770959189112901</c:v>
                </c:pt>
                <c:pt idx="81">
                  <c:v>1.0771413491820601</c:v>
                </c:pt>
                <c:pt idx="82">
                  <c:v>1.07717585149233</c:v>
                </c:pt>
                <c:pt idx="83">
                  <c:v>1.0772273585221399</c:v>
                </c:pt>
                <c:pt idx="84">
                  <c:v>1.07719624273958</c:v>
                </c:pt>
                <c:pt idx="85">
                  <c:v>1.0771906501528901</c:v>
                </c:pt>
                <c:pt idx="86">
                  <c:v>1.0769719677767899</c:v>
                </c:pt>
                <c:pt idx="87">
                  <c:v>1.0768074955190401</c:v>
                </c:pt>
                <c:pt idx="88">
                  <c:v>1.07674741634822</c:v>
                </c:pt>
                <c:pt idx="89">
                  <c:v>1.0766982786427299</c:v>
                </c:pt>
                <c:pt idx="90">
                  <c:v>1.07654447089734</c:v>
                </c:pt>
                <c:pt idx="91">
                  <c:v>1.0763369799011</c:v>
                </c:pt>
                <c:pt idx="92">
                  <c:v>1.0761080211445899</c:v>
                </c:pt>
                <c:pt idx="93">
                  <c:v>1.07588461187036</c:v>
                </c:pt>
                <c:pt idx="94">
                  <c:v>1.07574651033875</c:v>
                </c:pt>
                <c:pt idx="95">
                  <c:v>1.0754295490702099</c:v>
                </c:pt>
                <c:pt idx="96">
                  <c:v>1.0753721977997099</c:v>
                </c:pt>
                <c:pt idx="97">
                  <c:v>1.0752917806509299</c:v>
                </c:pt>
                <c:pt idx="98">
                  <c:v>1.07528617727994</c:v>
                </c:pt>
                <c:pt idx="99">
                  <c:v>1.0752582557274599</c:v>
                </c:pt>
                <c:pt idx="100">
                  <c:v>1.07514240996446</c:v>
                </c:pt>
                <c:pt idx="101">
                  <c:v>1.0750017876918101</c:v>
                </c:pt>
                <c:pt idx="102">
                  <c:v>1.0749348884601599</c:v>
                </c:pt>
                <c:pt idx="103">
                  <c:v>1.07498455664031</c:v>
                </c:pt>
                <c:pt idx="104">
                  <c:v>1.0750257255431901</c:v>
                </c:pt>
                <c:pt idx="105">
                  <c:v>1.07525735880842</c:v>
                </c:pt>
                <c:pt idx="106">
                  <c:v>1.0753939832959101</c:v>
                </c:pt>
                <c:pt idx="107">
                  <c:v>1.0755358741451699</c:v>
                </c:pt>
                <c:pt idx="108">
                  <c:v>1.0754869982898401</c:v>
                </c:pt>
                <c:pt idx="109">
                  <c:v>1.07550303825352</c:v>
                </c:pt>
                <c:pt idx="110">
                  <c:v>1.0755113336875699</c:v>
                </c:pt>
                <c:pt idx="111">
                  <c:v>1.07554163844513</c:v>
                </c:pt>
                <c:pt idx="112">
                  <c:v>1.0755482039861199</c:v>
                </c:pt>
                <c:pt idx="113">
                  <c:v>1.0753647083319799</c:v>
                </c:pt>
                <c:pt idx="114">
                  <c:v>1.07510966085934</c:v>
                </c:pt>
                <c:pt idx="115">
                  <c:v>1.07480736641772</c:v>
                </c:pt>
                <c:pt idx="116">
                  <c:v>1.07458430360413</c:v>
                </c:pt>
                <c:pt idx="117">
                  <c:v>1.0743304300311201</c:v>
                </c:pt>
                <c:pt idx="118">
                  <c:v>1.07419869179855</c:v>
                </c:pt>
                <c:pt idx="119">
                  <c:v>1.07407043093552</c:v>
                </c:pt>
                <c:pt idx="120">
                  <c:v>1.0740401038374601</c:v>
                </c:pt>
                <c:pt idx="121">
                  <c:v>1.0739648524380001</c:v>
                </c:pt>
                <c:pt idx="122">
                  <c:v>1.07383001660185</c:v>
                </c:pt>
                <c:pt idx="123">
                  <c:v>1.07376990942134</c:v>
                </c:pt>
                <c:pt idx="124">
                  <c:v>1.07375099068228</c:v>
                </c:pt>
                <c:pt idx="125">
                  <c:v>1.07367210875121</c:v>
                </c:pt>
                <c:pt idx="126">
                  <c:v>1.0736011697416701</c:v>
                </c:pt>
                <c:pt idx="127">
                  <c:v>1.0734697902982699</c:v>
                </c:pt>
                <c:pt idx="128">
                  <c:v>1.0733386586098199</c:v>
                </c:pt>
                <c:pt idx="129">
                  <c:v>1.07307895878756</c:v>
                </c:pt>
                <c:pt idx="130">
                  <c:v>1.0728722379070601</c:v>
                </c:pt>
                <c:pt idx="131">
                  <c:v>1.0726944368795099</c:v>
                </c:pt>
                <c:pt idx="132">
                  <c:v>1.07246356784453</c:v>
                </c:pt>
                <c:pt idx="133">
                  <c:v>1.07227920206282</c:v>
                </c:pt>
                <c:pt idx="134">
                  <c:v>1.0720714665441899</c:v>
                </c:pt>
                <c:pt idx="135">
                  <c:v>1.0720719688693401</c:v>
                </c:pt>
                <c:pt idx="136">
                  <c:v>1.0719538572388001</c:v>
                </c:pt>
                <c:pt idx="137">
                  <c:v>1.0720229257575</c:v>
                </c:pt>
                <c:pt idx="138">
                  <c:v>1.07205601001171</c:v>
                </c:pt>
                <c:pt idx="139">
                  <c:v>1.0721518599972</c:v>
                </c:pt>
                <c:pt idx="140">
                  <c:v>1.07233030992352</c:v>
                </c:pt>
                <c:pt idx="141">
                  <c:v>1.07239965532296</c:v>
                </c:pt>
                <c:pt idx="142">
                  <c:v>1.0726599366693399</c:v>
                </c:pt>
                <c:pt idx="143">
                  <c:v>1.07285348311447</c:v>
                </c:pt>
                <c:pt idx="144">
                  <c:v>1.0731663844456301</c:v>
                </c:pt>
                <c:pt idx="145">
                  <c:v>1.0732947096233301</c:v>
                </c:pt>
                <c:pt idx="146">
                  <c:v>1.0734590051128701</c:v>
                </c:pt>
                <c:pt idx="147">
                  <c:v>1.0735701985895201</c:v>
                </c:pt>
                <c:pt idx="148">
                  <c:v>1.0737740308686201</c:v>
                </c:pt>
                <c:pt idx="149">
                  <c:v>1.0740381709318001</c:v>
                </c:pt>
                <c:pt idx="150">
                  <c:v>1.07389946137572</c:v>
                </c:pt>
                <c:pt idx="151">
                  <c:v>1.0738488876108601</c:v>
                </c:pt>
                <c:pt idx="152">
                  <c:v>1.0739162655163099</c:v>
                </c:pt>
                <c:pt idx="153">
                  <c:v>1.0738333385402099</c:v>
                </c:pt>
                <c:pt idx="154">
                  <c:v>1.0736813469230799</c:v>
                </c:pt>
                <c:pt idx="155">
                  <c:v>1.0736404393760599</c:v>
                </c:pt>
                <c:pt idx="156">
                  <c:v>1.0737145683605001</c:v>
                </c:pt>
                <c:pt idx="157">
                  <c:v>1.07372698708766</c:v>
                </c:pt>
                <c:pt idx="158">
                  <c:v>1.0735964291253199</c:v>
                </c:pt>
                <c:pt idx="159">
                  <c:v>1.07348253234599</c:v>
                </c:pt>
                <c:pt idx="160">
                  <c:v>1.0735827188060301</c:v>
                </c:pt>
                <c:pt idx="161">
                  <c:v>1.07366121765886</c:v>
                </c:pt>
                <c:pt idx="162">
                  <c:v>1.0736419956068699</c:v>
                </c:pt>
                <c:pt idx="163">
                  <c:v>1.07379769587833</c:v>
                </c:pt>
                <c:pt idx="164">
                  <c:v>1.07391945307979</c:v>
                </c:pt>
                <c:pt idx="165">
                  <c:v>1.07399621276334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FALN_ANGL_2!$Q$1</c:f>
              <c:strCache>
                <c:ptCount val="1"/>
                <c:pt idx="0">
                  <c:v> ANGL/FALN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FALN_ANGL_2!$Q$2:$Q$167</c:f>
              <c:numCache>
                <c:formatCode>_(* #,##0.0000_);_(* \(#,##0.0000\);_(* "-"??_);_(@_)</c:formatCode>
                <c:ptCount val="166"/>
                <c:pt idx="19">
                  <c:v>1.0742702226007499</c:v>
                </c:pt>
                <c:pt idx="20">
                  <c:v>1.0741443775856601</c:v>
                </c:pt>
                <c:pt idx="21">
                  <c:v>1.0740113706724901</c:v>
                </c:pt>
                <c:pt idx="22">
                  <c:v>1.0738865356063201</c:v>
                </c:pt>
                <c:pt idx="23">
                  <c:v>1.0738035084028399</c:v>
                </c:pt>
                <c:pt idx="24">
                  <c:v>1.0737907533092601</c:v>
                </c:pt>
                <c:pt idx="25">
                  <c:v>1.0737739319948101</c:v>
                </c:pt>
                <c:pt idx="26">
                  <c:v>1.07384790556454</c:v>
                </c:pt>
                <c:pt idx="27">
                  <c:v>1.07391784677932</c:v>
                </c:pt>
                <c:pt idx="28">
                  <c:v>1.0740240124515299</c:v>
                </c:pt>
                <c:pt idx="29">
                  <c:v>1.07414281263485</c:v>
                </c:pt>
                <c:pt idx="30">
                  <c:v>1.0742280890787499</c:v>
                </c:pt>
                <c:pt idx="31">
                  <c:v>1.07427626669514</c:v>
                </c:pt>
                <c:pt idx="32">
                  <c:v>1.0743740614913599</c:v>
                </c:pt>
                <c:pt idx="33">
                  <c:v>1.07447318426108</c:v>
                </c:pt>
                <c:pt idx="34">
                  <c:v>1.07455567297315</c:v>
                </c:pt>
                <c:pt idx="35">
                  <c:v>1.0746590140269101</c:v>
                </c:pt>
                <c:pt idx="36">
                  <c:v>1.0747817576040499</c:v>
                </c:pt>
                <c:pt idx="37">
                  <c:v>1.07486292843772</c:v>
                </c:pt>
                <c:pt idx="38">
                  <c:v>1.07497305749677</c:v>
                </c:pt>
                <c:pt idx="39">
                  <c:v>1.0752007769140099</c:v>
                </c:pt>
                <c:pt idx="40">
                  <c:v>1.0753772537587001</c:v>
                </c:pt>
                <c:pt idx="41">
                  <c:v>1.0755396086240401</c:v>
                </c:pt>
                <c:pt idx="42">
                  <c:v>1.0756271161342199</c:v>
                </c:pt>
                <c:pt idx="43">
                  <c:v>1.0757954078669401</c:v>
                </c:pt>
                <c:pt idx="44">
                  <c:v>1.07584084446123</c:v>
                </c:pt>
                <c:pt idx="45">
                  <c:v>1.0759394580675701</c:v>
                </c:pt>
                <c:pt idx="46">
                  <c:v>1.07603672180252</c:v>
                </c:pt>
                <c:pt idx="47">
                  <c:v>1.07611002161818</c:v>
                </c:pt>
                <c:pt idx="48">
                  <c:v>1.0761636181087399</c:v>
                </c:pt>
                <c:pt idx="49">
                  <c:v>1.0761327434769501</c:v>
                </c:pt>
                <c:pt idx="50">
                  <c:v>1.0760816964667399</c:v>
                </c:pt>
                <c:pt idx="51">
                  <c:v>1.0761566231666699</c:v>
                </c:pt>
                <c:pt idx="52">
                  <c:v>1.0761306260594401</c:v>
                </c:pt>
                <c:pt idx="53">
                  <c:v>1.0760929835703801</c:v>
                </c:pt>
                <c:pt idx="54">
                  <c:v>1.0760180210516399</c:v>
                </c:pt>
                <c:pt idx="55">
                  <c:v>1.0758943972253501</c:v>
                </c:pt>
                <c:pt idx="56">
                  <c:v>1.0758319242035701</c:v>
                </c:pt>
                <c:pt idx="57">
                  <c:v>1.0757987301715699</c:v>
                </c:pt>
                <c:pt idx="58">
                  <c:v>1.0758492298325499</c:v>
                </c:pt>
                <c:pt idx="59">
                  <c:v>1.0756821157279299</c:v>
                </c:pt>
                <c:pt idx="60">
                  <c:v>1.0755869516675101</c:v>
                </c:pt>
                <c:pt idx="61">
                  <c:v>1.07552272440484</c:v>
                </c:pt>
                <c:pt idx="62">
                  <c:v>1.0755414086778301</c:v>
                </c:pt>
                <c:pt idx="63">
                  <c:v>1.0755241607080901</c:v>
                </c:pt>
                <c:pt idx="64">
                  <c:v>1.0755765074211101</c:v>
                </c:pt>
                <c:pt idx="65">
                  <c:v>1.07557369622743</c:v>
                </c:pt>
                <c:pt idx="66">
                  <c:v>1.07554975665087</c:v>
                </c:pt>
                <c:pt idx="67">
                  <c:v>1.0755452427427801</c:v>
                </c:pt>
                <c:pt idx="68">
                  <c:v>1.07553218218213</c:v>
                </c:pt>
                <c:pt idx="69">
                  <c:v>1.0755543213129299</c:v>
                </c:pt>
                <c:pt idx="70">
                  <c:v>1.0756345598672199</c:v>
                </c:pt>
                <c:pt idx="71">
                  <c:v>1.07567856770248</c:v>
                </c:pt>
                <c:pt idx="72">
                  <c:v>1.07577298139481</c:v>
                </c:pt>
                <c:pt idx="73">
                  <c:v>1.07584548940674</c:v>
                </c:pt>
                <c:pt idx="74">
                  <c:v>1.07597923875723</c:v>
                </c:pt>
                <c:pt idx="75">
                  <c:v>1.0761350544938999</c:v>
                </c:pt>
                <c:pt idx="76">
                  <c:v>1.0762955678283599</c:v>
                </c:pt>
                <c:pt idx="77">
                  <c:v>1.0764261005425799</c:v>
                </c:pt>
                <c:pt idx="78">
                  <c:v>1.07646037607277</c:v>
                </c:pt>
                <c:pt idx="79">
                  <c:v>1.0765415155701601</c:v>
                </c:pt>
                <c:pt idx="80">
                  <c:v>1.0766778332561799</c:v>
                </c:pt>
                <c:pt idx="81">
                  <c:v>1.07684239268545</c:v>
                </c:pt>
                <c:pt idx="82">
                  <c:v>1.07695546532362</c:v>
                </c:pt>
                <c:pt idx="83">
                  <c:v>1.0770140893693601</c:v>
                </c:pt>
                <c:pt idx="84">
                  <c:v>1.07702982089782</c:v>
                </c:pt>
                <c:pt idx="85">
                  <c:v>1.0770795206838799</c:v>
                </c:pt>
                <c:pt idx="86">
                  <c:v>1.07705517483211</c:v>
                </c:pt>
                <c:pt idx="87">
                  <c:v>1.07695020549752</c:v>
                </c:pt>
                <c:pt idx="88">
                  <c:v>1.0768904806650701</c:v>
                </c:pt>
                <c:pt idx="89">
                  <c:v>1.0768559451514099</c:v>
                </c:pt>
                <c:pt idx="90">
                  <c:v>1.0768201949043199</c:v>
                </c:pt>
                <c:pt idx="91">
                  <c:v>1.07673916454158</c:v>
                </c:pt>
                <c:pt idx="92">
                  <c:v>1.0766419363184601</c:v>
                </c:pt>
                <c:pt idx="93">
                  <c:v>1.0765559851962501</c:v>
                </c:pt>
                <c:pt idx="94">
                  <c:v>1.07647137653917</c:v>
                </c:pt>
                <c:pt idx="95">
                  <c:v>1.07631009961155</c:v>
                </c:pt>
                <c:pt idx="96">
                  <c:v>1.0761720827882499</c:v>
                </c:pt>
                <c:pt idx="97">
                  <c:v>1.07604963808498</c:v>
                </c:pt>
                <c:pt idx="98">
                  <c:v>1.0760167968140799</c:v>
                </c:pt>
                <c:pt idx="99">
                  <c:v>1.0759782671850999</c:v>
                </c:pt>
                <c:pt idx="100">
                  <c:v>1.0758434404309001</c:v>
                </c:pt>
                <c:pt idx="101">
                  <c:v>1.0756693837964599</c:v>
                </c:pt>
                <c:pt idx="102">
                  <c:v>1.0755214548023699</c:v>
                </c:pt>
                <c:pt idx="103">
                  <c:v>1.0754345842553401</c:v>
                </c:pt>
                <c:pt idx="104">
                  <c:v>1.0753861179409701</c:v>
                </c:pt>
                <c:pt idx="105">
                  <c:v>1.0753434539393201</c:v>
                </c:pt>
                <c:pt idx="106">
                  <c:v>1.0753830905478099</c:v>
                </c:pt>
                <c:pt idx="107">
                  <c:v>1.07541382739805</c:v>
                </c:pt>
                <c:pt idx="108">
                  <c:v>1.07538658778489</c:v>
                </c:pt>
                <c:pt idx="109">
                  <c:v>1.0753806469904901</c:v>
                </c:pt>
                <c:pt idx="110">
                  <c:v>1.0753268718260101</c:v>
                </c:pt>
                <c:pt idx="111">
                  <c:v>1.0752717130684699</c:v>
                </c:pt>
                <c:pt idx="112">
                  <c:v>1.0752415462231399</c:v>
                </c:pt>
                <c:pt idx="113">
                  <c:v>1.07517463248614</c:v>
                </c:pt>
                <c:pt idx="114">
                  <c:v>1.0750676932012599</c:v>
                </c:pt>
                <c:pt idx="115">
                  <c:v>1.07503236261307</c:v>
                </c:pt>
                <c:pt idx="116">
                  <c:v>1.0749891434500201</c:v>
                </c:pt>
                <c:pt idx="117">
                  <c:v>1.07493315208814</c:v>
                </c:pt>
                <c:pt idx="118">
                  <c:v>1.07484284504419</c:v>
                </c:pt>
                <c:pt idx="119">
                  <c:v>1.0747867345945199</c:v>
                </c:pt>
                <c:pt idx="120">
                  <c:v>1.07477571876251</c:v>
                </c:pt>
                <c:pt idx="121">
                  <c:v>1.07475324544157</c:v>
                </c:pt>
                <c:pt idx="122">
                  <c:v>1.07468911029398</c:v>
                </c:pt>
                <c:pt idx="123">
                  <c:v>1.0745673088766601</c:v>
                </c:pt>
                <c:pt idx="124">
                  <c:v>1.0744303257708101</c:v>
                </c:pt>
                <c:pt idx="125">
                  <c:v>1.0742397375844599</c:v>
                </c:pt>
                <c:pt idx="126">
                  <c:v>1.0740927366729001</c:v>
                </c:pt>
                <c:pt idx="127">
                  <c:v>1.0739001101646899</c:v>
                </c:pt>
                <c:pt idx="128">
                  <c:v>1.07376867520418</c:v>
                </c:pt>
                <c:pt idx="129">
                  <c:v>1.0735746948615399</c:v>
                </c:pt>
                <c:pt idx="130">
                  <c:v>1.0734561708722601</c:v>
                </c:pt>
                <c:pt idx="131">
                  <c:v>1.0733296446587599</c:v>
                </c:pt>
                <c:pt idx="132">
                  <c:v>1.0731467922231901</c:v>
                </c:pt>
                <c:pt idx="133">
                  <c:v>1.0730245557420801</c:v>
                </c:pt>
                <c:pt idx="134">
                  <c:v>1.0729112286132301</c:v>
                </c:pt>
                <c:pt idx="135">
                  <c:v>1.0728720388102699</c:v>
                </c:pt>
                <c:pt idx="136">
                  <c:v>1.07277751349023</c:v>
                </c:pt>
                <c:pt idx="137">
                  <c:v>1.07274635802789</c:v>
                </c:pt>
                <c:pt idx="138">
                  <c:v>1.07269733431076</c:v>
                </c:pt>
                <c:pt idx="139">
                  <c:v>1.0726154093923801</c:v>
                </c:pt>
                <c:pt idx="140">
                  <c:v>1.0726012739152899</c:v>
                </c:pt>
                <c:pt idx="141">
                  <c:v>1.0725470461012401</c:v>
                </c:pt>
                <c:pt idx="142">
                  <c:v>1.0725617522569399</c:v>
                </c:pt>
                <c:pt idx="143">
                  <c:v>1.07256634258865</c:v>
                </c:pt>
                <c:pt idx="144">
                  <c:v>1.0726189254949099</c:v>
                </c:pt>
                <c:pt idx="145">
                  <c:v>1.07268333924634</c:v>
                </c:pt>
                <c:pt idx="146">
                  <c:v>1.0727064311758301</c:v>
                </c:pt>
                <c:pt idx="147">
                  <c:v>1.07279656217351</c:v>
                </c:pt>
                <c:pt idx="148">
                  <c:v>1.0729150204401601</c:v>
                </c:pt>
                <c:pt idx="149">
                  <c:v>1.0730950154645</c:v>
                </c:pt>
                <c:pt idx="150">
                  <c:v>1.07311488564962</c:v>
                </c:pt>
                <c:pt idx="151">
                  <c:v>1.07312427146691</c:v>
                </c:pt>
                <c:pt idx="152">
                  <c:v>1.0732881010928299</c:v>
                </c:pt>
                <c:pt idx="153">
                  <c:v>1.0733434108273401</c:v>
                </c:pt>
                <c:pt idx="154">
                  <c:v>1.07342386568435</c:v>
                </c:pt>
                <c:pt idx="155">
                  <c:v>1.0734675744997</c:v>
                </c:pt>
                <c:pt idx="156">
                  <c:v>1.07358678673668</c:v>
                </c:pt>
                <c:pt idx="157">
                  <c:v>1.0736485928385899</c:v>
                </c:pt>
                <c:pt idx="158">
                  <c:v>1.0736852299969699</c:v>
                </c:pt>
                <c:pt idx="159">
                  <c:v>1.0737603516389</c:v>
                </c:pt>
                <c:pt idx="160">
                  <c:v>1.0737410900908799</c:v>
                </c:pt>
                <c:pt idx="161">
                  <c:v>1.07375505263486</c:v>
                </c:pt>
                <c:pt idx="162">
                  <c:v>1.07377913056159</c:v>
                </c:pt>
                <c:pt idx="163">
                  <c:v>1.07381551720927</c:v>
                </c:pt>
                <c:pt idx="164">
                  <c:v>1.0738004000014401</c:v>
                </c:pt>
                <c:pt idx="165">
                  <c:v>1.0738183260697001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FALN_ANGL_2!$AF$1</c:f>
              <c:strCache>
                <c:ptCount val="1"/>
                <c:pt idx="0">
                  <c:v>log diff FALN* x 10 dma / ANGL*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FALN_ANGL_2!$AF$2:$AF$167</c:f>
              <c:numCache>
                <c:formatCode>0.00%</c:formatCode>
                <c:ptCount val="166"/>
                <c:pt idx="10">
                  <c:v>2.34204909524595E-4</c:v>
                </c:pt>
                <c:pt idx="11">
                  <c:v>2.52484767425096E-4</c:v>
                </c:pt>
                <c:pt idx="12">
                  <c:v>4.41671706559552E-4</c:v>
                </c:pt>
                <c:pt idx="13">
                  <c:v>-6.17339072532959E-5</c:v>
                </c:pt>
                <c:pt idx="14">
                  <c:v>-1.9874945447411401E-4</c:v>
                </c:pt>
                <c:pt idx="15">
                  <c:v>-2.2007003248049201E-4</c:v>
                </c:pt>
                <c:pt idx="16">
                  <c:v>8.8545033232960695E-4</c:v>
                </c:pt>
                <c:pt idx="17">
                  <c:v>8.5739166071203304E-4</c:v>
                </c:pt>
                <c:pt idx="18">
                  <c:v>1.44164540440629E-3</c:v>
                </c:pt>
                <c:pt idx="19">
                  <c:v>5.9594438298988899E-4</c:v>
                </c:pt>
                <c:pt idx="20">
                  <c:v>5.2513990289648998E-4</c:v>
                </c:pt>
                <c:pt idx="21">
                  <c:v>7.5074101384466595E-4</c:v>
                </c:pt>
                <c:pt idx="22">
                  <c:v>2.3143890944320601E-4</c:v>
                </c:pt>
                <c:pt idx="23">
                  <c:v>9.37532414330253E-5</c:v>
                </c:pt>
                <c:pt idx="24">
                  <c:v>-1.22158444545118E-3</c:v>
                </c:pt>
                <c:pt idx="25">
                  <c:v>-7.0878729950848702E-4</c:v>
                </c:pt>
                <c:pt idx="26">
                  <c:v>-1.0160252215453301E-3</c:v>
                </c:pt>
                <c:pt idx="27">
                  <c:v>-2.2409749223927201E-3</c:v>
                </c:pt>
                <c:pt idx="28">
                  <c:v>-2.2511483592216799E-3</c:v>
                </c:pt>
                <c:pt idx="29">
                  <c:v>-2.1648246647951999E-3</c:v>
                </c:pt>
                <c:pt idx="30">
                  <c:v>-1.58042418289489E-3</c:v>
                </c:pt>
                <c:pt idx="31">
                  <c:v>-4.8548487314470698E-4</c:v>
                </c:pt>
                <c:pt idx="32">
                  <c:v>-8.8002406654119104E-4</c:v>
                </c:pt>
                <c:pt idx="33">
                  <c:v>-9.9266424018750799E-4</c:v>
                </c:pt>
                <c:pt idx="34">
                  <c:v>-4.8438843629399598E-4</c:v>
                </c:pt>
                <c:pt idx="35">
                  <c:v>-7.1487255733305099E-4</c:v>
                </c:pt>
                <c:pt idx="36">
                  <c:v>2.4595717202499098E-4</c:v>
                </c:pt>
                <c:pt idx="37">
                  <c:v>1.0774074062908201E-3</c:v>
                </c:pt>
                <c:pt idx="38">
                  <c:v>1.14221140855222E-3</c:v>
                </c:pt>
                <c:pt idx="39">
                  <c:v>-1.1307639686082001E-3</c:v>
                </c:pt>
                <c:pt idx="40">
                  <c:v>-9.38648471452776E-5</c:v>
                </c:pt>
                <c:pt idx="41">
                  <c:v>4.7916651863431198E-4</c:v>
                </c:pt>
                <c:pt idx="42">
                  <c:v>1.4798898443618199E-3</c:v>
                </c:pt>
                <c:pt idx="43">
                  <c:v>-2.3250293199802299E-4</c:v>
                </c:pt>
                <c:pt idx="44">
                  <c:v>7.6824512567718304E-4</c:v>
                </c:pt>
                <c:pt idx="45">
                  <c:v>1.56816655394151E-4</c:v>
                </c:pt>
                <c:pt idx="46">
                  <c:v>-2.05870633150621E-4</c:v>
                </c:pt>
                <c:pt idx="47">
                  <c:v>-1.1004020439350599E-3</c:v>
                </c:pt>
                <c:pt idx="48">
                  <c:v>-8.3764930723135699E-4</c:v>
                </c:pt>
                <c:pt idx="49">
                  <c:v>6.1663804055905099E-4</c:v>
                </c:pt>
                <c:pt idx="50">
                  <c:v>1.0853714008829101E-3</c:v>
                </c:pt>
                <c:pt idx="51">
                  <c:v>-5.5788998269473396E-4</c:v>
                </c:pt>
                <c:pt idx="52">
                  <c:v>7.4137441169544699E-4</c:v>
                </c:pt>
                <c:pt idx="53">
                  <c:v>6.41933240518388E-4</c:v>
                </c:pt>
                <c:pt idx="54">
                  <c:v>1.4487952642768501E-3</c:v>
                </c:pt>
                <c:pt idx="55">
                  <c:v>1.89428392982451E-3</c:v>
                </c:pt>
                <c:pt idx="56">
                  <c:v>1.3116452275645099E-3</c:v>
                </c:pt>
                <c:pt idx="57">
                  <c:v>1.31087358631105E-3</c:v>
                </c:pt>
                <c:pt idx="58">
                  <c:v>-3.58625175564554E-4</c:v>
                </c:pt>
                <c:pt idx="59">
                  <c:v>6.4722980721417097E-4</c:v>
                </c:pt>
                <c:pt idx="60">
                  <c:v>1.7143348862075301E-4</c:v>
                </c:pt>
                <c:pt idx="61">
                  <c:v>-5.8398033038452204E-4</c:v>
                </c:pt>
                <c:pt idx="62">
                  <c:v>-1.21843271302555E-3</c:v>
                </c:pt>
                <c:pt idx="63">
                  <c:v>-2.0397194055708401E-3</c:v>
                </c:pt>
                <c:pt idx="64">
                  <c:v>-2.1275617223021899E-3</c:v>
                </c:pt>
                <c:pt idx="65">
                  <c:v>-1.34684707259701E-3</c:v>
                </c:pt>
                <c:pt idx="66">
                  <c:v>-9.5351472346829897E-4</c:v>
                </c:pt>
                <c:pt idx="67">
                  <c:v>-1.9849814697092899E-3</c:v>
                </c:pt>
                <c:pt idx="68">
                  <c:v>-1.3683285401920201E-3</c:v>
                </c:pt>
                <c:pt idx="69">
                  <c:v>-5.3049727489079903E-4</c:v>
                </c:pt>
                <c:pt idx="70">
                  <c:v>-7.0038918303176297E-4</c:v>
                </c:pt>
                <c:pt idx="71">
                  <c:v>-1.27854702498675E-3</c:v>
                </c:pt>
                <c:pt idx="72">
                  <c:v>-7.0736592978046795E-4</c:v>
                </c:pt>
                <c:pt idx="73">
                  <c:v>-2.74855557755782E-4</c:v>
                </c:pt>
                <c:pt idx="74">
                  <c:v>-4.21981667692362E-4</c:v>
                </c:pt>
                <c:pt idx="75">
                  <c:v>-2.35190137746275E-4</c:v>
                </c:pt>
                <c:pt idx="76">
                  <c:v>-6.0491509116294203E-4</c:v>
                </c:pt>
                <c:pt idx="77">
                  <c:v>2.7424764258856599E-4</c:v>
                </c:pt>
                <c:pt idx="78">
                  <c:v>6.2011584782126802E-4</c:v>
                </c:pt>
                <c:pt idx="79">
                  <c:v>8.5063246541302001E-4</c:v>
                </c:pt>
                <c:pt idx="80">
                  <c:v>-5.1434146121576596E-4</c:v>
                </c:pt>
                <c:pt idx="81">
                  <c:v>-9.2924811973119298E-4</c:v>
                </c:pt>
                <c:pt idx="82">
                  <c:v>-2.3863971512791201E-4</c:v>
                </c:pt>
                <c:pt idx="83">
                  <c:v>-1.2865557065550699E-4</c:v>
                </c:pt>
                <c:pt idx="84">
                  <c:v>4.3863900420010402E-4</c:v>
                </c:pt>
                <c:pt idx="85">
                  <c:v>2.8304480834248202E-4</c:v>
                </c:pt>
                <c:pt idx="86">
                  <c:v>1.72950264150874E-3</c:v>
                </c:pt>
                <c:pt idx="87">
                  <c:v>1.73423928667073E-3</c:v>
                </c:pt>
                <c:pt idx="88">
                  <c:v>9.9774729945929092E-4</c:v>
                </c:pt>
                <c:pt idx="89">
                  <c:v>1.1042660173125E-3</c:v>
                </c:pt>
                <c:pt idx="90">
                  <c:v>6.4824343895470197E-4</c:v>
                </c:pt>
                <c:pt idx="91">
                  <c:v>4.8461602117140398E-4</c:v>
                </c:pt>
                <c:pt idx="92">
                  <c:v>8.7844195667507498E-4</c:v>
                </c:pt>
                <c:pt idx="93">
                  <c:v>7.2105193820154901E-4</c:v>
                </c:pt>
                <c:pt idx="94">
                  <c:v>2.8763821134672701E-4</c:v>
                </c:pt>
                <c:pt idx="95">
                  <c:v>1.6858630547224699E-3</c:v>
                </c:pt>
                <c:pt idx="96">
                  <c:v>5.0883057094629495E-4</c:v>
                </c:pt>
                <c:pt idx="97">
                  <c:v>8.9435318106254405E-4</c:v>
                </c:pt>
                <c:pt idx="98">
                  <c:v>-4.2486149514370702E-4</c:v>
                </c:pt>
                <c:pt idx="99">
                  <c:v>-4.3107379134749602E-5</c:v>
                </c:pt>
                <c:pt idx="100">
                  <c:v>3.4307358431390699E-4</c:v>
                </c:pt>
                <c:pt idx="101">
                  <c:v>4.6280059477371501E-4</c:v>
                </c:pt>
                <c:pt idx="102">
                  <c:v>4.9537613078049695E-4</c:v>
                </c:pt>
                <c:pt idx="103">
                  <c:v>-5.9256813931894605E-4</c:v>
                </c:pt>
                <c:pt idx="104">
                  <c:v>-7.2186034807346497E-4</c:v>
                </c:pt>
                <c:pt idx="105">
                  <c:v>-9.1571865416568098E-4</c:v>
                </c:pt>
                <c:pt idx="106">
                  <c:v>-7.4828803755604503E-4</c:v>
                </c:pt>
                <c:pt idx="107">
                  <c:v>-2.6013314149475901E-4</c:v>
                </c:pt>
                <c:pt idx="108">
                  <c:v>3.3323768031601398E-4</c:v>
                </c:pt>
                <c:pt idx="109">
                  <c:v>6.4361946332949695E-5</c:v>
                </c:pt>
                <c:pt idx="110">
                  <c:v>5.3265761213013301E-4</c:v>
                </c:pt>
                <c:pt idx="111">
                  <c:v>5.4254968023998795E-4</c:v>
                </c:pt>
                <c:pt idx="112">
                  <c:v>6.9668975350840802E-4</c:v>
                </c:pt>
                <c:pt idx="113">
                  <c:v>1.4196238641943E-3</c:v>
                </c:pt>
                <c:pt idx="114">
                  <c:v>1.75063659579481E-3</c:v>
                </c:pt>
                <c:pt idx="115">
                  <c:v>1.73917769960107E-3</c:v>
                </c:pt>
                <c:pt idx="116">
                  <c:v>7.2468217465496295E-4</c:v>
                </c:pt>
                <c:pt idx="117">
                  <c:v>1.1908960736678601E-3</c:v>
                </c:pt>
                <c:pt idx="118">
                  <c:v>3.4237166890542698E-4</c:v>
                </c:pt>
                <c:pt idx="119">
                  <c:v>-1.1858220429919999E-5</c:v>
                </c:pt>
                <c:pt idx="120">
                  <c:v>-5.3480381495810397E-4</c:v>
                </c:pt>
                <c:pt idx="121">
                  <c:v>-1.3041463189429801E-4</c:v>
                </c:pt>
                <c:pt idx="122">
                  <c:v>4.9201927457397305E-4</c:v>
                </c:pt>
                <c:pt idx="123">
                  <c:v>-2.4096925908945901E-4</c:v>
                </c:pt>
                <c:pt idx="124">
                  <c:v>-1.0800357076006701E-4</c:v>
                </c:pt>
                <c:pt idx="125">
                  <c:v>7.01111822380061E-4</c:v>
                </c:pt>
                <c:pt idx="126">
                  <c:v>-1.1484940917193501E-4</c:v>
                </c:pt>
                <c:pt idx="127">
                  <c:v>1.0957206821079501E-3</c:v>
                </c:pt>
                <c:pt idx="128">
                  <c:v>4.2468853953027202E-4</c:v>
                </c:pt>
                <c:pt idx="129">
                  <c:v>1.29831265213181E-3</c:v>
                </c:pt>
                <c:pt idx="130">
                  <c:v>2.43215232681158E-4</c:v>
                </c:pt>
                <c:pt idx="131">
                  <c:v>2.9154794031153102E-4</c:v>
                </c:pt>
                <c:pt idx="132">
                  <c:v>1.36391063204867E-3</c:v>
                </c:pt>
                <c:pt idx="133">
                  <c:v>8.3966896101637099E-4</c:v>
                </c:pt>
                <c:pt idx="134">
                  <c:v>1.00643436702853E-3</c:v>
                </c:pt>
                <c:pt idx="135">
                  <c:v>-3.0152734033366398E-4</c:v>
                </c:pt>
                <c:pt idx="136">
                  <c:v>-3.9879008728974102E-5</c:v>
                </c:pt>
                <c:pt idx="137">
                  <c:v>-6.2647985814171696E-4</c:v>
                </c:pt>
                <c:pt idx="138">
                  <c:v>-8.5811764661644196E-4</c:v>
                </c:pt>
                <c:pt idx="139">
                  <c:v>-4.6755819790570899E-4</c:v>
                </c:pt>
                <c:pt idx="140">
                  <c:v>-2.0085542688997099E-3</c:v>
                </c:pt>
                <c:pt idx="141">
                  <c:v>-6.9389009503442202E-4</c:v>
                </c:pt>
                <c:pt idx="142">
                  <c:v>-1.18869532664961E-3</c:v>
                </c:pt>
                <c:pt idx="143">
                  <c:v>-7.3058433064682703E-4</c:v>
                </c:pt>
                <c:pt idx="144">
                  <c:v>-1.29954305808479E-3</c:v>
                </c:pt>
                <c:pt idx="145">
                  <c:v>-7.8298551508560398E-4</c:v>
                </c:pt>
                <c:pt idx="146">
                  <c:v>-6.9647461776997698E-4</c:v>
                </c:pt>
                <c:pt idx="147">
                  <c:v>-5.1720208046461004E-4</c:v>
                </c:pt>
                <c:pt idx="148">
                  <c:v>-1.5077734376778499E-3</c:v>
                </c:pt>
                <c:pt idx="149">
                  <c:v>-1.4749141416756E-3</c:v>
                </c:pt>
                <c:pt idx="150">
                  <c:v>7.8582314166653696E-4</c:v>
                </c:pt>
                <c:pt idx="151">
                  <c:v>1.0489095777997E-3</c:v>
                </c:pt>
                <c:pt idx="152">
                  <c:v>-5.7607761519037101E-4</c:v>
                </c:pt>
                <c:pt idx="153">
                  <c:v>1.0860549001674401E-3</c:v>
                </c:pt>
                <c:pt idx="154">
                  <c:v>9.2100183537219E-4</c:v>
                </c:pt>
                <c:pt idx="155">
                  <c:v>3.6127572813589401E-4</c:v>
                </c:pt>
                <c:pt idx="156">
                  <c:v>-7.7074807584960299E-4</c:v>
                </c:pt>
                <c:pt idx="157">
                  <c:v>-1.49384136250256E-4</c:v>
                </c:pt>
                <c:pt idx="158">
                  <c:v>2.0446727886947998E-5</c:v>
                </c:pt>
                <c:pt idx="159">
                  <c:v>-4.2877701397653502E-4</c:v>
                </c:pt>
                <c:pt idx="160">
                  <c:v>-4.5662666453726199E-4</c:v>
                </c:pt>
                <c:pt idx="161">
                  <c:v>1.85839261259634E-4</c:v>
                </c:pt>
                <c:pt idx="162">
                  <c:v>-4.7950568739124199E-4</c:v>
                </c:pt>
                <c:pt idx="163">
                  <c:v>-4.9688293243883202E-4</c:v>
                </c:pt>
                <c:pt idx="164">
                  <c:v>-1.7442611549150399E-4</c:v>
                </c:pt>
                <c:pt idx="165">
                  <c:v>-1.14700124534119E-4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1"/>
          <c:tx>
            <c:strRef>
              <c:f>FALN_ANGL_2!$AG$1</c:f>
              <c:strCache>
                <c:ptCount val="1"/>
                <c:pt idx="0">
                  <c:v>log diff FALN* x 20 dma / ANGL*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FALN_ANGL_2!$AG$2:$AG$167</c:f>
              <c:numCache>
                <c:formatCode>0.00%</c:formatCode>
                <c:ptCount val="166"/>
                <c:pt idx="20">
                  <c:v>9.4008669895692004E-4</c:v>
                </c:pt>
                <c:pt idx="21">
                  <c:v>1.1623226593794501E-3</c:v>
                </c:pt>
                <c:pt idx="22">
                  <c:v>6.5311025466063897E-4</c:v>
                </c:pt>
                <c:pt idx="23">
                  <c:v>4.64185162690021E-4</c:v>
                </c:pt>
                <c:pt idx="24">
                  <c:v>-8.3713177114409505E-4</c:v>
                </c:pt>
                <c:pt idx="25">
                  <c:v>-3.6029939758219499E-4</c:v>
                </c:pt>
                <c:pt idx="26">
                  <c:v>-6.6089529713802696E-4</c:v>
                </c:pt>
                <c:pt idx="27">
                  <c:v>-1.9347353330077201E-3</c:v>
                </c:pt>
                <c:pt idx="28">
                  <c:v>-2.1275570898010398E-3</c:v>
                </c:pt>
                <c:pt idx="29">
                  <c:v>-2.28609870953313E-3</c:v>
                </c:pt>
                <c:pt idx="30">
                  <c:v>-1.8906832298471699E-3</c:v>
                </c:pt>
                <c:pt idx="31">
                  <c:v>-9.8802367667277097E-4</c:v>
                </c:pt>
                <c:pt idx="32">
                  <c:v>-1.56051255074334E-3</c:v>
                </c:pt>
                <c:pt idx="33">
                  <c:v>-1.82827116444361E-3</c:v>
                </c:pt>
                <c:pt idx="34">
                  <c:v>-1.5024988072258299E-3</c:v>
                </c:pt>
                <c:pt idx="35">
                  <c:v>-1.7851988289997499E-3</c:v>
                </c:pt>
                <c:pt idx="36">
                  <c:v>-9.4199565859103495E-4</c:v>
                </c:pt>
                <c:pt idx="37">
                  <c:v>-1.0668034002825E-4</c:v>
                </c:pt>
                <c:pt idx="38">
                  <c:v>1.2975638029625599E-4</c:v>
                </c:pt>
                <c:pt idx="39">
                  <c:v>-1.90274657363853E-3</c:v>
                </c:pt>
                <c:pt idx="40">
                  <c:v>-7.4123903937799304E-4</c:v>
                </c:pt>
                <c:pt idx="41">
                  <c:v>-2.24000144564354E-5</c:v>
                </c:pt>
                <c:pt idx="42">
                  <c:v>1.0883325612421201E-3</c:v>
                </c:pt>
                <c:pt idx="43">
                  <c:v>-4.2174911878968102E-4</c:v>
                </c:pt>
                <c:pt idx="44">
                  <c:v>7.3591590464449198E-4</c:v>
                </c:pt>
                <c:pt idx="45">
                  <c:v>2.4887116449286899E-4</c:v>
                </c:pt>
                <c:pt idx="46">
                  <c:v>4.6367488626779797E-5</c:v>
                </c:pt>
                <c:pt idx="47">
                  <c:v>-7.8979873554901002E-4</c:v>
                </c:pt>
                <c:pt idx="48">
                  <c:v>-6.5234484376514598E-4</c:v>
                </c:pt>
                <c:pt idx="49">
                  <c:v>6.5312099202210995E-4</c:v>
                </c:pt>
                <c:pt idx="50">
                  <c:v>1.2384655092463101E-3</c:v>
                </c:pt>
                <c:pt idx="51">
                  <c:v>-3.4010524130799301E-4</c:v>
                </c:pt>
                <c:pt idx="52">
                  <c:v>9.3100556746943E-4</c:v>
                </c:pt>
                <c:pt idx="53">
                  <c:v>7.3481912533035596E-4</c:v>
                </c:pt>
                <c:pt idx="54">
                  <c:v>1.5756016248314601E-3</c:v>
                </c:pt>
                <c:pt idx="55">
                  <c:v>2.00836055989568E-3</c:v>
                </c:pt>
                <c:pt idx="56">
                  <c:v>1.47111668802978E-3</c:v>
                </c:pt>
                <c:pt idx="57">
                  <c:v>1.55952736906558E-3</c:v>
                </c:pt>
                <c:pt idx="58">
                  <c:v>1.13431180762283E-4</c:v>
                </c:pt>
                <c:pt idx="59">
                  <c:v>1.27105670969612E-3</c:v>
                </c:pt>
                <c:pt idx="60">
                  <c:v>7.68086859362812E-4</c:v>
                </c:pt>
                <c:pt idx="61">
                  <c:v>-4.7660832678775202E-5</c:v>
                </c:pt>
                <c:pt idx="62">
                  <c:v>-5.9960830047716296E-4</c:v>
                </c:pt>
                <c:pt idx="63">
                  <c:v>-1.4391152220870299E-3</c:v>
                </c:pt>
                <c:pt idx="64">
                  <c:v>-1.65416365807596E-3</c:v>
                </c:pt>
                <c:pt idx="65">
                  <c:v>-1.0517600369832701E-3</c:v>
                </c:pt>
                <c:pt idx="66">
                  <c:v>-8.8920713731763701E-4</c:v>
                </c:pt>
                <c:pt idx="67">
                  <c:v>-2.1192647214016099E-3</c:v>
                </c:pt>
                <c:pt idx="68">
                  <c:v>-1.8262105120181E-3</c:v>
                </c:pt>
                <c:pt idx="69">
                  <c:v>-1.1558290786110601E-3</c:v>
                </c:pt>
                <c:pt idx="70">
                  <c:v>-1.5108257287488899E-3</c:v>
                </c:pt>
                <c:pt idx="71">
                  <c:v>-2.2273961366602599E-3</c:v>
                </c:pt>
                <c:pt idx="72">
                  <c:v>-1.8380386386710999E-3</c:v>
                </c:pt>
                <c:pt idx="73">
                  <c:v>-1.45686759571398E-3</c:v>
                </c:pt>
                <c:pt idx="74">
                  <c:v>-1.5599401685599801E-3</c:v>
                </c:pt>
                <c:pt idx="75">
                  <c:v>-1.27026648145687E-3</c:v>
                </c:pt>
                <c:pt idx="76">
                  <c:v>-1.55550232631843E-3</c:v>
                </c:pt>
                <c:pt idx="77">
                  <c:v>-6.4721768820802795E-4</c:v>
                </c:pt>
                <c:pt idx="78">
                  <c:v>-1.02515212983492E-4</c:v>
                </c:pt>
                <c:pt idx="79">
                  <c:v>2.5135769054789199E-4</c:v>
                </c:pt>
                <c:pt idx="80">
                  <c:v>-9.8324033593133204E-4</c:v>
                </c:pt>
                <c:pt idx="81">
                  <c:v>-1.3112022166887501E-3</c:v>
                </c:pt>
                <c:pt idx="82">
                  <c:v>-5.1174259373732898E-4</c:v>
                </c:pt>
                <c:pt idx="83">
                  <c:v>-3.1810074949960098E-4</c:v>
                </c:pt>
                <c:pt idx="84">
                  <c:v>2.6758047636892001E-4</c:v>
                </c:pt>
                <c:pt idx="85">
                  <c:v>1.66482924881097E-4</c:v>
                </c:pt>
                <c:pt idx="86">
                  <c:v>1.6751529007554299E-3</c:v>
                </c:pt>
                <c:pt idx="87">
                  <c:v>1.86878127250731E-3</c:v>
                </c:pt>
                <c:pt idx="88">
                  <c:v>1.19791397910546E-3</c:v>
                </c:pt>
                <c:pt idx="89">
                  <c:v>1.31618493644034E-3</c:v>
                </c:pt>
                <c:pt idx="90">
                  <c:v>8.8491024960166804E-4</c:v>
                </c:pt>
                <c:pt idx="91">
                  <c:v>8.4073421837873598E-4</c:v>
                </c:pt>
                <c:pt idx="92">
                  <c:v>1.3617373236854699E-3</c:v>
                </c:pt>
                <c:pt idx="93">
                  <c:v>1.31248366747514E-3</c:v>
                </c:pt>
                <c:pt idx="94">
                  <c:v>9.9243106541180293E-4</c:v>
                </c:pt>
                <c:pt idx="95">
                  <c:v>2.4276928000495301E-3</c:v>
                </c:pt>
                <c:pt idx="96">
                  <c:v>1.3807943255176201E-3</c:v>
                </c:pt>
                <c:pt idx="97">
                  <c:v>1.6811358245609101E-3</c:v>
                </c:pt>
                <c:pt idx="98">
                  <c:v>3.1213310021586602E-4</c:v>
                </c:pt>
                <c:pt idx="99">
                  <c:v>6.5753006580482397E-4</c:v>
                </c:pt>
                <c:pt idx="100">
                  <c:v>1.02252273283467E-3</c:v>
                </c:pt>
                <c:pt idx="101">
                  <c:v>1.1130924679912399E-3</c:v>
                </c:pt>
                <c:pt idx="102">
                  <c:v>1.1032024474169099E-3</c:v>
                </c:pt>
                <c:pt idx="103">
                  <c:v>-4.7368416551414602E-5</c:v>
                </c:pt>
                <c:pt idx="104">
                  <c:v>-2.8954829921414103E-4</c:v>
                </c:pt>
                <c:pt idx="105">
                  <c:v>-5.5362207114283796E-4</c:v>
                </c:pt>
                <c:pt idx="106">
                  <c:v>-6.2439654612988105E-4</c:v>
                </c:pt>
                <c:pt idx="107">
                  <c:v>-2.1284450863140599E-4</c:v>
                </c:pt>
                <c:pt idx="108">
                  <c:v>2.9091259426162699E-4</c:v>
                </c:pt>
                <c:pt idx="109">
                  <c:v>5.3166606660668097E-5</c:v>
                </c:pt>
                <c:pt idx="110">
                  <c:v>5.1304339380450704E-4</c:v>
                </c:pt>
                <c:pt idx="111">
                  <c:v>4.7777594577877501E-4</c:v>
                </c:pt>
                <c:pt idx="112">
                  <c:v>5.6550116573643298E-4</c:v>
                </c:pt>
                <c:pt idx="113">
                  <c:v>1.24378101117968E-3</c:v>
                </c:pt>
                <c:pt idx="114">
                  <c:v>1.6689444972268501E-3</c:v>
                </c:pt>
                <c:pt idx="115">
                  <c:v>1.78014066999566E-3</c:v>
                </c:pt>
                <c:pt idx="116">
                  <c:v>9.9635528104076204E-4</c:v>
                </c:pt>
                <c:pt idx="117">
                  <c:v>1.6139499325417499E-3</c:v>
                </c:pt>
                <c:pt idx="118">
                  <c:v>9.3334530945677902E-4</c:v>
                </c:pt>
                <c:pt idx="119">
                  <c:v>6.0501265923279003E-4</c:v>
                </c:pt>
                <c:pt idx="120">
                  <c:v>1.3574232159463501E-4</c:v>
                </c:pt>
                <c:pt idx="121">
                  <c:v>5.4628970676948196E-4</c:v>
                </c:pt>
                <c:pt idx="122">
                  <c:v>1.20525417695214E-3</c:v>
                </c:pt>
                <c:pt idx="123">
                  <c:v>5.3644075714095703E-4</c:v>
                </c:pt>
                <c:pt idx="124">
                  <c:v>5.81040159203782E-4</c:v>
                </c:pt>
                <c:pt idx="125">
                  <c:v>1.2506217848332901E-3</c:v>
                </c:pt>
                <c:pt idx="126">
                  <c:v>3.00817535710166E-4</c:v>
                </c:pt>
                <c:pt idx="127">
                  <c:v>1.4100812055207099E-3</c:v>
                </c:pt>
                <c:pt idx="128">
                  <c:v>6.5081993426595298E-4</c:v>
                </c:pt>
                <c:pt idx="129">
                  <c:v>1.4916048706052E-3</c:v>
                </c:pt>
                <c:pt idx="130">
                  <c:v>4.6342335971765201E-4</c:v>
                </c:pt>
                <c:pt idx="131">
                  <c:v>5.5904451640703603E-4</c:v>
                </c:pt>
                <c:pt idx="132">
                  <c:v>1.64524995689216E-3</c:v>
                </c:pt>
                <c:pt idx="133">
                  <c:v>1.1316191202322E-3</c:v>
                </c:pt>
                <c:pt idx="134">
                  <c:v>1.3869630980579901E-3</c:v>
                </c:pt>
                <c:pt idx="135">
                  <c:v>1.9687064021332699E-4</c:v>
                </c:pt>
                <c:pt idx="136">
                  <c:v>4.5518206250894002E-4</c:v>
                </c:pt>
                <c:pt idx="137">
                  <c:v>-7.7696504663127798E-5</c:v>
                </c:pt>
                <c:pt idx="138">
                  <c:v>-3.67270916153447E-4</c:v>
                </c:pt>
                <c:pt idx="139">
                  <c:v>-1.85321536715291E-5</c:v>
                </c:pt>
                <c:pt idx="140">
                  <c:v>-1.6877830852966901E-3</c:v>
                </c:pt>
                <c:pt idx="141">
                  <c:v>-5.1470661141998601E-4</c:v>
                </c:pt>
                <c:pt idx="142">
                  <c:v>-1.0887444458777501E-3</c:v>
                </c:pt>
                <c:pt idx="143">
                  <c:v>-8.19941124832641E-4</c:v>
                </c:pt>
                <c:pt idx="144">
                  <c:v>-1.5595275505157101E-3</c:v>
                </c:pt>
                <c:pt idx="145">
                  <c:v>-1.2779159237984001E-3</c:v>
                </c:pt>
                <c:pt idx="146">
                  <c:v>-1.2646376736617101E-3</c:v>
                </c:pt>
                <c:pt idx="147">
                  <c:v>-1.2281856718615301E-3</c:v>
                </c:pt>
                <c:pt idx="148">
                  <c:v>-2.2531227054021601E-3</c:v>
                </c:pt>
                <c:pt idx="149">
                  <c:v>-2.3121933553762698E-3</c:v>
                </c:pt>
                <c:pt idx="150">
                  <c:v>-1.4210613844058801E-4</c:v>
                </c:pt>
                <c:pt idx="151">
                  <c:v>2.4834722898502999E-4</c:v>
                </c:pt>
                <c:pt idx="152">
                  <c:v>-1.3382590542297399E-3</c:v>
                </c:pt>
                <c:pt idx="153">
                  <c:v>3.9582478691610798E-4</c:v>
                </c:pt>
                <c:pt idx="154">
                  <c:v>3.3989749618296302E-4</c:v>
                </c:pt>
                <c:pt idx="155">
                  <c:v>-2.5775875278047601E-5</c:v>
                </c:pt>
                <c:pt idx="156">
                  <c:v>-1.06575732513362E-3</c:v>
                </c:pt>
                <c:pt idx="157">
                  <c:v>-3.8800458678000399E-4</c:v>
                </c:pt>
                <c:pt idx="158">
                  <c:v>-1.5801444973289E-4</c:v>
                </c:pt>
                <c:pt idx="159">
                  <c:v>-4.41573302427249E-4</c:v>
                </c:pt>
                <c:pt idx="160">
                  <c:v>-2.8419963268347598E-4</c:v>
                </c:pt>
                <c:pt idx="161">
                  <c:v>2.6650488285818102E-4</c:v>
                </c:pt>
                <c:pt idx="162">
                  <c:v>-4.40954630972436E-4</c:v>
                </c:pt>
                <c:pt idx="163">
                  <c:v>-4.0401996793952701E-4</c:v>
                </c:pt>
                <c:pt idx="164">
                  <c:v>-1.7317620510233801E-4</c:v>
                </c:pt>
                <c:pt idx="165">
                  <c:v>-2.20949651450216E-4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FALN_ANGL_2!$Y$1</c:f>
              <c:strCache>
                <c:ptCount val="1"/>
                <c:pt idx="0">
                  <c:v> ANGL*/FALN*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FALN_ANGL_2!$Y$2:$Y$167</c:f>
              <c:numCache>
                <c:formatCode>_(* #,##0.0000_);_(* \(#,##0.0000\);_(* "-"??_);_(@_)</c:formatCode>
                <c:ptCount val="166"/>
                <c:pt idx="0">
                  <c:v>1.07476747574368</c:v>
                </c:pt>
                <c:pt idx="1">
                  <c:v>1.07476747574368</c:v>
                </c:pt>
                <c:pt idx="2">
                  <c:v>1.07476747574368</c:v>
                </c:pt>
                <c:pt idx="3">
                  <c:v>1.07476747574368</c:v>
                </c:pt>
                <c:pt idx="4">
                  <c:v>1.07476747574368</c:v>
                </c:pt>
                <c:pt idx="5">
                  <c:v>1.07476747574368</c:v>
                </c:pt>
                <c:pt idx="6">
                  <c:v>1.07476747574368</c:v>
                </c:pt>
                <c:pt idx="7">
                  <c:v>1.07476747574368</c:v>
                </c:pt>
                <c:pt idx="8">
                  <c:v>1.07476747574368</c:v>
                </c:pt>
                <c:pt idx="9">
                  <c:v>1.07476747574368</c:v>
                </c:pt>
                <c:pt idx="10">
                  <c:v>1.07476747574368</c:v>
                </c:pt>
                <c:pt idx="11">
                  <c:v>1.07476747574368</c:v>
                </c:pt>
                <c:pt idx="12">
                  <c:v>1.07476747574368</c:v>
                </c:pt>
                <c:pt idx="13">
                  <c:v>1.07476747574368</c:v>
                </c:pt>
                <c:pt idx="14">
                  <c:v>1.07476747574368</c:v>
                </c:pt>
                <c:pt idx="15">
                  <c:v>1.07476747574368</c:v>
                </c:pt>
                <c:pt idx="16">
                  <c:v>1.07476747574368</c:v>
                </c:pt>
                <c:pt idx="17">
                  <c:v>1.07476747574368</c:v>
                </c:pt>
                <c:pt idx="18">
                  <c:v>1.07476747574368</c:v>
                </c:pt>
                <c:pt idx="19">
                  <c:v>1.07476747574368</c:v>
                </c:pt>
                <c:pt idx="20">
                  <c:v>1.07476747574368</c:v>
                </c:pt>
                <c:pt idx="21">
                  <c:v>1.07476747574368</c:v>
                </c:pt>
                <c:pt idx="22">
                  <c:v>1.07476747574368</c:v>
                </c:pt>
                <c:pt idx="23">
                  <c:v>1.07476747574368</c:v>
                </c:pt>
                <c:pt idx="24">
                  <c:v>1.07476747574368</c:v>
                </c:pt>
                <c:pt idx="25">
                  <c:v>1.07476747574368</c:v>
                </c:pt>
                <c:pt idx="26">
                  <c:v>1.07476747574368</c:v>
                </c:pt>
                <c:pt idx="27">
                  <c:v>1.07476747574368</c:v>
                </c:pt>
                <c:pt idx="28">
                  <c:v>1.07476747574368</c:v>
                </c:pt>
                <c:pt idx="29">
                  <c:v>1.07476747574368</c:v>
                </c:pt>
                <c:pt idx="30">
                  <c:v>1.07476747574368</c:v>
                </c:pt>
                <c:pt idx="31">
                  <c:v>1.07476747574368</c:v>
                </c:pt>
                <c:pt idx="32">
                  <c:v>1.07476747574368</c:v>
                </c:pt>
                <c:pt idx="33">
                  <c:v>1.07476747574368</c:v>
                </c:pt>
                <c:pt idx="34">
                  <c:v>1.07476747574368</c:v>
                </c:pt>
                <c:pt idx="35">
                  <c:v>1.07476747574368</c:v>
                </c:pt>
                <c:pt idx="36">
                  <c:v>1.07476747574368</c:v>
                </c:pt>
                <c:pt idx="37">
                  <c:v>1.07476747574368</c:v>
                </c:pt>
                <c:pt idx="38">
                  <c:v>1.07476747574368</c:v>
                </c:pt>
                <c:pt idx="39">
                  <c:v>1.07476747574368</c:v>
                </c:pt>
                <c:pt idx="40">
                  <c:v>1.07476747574368</c:v>
                </c:pt>
                <c:pt idx="41">
                  <c:v>1.07476747574368</c:v>
                </c:pt>
                <c:pt idx="42">
                  <c:v>1.07476747574368</c:v>
                </c:pt>
                <c:pt idx="43">
                  <c:v>1.07476747574368</c:v>
                </c:pt>
                <c:pt idx="44">
                  <c:v>1.07476747574368</c:v>
                </c:pt>
                <c:pt idx="45">
                  <c:v>1.07476747574368</c:v>
                </c:pt>
                <c:pt idx="46">
                  <c:v>1.07476747574368</c:v>
                </c:pt>
                <c:pt idx="47">
                  <c:v>1.07476747574368</c:v>
                </c:pt>
                <c:pt idx="48">
                  <c:v>1.07476747574368</c:v>
                </c:pt>
                <c:pt idx="49">
                  <c:v>1.07476747574368</c:v>
                </c:pt>
                <c:pt idx="50">
                  <c:v>1.07476747574368</c:v>
                </c:pt>
                <c:pt idx="51">
                  <c:v>1.07476747574368</c:v>
                </c:pt>
                <c:pt idx="52">
                  <c:v>1.07476747574368</c:v>
                </c:pt>
                <c:pt idx="53">
                  <c:v>1.07476747574368</c:v>
                </c:pt>
                <c:pt idx="54">
                  <c:v>1.07476747574368</c:v>
                </c:pt>
                <c:pt idx="55">
                  <c:v>1.07476747574368</c:v>
                </c:pt>
                <c:pt idx="56">
                  <c:v>1.07476747574368</c:v>
                </c:pt>
                <c:pt idx="57">
                  <c:v>1.07476747574368</c:v>
                </c:pt>
                <c:pt idx="58">
                  <c:v>1.07476747574368</c:v>
                </c:pt>
                <c:pt idx="59">
                  <c:v>1.07476747574368</c:v>
                </c:pt>
                <c:pt idx="60">
                  <c:v>1.07476747574368</c:v>
                </c:pt>
                <c:pt idx="61">
                  <c:v>1.07476747574368</c:v>
                </c:pt>
                <c:pt idx="62">
                  <c:v>1.07476747574368</c:v>
                </c:pt>
                <c:pt idx="63">
                  <c:v>1.07476747574368</c:v>
                </c:pt>
                <c:pt idx="64">
                  <c:v>1.07476747574368</c:v>
                </c:pt>
                <c:pt idx="65">
                  <c:v>1.07476747574368</c:v>
                </c:pt>
                <c:pt idx="66">
                  <c:v>1.07476747574368</c:v>
                </c:pt>
                <c:pt idx="67">
                  <c:v>1.07476747574368</c:v>
                </c:pt>
                <c:pt idx="68">
                  <c:v>1.07476747574368</c:v>
                </c:pt>
                <c:pt idx="69">
                  <c:v>1.07476747574368</c:v>
                </c:pt>
                <c:pt idx="70">
                  <c:v>1.07476747574368</c:v>
                </c:pt>
                <c:pt idx="71">
                  <c:v>1.07476747574368</c:v>
                </c:pt>
                <c:pt idx="72">
                  <c:v>1.07476747574368</c:v>
                </c:pt>
                <c:pt idx="73">
                  <c:v>1.07476747574368</c:v>
                </c:pt>
                <c:pt idx="74">
                  <c:v>1.07476747574368</c:v>
                </c:pt>
                <c:pt idx="75">
                  <c:v>1.07476747574368</c:v>
                </c:pt>
                <c:pt idx="76">
                  <c:v>1.07476747574368</c:v>
                </c:pt>
                <c:pt idx="77">
                  <c:v>1.07476747574368</c:v>
                </c:pt>
                <c:pt idx="78">
                  <c:v>1.07476747574368</c:v>
                </c:pt>
                <c:pt idx="79">
                  <c:v>1.07476747574368</c:v>
                </c:pt>
                <c:pt idx="80">
                  <c:v>1.07476747574368</c:v>
                </c:pt>
                <c:pt idx="81">
                  <c:v>1.07476747574368</c:v>
                </c:pt>
                <c:pt idx="82">
                  <c:v>1.07476747574368</c:v>
                </c:pt>
                <c:pt idx="83">
                  <c:v>1.07476747574368</c:v>
                </c:pt>
                <c:pt idx="84">
                  <c:v>1.07476747574368</c:v>
                </c:pt>
                <c:pt idx="85">
                  <c:v>1.07476747574368</c:v>
                </c:pt>
                <c:pt idx="86">
                  <c:v>1.07476747574368</c:v>
                </c:pt>
                <c:pt idx="87">
                  <c:v>1.07476747574368</c:v>
                </c:pt>
                <c:pt idx="88">
                  <c:v>1.07476747574368</c:v>
                </c:pt>
                <c:pt idx="89">
                  <c:v>1.07476747574368</c:v>
                </c:pt>
                <c:pt idx="90">
                  <c:v>1.07476747574368</c:v>
                </c:pt>
                <c:pt idx="91">
                  <c:v>1.07476747574368</c:v>
                </c:pt>
                <c:pt idx="92">
                  <c:v>1.07476747574368</c:v>
                </c:pt>
                <c:pt idx="93">
                  <c:v>1.07476747574368</c:v>
                </c:pt>
                <c:pt idx="94">
                  <c:v>1.07476747574368</c:v>
                </c:pt>
                <c:pt idx="95">
                  <c:v>1.07476747574368</c:v>
                </c:pt>
                <c:pt idx="96">
                  <c:v>1.07476747574368</c:v>
                </c:pt>
                <c:pt idx="97">
                  <c:v>1.07476747574368</c:v>
                </c:pt>
                <c:pt idx="98">
                  <c:v>1.07476747574368</c:v>
                </c:pt>
                <c:pt idx="99">
                  <c:v>1.07476747574368</c:v>
                </c:pt>
                <c:pt idx="100">
                  <c:v>1.07476747574368</c:v>
                </c:pt>
                <c:pt idx="101">
                  <c:v>1.07476747574368</c:v>
                </c:pt>
                <c:pt idx="102">
                  <c:v>1.07476747574368</c:v>
                </c:pt>
                <c:pt idx="103">
                  <c:v>1.07476747574368</c:v>
                </c:pt>
                <c:pt idx="104">
                  <c:v>1.07476747574368</c:v>
                </c:pt>
                <c:pt idx="105">
                  <c:v>1.07476747574368</c:v>
                </c:pt>
                <c:pt idx="106">
                  <c:v>1.07476747574368</c:v>
                </c:pt>
                <c:pt idx="107">
                  <c:v>1.07476747574368</c:v>
                </c:pt>
                <c:pt idx="108">
                  <c:v>1.07476747574368</c:v>
                </c:pt>
                <c:pt idx="109">
                  <c:v>1.07476747574368</c:v>
                </c:pt>
                <c:pt idx="110">
                  <c:v>1.07476747574368</c:v>
                </c:pt>
                <c:pt idx="111">
                  <c:v>1.07476747574368</c:v>
                </c:pt>
                <c:pt idx="112">
                  <c:v>1.07476747574368</c:v>
                </c:pt>
                <c:pt idx="113">
                  <c:v>1.07476747574368</c:v>
                </c:pt>
                <c:pt idx="114">
                  <c:v>1.07476747574368</c:v>
                </c:pt>
                <c:pt idx="115">
                  <c:v>1.07476747574368</c:v>
                </c:pt>
                <c:pt idx="116">
                  <c:v>1.07476747574368</c:v>
                </c:pt>
                <c:pt idx="117">
                  <c:v>1.07476747574368</c:v>
                </c:pt>
                <c:pt idx="118">
                  <c:v>1.07476747574368</c:v>
                </c:pt>
                <c:pt idx="119">
                  <c:v>1.07476747574368</c:v>
                </c:pt>
                <c:pt idx="120">
                  <c:v>1.07476747574368</c:v>
                </c:pt>
                <c:pt idx="121">
                  <c:v>1.07476747574368</c:v>
                </c:pt>
                <c:pt idx="122">
                  <c:v>1.07476747574368</c:v>
                </c:pt>
                <c:pt idx="123">
                  <c:v>1.07476747574368</c:v>
                </c:pt>
                <c:pt idx="124">
                  <c:v>1.07476747574368</c:v>
                </c:pt>
                <c:pt idx="125">
                  <c:v>1.07476747574368</c:v>
                </c:pt>
                <c:pt idx="126">
                  <c:v>1.07476747574368</c:v>
                </c:pt>
                <c:pt idx="127">
                  <c:v>1.07476747574368</c:v>
                </c:pt>
                <c:pt idx="128">
                  <c:v>1.07476747574368</c:v>
                </c:pt>
                <c:pt idx="129">
                  <c:v>1.07476747574368</c:v>
                </c:pt>
                <c:pt idx="130">
                  <c:v>1.07476747574368</c:v>
                </c:pt>
                <c:pt idx="131">
                  <c:v>1.07476747574368</c:v>
                </c:pt>
                <c:pt idx="132">
                  <c:v>1.07476747574368</c:v>
                </c:pt>
                <c:pt idx="133">
                  <c:v>1.07476747574368</c:v>
                </c:pt>
                <c:pt idx="134">
                  <c:v>1.07476747574368</c:v>
                </c:pt>
                <c:pt idx="135">
                  <c:v>1.07476747574368</c:v>
                </c:pt>
                <c:pt idx="136">
                  <c:v>1.07476747574368</c:v>
                </c:pt>
                <c:pt idx="137">
                  <c:v>1.07476747574368</c:v>
                </c:pt>
                <c:pt idx="138">
                  <c:v>1.07476747574368</c:v>
                </c:pt>
                <c:pt idx="139">
                  <c:v>1.07476747574368</c:v>
                </c:pt>
                <c:pt idx="140">
                  <c:v>1.07476747574368</c:v>
                </c:pt>
                <c:pt idx="141">
                  <c:v>1.07476747574368</c:v>
                </c:pt>
                <c:pt idx="142">
                  <c:v>1.07476747574368</c:v>
                </c:pt>
                <c:pt idx="143">
                  <c:v>1.07476747574368</c:v>
                </c:pt>
                <c:pt idx="144">
                  <c:v>1.07476747574368</c:v>
                </c:pt>
                <c:pt idx="145">
                  <c:v>1.07476747574368</c:v>
                </c:pt>
                <c:pt idx="146">
                  <c:v>1.07476747574368</c:v>
                </c:pt>
                <c:pt idx="147">
                  <c:v>1.07476747574368</c:v>
                </c:pt>
                <c:pt idx="148">
                  <c:v>1.07476747574368</c:v>
                </c:pt>
                <c:pt idx="149">
                  <c:v>1.07476747574368</c:v>
                </c:pt>
                <c:pt idx="150">
                  <c:v>1.07476747574368</c:v>
                </c:pt>
                <c:pt idx="151">
                  <c:v>1.07476747574368</c:v>
                </c:pt>
                <c:pt idx="152">
                  <c:v>1.07476747574368</c:v>
                </c:pt>
                <c:pt idx="153">
                  <c:v>1.07476747574368</c:v>
                </c:pt>
                <c:pt idx="154">
                  <c:v>1.07476747574368</c:v>
                </c:pt>
                <c:pt idx="155">
                  <c:v>1.07476747574368</c:v>
                </c:pt>
                <c:pt idx="156">
                  <c:v>1.07476747574368</c:v>
                </c:pt>
                <c:pt idx="157">
                  <c:v>1.07476747574368</c:v>
                </c:pt>
                <c:pt idx="158">
                  <c:v>1.07476747574368</c:v>
                </c:pt>
                <c:pt idx="159">
                  <c:v>1.07476747574368</c:v>
                </c:pt>
                <c:pt idx="160">
                  <c:v>1.07476747574368</c:v>
                </c:pt>
                <c:pt idx="161">
                  <c:v>1.07476747574368</c:v>
                </c:pt>
                <c:pt idx="162">
                  <c:v>1.07476747574368</c:v>
                </c:pt>
                <c:pt idx="163">
                  <c:v>1.07476747574368</c:v>
                </c:pt>
                <c:pt idx="164">
                  <c:v>1.07476747574368</c:v>
                </c:pt>
                <c:pt idx="165">
                  <c:v>1.07476747574368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FALN_ANGL_2!$Z$1</c:f>
              <c:strCache>
                <c:ptCount val="1"/>
                <c:pt idx="0">
                  <c:v> ANGL*/FALN*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FALN_ANGL_2!$Z$2:$Z$167</c:f>
              <c:numCache>
                <c:formatCode>_(* #,##0.0000_);_(* \(#,##0.0000\);_(* "-"??_);_(@_)</c:formatCode>
                <c:ptCount val="166"/>
                <c:pt idx="9">
                  <c:v>1.07471589511613</c:v>
                </c:pt>
                <c:pt idx="10">
                  <c:v>1.0745882227993699</c:v>
                </c:pt>
                <c:pt idx="11">
                  <c:v>1.0744679284630201</c:v>
                </c:pt>
                <c:pt idx="12">
                  <c:v>1.07428986210039</c:v>
                </c:pt>
                <c:pt idx="13">
                  <c:v>1.07422365969592</c:v>
                </c:pt>
                <c:pt idx="14">
                  <c:v>1.0741737438752099</c:v>
                </c:pt>
                <c:pt idx="15">
                  <c:v>1.07416563230217</c:v>
                </c:pt>
                <c:pt idx="16">
                  <c:v>1.0741886506513101</c:v>
                </c:pt>
                <c:pt idx="17">
                  <c:v>1.0740636194528399</c:v>
                </c:pt>
                <c:pt idx="18">
                  <c:v>1.07390784366255</c:v>
                </c:pt>
                <c:pt idx="19">
                  <c:v>1.07382455008536</c:v>
                </c:pt>
                <c:pt idx="20">
                  <c:v>1.07370420700085</c:v>
                </c:pt>
                <c:pt idx="21">
                  <c:v>1.07356235658343</c:v>
                </c:pt>
                <c:pt idx="22">
                  <c:v>1.0734944015902299</c:v>
                </c:pt>
                <c:pt idx="23">
                  <c:v>1.07339815943721</c:v>
                </c:pt>
                <c:pt idx="24">
                  <c:v>1.0734254619249799</c:v>
                </c:pt>
                <c:pt idx="25">
                  <c:v>1.0734031017866901</c:v>
                </c:pt>
                <c:pt idx="26">
                  <c:v>1.0735310345559801</c:v>
                </c:pt>
                <c:pt idx="27">
                  <c:v>1.0737981788900499</c:v>
                </c:pt>
                <c:pt idx="28">
                  <c:v>1.07416836534976</c:v>
                </c:pt>
                <c:pt idx="29">
                  <c:v>1.0744911878886301</c:v>
                </c:pt>
                <c:pt idx="30">
                  <c:v>1.07478417712351</c:v>
                </c:pt>
                <c:pt idx="31">
                  <c:v>1.0750249430783401</c:v>
                </c:pt>
                <c:pt idx="32">
                  <c:v>1.0752906916846099</c:v>
                </c:pt>
                <c:pt idx="33">
                  <c:v>1.07558717783816</c:v>
                </c:pt>
                <c:pt idx="34">
                  <c:v>1.0757269877257001</c:v>
                </c:pt>
                <c:pt idx="35">
                  <c:v>1.0759579585665699</c:v>
                </c:pt>
                <c:pt idx="36">
                  <c:v>1.07607786765583</c:v>
                </c:pt>
                <c:pt idx="37">
                  <c:v>1.0759758305967599</c:v>
                </c:pt>
                <c:pt idx="38">
                  <c:v>1.0758287665544199</c:v>
                </c:pt>
                <c:pt idx="39">
                  <c:v>1.0758837358190301</c:v>
                </c:pt>
                <c:pt idx="40">
                  <c:v>1.0758631404057899</c:v>
                </c:pt>
                <c:pt idx="41">
                  <c:v>1.0758673055093</c:v>
                </c:pt>
                <c:pt idx="42">
                  <c:v>1.0756977965741501</c:v>
                </c:pt>
                <c:pt idx="43">
                  <c:v>1.07565672700208</c:v>
                </c:pt>
                <c:pt idx="44">
                  <c:v>1.0755289640297401</c:v>
                </c:pt>
                <c:pt idx="45">
                  <c:v>1.0754153686330801</c:v>
                </c:pt>
                <c:pt idx="46">
                  <c:v>1.07540971226656</c:v>
                </c:pt>
                <c:pt idx="47">
                  <c:v>1.0755771751588601</c:v>
                </c:pt>
                <c:pt idx="48">
                  <c:v>1.0757502720326499</c:v>
                </c:pt>
                <c:pt idx="49">
                  <c:v>1.0755543885288901</c:v>
                </c:pt>
                <c:pt idx="50">
                  <c:v>1.07539468029123</c:v>
                </c:pt>
                <c:pt idx="51">
                  <c:v>1.0754593856207899</c:v>
                </c:pt>
                <c:pt idx="52">
                  <c:v>1.07549799012984</c:v>
                </c:pt>
                <c:pt idx="53">
                  <c:v>1.0753839786522701</c:v>
                </c:pt>
                <c:pt idx="54">
                  <c:v>1.0752836205724201</c:v>
                </c:pt>
                <c:pt idx="55">
                  <c:v>1.0750724545424399</c:v>
                </c:pt>
                <c:pt idx="56">
                  <c:v>1.07487510228258</c:v>
                </c:pt>
                <c:pt idx="57">
                  <c:v>1.0745624276202399</c:v>
                </c:pt>
                <c:pt idx="58">
                  <c:v>1.07440936289883</c:v>
                </c:pt>
                <c:pt idx="59">
                  <c:v>1.0742720699138499</c:v>
                </c:pt>
                <c:pt idx="60">
                  <c:v>1.0742420972784399</c:v>
                </c:pt>
                <c:pt idx="61">
                  <c:v>1.07412957899338</c:v>
                </c:pt>
                <c:pt idx="62">
                  <c:v>1.0742072558148901</c:v>
                </c:pt>
                <c:pt idx="63">
                  <c:v>1.0743665317697599</c:v>
                </c:pt>
                <c:pt idx="64">
                  <c:v>1.07464929683601</c:v>
                </c:pt>
                <c:pt idx="65">
                  <c:v>1.0749341972499999</c:v>
                </c:pt>
                <c:pt idx="66">
                  <c:v>1.07516383588807</c:v>
                </c:pt>
                <c:pt idx="67">
                  <c:v>1.0755471494590201</c:v>
                </c:pt>
                <c:pt idx="68">
                  <c:v>1.0757543491386801</c:v>
                </c:pt>
                <c:pt idx="69">
                  <c:v>1.07601544785523</c:v>
                </c:pt>
                <c:pt idx="70">
                  <c:v>1.07628359004762</c:v>
                </c:pt>
                <c:pt idx="71">
                  <c:v>1.07656268330269</c:v>
                </c:pt>
                <c:pt idx="72">
                  <c:v>1.07675121782455</c:v>
                </c:pt>
                <c:pt idx="73">
                  <c:v>1.0768158814486299</c:v>
                </c:pt>
                <c:pt idx="74">
                  <c:v>1.0768774442209299</c:v>
                </c:pt>
                <c:pt idx="75">
                  <c:v>1.07698075269319</c:v>
                </c:pt>
                <c:pt idx="76">
                  <c:v>1.0771480306971499</c:v>
                </c:pt>
                <c:pt idx="77">
                  <c:v>1.07710328371284</c:v>
                </c:pt>
                <c:pt idx="78">
                  <c:v>1.0770448540413899</c:v>
                </c:pt>
                <c:pt idx="79">
                  <c:v>1.07702524293975</c:v>
                </c:pt>
                <c:pt idx="80">
                  <c:v>1.0771062432146501</c:v>
                </c:pt>
                <c:pt idx="81">
                  <c:v>1.07715094902025</c:v>
                </c:pt>
                <c:pt idx="82">
                  <c:v>1.0771593044424499</c:v>
                </c:pt>
                <c:pt idx="83">
                  <c:v>1.0771843730770401</c:v>
                </c:pt>
                <c:pt idx="84">
                  <c:v>1.07712853384818</c:v>
                </c:pt>
                <c:pt idx="85">
                  <c:v>1.07709782948721</c:v>
                </c:pt>
                <c:pt idx="86">
                  <c:v>1.07685824590974</c:v>
                </c:pt>
                <c:pt idx="87">
                  <c:v>1.0766722127674599</c:v>
                </c:pt>
                <c:pt idx="88">
                  <c:v>1.0765885067434</c:v>
                </c:pt>
                <c:pt idx="89">
                  <c:v>1.0765156315958</c:v>
                </c:pt>
                <c:pt idx="90">
                  <c:v>1.0763394985332899</c:v>
                </c:pt>
                <c:pt idx="91">
                  <c:v>1.0761105391519401</c:v>
                </c:pt>
                <c:pt idx="92">
                  <c:v>1.07588630144085</c:v>
                </c:pt>
                <c:pt idx="93">
                  <c:v>1.0756675929661901</c:v>
                </c:pt>
                <c:pt idx="94">
                  <c:v>1.07553221824109</c:v>
                </c:pt>
                <c:pt idx="95">
                  <c:v>1.07522190268146</c:v>
                </c:pt>
                <c:pt idx="96">
                  <c:v>1.07516573669758</c:v>
                </c:pt>
                <c:pt idx="97">
                  <c:v>1.07508696211739</c:v>
                </c:pt>
                <c:pt idx="98">
                  <c:v>1.0750814941679701</c:v>
                </c:pt>
                <c:pt idx="99">
                  <c:v>1.07505424579951</c:v>
                </c:pt>
                <c:pt idx="100">
                  <c:v>1.0749409930802301</c:v>
                </c:pt>
                <c:pt idx="101">
                  <c:v>1.0748035542113299</c:v>
                </c:pt>
                <c:pt idx="102">
                  <c:v>1.0747141142575301</c:v>
                </c:pt>
                <c:pt idx="103">
                  <c:v>1.0747381475743101</c:v>
                </c:pt>
                <c:pt idx="104">
                  <c:v>1.07475374798941</c:v>
                </c:pt>
                <c:pt idx="105">
                  <c:v>1.0749555304934</c:v>
                </c:pt>
                <c:pt idx="106">
                  <c:v>1.0750640576744099</c:v>
                </c:pt>
                <c:pt idx="107">
                  <c:v>1.0751779741919001</c:v>
                </c:pt>
                <c:pt idx="108">
                  <c:v>1.07510556637722</c:v>
                </c:pt>
                <c:pt idx="109">
                  <c:v>1.0750964197377</c:v>
                </c:pt>
                <c:pt idx="110">
                  <c:v>1.0750802624965801</c:v>
                </c:pt>
                <c:pt idx="111">
                  <c:v>1.0750856136362099</c:v>
                </c:pt>
                <c:pt idx="112">
                  <c:v>1.0750921755676699</c:v>
                </c:pt>
                <c:pt idx="113">
                  <c:v>1.07491376432334</c:v>
                </c:pt>
                <c:pt idx="114">
                  <c:v>1.0746657031873701</c:v>
                </c:pt>
                <c:pt idx="115">
                  <c:v>1.0743716953990401</c:v>
                </c:pt>
                <c:pt idx="116">
                  <c:v>1.0741550145530001</c:v>
                </c:pt>
                <c:pt idx="117">
                  <c:v>1.0739082960650099</c:v>
                </c:pt>
                <c:pt idx="118">
                  <c:v>1.0737803899804199</c:v>
                </c:pt>
                <c:pt idx="119">
                  <c:v>1.0736560650267399</c:v>
                </c:pt>
                <c:pt idx="120">
                  <c:v>1.0736267150287699</c:v>
                </c:pt>
                <c:pt idx="121">
                  <c:v>1.0735536754834101</c:v>
                </c:pt>
                <c:pt idx="122">
                  <c:v>1.0734225477785</c:v>
                </c:pt>
                <c:pt idx="123">
                  <c:v>1.07343396866864</c:v>
                </c:pt>
                <c:pt idx="124">
                  <c:v>1.07348559691687</c:v>
                </c:pt>
                <c:pt idx="125">
                  <c:v>1.0734790903509199</c:v>
                </c:pt>
                <c:pt idx="126">
                  <c:v>1.0734799889954401</c:v>
                </c:pt>
                <c:pt idx="127">
                  <c:v>1.0734227719938201</c:v>
                </c:pt>
                <c:pt idx="128">
                  <c:v>1.07336540351473</c:v>
                </c:pt>
                <c:pt idx="129">
                  <c:v>1.0731833655847201</c:v>
                </c:pt>
                <c:pt idx="130">
                  <c:v>1.0730525624674101</c:v>
                </c:pt>
                <c:pt idx="131">
                  <c:v>1.07294986456854</c:v>
                </c:pt>
                <c:pt idx="132">
                  <c:v>1.07279605037451</c:v>
                </c:pt>
                <c:pt idx="133">
                  <c:v>1.0726174897871199</c:v>
                </c:pt>
                <c:pt idx="134">
                  <c:v>1.0724163501973201</c:v>
                </c:pt>
                <c:pt idx="135">
                  <c:v>1.0724170036524401</c:v>
                </c:pt>
                <c:pt idx="136">
                  <c:v>1.07230274220864</c:v>
                </c:pt>
                <c:pt idx="137">
                  <c:v>1.0723697751889401</c:v>
                </c:pt>
                <c:pt idx="138">
                  <c:v>1.0724021143015099</c:v>
                </c:pt>
                <c:pt idx="139">
                  <c:v>1.0724952041073701</c:v>
                </c:pt>
                <c:pt idx="140">
                  <c:v>1.07266811920478</c:v>
                </c:pt>
                <c:pt idx="141">
                  <c:v>1.0727354121528101</c:v>
                </c:pt>
                <c:pt idx="142">
                  <c:v>1.0729877993072401</c:v>
                </c:pt>
                <c:pt idx="143">
                  <c:v>1.07317543519702</c:v>
                </c:pt>
                <c:pt idx="144">
                  <c:v>1.0734786817709601</c:v>
                </c:pt>
                <c:pt idx="145">
                  <c:v>1.0736366585078401</c:v>
                </c:pt>
                <c:pt idx="146">
                  <c:v>1.0738291493294001</c:v>
                </c:pt>
                <c:pt idx="147">
                  <c:v>1.07397014441923</c:v>
                </c:pt>
                <c:pt idx="148">
                  <c:v>1.07420017240955</c:v>
                </c:pt>
                <c:pt idx="149">
                  <c:v>1.0744883776558301</c:v>
                </c:pt>
                <c:pt idx="150">
                  <c:v>1.0743876594296999</c:v>
                </c:pt>
                <c:pt idx="151">
                  <c:v>1.0743725217756901</c:v>
                </c:pt>
                <c:pt idx="152">
                  <c:v>1.07447055138905</c:v>
                </c:pt>
                <c:pt idx="153">
                  <c:v>1.07442377709144</c:v>
                </c:pt>
                <c:pt idx="154">
                  <c:v>1.07431014778098</c:v>
                </c:pt>
                <c:pt idx="155">
                  <c:v>1.07427040443387</c:v>
                </c:pt>
                <c:pt idx="156">
                  <c:v>1.0743418080140501</c:v>
                </c:pt>
                <c:pt idx="157">
                  <c:v>1.07435357101176</c:v>
                </c:pt>
                <c:pt idx="158">
                  <c:v>1.07422766448777</c:v>
                </c:pt>
                <c:pt idx="159">
                  <c:v>1.07411793178563</c:v>
                </c:pt>
                <c:pt idx="160">
                  <c:v>1.0742143481034201</c:v>
                </c:pt>
                <c:pt idx="161">
                  <c:v>1.0742896901741701</c:v>
                </c:pt>
                <c:pt idx="162">
                  <c:v>1.07427102214117</c:v>
                </c:pt>
                <c:pt idx="163">
                  <c:v>1.07442109122959</c:v>
                </c:pt>
                <c:pt idx="164">
                  <c:v>1.0745384740600299</c:v>
                </c:pt>
                <c:pt idx="165">
                  <c:v>1.07461243757245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FALN_ANGL_2!$AA$1</c:f>
              <c:strCache>
                <c:ptCount val="1"/>
                <c:pt idx="0">
                  <c:v> ANGL*/FALN*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FALN_ANGL_2!$AA$2:$AA$167</c:f>
              <c:numCache>
                <c:formatCode>_(* #,##0.0000_);_(* \(#,##0.0000\);_(* "-"??_);_(@_)</c:formatCode>
                <c:ptCount val="166"/>
                <c:pt idx="19">
                  <c:v>1.0742702226007499</c:v>
                </c:pt>
                <c:pt idx="20">
                  <c:v>1.07414621490011</c:v>
                </c:pt>
                <c:pt idx="21">
                  <c:v>1.0740151425232201</c:v>
                </c:pt>
                <c:pt idx="22">
                  <c:v>1.0738921318453101</c:v>
                </c:pt>
                <c:pt idx="23">
                  <c:v>1.07381090956657</c:v>
                </c:pt>
                <c:pt idx="24">
                  <c:v>1.07379960290009</c:v>
                </c:pt>
                <c:pt idx="25">
                  <c:v>1.07378436704443</c:v>
                </c:pt>
                <c:pt idx="26">
                  <c:v>1.0738598426036401</c:v>
                </c:pt>
                <c:pt idx="27">
                  <c:v>1.07393089917144</c:v>
                </c:pt>
                <c:pt idx="28">
                  <c:v>1.07403810450615</c:v>
                </c:pt>
                <c:pt idx="29">
                  <c:v>1.0741578689869999</c:v>
                </c:pt>
                <c:pt idx="30">
                  <c:v>1.0742441920621799</c:v>
                </c:pt>
                <c:pt idx="31">
                  <c:v>1.0742936498308899</c:v>
                </c:pt>
                <c:pt idx="32">
                  <c:v>1.07439254663742</c:v>
                </c:pt>
                <c:pt idx="33">
                  <c:v>1.0744926686376901</c:v>
                </c:pt>
                <c:pt idx="34">
                  <c:v>1.0745762248253401</c:v>
                </c:pt>
                <c:pt idx="35">
                  <c:v>1.07468053017663</c:v>
                </c:pt>
                <c:pt idx="36">
                  <c:v>1.0748044511059001</c:v>
                </c:pt>
                <c:pt idx="37">
                  <c:v>1.0748870047434</c:v>
                </c:pt>
                <c:pt idx="38">
                  <c:v>1.07499856595209</c:v>
                </c:pt>
                <c:pt idx="39">
                  <c:v>1.07518746185383</c:v>
                </c:pt>
                <c:pt idx="40">
                  <c:v>1.07532365876465</c:v>
                </c:pt>
                <c:pt idx="41">
                  <c:v>1.07544612429382</c:v>
                </c:pt>
                <c:pt idx="42">
                  <c:v>1.07549424412938</c:v>
                </c:pt>
                <c:pt idx="43">
                  <c:v>1.07562195242012</c:v>
                </c:pt>
                <c:pt idx="44">
                  <c:v>1.0756279758777201</c:v>
                </c:pt>
                <c:pt idx="45">
                  <c:v>1.0756866635998199</c:v>
                </c:pt>
                <c:pt idx="46">
                  <c:v>1.0757437899611999</c:v>
                </c:pt>
                <c:pt idx="47">
                  <c:v>1.0757765028778099</c:v>
                </c:pt>
                <c:pt idx="48">
                  <c:v>1.0757895192935301</c:v>
                </c:pt>
                <c:pt idx="49">
                  <c:v>1.0757190621739601</c:v>
                </c:pt>
                <c:pt idx="50">
                  <c:v>1.0756289103485099</c:v>
                </c:pt>
                <c:pt idx="51">
                  <c:v>1.07566334556504</c:v>
                </c:pt>
                <c:pt idx="52">
                  <c:v>1.0755978933520001</c:v>
                </c:pt>
                <c:pt idx="53">
                  <c:v>1.0755203528271799</c:v>
                </c:pt>
                <c:pt idx="54">
                  <c:v>1.0754062923010801</c:v>
                </c:pt>
                <c:pt idx="55">
                  <c:v>1.0752439115877599</c:v>
                </c:pt>
                <c:pt idx="56">
                  <c:v>1.0751424072745701</c:v>
                </c:pt>
                <c:pt idx="57">
                  <c:v>1.0750698013895501</c:v>
                </c:pt>
                <c:pt idx="58">
                  <c:v>1.0750798174657401</c:v>
                </c:pt>
                <c:pt idx="59">
                  <c:v>1.0749132292213699</c:v>
                </c:pt>
                <c:pt idx="60">
                  <c:v>1.0748183887848299</c:v>
                </c:pt>
                <c:pt idx="61">
                  <c:v>1.0747944823070901</c:v>
                </c:pt>
                <c:pt idx="62">
                  <c:v>1.0748526229723701</c:v>
                </c:pt>
                <c:pt idx="63">
                  <c:v>1.0748752552110199</c:v>
                </c:pt>
                <c:pt idx="64">
                  <c:v>1.07496645870422</c:v>
                </c:pt>
                <c:pt idx="65">
                  <c:v>1.0750033258962199</c:v>
                </c:pt>
                <c:pt idx="66">
                  <c:v>1.0750194690853201</c:v>
                </c:pt>
                <c:pt idx="67">
                  <c:v>1.07505478853963</c:v>
                </c:pt>
                <c:pt idx="68">
                  <c:v>1.0750818560187501</c:v>
                </c:pt>
                <c:pt idx="69">
                  <c:v>1.0751437588845401</c:v>
                </c:pt>
                <c:pt idx="70">
                  <c:v>1.07526284366303</c:v>
                </c:pt>
                <c:pt idx="71">
                  <c:v>1.0753461311480399</c:v>
                </c:pt>
                <c:pt idx="72">
                  <c:v>1.0754792368197199</c:v>
                </c:pt>
                <c:pt idx="73">
                  <c:v>1.0755912066091899</c:v>
                </c:pt>
                <c:pt idx="74">
                  <c:v>1.0757633705284699</c:v>
                </c:pt>
                <c:pt idx="75">
                  <c:v>1.0759574749715899</c:v>
                </c:pt>
                <c:pt idx="76">
                  <c:v>1.0761559332926101</c:v>
                </c:pt>
                <c:pt idx="77">
                  <c:v>1.0763252165859301</c:v>
                </c:pt>
                <c:pt idx="78">
                  <c:v>1.0763996015900299</c:v>
                </c:pt>
                <c:pt idx="79">
                  <c:v>1.0765203453974901</c:v>
                </c:pt>
                <c:pt idx="80">
                  <c:v>1.0766949166311399</c:v>
                </c:pt>
                <c:pt idx="81">
                  <c:v>1.07685681616147</c:v>
                </c:pt>
                <c:pt idx="82">
                  <c:v>1.0769552611335</c:v>
                </c:pt>
                <c:pt idx="83">
                  <c:v>1.07700012726283</c:v>
                </c:pt>
                <c:pt idx="84">
                  <c:v>1.07700298903456</c:v>
                </c:pt>
                <c:pt idx="85">
                  <c:v>1.0770392910902</c:v>
                </c:pt>
                <c:pt idx="86">
                  <c:v>1.07700313830345</c:v>
                </c:pt>
                <c:pt idx="87">
                  <c:v>1.07688774824015</c:v>
                </c:pt>
                <c:pt idx="88">
                  <c:v>1.07681668039239</c:v>
                </c:pt>
                <c:pt idx="89">
                  <c:v>1.07677043726777</c:v>
                </c:pt>
                <c:pt idx="90">
                  <c:v>1.07672287087397</c:v>
                </c:pt>
                <c:pt idx="91">
                  <c:v>1.0766307440861</c:v>
                </c:pt>
                <c:pt idx="92">
                  <c:v>1.07652280294165</c:v>
                </c:pt>
                <c:pt idx="93">
                  <c:v>1.0764259830216101</c:v>
                </c:pt>
                <c:pt idx="94">
                  <c:v>1.0763303760446301</c:v>
                </c:pt>
                <c:pt idx="95">
                  <c:v>1.0761598660843299</c:v>
                </c:pt>
                <c:pt idx="96">
                  <c:v>1.0760119913036601</c:v>
                </c:pt>
                <c:pt idx="97">
                  <c:v>1.0758795874424301</c:v>
                </c:pt>
                <c:pt idx="98">
                  <c:v>1.07583500045568</c:v>
                </c:pt>
                <c:pt idx="99">
                  <c:v>1.0757849386976499</c:v>
                </c:pt>
                <c:pt idx="100">
                  <c:v>1.07564024580676</c:v>
                </c:pt>
                <c:pt idx="101">
                  <c:v>1.07545704668164</c:v>
                </c:pt>
                <c:pt idx="102">
                  <c:v>1.07530020784919</c:v>
                </c:pt>
                <c:pt idx="103">
                  <c:v>1.0752028702702501</c:v>
                </c:pt>
                <c:pt idx="104">
                  <c:v>1.0751429831152499</c:v>
                </c:pt>
                <c:pt idx="105">
                  <c:v>1.0750887165874301</c:v>
                </c:pt>
                <c:pt idx="106">
                  <c:v>1.0751148971860001</c:v>
                </c:pt>
                <c:pt idx="107">
                  <c:v>1.0751324681546399</c:v>
                </c:pt>
                <c:pt idx="108">
                  <c:v>1.0750935302725999</c:v>
                </c:pt>
                <c:pt idx="109">
                  <c:v>1.0750753327686</c:v>
                </c:pt>
                <c:pt idx="110">
                  <c:v>1.0750106277884</c:v>
                </c:pt>
                <c:pt idx="111">
                  <c:v>1.0749445839237699</c:v>
                </c:pt>
                <c:pt idx="112">
                  <c:v>1.0749031449126001</c:v>
                </c:pt>
                <c:pt idx="113">
                  <c:v>1.07482595594882</c:v>
                </c:pt>
                <c:pt idx="114">
                  <c:v>1.07470972558839</c:v>
                </c:pt>
                <c:pt idx="115">
                  <c:v>1.0746636129462199</c:v>
                </c:pt>
                <c:pt idx="116">
                  <c:v>1.07460953611371</c:v>
                </c:pt>
                <c:pt idx="117">
                  <c:v>1.07454313512845</c:v>
                </c:pt>
                <c:pt idx="118">
                  <c:v>1.0744429781788201</c:v>
                </c:pt>
                <c:pt idx="119">
                  <c:v>1.0743762423822201</c:v>
                </c:pt>
                <c:pt idx="120">
                  <c:v>1.07435348876268</c:v>
                </c:pt>
                <c:pt idx="121">
                  <c:v>1.07431964455981</c:v>
                </c:pt>
                <c:pt idx="122">
                  <c:v>1.0742573616730899</c:v>
                </c:pt>
                <c:pt idx="123">
                  <c:v>1.0741738664959899</c:v>
                </c:pt>
                <c:pt idx="124">
                  <c:v>1.07407565005212</c:v>
                </c:pt>
                <c:pt idx="125">
                  <c:v>1.0739253928749799</c:v>
                </c:pt>
                <c:pt idx="126">
                  <c:v>1.07381750177422</c:v>
                </c:pt>
                <c:pt idx="127">
                  <c:v>1.0736655340294099</c:v>
                </c:pt>
                <c:pt idx="128">
                  <c:v>1.0735728967475699</c:v>
                </c:pt>
                <c:pt idx="129">
                  <c:v>1.0734197153057301</c:v>
                </c:pt>
                <c:pt idx="130">
                  <c:v>1.07333963874809</c:v>
                </c:pt>
                <c:pt idx="131">
                  <c:v>1.07325177002598</c:v>
                </c:pt>
                <c:pt idx="132">
                  <c:v>1.0731092990765101</c:v>
                </c:pt>
                <c:pt idx="133">
                  <c:v>1.07302572922788</c:v>
                </c:pt>
                <c:pt idx="134">
                  <c:v>1.0729509735570899</c:v>
                </c:pt>
                <c:pt idx="135">
                  <c:v>1.0729480470016799</c:v>
                </c:pt>
                <c:pt idx="136">
                  <c:v>1.07289136560204</c:v>
                </c:pt>
                <c:pt idx="137">
                  <c:v>1.0728962735913801</c:v>
                </c:pt>
                <c:pt idx="138">
                  <c:v>1.0728837589081199</c:v>
                </c:pt>
                <c:pt idx="139">
                  <c:v>1.07283928484605</c:v>
                </c:pt>
                <c:pt idx="140">
                  <c:v>1.0728603408360999</c:v>
                </c:pt>
                <c:pt idx="141">
                  <c:v>1.0728426383606799</c:v>
                </c:pt>
                <c:pt idx="142">
                  <c:v>1.0728919248408799</c:v>
                </c:pt>
                <c:pt idx="143">
                  <c:v>1.07289646249207</c:v>
                </c:pt>
                <c:pt idx="144">
                  <c:v>1.07294751598414</c:v>
                </c:pt>
                <c:pt idx="145">
                  <c:v>1.0730268310801401</c:v>
                </c:pt>
                <c:pt idx="146">
                  <c:v>1.0730659457690199</c:v>
                </c:pt>
                <c:pt idx="147">
                  <c:v>1.07316995980409</c:v>
                </c:pt>
                <c:pt idx="148">
                  <c:v>1.07330114335553</c:v>
                </c:pt>
                <c:pt idx="149">
                  <c:v>1.0734917908816</c:v>
                </c:pt>
                <c:pt idx="150">
                  <c:v>1.07352788931724</c:v>
                </c:pt>
                <c:pt idx="151">
                  <c:v>1.07355396696425</c:v>
                </c:pt>
                <c:pt idx="152">
                  <c:v>1.0737291753481499</c:v>
                </c:pt>
                <c:pt idx="153">
                  <c:v>1.0737996061442301</c:v>
                </c:pt>
                <c:pt idx="154">
                  <c:v>1.0738944147759699</c:v>
                </c:pt>
                <c:pt idx="155">
                  <c:v>1.0739535314708599</c:v>
                </c:pt>
                <c:pt idx="156">
                  <c:v>1.07408547867172</c:v>
                </c:pt>
                <c:pt idx="157">
                  <c:v>1.0741618577155001</c:v>
                </c:pt>
                <c:pt idx="158">
                  <c:v>1.0742139184486601</c:v>
                </c:pt>
                <c:pt idx="159">
                  <c:v>1.07430315472073</c:v>
                </c:pt>
                <c:pt idx="160">
                  <c:v>1.0743010037665599</c:v>
                </c:pt>
                <c:pt idx="161">
                  <c:v>1.0743311059749301</c:v>
                </c:pt>
                <c:pt idx="162">
                  <c:v>1.07437078676511</c:v>
                </c:pt>
                <c:pt idx="163">
                  <c:v>1.07442243416051</c:v>
                </c:pt>
                <c:pt idx="164">
                  <c:v>1.0744243109205001</c:v>
                </c:pt>
                <c:pt idx="165">
                  <c:v>1.0744414210031601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FALN_ANGL_2!$U$1</c:f>
              <c:strCache>
                <c:ptCount val="1"/>
                <c:pt idx="0">
                  <c:v>log diff FALN x avg / ANGL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FALN_ANGL_2!$U$2:$U$167</c:f>
              <c:numCache>
                <c:formatCode>0.00%</c:formatCode>
                <c:ptCount val="166"/>
                <c:pt idx="1">
                  <c:v>-6.4876508649153598E-4</c:v>
                </c:pt>
                <c:pt idx="2">
                  <c:v>-8.8513588034189498E-4</c:v>
                </c:pt>
                <c:pt idx="3">
                  <c:v>-1.8220747249687001E-4</c:v>
                </c:pt>
                <c:pt idx="4">
                  <c:v>-1.0604975500309899E-4</c:v>
                </c:pt>
                <c:pt idx="5">
                  <c:v>3.0807112070683899E-4</c:v>
                </c:pt>
                <c:pt idx="6">
                  <c:v>1.7111413683514E-3</c:v>
                </c:pt>
                <c:pt idx="7">
                  <c:v>2.82870776432093E-4</c:v>
                </c:pt>
                <c:pt idx="8">
                  <c:v>6.9642793780501898E-4</c:v>
                </c:pt>
                <c:pt idx="9">
                  <c:v>6.7137721007991301E-4</c:v>
                </c:pt>
                <c:pt idx="10">
                  <c:v>3.3325379181209602E-4</c:v>
                </c:pt>
                <c:pt idx="11">
                  <c:v>4.7033704830467198E-4</c:v>
                </c:pt>
                <c:pt idx="12">
                  <c:v>7.7147484215535898E-4</c:v>
                </c:pt>
                <c:pt idx="13">
                  <c:v>4.3380811600255E-4</c:v>
                </c:pt>
                <c:pt idx="14">
                  <c:v>3.5841880834033298E-4</c:v>
                </c:pt>
                <c:pt idx="15">
                  <c:v>3.8356618885864401E-4</c:v>
                </c:pt>
                <c:pt idx="16">
                  <c:v>1.4966380356445999E-3</c:v>
                </c:pt>
                <c:pt idx="17">
                  <c:v>1.4471505435370601E-3</c:v>
                </c:pt>
                <c:pt idx="18">
                  <c:v>2.1478070024518602E-3</c:v>
                </c:pt>
                <c:pt idx="19">
                  <c:v>1.4471505435370601E-3</c:v>
                </c:pt>
                <c:pt idx="20">
                  <c:v>1.4881488410051799E-3</c:v>
                </c:pt>
                <c:pt idx="21">
                  <c:v>1.8276497778936601E-3</c:v>
                </c:pt>
                <c:pt idx="22">
                  <c:v>1.4384030087861901E-3</c:v>
                </c:pt>
                <c:pt idx="23">
                  <c:v>1.3636527480707301E-3</c:v>
                </c:pt>
                <c:pt idx="24">
                  <c:v>1.3129652971540599E-4</c:v>
                </c:pt>
                <c:pt idx="25">
                  <c:v>6.2122300432595101E-4</c:v>
                </c:pt>
                <c:pt idx="26">
                  <c:v>3.3325379181209602E-4</c:v>
                </c:pt>
                <c:pt idx="27">
                  <c:v>-1.0180977651869799E-3</c:v>
                </c:pt>
                <c:pt idx="28">
                  <c:v>-1.2784986443784799E-3</c:v>
                </c:pt>
                <c:pt idx="29">
                  <c:v>-1.5382656595093001E-3</c:v>
                </c:pt>
                <c:pt idx="30">
                  <c:v>-1.25281734707518E-3</c:v>
                </c:pt>
                <c:pt idx="31">
                  <c:v>-4.261586192413E-4</c:v>
                </c:pt>
                <c:pt idx="32">
                  <c:v>-1.0480121033451101E-3</c:v>
                </c:pt>
                <c:pt idx="33">
                  <c:v>-1.4097411722198E-3</c:v>
                </c:pt>
                <c:pt idx="34">
                  <c:v>-1.1758811655996099E-3</c:v>
                </c:pt>
                <c:pt idx="35">
                  <c:v>-1.5382656595093001E-3</c:v>
                </c:pt>
                <c:pt idx="36">
                  <c:v>-7.8814957342038499E-4</c:v>
                </c:pt>
                <c:pt idx="37">
                  <c:v>-6.4298655097344996E-5</c:v>
                </c:pt>
                <c:pt idx="38">
                  <c:v>9.6255370181428499E-5</c:v>
                </c:pt>
                <c:pt idx="39">
                  <c:v>-2.7873483732365799E-3</c:v>
                </c:pt>
                <c:pt idx="40">
                  <c:v>-1.79517841283271E-3</c:v>
                </c:pt>
                <c:pt idx="41">
                  <c:v>-1.1943607059771899E-3</c:v>
                </c:pt>
                <c:pt idx="42">
                  <c:v>-1.9092855882534701E-4</c:v>
                </c:pt>
                <c:pt idx="43">
                  <c:v>-1.7672405983606299E-3</c:v>
                </c:pt>
                <c:pt idx="44">
                  <c:v>-7.1392888748548502E-4</c:v>
                </c:pt>
                <c:pt idx="45">
                  <c:v>-1.21320866589341E-3</c:v>
                </c:pt>
                <c:pt idx="46">
                  <c:v>-1.47556949198559E-3</c:v>
                </c:pt>
                <c:pt idx="47">
                  <c:v>-2.3797253094105702E-3</c:v>
                </c:pt>
                <c:pt idx="48">
                  <c:v>-2.2740375095109599E-3</c:v>
                </c:pt>
                <c:pt idx="49">
                  <c:v>-9.6447744410678004E-4</c:v>
                </c:pt>
                <c:pt idx="50">
                  <c:v>-3.0368754348782801E-4</c:v>
                </c:pt>
                <c:pt idx="51">
                  <c:v>-1.8188099172057801E-3</c:v>
                </c:pt>
                <c:pt idx="52">
                  <c:v>-5.6465495892389997E-4</c:v>
                </c:pt>
                <c:pt idx="53">
                  <c:v>-7.1004205494675096E-4</c:v>
                </c:pt>
                <c:pt idx="54">
                  <c:v>2.18333072094232E-4</c:v>
                </c:pt>
                <c:pt idx="55">
                  <c:v>7.6119855269496601E-4</c:v>
                </c:pt>
                <c:pt idx="56">
                  <c:v>3.7409060254864601E-4</c:v>
                </c:pt>
                <c:pt idx="57">
                  <c:v>5.53517899430658E-4</c:v>
                </c:pt>
                <c:pt idx="58">
                  <c:v>-8.4307763710591904E-4</c:v>
                </c:pt>
                <c:pt idx="59">
                  <c:v>3.1842755530368198E-4</c:v>
                </c:pt>
                <c:pt idx="60">
                  <c:v>-2.60035916286453E-5</c:v>
                </c:pt>
                <c:pt idx="61">
                  <c:v>4.9079579417433197E-8</c:v>
                </c:pt>
                <c:pt idx="62">
                  <c:v>-5.3847361996989902E-4</c:v>
                </c:pt>
                <c:pt idx="63">
                  <c:v>-1.4468104547130101E-3</c:v>
                </c:pt>
                <c:pt idx="64">
                  <c:v>-1.68681362843924E-3</c:v>
                </c:pt>
                <c:pt idx="65">
                  <c:v>-1.16096080303473E-3</c:v>
                </c:pt>
                <c:pt idx="66">
                  <c:v>-1.0306662752332101E-3</c:v>
                </c:pt>
                <c:pt idx="67">
                  <c:v>-2.2959278766300798E-3</c:v>
                </c:pt>
                <c:pt idx="68">
                  <c:v>-2.0315327964815699E-3</c:v>
                </c:pt>
                <c:pt idx="69">
                  <c:v>-1.37595452649925E-3</c:v>
                </c:pt>
                <c:pt idx="70">
                  <c:v>-1.79517841283271E-3</c:v>
                </c:pt>
                <c:pt idx="71">
                  <c:v>-2.6358737349045499E-3</c:v>
                </c:pt>
                <c:pt idx="72">
                  <c:v>-2.3189477044389898E-3</c:v>
                </c:pt>
                <c:pt idx="73">
                  <c:v>-2.0573855579783498E-3</c:v>
                </c:pt>
                <c:pt idx="74">
                  <c:v>-2.2678884501633901E-3</c:v>
                </c:pt>
                <c:pt idx="75">
                  <c:v>-2.13618438374154E-3</c:v>
                </c:pt>
                <c:pt idx="76">
                  <c:v>-2.6093601966945502E-3</c:v>
                </c:pt>
                <c:pt idx="77">
                  <c:v>-1.87379561774064E-3</c:v>
                </c:pt>
                <c:pt idx="78">
                  <c:v>-1.48012687975182E-3</c:v>
                </c:pt>
                <c:pt idx="79">
                  <c:v>-1.19073548189306E-3</c:v>
                </c:pt>
                <c:pt idx="80">
                  <c:v>-2.55928833347041E-3</c:v>
                </c:pt>
                <c:pt idx="81">
                  <c:v>-3.0573492653052699E-3</c:v>
                </c:pt>
                <c:pt idx="82">
                  <c:v>-2.6391576723456501E-3</c:v>
                </c:pt>
                <c:pt idx="83">
                  <c:v>-2.5355006816392199E-3</c:v>
                </c:pt>
                <c:pt idx="84">
                  <c:v>-1.9790055492257199E-3</c:v>
                </c:pt>
                <c:pt idx="85">
                  <c:v>-2.0842614075049499E-3</c:v>
                </c:pt>
                <c:pt idx="86">
                  <c:v>-5.7800957060543095E-4</c:v>
                </c:pt>
                <c:pt idx="87">
                  <c:v>-3.45265288839898E-4</c:v>
                </c:pt>
                <c:pt idx="88">
                  <c:v>-9.2182941239712999E-4</c:v>
                </c:pt>
                <c:pt idx="89">
                  <c:v>-7.3400475648210202E-4</c:v>
                </c:pt>
                <c:pt idx="90">
                  <c:v>-1.13092016925659E-3</c:v>
                </c:pt>
                <c:pt idx="91">
                  <c:v>-1.13092016925659E-3</c:v>
                </c:pt>
                <c:pt idx="92">
                  <c:v>-5.1231113461519605E-4</c:v>
                </c:pt>
                <c:pt idx="93">
                  <c:v>-4.6004264326605102E-4</c:v>
                </c:pt>
                <c:pt idx="94">
                  <c:v>-6.9584517258193697E-4</c:v>
                </c:pt>
                <c:pt idx="95">
                  <c:v>8.62901452893444E-4</c:v>
                </c:pt>
                <c:pt idx="96">
                  <c:v>-4.45872869144528E-5</c:v>
                </c:pt>
                <c:pt idx="97">
                  <c:v>4.02946415464043E-4</c:v>
                </c:pt>
                <c:pt idx="98">
                  <c:v>-8.6974309494003996E-4</c:v>
                </c:pt>
                <c:pt idx="99">
                  <c:v>-4.7438336446116501E-4</c:v>
                </c:pt>
                <c:pt idx="100">
                  <c:v>-5.37453365348036E-5</c:v>
                </c:pt>
                <c:pt idx="101">
                  <c:v>1.76786098746912E-4</c:v>
                </c:pt>
                <c:pt idx="102">
                  <c:v>1.09984952576416E-4</c:v>
                </c:pt>
                <c:pt idx="103">
                  <c:v>-9.2182941239712999E-4</c:v>
                </c:pt>
                <c:pt idx="104">
                  <c:v>-1.07853533697896E-3</c:v>
                </c:pt>
                <c:pt idx="105">
                  <c:v>-1.2917202988040901E-3</c:v>
                </c:pt>
                <c:pt idx="106">
                  <c:v>-1.3148590026146199E-3</c:v>
                </c:pt>
                <c:pt idx="107">
                  <c:v>-9.1684736023993905E-4</c:v>
                </c:pt>
                <c:pt idx="108">
                  <c:v>-4.15300914885567E-4</c:v>
                </c:pt>
                <c:pt idx="109">
                  <c:v>-6.2353508984079196E-4</c:v>
                </c:pt>
                <c:pt idx="110">
                  <c:v>-1.30917793507743E-4</c:v>
                </c:pt>
                <c:pt idx="111">
                  <c:v>-1.0517531153172701E-4</c:v>
                </c:pt>
                <c:pt idx="112">
                  <c:v>4.8895205254617697E-5</c:v>
                </c:pt>
                <c:pt idx="113">
                  <c:v>7.8527226356673403E-4</c:v>
                </c:pt>
                <c:pt idx="114">
                  <c:v>1.29464729849477E-3</c:v>
                </c:pt>
                <c:pt idx="115">
                  <c:v>1.52110746968967E-3</c:v>
                </c:pt>
                <c:pt idx="116">
                  <c:v>7.5991073081508296E-4</c:v>
                </c:pt>
                <c:pt idx="117">
                  <c:v>1.4457818139438599E-3</c:v>
                </c:pt>
                <c:pt idx="118">
                  <c:v>8.1061577692410197E-4</c:v>
                </c:pt>
                <c:pt idx="119">
                  <c:v>5.6975426169216599E-4</c:v>
                </c:pt>
                <c:pt idx="120">
                  <c:v>1.5124424177595801E-4</c:v>
                </c:pt>
                <c:pt idx="121">
                  <c:v>5.9512492775249E-4</c:v>
                </c:pt>
                <c:pt idx="122">
                  <c:v>1.3042383196836501E-3</c:v>
                </c:pt>
                <c:pt idx="123">
                  <c:v>1.3450972346127799E-3</c:v>
                </c:pt>
                <c:pt idx="124">
                  <c:v>1.4709082177489399E-3</c:v>
                </c:pt>
                <c:pt idx="125">
                  <c:v>2.2564016204652199E-3</c:v>
                </c:pt>
                <c:pt idx="126">
                  <c:v>1.4206375328355001E-3</c:v>
                </c:pt>
                <c:pt idx="127">
                  <c:v>2.6706365076847398E-3</c:v>
                </c:pt>
                <c:pt idx="128">
                  <c:v>2.0323824850343101E-3</c:v>
                </c:pt>
                <c:pt idx="129">
                  <c:v>2.9902699804149999E-3</c:v>
                </c:pt>
                <c:pt idx="130">
                  <c:v>2.0766904067631999E-3</c:v>
                </c:pt>
                <c:pt idx="131">
                  <c:v>2.2517175096210102E-3</c:v>
                </c:pt>
                <c:pt idx="132">
                  <c:v>3.4573317558883299E-3</c:v>
                </c:pt>
                <c:pt idx="133">
                  <c:v>3.06419685000787E-3</c:v>
                </c:pt>
                <c:pt idx="134">
                  <c:v>3.4083716942243198E-3</c:v>
                </c:pt>
                <c:pt idx="135">
                  <c:v>2.2517175096210102E-3</c:v>
                </c:pt>
                <c:pt idx="136">
                  <c:v>2.5217001611489501E-3</c:v>
                </c:pt>
                <c:pt idx="137">
                  <c:v>2.0265214962217298E-3</c:v>
                </c:pt>
                <c:pt idx="138">
                  <c:v>1.72399244366527E-3</c:v>
                </c:pt>
                <c:pt idx="139">
                  <c:v>2.0962239759738399E-3</c:v>
                </c:pt>
                <c:pt idx="140">
                  <c:v>4.14347722579229E-4</c:v>
                </c:pt>
                <c:pt idx="141">
                  <c:v>1.605291984392E-3</c:v>
                </c:pt>
                <c:pt idx="142">
                  <c:v>1.03027059829308E-3</c:v>
                </c:pt>
                <c:pt idx="143">
                  <c:v>1.2595702869123201E-3</c:v>
                </c:pt>
                <c:pt idx="144">
                  <c:v>4.9149940591309801E-4</c:v>
                </c:pt>
                <c:pt idx="145">
                  <c:v>1.05582159324121E-3</c:v>
                </c:pt>
                <c:pt idx="146">
                  <c:v>9.904309183007289E-4</c:v>
                </c:pt>
                <c:pt idx="147">
                  <c:v>9.904309183007289E-4</c:v>
                </c:pt>
                <c:pt idx="148">
                  <c:v>-1.7390527554688901E-4</c:v>
                </c:pt>
                <c:pt idx="149">
                  <c:v>-3.6342850617866398E-4</c:v>
                </c:pt>
                <c:pt idx="150">
                  <c:v>1.70625143234741E-3</c:v>
                </c:pt>
                <c:pt idx="151">
                  <c:v>2.0766904067631999E-3</c:v>
                </c:pt>
                <c:pt idx="152">
                  <c:v>4.02946415464043E-4</c:v>
                </c:pt>
                <c:pt idx="153">
                  <c:v>2.0323824850343101E-3</c:v>
                </c:pt>
                <c:pt idx="154">
                  <c:v>1.9073055895643099E-3</c:v>
                </c:pt>
                <c:pt idx="155">
                  <c:v>1.43689446552852E-3</c:v>
                </c:pt>
                <c:pt idx="156">
                  <c:v>3.0029976599556599E-4</c:v>
                </c:pt>
                <c:pt idx="157">
                  <c:v>8.7478097537512802E-4</c:v>
                </c:pt>
                <c:pt idx="158">
                  <c:v>1.04131499071492E-3</c:v>
                </c:pt>
                <c:pt idx="159">
                  <c:v>6.9642793780501898E-4</c:v>
                </c:pt>
                <c:pt idx="160">
                  <c:v>7.7297417176751704E-4</c:v>
                </c:pt>
                <c:pt idx="161">
                  <c:v>1.3450972346127799E-3</c:v>
                </c:pt>
                <c:pt idx="162">
                  <c:v>5.8187383950671903E-4</c:v>
                </c:pt>
                <c:pt idx="163">
                  <c:v>5.8187383950671903E-4</c:v>
                </c:pt>
                <c:pt idx="164">
                  <c:v>7.7297417176751704E-4</c:v>
                </c:pt>
                <c:pt idx="165">
                  <c:v>7.2196159116128E-4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FALN_ANGL_2!$V$1</c:f>
              <c:strCache>
                <c:ptCount val="1"/>
                <c:pt idx="0">
                  <c:v>log diff FALN x 10 dma / ANGL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FALN_ANGL_2!$V$2:$V$167</c:f>
              <c:numCache>
                <c:formatCode>0.00%</c:formatCode>
                <c:ptCount val="166"/>
                <c:pt idx="10">
                  <c:v>2.34204909524595E-4</c:v>
                </c:pt>
                <c:pt idx="11">
                  <c:v>2.52484767425096E-4</c:v>
                </c:pt>
                <c:pt idx="12">
                  <c:v>4.41671706559552E-4</c:v>
                </c:pt>
                <c:pt idx="13">
                  <c:v>-6.17339072532959E-5</c:v>
                </c:pt>
                <c:pt idx="14">
                  <c:v>-1.9874945447411401E-4</c:v>
                </c:pt>
                <c:pt idx="15">
                  <c:v>-2.2007003248049201E-4</c:v>
                </c:pt>
                <c:pt idx="16">
                  <c:v>8.8545033232960695E-4</c:v>
                </c:pt>
                <c:pt idx="17">
                  <c:v>8.5739166071203304E-4</c:v>
                </c:pt>
                <c:pt idx="18">
                  <c:v>1.44164540440629E-3</c:v>
                </c:pt>
                <c:pt idx="19">
                  <c:v>5.9594438298988899E-4</c:v>
                </c:pt>
                <c:pt idx="20">
                  <c:v>5.5937847602638999E-4</c:v>
                </c:pt>
                <c:pt idx="21">
                  <c:v>7.8338114510483796E-4</c:v>
                </c:pt>
                <c:pt idx="22">
                  <c:v>2.58408095908778E-4</c:v>
                </c:pt>
                <c:pt idx="23">
                  <c:v>1.16957787012228E-4</c:v>
                </c:pt>
                <c:pt idx="24">
                  <c:v>-1.2084195851591001E-3</c:v>
                </c:pt>
                <c:pt idx="25">
                  <c:v>-6.95756260829164E-4</c:v>
                </c:pt>
                <c:pt idx="26">
                  <c:v>-1.0075108048611199E-3</c:v>
                </c:pt>
                <c:pt idx="27">
                  <c:v>-2.2424811538453398E-3</c:v>
                </c:pt>
                <c:pt idx="28">
                  <c:v>-2.2561385027905501E-3</c:v>
                </c:pt>
                <c:pt idx="29">
                  <c:v>-2.1731474398036001E-3</c:v>
                </c:pt>
                <c:pt idx="30">
                  <c:v>-1.5889988029158301E-3</c:v>
                </c:pt>
                <c:pt idx="31">
                  <c:v>-4.8822104354604698E-4</c:v>
                </c:pt>
                <c:pt idx="32">
                  <c:v>-8.8486290329378204E-4</c:v>
                </c:pt>
                <c:pt idx="33">
                  <c:v>-9.9807036437670805E-4</c:v>
                </c:pt>
                <c:pt idx="34">
                  <c:v>-4.8701705901323301E-4</c:v>
                </c:pt>
                <c:pt idx="35">
                  <c:v>-7.1871408614484296E-4</c:v>
                </c:pt>
                <c:pt idx="36">
                  <c:v>2.47249661490277E-4</c:v>
                </c:pt>
                <c:pt idx="37">
                  <c:v>1.0831440777567499E-3</c:v>
                </c:pt>
                <c:pt idx="38">
                  <c:v>1.14837145099692E-3</c:v>
                </c:pt>
                <c:pt idx="39">
                  <c:v>-1.87265378580836E-3</c:v>
                </c:pt>
                <c:pt idx="40">
                  <c:v>-7.5542736888938695E-4</c:v>
                </c:pt>
                <c:pt idx="41">
                  <c:v>-1.00348756919603E-4</c:v>
                </c:pt>
                <c:pt idx="42">
                  <c:v>9.7987885712948197E-4</c:v>
                </c:pt>
                <c:pt idx="43">
                  <c:v>-6.8209796743233997E-4</c:v>
                </c:pt>
                <c:pt idx="44">
                  <c:v>4.0698104579059403E-4</c:v>
                </c:pt>
                <c:pt idx="45">
                  <c:v>-1.38486897625358E-4</c:v>
                </c:pt>
                <c:pt idx="46">
                  <c:v>-4.3336373805078198E-4</c:v>
                </c:pt>
                <c:pt idx="47">
                  <c:v>-1.26877376205638E-3</c:v>
                </c:pt>
                <c:pt idx="48">
                  <c:v>-9.31544336171012E-4</c:v>
                </c:pt>
                <c:pt idx="49">
                  <c:v>6.1495689639578296E-4</c:v>
                </c:pt>
                <c:pt idx="50">
                  <c:v>1.0933890004552901E-3</c:v>
                </c:pt>
                <c:pt idx="51">
                  <c:v>-5.7084174840938795E-4</c:v>
                </c:pt>
                <c:pt idx="52">
                  <c:v>7.4577233281384605E-4</c:v>
                </c:pt>
                <c:pt idx="53">
                  <c:v>6.3772234117646497E-4</c:v>
                </c:pt>
                <c:pt idx="54">
                  <c:v>1.4603835572802499E-3</c:v>
                </c:pt>
                <c:pt idx="55">
                  <c:v>1.9101111456734301E-3</c:v>
                </c:pt>
                <c:pt idx="56">
                  <c:v>1.325725119058E-3</c:v>
                </c:pt>
                <c:pt idx="57">
                  <c:v>1.3202434226155799E-3</c:v>
                </c:pt>
                <c:pt idx="58">
                  <c:v>-3.6976252002309001E-4</c:v>
                </c:pt>
                <c:pt idx="59">
                  <c:v>6.4848103332844299E-4</c:v>
                </c:pt>
                <c:pt idx="60">
                  <c:v>1.7575204953299001E-4</c:v>
                </c:pt>
                <c:pt idx="61">
                  <c:v>1.7403696485957001E-4</c:v>
                </c:pt>
                <c:pt idx="62">
                  <c:v>-5.46522033786965E-4</c:v>
                </c:pt>
                <c:pt idx="63">
                  <c:v>-1.45747847140755E-3</c:v>
                </c:pt>
                <c:pt idx="64">
                  <c:v>-1.6237272386768001E-3</c:v>
                </c:pt>
                <c:pt idx="65">
                  <c:v>-9.0724997680044603E-4</c:v>
                </c:pt>
                <c:pt idx="66">
                  <c:v>-5.8476829961774505E-4</c:v>
                </c:pt>
                <c:pt idx="67">
                  <c:v>-1.7095805855481901E-3</c:v>
                </c:pt>
                <c:pt idx="68">
                  <c:v>-1.16020026330161E-3</c:v>
                </c:pt>
                <c:pt idx="69">
                  <c:v>-3.8571625759686097E-4</c:v>
                </c:pt>
                <c:pt idx="70">
                  <c:v>-6.3559442870734302E-4</c:v>
                </c:pt>
                <c:pt idx="71">
                  <c:v>-1.2994319315855301E-3</c:v>
                </c:pt>
                <c:pt idx="72">
                  <c:v>-7.1895316061827697E-4</c:v>
                </c:pt>
                <c:pt idx="73">
                  <c:v>-2.7938991937158901E-4</c:v>
                </c:pt>
                <c:pt idx="74">
                  <c:v>-4.2883874534350102E-4</c:v>
                </c:pt>
                <c:pt idx="75">
                  <c:v>-2.39020847674919E-4</c:v>
                </c:pt>
                <c:pt idx="76">
                  <c:v>-6.1470329148875097E-4</c:v>
                </c:pt>
                <c:pt idx="77">
                  <c:v>2.78690671807571E-4</c:v>
                </c:pt>
                <c:pt idx="78">
                  <c:v>6.3014814726453702E-4</c:v>
                </c:pt>
                <c:pt idx="79">
                  <c:v>8.6441697438524904E-4</c:v>
                </c:pt>
                <c:pt idx="80">
                  <c:v>-5.22643663118654E-4</c:v>
                </c:pt>
                <c:pt idx="81">
                  <c:v>-9.4428577774534198E-4</c:v>
                </c:pt>
                <c:pt idx="82">
                  <c:v>-4.83916592324255E-4</c:v>
                </c:pt>
                <c:pt idx="83">
                  <c:v>-3.4822874723441E-4</c:v>
                </c:pt>
                <c:pt idx="84">
                  <c:v>2.5608197474168398E-4</c:v>
                </c:pt>
                <c:pt idx="85">
                  <c:v>1.21940634010632E-4</c:v>
                </c:pt>
                <c:pt idx="86">
                  <c:v>1.6230006581366501E-3</c:v>
                </c:pt>
                <c:pt idx="87">
                  <c:v>1.6527125643282701E-3</c:v>
                </c:pt>
                <c:pt idx="88">
                  <c:v>9.2341947210951801E-4</c:v>
                </c:pt>
                <c:pt idx="89">
                  <c:v>1.0554487819206899E-3</c:v>
                </c:pt>
                <c:pt idx="90">
                  <c:v>6.1289701470940096E-4</c:v>
                </c:pt>
                <c:pt idx="91">
                  <c:v>4.7003551367118599E-4</c:v>
                </c:pt>
                <c:pt idx="92">
                  <c:v>8.9588800167930596E-4</c:v>
                </c:pt>
                <c:pt idx="93">
                  <c:v>7.35413535818688E-4</c:v>
                </c:pt>
                <c:pt idx="94">
                  <c:v>2.9198085796115498E-4</c:v>
                </c:pt>
                <c:pt idx="95">
                  <c:v>1.72235833095549E-3</c:v>
                </c:pt>
                <c:pt idx="96">
                  <c:v>5.2018309215815699E-4</c:v>
                </c:pt>
                <c:pt idx="97">
                  <c:v>9.1438666255406402E-4</c:v>
                </c:pt>
                <c:pt idx="98">
                  <c:v>-4.3308640272072998E-4</c:v>
                </c:pt>
                <c:pt idx="99">
                  <c:v>-4.29377095514007E-5</c:v>
                </c:pt>
                <c:pt idx="100">
                  <c:v>3.5173335665569002E-4</c:v>
                </c:pt>
                <c:pt idx="101">
                  <c:v>4.74521370013105E-4</c:v>
                </c:pt>
                <c:pt idx="102">
                  <c:v>2.76917579999356E-4</c:v>
                </c:pt>
                <c:pt idx="103">
                  <c:v>-8.1713046135711495E-4</c:v>
                </c:pt>
                <c:pt idx="104">
                  <c:v>-9.2763169647907596E-4</c:v>
                </c:pt>
                <c:pt idx="105">
                  <c:v>-1.10252018760988E-3</c:v>
                </c:pt>
                <c:pt idx="106">
                  <c:v>-9.1021445267033796E-4</c:v>
                </c:pt>
                <c:pt idx="107">
                  <c:v>-3.8514875462869702E-4</c:v>
                </c:pt>
                <c:pt idx="108">
                  <c:v>2.4833211803576501E-4</c:v>
                </c:pt>
                <c:pt idx="109">
                  <c:v>-5.3463485279072599E-6</c:v>
                </c:pt>
                <c:pt idx="110">
                  <c:v>5.0218497660802104E-4</c:v>
                </c:pt>
                <c:pt idx="111">
                  <c:v>5.3564050240153898E-4</c:v>
                </c:pt>
                <c:pt idx="112">
                  <c:v>7.1788769168881902E-4</c:v>
                </c:pt>
                <c:pt idx="113">
                  <c:v>1.4603691356569401E-3</c:v>
                </c:pt>
                <c:pt idx="114">
                  <c:v>1.79912298593574E-3</c:v>
                </c:pt>
                <c:pt idx="115">
                  <c:v>1.7883820284037601E-3</c:v>
                </c:pt>
                <c:pt idx="116">
                  <c:v>7.4597030330098805E-4</c:v>
                </c:pt>
                <c:pt idx="117">
                  <c:v>1.22428236635743E-3</c:v>
                </c:pt>
                <c:pt idx="118">
                  <c:v>3.5283559635131497E-4</c:v>
                </c:pt>
                <c:pt idx="119">
                  <c:v>-1.0657007654918799E-5</c:v>
                </c:pt>
                <c:pt idx="120">
                  <c:v>-5.48575589399874E-4</c:v>
                </c:pt>
                <c:pt idx="121">
                  <c:v>-1.3293097188220001E-4</c:v>
                </c:pt>
                <c:pt idx="122">
                  <c:v>5.0611610174827596E-4</c:v>
                </c:pt>
                <c:pt idx="123">
                  <c:v>4.2141755467487601E-4</c:v>
                </c:pt>
                <c:pt idx="124">
                  <c:v>4.9125239458694598E-4</c:v>
                </c:pt>
                <c:pt idx="125">
                  <c:v>1.2591266541708999E-3</c:v>
                </c:pt>
                <c:pt idx="126">
                  <c:v>3.4989597196712199E-4</c:v>
                </c:pt>
                <c:pt idx="127">
                  <c:v>1.5338213731588401E-3</c:v>
                </c:pt>
                <c:pt idx="128">
                  <c:v>7.7318719074100301E-4</c:v>
                </c:pt>
                <c:pt idx="129">
                  <c:v>1.60891037409047E-3</c:v>
                </c:pt>
                <c:pt idx="130">
                  <c:v>4.5334636886574099E-4</c:v>
                </c:pt>
                <c:pt idx="131">
                  <c:v>4.35712164741547E-4</c:v>
                </c:pt>
                <c:pt idx="132">
                  <c:v>1.47558835211604E-3</c:v>
                </c:pt>
                <c:pt idx="133">
                  <c:v>8.6720679739695503E-4</c:v>
                </c:pt>
                <c:pt idx="134">
                  <c:v>1.0394581972252199E-3</c:v>
                </c:pt>
                <c:pt idx="135">
                  <c:v>-3.1094743141732998E-4</c:v>
                </c:pt>
                <c:pt idx="136">
                  <c:v>-4.0496224338140898E-5</c:v>
                </c:pt>
                <c:pt idx="137">
                  <c:v>-6.4585232204083501E-4</c:v>
                </c:pt>
                <c:pt idx="138">
                  <c:v>-8.8395108852544599E-4</c:v>
                </c:pt>
                <c:pt idx="139">
                  <c:v>-4.8085851500056901E-4</c:v>
                </c:pt>
                <c:pt idx="140">
                  <c:v>-2.07333113649538E-3</c:v>
                </c:pt>
                <c:pt idx="141">
                  <c:v>-7.1595981902649198E-4</c:v>
                </c:pt>
                <c:pt idx="142">
                  <c:v>-1.2263153491997301E-3</c:v>
                </c:pt>
                <c:pt idx="143">
                  <c:v>-7.5433583141981599E-4</c:v>
                </c:pt>
                <c:pt idx="144">
                  <c:v>-1.34198701066669E-3</c:v>
                </c:pt>
                <c:pt idx="145">
                  <c:v>-4.8605397843761198E-4</c:v>
                </c:pt>
                <c:pt idx="146">
                  <c:v>-4.31875583887274E-4</c:v>
                </c:pt>
                <c:pt idx="147">
                  <c:v>-2.78811458524946E-4</c:v>
                </c:pt>
                <c:pt idx="148">
                  <c:v>-1.3395687382552399E-3</c:v>
                </c:pt>
                <c:pt idx="149">
                  <c:v>-1.33924604021007E-3</c:v>
                </c:pt>
                <c:pt idx="150">
                  <c:v>9.7639587235479205E-4</c:v>
                </c:pt>
                <c:pt idx="151">
                  <c:v>1.2176788096632E-3</c:v>
                </c:pt>
                <c:pt idx="152">
                  <c:v>-5.0315986560384802E-4</c:v>
                </c:pt>
                <c:pt idx="153">
                  <c:v>1.1890185437168799E-3</c:v>
                </c:pt>
                <c:pt idx="154">
                  <c:v>9.8671944693909603E-4</c:v>
                </c:pt>
                <c:pt idx="155">
                  <c:v>3.7475714431043798E-4</c:v>
                </c:pt>
                <c:pt idx="156">
                  <c:v>-7.9993854901071399E-4</c:v>
                </c:pt>
                <c:pt idx="157">
                  <c:v>-1.56415207151651E-4</c:v>
                </c:pt>
                <c:pt idx="158">
                  <c:v>2.16848758518287E-5</c:v>
                </c:pt>
                <c:pt idx="159">
                  <c:v>-4.4480282791442002E-4</c:v>
                </c:pt>
                <c:pt idx="160">
                  <c:v>-4.7435122901550201E-4</c:v>
                </c:pt>
                <c:pt idx="161">
                  <c:v>1.9109592824823499E-4</c:v>
                </c:pt>
                <c:pt idx="162">
                  <c:v>-4.99011551579724E-4</c:v>
                </c:pt>
                <c:pt idx="163">
                  <c:v>-5.1691498680875097E-4</c:v>
                </c:pt>
                <c:pt idx="164">
                  <c:v>-1.80804508414118E-4</c:v>
                </c:pt>
                <c:pt idx="165">
                  <c:v>-1.18434186945219E-4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FALN_ANGL_2!$W$1</c:f>
              <c:strCache>
                <c:ptCount val="1"/>
                <c:pt idx="0">
                  <c:v>log diff FALN x 20 dma / ANGL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FALN_ANGL_2!$W$2:$W$167</c:f>
              <c:numCache>
                <c:formatCode>0.00%</c:formatCode>
                <c:ptCount val="166"/>
                <c:pt idx="20">
                  <c:v>9.7432527208692597E-4</c:v>
                </c:pt>
                <c:pt idx="21">
                  <c:v>1.1966746915550901E-3</c:v>
                </c:pt>
                <c:pt idx="22">
                  <c:v>6.8359433780404205E-4</c:v>
                </c:pt>
                <c:pt idx="23">
                  <c:v>4.9260478475389403E-4</c:v>
                </c:pt>
                <c:pt idx="24">
                  <c:v>-8.17069111488468E-4</c:v>
                </c:pt>
                <c:pt idx="25">
                  <c:v>-3.390211316353E-4</c:v>
                </c:pt>
                <c:pt idx="26">
                  <c:v>-6.4265582287776398E-4</c:v>
                </c:pt>
                <c:pt idx="27">
                  <c:v>-1.9251185573966501E-3</c:v>
                </c:pt>
                <c:pt idx="28">
                  <c:v>-2.1203901600516501E-3</c:v>
                </c:pt>
                <c:pt idx="29">
                  <c:v>-2.2813037804003599E-3</c:v>
                </c:pt>
                <c:pt idx="30">
                  <c:v>-1.8852493622838499E-3</c:v>
                </c:pt>
                <c:pt idx="31">
                  <c:v>-9.7920355666372E-4</c:v>
                </c:pt>
                <c:pt idx="32">
                  <c:v>-1.5562094552615099E-3</c:v>
                </c:pt>
                <c:pt idx="33">
                  <c:v>-1.8269094767388E-3</c:v>
                </c:pt>
                <c:pt idx="34">
                  <c:v>-1.50079277761753E-3</c:v>
                </c:pt>
                <c:pt idx="35">
                  <c:v>-1.7864089100101601E-3</c:v>
                </c:pt>
                <c:pt idx="36">
                  <c:v>-9.4012648514843196E-4</c:v>
                </c:pt>
                <c:pt idx="37">
                  <c:v>-1.02065788270525E-4</c:v>
                </c:pt>
                <c:pt idx="38">
                  <c:v>1.3400846994093799E-4</c:v>
                </c:pt>
                <c:pt idx="39">
                  <c:v>-2.6471418213345199E-3</c:v>
                </c:pt>
                <c:pt idx="40">
                  <c:v>-1.44315697001949E-3</c:v>
                </c:pt>
                <c:pt idx="41">
                  <c:v>-6.7821888011545899E-4</c:v>
                </c:pt>
                <c:pt idx="42">
                  <c:v>4.7617667105744998E-4</c:v>
                </c:pt>
                <c:pt idx="43">
                  <c:v>-1.01877718343896E-3</c:v>
                </c:pt>
                <c:pt idx="44">
                  <c:v>1.90981465395012E-4</c:v>
                </c:pt>
                <c:pt idx="45">
                  <c:v>-2.6606385609880603E-4</c:v>
                </c:pt>
                <c:pt idx="46">
                  <c:v>-4.3676699177197103E-4</c:v>
                </c:pt>
                <c:pt idx="47">
                  <c:v>-1.25052800285568E-3</c:v>
                </c:pt>
                <c:pt idx="48">
                  <c:v>-1.0767223425763E-3</c:v>
                </c:pt>
                <c:pt idx="49">
                  <c:v>2.8264225472492301E-4</c:v>
                </c:pt>
                <c:pt idx="50">
                  <c:v>9.14742210644203E-4</c:v>
                </c:pt>
                <c:pt idx="51">
                  <c:v>-6.4781689546402005E-4</c:v>
                </c:pt>
                <c:pt idx="52">
                  <c:v>6.7596483163592997E-4</c:v>
                </c:pt>
                <c:pt idx="53">
                  <c:v>5.0642007985267498E-4</c:v>
                </c:pt>
                <c:pt idx="54">
                  <c:v>1.39981511570418E-3</c:v>
                </c:pt>
                <c:pt idx="55">
                  <c:v>1.8730164213532699E-3</c:v>
                </c:pt>
                <c:pt idx="56">
                  <c:v>1.37101176316452E-3</c:v>
                </c:pt>
                <c:pt idx="57">
                  <c:v>1.49237124614456E-3</c:v>
                </c:pt>
                <c:pt idx="58">
                  <c:v>6.4920941914196103E-5</c:v>
                </c:pt>
                <c:pt idx="59">
                  <c:v>1.2733665836221499E-3</c:v>
                </c:pt>
                <c:pt idx="60">
                  <c:v>7.7359109992066399E-4</c:v>
                </c:pt>
                <c:pt idx="61">
                  <c:v>7.1117128581704204E-4</c:v>
                </c:pt>
                <c:pt idx="62">
                  <c:v>1.1293311624806E-4</c:v>
                </c:pt>
                <c:pt idx="63">
                  <c:v>-7.7803159768877097E-4</c:v>
                </c:pt>
                <c:pt idx="64">
                  <c:v>-1.03407144643276E-3</c:v>
                </c:pt>
                <c:pt idx="65">
                  <c:v>-4.5954892015604099E-4</c:v>
                </c:pt>
                <c:pt idx="66">
                  <c:v>-3.3186805799014798E-4</c:v>
                </c:pt>
                <c:pt idx="67">
                  <c:v>-1.6193874024581401E-3</c:v>
                </c:pt>
                <c:pt idx="68">
                  <c:v>-1.35918916911749E-3</c:v>
                </c:pt>
                <c:pt idx="69">
                  <c:v>-7.1575417254191704E-4</c:v>
                </c:pt>
                <c:pt idx="70">
                  <c:v>-1.11439392080174E-3</c:v>
                </c:pt>
                <c:pt idx="71">
                  <c:v>-1.8804899782253999E-3</c:v>
                </c:pt>
                <c:pt idx="72">
                  <c:v>-1.52265141420263E-3</c:v>
                </c:pt>
                <c:pt idx="73">
                  <c:v>-1.1733218323664999E-3</c:v>
                </c:pt>
                <c:pt idx="74">
                  <c:v>-1.31642614721202E-3</c:v>
                </c:pt>
                <c:pt idx="75">
                  <c:v>-1.0604095855278101E-3</c:v>
                </c:pt>
                <c:pt idx="76">
                  <c:v>-1.38878292453632E-3</c:v>
                </c:pt>
                <c:pt idx="77">
                  <c:v>-5.0407222853666002E-4</c:v>
                </c:pt>
                <c:pt idx="78">
                  <c:v>1.0868772646872901E-5</c:v>
                </c:pt>
                <c:pt idx="79">
                  <c:v>3.3210163596902301E-4</c:v>
                </c:pt>
                <c:pt idx="80">
                  <c:v>-9.6107785180405097E-4</c:v>
                </c:pt>
                <c:pt idx="81">
                  <c:v>-1.33252122721285E-3</c:v>
                </c:pt>
                <c:pt idx="82">
                  <c:v>-7.6150132308565896E-4</c:v>
                </c:pt>
                <c:pt idx="83">
                  <c:v>-5.5284595674792096E-4</c:v>
                </c:pt>
                <c:pt idx="84">
                  <c:v>5.8082670912138098E-5</c:v>
                </c:pt>
                <c:pt idx="85">
                  <c:v>-3.2566680614350001E-5</c:v>
                </c:pt>
                <c:pt idx="86">
                  <c:v>1.5198293190802801E-3</c:v>
                </c:pt>
                <c:pt idx="87">
                  <c:v>1.7299697666251E-3</c:v>
                </c:pt>
                <c:pt idx="88">
                  <c:v>1.0559413232216399E-3</c:v>
                </c:pt>
                <c:pt idx="89">
                  <c:v>1.18830706534782E-3</c:v>
                </c:pt>
                <c:pt idx="90">
                  <c:v>7.5932147639453805E-4</c:v>
                </c:pt>
                <c:pt idx="91">
                  <c:v>7.2612219778757695E-4</c:v>
                </c:pt>
                <c:pt idx="92">
                  <c:v>1.2694787324992001E-3</c:v>
                </c:pt>
                <c:pt idx="93">
                  <c:v>1.23144437578535E-3</c:v>
                </c:pt>
                <c:pt idx="94">
                  <c:v>9.1580606231471396E-4</c:v>
                </c:pt>
                <c:pt idx="95">
                  <c:v>2.3959576279818698E-3</c:v>
                </c:pt>
                <c:pt idx="96">
                  <c:v>1.33863767706129E-3</c:v>
                </c:pt>
                <c:pt idx="97">
                  <c:v>1.6579316898246001E-3</c:v>
                </c:pt>
                <c:pt idx="98">
                  <c:v>2.7145770989806E-4</c:v>
                </c:pt>
                <c:pt idx="99">
                  <c:v>6.3629675535391305E-4</c:v>
                </c:pt>
                <c:pt idx="100">
                  <c:v>1.02112649576623E-3</c:v>
                </c:pt>
                <c:pt idx="101">
                  <c:v>1.1263438737587801E-3</c:v>
                </c:pt>
                <c:pt idx="102">
                  <c:v>8.9774342724080697E-4</c:v>
                </c:pt>
                <c:pt idx="103">
                  <c:v>-2.7160312842576501E-4</c:v>
                </c:pt>
                <c:pt idx="104">
                  <c:v>-5.09082946574267E-4</c:v>
                </c:pt>
                <c:pt idx="105">
                  <c:v>-7.6733564866029297E-4</c:v>
                </c:pt>
                <c:pt idx="106">
                  <c:v>-8.3014833307105897E-4</c:v>
                </c:pt>
                <c:pt idx="107">
                  <c:v>-3.95277882589023E-4</c:v>
                </c:pt>
                <c:pt idx="108">
                  <c:v>1.34850387467105E-4</c:v>
                </c:pt>
                <c:pt idx="109">
                  <c:v>-9.8713532607035395E-5</c:v>
                </c:pt>
                <c:pt idx="110">
                  <c:v>3.8837941473530399E-4</c:v>
                </c:pt>
                <c:pt idx="111">
                  <c:v>3.6411494410030099E-4</c:v>
                </c:pt>
                <c:pt idx="112">
                  <c:v>4.6688927019562901E-4</c:v>
                </c:pt>
                <c:pt idx="113">
                  <c:v>1.1752108443546E-3</c:v>
                </c:pt>
                <c:pt idx="114">
                  <c:v>1.6223525891142E-3</c:v>
                </c:pt>
                <c:pt idx="115">
                  <c:v>1.7493455665963599E-3</c:v>
                </c:pt>
                <c:pt idx="116">
                  <c:v>9.5528469370308601E-4</c:v>
                </c:pt>
                <c:pt idx="117">
                  <c:v>1.6009523063680001E-3</c:v>
                </c:pt>
                <c:pt idx="118">
                  <c:v>9.1369939903985804E-4</c:v>
                </c:pt>
                <c:pt idx="119">
                  <c:v>5.8882257791257795E-4</c:v>
                </c:pt>
                <c:pt idx="120">
                  <c:v>1.18107796561914E-4</c:v>
                </c:pt>
                <c:pt idx="121">
                  <c:v>5.5173911110425902E-4</c:v>
                </c:pt>
                <c:pt idx="122">
                  <c:v>1.23994250710358E-3</c:v>
                </c:pt>
                <c:pt idx="123">
                  <c:v>1.2211253414627101E-3</c:v>
                </c:pt>
                <c:pt idx="124">
                  <c:v>1.2335934806556E-3</c:v>
                </c:pt>
                <c:pt idx="125">
                  <c:v>1.8916013023495899E-3</c:v>
                </c:pt>
                <c:pt idx="126">
                  <c:v>8.7843614221702702E-4</c:v>
                </c:pt>
                <c:pt idx="127">
                  <c:v>1.9915839419758401E-3</c:v>
                </c:pt>
                <c:pt idx="128">
                  <c:v>1.1739750308721699E-3</c:v>
                </c:pt>
                <c:pt idx="129">
                  <c:v>2.0094647323569701E-3</c:v>
                </c:pt>
                <c:pt idx="130">
                  <c:v>9.1521508434302501E-4</c:v>
                </c:pt>
                <c:pt idx="131">
                  <c:v>9.7983484160615495E-4</c:v>
                </c:pt>
                <c:pt idx="132">
                  <c:v>2.0675740649132601E-3</c:v>
                </c:pt>
                <c:pt idx="133">
                  <c:v>1.5040646486331199E-3</c:v>
                </c:pt>
                <c:pt idx="134">
                  <c:v>1.7343282887349999E-3</c:v>
                </c:pt>
                <c:pt idx="135">
                  <c:v>4.7205386164520798E-4</c:v>
                </c:pt>
                <c:pt idx="136">
                  <c:v>7.0550924263224697E-4</c:v>
                </c:pt>
                <c:pt idx="137">
                  <c:v>1.22221762357421E-4</c:v>
                </c:pt>
                <c:pt idx="138">
                  <c:v>-2.0934957936773001E-4</c:v>
                </c:pt>
                <c:pt idx="139">
                  <c:v>1.17181646465763E-4</c:v>
                </c:pt>
                <c:pt idx="140">
                  <c:v>-1.6410703415742601E-3</c:v>
                </c:pt>
                <c:pt idx="141">
                  <c:v>-4.6330468050952801E-4</c:v>
                </c:pt>
                <c:pt idx="142">
                  <c:v>-1.0888846350364399E-3</c:v>
                </c:pt>
                <c:pt idx="143">
                  <c:v>-8.4587360859324895E-4</c:v>
                </c:pt>
                <c:pt idx="144">
                  <c:v>-1.60966471560723E-3</c:v>
                </c:pt>
                <c:pt idx="145">
                  <c:v>-9.9631841175595501E-4</c:v>
                </c:pt>
                <c:pt idx="146">
                  <c:v>-1.0016581069276101E-3</c:v>
                </c:pt>
                <c:pt idx="147">
                  <c:v>-9.8013108203329593E-4</c:v>
                </c:pt>
                <c:pt idx="148">
                  <c:v>-2.0604487515439502E-3</c:v>
                </c:pt>
                <c:pt idx="149">
                  <c:v>-2.13955801253298E-3</c:v>
                </c:pt>
                <c:pt idx="150">
                  <c:v>9.7870465607938703E-5</c:v>
                </c:pt>
                <c:pt idx="151">
                  <c:v>4.8682597478282702E-4</c:v>
                </c:pt>
                <c:pt idx="152">
                  <c:v>-1.17817172441706E-3</c:v>
                </c:pt>
                <c:pt idx="153">
                  <c:v>6.0391872632332695E-4</c:v>
                </c:pt>
                <c:pt idx="154">
                  <c:v>5.3037348332211096E-4</c:v>
                </c:pt>
                <c:pt idx="155">
                  <c:v>1.3491678767836701E-4</c:v>
                </c:pt>
                <c:pt idx="156">
                  <c:v>-9.60959676611816E-4</c:v>
                </c:pt>
                <c:pt idx="157">
                  <c:v>-2.7543122105199097E-4</c:v>
                </c:pt>
                <c:pt idx="158">
                  <c:v>-5.1329132353403603E-5</c:v>
                </c:pt>
                <c:pt idx="159">
                  <c:v>-3.6209279187815197E-4</c:v>
                </c:pt>
                <c:pt idx="160">
                  <c:v>-2.15582836741227E-4</c:v>
                </c:pt>
                <c:pt idx="161">
                  <c:v>3.3860166024649399E-4</c:v>
                </c:pt>
                <c:pt idx="162">
                  <c:v>-4.11618178103233E-4</c:v>
                </c:pt>
                <c:pt idx="163">
                  <c:v>-3.8919438907587199E-4</c:v>
                </c:pt>
                <c:pt idx="164">
                  <c:v>-1.64208101917758E-4</c:v>
                </c:pt>
                <c:pt idx="165">
                  <c:v>-2.2929881233696599E-4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FALN_ANGL_2!$BY$22:$BY$167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-2.6040087919132005E-4</c:v>
                </c:pt>
                <c:pt idx="9">
                  <c:v>-5.2016789432217012E-4</c:v>
                </c:pt>
                <c:pt idx="10">
                  <c:v>-2.3471958188806712E-4</c:v>
                </c:pt>
                <c:pt idx="11">
                  <c:v>5.9193914594596277E-4</c:v>
                </c:pt>
                <c:pt idx="12">
                  <c:v>-2.9914338157780124E-5</c:v>
                </c:pt>
                <c:pt idx="13">
                  <c:v>-3.9164340703231313E-4</c:v>
                </c:pt>
                <c:pt idx="14">
                  <c:v>-1.5778340041225315E-4</c:v>
                </c:pt>
                <c:pt idx="15">
                  <c:v>-5.2016789432194417E-4</c:v>
                </c:pt>
                <c:pt idx="16">
                  <c:v>2.2994819176723187E-4</c:v>
                </c:pt>
                <c:pt idx="17">
                  <c:v>9.5379911009030891E-4</c:v>
                </c:pt>
                <c:pt idx="18">
                  <c:v>1.1143531353690786E-3</c:v>
                </c:pt>
                <c:pt idx="19">
                  <c:v>1.1143531353690786E-3</c:v>
                </c:pt>
                <c:pt idx="20">
                  <c:v>2.1065230957730383E-3</c:v>
                </c:pt>
                <c:pt idx="21">
                  <c:v>2.7073408026283582E-3</c:v>
                </c:pt>
                <c:pt idx="22">
                  <c:v>3.7107729497802386E-3</c:v>
                </c:pt>
                <c:pt idx="23">
                  <c:v>3.7107729497802386E-3</c:v>
                </c:pt>
                <c:pt idx="24">
                  <c:v>3.7107729497802386E-3</c:v>
                </c:pt>
                <c:pt idx="25">
                  <c:v>3.7107729497802386E-3</c:v>
                </c:pt>
                <c:pt idx="26">
                  <c:v>3.7107729497802386E-3</c:v>
                </c:pt>
                <c:pt idx="27">
                  <c:v>3.7107729497802386E-3</c:v>
                </c:pt>
                <c:pt idx="28">
                  <c:v>3.7107729497802386E-3</c:v>
                </c:pt>
                <c:pt idx="29">
                  <c:v>3.7107729497802386E-3</c:v>
                </c:pt>
                <c:pt idx="30">
                  <c:v>3.7107729497802386E-3</c:v>
                </c:pt>
                <c:pt idx="31">
                  <c:v>3.7107729497802386E-3</c:v>
                </c:pt>
                <c:pt idx="32">
                  <c:v>3.7107729497802386E-3</c:v>
                </c:pt>
                <c:pt idx="33">
                  <c:v>3.7107729497802386E-3</c:v>
                </c:pt>
                <c:pt idx="34">
                  <c:v>3.7107729497802386E-3</c:v>
                </c:pt>
                <c:pt idx="35">
                  <c:v>3.7107729497802386E-3</c:v>
                </c:pt>
                <c:pt idx="36">
                  <c:v>4.0978808999265984E-3</c:v>
                </c:pt>
                <c:pt idx="37">
                  <c:v>3.9184536030447779E-3</c:v>
                </c:pt>
                <c:pt idx="38">
                  <c:v>5.3150491395812377E-3</c:v>
                </c:pt>
                <c:pt idx="39">
                  <c:v>5.3150491395812377E-3</c:v>
                </c:pt>
                <c:pt idx="40">
                  <c:v>5.3150491395812377E-3</c:v>
                </c:pt>
                <c:pt idx="41">
                  <c:v>5.3150491395812377E-3</c:v>
                </c:pt>
                <c:pt idx="42">
                  <c:v>5.3150491395812377E-3</c:v>
                </c:pt>
                <c:pt idx="43">
                  <c:v>5.3150491395812377E-3</c:v>
                </c:pt>
                <c:pt idx="44">
                  <c:v>5.0750459658548477E-3</c:v>
                </c:pt>
                <c:pt idx="45">
                  <c:v>5.6008987912593879E-3</c:v>
                </c:pt>
                <c:pt idx="46">
                  <c:v>5.7311933190607473E-3</c:v>
                </c:pt>
                <c:pt idx="47">
                  <c:v>4.465931717663997E-3</c:v>
                </c:pt>
                <c:pt idx="48">
                  <c:v>4.7303267978125365E-3</c:v>
                </c:pt>
                <c:pt idx="49">
                  <c:v>5.3859050677950463E-3</c:v>
                </c:pt>
                <c:pt idx="50">
                  <c:v>4.9666811814616111E-3</c:v>
                </c:pt>
                <c:pt idx="51">
                  <c:v>4.1259858593896311E-3</c:v>
                </c:pt>
                <c:pt idx="52">
                  <c:v>4.4429118898552207E-3</c:v>
                </c:pt>
                <c:pt idx="53">
                  <c:v>4.7044740363157908E-3</c:v>
                </c:pt>
                <c:pt idx="54">
                  <c:v>4.4939711441307813E-3</c:v>
                </c:pt>
                <c:pt idx="55">
                  <c:v>4.6256752105527515E-3</c:v>
                </c:pt>
                <c:pt idx="56">
                  <c:v>4.1524993975996316E-3</c:v>
                </c:pt>
                <c:pt idx="57">
                  <c:v>4.8880639765535418E-3</c:v>
                </c:pt>
                <c:pt idx="58">
                  <c:v>5.2817327145422612E-3</c:v>
                </c:pt>
                <c:pt idx="59">
                  <c:v>5.5711241124011416E-3</c:v>
                </c:pt>
                <c:pt idx="60">
                  <c:v>5.5711241124011416E-3</c:v>
                </c:pt>
                <c:pt idx="61">
                  <c:v>5.5711241124011416E-3</c:v>
                </c:pt>
                <c:pt idx="62">
                  <c:v>5.5711241124011416E-3</c:v>
                </c:pt>
                <c:pt idx="63">
                  <c:v>5.5711241124011416E-3</c:v>
                </c:pt>
                <c:pt idx="64">
                  <c:v>5.5711241124011416E-3</c:v>
                </c:pt>
                <c:pt idx="65">
                  <c:v>5.5711241124011416E-3</c:v>
                </c:pt>
                <c:pt idx="66">
                  <c:v>5.5711241124011416E-3</c:v>
                </c:pt>
                <c:pt idx="67">
                  <c:v>5.5711241124011416E-3</c:v>
                </c:pt>
                <c:pt idx="68">
                  <c:v>5.5711241124011416E-3</c:v>
                </c:pt>
                <c:pt idx="69">
                  <c:v>5.5711241124011416E-3</c:v>
                </c:pt>
                <c:pt idx="70">
                  <c:v>5.5711241124011416E-3</c:v>
                </c:pt>
                <c:pt idx="71">
                  <c:v>5.5711241124011416E-3</c:v>
                </c:pt>
                <c:pt idx="72">
                  <c:v>5.5711241124011416E-3</c:v>
                </c:pt>
                <c:pt idx="73">
                  <c:v>5.5711241124011416E-3</c:v>
                </c:pt>
                <c:pt idx="74">
                  <c:v>5.5711241124011416E-3</c:v>
                </c:pt>
                <c:pt idx="75">
                  <c:v>5.5711241124011416E-3</c:v>
                </c:pt>
                <c:pt idx="76">
                  <c:v>6.4786128522088017E-3</c:v>
                </c:pt>
                <c:pt idx="77">
                  <c:v>6.031079149830562E-3</c:v>
                </c:pt>
                <c:pt idx="78">
                  <c:v>7.3037686602347622E-3</c:v>
                </c:pt>
                <c:pt idx="79">
                  <c:v>7.3037686602347622E-3</c:v>
                </c:pt>
                <c:pt idx="80">
                  <c:v>7.3037686602347622E-3</c:v>
                </c:pt>
                <c:pt idx="81">
                  <c:v>7.3037686602347622E-3</c:v>
                </c:pt>
                <c:pt idx="82">
                  <c:v>7.3037686602347622E-3</c:v>
                </c:pt>
                <c:pt idx="83">
                  <c:v>7.3037686602347622E-3</c:v>
                </c:pt>
                <c:pt idx="84">
                  <c:v>7.3037686602347622E-3</c:v>
                </c:pt>
                <c:pt idx="85">
                  <c:v>7.3037686602347622E-3</c:v>
                </c:pt>
                <c:pt idx="86">
                  <c:v>7.3037686602347622E-3</c:v>
                </c:pt>
                <c:pt idx="87">
                  <c:v>7.3037686602347622E-3</c:v>
                </c:pt>
                <c:pt idx="88">
                  <c:v>7.3037686602347622E-3</c:v>
                </c:pt>
                <c:pt idx="89">
                  <c:v>7.3037686602347622E-3</c:v>
                </c:pt>
                <c:pt idx="90">
                  <c:v>7.3037686602347622E-3</c:v>
                </c:pt>
                <c:pt idx="91">
                  <c:v>7.3037686602347622E-3</c:v>
                </c:pt>
                <c:pt idx="92">
                  <c:v>7.3037686602347622E-3</c:v>
                </c:pt>
                <c:pt idx="93">
                  <c:v>7.3037686602347622E-3</c:v>
                </c:pt>
                <c:pt idx="94">
                  <c:v>7.3037686602347622E-3</c:v>
                </c:pt>
                <c:pt idx="95">
                  <c:v>7.3037686602347622E-3</c:v>
                </c:pt>
                <c:pt idx="96">
                  <c:v>7.3037686602347622E-3</c:v>
                </c:pt>
                <c:pt idx="97">
                  <c:v>7.3037686602347622E-3</c:v>
                </c:pt>
                <c:pt idx="98">
                  <c:v>7.3037686602347622E-3</c:v>
                </c:pt>
                <c:pt idx="99">
                  <c:v>7.3037686602347622E-3</c:v>
                </c:pt>
                <c:pt idx="100">
                  <c:v>7.3037686602347622E-3</c:v>
                </c:pt>
                <c:pt idx="101">
                  <c:v>7.3037686602347622E-3</c:v>
                </c:pt>
                <c:pt idx="102">
                  <c:v>7.3037686602347622E-3</c:v>
                </c:pt>
                <c:pt idx="103">
                  <c:v>7.3037686602347622E-3</c:v>
                </c:pt>
                <c:pt idx="104">
                  <c:v>7.3037686602347622E-3</c:v>
                </c:pt>
                <c:pt idx="105">
                  <c:v>7.3037686602347622E-3</c:v>
                </c:pt>
                <c:pt idx="106">
                  <c:v>7.3037686602347622E-3</c:v>
                </c:pt>
                <c:pt idx="107">
                  <c:v>7.3037686602347622E-3</c:v>
                </c:pt>
                <c:pt idx="108">
                  <c:v>7.3037686602347622E-3</c:v>
                </c:pt>
                <c:pt idx="109">
                  <c:v>7.3037686602347622E-3</c:v>
                </c:pt>
                <c:pt idx="110">
                  <c:v>7.3037686602347622E-3</c:v>
                </c:pt>
                <c:pt idx="111">
                  <c:v>7.3037686602347622E-3</c:v>
                </c:pt>
                <c:pt idx="112">
                  <c:v>7.3037686602347622E-3</c:v>
                </c:pt>
                <c:pt idx="113">
                  <c:v>7.3037686602347622E-3</c:v>
                </c:pt>
                <c:pt idx="114">
                  <c:v>7.3037686602347622E-3</c:v>
                </c:pt>
                <c:pt idx="115">
                  <c:v>7.3037686602347622E-3</c:v>
                </c:pt>
                <c:pt idx="116">
                  <c:v>7.3037686602347622E-3</c:v>
                </c:pt>
                <c:pt idx="117">
                  <c:v>7.3037686602347622E-3</c:v>
                </c:pt>
                <c:pt idx="118">
                  <c:v>7.3037686602347622E-3</c:v>
                </c:pt>
                <c:pt idx="119">
                  <c:v>7.3037686602347622E-3</c:v>
                </c:pt>
                <c:pt idx="120">
                  <c:v>7.3037686602347622E-3</c:v>
                </c:pt>
                <c:pt idx="121">
                  <c:v>8.4947129220475717E-3</c:v>
                </c:pt>
                <c:pt idx="122">
                  <c:v>7.9196915359486721E-3</c:v>
                </c:pt>
                <c:pt idx="123">
                  <c:v>8.1489912245680026E-3</c:v>
                </c:pt>
                <c:pt idx="124">
                  <c:v>7.3809203435687143E-3</c:v>
                </c:pt>
                <c:pt idx="125">
                  <c:v>7.3809203435687143E-3</c:v>
                </c:pt>
                <c:pt idx="126">
                  <c:v>7.3155296686283145E-3</c:v>
                </c:pt>
                <c:pt idx="127">
                  <c:v>7.3155296686283145E-3</c:v>
                </c:pt>
                <c:pt idx="128">
                  <c:v>6.1511934747807756E-3</c:v>
                </c:pt>
                <c:pt idx="129">
                  <c:v>5.9616702441488059E-3</c:v>
                </c:pt>
                <c:pt idx="130">
                  <c:v>8.0313501826748852E-3</c:v>
                </c:pt>
                <c:pt idx="131">
                  <c:v>8.4017891570906562E-3</c:v>
                </c:pt>
                <c:pt idx="132">
                  <c:v>8.4017891570906562E-3</c:v>
                </c:pt>
                <c:pt idx="133">
                  <c:v>1.0031225226660955E-2</c:v>
                </c:pt>
                <c:pt idx="134">
                  <c:v>1.0031225226660955E-2</c:v>
                </c:pt>
                <c:pt idx="135">
                  <c:v>1.0031225226660955E-2</c:v>
                </c:pt>
                <c:pt idx="136">
                  <c:v>1.0031225226660955E-2</c:v>
                </c:pt>
                <c:pt idx="137">
                  <c:v>1.0605706436040495E-2</c:v>
                </c:pt>
                <c:pt idx="138">
                  <c:v>1.0772240451380144E-2</c:v>
                </c:pt>
                <c:pt idx="139">
                  <c:v>1.0427353398470158E-2</c:v>
                </c:pt>
                <c:pt idx="140">
                  <c:v>1.0503899632432628E-2</c:v>
                </c:pt>
                <c:pt idx="141">
                  <c:v>1.1076022695277927E-2</c:v>
                </c:pt>
                <c:pt idx="142">
                  <c:v>1.1076022695277927E-2</c:v>
                </c:pt>
                <c:pt idx="143">
                  <c:v>1.1076022695277927E-2</c:v>
                </c:pt>
                <c:pt idx="144">
                  <c:v>1.1076022695277927E-2</c:v>
                </c:pt>
                <c:pt idx="145">
                  <c:v>1.1076022695277927E-2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FALN_ANGL_2!$BJ$22:$BJ$167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-2.6040087919132005E-4</c:v>
                </c:pt>
                <c:pt idx="9">
                  <c:v>-5.2016789432217012E-4</c:v>
                </c:pt>
                <c:pt idx="10">
                  <c:v>-2.3471958188806712E-4</c:v>
                </c:pt>
                <c:pt idx="11">
                  <c:v>5.9193914594596277E-4</c:v>
                </c:pt>
                <c:pt idx="12">
                  <c:v>-2.9914338157780124E-5</c:v>
                </c:pt>
                <c:pt idx="13">
                  <c:v>-3.9164340703231313E-4</c:v>
                </c:pt>
                <c:pt idx="14">
                  <c:v>-1.5778340041225315E-4</c:v>
                </c:pt>
                <c:pt idx="15">
                  <c:v>-5.2016789432194417E-4</c:v>
                </c:pt>
                <c:pt idx="16">
                  <c:v>2.2994819176723187E-4</c:v>
                </c:pt>
                <c:pt idx="17">
                  <c:v>9.5379911009030891E-4</c:v>
                </c:pt>
                <c:pt idx="18">
                  <c:v>1.1143531353690786E-3</c:v>
                </c:pt>
                <c:pt idx="19">
                  <c:v>1.1143531353690786E-3</c:v>
                </c:pt>
                <c:pt idx="20">
                  <c:v>2.1065230957730383E-3</c:v>
                </c:pt>
                <c:pt idx="21">
                  <c:v>2.7073408026283582E-3</c:v>
                </c:pt>
                <c:pt idx="22">
                  <c:v>3.7107729497802386E-3</c:v>
                </c:pt>
                <c:pt idx="23">
                  <c:v>3.7107729497802386E-3</c:v>
                </c:pt>
                <c:pt idx="24">
                  <c:v>3.7107729497802386E-3</c:v>
                </c:pt>
                <c:pt idx="25">
                  <c:v>3.7107729497802386E-3</c:v>
                </c:pt>
                <c:pt idx="26">
                  <c:v>3.7107729497802386E-3</c:v>
                </c:pt>
                <c:pt idx="27">
                  <c:v>3.7107729497802386E-3</c:v>
                </c:pt>
                <c:pt idx="28">
                  <c:v>3.7107729497802386E-3</c:v>
                </c:pt>
                <c:pt idx="29">
                  <c:v>3.7107729497802386E-3</c:v>
                </c:pt>
                <c:pt idx="30">
                  <c:v>3.7107729497802386E-3</c:v>
                </c:pt>
                <c:pt idx="31">
                  <c:v>3.7107729497802386E-3</c:v>
                </c:pt>
                <c:pt idx="32">
                  <c:v>3.7107729497802386E-3</c:v>
                </c:pt>
                <c:pt idx="33">
                  <c:v>3.7107729497802386E-3</c:v>
                </c:pt>
                <c:pt idx="34">
                  <c:v>3.7107729497802386E-3</c:v>
                </c:pt>
                <c:pt idx="35">
                  <c:v>3.7107729497802386E-3</c:v>
                </c:pt>
                <c:pt idx="36">
                  <c:v>3.7107729497802386E-3</c:v>
                </c:pt>
                <c:pt idx="37">
                  <c:v>3.7107729497802386E-3</c:v>
                </c:pt>
                <c:pt idx="38">
                  <c:v>3.7107729497802386E-3</c:v>
                </c:pt>
                <c:pt idx="39">
                  <c:v>3.7107729497802386E-3</c:v>
                </c:pt>
                <c:pt idx="40">
                  <c:v>3.7107729497802386E-3</c:v>
                </c:pt>
                <c:pt idx="41">
                  <c:v>3.7107729497802386E-3</c:v>
                </c:pt>
                <c:pt idx="42">
                  <c:v>3.7107729497802386E-3</c:v>
                </c:pt>
                <c:pt idx="43">
                  <c:v>3.7107729497802386E-3</c:v>
                </c:pt>
                <c:pt idx="44">
                  <c:v>3.4707697760538486E-3</c:v>
                </c:pt>
                <c:pt idx="45">
                  <c:v>3.9966226014583883E-3</c:v>
                </c:pt>
                <c:pt idx="46">
                  <c:v>4.1269171292597478E-3</c:v>
                </c:pt>
                <c:pt idx="47">
                  <c:v>2.8616555278629975E-3</c:v>
                </c:pt>
                <c:pt idx="48">
                  <c:v>3.1260506080115374E-3</c:v>
                </c:pt>
                <c:pt idx="49">
                  <c:v>3.7816288779940472E-3</c:v>
                </c:pt>
                <c:pt idx="50">
                  <c:v>3.3624049916606124E-3</c:v>
                </c:pt>
                <c:pt idx="51">
                  <c:v>2.5217096695886324E-3</c:v>
                </c:pt>
                <c:pt idx="52">
                  <c:v>2.838635700054222E-3</c:v>
                </c:pt>
                <c:pt idx="53">
                  <c:v>3.1001978465147921E-3</c:v>
                </c:pt>
                <c:pt idx="54">
                  <c:v>2.8896949543297822E-3</c:v>
                </c:pt>
                <c:pt idx="55">
                  <c:v>3.0213990207517524E-3</c:v>
                </c:pt>
                <c:pt idx="56">
                  <c:v>2.5482232077986325E-3</c:v>
                </c:pt>
                <c:pt idx="57">
                  <c:v>3.2837877867525423E-3</c:v>
                </c:pt>
                <c:pt idx="58">
                  <c:v>3.6774565247412612E-3</c:v>
                </c:pt>
                <c:pt idx="59">
                  <c:v>3.9668479226001412E-3</c:v>
                </c:pt>
                <c:pt idx="60">
                  <c:v>3.9668479226001412E-3</c:v>
                </c:pt>
                <c:pt idx="61">
                  <c:v>3.9668479226001412E-3</c:v>
                </c:pt>
                <c:pt idx="62">
                  <c:v>3.9668479226001412E-3</c:v>
                </c:pt>
                <c:pt idx="63">
                  <c:v>3.9668479226001412E-3</c:v>
                </c:pt>
                <c:pt idx="64">
                  <c:v>3.9668479226001412E-3</c:v>
                </c:pt>
                <c:pt idx="65">
                  <c:v>3.9668479226001412E-3</c:v>
                </c:pt>
                <c:pt idx="66">
                  <c:v>3.9668479226001412E-3</c:v>
                </c:pt>
                <c:pt idx="67">
                  <c:v>3.9668479226001412E-3</c:v>
                </c:pt>
                <c:pt idx="68">
                  <c:v>3.9668479226001412E-3</c:v>
                </c:pt>
                <c:pt idx="69">
                  <c:v>3.9668479226001412E-3</c:v>
                </c:pt>
                <c:pt idx="70">
                  <c:v>3.9668479226001412E-3</c:v>
                </c:pt>
                <c:pt idx="71">
                  <c:v>3.9668479226001412E-3</c:v>
                </c:pt>
                <c:pt idx="72">
                  <c:v>3.9668479226001412E-3</c:v>
                </c:pt>
                <c:pt idx="73">
                  <c:v>3.9668479226001412E-3</c:v>
                </c:pt>
                <c:pt idx="74">
                  <c:v>3.9668479226001412E-3</c:v>
                </c:pt>
                <c:pt idx="75">
                  <c:v>3.9668479226001412E-3</c:v>
                </c:pt>
                <c:pt idx="76">
                  <c:v>3.9668479226001412E-3</c:v>
                </c:pt>
                <c:pt idx="77">
                  <c:v>3.9668479226001412E-3</c:v>
                </c:pt>
                <c:pt idx="78">
                  <c:v>3.9668479226001412E-3</c:v>
                </c:pt>
                <c:pt idx="79">
                  <c:v>3.9668479226001412E-3</c:v>
                </c:pt>
                <c:pt idx="80">
                  <c:v>3.9668479226001412E-3</c:v>
                </c:pt>
                <c:pt idx="81">
                  <c:v>3.9668479226001412E-3</c:v>
                </c:pt>
                <c:pt idx="82">
                  <c:v>3.9668479226001412E-3</c:v>
                </c:pt>
                <c:pt idx="83">
                  <c:v>3.9668479226001412E-3</c:v>
                </c:pt>
                <c:pt idx="84">
                  <c:v>3.9668479226001412E-3</c:v>
                </c:pt>
                <c:pt idx="85">
                  <c:v>3.9668479226001412E-3</c:v>
                </c:pt>
                <c:pt idx="86">
                  <c:v>3.9668479226001412E-3</c:v>
                </c:pt>
                <c:pt idx="87">
                  <c:v>3.9668479226001412E-3</c:v>
                </c:pt>
                <c:pt idx="88">
                  <c:v>3.9668479226001412E-3</c:v>
                </c:pt>
                <c:pt idx="89">
                  <c:v>3.9668479226001412E-3</c:v>
                </c:pt>
                <c:pt idx="90">
                  <c:v>3.9668479226001412E-3</c:v>
                </c:pt>
                <c:pt idx="91">
                  <c:v>3.9668479226001412E-3</c:v>
                </c:pt>
                <c:pt idx="92">
                  <c:v>3.9668479226001412E-3</c:v>
                </c:pt>
                <c:pt idx="93">
                  <c:v>3.9668479226001412E-3</c:v>
                </c:pt>
                <c:pt idx="94">
                  <c:v>3.9668479226001412E-3</c:v>
                </c:pt>
                <c:pt idx="95">
                  <c:v>3.9668479226001412E-3</c:v>
                </c:pt>
                <c:pt idx="96">
                  <c:v>3.9668479226001412E-3</c:v>
                </c:pt>
                <c:pt idx="97">
                  <c:v>3.9668479226001412E-3</c:v>
                </c:pt>
                <c:pt idx="98">
                  <c:v>3.9668479226001412E-3</c:v>
                </c:pt>
                <c:pt idx="99">
                  <c:v>3.9668479226001412E-3</c:v>
                </c:pt>
                <c:pt idx="100">
                  <c:v>3.9668479226001412E-3</c:v>
                </c:pt>
                <c:pt idx="101">
                  <c:v>3.9668479226001412E-3</c:v>
                </c:pt>
                <c:pt idx="102">
                  <c:v>3.9668479226001412E-3</c:v>
                </c:pt>
                <c:pt idx="103">
                  <c:v>3.9668479226001412E-3</c:v>
                </c:pt>
                <c:pt idx="104">
                  <c:v>3.9668479226001412E-3</c:v>
                </c:pt>
                <c:pt idx="105">
                  <c:v>3.9668479226001412E-3</c:v>
                </c:pt>
                <c:pt idx="106">
                  <c:v>3.9668479226001412E-3</c:v>
                </c:pt>
                <c:pt idx="107">
                  <c:v>3.9668479226001412E-3</c:v>
                </c:pt>
                <c:pt idx="108">
                  <c:v>3.9668479226001412E-3</c:v>
                </c:pt>
                <c:pt idx="109">
                  <c:v>3.9668479226001412E-3</c:v>
                </c:pt>
                <c:pt idx="110">
                  <c:v>3.9668479226001412E-3</c:v>
                </c:pt>
                <c:pt idx="111">
                  <c:v>3.9668479226001412E-3</c:v>
                </c:pt>
                <c:pt idx="112">
                  <c:v>3.9668479226001412E-3</c:v>
                </c:pt>
                <c:pt idx="113">
                  <c:v>3.9668479226001412E-3</c:v>
                </c:pt>
                <c:pt idx="114">
                  <c:v>3.9668479226001412E-3</c:v>
                </c:pt>
                <c:pt idx="115">
                  <c:v>3.9668479226001412E-3</c:v>
                </c:pt>
                <c:pt idx="116">
                  <c:v>3.9668479226001412E-3</c:v>
                </c:pt>
                <c:pt idx="117">
                  <c:v>3.9668479226001412E-3</c:v>
                </c:pt>
                <c:pt idx="118">
                  <c:v>3.9668479226001412E-3</c:v>
                </c:pt>
                <c:pt idx="119">
                  <c:v>3.9668479226001412E-3</c:v>
                </c:pt>
                <c:pt idx="120">
                  <c:v>3.9668479226001412E-3</c:v>
                </c:pt>
                <c:pt idx="121">
                  <c:v>5.1577921844129515E-3</c:v>
                </c:pt>
                <c:pt idx="122">
                  <c:v>4.5827707983140519E-3</c:v>
                </c:pt>
                <c:pt idx="123">
                  <c:v>4.8120704869333824E-3</c:v>
                </c:pt>
                <c:pt idx="124">
                  <c:v>4.0439996059340941E-3</c:v>
                </c:pt>
                <c:pt idx="125">
                  <c:v>4.0439996059340941E-3</c:v>
                </c:pt>
                <c:pt idx="126">
                  <c:v>3.9786089309936943E-3</c:v>
                </c:pt>
                <c:pt idx="127">
                  <c:v>3.9786089309936943E-3</c:v>
                </c:pt>
                <c:pt idx="128">
                  <c:v>2.8142727371461554E-3</c:v>
                </c:pt>
                <c:pt idx="129">
                  <c:v>2.6247495065141852E-3</c:v>
                </c:pt>
                <c:pt idx="130">
                  <c:v>4.694429445040265E-3</c:v>
                </c:pt>
                <c:pt idx="131">
                  <c:v>5.064868419456036E-3</c:v>
                </c:pt>
                <c:pt idx="132">
                  <c:v>5.064868419456036E-3</c:v>
                </c:pt>
                <c:pt idx="133">
                  <c:v>6.6943044890263358E-3</c:v>
                </c:pt>
                <c:pt idx="134">
                  <c:v>6.6943044890263358E-3</c:v>
                </c:pt>
                <c:pt idx="135">
                  <c:v>6.6943044890263358E-3</c:v>
                </c:pt>
                <c:pt idx="136">
                  <c:v>6.6943044890263358E-3</c:v>
                </c:pt>
                <c:pt idx="137">
                  <c:v>7.2687856984058755E-3</c:v>
                </c:pt>
                <c:pt idx="138">
                  <c:v>7.4353197137455255E-3</c:v>
                </c:pt>
                <c:pt idx="139">
                  <c:v>7.0904326608355397E-3</c:v>
                </c:pt>
                <c:pt idx="140">
                  <c:v>7.1669788947980101E-3</c:v>
                </c:pt>
                <c:pt idx="141">
                  <c:v>7.7391019576433101E-3</c:v>
                </c:pt>
                <c:pt idx="142">
                  <c:v>7.7391019576433101E-3</c:v>
                </c:pt>
                <c:pt idx="143">
                  <c:v>7.7391019576433101E-3</c:v>
                </c:pt>
                <c:pt idx="144">
                  <c:v>7.7391019576433101E-3</c:v>
                </c:pt>
                <c:pt idx="145">
                  <c:v>7.7391019576433101E-3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FALN_ANGL_2!$BV$22:$BV$167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3.8710795014635941E-4</c:v>
                </c:pt>
                <c:pt idx="37">
                  <c:v>2.0768065326453884E-4</c:v>
                </c:pt>
                <c:pt idx="38">
                  <c:v>1.6042761898009991E-3</c:v>
                </c:pt>
                <c:pt idx="39">
                  <c:v>1.6042761898009991E-3</c:v>
                </c:pt>
                <c:pt idx="40">
                  <c:v>1.6042761898009991E-3</c:v>
                </c:pt>
                <c:pt idx="41">
                  <c:v>1.6042761898009991E-3</c:v>
                </c:pt>
                <c:pt idx="42">
                  <c:v>1.6042761898009991E-3</c:v>
                </c:pt>
                <c:pt idx="43">
                  <c:v>1.6042761898009991E-3</c:v>
                </c:pt>
                <c:pt idx="44">
                  <c:v>1.6042761898009991E-3</c:v>
                </c:pt>
                <c:pt idx="45">
                  <c:v>1.6042761898009991E-3</c:v>
                </c:pt>
                <c:pt idx="46">
                  <c:v>1.6042761898009991E-3</c:v>
                </c:pt>
                <c:pt idx="47">
                  <c:v>1.6042761898009991E-3</c:v>
                </c:pt>
                <c:pt idx="48">
                  <c:v>1.6042761898009991E-3</c:v>
                </c:pt>
                <c:pt idx="49">
                  <c:v>1.6042761898009991E-3</c:v>
                </c:pt>
                <c:pt idx="50">
                  <c:v>1.6042761898009991E-3</c:v>
                </c:pt>
                <c:pt idx="51">
                  <c:v>1.6042761898009991E-3</c:v>
                </c:pt>
                <c:pt idx="52">
                  <c:v>1.6042761898009991E-3</c:v>
                </c:pt>
                <c:pt idx="53">
                  <c:v>1.6042761898009991E-3</c:v>
                </c:pt>
                <c:pt idx="54">
                  <c:v>1.6042761898009991E-3</c:v>
                </c:pt>
                <c:pt idx="55">
                  <c:v>1.6042761898009991E-3</c:v>
                </c:pt>
                <c:pt idx="56">
                  <c:v>1.6042761898009991E-3</c:v>
                </c:pt>
                <c:pt idx="57">
                  <c:v>1.6042761898009991E-3</c:v>
                </c:pt>
                <c:pt idx="58">
                  <c:v>1.6042761898009991E-3</c:v>
                </c:pt>
                <c:pt idx="59">
                  <c:v>1.6042761898009991E-3</c:v>
                </c:pt>
                <c:pt idx="60">
                  <c:v>1.6042761898009991E-3</c:v>
                </c:pt>
                <c:pt idx="61">
                  <c:v>1.6042761898009991E-3</c:v>
                </c:pt>
                <c:pt idx="62">
                  <c:v>1.6042761898009991E-3</c:v>
                </c:pt>
                <c:pt idx="63">
                  <c:v>1.6042761898009991E-3</c:v>
                </c:pt>
                <c:pt idx="64">
                  <c:v>1.6042761898009991E-3</c:v>
                </c:pt>
                <c:pt idx="65">
                  <c:v>1.6042761898009991E-3</c:v>
                </c:pt>
                <c:pt idx="66">
                  <c:v>1.6042761898009991E-3</c:v>
                </c:pt>
                <c:pt idx="67">
                  <c:v>1.6042761898009991E-3</c:v>
                </c:pt>
                <c:pt idx="68">
                  <c:v>1.6042761898009991E-3</c:v>
                </c:pt>
                <c:pt idx="69">
                  <c:v>1.6042761898009991E-3</c:v>
                </c:pt>
                <c:pt idx="70">
                  <c:v>1.6042761898009991E-3</c:v>
                </c:pt>
                <c:pt idx="71">
                  <c:v>1.6042761898009991E-3</c:v>
                </c:pt>
                <c:pt idx="72">
                  <c:v>1.6042761898009991E-3</c:v>
                </c:pt>
                <c:pt idx="73">
                  <c:v>1.6042761898009991E-3</c:v>
                </c:pt>
                <c:pt idx="74">
                  <c:v>1.6042761898009991E-3</c:v>
                </c:pt>
                <c:pt idx="75">
                  <c:v>1.6042761898009991E-3</c:v>
                </c:pt>
                <c:pt idx="76">
                  <c:v>2.5117649296086588E-3</c:v>
                </c:pt>
                <c:pt idx="77">
                  <c:v>2.0642312272304191E-3</c:v>
                </c:pt>
                <c:pt idx="78">
                  <c:v>3.3369207376346193E-3</c:v>
                </c:pt>
                <c:pt idx="79">
                  <c:v>3.3369207376346193E-3</c:v>
                </c:pt>
                <c:pt idx="80">
                  <c:v>3.3369207376346193E-3</c:v>
                </c:pt>
                <c:pt idx="81">
                  <c:v>3.3369207376346193E-3</c:v>
                </c:pt>
                <c:pt idx="82">
                  <c:v>3.3369207376346193E-3</c:v>
                </c:pt>
                <c:pt idx="83">
                  <c:v>3.3369207376346193E-3</c:v>
                </c:pt>
                <c:pt idx="84">
                  <c:v>3.3369207376346193E-3</c:v>
                </c:pt>
                <c:pt idx="85">
                  <c:v>3.3369207376346193E-3</c:v>
                </c:pt>
                <c:pt idx="86">
                  <c:v>3.3369207376346193E-3</c:v>
                </c:pt>
                <c:pt idx="87">
                  <c:v>3.3369207376346193E-3</c:v>
                </c:pt>
                <c:pt idx="88">
                  <c:v>3.3369207376346193E-3</c:v>
                </c:pt>
                <c:pt idx="89">
                  <c:v>3.3369207376346193E-3</c:v>
                </c:pt>
                <c:pt idx="90">
                  <c:v>3.3369207376346193E-3</c:v>
                </c:pt>
                <c:pt idx="91">
                  <c:v>3.3369207376346193E-3</c:v>
                </c:pt>
                <c:pt idx="92">
                  <c:v>3.3369207376346193E-3</c:v>
                </c:pt>
                <c:pt idx="93">
                  <c:v>3.3369207376346193E-3</c:v>
                </c:pt>
                <c:pt idx="94">
                  <c:v>3.3369207376346193E-3</c:v>
                </c:pt>
                <c:pt idx="95">
                  <c:v>3.3369207376346193E-3</c:v>
                </c:pt>
                <c:pt idx="96">
                  <c:v>3.3369207376346193E-3</c:v>
                </c:pt>
                <c:pt idx="97">
                  <c:v>3.3369207376346193E-3</c:v>
                </c:pt>
                <c:pt idx="98">
                  <c:v>3.3369207376346193E-3</c:v>
                </c:pt>
                <c:pt idx="99">
                  <c:v>3.3369207376346193E-3</c:v>
                </c:pt>
                <c:pt idx="100">
                  <c:v>3.3369207376346193E-3</c:v>
                </c:pt>
                <c:pt idx="101">
                  <c:v>3.3369207376346193E-3</c:v>
                </c:pt>
                <c:pt idx="102">
                  <c:v>3.3369207376346193E-3</c:v>
                </c:pt>
                <c:pt idx="103">
                  <c:v>3.3369207376346193E-3</c:v>
                </c:pt>
                <c:pt idx="104">
                  <c:v>3.3369207376346193E-3</c:v>
                </c:pt>
                <c:pt idx="105">
                  <c:v>3.3369207376346193E-3</c:v>
                </c:pt>
                <c:pt idx="106">
                  <c:v>3.3369207376346193E-3</c:v>
                </c:pt>
                <c:pt idx="107">
                  <c:v>3.3369207376346193E-3</c:v>
                </c:pt>
                <c:pt idx="108">
                  <c:v>3.3369207376346193E-3</c:v>
                </c:pt>
                <c:pt idx="109">
                  <c:v>3.3369207376346193E-3</c:v>
                </c:pt>
                <c:pt idx="110">
                  <c:v>3.3369207376346193E-3</c:v>
                </c:pt>
                <c:pt idx="111">
                  <c:v>3.3369207376346193E-3</c:v>
                </c:pt>
                <c:pt idx="112">
                  <c:v>3.3369207376346193E-3</c:v>
                </c:pt>
                <c:pt idx="113">
                  <c:v>3.3369207376346193E-3</c:v>
                </c:pt>
                <c:pt idx="114">
                  <c:v>3.3369207376346193E-3</c:v>
                </c:pt>
                <c:pt idx="115">
                  <c:v>3.3369207376346193E-3</c:v>
                </c:pt>
                <c:pt idx="116">
                  <c:v>3.3369207376346193E-3</c:v>
                </c:pt>
                <c:pt idx="117">
                  <c:v>3.3369207376346193E-3</c:v>
                </c:pt>
                <c:pt idx="118">
                  <c:v>3.3369207376346193E-3</c:v>
                </c:pt>
                <c:pt idx="119">
                  <c:v>3.3369207376346193E-3</c:v>
                </c:pt>
                <c:pt idx="120">
                  <c:v>3.3369207376346193E-3</c:v>
                </c:pt>
                <c:pt idx="121">
                  <c:v>3.3369207376346193E-3</c:v>
                </c:pt>
                <c:pt idx="122">
                  <c:v>3.3369207376346193E-3</c:v>
                </c:pt>
                <c:pt idx="123">
                  <c:v>3.3369207376346193E-3</c:v>
                </c:pt>
                <c:pt idx="124">
                  <c:v>3.3369207376346193E-3</c:v>
                </c:pt>
                <c:pt idx="125">
                  <c:v>3.3369207376346193E-3</c:v>
                </c:pt>
                <c:pt idx="126">
                  <c:v>3.3369207376346193E-3</c:v>
                </c:pt>
                <c:pt idx="127">
                  <c:v>3.3369207376346193E-3</c:v>
                </c:pt>
                <c:pt idx="128">
                  <c:v>3.3369207376346193E-3</c:v>
                </c:pt>
                <c:pt idx="129">
                  <c:v>3.3369207376346193E-3</c:v>
                </c:pt>
                <c:pt idx="130">
                  <c:v>3.3369207376346193E-3</c:v>
                </c:pt>
                <c:pt idx="131">
                  <c:v>3.3369207376346193E-3</c:v>
                </c:pt>
                <c:pt idx="132">
                  <c:v>3.3369207376346193E-3</c:v>
                </c:pt>
                <c:pt idx="133">
                  <c:v>3.3369207376346193E-3</c:v>
                </c:pt>
                <c:pt idx="134">
                  <c:v>3.3369207376346193E-3</c:v>
                </c:pt>
                <c:pt idx="135">
                  <c:v>3.3369207376346193E-3</c:v>
                </c:pt>
                <c:pt idx="136">
                  <c:v>3.3369207376346193E-3</c:v>
                </c:pt>
                <c:pt idx="137">
                  <c:v>3.3369207376346193E-3</c:v>
                </c:pt>
                <c:pt idx="138">
                  <c:v>3.3369207376346193E-3</c:v>
                </c:pt>
                <c:pt idx="139">
                  <c:v>3.3369207376346193E-3</c:v>
                </c:pt>
                <c:pt idx="140">
                  <c:v>3.3369207376346193E-3</c:v>
                </c:pt>
                <c:pt idx="141">
                  <c:v>3.3369207376346193E-3</c:v>
                </c:pt>
                <c:pt idx="142">
                  <c:v>3.3369207376346193E-3</c:v>
                </c:pt>
                <c:pt idx="143">
                  <c:v>3.3369207376346193E-3</c:v>
                </c:pt>
                <c:pt idx="144">
                  <c:v>3.3369207376346193E-3</c:v>
                </c:pt>
                <c:pt idx="145">
                  <c:v>3.3369207376346193E-3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502920</xdr:colOff>
      <xdr:row>1</xdr:row>
      <xdr:rowOff>0</xdr:rowOff>
    </xdr:from>
    <xdr:to>
      <xdr:col>60</xdr:col>
      <xdr:colOff>340995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VWOB_EMB_2.xlsx" TargetMode="External"/><Relationship Id="rId1" Type="http://schemas.openxmlformats.org/officeDocument/2006/relationships/externalLinkPath" Target="VWOB_EMB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WOB_EMB_2"/>
    </sheetNames>
    <sheetDataSet>
      <sheetData sheetId="0">
        <row r="22">
          <cell r="BJ22">
            <v>0</v>
          </cell>
          <cell r="BV22">
            <v>0</v>
          </cell>
          <cell r="BY22">
            <v>0</v>
          </cell>
        </row>
        <row r="23">
          <cell r="BJ23">
            <v>0</v>
          </cell>
          <cell r="BV23">
            <v>0</v>
          </cell>
          <cell r="BY23">
            <v>0</v>
          </cell>
        </row>
        <row r="24">
          <cell r="BJ24">
            <v>0</v>
          </cell>
          <cell r="BV24">
            <v>0</v>
          </cell>
          <cell r="BY24">
            <v>0</v>
          </cell>
        </row>
        <row r="25">
          <cell r="BJ25">
            <v>0</v>
          </cell>
          <cell r="BV25">
            <v>0</v>
          </cell>
          <cell r="BY25">
            <v>0</v>
          </cell>
        </row>
        <row r="26">
          <cell r="BJ26">
            <v>0</v>
          </cell>
          <cell r="BV26">
            <v>0</v>
          </cell>
          <cell r="BY26">
            <v>0</v>
          </cell>
        </row>
        <row r="27">
          <cell r="BJ27">
            <v>0</v>
          </cell>
          <cell r="BV27">
            <v>0</v>
          </cell>
          <cell r="BY27">
            <v>0</v>
          </cell>
        </row>
        <row r="28">
          <cell r="BJ28">
            <v>0</v>
          </cell>
          <cell r="BV28">
            <v>0</v>
          </cell>
          <cell r="BY28">
            <v>0</v>
          </cell>
        </row>
        <row r="29">
          <cell r="BJ29">
            <v>0</v>
          </cell>
          <cell r="BV29">
            <v>0</v>
          </cell>
          <cell r="BY29">
            <v>0</v>
          </cell>
        </row>
        <row r="30">
          <cell r="BJ30">
            <v>0</v>
          </cell>
          <cell r="BV30">
            <v>0</v>
          </cell>
          <cell r="BY30">
            <v>0</v>
          </cell>
        </row>
        <row r="31">
          <cell r="BJ31">
            <v>0</v>
          </cell>
          <cell r="BV31">
            <v>0</v>
          </cell>
          <cell r="BY31">
            <v>0</v>
          </cell>
        </row>
        <row r="32">
          <cell r="BJ32">
            <v>0</v>
          </cell>
          <cell r="BV32">
            <v>0</v>
          </cell>
          <cell r="BY32">
            <v>0</v>
          </cell>
        </row>
        <row r="33">
          <cell r="BJ33">
            <v>0</v>
          </cell>
          <cell r="BV33">
            <v>0</v>
          </cell>
          <cell r="BY33">
            <v>0</v>
          </cell>
        </row>
        <row r="34">
          <cell r="BJ34">
            <v>0</v>
          </cell>
          <cell r="BV34">
            <v>0</v>
          </cell>
          <cell r="BY34">
            <v>0</v>
          </cell>
        </row>
        <row r="35">
          <cell r="BJ35">
            <v>0</v>
          </cell>
          <cell r="BV35">
            <v>0</v>
          </cell>
          <cell r="BY35">
            <v>0</v>
          </cell>
        </row>
        <row r="36">
          <cell r="BJ36">
            <v>0</v>
          </cell>
          <cell r="BV36">
            <v>0</v>
          </cell>
          <cell r="BY36">
            <v>0</v>
          </cell>
        </row>
        <row r="37">
          <cell r="BJ37">
            <v>0</v>
          </cell>
          <cell r="BV37">
            <v>0</v>
          </cell>
          <cell r="BY37">
            <v>0</v>
          </cell>
        </row>
        <row r="38">
          <cell r="BJ38">
            <v>0</v>
          </cell>
          <cell r="BV38">
            <v>0</v>
          </cell>
          <cell r="BY38">
            <v>0</v>
          </cell>
        </row>
        <row r="39">
          <cell r="BJ39">
            <v>0</v>
          </cell>
          <cell r="BV39">
            <v>0</v>
          </cell>
          <cell r="BY39">
            <v>0</v>
          </cell>
        </row>
        <row r="40">
          <cell r="BJ40">
            <v>0</v>
          </cell>
          <cell r="BV40">
            <v>0</v>
          </cell>
          <cell r="BY40">
            <v>0</v>
          </cell>
        </row>
        <row r="41">
          <cell r="BJ41">
            <v>0</v>
          </cell>
          <cell r="BV41">
            <v>0</v>
          </cell>
          <cell r="BY41">
            <v>0</v>
          </cell>
        </row>
        <row r="42">
          <cell r="BJ42">
            <v>0</v>
          </cell>
          <cell r="BV42">
            <v>0</v>
          </cell>
          <cell r="BY42">
            <v>0</v>
          </cell>
        </row>
        <row r="43">
          <cell r="BJ43">
            <v>0</v>
          </cell>
          <cell r="BV43">
            <v>0</v>
          </cell>
          <cell r="BY43">
            <v>0</v>
          </cell>
        </row>
        <row r="44">
          <cell r="BJ44">
            <v>1.8119000816461399E-3</v>
          </cell>
          <cell r="BV44">
            <v>0</v>
          </cell>
          <cell r="BY44">
            <v>1.8119000816461399E-3</v>
          </cell>
        </row>
        <row r="45">
          <cell r="BJ45">
            <v>1.8119000816461399E-3</v>
          </cell>
          <cell r="BV45">
            <v>0</v>
          </cell>
          <cell r="BY45">
            <v>1.8119000816461399E-3</v>
          </cell>
        </row>
        <row r="46">
          <cell r="BJ46">
            <v>1.8119000816461399E-3</v>
          </cell>
          <cell r="BV46">
            <v>0</v>
          </cell>
          <cell r="BY46">
            <v>1.8119000816461399E-3</v>
          </cell>
        </row>
        <row r="47">
          <cell r="BJ47">
            <v>1.8119000816461399E-3</v>
          </cell>
          <cell r="BV47">
            <v>0</v>
          </cell>
          <cell r="BY47">
            <v>1.8119000816461399E-3</v>
          </cell>
        </row>
        <row r="48">
          <cell r="BJ48">
            <v>1.8119000816461399E-3</v>
          </cell>
          <cell r="BV48">
            <v>0</v>
          </cell>
          <cell r="BY48">
            <v>1.8119000816461399E-3</v>
          </cell>
        </row>
        <row r="49">
          <cell r="BJ49">
            <v>1.8119000816461399E-3</v>
          </cell>
          <cell r="BV49">
            <v>-4.508331623609297E-4</v>
          </cell>
          <cell r="BY49">
            <v>1.3610669192852102E-3</v>
          </cell>
        </row>
        <row r="50">
          <cell r="BJ50">
            <v>1.8119000816461399E-3</v>
          </cell>
          <cell r="BV50">
            <v>1.0315240959678099E-3</v>
          </cell>
          <cell r="BY50">
            <v>2.8434241776139498E-3</v>
          </cell>
        </row>
        <row r="51">
          <cell r="BJ51">
            <v>1.8119000816461399E-3</v>
          </cell>
          <cell r="BV51">
            <v>4.0834090229211958E-4</v>
          </cell>
          <cell r="BY51">
            <v>2.2202409839382595E-3</v>
          </cell>
        </row>
        <row r="52">
          <cell r="BJ52">
            <v>1.8119000816461399E-3</v>
          </cell>
          <cell r="BV52">
            <v>1.809779032804896E-4</v>
          </cell>
          <cell r="BY52">
            <v>1.9928779849266295E-3</v>
          </cell>
        </row>
        <row r="53">
          <cell r="BJ53">
            <v>1.8119000816461399E-3</v>
          </cell>
          <cell r="BV53">
            <v>5.1656203185134917E-4</v>
          </cell>
          <cell r="BY53">
            <v>2.3284621134974891E-3</v>
          </cell>
        </row>
        <row r="54">
          <cell r="BJ54">
            <v>1.8119000816461399E-3</v>
          </cell>
          <cell r="BV54">
            <v>1.4063961595512289E-3</v>
          </cell>
          <cell r="BY54">
            <v>3.2182962411973688E-3</v>
          </cell>
        </row>
        <row r="55">
          <cell r="BJ55">
            <v>1.8119000816461399E-3</v>
          </cell>
          <cell r="BV55">
            <v>1.4063961595512289E-3</v>
          </cell>
          <cell r="BY55">
            <v>3.2182962411973688E-3</v>
          </cell>
        </row>
        <row r="56">
          <cell r="BJ56">
            <v>1.8119000816461399E-3</v>
          </cell>
          <cell r="BV56">
            <v>3.4887190708980179E-3</v>
          </cell>
          <cell r="BY56">
            <v>5.3006191525441573E-3</v>
          </cell>
        </row>
        <row r="57">
          <cell r="BJ57">
            <v>1.8119000816461399E-3</v>
          </cell>
          <cell r="BV57">
            <v>3.4887190708980179E-3</v>
          </cell>
          <cell r="BY57">
            <v>5.3006191525441573E-3</v>
          </cell>
        </row>
        <row r="58">
          <cell r="BJ58">
            <v>1.8119000816461399E-3</v>
          </cell>
          <cell r="BV58">
            <v>3.4887190708980179E-3</v>
          </cell>
          <cell r="BY58">
            <v>5.3006191525441573E-3</v>
          </cell>
        </row>
        <row r="59">
          <cell r="BJ59">
            <v>1.8119000816461399E-3</v>
          </cell>
          <cell r="BV59">
            <v>3.4887190708980179E-3</v>
          </cell>
          <cell r="BY59">
            <v>5.3006191525441573E-3</v>
          </cell>
        </row>
        <row r="60">
          <cell r="BJ60">
            <v>1.8119000816461399E-3</v>
          </cell>
          <cell r="BV60">
            <v>3.4887190708980179E-3</v>
          </cell>
          <cell r="BY60">
            <v>5.3006191525441573E-3</v>
          </cell>
        </row>
        <row r="61">
          <cell r="BJ61">
            <v>1.8119000816461399E-3</v>
          </cell>
          <cell r="BV61">
            <v>3.4887190708980179E-3</v>
          </cell>
          <cell r="BY61">
            <v>5.3006191525441573E-3</v>
          </cell>
        </row>
        <row r="62">
          <cell r="BJ62">
            <v>1.8119000816461399E-3</v>
          </cell>
          <cell r="BV62">
            <v>3.4887190708980179E-3</v>
          </cell>
          <cell r="BY62">
            <v>5.3006191525441573E-3</v>
          </cell>
        </row>
        <row r="63">
          <cell r="BJ63">
            <v>1.8119000816461399E-3</v>
          </cell>
          <cell r="BV63">
            <v>3.4887190708980179E-3</v>
          </cell>
          <cell r="BY63">
            <v>5.3006191525441573E-3</v>
          </cell>
        </row>
        <row r="64">
          <cell r="BJ64">
            <v>1.8119000816461399E-3</v>
          </cell>
          <cell r="BV64">
            <v>3.4887190708980179E-3</v>
          </cell>
          <cell r="BY64">
            <v>5.3006191525441573E-3</v>
          </cell>
        </row>
        <row r="65">
          <cell r="BJ65">
            <v>1.8119000816461399E-3</v>
          </cell>
          <cell r="BV65">
            <v>3.4887190708980179E-3</v>
          </cell>
          <cell r="BY65">
            <v>5.3006191525441573E-3</v>
          </cell>
        </row>
        <row r="66">
          <cell r="BJ66">
            <v>1.8119000816461399E-3</v>
          </cell>
          <cell r="BV66">
            <v>3.4887190708980179E-3</v>
          </cell>
          <cell r="BY66">
            <v>5.3006191525441573E-3</v>
          </cell>
        </row>
        <row r="67">
          <cell r="BJ67">
            <v>1.8119000816461399E-3</v>
          </cell>
          <cell r="BV67">
            <v>6.7104381091813367E-3</v>
          </cell>
          <cell r="BY67">
            <v>8.5223381908274762E-3</v>
          </cell>
        </row>
        <row r="68">
          <cell r="BJ68">
            <v>2.12431412005883E-3</v>
          </cell>
          <cell r="BV68">
            <v>6.7104381091813367E-3</v>
          </cell>
          <cell r="BY68">
            <v>8.8347522292401663E-3</v>
          </cell>
        </row>
        <row r="69">
          <cell r="BJ69">
            <v>2.3789794416419971E-3</v>
          </cell>
          <cell r="BV69">
            <v>6.7104381091813367E-3</v>
          </cell>
          <cell r="BY69">
            <v>9.0894175508233338E-3</v>
          </cell>
        </row>
        <row r="70">
          <cell r="BJ70">
            <v>2.0790238080581579E-3</v>
          </cell>
          <cell r="BV70">
            <v>6.7104381091813367E-3</v>
          </cell>
          <cell r="BY70">
            <v>8.7894619172394946E-3</v>
          </cell>
        </row>
        <row r="71">
          <cell r="BJ71">
            <v>1.779164965891358E-3</v>
          </cell>
          <cell r="BV71">
            <v>6.7104381091813367E-3</v>
          </cell>
          <cell r="BY71">
            <v>8.4896030750726947E-3</v>
          </cell>
        </row>
        <row r="72">
          <cell r="BJ72">
            <v>3.0669434283419486E-3</v>
          </cell>
          <cell r="BV72">
            <v>6.7104381091813367E-3</v>
          </cell>
          <cell r="BY72">
            <v>9.7773815375232862E-3</v>
          </cell>
        </row>
        <row r="73">
          <cell r="BJ73">
            <v>3.0669434283419486E-3</v>
          </cell>
          <cell r="BV73">
            <v>6.7104381091813367E-3</v>
          </cell>
          <cell r="BY73">
            <v>9.7773815375232862E-3</v>
          </cell>
        </row>
        <row r="74">
          <cell r="BJ74">
            <v>3.0669434283419486E-3</v>
          </cell>
          <cell r="BV74">
            <v>6.7104381091813367E-3</v>
          </cell>
          <cell r="BY74">
            <v>9.7773815375232862E-3</v>
          </cell>
        </row>
        <row r="75">
          <cell r="BJ75">
            <v>3.0669434283419486E-3</v>
          </cell>
          <cell r="BV75">
            <v>6.7104381091813367E-3</v>
          </cell>
          <cell r="BY75">
            <v>9.7773815375232862E-3</v>
          </cell>
        </row>
        <row r="76">
          <cell r="BJ76">
            <v>3.0669434283419486E-3</v>
          </cell>
          <cell r="BV76">
            <v>6.7104381091813367E-3</v>
          </cell>
          <cell r="BY76">
            <v>9.7773815375232862E-3</v>
          </cell>
        </row>
        <row r="77">
          <cell r="BJ77">
            <v>3.0669434283419486E-3</v>
          </cell>
          <cell r="BV77">
            <v>6.7104381091813367E-3</v>
          </cell>
          <cell r="BY77">
            <v>9.7773815375232862E-3</v>
          </cell>
        </row>
        <row r="78">
          <cell r="BJ78">
            <v>3.0669434283419486E-3</v>
          </cell>
          <cell r="BV78">
            <v>6.7104381091813367E-3</v>
          </cell>
          <cell r="BY78">
            <v>9.7773815375232862E-3</v>
          </cell>
        </row>
        <row r="79">
          <cell r="BJ79">
            <v>3.0669434283419486E-3</v>
          </cell>
          <cell r="BV79">
            <v>6.7104381091813367E-3</v>
          </cell>
          <cell r="BY79">
            <v>9.7773815375232862E-3</v>
          </cell>
        </row>
        <row r="80">
          <cell r="BJ80">
            <v>3.0669434283419486E-3</v>
          </cell>
          <cell r="BV80">
            <v>6.7104381091813367E-3</v>
          </cell>
          <cell r="BY80">
            <v>9.7773815375232862E-3</v>
          </cell>
        </row>
        <row r="81">
          <cell r="BJ81">
            <v>3.0669434283419486E-3</v>
          </cell>
          <cell r="BV81">
            <v>6.7104381091813367E-3</v>
          </cell>
          <cell r="BY81">
            <v>9.7773815375232862E-3</v>
          </cell>
        </row>
        <row r="82">
          <cell r="BJ82">
            <v>3.0669434283419486E-3</v>
          </cell>
          <cell r="BV82">
            <v>6.7104381091813367E-3</v>
          </cell>
          <cell r="BY82">
            <v>9.7773815375232862E-3</v>
          </cell>
        </row>
        <row r="83">
          <cell r="BJ83">
            <v>3.0669434283419486E-3</v>
          </cell>
          <cell r="BV83">
            <v>6.7104381091813367E-3</v>
          </cell>
          <cell r="BY83">
            <v>9.7773815375232862E-3</v>
          </cell>
        </row>
        <row r="84">
          <cell r="BJ84">
            <v>3.0669434283419486E-3</v>
          </cell>
          <cell r="BV84">
            <v>6.7104381091813367E-3</v>
          </cell>
          <cell r="BY84">
            <v>9.7773815375232862E-3</v>
          </cell>
        </row>
        <row r="85">
          <cell r="BJ85">
            <v>3.0669434283419486E-3</v>
          </cell>
          <cell r="BV85">
            <v>6.7104381091813367E-3</v>
          </cell>
          <cell r="BY85">
            <v>9.7773815375232862E-3</v>
          </cell>
        </row>
        <row r="86">
          <cell r="BJ86">
            <v>3.0669434283419486E-3</v>
          </cell>
          <cell r="BV86">
            <v>6.7104381091813367E-3</v>
          </cell>
          <cell r="BY86">
            <v>9.7773815375232862E-3</v>
          </cell>
        </row>
        <row r="87">
          <cell r="BJ87">
            <v>3.0669434283419486E-3</v>
          </cell>
          <cell r="BV87">
            <v>6.7104381091813367E-3</v>
          </cell>
          <cell r="BY87">
            <v>9.7773815375232862E-3</v>
          </cell>
        </row>
        <row r="88">
          <cell r="BJ88">
            <v>3.0669434283419486E-3</v>
          </cell>
          <cell r="BV88">
            <v>6.7104381091813367E-3</v>
          </cell>
          <cell r="BY88">
            <v>9.7773815375232862E-3</v>
          </cell>
        </row>
        <row r="89">
          <cell r="BJ89">
            <v>3.0669434283419486E-3</v>
          </cell>
          <cell r="BV89">
            <v>6.7104381091813367E-3</v>
          </cell>
          <cell r="BY89">
            <v>9.7773815375232862E-3</v>
          </cell>
        </row>
        <row r="90">
          <cell r="BJ90">
            <v>3.0669434283419486E-3</v>
          </cell>
          <cell r="BV90">
            <v>6.7104381091813367E-3</v>
          </cell>
          <cell r="BY90">
            <v>9.7773815375232862E-3</v>
          </cell>
        </row>
        <row r="91">
          <cell r="BJ91">
            <v>3.0669434283419486E-3</v>
          </cell>
          <cell r="BV91">
            <v>6.7104381091813367E-3</v>
          </cell>
          <cell r="BY91">
            <v>9.7773815375232862E-3</v>
          </cell>
        </row>
        <row r="92">
          <cell r="BJ92">
            <v>3.0669434283419486E-3</v>
          </cell>
          <cell r="BV92">
            <v>6.7104381091813367E-3</v>
          </cell>
          <cell r="BY92">
            <v>9.7773815375232862E-3</v>
          </cell>
        </row>
        <row r="93">
          <cell r="BJ93">
            <v>3.0669434283419486E-3</v>
          </cell>
          <cell r="BV93">
            <v>6.7104381091813367E-3</v>
          </cell>
          <cell r="BY93">
            <v>9.7773815375232862E-3</v>
          </cell>
        </row>
        <row r="94">
          <cell r="BJ94">
            <v>3.0669434283419486E-3</v>
          </cell>
          <cell r="BV94">
            <v>6.7104381091813367E-3</v>
          </cell>
          <cell r="BY94">
            <v>9.7773815375232862E-3</v>
          </cell>
        </row>
        <row r="95">
          <cell r="BJ95">
            <v>3.0669434283419486E-3</v>
          </cell>
          <cell r="BV95">
            <v>6.7104381091813367E-3</v>
          </cell>
          <cell r="BY95">
            <v>9.7773815375232862E-3</v>
          </cell>
        </row>
        <row r="96">
          <cell r="BJ96">
            <v>3.0669434283419486E-3</v>
          </cell>
          <cell r="BV96">
            <v>6.7104381091813367E-3</v>
          </cell>
          <cell r="BY96">
            <v>9.7773815375232862E-3</v>
          </cell>
        </row>
        <row r="97">
          <cell r="BJ97">
            <v>3.0669434283419486E-3</v>
          </cell>
          <cell r="BV97">
            <v>6.7104381091813367E-3</v>
          </cell>
          <cell r="BY97">
            <v>9.7773815375232862E-3</v>
          </cell>
        </row>
        <row r="98">
          <cell r="BJ98">
            <v>3.0669434283419486E-3</v>
          </cell>
          <cell r="BV98">
            <v>6.7104381091813367E-3</v>
          </cell>
          <cell r="BY98">
            <v>9.7773815375232862E-3</v>
          </cell>
        </row>
        <row r="99">
          <cell r="BJ99">
            <v>3.0669434283419486E-3</v>
          </cell>
          <cell r="BV99">
            <v>6.7104381091813367E-3</v>
          </cell>
          <cell r="BY99">
            <v>9.7773815375232862E-3</v>
          </cell>
        </row>
        <row r="100">
          <cell r="BJ100">
            <v>3.1048494002810685E-3</v>
          </cell>
          <cell r="BV100">
            <v>6.7104381091813367E-3</v>
          </cell>
          <cell r="BY100">
            <v>9.8152875094624052E-3</v>
          </cell>
        </row>
        <row r="101">
          <cell r="BJ101">
            <v>3.3006368320349184E-3</v>
          </cell>
          <cell r="BV101">
            <v>6.7104381091813367E-3</v>
          </cell>
          <cell r="BY101">
            <v>1.0011074941216256E-2</v>
          </cell>
        </row>
        <row r="102">
          <cell r="BJ102">
            <v>3.6848363383048081E-3</v>
          </cell>
          <cell r="BV102">
            <v>6.7104381091813367E-3</v>
          </cell>
          <cell r="BY102">
            <v>1.0395274447486145E-2</v>
          </cell>
        </row>
        <row r="103">
          <cell r="BJ103">
            <v>3.990656091472978E-3</v>
          </cell>
          <cell r="BV103">
            <v>6.7104381091813367E-3</v>
          </cell>
          <cell r="BY103">
            <v>1.0701094200654314E-2</v>
          </cell>
        </row>
        <row r="104">
          <cell r="BJ104">
            <v>3.990656091472978E-3</v>
          </cell>
          <cell r="BV104">
            <v>6.7104381091813367E-3</v>
          </cell>
          <cell r="BY104">
            <v>1.0701094200654314E-2</v>
          </cell>
        </row>
        <row r="105">
          <cell r="BJ105">
            <v>3.990656091472978E-3</v>
          </cell>
          <cell r="BV105">
            <v>6.7104381091813367E-3</v>
          </cell>
          <cell r="BY105">
            <v>1.0701094200654314E-2</v>
          </cell>
        </row>
        <row r="106">
          <cell r="BJ106">
            <v>3.990656091472978E-3</v>
          </cell>
          <cell r="BV106">
            <v>6.7104381091813367E-3</v>
          </cell>
          <cell r="BY106">
            <v>1.0701094200654314E-2</v>
          </cell>
        </row>
        <row r="107">
          <cell r="BJ107">
            <v>3.990656091472978E-3</v>
          </cell>
          <cell r="BV107">
            <v>6.7104381091813367E-3</v>
          </cell>
          <cell r="BY107">
            <v>1.0701094200654314E-2</v>
          </cell>
        </row>
        <row r="108">
          <cell r="BJ108">
            <v>3.990656091472978E-3</v>
          </cell>
          <cell r="BV108">
            <v>6.7104381091813367E-3</v>
          </cell>
          <cell r="BY108">
            <v>1.0701094200654314E-2</v>
          </cell>
        </row>
        <row r="109">
          <cell r="BJ109">
            <v>3.990656091472978E-3</v>
          </cell>
          <cell r="BV109">
            <v>7.2562964698442665E-3</v>
          </cell>
          <cell r="BY109">
            <v>1.1246952561317244E-2</v>
          </cell>
        </row>
        <row r="110">
          <cell r="BJ110">
            <v>3.990656091472978E-3</v>
          </cell>
          <cell r="BV110">
            <v>7.8853492280009374E-3</v>
          </cell>
          <cell r="BY110">
            <v>1.1876005319473915E-2</v>
          </cell>
        </row>
        <row r="111">
          <cell r="BJ111">
            <v>3.990656091472978E-3</v>
          </cell>
          <cell r="BV111">
            <v>7.8853492280009374E-3</v>
          </cell>
          <cell r="BY111">
            <v>1.1876005319473915E-2</v>
          </cell>
        </row>
        <row r="112">
          <cell r="BJ112">
            <v>3.990656091472978E-3</v>
          </cell>
          <cell r="BV112">
            <v>7.8853492280009374E-3</v>
          </cell>
          <cell r="BY112">
            <v>1.1876005319473915E-2</v>
          </cell>
        </row>
        <row r="113">
          <cell r="BJ113">
            <v>3.990656091472978E-3</v>
          </cell>
          <cell r="BV113">
            <v>7.8853492280009374E-3</v>
          </cell>
          <cell r="BY113">
            <v>1.1876005319473915E-2</v>
          </cell>
        </row>
        <row r="114">
          <cell r="BJ114">
            <v>3.990656091472978E-3</v>
          </cell>
          <cell r="BV114">
            <v>7.8853492280009374E-3</v>
          </cell>
          <cell r="BY114">
            <v>1.1876005319473915E-2</v>
          </cell>
        </row>
        <row r="115">
          <cell r="BJ115">
            <v>3.990656091472978E-3</v>
          </cell>
          <cell r="BV115">
            <v>7.8853492280009374E-3</v>
          </cell>
          <cell r="BY115">
            <v>1.1876005319473915E-2</v>
          </cell>
        </row>
        <row r="116">
          <cell r="BJ116">
            <v>3.990656091472978E-3</v>
          </cell>
          <cell r="BV116">
            <v>7.8853492280009374E-3</v>
          </cell>
          <cell r="BY116">
            <v>1.1876005319473915E-2</v>
          </cell>
        </row>
        <row r="117">
          <cell r="BJ117">
            <v>3.990656091472978E-3</v>
          </cell>
          <cell r="BV117">
            <v>7.8853492280009374E-3</v>
          </cell>
          <cell r="BY117">
            <v>1.1876005319473915E-2</v>
          </cell>
        </row>
        <row r="118">
          <cell r="BJ118">
            <v>3.990656091472978E-3</v>
          </cell>
          <cell r="BV118">
            <v>7.8853492280009374E-3</v>
          </cell>
          <cell r="BY118">
            <v>1.1876005319473915E-2</v>
          </cell>
        </row>
        <row r="119">
          <cell r="BJ119">
            <v>3.990656091472978E-3</v>
          </cell>
          <cell r="BV119">
            <v>7.8853492280009374E-3</v>
          </cell>
          <cell r="BY119">
            <v>1.1876005319473915E-2</v>
          </cell>
        </row>
        <row r="120">
          <cell r="BJ120">
            <v>3.990656091472978E-3</v>
          </cell>
          <cell r="BV120">
            <v>7.8853492280009374E-3</v>
          </cell>
          <cell r="BY120">
            <v>1.1876005319473915E-2</v>
          </cell>
        </row>
        <row r="121">
          <cell r="BJ121">
            <v>3.990656091472978E-3</v>
          </cell>
          <cell r="BV121">
            <v>7.8853492280009374E-3</v>
          </cell>
          <cell r="BY121">
            <v>1.1876005319473915E-2</v>
          </cell>
        </row>
        <row r="122">
          <cell r="BJ122">
            <v>3.990656091472978E-3</v>
          </cell>
          <cell r="BV122">
            <v>7.8853492280009374E-3</v>
          </cell>
          <cell r="BY122">
            <v>1.1876005319473915E-2</v>
          </cell>
        </row>
        <row r="123">
          <cell r="BJ123">
            <v>3.990656091472978E-3</v>
          </cell>
          <cell r="BV123">
            <v>7.8853492280009374E-3</v>
          </cell>
          <cell r="BY123">
            <v>1.1876005319473915E-2</v>
          </cell>
        </row>
        <row r="124">
          <cell r="BJ124">
            <v>3.990656091472978E-3</v>
          </cell>
          <cell r="BV124">
            <v>7.8853492280009374E-3</v>
          </cell>
          <cell r="BY124">
            <v>1.1876005319473915E-2</v>
          </cell>
        </row>
        <row r="125">
          <cell r="BJ125">
            <v>3.990656091472978E-3</v>
          </cell>
          <cell r="BV125">
            <v>7.8853492280009374E-3</v>
          </cell>
          <cell r="BY125">
            <v>1.1876005319473915E-2</v>
          </cell>
        </row>
        <row r="126">
          <cell r="BJ126">
            <v>3.990656091472978E-3</v>
          </cell>
          <cell r="BV126">
            <v>7.8853492280009374E-3</v>
          </cell>
          <cell r="BY126">
            <v>1.1876005319473915E-2</v>
          </cell>
        </row>
        <row r="127">
          <cell r="BJ127">
            <v>3.990656091472978E-3</v>
          </cell>
          <cell r="BV127">
            <v>7.8853492280009374E-3</v>
          </cell>
          <cell r="BY127">
            <v>1.1876005319473915E-2</v>
          </cell>
        </row>
        <row r="128">
          <cell r="BJ128">
            <v>3.990656091472978E-3</v>
          </cell>
          <cell r="BV128">
            <v>7.8853492280009374E-3</v>
          </cell>
          <cell r="BY128">
            <v>1.1876005319473915E-2</v>
          </cell>
        </row>
        <row r="129">
          <cell r="BJ129">
            <v>4.6551316535306305E-3</v>
          </cell>
          <cell r="BV129">
            <v>7.8853492280009374E-3</v>
          </cell>
          <cell r="BY129">
            <v>1.2540480881531566E-2</v>
          </cell>
        </row>
        <row r="130">
          <cell r="BJ130">
            <v>4.0821092328816007E-3</v>
          </cell>
          <cell r="BV130">
            <v>7.8853492280009374E-3</v>
          </cell>
          <cell r="BY130">
            <v>1.1967458460882537E-2</v>
          </cell>
        </row>
        <row r="131">
          <cell r="BJ131">
            <v>5.2676554499517508E-3</v>
          </cell>
          <cell r="BV131">
            <v>7.8853492280009374E-3</v>
          </cell>
          <cell r="BY131">
            <v>1.3153004677952686E-2</v>
          </cell>
        </row>
        <row r="132">
          <cell r="BJ132">
            <v>5.4861241437870615E-3</v>
          </cell>
          <cell r="BV132">
            <v>7.8853492280009374E-3</v>
          </cell>
          <cell r="BY132">
            <v>1.3371473371787998E-2</v>
          </cell>
        </row>
        <row r="133">
          <cell r="BJ133">
            <v>5.4861241437870615E-3</v>
          </cell>
          <cell r="BV133">
            <v>7.8853492280009374E-3</v>
          </cell>
          <cell r="BY133">
            <v>1.3371473371787998E-2</v>
          </cell>
        </row>
        <row r="134">
          <cell r="BJ134">
            <v>5.4861241437870615E-3</v>
          </cell>
          <cell r="BV134">
            <v>7.8853492280009374E-3</v>
          </cell>
          <cell r="BY134">
            <v>1.3371473371787998E-2</v>
          </cell>
        </row>
        <row r="135">
          <cell r="BJ135">
            <v>5.4861241437870615E-3</v>
          </cell>
          <cell r="BV135">
            <v>7.8853492280009374E-3</v>
          </cell>
          <cell r="BY135">
            <v>1.3371473371787998E-2</v>
          </cell>
        </row>
        <row r="136">
          <cell r="BJ136">
            <v>5.4861241437870615E-3</v>
          </cell>
          <cell r="BV136">
            <v>7.8853492280009374E-3</v>
          </cell>
          <cell r="BY136">
            <v>1.3371473371787998E-2</v>
          </cell>
        </row>
        <row r="137">
          <cell r="BJ137">
            <v>5.4861241437870615E-3</v>
          </cell>
          <cell r="BV137">
            <v>7.8853492280009374E-3</v>
          </cell>
          <cell r="BY137">
            <v>1.3371473371787998E-2</v>
          </cell>
        </row>
        <row r="138">
          <cell r="BJ138">
            <v>5.4861241437870615E-3</v>
          </cell>
          <cell r="BV138">
            <v>7.8853492280009374E-3</v>
          </cell>
          <cell r="BY138">
            <v>1.3371473371787998E-2</v>
          </cell>
        </row>
        <row r="139">
          <cell r="BJ139">
            <v>5.4861241437870615E-3</v>
          </cell>
          <cell r="BV139">
            <v>7.8853492280009374E-3</v>
          </cell>
          <cell r="BY139">
            <v>1.3371473371787998E-2</v>
          </cell>
        </row>
        <row r="140">
          <cell r="BJ140">
            <v>5.4861241437870615E-3</v>
          </cell>
          <cell r="BV140">
            <v>7.8853492280009374E-3</v>
          </cell>
          <cell r="BY140">
            <v>1.3371473371787998E-2</v>
          </cell>
        </row>
        <row r="141">
          <cell r="BJ141">
            <v>5.4861241437870615E-3</v>
          </cell>
          <cell r="BV141">
            <v>7.8853492280009374E-3</v>
          </cell>
          <cell r="BY141">
            <v>1.3371473371787998E-2</v>
          </cell>
        </row>
        <row r="142">
          <cell r="BJ142">
            <v>5.4861241437870615E-3</v>
          </cell>
          <cell r="BV142">
            <v>7.8853492280009374E-3</v>
          </cell>
          <cell r="BY142">
            <v>1.3371473371787998E-2</v>
          </cell>
        </row>
        <row r="143">
          <cell r="BJ143">
            <v>5.4861241437870615E-3</v>
          </cell>
          <cell r="BV143">
            <v>7.8853492280009374E-3</v>
          </cell>
          <cell r="BY143">
            <v>1.3371473371787998E-2</v>
          </cell>
        </row>
        <row r="144">
          <cell r="BJ144">
            <v>6.2115312987151509E-3</v>
          </cell>
          <cell r="BV144">
            <v>7.8853492280009374E-3</v>
          </cell>
          <cell r="BY144">
            <v>1.4096880526716087E-2</v>
          </cell>
        </row>
        <row r="145">
          <cell r="BJ145">
            <v>5.7577009080811209E-3</v>
          </cell>
          <cell r="BV145">
            <v>7.8853492280009374E-3</v>
          </cell>
          <cell r="BY145">
            <v>1.3643050136082056E-2</v>
          </cell>
        </row>
        <row r="146">
          <cell r="BJ146">
            <v>6.6745486111423388E-3</v>
          </cell>
          <cell r="BV146">
            <v>7.8853492280009374E-3</v>
          </cell>
          <cell r="BY146">
            <v>1.4559897839143274E-2</v>
          </cell>
        </row>
        <row r="147">
          <cell r="BJ147">
            <v>6.6745486111423388E-3</v>
          </cell>
          <cell r="BV147">
            <v>7.8853492280009374E-3</v>
          </cell>
          <cell r="BY147">
            <v>1.4559897839143274E-2</v>
          </cell>
        </row>
        <row r="148">
          <cell r="BJ148">
            <v>6.6745486111423388E-3</v>
          </cell>
          <cell r="BV148">
            <v>7.8853492280009374E-3</v>
          </cell>
          <cell r="BY148">
            <v>1.4559897839143274E-2</v>
          </cell>
        </row>
        <row r="149">
          <cell r="BJ149">
            <v>6.6745486111423388E-3</v>
          </cell>
          <cell r="BV149">
            <v>7.8853492280009374E-3</v>
          </cell>
          <cell r="BY149">
            <v>1.4559897839143274E-2</v>
          </cell>
        </row>
        <row r="150">
          <cell r="BJ150">
            <v>6.6745486111423388E-3</v>
          </cell>
          <cell r="BV150">
            <v>7.8853492280009374E-3</v>
          </cell>
          <cell r="BY150">
            <v>1.4559897839143274E-2</v>
          </cell>
        </row>
        <row r="151">
          <cell r="BJ151">
            <v>6.6745486111423388E-3</v>
          </cell>
          <cell r="BV151">
            <v>7.8853492280009374E-3</v>
          </cell>
          <cell r="BY151">
            <v>1.4559897839143274E-2</v>
          </cell>
        </row>
        <row r="152">
          <cell r="BJ152">
            <v>6.6745486111423388E-3</v>
          </cell>
          <cell r="BV152">
            <v>7.8853492280009374E-3</v>
          </cell>
          <cell r="BY152">
            <v>1.4559897839143274E-2</v>
          </cell>
        </row>
        <row r="153">
          <cell r="BJ153">
            <v>6.6745486111423388E-3</v>
          </cell>
          <cell r="BV153">
            <v>7.8853492280009374E-3</v>
          </cell>
          <cell r="BY153">
            <v>1.4559897839143274E-2</v>
          </cell>
        </row>
        <row r="154">
          <cell r="BJ154">
            <v>6.6745486111423388E-3</v>
          </cell>
          <cell r="BV154">
            <v>7.8853492280009374E-3</v>
          </cell>
          <cell r="BY154">
            <v>1.4559897839143274E-2</v>
          </cell>
        </row>
        <row r="155">
          <cell r="BJ155">
            <v>6.6745486111423388E-3</v>
          </cell>
          <cell r="BV155">
            <v>7.8853492280009374E-3</v>
          </cell>
          <cell r="BY155">
            <v>1.4559897839143274E-2</v>
          </cell>
        </row>
        <row r="156">
          <cell r="BJ156">
            <v>6.6745486111423388E-3</v>
          </cell>
          <cell r="BV156">
            <v>7.8853492280009374E-3</v>
          </cell>
          <cell r="BY156">
            <v>1.4559897839143274E-2</v>
          </cell>
        </row>
        <row r="157">
          <cell r="BJ157">
            <v>6.6745486111423388E-3</v>
          </cell>
          <cell r="BV157">
            <v>7.6803406637046675E-3</v>
          </cell>
          <cell r="BY157">
            <v>1.4354889274847005E-2</v>
          </cell>
        </row>
        <row r="158">
          <cell r="BJ158">
            <v>6.6745486111423388E-3</v>
          </cell>
          <cell r="BV158">
            <v>8.1093401704797185E-3</v>
          </cell>
          <cell r="BY158">
            <v>1.4783888781622057E-2</v>
          </cell>
        </row>
        <row r="159">
          <cell r="BJ159">
            <v>6.6745486111423388E-3</v>
          </cell>
          <cell r="BV159">
            <v>8.8188771289412285E-3</v>
          </cell>
          <cell r="BY159">
            <v>1.5493425740083567E-2</v>
          </cell>
        </row>
        <row r="160">
          <cell r="BJ160">
            <v>6.6745486111423388E-3</v>
          </cell>
          <cell r="BV160">
            <v>7.6670368114942784E-3</v>
          </cell>
          <cell r="BY160">
            <v>1.4341585422636617E-2</v>
          </cell>
        </row>
        <row r="161">
          <cell r="BJ161">
            <v>6.6745486111423388E-3</v>
          </cell>
          <cell r="BV161">
            <v>7.7397780512008475E-3</v>
          </cell>
          <cell r="BY161">
            <v>1.4414326662343185E-2</v>
          </cell>
        </row>
        <row r="162">
          <cell r="BJ162">
            <v>6.6745486111423388E-3</v>
          </cell>
          <cell r="BV162">
            <v>7.8982629658268782E-3</v>
          </cell>
          <cell r="BY162">
            <v>1.4572811576969215E-2</v>
          </cell>
        </row>
        <row r="163">
          <cell r="BJ163">
            <v>6.6745486111423388E-3</v>
          </cell>
          <cell r="BV163">
            <v>8.6329794694358294E-3</v>
          </cell>
          <cell r="BY163">
            <v>1.5307528080578166E-2</v>
          </cell>
        </row>
        <row r="164">
          <cell r="BJ164">
            <v>6.6745486111423388E-3</v>
          </cell>
          <cell r="BV164">
            <v>8.9550088526642608E-3</v>
          </cell>
          <cell r="BY164">
            <v>1.5629557463806596E-2</v>
          </cell>
        </row>
        <row r="165">
          <cell r="BJ165">
            <v>6.6745486111423388E-3</v>
          </cell>
          <cell r="BV165">
            <v>8.9550088526642608E-3</v>
          </cell>
          <cell r="BY165">
            <v>1.5629557463806596E-2</v>
          </cell>
        </row>
        <row r="166">
          <cell r="BJ166">
            <v>6.6745486111423388E-3</v>
          </cell>
          <cell r="BV166">
            <v>8.9550088526642608E-3</v>
          </cell>
          <cell r="BY166">
            <v>1.5629557463806596E-2</v>
          </cell>
        </row>
        <row r="167">
          <cell r="BJ167">
            <v>6.6745486111423388E-3</v>
          </cell>
          <cell r="BV167">
            <v>8.9550088526642608E-3</v>
          </cell>
          <cell r="BY167">
            <v>1.5629557463806596E-2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XFD167"/>
  <sheetViews>
    <sheetView tabSelected="1" topLeftCell="CA1" workbookViewId="0">
      <selection activeCell="BM22" sqref="BM22"/>
    </sheetView>
  </sheetViews>
  <sheetFormatPr defaultRowHeight="14.4" x14ac:dyDescent="0.3"/>
  <cols>
    <col min="1" max="1" width="9.33203125" bestFit="1" customWidth="1"/>
    <col min="2" max="3" width="10.6640625" style="6" bestFit="1" customWidth="1"/>
    <col min="4" max="5" width="10.6640625" style="7" customWidth="1"/>
    <col min="6" max="6" width="8.6640625" style="6" bestFit="1" customWidth="1"/>
    <col min="7" max="7" width="16.21875" style="6" bestFit="1" customWidth="1"/>
    <col min="8" max="8" width="9.33203125" style="6" bestFit="1" customWidth="1"/>
    <col min="9" max="9" width="17" style="6" bestFit="1" customWidth="1"/>
    <col min="10" max="10" width="18.6640625" style="6" bestFit="1" customWidth="1"/>
    <col min="11" max="11" width="19.44140625" style="6" bestFit="1" customWidth="1"/>
    <col min="12" max="13" width="10.6640625" style="6" bestFit="1" customWidth="1"/>
    <col min="14" max="14" width="10.44140625" style="8" bestFit="1" customWidth="1"/>
    <col min="15" max="15" width="13.6640625" style="8" bestFit="1" customWidth="1"/>
    <col min="16" max="17" width="17" style="8" bestFit="1" customWidth="1"/>
    <col min="18" max="18" width="10.6640625" style="6" bestFit="1" customWidth="1"/>
    <col min="19" max="20" width="13.44140625" style="6" bestFit="1" customWidth="1"/>
    <col min="21" max="21" width="20.21875" style="7" bestFit="1" customWidth="1"/>
    <col min="22" max="23" width="23.6640625" style="7" bestFit="1" customWidth="1"/>
    <col min="24" max="24" width="12.44140625" style="8" bestFit="1" customWidth="1"/>
    <col min="25" max="25" width="15.6640625" style="8" bestFit="1" customWidth="1"/>
    <col min="26" max="27" width="19.109375" style="8" bestFit="1" customWidth="1"/>
    <col min="28" max="28" width="11" style="6" bestFit="1" customWidth="1"/>
    <col min="29" max="30" width="14.44140625" style="6" bestFit="1" customWidth="1"/>
    <col min="31" max="31" width="22.33203125" style="7" bestFit="1" customWidth="1"/>
    <col min="32" max="33" width="25.77734375" style="7" bestFit="1" customWidth="1"/>
    <col min="51" max="51" width="8.88671875" style="12"/>
    <col min="52" max="53" width="8.88671875" style="13"/>
    <col min="54" max="57" width="8.88671875" style="12"/>
    <col min="58" max="58" width="13.5546875" style="12" bestFit="1" customWidth="1"/>
    <col min="59" max="59" width="9.77734375" style="12" bestFit="1" customWidth="1"/>
    <col min="60" max="60" width="10.5546875" style="12" bestFit="1" customWidth="1"/>
    <col min="61" max="61" width="9.77734375" style="12" customWidth="1"/>
    <col min="62" max="63" width="8.88671875" style="12"/>
    <col min="64" max="65" width="8.88671875" style="13"/>
    <col min="66" max="69" width="8.88671875" style="12"/>
    <col min="70" max="70" width="13.5546875" style="12" bestFit="1" customWidth="1"/>
    <col min="71" max="71" width="12.33203125" style="12" bestFit="1" customWidth="1"/>
    <col min="72" max="72" width="10.109375" style="12" bestFit="1" customWidth="1"/>
    <col min="73" max="73" width="9.77734375" style="12" customWidth="1"/>
    <col min="74" max="16384" width="8.88671875" style="12"/>
  </cols>
  <sheetData>
    <row r="1" spans="1:102" s="9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BG1" s="10"/>
      <c r="BH1" s="10"/>
      <c r="BI1" s="10"/>
      <c r="BJ1" s="11">
        <f>BJ167</f>
        <v>7.7391019576433101E-3</v>
      </c>
      <c r="BS1" s="10"/>
      <c r="BT1" s="10"/>
      <c r="BU1" s="10"/>
      <c r="BV1" s="11">
        <f>BV167</f>
        <v>3.3369207376346193E-3</v>
      </c>
      <c r="BY1" s="11">
        <f>BY167</f>
        <v>1.1076022695277927E-2</v>
      </c>
    </row>
    <row r="2" spans="1:102" x14ac:dyDescent="0.3">
      <c r="A2" s="1">
        <v>46024</v>
      </c>
      <c r="B2" s="6">
        <v>27.33</v>
      </c>
      <c r="C2" s="6">
        <v>29.4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27.33</v>
      </c>
      <c r="M2" s="6">
        <v>29.4</v>
      </c>
      <c r="N2" s="8">
        <v>1.07574094401756</v>
      </c>
      <c r="O2" s="8">
        <v>1.0748223497963401</v>
      </c>
      <c r="X2" s="8">
        <v>1.07574094401756</v>
      </c>
      <c r="Y2" s="8">
        <v>1.07476747574368</v>
      </c>
    </row>
    <row r="3" spans="1:102" ht="15" thickBot="1" x14ac:dyDescent="0.35">
      <c r="A3" s="1">
        <v>46027</v>
      </c>
      <c r="B3" s="6">
        <v>27.41</v>
      </c>
      <c r="C3" s="6">
        <v>29.48</v>
      </c>
      <c r="D3" s="7">
        <v>2.9229103747177702E-3</v>
      </c>
      <c r="E3" s="7">
        <v>2.71739297649988E-3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27.41</v>
      </c>
      <c r="M3" s="6">
        <v>29.48</v>
      </c>
      <c r="N3" s="8">
        <v>1.0755198832542801</v>
      </c>
      <c r="O3" s="8">
        <v>1.0748223497963401</v>
      </c>
      <c r="R3" s="6">
        <v>29.460880607917801</v>
      </c>
      <c r="U3" s="7">
        <v>-6.4876508649153598E-4</v>
      </c>
      <c r="X3" s="8">
        <v>1.0755198832542801</v>
      </c>
      <c r="Y3" s="8">
        <v>1.07476747574368</v>
      </c>
      <c r="AB3" s="6">
        <v>29.459376510134199</v>
      </c>
      <c r="AE3" s="7">
        <v>-6.9982045717326396E-4</v>
      </c>
      <c r="CL3" s="14">
        <f>BJ11</f>
        <v>2.2164219835729915</v>
      </c>
      <c r="CM3" s="15">
        <v>0</v>
      </c>
      <c r="CN3" s="15">
        <f>CM3-0.0005</f>
        <v>-5.0000000000000001E-4</v>
      </c>
      <c r="CO3" s="15">
        <f t="shared" ref="CO3:CT3" si="0">CN3-0.0005</f>
        <v>-1E-3</v>
      </c>
      <c r="CP3" s="15">
        <f t="shared" si="0"/>
        <v>-1.5E-3</v>
      </c>
      <c r="CQ3" s="15">
        <f t="shared" si="0"/>
        <v>-2E-3</v>
      </c>
      <c r="CR3" s="15">
        <f t="shared" si="0"/>
        <v>-2.5000000000000001E-3</v>
      </c>
      <c r="CS3" s="15">
        <f t="shared" si="0"/>
        <v>-3.0000000000000001E-3</v>
      </c>
      <c r="CT3" s="15">
        <f t="shared" si="0"/>
        <v>-3.5000000000000001E-3</v>
      </c>
      <c r="CU3" s="12" t="s">
        <v>33</v>
      </c>
      <c r="CX3" s="15"/>
    </row>
    <row r="4" spans="1:102" ht="15" thickBot="1" x14ac:dyDescent="0.35">
      <c r="A4" s="1">
        <v>46028</v>
      </c>
      <c r="B4" s="6">
        <v>27.45</v>
      </c>
      <c r="C4" s="6">
        <v>29.53</v>
      </c>
      <c r="D4" s="7">
        <v>1.45825764084527E-3</v>
      </c>
      <c r="E4" s="7">
        <v>1.69462843469557E-3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27.45</v>
      </c>
      <c r="M4" s="6">
        <v>29.53</v>
      </c>
      <c r="N4" s="8">
        <v>1.0757741347905201</v>
      </c>
      <c r="O4" s="8">
        <v>1.0748223497963401</v>
      </c>
      <c r="R4" s="6">
        <v>29.503873501909698</v>
      </c>
      <c r="U4" s="7">
        <v>-8.8513588034189498E-4</v>
      </c>
      <c r="X4" s="8">
        <v>1.0757741347905201</v>
      </c>
      <c r="Y4" s="8">
        <v>1.07476747574368</v>
      </c>
      <c r="AB4" s="6">
        <v>29.502367209163999</v>
      </c>
      <c r="AE4" s="7">
        <v>-9.3619125102351096E-4</v>
      </c>
      <c r="CL4" s="15">
        <v>0</v>
      </c>
      <c r="CM4" s="16">
        <f t="dataTable" ref="CM4:CT11" dt2D="1" dtr="1" r1="BA20" r2="BA21"/>
        <v>1.5529279024566121</v>
      </c>
      <c r="CN4" s="16">
        <v>2.0676597710085187</v>
      </c>
      <c r="CO4" s="17">
        <v>2.2164219835729915</v>
      </c>
      <c r="CP4" s="16">
        <v>2.1299391163136909</v>
      </c>
      <c r="CQ4" s="16">
        <v>2.0022977267370883</v>
      </c>
      <c r="CR4" s="16" t="e">
        <v>#DIV/0!</v>
      </c>
      <c r="CS4" s="16" t="e">
        <v>#DIV/0!</v>
      </c>
      <c r="CT4" s="16" t="e">
        <v>#DIV/0!</v>
      </c>
      <c r="CV4" s="12" t="s">
        <v>34</v>
      </c>
      <c r="CW4" s="12" t="s">
        <v>35</v>
      </c>
      <c r="CX4" s="15"/>
    </row>
    <row r="5" spans="1:102" x14ac:dyDescent="0.3">
      <c r="A5" s="1">
        <v>46029</v>
      </c>
      <c r="B5" s="6">
        <v>27.46</v>
      </c>
      <c r="C5" s="6">
        <v>29.52</v>
      </c>
      <c r="D5" s="7">
        <v>3.6423238428547099E-4</v>
      </c>
      <c r="E5" s="7">
        <v>-3.3869602355962299E-4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27.46</v>
      </c>
      <c r="M5" s="6">
        <v>29.52</v>
      </c>
      <c r="N5" s="8">
        <v>1.07501820830298</v>
      </c>
      <c r="O5" s="8">
        <v>1.0748223497963401</v>
      </c>
      <c r="R5" s="6">
        <v>29.514621725407601</v>
      </c>
      <c r="U5" s="7">
        <v>-1.8220747249687001E-4</v>
      </c>
      <c r="X5" s="8">
        <v>1.07501820830298</v>
      </c>
      <c r="Y5" s="8">
        <v>1.07476747574368</v>
      </c>
      <c r="AB5" s="6">
        <v>29.5131148839214</v>
      </c>
      <c r="AE5" s="7">
        <v>-2.3326284317847699E-4</v>
      </c>
      <c r="CL5" s="15">
        <f>CL4-0.0005</f>
        <v>-5.0000000000000001E-4</v>
      </c>
      <c r="CM5" s="16">
        <v>1.5529279024566121</v>
      </c>
      <c r="CN5" s="16">
        <v>1.3431014500769043</v>
      </c>
      <c r="CO5" s="16">
        <v>1.6196633042412529</v>
      </c>
      <c r="CP5" s="16">
        <v>1.5913443145522095</v>
      </c>
      <c r="CQ5" s="16">
        <v>1.6724660504575062</v>
      </c>
      <c r="CR5" s="16" t="e">
        <v>#DIV/0!</v>
      </c>
      <c r="CS5" s="16" t="e">
        <v>#DIV/0!</v>
      </c>
      <c r="CT5" s="16" t="e">
        <v>#DIV/0!</v>
      </c>
      <c r="CV5" s="12" t="s">
        <v>36</v>
      </c>
      <c r="CW5" s="12" t="s">
        <v>37</v>
      </c>
      <c r="CX5" s="15"/>
    </row>
    <row r="6" spans="1:102" x14ac:dyDescent="0.3">
      <c r="A6" s="1">
        <v>46030</v>
      </c>
      <c r="B6" s="6">
        <v>27.49</v>
      </c>
      <c r="C6" s="6">
        <v>29.55</v>
      </c>
      <c r="D6" s="7">
        <v>1.09190183732921E-3</v>
      </c>
      <c r="E6" s="7">
        <v>1.0157441198354201E-3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27.49</v>
      </c>
      <c r="M6" s="6">
        <v>29.55</v>
      </c>
      <c r="N6" s="8">
        <v>1.0749363404874499</v>
      </c>
      <c r="O6" s="8">
        <v>1.0748223497963401</v>
      </c>
      <c r="R6" s="6">
        <v>29.5468663959015</v>
      </c>
      <c r="U6" s="7">
        <v>-1.0604975500309899E-4</v>
      </c>
      <c r="X6" s="8">
        <v>1.0749363404874499</v>
      </c>
      <c r="Y6" s="8">
        <v>1.07476747574368</v>
      </c>
      <c r="AB6" s="6">
        <v>29.545357908193701</v>
      </c>
      <c r="AE6" s="7">
        <v>-1.57105125684616E-4</v>
      </c>
      <c r="CL6" s="15">
        <f t="shared" ref="CL6:CL11" si="1">CL5-0.0005</f>
        <v>-1E-3</v>
      </c>
      <c r="CM6" s="16">
        <v>1.5529279024566121</v>
      </c>
      <c r="CN6" s="16">
        <v>1.3431014500769043</v>
      </c>
      <c r="CO6" s="16">
        <v>2.3288573416607159</v>
      </c>
      <c r="CP6" s="16">
        <v>2.3738307540372383</v>
      </c>
      <c r="CQ6" s="16">
        <v>1.5120693093513924</v>
      </c>
      <c r="CR6" s="16" t="e">
        <v>#DIV/0!</v>
      </c>
      <c r="CS6" s="16" t="e">
        <v>#DIV/0!</v>
      </c>
      <c r="CT6" s="16" t="e">
        <v>#DIV/0!</v>
      </c>
      <c r="CX6" s="15"/>
    </row>
    <row r="7" spans="1:102" x14ac:dyDescent="0.3">
      <c r="A7" s="1">
        <v>46031</v>
      </c>
      <c r="B7" s="6">
        <v>27.52</v>
      </c>
      <c r="C7" s="6">
        <v>29.57</v>
      </c>
      <c r="D7" s="7">
        <v>1.0907108879885301E-3</v>
      </c>
      <c r="E7" s="7">
        <v>6.7659001227854301E-4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27.52</v>
      </c>
      <c r="M7" s="6">
        <v>29.57</v>
      </c>
      <c r="N7" s="8">
        <v>1.0744912790697601</v>
      </c>
      <c r="O7" s="8">
        <v>1.0748223497963401</v>
      </c>
      <c r="R7" s="6">
        <v>29.579111066395399</v>
      </c>
      <c r="U7" s="7">
        <v>3.0807112070683899E-4</v>
      </c>
      <c r="X7" s="8">
        <v>1.0744912790697601</v>
      </c>
      <c r="Y7" s="8">
        <v>1.07476747574368</v>
      </c>
      <c r="AB7" s="6">
        <v>29.577600932466002</v>
      </c>
      <c r="AE7" s="7">
        <v>2.57015750025409E-4</v>
      </c>
      <c r="CL7" s="15">
        <f t="shared" si="1"/>
        <v>-1.5E-3</v>
      </c>
      <c r="CM7" s="16">
        <v>1.5529279024566121</v>
      </c>
      <c r="CN7" s="16">
        <v>1.3431014500769043</v>
      </c>
      <c r="CO7" s="16">
        <v>2.3288573416607159</v>
      </c>
      <c r="CP7" s="16">
        <v>2.8308587042913325</v>
      </c>
      <c r="CQ7" s="16">
        <v>2.32069645055038</v>
      </c>
      <c r="CR7" s="16" t="e">
        <v>#DIV/0!</v>
      </c>
      <c r="CS7" s="16" t="e">
        <v>#DIV/0!</v>
      </c>
      <c r="CT7" s="16" t="e">
        <v>#DIV/0!</v>
      </c>
      <c r="CX7" s="15"/>
    </row>
    <row r="8" spans="1:102" x14ac:dyDescent="0.3">
      <c r="A8" s="1">
        <v>46034</v>
      </c>
      <c r="B8" s="6">
        <v>27.54</v>
      </c>
      <c r="C8" s="6">
        <v>29.55</v>
      </c>
      <c r="D8" s="7">
        <v>7.2648023536593198E-4</v>
      </c>
      <c r="E8" s="7">
        <v>-6.7659001227861901E-4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27.54</v>
      </c>
      <c r="M8" s="6">
        <v>29.55</v>
      </c>
      <c r="N8" s="8">
        <v>1.07298474945533</v>
      </c>
      <c r="O8" s="8">
        <v>1.0748223497963401</v>
      </c>
      <c r="R8" s="6">
        <v>29.600607513391299</v>
      </c>
      <c r="U8" s="7">
        <v>1.7111413683514E-3</v>
      </c>
      <c r="X8" s="8">
        <v>1.07298474945533</v>
      </c>
      <c r="Y8" s="8">
        <v>1.07476747574368</v>
      </c>
      <c r="AB8" s="6">
        <v>29.599096281980898</v>
      </c>
      <c r="AE8" s="7">
        <v>1.6600859976698E-3</v>
      </c>
      <c r="CL8" s="15">
        <f t="shared" si="1"/>
        <v>-2E-3</v>
      </c>
      <c r="CM8" s="16">
        <v>1.5529279024566121</v>
      </c>
      <c r="CN8" s="16">
        <v>1.3431014500769043</v>
      </c>
      <c r="CO8" s="16">
        <v>2.3288573416607159</v>
      </c>
      <c r="CP8" s="16">
        <v>2.8308587042913325</v>
      </c>
      <c r="CQ8" s="16">
        <v>1.5188840180954184</v>
      </c>
      <c r="CR8" s="16" t="e">
        <v>#DIV/0!</v>
      </c>
      <c r="CS8" s="16" t="e">
        <v>#DIV/0!</v>
      </c>
      <c r="CT8" s="16" t="e">
        <v>#DIV/0!</v>
      </c>
      <c r="CX8" s="15"/>
    </row>
    <row r="9" spans="1:102" x14ac:dyDescent="0.3">
      <c r="A9" s="1">
        <v>46035</v>
      </c>
      <c r="B9" s="6">
        <v>27.51</v>
      </c>
      <c r="C9" s="6">
        <v>29.56</v>
      </c>
      <c r="D9" s="7">
        <v>-1.0899183640255699E-3</v>
      </c>
      <c r="E9" s="7">
        <v>3.38352227893769E-4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27.51</v>
      </c>
      <c r="M9" s="6">
        <v>29.56</v>
      </c>
      <c r="N9" s="8">
        <v>1.0745183569611001</v>
      </c>
      <c r="O9" s="8">
        <v>1.0748223497963401</v>
      </c>
      <c r="R9" s="6">
        <v>29.5683628428975</v>
      </c>
      <c r="U9" s="7">
        <v>2.82870776432093E-4</v>
      </c>
      <c r="X9" s="8">
        <v>1.0745183569611001</v>
      </c>
      <c r="Y9" s="8">
        <v>1.07476747574368</v>
      </c>
      <c r="AB9" s="6">
        <v>29.566853257708601</v>
      </c>
      <c r="AE9" s="7">
        <v>2.3181540575047799E-4</v>
      </c>
      <c r="BJ9" s="18">
        <f>AVERAGE(BI22:BI200)</f>
        <v>5.3007547655091167E-5</v>
      </c>
      <c r="BV9" s="18">
        <f>AVERAGE(BU22:BU200)</f>
        <v>2.2855621490648079E-5</v>
      </c>
      <c r="BY9" s="18">
        <f>AVERAGE(BX22:BX200)</f>
        <v>7.5863169145739219E-5</v>
      </c>
      <c r="CL9" s="15">
        <f t="shared" si="1"/>
        <v>-2.5000000000000001E-3</v>
      </c>
      <c r="CM9" s="16">
        <v>1.5529279024566121</v>
      </c>
      <c r="CN9" s="16">
        <v>1.3431014500769043</v>
      </c>
      <c r="CO9" s="16">
        <v>2.3288573416607159</v>
      </c>
      <c r="CP9" s="16">
        <v>2.8308587042913325</v>
      </c>
      <c r="CQ9" s="16">
        <v>1.5188840180954184</v>
      </c>
      <c r="CR9" s="16" t="e">
        <v>#DIV/0!</v>
      </c>
      <c r="CS9" s="16" t="e">
        <v>#DIV/0!</v>
      </c>
      <c r="CT9" s="16" t="e">
        <v>#DIV/0!</v>
      </c>
      <c r="CX9" s="15"/>
    </row>
    <row r="10" spans="1:102" x14ac:dyDescent="0.3">
      <c r="A10" s="1">
        <v>46036</v>
      </c>
      <c r="B10" s="6">
        <v>27.54</v>
      </c>
      <c r="C10" s="6">
        <v>29.58</v>
      </c>
      <c r="D10" s="7">
        <v>1.0899183640256001E-3</v>
      </c>
      <c r="E10" s="7">
        <v>6.7636120265276002E-4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27.54</v>
      </c>
      <c r="M10" s="6">
        <v>29.58</v>
      </c>
      <c r="N10" s="8">
        <v>1.07407407407407</v>
      </c>
      <c r="O10" s="8">
        <v>1.0748223497963401</v>
      </c>
      <c r="R10" s="6">
        <v>29.600607513391299</v>
      </c>
      <c r="U10" s="7">
        <v>6.9642793780501898E-4</v>
      </c>
      <c r="X10" s="8">
        <v>1.07407407407407</v>
      </c>
      <c r="Y10" s="8">
        <v>1.07476747574368</v>
      </c>
      <c r="AB10" s="6">
        <v>29.599096281980898</v>
      </c>
      <c r="AE10" s="7">
        <v>6.4537256712338099E-4</v>
      </c>
      <c r="AZ10" s="19"/>
      <c r="BJ10" s="18">
        <f>STDEV(BI22:BI200)</f>
        <v>3.7965186163339007E-4</v>
      </c>
      <c r="BL10" s="19"/>
      <c r="BV10" s="18">
        <f>STDEV(BU22:BU200)</f>
        <v>1.8003484783015025E-4</v>
      </c>
      <c r="BY10" s="18">
        <f>STDEV(BX22:BX200)</f>
        <v>4.1726290388361537E-4</v>
      </c>
      <c r="CL10" s="15">
        <f t="shared" si="1"/>
        <v>-3.0000000000000001E-3</v>
      </c>
      <c r="CM10" s="16">
        <v>1.5529279024566121</v>
      </c>
      <c r="CN10" s="16">
        <v>1.3431014500769043</v>
      </c>
      <c r="CO10" s="16">
        <v>2.3288573416607159</v>
      </c>
      <c r="CP10" s="16">
        <v>2.8308587042913325</v>
      </c>
      <c r="CQ10" s="16">
        <v>1.5188840180954184</v>
      </c>
      <c r="CR10" s="16" t="e">
        <v>#DIV/0!</v>
      </c>
      <c r="CS10" s="16" t="e">
        <v>#DIV/0!</v>
      </c>
      <c r="CT10" s="16" t="e">
        <v>#DIV/0!</v>
      </c>
      <c r="CX10" s="15"/>
    </row>
    <row r="11" spans="1:102" x14ac:dyDescent="0.3">
      <c r="A11" s="1">
        <v>46037</v>
      </c>
      <c r="B11" s="6">
        <v>27.53</v>
      </c>
      <c r="C11" s="6">
        <v>29.57</v>
      </c>
      <c r="D11" s="7">
        <v>-3.6317414599278998E-4</v>
      </c>
      <c r="E11" s="7">
        <v>-3.3812341826782799E-4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27.53</v>
      </c>
      <c r="M11" s="6">
        <v>29.57</v>
      </c>
      <c r="N11" s="8">
        <v>1.07410098074827</v>
      </c>
      <c r="O11" s="8">
        <v>1.0748223497963401</v>
      </c>
      <c r="P11" s="8">
        <v>1.07471589511613</v>
      </c>
      <c r="R11" s="6">
        <v>29.589859289893401</v>
      </c>
      <c r="U11" s="7">
        <v>6.7137721007991301E-4</v>
      </c>
      <c r="X11" s="8">
        <v>1.07410098074827</v>
      </c>
      <c r="Y11" s="8">
        <v>1.07476747574368</v>
      </c>
      <c r="Z11" s="8">
        <v>1.07471589511613</v>
      </c>
      <c r="AB11" s="6">
        <v>29.588348607223502</v>
      </c>
      <c r="AE11" s="7">
        <v>6.2032183939845999E-4</v>
      </c>
      <c r="BJ11" s="12">
        <f>SQRT(252)*BJ9/BJ10</f>
        <v>2.2164219835729915</v>
      </c>
      <c r="BV11" s="12">
        <f>SQRT(252)*BV9/BV10</f>
        <v>2.0152861932972277</v>
      </c>
      <c r="BY11" s="12">
        <f>SQRT(252)*BY9/BY10</f>
        <v>2.8861671242863025</v>
      </c>
      <c r="CL11" s="15">
        <f t="shared" si="1"/>
        <v>-3.5000000000000001E-3</v>
      </c>
      <c r="CM11" s="16">
        <v>1.5529279024566121</v>
      </c>
      <c r="CN11" s="16">
        <v>1.3431014500769043</v>
      </c>
      <c r="CO11" s="16">
        <v>2.3288573416607159</v>
      </c>
      <c r="CP11" s="16">
        <v>2.8308587042913325</v>
      </c>
      <c r="CQ11" s="16">
        <v>1.5188840180954184</v>
      </c>
      <c r="CR11" s="16" t="e">
        <v>#DIV/0!</v>
      </c>
      <c r="CS11" s="16" t="e">
        <v>#DIV/0!</v>
      </c>
      <c r="CT11" s="16" t="e">
        <v>#DIV/0!</v>
      </c>
      <c r="CX11" s="15"/>
    </row>
    <row r="12" spans="1:102" x14ac:dyDescent="0.3">
      <c r="A12" s="1">
        <v>46038</v>
      </c>
      <c r="B12" s="6">
        <v>27.53</v>
      </c>
      <c r="C12" s="6">
        <v>29.58</v>
      </c>
      <c r="D12" s="7">
        <v>0</v>
      </c>
      <c r="E12" s="7">
        <v>3.3812341826782198E-4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27.53</v>
      </c>
      <c r="M12" s="6">
        <v>29.58</v>
      </c>
      <c r="N12" s="8">
        <v>1.0744642208499799</v>
      </c>
      <c r="O12" s="8">
        <v>1.0748223497963401</v>
      </c>
      <c r="P12" s="8">
        <v>1.0745882227993699</v>
      </c>
      <c r="R12" s="6">
        <v>29.589859289893401</v>
      </c>
      <c r="S12" s="6">
        <v>29.586928592547199</v>
      </c>
      <c r="U12" s="7">
        <v>3.3325379181209602E-4</v>
      </c>
      <c r="V12" s="7">
        <v>2.34204909524595E-4</v>
      </c>
      <c r="X12" s="8">
        <v>1.0744642208499799</v>
      </c>
      <c r="Y12" s="8">
        <v>1.07476747574368</v>
      </c>
      <c r="Z12" s="8">
        <v>1.0745882227993699</v>
      </c>
      <c r="AB12" s="6">
        <v>29.588348607223502</v>
      </c>
      <c r="AC12" s="6">
        <v>29.586928592547199</v>
      </c>
      <c r="AE12" s="7">
        <v>2.8219842113066398E-4</v>
      </c>
      <c r="AF12" s="7">
        <v>2.34204909524595E-4</v>
      </c>
      <c r="CL12" s="12" t="s">
        <v>38</v>
      </c>
    </row>
    <row r="13" spans="1:102" x14ac:dyDescent="0.3">
      <c r="A13" s="1">
        <v>46042</v>
      </c>
      <c r="B13" s="6">
        <v>27.45</v>
      </c>
      <c r="C13" s="6">
        <v>29.49</v>
      </c>
      <c r="D13" s="7">
        <v>-2.9101511989764002E-3</v>
      </c>
      <c r="E13" s="7">
        <v>-3.0472344554688499E-3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27.45</v>
      </c>
      <c r="M13" s="6">
        <v>29.49</v>
      </c>
      <c r="N13" s="8">
        <v>1.07431693989071</v>
      </c>
      <c r="O13" s="8">
        <v>1.0748223497963401</v>
      </c>
      <c r="P13" s="8">
        <v>1.0744679284630201</v>
      </c>
      <c r="R13" s="6">
        <v>29.503873501909698</v>
      </c>
      <c r="S13" s="6">
        <v>29.497446715842901</v>
      </c>
      <c r="U13" s="7">
        <v>4.7033704830467198E-4</v>
      </c>
      <c r="V13" s="7">
        <v>2.52484767425096E-4</v>
      </c>
      <c r="X13" s="8">
        <v>1.07431693989071</v>
      </c>
      <c r="Y13" s="8">
        <v>1.07476747574368</v>
      </c>
      <c r="Z13" s="8">
        <v>1.0744679284630201</v>
      </c>
      <c r="AB13" s="6">
        <v>29.502367209163999</v>
      </c>
      <c r="AC13" s="6">
        <v>29.497446715842901</v>
      </c>
      <c r="AE13" s="7">
        <v>4.1928167762313802E-4</v>
      </c>
      <c r="AF13" s="7">
        <v>2.52484767425096E-4</v>
      </c>
    </row>
    <row r="14" spans="1:102" x14ac:dyDescent="0.3">
      <c r="A14" s="1">
        <v>46043</v>
      </c>
      <c r="B14" s="6">
        <v>27.57</v>
      </c>
      <c r="C14" s="6">
        <v>29.61</v>
      </c>
      <c r="D14" s="7">
        <v>4.3620570801658201E-3</v>
      </c>
      <c r="E14" s="7">
        <v>4.0609192863150104E-3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27.57</v>
      </c>
      <c r="M14" s="6">
        <v>29.61</v>
      </c>
      <c r="N14" s="8">
        <v>1.0739934711643</v>
      </c>
      <c r="O14" s="8">
        <v>1.0748223497963401</v>
      </c>
      <c r="P14" s="8">
        <v>1.07428986210039</v>
      </c>
      <c r="R14" s="6">
        <v>29.632852183885198</v>
      </c>
      <c r="S14" s="6">
        <v>29.623080787725499</v>
      </c>
      <c r="U14" s="7">
        <v>7.7147484215535898E-4</v>
      </c>
      <c r="V14" s="7">
        <v>4.41671706559552E-4</v>
      </c>
      <c r="X14" s="8">
        <v>1.0739934711643</v>
      </c>
      <c r="Y14" s="8">
        <v>1.07476747574368</v>
      </c>
      <c r="Z14" s="8">
        <v>1.07428986210039</v>
      </c>
      <c r="AB14" s="6">
        <v>29.631339306253199</v>
      </c>
      <c r="AC14" s="6">
        <v>29.623080787725499</v>
      </c>
      <c r="AE14" s="7">
        <v>7.2041947147365604E-4</v>
      </c>
      <c r="AF14" s="7">
        <v>4.41671706559552E-4</v>
      </c>
      <c r="CL14" s="14">
        <f>BV11</f>
        <v>2.0152861932972277</v>
      </c>
      <c r="CM14" s="15">
        <v>0</v>
      </c>
      <c r="CN14" s="15">
        <f>CM14+0.0005</f>
        <v>5.0000000000000001E-4</v>
      </c>
      <c r="CO14" s="15">
        <f t="shared" ref="CO14:CT14" si="2">CN14+0.0005</f>
        <v>1E-3</v>
      </c>
      <c r="CP14" s="15">
        <f t="shared" si="2"/>
        <v>1.5E-3</v>
      </c>
      <c r="CQ14" s="15">
        <f t="shared" si="2"/>
        <v>2E-3</v>
      </c>
      <c r="CR14" s="15">
        <f t="shared" si="2"/>
        <v>2.5000000000000001E-3</v>
      </c>
      <c r="CS14" s="15">
        <f t="shared" si="2"/>
        <v>3.0000000000000001E-3</v>
      </c>
      <c r="CT14" s="15">
        <f t="shared" si="2"/>
        <v>3.5000000000000001E-3</v>
      </c>
      <c r="CU14" s="12" t="s">
        <v>33</v>
      </c>
      <c r="CX14" s="15"/>
    </row>
    <row r="15" spans="1:102" x14ac:dyDescent="0.3">
      <c r="A15" s="1">
        <v>46044</v>
      </c>
      <c r="B15" s="6">
        <v>27.57</v>
      </c>
      <c r="C15" s="6">
        <v>29.62</v>
      </c>
      <c r="D15" s="7">
        <v>0</v>
      </c>
      <c r="E15" s="7">
        <v>3.37666726152801E-4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27.57</v>
      </c>
      <c r="M15" s="6">
        <v>29.62</v>
      </c>
      <c r="N15" s="8">
        <v>1.0743561842582501</v>
      </c>
      <c r="O15" s="8">
        <v>1.0748223497963401</v>
      </c>
      <c r="P15" s="8">
        <v>1.07422365969592</v>
      </c>
      <c r="R15" s="6">
        <v>29.632852183885198</v>
      </c>
      <c r="S15" s="6">
        <v>29.618171498108001</v>
      </c>
      <c r="U15" s="7">
        <v>4.3380811600255E-4</v>
      </c>
      <c r="V15" s="7">
        <v>-6.17339072532959E-5</v>
      </c>
      <c r="X15" s="8">
        <v>1.0743561842582501</v>
      </c>
      <c r="Y15" s="8">
        <v>1.07476747574368</v>
      </c>
      <c r="Z15" s="8">
        <v>1.07422365969592</v>
      </c>
      <c r="AB15" s="6">
        <v>29.631339306253199</v>
      </c>
      <c r="AC15" s="6">
        <v>29.618171498108001</v>
      </c>
      <c r="AE15" s="7">
        <v>3.8275274532090301E-4</v>
      </c>
      <c r="AF15" s="7">
        <v>-6.17339072532959E-5</v>
      </c>
      <c r="CL15" s="15">
        <v>0</v>
      </c>
      <c r="CM15" s="16">
        <f t="dataTable" ref="CM15:CT22" dt2D="1" dtr="1" r1="BM20" r2="BM21"/>
        <v>1.1983647602621308</v>
      </c>
      <c r="CN15" s="16">
        <v>0.71026524738643804</v>
      </c>
      <c r="CO15" s="16">
        <v>1.2365189678530144</v>
      </c>
      <c r="CP15" s="16">
        <v>0.31063274173037897</v>
      </c>
      <c r="CQ15" s="16">
        <v>0.74998363889898145</v>
      </c>
      <c r="CR15" s="16" t="e">
        <v>#DIV/0!</v>
      </c>
      <c r="CS15" s="16" t="e">
        <v>#DIV/0!</v>
      </c>
      <c r="CT15" s="16" t="e">
        <v>#DIV/0!</v>
      </c>
      <c r="CV15" s="12" t="s">
        <v>34</v>
      </c>
      <c r="CW15" s="12" t="s">
        <v>39</v>
      </c>
      <c r="CX15" s="15"/>
    </row>
    <row r="16" spans="1:102" ht="15" thickBot="1" x14ac:dyDescent="0.35">
      <c r="A16" s="1">
        <v>46045</v>
      </c>
      <c r="B16" s="6">
        <v>27.54</v>
      </c>
      <c r="C16" s="6">
        <v>29.59</v>
      </c>
      <c r="D16" s="7">
        <v>-1.0887317351966699E-3</v>
      </c>
      <c r="E16" s="7">
        <v>-1.0133424275344501E-3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27.54</v>
      </c>
      <c r="M16" s="6">
        <v>29.59</v>
      </c>
      <c r="N16" s="8">
        <v>1.07443718228031</v>
      </c>
      <c r="O16" s="8">
        <v>1.0748223497963401</v>
      </c>
      <c r="P16" s="8">
        <v>1.0741737438752099</v>
      </c>
      <c r="R16" s="6">
        <v>29.600607513391299</v>
      </c>
      <c r="S16" s="6">
        <v>29.5841195880258</v>
      </c>
      <c r="U16" s="7">
        <v>3.5841880834033298E-4</v>
      </c>
      <c r="V16" s="7">
        <v>-1.9874945447411401E-4</v>
      </c>
      <c r="X16" s="8">
        <v>1.07443718228031</v>
      </c>
      <c r="Y16" s="8">
        <v>1.07476747574368</v>
      </c>
      <c r="Z16" s="8">
        <v>1.0741737438752099</v>
      </c>
      <c r="AB16" s="6">
        <v>29.599096281980898</v>
      </c>
      <c r="AC16" s="6">
        <v>29.5841195880258</v>
      </c>
      <c r="AE16" s="7">
        <v>3.0736343765871E-4</v>
      </c>
      <c r="AF16" s="7">
        <v>-1.9874945447411401E-4</v>
      </c>
      <c r="CL16" s="15">
        <f>CL15+0.0005</f>
        <v>5.0000000000000001E-4</v>
      </c>
      <c r="CM16" s="16">
        <v>1.1983647602621308</v>
      </c>
      <c r="CN16" s="16">
        <v>1.0341521442079957</v>
      </c>
      <c r="CO16" s="16">
        <v>2.6918308151952295</v>
      </c>
      <c r="CP16" s="16">
        <v>1.4125211128235426</v>
      </c>
      <c r="CQ16" s="16">
        <v>2.0152861932972277</v>
      </c>
      <c r="CR16" s="16" t="e">
        <v>#DIV/0!</v>
      </c>
      <c r="CS16" s="16" t="e">
        <v>#DIV/0!</v>
      </c>
      <c r="CT16" s="16" t="e">
        <v>#DIV/0!</v>
      </c>
      <c r="CV16" s="12" t="s">
        <v>36</v>
      </c>
      <c r="CW16" s="12" t="s">
        <v>40</v>
      </c>
      <c r="CX16" s="15"/>
    </row>
    <row r="17" spans="1:102" ht="15" thickBot="1" x14ac:dyDescent="0.35">
      <c r="A17" s="1">
        <v>46048</v>
      </c>
      <c r="B17" s="6">
        <v>27.55</v>
      </c>
      <c r="C17" s="6">
        <v>29.6</v>
      </c>
      <c r="D17" s="7">
        <v>3.6304229841465502E-4</v>
      </c>
      <c r="E17" s="7">
        <v>3.37894917896377E-4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27.55</v>
      </c>
      <c r="M17" s="6">
        <v>29.6</v>
      </c>
      <c r="N17" s="8">
        <v>1.0744101633393801</v>
      </c>
      <c r="O17" s="8">
        <v>1.0748223497963401</v>
      </c>
      <c r="P17" s="8">
        <v>1.07416563230217</v>
      </c>
      <c r="R17" s="6">
        <v>29.611355736889301</v>
      </c>
      <c r="S17" s="6">
        <v>29.593486643762098</v>
      </c>
      <c r="U17" s="7">
        <v>3.8356618885864401E-4</v>
      </c>
      <c r="V17" s="7">
        <v>-2.2007003248049201E-4</v>
      </c>
      <c r="X17" s="8">
        <v>1.0744101633393801</v>
      </c>
      <c r="Y17" s="8">
        <v>1.07476747574368</v>
      </c>
      <c r="Z17" s="8">
        <v>1.07416563230217</v>
      </c>
      <c r="AB17" s="6">
        <v>29.609843956738398</v>
      </c>
      <c r="AC17" s="6">
        <v>29.593486643762098</v>
      </c>
      <c r="AE17" s="7">
        <v>3.32510818177074E-4</v>
      </c>
      <c r="AF17" s="7">
        <v>-2.2007003248049201E-4</v>
      </c>
      <c r="CL17" s="15">
        <f t="shared" ref="CL17:CL23" si="3">CL16+0.0005</f>
        <v>1E-3</v>
      </c>
      <c r="CM17" s="16">
        <v>1.1983647602621308</v>
      </c>
      <c r="CN17" s="16">
        <v>1.0341521442079957</v>
      </c>
      <c r="CO17" s="16">
        <v>4.1052048322939303</v>
      </c>
      <c r="CP17" s="16">
        <v>2.6372698209265661</v>
      </c>
      <c r="CQ17" s="17">
        <v>2.0152861932972277</v>
      </c>
      <c r="CR17" s="16" t="e">
        <v>#DIV/0!</v>
      </c>
      <c r="CS17" s="16" t="e">
        <v>#DIV/0!</v>
      </c>
      <c r="CT17" s="16" t="e">
        <v>#DIV/0!</v>
      </c>
      <c r="CX17" s="15"/>
    </row>
    <row r="18" spans="1:102" x14ac:dyDescent="0.3">
      <c r="A18" s="1">
        <v>46049</v>
      </c>
      <c r="B18" s="6">
        <v>27.59</v>
      </c>
      <c r="C18" s="6">
        <v>29.61</v>
      </c>
      <c r="D18" s="7">
        <v>1.45085263027109E-3</v>
      </c>
      <c r="E18" s="7">
        <v>3.37780783485186E-4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27.59</v>
      </c>
      <c r="M18" s="6">
        <v>29.61</v>
      </c>
      <c r="N18" s="8">
        <v>1.07321493294671</v>
      </c>
      <c r="O18" s="8">
        <v>1.0748223497963401</v>
      </c>
      <c r="P18" s="8">
        <v>1.0741886506513101</v>
      </c>
      <c r="R18" s="6">
        <v>29.654348630881199</v>
      </c>
      <c r="S18" s="6">
        <v>29.636229795216899</v>
      </c>
      <c r="U18" s="7">
        <v>1.4966380356445999E-3</v>
      </c>
      <c r="V18" s="7">
        <v>8.8545033232960695E-4</v>
      </c>
      <c r="X18" s="8">
        <v>1.07321493294671</v>
      </c>
      <c r="Y18" s="8">
        <v>1.07476747574368</v>
      </c>
      <c r="Z18" s="8">
        <v>1.0741886506513101</v>
      </c>
      <c r="AB18" s="6">
        <v>29.6528346557681</v>
      </c>
      <c r="AC18" s="6">
        <v>29.636229795216899</v>
      </c>
      <c r="AE18" s="7">
        <v>1.44558266496315E-3</v>
      </c>
      <c r="AF18" s="7">
        <v>8.8545033232960695E-4</v>
      </c>
      <c r="CL18" s="15">
        <f t="shared" si="3"/>
        <v>1.5E-3</v>
      </c>
      <c r="CM18" s="16">
        <v>1.1983647602621308</v>
      </c>
      <c r="CN18" s="16">
        <v>1.0341521442079957</v>
      </c>
      <c r="CO18" s="16">
        <v>4.1052048322939303</v>
      </c>
      <c r="CP18" s="16">
        <v>2.7971706361951632</v>
      </c>
      <c r="CQ18" s="16">
        <v>1.7282194981080616</v>
      </c>
      <c r="CR18" s="16" t="e">
        <v>#DIV/0!</v>
      </c>
      <c r="CS18" s="16" t="e">
        <v>#DIV/0!</v>
      </c>
      <c r="CT18" s="16" t="e">
        <v>#DIV/0!</v>
      </c>
      <c r="CX18" s="15"/>
    </row>
    <row r="19" spans="1:102" x14ac:dyDescent="0.3">
      <c r="A19" s="1">
        <v>46050</v>
      </c>
      <c r="B19" s="6">
        <v>27.57</v>
      </c>
      <c r="C19" s="6">
        <v>29.59</v>
      </c>
      <c r="D19" s="7">
        <v>-7.2516319348928701E-4</v>
      </c>
      <c r="E19" s="7">
        <v>-6.7567570138159303E-4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27.57</v>
      </c>
      <c r="M19" s="6">
        <v>29.59</v>
      </c>
      <c r="N19" s="8">
        <v>1.07326804497642</v>
      </c>
      <c r="O19" s="8">
        <v>1.0748223497963401</v>
      </c>
      <c r="P19" s="8">
        <v>1.0740636194528399</v>
      </c>
      <c r="R19" s="6">
        <v>29.632852183885198</v>
      </c>
      <c r="S19" s="6">
        <v>29.615381098456599</v>
      </c>
      <c r="U19" s="7">
        <v>1.4471505435370601E-3</v>
      </c>
      <c r="V19" s="7">
        <v>8.5739166071203304E-4</v>
      </c>
      <c r="X19" s="8">
        <v>1.07326804497642</v>
      </c>
      <c r="Y19" s="8">
        <v>1.07476747574368</v>
      </c>
      <c r="Z19" s="8">
        <v>1.0740636194528399</v>
      </c>
      <c r="AB19" s="6">
        <v>29.631339306253199</v>
      </c>
      <c r="AC19" s="6">
        <v>29.615381098456599</v>
      </c>
      <c r="AE19" s="7">
        <v>1.39609517285544E-3</v>
      </c>
      <c r="AF19" s="7">
        <v>8.5739166071203304E-4</v>
      </c>
      <c r="BX19" s="10" t="s">
        <v>41</v>
      </c>
      <c r="BY19" s="10" t="s">
        <v>41</v>
      </c>
      <c r="CL19" s="15">
        <f t="shared" si="3"/>
        <v>2E-3</v>
      </c>
      <c r="CM19" s="16">
        <v>1.1983647602621308</v>
      </c>
      <c r="CN19" s="16">
        <v>1.0341521442079957</v>
      </c>
      <c r="CO19" s="16">
        <v>4.1052048322939303</v>
      </c>
      <c r="CP19" s="16">
        <v>2.7971706361951632</v>
      </c>
      <c r="CQ19" s="16">
        <v>1.7282194981080616</v>
      </c>
      <c r="CR19" s="16" t="e">
        <v>#DIV/0!</v>
      </c>
      <c r="CS19" s="16" t="e">
        <v>#DIV/0!</v>
      </c>
      <c r="CT19" s="16" t="e">
        <v>#DIV/0!</v>
      </c>
      <c r="CX19" s="15"/>
    </row>
    <row r="20" spans="1:102" x14ac:dyDescent="0.3">
      <c r="A20" s="1">
        <v>46051</v>
      </c>
      <c r="B20" s="6">
        <v>27.58</v>
      </c>
      <c r="C20" s="6">
        <v>29.58</v>
      </c>
      <c r="D20" s="7">
        <v>3.62647329450224E-4</v>
      </c>
      <c r="E20" s="7">
        <v>-3.38009129464623E-4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27.58</v>
      </c>
      <c r="M20" s="6">
        <v>29.58</v>
      </c>
      <c r="N20" s="8">
        <v>1.07251631617113</v>
      </c>
      <c r="O20" s="8">
        <v>1.0748223497963401</v>
      </c>
      <c r="P20" s="8">
        <v>1.07390784366255</v>
      </c>
      <c r="R20" s="6">
        <v>29.6436004073832</v>
      </c>
      <c r="S20" s="6">
        <v>29.622674624509401</v>
      </c>
      <c r="U20" s="7">
        <v>2.1478070024518602E-3</v>
      </c>
      <c r="V20" s="7">
        <v>1.44164540440629E-3</v>
      </c>
      <c r="X20" s="8">
        <v>1.07251631617113</v>
      </c>
      <c r="Y20" s="8">
        <v>1.07476747574368</v>
      </c>
      <c r="Z20" s="8">
        <v>1.07390784366255</v>
      </c>
      <c r="AB20" s="6">
        <v>29.642086981010699</v>
      </c>
      <c r="AC20" s="6">
        <v>29.622674624509401</v>
      </c>
      <c r="AE20" s="7">
        <v>2.0967516317702902E-3</v>
      </c>
      <c r="AF20" s="7">
        <v>1.44164540440629E-3</v>
      </c>
      <c r="AZ20" s="20" t="s">
        <v>42</v>
      </c>
      <c r="BA20" s="21">
        <v>-1E-3</v>
      </c>
      <c r="BB20" s="10" t="s">
        <v>43</v>
      </c>
      <c r="BC20" s="10" t="s">
        <v>44</v>
      </c>
      <c r="BD20" s="10" t="s">
        <v>45</v>
      </c>
      <c r="BE20" s="10" t="s">
        <v>46</v>
      </c>
      <c r="BF20" s="10" t="s">
        <v>47</v>
      </c>
      <c r="BG20" s="10" t="str">
        <f>D1</f>
        <v>FALN log rtn</v>
      </c>
      <c r="BH20" s="10" t="str">
        <f>E1</f>
        <v>ANGL log rtn</v>
      </c>
      <c r="BI20" s="10" t="s">
        <v>48</v>
      </c>
      <c r="BJ20" s="10" t="s">
        <v>49</v>
      </c>
      <c r="BL20" s="20" t="s">
        <v>42</v>
      </c>
      <c r="BM20" s="21">
        <v>2E-3</v>
      </c>
      <c r="BN20" s="10" t="s">
        <v>44</v>
      </c>
      <c r="BO20" s="10" t="s">
        <v>43</v>
      </c>
      <c r="BP20" s="10" t="s">
        <v>45</v>
      </c>
      <c r="BQ20" s="10" t="s">
        <v>46</v>
      </c>
      <c r="BR20" s="10" t="s">
        <v>47</v>
      </c>
      <c r="BS20" s="11" t="str">
        <f>D1</f>
        <v>FALN log rtn</v>
      </c>
      <c r="BT20" s="11" t="str">
        <f>E1</f>
        <v>ANGL log rtn</v>
      </c>
      <c r="BU20" s="10" t="s">
        <v>48</v>
      </c>
      <c r="BV20" s="10" t="s">
        <v>49</v>
      </c>
      <c r="BX20" s="10" t="s">
        <v>48</v>
      </c>
      <c r="BY20" s="10" t="s">
        <v>49</v>
      </c>
      <c r="CL20" s="15">
        <f t="shared" si="3"/>
        <v>2.5000000000000001E-3</v>
      </c>
      <c r="CM20" s="16">
        <v>1.1983647602621308</v>
      </c>
      <c r="CN20" s="16">
        <v>1.0341521442079957</v>
      </c>
      <c r="CO20" s="16">
        <v>4.1052048322939303</v>
      </c>
      <c r="CP20" s="16">
        <v>2.7971706361951632</v>
      </c>
      <c r="CQ20" s="16">
        <v>1.7282194981080616</v>
      </c>
      <c r="CR20" s="16" t="e">
        <v>#DIV/0!</v>
      </c>
      <c r="CS20" s="16" t="e">
        <v>#DIV/0!</v>
      </c>
      <c r="CT20" s="16" t="e">
        <v>#DIV/0!</v>
      </c>
      <c r="CX20" s="15"/>
    </row>
    <row r="21" spans="1:102" x14ac:dyDescent="0.3">
      <c r="A21" s="1">
        <v>46052</v>
      </c>
      <c r="B21" s="6">
        <v>27.57</v>
      </c>
      <c r="C21" s="6">
        <v>29.59</v>
      </c>
      <c r="D21" s="7">
        <v>-3.6264732945035698E-4</v>
      </c>
      <c r="E21" s="7">
        <v>3.3800912946470101E-4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27.57</v>
      </c>
      <c r="M21" s="6">
        <v>29.59</v>
      </c>
      <c r="N21" s="8">
        <v>1.07326804497642</v>
      </c>
      <c r="O21" s="8">
        <v>1.0748223497963401</v>
      </c>
      <c r="P21" s="8">
        <v>1.07382455008536</v>
      </c>
      <c r="Q21" s="8">
        <v>1.0742702226007499</v>
      </c>
      <c r="R21" s="6">
        <v>29.632852183885198</v>
      </c>
      <c r="S21" s="6">
        <v>29.607639249776501</v>
      </c>
      <c r="U21" s="7">
        <v>1.4471505435370601E-3</v>
      </c>
      <c r="V21" s="7">
        <v>5.9594438298988899E-4</v>
      </c>
      <c r="X21" s="8">
        <v>1.07326804497642</v>
      </c>
      <c r="Y21" s="8">
        <v>1.07476747574368</v>
      </c>
      <c r="Z21" s="8">
        <v>1.07382455008536</v>
      </c>
      <c r="AA21" s="8">
        <v>1.0742702226007499</v>
      </c>
      <c r="AB21" s="6">
        <v>29.631339306253199</v>
      </c>
      <c r="AC21" s="6">
        <v>29.607639249776501</v>
      </c>
      <c r="AE21" s="7">
        <v>1.39609517285544E-3</v>
      </c>
      <c r="AF21" s="7">
        <v>5.9594438298988899E-4</v>
      </c>
      <c r="BA21" s="21">
        <v>0</v>
      </c>
      <c r="BE21" s="12">
        <f>IF(F22+H22&gt;0,0,1)</f>
        <v>0</v>
      </c>
      <c r="BF21" s="22">
        <v>0</v>
      </c>
      <c r="BM21" s="21">
        <v>1E-3</v>
      </c>
      <c r="BQ21" s="12">
        <f>IF(F22+H22&gt;0,0,1)</f>
        <v>0</v>
      </c>
      <c r="BR21" s="22">
        <v>0</v>
      </c>
      <c r="CL21" s="15">
        <f t="shared" si="3"/>
        <v>3.0000000000000001E-3</v>
      </c>
      <c r="CM21" s="16">
        <v>1.1983647602621308</v>
      </c>
      <c r="CN21" s="16">
        <v>1.0341521442079957</v>
      </c>
      <c r="CO21" s="16">
        <v>4.1052048322939303</v>
      </c>
      <c r="CP21" s="16">
        <v>2.7971706361951632</v>
      </c>
      <c r="CQ21" s="16">
        <v>1.7282194981080616</v>
      </c>
      <c r="CR21" s="16" t="e">
        <v>#DIV/0!</v>
      </c>
      <c r="CS21" s="16" t="e">
        <v>#DIV/0!</v>
      </c>
      <c r="CT21" s="16" t="e">
        <v>#DIV/0!</v>
      </c>
      <c r="CX21" s="15"/>
    </row>
    <row r="22" spans="1:102" x14ac:dyDescent="0.3">
      <c r="A22" s="1">
        <v>46055</v>
      </c>
      <c r="B22" s="6">
        <v>27.45</v>
      </c>
      <c r="C22" s="6">
        <v>29.46</v>
      </c>
      <c r="D22" s="7">
        <v>-4.3620570801657403E-3</v>
      </c>
      <c r="E22" s="7">
        <v>-4.4030553776340199E-3</v>
      </c>
      <c r="F22" s="6">
        <v>0.14729999999999999</v>
      </c>
      <c r="G22" s="6">
        <v>0.14729999999999999</v>
      </c>
      <c r="H22" s="6">
        <v>0.15909999999999999</v>
      </c>
      <c r="I22" s="6">
        <v>0.15909999999999999</v>
      </c>
      <c r="J22" s="6">
        <v>0.14729999999999999</v>
      </c>
      <c r="K22" s="6">
        <v>0.15909999999999999</v>
      </c>
      <c r="L22" s="6">
        <v>27.597300000000001</v>
      </c>
      <c r="M22" s="6">
        <v>29.6191</v>
      </c>
      <c r="N22" s="8">
        <v>1.07322404371584</v>
      </c>
      <c r="O22" s="8">
        <v>1.0748223497963401</v>
      </c>
      <c r="P22" s="8">
        <v>1.07370053237195</v>
      </c>
      <c r="Q22" s="8">
        <v>1.0741443775856601</v>
      </c>
      <c r="R22" s="6">
        <v>29.503873501909698</v>
      </c>
      <c r="S22" s="6">
        <v>29.476483899843299</v>
      </c>
      <c r="T22" s="6">
        <v>29.488717610390601</v>
      </c>
      <c r="U22" s="7">
        <v>1.4881488410051799E-3</v>
      </c>
      <c r="V22" s="7">
        <v>5.5937847602638999E-4</v>
      </c>
      <c r="W22" s="7">
        <v>9.7432527208692597E-4</v>
      </c>
      <c r="X22" s="8">
        <v>1.0732607900048099</v>
      </c>
      <c r="Y22" s="8">
        <v>1.07476747574368</v>
      </c>
      <c r="Z22" s="8">
        <v>1.07370420700085</v>
      </c>
      <c r="AA22" s="8">
        <v>1.07414621490011</v>
      </c>
      <c r="AB22" s="6">
        <v>29.660680458341002</v>
      </c>
      <c r="AC22" s="6">
        <v>29.6346582560708</v>
      </c>
      <c r="AD22" s="6">
        <v>29.646957614179701</v>
      </c>
      <c r="AE22" s="7">
        <v>1.40285489719369E-3</v>
      </c>
      <c r="AF22" s="7">
        <v>5.2513990289648998E-4</v>
      </c>
      <c r="AG22" s="7">
        <v>9.4008669895692004E-4</v>
      </c>
      <c r="AZ22" s="23"/>
      <c r="BB22" s="12">
        <f>IF($AG22&lt;BA$20,1,0)</f>
        <v>0</v>
      </c>
      <c r="BC22" s="12">
        <f>IF($AG22&gt;BA$21,1,0)</f>
        <v>1</v>
      </c>
      <c r="BD22" s="12">
        <f>BF21</f>
        <v>0</v>
      </c>
      <c r="BE22" s="12">
        <f t="shared" ref="BE22:BE85" si="4">IF(F23+H23&gt;0,0,1)</f>
        <v>1</v>
      </c>
      <c r="BF22" s="12">
        <f>IF(BB21,1,IF(BC21,0,BD21))*BE21</f>
        <v>0</v>
      </c>
      <c r="BG22" s="23">
        <f>BF22*D22</f>
        <v>0</v>
      </c>
      <c r="BH22" s="23">
        <f>-BF22*$E22</f>
        <v>0</v>
      </c>
      <c r="BI22" s="23">
        <f>BG22+BH22</f>
        <v>0</v>
      </c>
      <c r="BJ22" s="18">
        <f>BJ21+BI22</f>
        <v>0</v>
      </c>
      <c r="BL22" s="23"/>
      <c r="BN22" s="12">
        <f>IF($AG22&gt;BM$20,1,0)</f>
        <v>0</v>
      </c>
      <c r="BO22" s="12">
        <f>IF($AG22&lt;BM$21,1,0)</f>
        <v>1</v>
      </c>
      <c r="BP22" s="12">
        <f>BR21</f>
        <v>0</v>
      </c>
      <c r="BQ22" s="12">
        <f t="shared" ref="BQ22:BQ85" si="5">IF(F23+H23&gt;0,0,1)</f>
        <v>1</v>
      </c>
      <c r="BR22" s="12">
        <f>IF(BN21,1,IF(BO21,0,BP21))*BQ21</f>
        <v>0</v>
      </c>
      <c r="BS22" s="23">
        <f>-BR22*D22</f>
        <v>0</v>
      </c>
      <c r="BT22" s="23">
        <f>BR22*$E22</f>
        <v>0</v>
      </c>
      <c r="BU22" s="23">
        <f>BS22+BT22</f>
        <v>0</v>
      </c>
      <c r="BV22" s="18">
        <f>BV21+BU22</f>
        <v>0</v>
      </c>
      <c r="BX22" s="18">
        <f>BI22+BU22</f>
        <v>0</v>
      </c>
      <c r="BY22" s="18">
        <f>BY21+BX22</f>
        <v>0</v>
      </c>
      <c r="CL22" s="15">
        <f t="shared" si="3"/>
        <v>3.5000000000000001E-3</v>
      </c>
      <c r="CM22" s="16">
        <v>1.1983647602621308</v>
      </c>
      <c r="CN22" s="16">
        <v>1.0341521442079957</v>
      </c>
      <c r="CO22" s="16">
        <v>4.1052048322939303</v>
      </c>
      <c r="CP22" s="16">
        <v>2.7971706361951632</v>
      </c>
      <c r="CQ22" s="16">
        <v>1.7282194981080616</v>
      </c>
      <c r="CR22" s="16" t="e">
        <v>#DIV/0!</v>
      </c>
      <c r="CS22" s="16" t="e">
        <v>#DIV/0!</v>
      </c>
      <c r="CT22" s="16" t="e">
        <v>#DIV/0!</v>
      </c>
      <c r="CX22" s="15"/>
    </row>
    <row r="23" spans="1:102" x14ac:dyDescent="0.3">
      <c r="A23" s="1">
        <v>46056</v>
      </c>
      <c r="B23" s="6">
        <v>27.45</v>
      </c>
      <c r="C23" s="6">
        <v>29.45</v>
      </c>
      <c r="D23" s="7">
        <v>0</v>
      </c>
      <c r="E23" s="7">
        <v>-3.3950093688852202E-4</v>
      </c>
      <c r="F23" s="6">
        <v>0</v>
      </c>
      <c r="G23" s="6">
        <v>0.14729999999999999</v>
      </c>
      <c r="H23" s="6">
        <v>0</v>
      </c>
      <c r="I23" s="6">
        <v>0.15909999999999999</v>
      </c>
      <c r="J23" s="6">
        <v>0.14729999999999999</v>
      </c>
      <c r="K23" s="6">
        <v>0.15909999999999999</v>
      </c>
      <c r="L23" s="6">
        <v>27.597300000000001</v>
      </c>
      <c r="M23" s="6">
        <v>29.609099999999899</v>
      </c>
      <c r="N23" s="8">
        <v>1.0728597449908901</v>
      </c>
      <c r="O23" s="8">
        <v>1.0748223497963401</v>
      </c>
      <c r="P23" s="8">
        <v>1.0735548128819701</v>
      </c>
      <c r="Q23" s="8">
        <v>1.0740113706724901</v>
      </c>
      <c r="R23" s="6">
        <v>29.503873501909698</v>
      </c>
      <c r="S23" s="6">
        <v>29.4730796136101</v>
      </c>
      <c r="T23" s="6">
        <v>29.485263164726501</v>
      </c>
      <c r="U23" s="7">
        <v>1.8276497778936601E-3</v>
      </c>
      <c r="V23" s="7">
        <v>7.8338114510483796E-4</v>
      </c>
      <c r="W23" s="7">
        <v>1.1966746915550901E-3</v>
      </c>
      <c r="X23" s="8">
        <v>1.0728984357165301</v>
      </c>
      <c r="Y23" s="8">
        <v>1.07476747574368</v>
      </c>
      <c r="Z23" s="8">
        <v>1.07356235658343</v>
      </c>
      <c r="AA23" s="8">
        <v>1.0740151425232201</v>
      </c>
      <c r="AB23" s="6">
        <v>29.660680458341002</v>
      </c>
      <c r="AC23" s="6">
        <v>29.6313371118645</v>
      </c>
      <c r="AD23" s="6">
        <v>29.6435353364629</v>
      </c>
      <c r="AE23" s="7">
        <v>1.74053188535202E-3</v>
      </c>
      <c r="AF23" s="7">
        <v>7.5074101384466595E-4</v>
      </c>
      <c r="AG23" s="7">
        <v>1.1623226593794501E-3</v>
      </c>
      <c r="AZ23" s="23"/>
      <c r="BB23" s="12">
        <f t="shared" ref="BB23:BB86" si="6">IF($AG23&lt;BA$20,1,0)</f>
        <v>0</v>
      </c>
      <c r="BC23" s="12">
        <f t="shared" ref="BC23:BC86" si="7">IF($AG23&gt;BA$21,1,0)</f>
        <v>1</v>
      </c>
      <c r="BD23" s="12">
        <f t="shared" ref="BD23:BD86" si="8">BF23</f>
        <v>0</v>
      </c>
      <c r="BE23" s="12">
        <f t="shared" si="4"/>
        <v>1</v>
      </c>
      <c r="BF23" s="12">
        <f t="shared" ref="BF23:BF86" si="9">IF(BB22,1,IF(BC22,0,BD22))*BE22</f>
        <v>0</v>
      </c>
      <c r="BG23" s="23">
        <f t="shared" ref="BG23:BG86" si="10">BF23*D23</f>
        <v>0</v>
      </c>
      <c r="BH23" s="23">
        <f t="shared" ref="BH23:BH86" si="11">-BF23*$E23</f>
        <v>0</v>
      </c>
      <c r="BI23" s="23">
        <f t="shared" ref="BI23:BI86" si="12">BG23+BH23</f>
        <v>0</v>
      </c>
      <c r="BJ23" s="18">
        <f t="shared" ref="BJ23:BJ86" si="13">BJ22+BI23</f>
        <v>0</v>
      </c>
      <c r="BL23" s="23"/>
      <c r="BN23" s="12">
        <f t="shared" ref="BN23:BN86" si="14">IF($AG23&gt;BM$20,1,0)</f>
        <v>0</v>
      </c>
      <c r="BO23" s="12">
        <f t="shared" ref="BO23:BO86" si="15">IF($AG23&lt;BM$21,1,0)</f>
        <v>0</v>
      </c>
      <c r="BP23" s="12">
        <f t="shared" ref="BP23:BP86" si="16">BR23</f>
        <v>0</v>
      </c>
      <c r="BQ23" s="12">
        <f t="shared" si="5"/>
        <v>1</v>
      </c>
      <c r="BR23" s="12">
        <f t="shared" ref="BR23:BR86" si="17">IF(BN22,1,IF(BO22,0,BP22))*BQ22</f>
        <v>0</v>
      </c>
      <c r="BS23" s="23">
        <f t="shared" ref="BS23:BS86" si="18">-BR23*D23</f>
        <v>0</v>
      </c>
      <c r="BT23" s="23">
        <f t="shared" ref="BT23:BT86" si="19">BR23*$E23</f>
        <v>0</v>
      </c>
      <c r="BU23" s="23">
        <f t="shared" ref="BU23:BU86" si="20">BS23+BT23</f>
        <v>0</v>
      </c>
      <c r="BV23" s="18">
        <f t="shared" ref="BV23:BV86" si="21">BV22+BU23</f>
        <v>0</v>
      </c>
      <c r="BX23" s="18">
        <f t="shared" ref="BX23:BX86" si="22">BI23+BU23</f>
        <v>0</v>
      </c>
      <c r="BY23" s="18">
        <f t="shared" ref="BY23:BY86" si="23">BY22+BX23</f>
        <v>0</v>
      </c>
      <c r="CL23" s="12" t="s">
        <v>38</v>
      </c>
    </row>
    <row r="24" spans="1:102" x14ac:dyDescent="0.3">
      <c r="A24" s="1">
        <v>46057</v>
      </c>
      <c r="B24" s="6">
        <v>27.43</v>
      </c>
      <c r="C24" s="6">
        <v>29.44</v>
      </c>
      <c r="D24" s="7">
        <v>-7.2886300602778998E-4</v>
      </c>
      <c r="E24" s="7">
        <v>-3.3961623692016003E-4</v>
      </c>
      <c r="F24" s="6">
        <v>0</v>
      </c>
      <c r="G24" s="6">
        <v>0.14729999999999999</v>
      </c>
      <c r="H24" s="6">
        <v>0</v>
      </c>
      <c r="I24" s="6">
        <v>0.15909999999999999</v>
      </c>
      <c r="J24" s="6">
        <v>0.14729999999999999</v>
      </c>
      <c r="K24" s="6">
        <v>0.15909999999999999</v>
      </c>
      <c r="L24" s="6">
        <v>27.577300000000001</v>
      </c>
      <c r="M24" s="6">
        <v>29.5991</v>
      </c>
      <c r="N24" s="8">
        <v>1.0732774334670001</v>
      </c>
      <c r="O24" s="8">
        <v>1.0748223497963401</v>
      </c>
      <c r="P24" s="8">
        <v>1.0734832091122399</v>
      </c>
      <c r="Q24" s="8">
        <v>1.0738865356063201</v>
      </c>
      <c r="R24" s="6">
        <v>29.482377054913702</v>
      </c>
      <c r="S24" s="6">
        <v>29.4476085173524</v>
      </c>
      <c r="T24" s="6">
        <v>29.4601318975465</v>
      </c>
      <c r="U24" s="7">
        <v>1.4384030087861901E-3</v>
      </c>
      <c r="V24" s="7">
        <v>2.58408095908778E-4</v>
      </c>
      <c r="W24" s="7">
        <v>6.8359433780404205E-4</v>
      </c>
      <c r="X24" s="8">
        <v>1.07331392123231</v>
      </c>
      <c r="Y24" s="8">
        <v>1.07476747574368</v>
      </c>
      <c r="Z24" s="8">
        <v>1.0734944015902299</v>
      </c>
      <c r="AA24" s="8">
        <v>1.0738921318453101</v>
      </c>
      <c r="AB24" s="6">
        <v>29.639185108826201</v>
      </c>
      <c r="AC24" s="6">
        <v>29.605951176208201</v>
      </c>
      <c r="AD24" s="6">
        <v>29.618437789905698</v>
      </c>
      <c r="AE24" s="7">
        <v>1.35335163301072E-3</v>
      </c>
      <c r="AF24" s="7">
        <v>2.3143890944320601E-4</v>
      </c>
      <c r="AG24" s="7">
        <v>6.5311025466063897E-4</v>
      </c>
      <c r="AZ24" s="23"/>
      <c r="BB24" s="12">
        <f t="shared" si="6"/>
        <v>0</v>
      </c>
      <c r="BC24" s="12">
        <f t="shared" si="7"/>
        <v>1</v>
      </c>
      <c r="BD24" s="12">
        <f t="shared" si="8"/>
        <v>0</v>
      </c>
      <c r="BE24" s="12">
        <f t="shared" si="4"/>
        <v>1</v>
      </c>
      <c r="BF24" s="12">
        <f t="shared" si="9"/>
        <v>0</v>
      </c>
      <c r="BG24" s="23">
        <f t="shared" si="10"/>
        <v>0</v>
      </c>
      <c r="BH24" s="23">
        <f t="shared" si="11"/>
        <v>0</v>
      </c>
      <c r="BI24" s="23">
        <f t="shared" si="12"/>
        <v>0</v>
      </c>
      <c r="BJ24" s="18">
        <f t="shared" si="13"/>
        <v>0</v>
      </c>
      <c r="BL24" s="23"/>
      <c r="BN24" s="12">
        <f t="shared" si="14"/>
        <v>0</v>
      </c>
      <c r="BO24" s="12">
        <f t="shared" si="15"/>
        <v>1</v>
      </c>
      <c r="BP24" s="12">
        <f t="shared" si="16"/>
        <v>0</v>
      </c>
      <c r="BQ24" s="12">
        <f t="shared" si="5"/>
        <v>1</v>
      </c>
      <c r="BR24" s="12">
        <f t="shared" si="17"/>
        <v>0</v>
      </c>
      <c r="BS24" s="23">
        <f t="shared" si="18"/>
        <v>0</v>
      </c>
      <c r="BT24" s="23">
        <f t="shared" si="19"/>
        <v>0</v>
      </c>
      <c r="BU24" s="23">
        <f t="shared" si="20"/>
        <v>0</v>
      </c>
      <c r="BV24" s="18">
        <f t="shared" si="21"/>
        <v>0</v>
      </c>
      <c r="BX24" s="18">
        <f t="shared" si="22"/>
        <v>0</v>
      </c>
      <c r="BY24" s="18">
        <f t="shared" si="23"/>
        <v>0</v>
      </c>
    </row>
    <row r="25" spans="1:102" x14ac:dyDescent="0.3">
      <c r="A25" s="1">
        <v>46058</v>
      </c>
      <c r="B25" s="6">
        <v>27.4</v>
      </c>
      <c r="C25" s="6">
        <v>29.41</v>
      </c>
      <c r="D25" s="7">
        <v>-1.0942915554873699E-3</v>
      </c>
      <c r="E25" s="7">
        <v>-1.01954129477188E-3</v>
      </c>
      <c r="F25" s="6">
        <v>0</v>
      </c>
      <c r="G25" s="6">
        <v>0.14729999999999999</v>
      </c>
      <c r="H25" s="6">
        <v>0</v>
      </c>
      <c r="I25" s="6">
        <v>0.15909999999999999</v>
      </c>
      <c r="J25" s="6">
        <v>0.14729999999999999</v>
      </c>
      <c r="K25" s="6">
        <v>0.15909999999999999</v>
      </c>
      <c r="L25" s="6">
        <v>27.5473</v>
      </c>
      <c r="M25" s="6">
        <v>29.569099999999999</v>
      </c>
      <c r="N25" s="8">
        <v>1.07335766423357</v>
      </c>
      <c r="O25" s="8">
        <v>1.0748223497963401</v>
      </c>
      <c r="P25" s="8">
        <v>1.07338335710977</v>
      </c>
      <c r="Q25" s="8">
        <v>1.0738035084028399</v>
      </c>
      <c r="R25" s="6">
        <v>29.450132384419899</v>
      </c>
      <c r="S25" s="6">
        <v>29.413439929675299</v>
      </c>
      <c r="T25" s="6">
        <v>29.424491075613101</v>
      </c>
      <c r="U25" s="7">
        <v>1.3636527480707301E-3</v>
      </c>
      <c r="V25" s="7">
        <v>1.16957787012228E-4</v>
      </c>
      <c r="W25" s="7">
        <v>4.9260478475389403E-4</v>
      </c>
      <c r="X25" s="8">
        <v>1.0733937627281001</v>
      </c>
      <c r="Y25" s="8">
        <v>1.07476747574368</v>
      </c>
      <c r="Z25" s="8">
        <v>1.07339815943721</v>
      </c>
      <c r="AA25" s="8">
        <v>1.07381090956657</v>
      </c>
      <c r="AB25" s="6">
        <v>29.6069420845538</v>
      </c>
      <c r="AC25" s="6">
        <v>29.571872328926599</v>
      </c>
      <c r="AD25" s="6">
        <v>29.582828723582399</v>
      </c>
      <c r="AE25" s="7">
        <v>1.27896656752351E-3</v>
      </c>
      <c r="AF25" s="7">
        <v>9.37532414330253E-5</v>
      </c>
      <c r="AG25" s="7">
        <v>4.64185162690021E-4</v>
      </c>
      <c r="AZ25" s="23"/>
      <c r="BB25" s="12">
        <f t="shared" si="6"/>
        <v>0</v>
      </c>
      <c r="BC25" s="12">
        <f t="shared" si="7"/>
        <v>1</v>
      </c>
      <c r="BD25" s="12">
        <f t="shared" si="8"/>
        <v>0</v>
      </c>
      <c r="BE25" s="12">
        <f t="shared" si="4"/>
        <v>1</v>
      </c>
      <c r="BF25" s="12">
        <f t="shared" si="9"/>
        <v>0</v>
      </c>
      <c r="BG25" s="23">
        <f t="shared" si="10"/>
        <v>0</v>
      </c>
      <c r="BH25" s="23">
        <f t="shared" si="11"/>
        <v>0</v>
      </c>
      <c r="BI25" s="23">
        <f t="shared" si="12"/>
        <v>0</v>
      </c>
      <c r="BJ25" s="18">
        <f t="shared" si="13"/>
        <v>0</v>
      </c>
      <c r="BL25" s="23"/>
      <c r="BN25" s="12">
        <f t="shared" si="14"/>
        <v>0</v>
      </c>
      <c r="BO25" s="12">
        <f t="shared" si="15"/>
        <v>1</v>
      </c>
      <c r="BP25" s="12">
        <f t="shared" si="16"/>
        <v>0</v>
      </c>
      <c r="BQ25" s="12">
        <f t="shared" si="5"/>
        <v>1</v>
      </c>
      <c r="BR25" s="12">
        <f t="shared" si="17"/>
        <v>0</v>
      </c>
      <c r="BS25" s="23">
        <f t="shared" si="18"/>
        <v>0</v>
      </c>
      <c r="BT25" s="23">
        <f t="shared" si="19"/>
        <v>0</v>
      </c>
      <c r="BU25" s="23">
        <f t="shared" si="20"/>
        <v>0</v>
      </c>
      <c r="BV25" s="18">
        <f t="shared" si="21"/>
        <v>0</v>
      </c>
      <c r="BX25" s="18">
        <f t="shared" si="22"/>
        <v>0</v>
      </c>
      <c r="BY25" s="18">
        <f t="shared" si="23"/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X25" s="15"/>
    </row>
    <row r="26" spans="1:102" x14ac:dyDescent="0.3">
      <c r="A26" s="1">
        <v>46059</v>
      </c>
      <c r="B26" s="6">
        <v>27.45</v>
      </c>
      <c r="C26" s="6">
        <v>29.5</v>
      </c>
      <c r="D26" s="7">
        <v>1.8231545615151701E-3</v>
      </c>
      <c r="E26" s="7">
        <v>3.0555107798704898E-3</v>
      </c>
      <c r="F26" s="6">
        <v>0</v>
      </c>
      <c r="G26" s="6">
        <v>0.14729999999999999</v>
      </c>
      <c r="H26" s="6">
        <v>0</v>
      </c>
      <c r="I26" s="6">
        <v>0.15909999999999999</v>
      </c>
      <c r="J26" s="6">
        <v>0.14729999999999999</v>
      </c>
      <c r="K26" s="6">
        <v>0.15909999999999999</v>
      </c>
      <c r="L26" s="6">
        <v>27.597300000000001</v>
      </c>
      <c r="M26" s="6">
        <v>29.659099999999999</v>
      </c>
      <c r="N26" s="8">
        <v>1.0746812386156599</v>
      </c>
      <c r="O26" s="8">
        <v>1.0748223497963401</v>
      </c>
      <c r="P26" s="8">
        <v>1.0734077627433001</v>
      </c>
      <c r="Q26" s="8">
        <v>1.0737907533092601</v>
      </c>
      <c r="R26" s="6">
        <v>29.503873501909698</v>
      </c>
      <c r="S26" s="6">
        <v>29.4643731526632</v>
      </c>
      <c r="T26" s="6">
        <v>29.475906305658199</v>
      </c>
      <c r="U26" s="7">
        <v>1.3129652971540599E-4</v>
      </c>
      <c r="V26" s="7">
        <v>-1.2084195851591001E-3</v>
      </c>
      <c r="W26" s="7">
        <v>-8.17069111488468E-4</v>
      </c>
      <c r="X26" s="8">
        <v>1.07471020715794</v>
      </c>
      <c r="Y26" s="8">
        <v>1.07476747574368</v>
      </c>
      <c r="Z26" s="8">
        <v>1.0734254619249799</v>
      </c>
      <c r="AA26" s="8">
        <v>1.07379960290009</v>
      </c>
      <c r="AB26" s="6">
        <v>29.660680458341002</v>
      </c>
      <c r="AC26" s="6">
        <v>29.622891025436701</v>
      </c>
      <c r="AD26" s="6">
        <v>29.634281814581499</v>
      </c>
      <c r="AE26" s="7">
        <v>5.3286048236828802E-5</v>
      </c>
      <c r="AF26" s="7">
        <v>-1.22158444545118E-3</v>
      </c>
      <c r="AG26" s="7">
        <v>-8.3713177114409505E-4</v>
      </c>
      <c r="AZ26" s="23"/>
      <c r="BB26" s="12">
        <f t="shared" si="6"/>
        <v>0</v>
      </c>
      <c r="BC26" s="12">
        <f t="shared" si="7"/>
        <v>0</v>
      </c>
      <c r="BD26" s="12">
        <f t="shared" si="8"/>
        <v>0</v>
      </c>
      <c r="BE26" s="12">
        <f t="shared" si="4"/>
        <v>1</v>
      </c>
      <c r="BF26" s="12">
        <f t="shared" si="9"/>
        <v>0</v>
      </c>
      <c r="BG26" s="23">
        <f t="shared" si="10"/>
        <v>0</v>
      </c>
      <c r="BH26" s="23">
        <f t="shared" si="11"/>
        <v>0</v>
      </c>
      <c r="BI26" s="23">
        <f t="shared" si="12"/>
        <v>0</v>
      </c>
      <c r="BJ26" s="18">
        <f t="shared" si="13"/>
        <v>0</v>
      </c>
      <c r="BL26" s="23"/>
      <c r="BN26" s="12">
        <f t="shared" si="14"/>
        <v>0</v>
      </c>
      <c r="BO26" s="12">
        <f t="shared" si="15"/>
        <v>1</v>
      </c>
      <c r="BP26" s="12">
        <f t="shared" si="16"/>
        <v>0</v>
      </c>
      <c r="BQ26" s="12">
        <f t="shared" si="5"/>
        <v>1</v>
      </c>
      <c r="BR26" s="12">
        <f t="shared" si="17"/>
        <v>0</v>
      </c>
      <c r="BS26" s="23">
        <f t="shared" si="18"/>
        <v>0</v>
      </c>
      <c r="BT26" s="23">
        <f t="shared" si="19"/>
        <v>0</v>
      </c>
      <c r="BU26" s="23">
        <f t="shared" si="20"/>
        <v>0</v>
      </c>
      <c r="BV26" s="18">
        <f t="shared" si="21"/>
        <v>0</v>
      </c>
      <c r="BX26" s="18">
        <f t="shared" si="22"/>
        <v>0</v>
      </c>
      <c r="BY26" s="18">
        <f t="shared" si="23"/>
        <v>0</v>
      </c>
      <c r="CL26" s="15"/>
      <c r="CM26" s="16"/>
      <c r="CN26" s="16"/>
      <c r="CO26" s="16"/>
      <c r="CP26" s="16"/>
      <c r="CQ26" s="16"/>
      <c r="CR26" s="16"/>
      <c r="CS26" s="16"/>
      <c r="CT26" s="16"/>
      <c r="CX26" s="15"/>
    </row>
    <row r="27" spans="1:102" x14ac:dyDescent="0.3">
      <c r="A27" s="1">
        <v>46062</v>
      </c>
      <c r="B27" s="6">
        <v>27.51</v>
      </c>
      <c r="C27" s="6">
        <v>29.55</v>
      </c>
      <c r="D27" s="7">
        <v>2.18340698094358E-3</v>
      </c>
      <c r="E27" s="7">
        <v>1.6934805063331399E-3</v>
      </c>
      <c r="F27" s="6">
        <v>0</v>
      </c>
      <c r="G27" s="6">
        <v>0.14729999999999999</v>
      </c>
      <c r="H27" s="6">
        <v>0</v>
      </c>
      <c r="I27" s="6">
        <v>0.15909999999999999</v>
      </c>
      <c r="J27" s="6">
        <v>0.14729999999999999</v>
      </c>
      <c r="K27" s="6">
        <v>0.15909999999999999</v>
      </c>
      <c r="L27" s="6">
        <v>27.657299999999999</v>
      </c>
      <c r="M27" s="6">
        <v>29.709099999999999</v>
      </c>
      <c r="N27" s="8">
        <v>1.0741548527808</v>
      </c>
      <c r="O27" s="8">
        <v>1.0748223497963401</v>
      </c>
      <c r="P27" s="8">
        <v>1.07338223168745</v>
      </c>
      <c r="Q27" s="8">
        <v>1.0737739319948101</v>
      </c>
      <c r="R27" s="6">
        <v>29.5683628428975</v>
      </c>
      <c r="S27" s="6">
        <v>29.529447553068302</v>
      </c>
      <c r="T27" s="6">
        <v>29.539983623537701</v>
      </c>
      <c r="U27" s="7">
        <v>6.2122300432595101E-4</v>
      </c>
      <c r="V27" s="7">
        <v>-6.95756260829164E-4</v>
      </c>
      <c r="W27" s="7">
        <v>-3.390211316353E-4</v>
      </c>
      <c r="X27" s="8">
        <v>1.0741865619565101</v>
      </c>
      <c r="Y27" s="8">
        <v>1.07476747574368</v>
      </c>
      <c r="Z27" s="8">
        <v>1.0734031017866901</v>
      </c>
      <c r="AA27" s="8">
        <v>1.07378436704443</v>
      </c>
      <c r="AB27" s="6">
        <v>29.7251665068856</v>
      </c>
      <c r="AC27" s="6">
        <v>29.688050028097798</v>
      </c>
      <c r="AD27" s="6">
        <v>29.698397757288799</v>
      </c>
      <c r="AE27" s="7">
        <v>5.4064795348951001E-4</v>
      </c>
      <c r="AF27" s="7">
        <v>-7.0878729950848702E-4</v>
      </c>
      <c r="AG27" s="7">
        <v>-3.6029939758219499E-4</v>
      </c>
      <c r="AZ27" s="23"/>
      <c r="BB27" s="12">
        <f t="shared" si="6"/>
        <v>0</v>
      </c>
      <c r="BC27" s="12">
        <f t="shared" si="7"/>
        <v>0</v>
      </c>
      <c r="BD27" s="12">
        <f t="shared" si="8"/>
        <v>0</v>
      </c>
      <c r="BE27" s="12">
        <f t="shared" si="4"/>
        <v>1</v>
      </c>
      <c r="BF27" s="12">
        <f t="shared" si="9"/>
        <v>0</v>
      </c>
      <c r="BG27" s="23">
        <f t="shared" si="10"/>
        <v>0</v>
      </c>
      <c r="BH27" s="23">
        <f t="shared" si="11"/>
        <v>0</v>
      </c>
      <c r="BI27" s="23">
        <f t="shared" si="12"/>
        <v>0</v>
      </c>
      <c r="BJ27" s="18">
        <f t="shared" si="13"/>
        <v>0</v>
      </c>
      <c r="BL27" s="23"/>
      <c r="BN27" s="12">
        <f t="shared" si="14"/>
        <v>0</v>
      </c>
      <c r="BO27" s="12">
        <f t="shared" si="15"/>
        <v>1</v>
      </c>
      <c r="BP27" s="12">
        <f t="shared" si="16"/>
        <v>0</v>
      </c>
      <c r="BQ27" s="12">
        <f t="shared" si="5"/>
        <v>1</v>
      </c>
      <c r="BR27" s="12">
        <f t="shared" si="17"/>
        <v>0</v>
      </c>
      <c r="BS27" s="23">
        <f t="shared" si="18"/>
        <v>0</v>
      </c>
      <c r="BT27" s="23">
        <f t="shared" si="19"/>
        <v>0</v>
      </c>
      <c r="BU27" s="23">
        <f t="shared" si="20"/>
        <v>0</v>
      </c>
      <c r="BV27" s="18">
        <f t="shared" si="21"/>
        <v>0</v>
      </c>
      <c r="BX27" s="18">
        <f t="shared" si="22"/>
        <v>0</v>
      </c>
      <c r="BY27" s="18">
        <f t="shared" si="23"/>
        <v>0</v>
      </c>
      <c r="CL27" s="15"/>
      <c r="CM27" s="16"/>
      <c r="CN27" s="16"/>
      <c r="CO27" s="16"/>
      <c r="CP27" s="16"/>
      <c r="CQ27" s="16"/>
      <c r="CR27" s="16"/>
      <c r="CS27" s="16"/>
      <c r="CT27" s="16"/>
      <c r="CX27" s="15"/>
    </row>
    <row r="28" spans="1:102" ht="15" thickBot="1" x14ac:dyDescent="0.35">
      <c r="A28" s="1">
        <v>46063</v>
      </c>
      <c r="B28" s="6">
        <v>27.53</v>
      </c>
      <c r="C28" s="6">
        <v>29.58</v>
      </c>
      <c r="D28" s="7">
        <v>7.2674421803276402E-4</v>
      </c>
      <c r="E28" s="7">
        <v>1.01471343054638E-3</v>
      </c>
      <c r="F28" s="6">
        <v>0</v>
      </c>
      <c r="G28" s="6">
        <v>0.14729999999999999</v>
      </c>
      <c r="H28" s="6">
        <v>0</v>
      </c>
      <c r="I28" s="6">
        <v>0.15909999999999999</v>
      </c>
      <c r="J28" s="6">
        <v>0.14729999999999999</v>
      </c>
      <c r="K28" s="6">
        <v>0.15909999999999999</v>
      </c>
      <c r="L28" s="6">
        <v>27.677299999999999</v>
      </c>
      <c r="M28" s="6">
        <v>29.739099999999901</v>
      </c>
      <c r="N28" s="8">
        <v>1.0744642208499799</v>
      </c>
      <c r="O28" s="8">
        <v>1.0748223497963401</v>
      </c>
      <c r="P28" s="8">
        <v>1.07350716047777</v>
      </c>
      <c r="Q28" s="8">
        <v>1.07384790556454</v>
      </c>
      <c r="R28" s="6">
        <v>29.589859289893401</v>
      </c>
      <c r="S28" s="6">
        <v>29.550212838355499</v>
      </c>
      <c r="T28" s="6">
        <v>29.560996347817099</v>
      </c>
      <c r="U28" s="7">
        <v>3.3325379181209602E-4</v>
      </c>
      <c r="V28" s="7">
        <v>-1.0075108048611199E-3</v>
      </c>
      <c r="W28" s="7">
        <v>-6.4265582287776398E-4</v>
      </c>
      <c r="X28" s="8">
        <v>1.07449426063958</v>
      </c>
      <c r="Y28" s="8">
        <v>1.07476747574368</v>
      </c>
      <c r="Z28" s="8">
        <v>1.0735310345559801</v>
      </c>
      <c r="AA28" s="8">
        <v>1.0738598426036401</v>
      </c>
      <c r="AB28" s="6">
        <v>29.7466618564005</v>
      </c>
      <c r="AC28" s="6">
        <v>29.7088996690808</v>
      </c>
      <c r="AD28" s="6">
        <v>29.719452061998901</v>
      </c>
      <c r="AE28" s="7">
        <v>2.5424088740978599E-4</v>
      </c>
      <c r="AF28" s="7">
        <v>-1.0160252215453301E-3</v>
      </c>
      <c r="AG28" s="7">
        <v>-6.6089529713802696E-4</v>
      </c>
      <c r="AZ28" s="23"/>
      <c r="BB28" s="12">
        <f t="shared" si="6"/>
        <v>0</v>
      </c>
      <c r="BC28" s="12">
        <f t="shared" si="7"/>
        <v>0</v>
      </c>
      <c r="BD28" s="12">
        <f t="shared" si="8"/>
        <v>0</v>
      </c>
      <c r="BE28" s="12">
        <f t="shared" si="4"/>
        <v>1</v>
      </c>
      <c r="BF28" s="12">
        <f t="shared" si="9"/>
        <v>0</v>
      </c>
      <c r="BG28" s="23">
        <f t="shared" si="10"/>
        <v>0</v>
      </c>
      <c r="BH28" s="23">
        <f t="shared" si="11"/>
        <v>0</v>
      </c>
      <c r="BI28" s="23">
        <f t="shared" si="12"/>
        <v>0</v>
      </c>
      <c r="BJ28" s="18">
        <f t="shared" si="13"/>
        <v>0</v>
      </c>
      <c r="BL28" s="23"/>
      <c r="BN28" s="12">
        <f t="shared" si="14"/>
        <v>0</v>
      </c>
      <c r="BO28" s="12">
        <f t="shared" si="15"/>
        <v>1</v>
      </c>
      <c r="BP28" s="12">
        <f t="shared" si="16"/>
        <v>0</v>
      </c>
      <c r="BQ28" s="12">
        <f t="shared" si="5"/>
        <v>1</v>
      </c>
      <c r="BR28" s="12">
        <f t="shared" si="17"/>
        <v>0</v>
      </c>
      <c r="BS28" s="23">
        <f t="shared" si="18"/>
        <v>0</v>
      </c>
      <c r="BT28" s="23">
        <f t="shared" si="19"/>
        <v>0</v>
      </c>
      <c r="BU28" s="23">
        <f t="shared" si="20"/>
        <v>0</v>
      </c>
      <c r="BV28" s="18">
        <f t="shared" si="21"/>
        <v>0</v>
      </c>
      <c r="BX28" s="18">
        <f t="shared" si="22"/>
        <v>0</v>
      </c>
      <c r="BY28" s="18">
        <f t="shared" si="23"/>
        <v>0</v>
      </c>
      <c r="CL28" s="15"/>
      <c r="CM28" s="16"/>
      <c r="CN28" s="16"/>
      <c r="CO28" s="16"/>
      <c r="CP28" s="16"/>
      <c r="CQ28" s="16"/>
      <c r="CR28" s="16"/>
      <c r="CS28" s="16"/>
      <c r="CT28" s="16"/>
      <c r="CX28" s="15"/>
    </row>
    <row r="29" spans="1:102" ht="15" thickBot="1" x14ac:dyDescent="0.35">
      <c r="A29" s="1">
        <v>46064</v>
      </c>
      <c r="B29" s="6">
        <v>27.53</v>
      </c>
      <c r="C29" s="6">
        <v>29.62</v>
      </c>
      <c r="D29" s="7">
        <v>0</v>
      </c>
      <c r="E29" s="7">
        <v>1.3513515569991701E-3</v>
      </c>
      <c r="F29" s="6">
        <v>0</v>
      </c>
      <c r="G29" s="6">
        <v>0.14729999999999999</v>
      </c>
      <c r="H29" s="6">
        <v>0</v>
      </c>
      <c r="I29" s="6">
        <v>0.15909999999999999</v>
      </c>
      <c r="J29" s="6">
        <v>0.14729999999999999</v>
      </c>
      <c r="K29" s="6">
        <v>0.15909999999999999</v>
      </c>
      <c r="L29" s="6">
        <v>27.677299999999999</v>
      </c>
      <c r="M29" s="6">
        <v>29.7791</v>
      </c>
      <c r="N29" s="8">
        <v>1.07591718125681</v>
      </c>
      <c r="O29" s="8">
        <v>1.0748223497963401</v>
      </c>
      <c r="P29" s="8">
        <v>1.0737720741058101</v>
      </c>
      <c r="Q29" s="8">
        <v>1.07391784677932</v>
      </c>
      <c r="R29" s="6">
        <v>29.589859289893401</v>
      </c>
      <c r="S29" s="6">
        <v>29.5536521279531</v>
      </c>
      <c r="T29" s="6">
        <v>29.563032840191902</v>
      </c>
      <c r="U29" s="7">
        <v>-1.0180977651869799E-3</v>
      </c>
      <c r="V29" s="7">
        <v>-2.2424811538453398E-3</v>
      </c>
      <c r="W29" s="7">
        <v>-1.9251185573966501E-3</v>
      </c>
      <c r="X29" s="8">
        <v>1.07593948831714</v>
      </c>
      <c r="Y29" s="8">
        <v>1.07476747574368</v>
      </c>
      <c r="Z29" s="8">
        <v>1.0737981788900499</v>
      </c>
      <c r="AA29" s="8">
        <v>1.07393089917144</v>
      </c>
      <c r="AB29" s="6">
        <v>29.7466618564005</v>
      </c>
      <c r="AC29" s="6">
        <v>29.712440502716198</v>
      </c>
      <c r="AD29" s="6">
        <v>29.721541021693898</v>
      </c>
      <c r="AE29" s="7">
        <v>-1.0898859854547201E-3</v>
      </c>
      <c r="AF29" s="7">
        <v>-2.2409749223927201E-3</v>
      </c>
      <c r="AG29" s="7">
        <v>-1.9347353330077201E-3</v>
      </c>
      <c r="AZ29" s="23"/>
      <c r="BB29" s="12">
        <f t="shared" si="6"/>
        <v>1</v>
      </c>
      <c r="BC29" s="12">
        <f t="shared" si="7"/>
        <v>0</v>
      </c>
      <c r="BD29" s="12">
        <f t="shared" si="8"/>
        <v>0</v>
      </c>
      <c r="BE29" s="12">
        <f t="shared" si="4"/>
        <v>1</v>
      </c>
      <c r="BF29" s="12">
        <f t="shared" si="9"/>
        <v>0</v>
      </c>
      <c r="BG29" s="23">
        <f t="shared" si="10"/>
        <v>0</v>
      </c>
      <c r="BH29" s="23">
        <f t="shared" si="11"/>
        <v>0</v>
      </c>
      <c r="BI29" s="23">
        <f t="shared" si="12"/>
        <v>0</v>
      </c>
      <c r="BJ29" s="18">
        <f t="shared" si="13"/>
        <v>0</v>
      </c>
      <c r="BL29" s="23"/>
      <c r="BN29" s="12">
        <f t="shared" si="14"/>
        <v>0</v>
      </c>
      <c r="BO29" s="12">
        <f t="shared" si="15"/>
        <v>1</v>
      </c>
      <c r="BP29" s="12">
        <f t="shared" si="16"/>
        <v>0</v>
      </c>
      <c r="BQ29" s="12">
        <f t="shared" si="5"/>
        <v>1</v>
      </c>
      <c r="BR29" s="12">
        <f t="shared" si="17"/>
        <v>0</v>
      </c>
      <c r="BS29" s="23">
        <f t="shared" si="18"/>
        <v>0</v>
      </c>
      <c r="BT29" s="23">
        <f t="shared" si="19"/>
        <v>0</v>
      </c>
      <c r="BU29" s="23">
        <f t="shared" si="20"/>
        <v>0</v>
      </c>
      <c r="BV29" s="18">
        <f t="shared" si="21"/>
        <v>0</v>
      </c>
      <c r="BX29" s="18">
        <f t="shared" si="22"/>
        <v>0</v>
      </c>
      <c r="BY29" s="18">
        <f t="shared" si="23"/>
        <v>0</v>
      </c>
      <c r="CL29" s="15"/>
      <c r="CM29" s="16"/>
      <c r="CN29" s="16"/>
      <c r="CO29" s="16"/>
      <c r="CP29" s="16"/>
      <c r="CQ29" s="17"/>
      <c r="CR29" s="16"/>
      <c r="CS29" s="16"/>
      <c r="CT29" s="16"/>
      <c r="CX29" s="15"/>
    </row>
    <row r="30" spans="1:102" x14ac:dyDescent="0.3">
      <c r="A30" s="1">
        <v>46065</v>
      </c>
      <c r="B30" s="6">
        <v>27.56</v>
      </c>
      <c r="C30" s="6">
        <v>29.66</v>
      </c>
      <c r="D30" s="7">
        <v>1.08912699094185E-3</v>
      </c>
      <c r="E30" s="7">
        <v>1.34952787013317E-3</v>
      </c>
      <c r="F30" s="6">
        <v>0</v>
      </c>
      <c r="G30" s="6">
        <v>0.14729999999999999</v>
      </c>
      <c r="H30" s="6">
        <v>0</v>
      </c>
      <c r="I30" s="6">
        <v>0.15909999999999999</v>
      </c>
      <c r="J30" s="6">
        <v>0.14729999999999999</v>
      </c>
      <c r="K30" s="6">
        <v>0.15909999999999999</v>
      </c>
      <c r="L30" s="6">
        <v>27.7073</v>
      </c>
      <c r="M30" s="6">
        <v>29.819099999999999</v>
      </c>
      <c r="N30" s="8">
        <v>1.0761973875181401</v>
      </c>
      <c r="O30" s="8">
        <v>1.0748223497963401</v>
      </c>
      <c r="P30" s="8">
        <v>1.07414018124051</v>
      </c>
      <c r="Q30" s="8">
        <v>1.0740240124515299</v>
      </c>
      <c r="R30" s="6">
        <v>29.6221039603873</v>
      </c>
      <c r="S30" s="6">
        <v>29.593158362356199</v>
      </c>
      <c r="T30" s="6">
        <v>29.597175857238302</v>
      </c>
      <c r="U30" s="7">
        <v>-1.2784986443784799E-3</v>
      </c>
      <c r="V30" s="7">
        <v>-2.2561385027905501E-3</v>
      </c>
      <c r="W30" s="7">
        <v>-2.1203901600516501E-3</v>
      </c>
      <c r="X30" s="8">
        <v>1.0762181807682401</v>
      </c>
      <c r="Y30" s="8">
        <v>1.07476747574368</v>
      </c>
      <c r="Z30" s="8">
        <v>1.07416836534976</v>
      </c>
      <c r="AA30" s="8">
        <v>1.07403810450615</v>
      </c>
      <c r="AB30" s="6">
        <v>29.778904880672801</v>
      </c>
      <c r="AC30" s="6">
        <v>29.752048281960299</v>
      </c>
      <c r="AD30" s="6">
        <v>29.755725602613001</v>
      </c>
      <c r="AE30" s="7">
        <v>-1.3488748659308901E-3</v>
      </c>
      <c r="AF30" s="7">
        <v>-2.2511483592216799E-3</v>
      </c>
      <c r="AG30" s="7">
        <v>-2.1275570898010398E-3</v>
      </c>
      <c r="AZ30" s="23"/>
      <c r="BB30" s="12">
        <f t="shared" si="6"/>
        <v>1</v>
      </c>
      <c r="BC30" s="12">
        <f t="shared" si="7"/>
        <v>0</v>
      </c>
      <c r="BD30" s="12">
        <f t="shared" si="8"/>
        <v>1</v>
      </c>
      <c r="BE30" s="12">
        <f t="shared" si="4"/>
        <v>1</v>
      </c>
      <c r="BF30" s="12">
        <f t="shared" si="9"/>
        <v>1</v>
      </c>
      <c r="BG30" s="23">
        <f t="shared" si="10"/>
        <v>1.08912699094185E-3</v>
      </c>
      <c r="BH30" s="23">
        <f t="shared" si="11"/>
        <v>-1.34952787013317E-3</v>
      </c>
      <c r="BI30" s="23">
        <f t="shared" si="12"/>
        <v>-2.6040087919132005E-4</v>
      </c>
      <c r="BJ30" s="18">
        <f t="shared" si="13"/>
        <v>-2.6040087919132005E-4</v>
      </c>
      <c r="BL30" s="23"/>
      <c r="BN30" s="12">
        <f t="shared" si="14"/>
        <v>0</v>
      </c>
      <c r="BO30" s="12">
        <f t="shared" si="15"/>
        <v>1</v>
      </c>
      <c r="BP30" s="12">
        <f t="shared" si="16"/>
        <v>0</v>
      </c>
      <c r="BQ30" s="12">
        <f t="shared" si="5"/>
        <v>1</v>
      </c>
      <c r="BR30" s="12">
        <f t="shared" si="17"/>
        <v>0</v>
      </c>
      <c r="BS30" s="23">
        <f t="shared" si="18"/>
        <v>0</v>
      </c>
      <c r="BT30" s="23">
        <f t="shared" si="19"/>
        <v>0</v>
      </c>
      <c r="BU30" s="23">
        <f t="shared" si="20"/>
        <v>0</v>
      </c>
      <c r="BV30" s="18">
        <f t="shared" si="21"/>
        <v>0</v>
      </c>
      <c r="BX30" s="18">
        <f t="shared" si="22"/>
        <v>-2.6040087919132005E-4</v>
      </c>
      <c r="BY30" s="18">
        <f t="shared" si="23"/>
        <v>-2.6040087919132005E-4</v>
      </c>
      <c r="CL30" s="15"/>
      <c r="CM30" s="16"/>
      <c r="CN30" s="16"/>
      <c r="CO30" s="16"/>
      <c r="CP30" s="16"/>
      <c r="CQ30" s="16"/>
      <c r="CR30" s="16"/>
      <c r="CS30" s="16"/>
      <c r="CT30" s="16"/>
      <c r="CX30" s="15"/>
    </row>
    <row r="31" spans="1:102" x14ac:dyDescent="0.3">
      <c r="A31" s="1">
        <v>46066</v>
      </c>
      <c r="B31" s="6">
        <v>27.59</v>
      </c>
      <c r="C31" s="6">
        <v>29.7</v>
      </c>
      <c r="D31" s="7">
        <v>1.0879420837369199E-3</v>
      </c>
      <c r="E31" s="7">
        <v>1.34770909886777E-3</v>
      </c>
      <c r="F31" s="6">
        <v>0</v>
      </c>
      <c r="G31" s="6">
        <v>0.14729999999999999</v>
      </c>
      <c r="H31" s="6">
        <v>0</v>
      </c>
      <c r="I31" s="6">
        <v>0.15909999999999999</v>
      </c>
      <c r="J31" s="6">
        <v>0.14729999999999999</v>
      </c>
      <c r="K31" s="6">
        <v>0.15909999999999999</v>
      </c>
      <c r="L31" s="6">
        <v>27.737300000000001</v>
      </c>
      <c r="M31" s="6">
        <v>29.859099999999899</v>
      </c>
      <c r="N31" s="8">
        <v>1.07647698441464</v>
      </c>
      <c r="O31" s="8">
        <v>1.0748223497963401</v>
      </c>
      <c r="P31" s="8">
        <v>1.07446107518433</v>
      </c>
      <c r="Q31" s="8">
        <v>1.07414281263485</v>
      </c>
      <c r="R31" s="6">
        <v>29.654348630881199</v>
      </c>
      <c r="S31" s="6">
        <v>29.635527600425799</v>
      </c>
      <c r="T31" s="6">
        <v>29.6323225035378</v>
      </c>
      <c r="U31" s="7">
        <v>-1.5382656595093001E-3</v>
      </c>
      <c r="V31" s="7">
        <v>-2.1731474398036001E-3</v>
      </c>
      <c r="W31" s="7">
        <v>-2.2813037804003599E-3</v>
      </c>
      <c r="X31" s="8">
        <v>1.0764962703651699</v>
      </c>
      <c r="Y31" s="8">
        <v>1.07476747574368</v>
      </c>
      <c r="Z31" s="8">
        <v>1.0744911878886301</v>
      </c>
      <c r="AA31" s="8">
        <v>1.0741578689869999</v>
      </c>
      <c r="AB31" s="6">
        <v>29.811147904945098</v>
      </c>
      <c r="AC31" s="6">
        <v>29.794530200215998</v>
      </c>
      <c r="AD31" s="6">
        <v>29.790917116118599</v>
      </c>
      <c r="AE31" s="7">
        <v>-1.60723667358379E-3</v>
      </c>
      <c r="AF31" s="7">
        <v>-2.1648246647951999E-3</v>
      </c>
      <c r="AG31" s="7">
        <v>-2.28609870953313E-3</v>
      </c>
      <c r="AZ31" s="23"/>
      <c r="BB31" s="12">
        <f t="shared" si="6"/>
        <v>1</v>
      </c>
      <c r="BC31" s="12">
        <f t="shared" si="7"/>
        <v>0</v>
      </c>
      <c r="BD31" s="12">
        <f t="shared" si="8"/>
        <v>1</v>
      </c>
      <c r="BE31" s="12">
        <f t="shared" si="4"/>
        <v>1</v>
      </c>
      <c r="BF31" s="12">
        <f t="shared" si="9"/>
        <v>1</v>
      </c>
      <c r="BG31" s="23">
        <f t="shared" si="10"/>
        <v>1.0879420837369199E-3</v>
      </c>
      <c r="BH31" s="23">
        <f t="shared" si="11"/>
        <v>-1.34770909886777E-3</v>
      </c>
      <c r="BI31" s="23">
        <f t="shared" si="12"/>
        <v>-2.5976701513085007E-4</v>
      </c>
      <c r="BJ31" s="18">
        <f t="shared" si="13"/>
        <v>-5.2016789432217012E-4</v>
      </c>
      <c r="BL31" s="23"/>
      <c r="BN31" s="12">
        <f t="shared" si="14"/>
        <v>0</v>
      </c>
      <c r="BO31" s="12">
        <f t="shared" si="15"/>
        <v>1</v>
      </c>
      <c r="BP31" s="12">
        <f t="shared" si="16"/>
        <v>0</v>
      </c>
      <c r="BQ31" s="12">
        <f t="shared" si="5"/>
        <v>1</v>
      </c>
      <c r="BR31" s="12">
        <f t="shared" si="17"/>
        <v>0</v>
      </c>
      <c r="BS31" s="23">
        <f t="shared" si="18"/>
        <v>0</v>
      </c>
      <c r="BT31" s="23">
        <f t="shared" si="19"/>
        <v>0</v>
      </c>
      <c r="BU31" s="23">
        <f t="shared" si="20"/>
        <v>0</v>
      </c>
      <c r="BV31" s="18">
        <f t="shared" si="21"/>
        <v>0</v>
      </c>
      <c r="BX31" s="18">
        <f t="shared" si="22"/>
        <v>-2.5976701513085007E-4</v>
      </c>
      <c r="BY31" s="18">
        <f t="shared" si="23"/>
        <v>-5.2016789432217012E-4</v>
      </c>
      <c r="CL31" s="15"/>
      <c r="CM31" s="16"/>
      <c r="CN31" s="16"/>
      <c r="CO31" s="16"/>
      <c r="CP31" s="16"/>
      <c r="CQ31" s="16"/>
      <c r="CR31" s="16"/>
      <c r="CS31" s="16"/>
      <c r="CT31" s="16"/>
      <c r="CX31" s="15"/>
    </row>
    <row r="32" spans="1:102" x14ac:dyDescent="0.3">
      <c r="A32" s="1">
        <v>46070</v>
      </c>
      <c r="B32" s="6">
        <v>27.57</v>
      </c>
      <c r="C32" s="6">
        <v>29.67</v>
      </c>
      <c r="D32" s="7">
        <v>-7.2516319348928701E-4</v>
      </c>
      <c r="E32" s="7">
        <v>-1.01061150592339E-3</v>
      </c>
      <c r="F32" s="6">
        <v>0</v>
      </c>
      <c r="G32" s="6">
        <v>0.14729999999999999</v>
      </c>
      <c r="H32" s="6">
        <v>0</v>
      </c>
      <c r="I32" s="6">
        <v>0.15909999999999999</v>
      </c>
      <c r="J32" s="6">
        <v>0.14729999999999999</v>
      </c>
      <c r="K32" s="6">
        <v>0.15909999999999999</v>
      </c>
      <c r="L32" s="6">
        <v>27.717300000000002</v>
      </c>
      <c r="M32" s="6">
        <v>29.8291</v>
      </c>
      <c r="N32" s="8">
        <v>1.0761697497279601</v>
      </c>
      <c r="O32" s="8">
        <v>1.0748223497963401</v>
      </c>
      <c r="P32" s="8">
        <v>1.0747556457855401</v>
      </c>
      <c r="Q32" s="8">
        <v>1.0742280890787499</v>
      </c>
      <c r="R32" s="6">
        <v>29.632852183885198</v>
      </c>
      <c r="S32" s="6">
        <v>29.6228918428321</v>
      </c>
      <c r="T32" s="6">
        <v>29.614117344342802</v>
      </c>
      <c r="U32" s="7">
        <v>-1.25281734707518E-3</v>
      </c>
      <c r="V32" s="7">
        <v>-1.5889988029158301E-3</v>
      </c>
      <c r="W32" s="7">
        <v>-1.8852493622838499E-3</v>
      </c>
      <c r="X32" s="8">
        <v>1.07619068235362</v>
      </c>
      <c r="Y32" s="8">
        <v>1.07476747574368</v>
      </c>
      <c r="Z32" s="8">
        <v>1.07478417712351</v>
      </c>
      <c r="AA32" s="8">
        <v>1.0742441920621799</v>
      </c>
      <c r="AB32" s="6">
        <v>29.789652555430301</v>
      </c>
      <c r="AC32" s="6">
        <v>29.781994602065701</v>
      </c>
      <c r="AD32" s="6">
        <v>29.772755902073399</v>
      </c>
      <c r="AE32" s="7">
        <v>-1.32332357305385E-3</v>
      </c>
      <c r="AF32" s="7">
        <v>-1.58042418289489E-3</v>
      </c>
      <c r="AG32" s="7">
        <v>-1.8906832298471699E-3</v>
      </c>
      <c r="AZ32" s="23"/>
      <c r="BB32" s="12">
        <f t="shared" si="6"/>
        <v>1</v>
      </c>
      <c r="BC32" s="12">
        <f t="shared" si="7"/>
        <v>0</v>
      </c>
      <c r="BD32" s="12">
        <f t="shared" si="8"/>
        <v>1</v>
      </c>
      <c r="BE32" s="12">
        <f t="shared" si="4"/>
        <v>1</v>
      </c>
      <c r="BF32" s="12">
        <f t="shared" si="9"/>
        <v>1</v>
      </c>
      <c r="BG32" s="23">
        <f t="shared" si="10"/>
        <v>-7.2516319348928701E-4</v>
      </c>
      <c r="BH32" s="23">
        <f t="shared" si="11"/>
        <v>1.01061150592339E-3</v>
      </c>
      <c r="BI32" s="23">
        <f t="shared" si="12"/>
        <v>2.85448312434103E-4</v>
      </c>
      <c r="BJ32" s="18">
        <f t="shared" si="13"/>
        <v>-2.3471958188806712E-4</v>
      </c>
      <c r="BL32" s="23"/>
      <c r="BN32" s="12">
        <f t="shared" si="14"/>
        <v>0</v>
      </c>
      <c r="BO32" s="12">
        <f t="shared" si="15"/>
        <v>1</v>
      </c>
      <c r="BP32" s="12">
        <f t="shared" si="16"/>
        <v>0</v>
      </c>
      <c r="BQ32" s="12">
        <f t="shared" si="5"/>
        <v>1</v>
      </c>
      <c r="BR32" s="12">
        <f t="shared" si="17"/>
        <v>0</v>
      </c>
      <c r="BS32" s="23">
        <f t="shared" si="18"/>
        <v>0</v>
      </c>
      <c r="BT32" s="23">
        <f t="shared" si="19"/>
        <v>0</v>
      </c>
      <c r="BU32" s="23">
        <f t="shared" si="20"/>
        <v>0</v>
      </c>
      <c r="BV32" s="18">
        <f t="shared" si="21"/>
        <v>0</v>
      </c>
      <c r="BX32" s="18">
        <f t="shared" si="22"/>
        <v>2.85448312434103E-4</v>
      </c>
      <c r="BY32" s="18">
        <f t="shared" si="23"/>
        <v>-2.3471958188806712E-4</v>
      </c>
      <c r="CL32" s="15"/>
      <c r="CM32" s="16"/>
      <c r="CN32" s="16"/>
      <c r="CO32" s="16"/>
      <c r="CP32" s="16"/>
      <c r="CQ32" s="16"/>
      <c r="CR32" s="16"/>
      <c r="CS32" s="16"/>
      <c r="CT32" s="16"/>
      <c r="CX32" s="15"/>
    </row>
    <row r="33" spans="1:102" x14ac:dyDescent="0.3">
      <c r="A33" s="1">
        <v>46071</v>
      </c>
      <c r="B33" s="6">
        <v>27.63</v>
      </c>
      <c r="C33" s="6">
        <v>29.71</v>
      </c>
      <c r="D33" s="7">
        <v>2.1739138996197398E-3</v>
      </c>
      <c r="E33" s="7">
        <v>1.3472551717857099E-3</v>
      </c>
      <c r="F33" s="6">
        <v>0</v>
      </c>
      <c r="G33" s="6">
        <v>0.14729999999999999</v>
      </c>
      <c r="H33" s="6">
        <v>0</v>
      </c>
      <c r="I33" s="6">
        <v>0.15909999999999999</v>
      </c>
      <c r="J33" s="6">
        <v>0.14729999999999999</v>
      </c>
      <c r="K33" s="6">
        <v>0.15909999999999999</v>
      </c>
      <c r="L33" s="6">
        <v>27.7773</v>
      </c>
      <c r="M33" s="6">
        <v>29.8691</v>
      </c>
      <c r="N33" s="8">
        <v>1.0752804922185999</v>
      </c>
      <c r="O33" s="8">
        <v>1.0748223497963401</v>
      </c>
      <c r="P33" s="8">
        <v>1.0749977205083201</v>
      </c>
      <c r="Q33" s="8">
        <v>1.07427626669514</v>
      </c>
      <c r="R33" s="6">
        <v>29.697341524873</v>
      </c>
      <c r="S33" s="6">
        <v>29.6954984930547</v>
      </c>
      <c r="T33" s="6">
        <v>29.680922101245802</v>
      </c>
      <c r="U33" s="7">
        <v>-4.261586192413E-4</v>
      </c>
      <c r="V33" s="7">
        <v>-4.8822104354604698E-4</v>
      </c>
      <c r="W33" s="7">
        <v>-9.7920355666372E-4</v>
      </c>
      <c r="X33" s="8">
        <v>1.0753060952648299</v>
      </c>
      <c r="Y33" s="8">
        <v>1.07476747574368</v>
      </c>
      <c r="Z33" s="8">
        <v>1.0750249430783401</v>
      </c>
      <c r="AA33" s="8">
        <v>1.0742936498308899</v>
      </c>
      <c r="AB33" s="6">
        <v>29.854138603974899</v>
      </c>
      <c r="AC33" s="6">
        <v>29.854602523213099</v>
      </c>
      <c r="AD33" s="6">
        <v>29.839603196168898</v>
      </c>
      <c r="AE33" s="7">
        <v>-5.0102428092513903E-4</v>
      </c>
      <c r="AF33" s="7">
        <v>-4.8548487314470698E-4</v>
      </c>
      <c r="AG33" s="7">
        <v>-9.8802367667277097E-4</v>
      </c>
      <c r="AZ33" s="23"/>
      <c r="BB33" s="12">
        <f t="shared" si="6"/>
        <v>0</v>
      </c>
      <c r="BC33" s="12">
        <f t="shared" si="7"/>
        <v>0</v>
      </c>
      <c r="BD33" s="12">
        <f t="shared" si="8"/>
        <v>1</v>
      </c>
      <c r="BE33" s="12">
        <f t="shared" si="4"/>
        <v>1</v>
      </c>
      <c r="BF33" s="12">
        <f t="shared" si="9"/>
        <v>1</v>
      </c>
      <c r="BG33" s="23">
        <f t="shared" si="10"/>
        <v>2.1739138996197398E-3</v>
      </c>
      <c r="BH33" s="23">
        <f t="shared" si="11"/>
        <v>-1.3472551717857099E-3</v>
      </c>
      <c r="BI33" s="23">
        <f t="shared" si="12"/>
        <v>8.2665872783402989E-4</v>
      </c>
      <c r="BJ33" s="18">
        <f t="shared" si="13"/>
        <v>5.9193914594596277E-4</v>
      </c>
      <c r="BL33" s="23"/>
      <c r="BN33" s="12">
        <f t="shared" si="14"/>
        <v>0</v>
      </c>
      <c r="BO33" s="12">
        <f t="shared" si="15"/>
        <v>1</v>
      </c>
      <c r="BP33" s="12">
        <f t="shared" si="16"/>
        <v>0</v>
      </c>
      <c r="BQ33" s="12">
        <f t="shared" si="5"/>
        <v>1</v>
      </c>
      <c r="BR33" s="12">
        <f t="shared" si="17"/>
        <v>0</v>
      </c>
      <c r="BS33" s="23">
        <f t="shared" si="18"/>
        <v>0</v>
      </c>
      <c r="BT33" s="23">
        <f t="shared" si="19"/>
        <v>0</v>
      </c>
      <c r="BU33" s="23">
        <f t="shared" si="20"/>
        <v>0</v>
      </c>
      <c r="BV33" s="18">
        <f t="shared" si="21"/>
        <v>0</v>
      </c>
      <c r="BX33" s="18">
        <f t="shared" si="22"/>
        <v>8.2665872783402989E-4</v>
      </c>
      <c r="BY33" s="18">
        <f t="shared" si="23"/>
        <v>5.9193914594596277E-4</v>
      </c>
      <c r="CL33" s="15"/>
      <c r="CM33" s="16"/>
      <c r="CN33" s="16"/>
      <c r="CO33" s="16"/>
      <c r="CP33" s="16"/>
      <c r="CQ33" s="16"/>
      <c r="CR33" s="16"/>
      <c r="CS33" s="16"/>
      <c r="CT33" s="16"/>
      <c r="CX33" s="15"/>
    </row>
    <row r="34" spans="1:102" x14ac:dyDescent="0.3">
      <c r="A34" s="1">
        <v>46072</v>
      </c>
      <c r="B34" s="6">
        <v>27.65</v>
      </c>
      <c r="C34" s="6">
        <v>29.75</v>
      </c>
      <c r="D34" s="7">
        <v>7.2358903301863705E-4</v>
      </c>
      <c r="E34" s="7">
        <v>1.3454425171223799E-3</v>
      </c>
      <c r="F34" s="6">
        <v>0</v>
      </c>
      <c r="G34" s="6">
        <v>0.14729999999999999</v>
      </c>
      <c r="H34" s="6">
        <v>0</v>
      </c>
      <c r="I34" s="6">
        <v>0.15909999999999999</v>
      </c>
      <c r="J34" s="6">
        <v>0.14729999999999999</v>
      </c>
      <c r="K34" s="6">
        <v>0.15909999999999999</v>
      </c>
      <c r="L34" s="6">
        <v>27.7973</v>
      </c>
      <c r="M34" s="6">
        <v>29.909099999999999</v>
      </c>
      <c r="N34" s="8">
        <v>1.0759493670886</v>
      </c>
      <c r="O34" s="8">
        <v>1.0748223497963401</v>
      </c>
      <c r="P34" s="8">
        <v>1.07526491387048</v>
      </c>
      <c r="Q34" s="8">
        <v>1.0743740614913599</v>
      </c>
      <c r="R34" s="6">
        <v>29.718837971868901</v>
      </c>
      <c r="S34" s="6">
        <v>29.723686972054999</v>
      </c>
      <c r="T34" s="6">
        <v>29.703738774120701</v>
      </c>
      <c r="U34" s="7">
        <v>-1.0480121033451101E-3</v>
      </c>
      <c r="V34" s="7">
        <v>-8.8486290329378204E-4</v>
      </c>
      <c r="W34" s="7">
        <v>-1.5562094552615099E-3</v>
      </c>
      <c r="X34" s="8">
        <v>1.07597140729495</v>
      </c>
      <c r="Y34" s="8">
        <v>1.07476747574368</v>
      </c>
      <c r="Z34" s="8">
        <v>1.0752906916846099</v>
      </c>
      <c r="AA34" s="8">
        <v>1.07439254663742</v>
      </c>
      <c r="AB34" s="6">
        <v>29.8756339534898</v>
      </c>
      <c r="AC34" s="6">
        <v>29.8827908502318</v>
      </c>
      <c r="AD34" s="6">
        <v>29.862462872444201</v>
      </c>
      <c r="AE34" s="7">
        <v>-1.11955169129768E-3</v>
      </c>
      <c r="AF34" s="7">
        <v>-8.8002406654119104E-4</v>
      </c>
      <c r="AG34" s="7">
        <v>-1.56051255074334E-3</v>
      </c>
      <c r="AZ34" s="23"/>
      <c r="BB34" s="12">
        <f t="shared" si="6"/>
        <v>1</v>
      </c>
      <c r="BC34" s="12">
        <f t="shared" si="7"/>
        <v>0</v>
      </c>
      <c r="BD34" s="12">
        <f t="shared" si="8"/>
        <v>1</v>
      </c>
      <c r="BE34" s="12">
        <f t="shared" si="4"/>
        <v>1</v>
      </c>
      <c r="BF34" s="12">
        <f t="shared" si="9"/>
        <v>1</v>
      </c>
      <c r="BG34" s="23">
        <f t="shared" si="10"/>
        <v>7.2358903301863705E-4</v>
      </c>
      <c r="BH34" s="23">
        <f t="shared" si="11"/>
        <v>-1.3454425171223799E-3</v>
      </c>
      <c r="BI34" s="23">
        <f t="shared" si="12"/>
        <v>-6.2185348410374289E-4</v>
      </c>
      <c r="BJ34" s="18">
        <f t="shared" si="13"/>
        <v>-2.9914338157780124E-5</v>
      </c>
      <c r="BL34" s="23"/>
      <c r="BN34" s="12">
        <f t="shared" si="14"/>
        <v>0</v>
      </c>
      <c r="BO34" s="12">
        <f t="shared" si="15"/>
        <v>1</v>
      </c>
      <c r="BP34" s="12">
        <f t="shared" si="16"/>
        <v>0</v>
      </c>
      <c r="BQ34" s="12">
        <f t="shared" si="5"/>
        <v>1</v>
      </c>
      <c r="BR34" s="12">
        <f t="shared" si="17"/>
        <v>0</v>
      </c>
      <c r="BS34" s="23">
        <f t="shared" si="18"/>
        <v>0</v>
      </c>
      <c r="BT34" s="23">
        <f t="shared" si="19"/>
        <v>0</v>
      </c>
      <c r="BU34" s="23">
        <f t="shared" si="20"/>
        <v>0</v>
      </c>
      <c r="BV34" s="18">
        <f t="shared" si="21"/>
        <v>0</v>
      </c>
      <c r="BX34" s="18">
        <f t="shared" si="22"/>
        <v>-6.2185348410374289E-4</v>
      </c>
      <c r="BY34" s="18">
        <f t="shared" si="23"/>
        <v>-2.9914338157780124E-5</v>
      </c>
    </row>
    <row r="35" spans="1:102" x14ac:dyDescent="0.3">
      <c r="A35" s="1">
        <v>46073</v>
      </c>
      <c r="B35" s="6">
        <v>27.64</v>
      </c>
      <c r="C35" s="6">
        <v>29.75</v>
      </c>
      <c r="D35" s="7">
        <v>-3.6172906887453301E-4</v>
      </c>
      <c r="E35" s="7">
        <v>0</v>
      </c>
      <c r="F35" s="6">
        <v>0</v>
      </c>
      <c r="G35" s="6">
        <v>0.14729999999999999</v>
      </c>
      <c r="H35" s="6">
        <v>0</v>
      </c>
      <c r="I35" s="6">
        <v>0.15909999999999999</v>
      </c>
      <c r="J35" s="6">
        <v>0.14729999999999999</v>
      </c>
      <c r="K35" s="6">
        <v>0.15909999999999999</v>
      </c>
      <c r="L35" s="6">
        <v>27.787299999999998</v>
      </c>
      <c r="M35" s="6">
        <v>29.909099999999999</v>
      </c>
      <c r="N35" s="8">
        <v>1.07633863965267</v>
      </c>
      <c r="O35" s="8">
        <v>1.0748223497963401</v>
      </c>
      <c r="P35" s="8">
        <v>1.07556301141239</v>
      </c>
      <c r="Q35" s="8">
        <v>1.07447318426108</v>
      </c>
      <c r="R35" s="6">
        <v>29.708089748370998</v>
      </c>
      <c r="S35" s="6">
        <v>29.720322219380002</v>
      </c>
      <c r="T35" s="6">
        <v>29.695699059621202</v>
      </c>
      <c r="U35" s="7">
        <v>-1.4097411722198E-3</v>
      </c>
      <c r="V35" s="7">
        <v>-9.9807036437670805E-4</v>
      </c>
      <c r="W35" s="7">
        <v>-1.8269094767388E-3</v>
      </c>
      <c r="X35" s="8">
        <v>1.0763586242636001</v>
      </c>
      <c r="Y35" s="8">
        <v>1.07476747574368</v>
      </c>
      <c r="Z35" s="8">
        <v>1.07558717783816</v>
      </c>
      <c r="AA35" s="8">
        <v>1.0744926686376901</v>
      </c>
      <c r="AB35" s="6">
        <v>29.8648862787323</v>
      </c>
      <c r="AC35" s="6">
        <v>29.879425037047799</v>
      </c>
      <c r="AD35" s="6">
        <v>29.854468011178</v>
      </c>
      <c r="AE35" s="7">
        <v>-1.47936358552332E-3</v>
      </c>
      <c r="AF35" s="7">
        <v>-9.9266424018750799E-4</v>
      </c>
      <c r="AG35" s="7">
        <v>-1.82827116444361E-3</v>
      </c>
      <c r="AZ35" s="23"/>
      <c r="BB35" s="12">
        <f t="shared" si="6"/>
        <v>1</v>
      </c>
      <c r="BC35" s="12">
        <f t="shared" si="7"/>
        <v>0</v>
      </c>
      <c r="BD35" s="12">
        <f t="shared" si="8"/>
        <v>1</v>
      </c>
      <c r="BE35" s="12">
        <f t="shared" si="4"/>
        <v>1</v>
      </c>
      <c r="BF35" s="12">
        <f t="shared" si="9"/>
        <v>1</v>
      </c>
      <c r="BG35" s="23">
        <f t="shared" si="10"/>
        <v>-3.6172906887453301E-4</v>
      </c>
      <c r="BH35" s="23">
        <f t="shared" si="11"/>
        <v>0</v>
      </c>
      <c r="BI35" s="23">
        <f t="shared" si="12"/>
        <v>-3.6172906887453301E-4</v>
      </c>
      <c r="BJ35" s="18">
        <f t="shared" si="13"/>
        <v>-3.9164340703231313E-4</v>
      </c>
      <c r="BL35" s="23"/>
      <c r="BN35" s="12">
        <f t="shared" si="14"/>
        <v>0</v>
      </c>
      <c r="BO35" s="12">
        <f t="shared" si="15"/>
        <v>1</v>
      </c>
      <c r="BP35" s="12">
        <f t="shared" si="16"/>
        <v>0</v>
      </c>
      <c r="BQ35" s="12">
        <f t="shared" si="5"/>
        <v>1</v>
      </c>
      <c r="BR35" s="12">
        <f t="shared" si="17"/>
        <v>0</v>
      </c>
      <c r="BS35" s="23">
        <f t="shared" si="18"/>
        <v>0</v>
      </c>
      <c r="BT35" s="23">
        <f t="shared" si="19"/>
        <v>0</v>
      </c>
      <c r="BU35" s="23">
        <f t="shared" si="20"/>
        <v>0</v>
      </c>
      <c r="BV35" s="18">
        <f t="shared" si="21"/>
        <v>0</v>
      </c>
      <c r="BX35" s="18">
        <f t="shared" si="22"/>
        <v>-3.6172906887453301E-4</v>
      </c>
      <c r="BY35" s="18">
        <f t="shared" si="23"/>
        <v>-3.9164340703231313E-4</v>
      </c>
    </row>
    <row r="36" spans="1:102" x14ac:dyDescent="0.3">
      <c r="A36" s="1">
        <v>46076</v>
      </c>
      <c r="B36" s="6">
        <v>27.6</v>
      </c>
      <c r="C36" s="6">
        <v>29.7</v>
      </c>
      <c r="D36" s="7">
        <v>-1.44822617636476E-3</v>
      </c>
      <c r="E36" s="7">
        <v>-1.68208618298482E-3</v>
      </c>
      <c r="F36" s="6">
        <v>0</v>
      </c>
      <c r="G36" s="6">
        <v>0.14729999999999999</v>
      </c>
      <c r="H36" s="6">
        <v>0</v>
      </c>
      <c r="I36" s="6">
        <v>0.15909999999999999</v>
      </c>
      <c r="J36" s="6">
        <v>0.14729999999999999</v>
      </c>
      <c r="K36" s="6">
        <v>0.15909999999999999</v>
      </c>
      <c r="L36" s="6">
        <v>27.747299999999999</v>
      </c>
      <c r="M36" s="6">
        <v>29.859099999999899</v>
      </c>
      <c r="N36" s="8">
        <v>1.0760869565217299</v>
      </c>
      <c r="O36" s="8">
        <v>1.0748223497963401</v>
      </c>
      <c r="P36" s="8">
        <v>1.07570358320299</v>
      </c>
      <c r="Q36" s="8">
        <v>1.07455567297315</v>
      </c>
      <c r="R36" s="6">
        <v>29.665096854379101</v>
      </c>
      <c r="S36" s="6">
        <v>29.6855391149819</v>
      </c>
      <c r="T36" s="6">
        <v>29.655459885605801</v>
      </c>
      <c r="U36" s="7">
        <v>-1.1758811655996099E-3</v>
      </c>
      <c r="V36" s="7">
        <v>-4.8701705901323301E-4</v>
      </c>
      <c r="W36" s="7">
        <v>-1.50079277761753E-3</v>
      </c>
      <c r="X36" s="8">
        <v>1.07610830603337</v>
      </c>
      <c r="Y36" s="8">
        <v>1.07476747574368</v>
      </c>
      <c r="Z36" s="8">
        <v>1.0757269877257001</v>
      </c>
      <c r="AA36" s="8">
        <v>1.0745762248253401</v>
      </c>
      <c r="AB36" s="6">
        <v>29.821895579702598</v>
      </c>
      <c r="AC36" s="6">
        <v>29.844640099628801</v>
      </c>
      <c r="AD36" s="6">
        <v>29.814270424490601</v>
      </c>
      <c r="AE36" s="7">
        <v>-1.24677628968362E-3</v>
      </c>
      <c r="AF36" s="7">
        <v>-4.8438843629399598E-4</v>
      </c>
      <c r="AG36" s="7">
        <v>-1.5024988072258299E-3</v>
      </c>
      <c r="AZ36" s="23"/>
      <c r="BB36" s="12">
        <f t="shared" si="6"/>
        <v>1</v>
      </c>
      <c r="BC36" s="12">
        <f t="shared" si="7"/>
        <v>0</v>
      </c>
      <c r="BD36" s="12">
        <f t="shared" si="8"/>
        <v>1</v>
      </c>
      <c r="BE36" s="12">
        <f t="shared" si="4"/>
        <v>1</v>
      </c>
      <c r="BF36" s="12">
        <f t="shared" si="9"/>
        <v>1</v>
      </c>
      <c r="BG36" s="23">
        <f t="shared" si="10"/>
        <v>-1.44822617636476E-3</v>
      </c>
      <c r="BH36" s="23">
        <f t="shared" si="11"/>
        <v>1.68208618298482E-3</v>
      </c>
      <c r="BI36" s="23">
        <f t="shared" si="12"/>
        <v>2.3386000662005998E-4</v>
      </c>
      <c r="BJ36" s="18">
        <f t="shared" si="13"/>
        <v>-1.5778340041225315E-4</v>
      </c>
      <c r="BL36" s="23"/>
      <c r="BN36" s="12">
        <f t="shared" si="14"/>
        <v>0</v>
      </c>
      <c r="BO36" s="12">
        <f t="shared" si="15"/>
        <v>1</v>
      </c>
      <c r="BP36" s="12">
        <f t="shared" si="16"/>
        <v>0</v>
      </c>
      <c r="BQ36" s="12">
        <f t="shared" si="5"/>
        <v>1</v>
      </c>
      <c r="BR36" s="12">
        <f t="shared" si="17"/>
        <v>0</v>
      </c>
      <c r="BS36" s="23">
        <f t="shared" si="18"/>
        <v>0</v>
      </c>
      <c r="BT36" s="23">
        <f t="shared" si="19"/>
        <v>0</v>
      </c>
      <c r="BU36" s="23">
        <f t="shared" si="20"/>
        <v>0</v>
      </c>
      <c r="BV36" s="18">
        <f t="shared" si="21"/>
        <v>0</v>
      </c>
      <c r="BX36" s="18">
        <f t="shared" si="22"/>
        <v>2.3386000662005998E-4</v>
      </c>
      <c r="BY36" s="18">
        <f t="shared" si="23"/>
        <v>-1.5778340041225315E-4</v>
      </c>
    </row>
    <row r="37" spans="1:102" x14ac:dyDescent="0.3">
      <c r="A37" s="1">
        <v>46077</v>
      </c>
      <c r="B37" s="6">
        <v>27.59</v>
      </c>
      <c r="C37" s="6">
        <v>29.7</v>
      </c>
      <c r="D37" s="7">
        <v>-3.6238449390969102E-4</v>
      </c>
      <c r="E37" s="7">
        <v>0</v>
      </c>
      <c r="F37" s="6">
        <v>0</v>
      </c>
      <c r="G37" s="6">
        <v>0.14729999999999999</v>
      </c>
      <c r="H37" s="6">
        <v>0</v>
      </c>
      <c r="I37" s="6">
        <v>0.15909999999999999</v>
      </c>
      <c r="J37" s="6">
        <v>0.14729999999999999</v>
      </c>
      <c r="K37" s="6">
        <v>0.15909999999999999</v>
      </c>
      <c r="L37" s="6">
        <v>27.737300000000001</v>
      </c>
      <c r="M37" s="6">
        <v>29.859099999999899</v>
      </c>
      <c r="N37" s="8">
        <v>1.07647698441464</v>
      </c>
      <c r="O37" s="8">
        <v>1.0748223497963401</v>
      </c>
      <c r="P37" s="8">
        <v>1.07593579636638</v>
      </c>
      <c r="Q37" s="8">
        <v>1.0746590140269101</v>
      </c>
      <c r="R37" s="6">
        <v>29.654348630881199</v>
      </c>
      <c r="S37" s="6">
        <v>29.678661860570699</v>
      </c>
      <c r="T37" s="6">
        <v>29.646991017329199</v>
      </c>
      <c r="U37" s="7">
        <v>-1.5382656595093001E-3</v>
      </c>
      <c r="V37" s="7">
        <v>-7.1871408614484296E-4</v>
      </c>
      <c r="W37" s="7">
        <v>-1.7864089100101601E-3</v>
      </c>
      <c r="X37" s="8">
        <v>1.0764962703651699</v>
      </c>
      <c r="Y37" s="8">
        <v>1.07476747574368</v>
      </c>
      <c r="Z37" s="8">
        <v>1.0759579585665699</v>
      </c>
      <c r="AA37" s="8">
        <v>1.07468053017663</v>
      </c>
      <c r="AB37" s="6">
        <v>29.811147904945098</v>
      </c>
      <c r="AC37" s="6">
        <v>29.837762176644201</v>
      </c>
      <c r="AD37" s="6">
        <v>29.805843120847999</v>
      </c>
      <c r="AE37" s="7">
        <v>-1.60723667358379E-3</v>
      </c>
      <c r="AF37" s="7">
        <v>-7.1487255733305099E-4</v>
      </c>
      <c r="AG37" s="7">
        <v>-1.7851988289997499E-3</v>
      </c>
      <c r="AZ37" s="23"/>
      <c r="BB37" s="12">
        <f t="shared" si="6"/>
        <v>1</v>
      </c>
      <c r="BC37" s="12">
        <f t="shared" si="7"/>
        <v>0</v>
      </c>
      <c r="BD37" s="12">
        <f t="shared" si="8"/>
        <v>1</v>
      </c>
      <c r="BE37" s="12">
        <f t="shared" si="4"/>
        <v>1</v>
      </c>
      <c r="BF37" s="12">
        <f t="shared" si="9"/>
        <v>1</v>
      </c>
      <c r="BG37" s="23">
        <f t="shared" si="10"/>
        <v>-3.6238449390969102E-4</v>
      </c>
      <c r="BH37" s="23">
        <f t="shared" si="11"/>
        <v>0</v>
      </c>
      <c r="BI37" s="23">
        <f t="shared" si="12"/>
        <v>-3.6238449390969102E-4</v>
      </c>
      <c r="BJ37" s="18">
        <f t="shared" si="13"/>
        <v>-5.2016789432194417E-4</v>
      </c>
      <c r="BL37" s="23"/>
      <c r="BN37" s="12">
        <f t="shared" si="14"/>
        <v>0</v>
      </c>
      <c r="BO37" s="12">
        <f t="shared" si="15"/>
        <v>1</v>
      </c>
      <c r="BP37" s="12">
        <f t="shared" si="16"/>
        <v>0</v>
      </c>
      <c r="BQ37" s="12">
        <f t="shared" si="5"/>
        <v>1</v>
      </c>
      <c r="BR37" s="12">
        <f t="shared" si="17"/>
        <v>0</v>
      </c>
      <c r="BS37" s="23">
        <f t="shared" si="18"/>
        <v>0</v>
      </c>
      <c r="BT37" s="23">
        <f t="shared" si="19"/>
        <v>0</v>
      </c>
      <c r="BU37" s="23">
        <f t="shared" si="20"/>
        <v>0</v>
      </c>
      <c r="BV37" s="18">
        <f t="shared" si="21"/>
        <v>0</v>
      </c>
      <c r="BX37" s="18">
        <f t="shared" si="22"/>
        <v>-3.6238449390969102E-4</v>
      </c>
      <c r="BY37" s="18">
        <f t="shared" si="23"/>
        <v>-5.2016789432194417E-4</v>
      </c>
    </row>
    <row r="38" spans="1:102" x14ac:dyDescent="0.3">
      <c r="A38" s="1">
        <v>46078</v>
      </c>
      <c r="B38" s="6">
        <v>27.62</v>
      </c>
      <c r="C38" s="6">
        <v>29.71</v>
      </c>
      <c r="D38" s="7">
        <v>1.0867597519514801E-3</v>
      </c>
      <c r="E38" s="7">
        <v>3.3664366586230401E-4</v>
      </c>
      <c r="F38" s="6">
        <v>0</v>
      </c>
      <c r="G38" s="6">
        <v>0.14729999999999999</v>
      </c>
      <c r="H38" s="6">
        <v>0</v>
      </c>
      <c r="I38" s="6">
        <v>0.15909999999999999</v>
      </c>
      <c r="J38" s="6">
        <v>0.14729999999999999</v>
      </c>
      <c r="K38" s="6">
        <v>0.15909999999999999</v>
      </c>
      <c r="L38" s="6">
        <v>27.767299999999999</v>
      </c>
      <c r="M38" s="6">
        <v>29.8691</v>
      </c>
      <c r="N38" s="8">
        <v>1.0756698044894999</v>
      </c>
      <c r="O38" s="8">
        <v>1.0748223497963401</v>
      </c>
      <c r="P38" s="8">
        <v>1.0760563547303299</v>
      </c>
      <c r="Q38" s="8">
        <v>1.0747817576040499</v>
      </c>
      <c r="R38" s="6">
        <v>29.686593301375002</v>
      </c>
      <c r="S38" s="6">
        <v>29.717346695639399</v>
      </c>
      <c r="T38" s="6">
        <v>29.6820819674234</v>
      </c>
      <c r="U38" s="7">
        <v>-7.8814957342038499E-4</v>
      </c>
      <c r="V38" s="7">
        <v>2.47249661490277E-4</v>
      </c>
      <c r="W38" s="7">
        <v>-9.4012648514843196E-4</v>
      </c>
      <c r="X38" s="8">
        <v>1.07569335153219</v>
      </c>
      <c r="Y38" s="8">
        <v>1.07476747574368</v>
      </c>
      <c r="Z38" s="8">
        <v>1.07607786765583</v>
      </c>
      <c r="AA38" s="8">
        <v>1.0748044511059001</v>
      </c>
      <c r="AB38" s="6">
        <v>29.843390929217499</v>
      </c>
      <c r="AC38" s="6">
        <v>29.8764474229055</v>
      </c>
      <c r="AD38" s="6">
        <v>29.840976685573601</v>
      </c>
      <c r="AE38" s="7">
        <v>-8.6109529081764501E-4</v>
      </c>
      <c r="AF38" s="7">
        <v>2.4595717202499098E-4</v>
      </c>
      <c r="AG38" s="7">
        <v>-9.4199565859103495E-4</v>
      </c>
      <c r="AZ38" s="23"/>
      <c r="BB38" s="12">
        <f t="shared" si="6"/>
        <v>0</v>
      </c>
      <c r="BC38" s="12">
        <f t="shared" si="7"/>
        <v>0</v>
      </c>
      <c r="BD38" s="12">
        <f t="shared" si="8"/>
        <v>1</v>
      </c>
      <c r="BE38" s="12">
        <f t="shared" si="4"/>
        <v>1</v>
      </c>
      <c r="BF38" s="12">
        <f t="shared" si="9"/>
        <v>1</v>
      </c>
      <c r="BG38" s="23">
        <f t="shared" si="10"/>
        <v>1.0867597519514801E-3</v>
      </c>
      <c r="BH38" s="23">
        <f t="shared" si="11"/>
        <v>-3.3664366586230401E-4</v>
      </c>
      <c r="BI38" s="23">
        <f t="shared" si="12"/>
        <v>7.5011608608917604E-4</v>
      </c>
      <c r="BJ38" s="18">
        <f t="shared" si="13"/>
        <v>2.2994819176723187E-4</v>
      </c>
      <c r="BL38" s="23"/>
      <c r="BN38" s="12">
        <f t="shared" si="14"/>
        <v>0</v>
      </c>
      <c r="BO38" s="12">
        <f t="shared" si="15"/>
        <v>1</v>
      </c>
      <c r="BP38" s="12">
        <f t="shared" si="16"/>
        <v>0</v>
      </c>
      <c r="BQ38" s="12">
        <f t="shared" si="5"/>
        <v>1</v>
      </c>
      <c r="BR38" s="12">
        <f t="shared" si="17"/>
        <v>0</v>
      </c>
      <c r="BS38" s="23">
        <f t="shared" si="18"/>
        <v>0</v>
      </c>
      <c r="BT38" s="23">
        <f t="shared" si="19"/>
        <v>0</v>
      </c>
      <c r="BU38" s="23">
        <f t="shared" si="20"/>
        <v>0</v>
      </c>
      <c r="BV38" s="18">
        <f t="shared" si="21"/>
        <v>0</v>
      </c>
      <c r="BX38" s="18">
        <f t="shared" si="22"/>
        <v>7.5011608608917604E-4</v>
      </c>
      <c r="BY38" s="18">
        <f t="shared" si="23"/>
        <v>2.2994819176723187E-4</v>
      </c>
    </row>
    <row r="39" spans="1:102" x14ac:dyDescent="0.3">
      <c r="A39" s="1">
        <v>46079</v>
      </c>
      <c r="B39" s="6">
        <v>27.64</v>
      </c>
      <c r="C39" s="6">
        <v>29.71</v>
      </c>
      <c r="D39" s="7">
        <v>7.2385091832307704E-4</v>
      </c>
      <c r="E39" s="7">
        <v>0</v>
      </c>
      <c r="F39" s="6">
        <v>0</v>
      </c>
      <c r="G39" s="6">
        <v>0.14729999999999999</v>
      </c>
      <c r="H39" s="6">
        <v>0</v>
      </c>
      <c r="I39" s="6">
        <v>0.15909999999999999</v>
      </c>
      <c r="J39" s="6">
        <v>0.14729999999999999</v>
      </c>
      <c r="K39" s="6">
        <v>0.15909999999999999</v>
      </c>
      <c r="L39" s="6">
        <v>27.787299999999998</v>
      </c>
      <c r="M39" s="6">
        <v>29.8691</v>
      </c>
      <c r="N39" s="8">
        <v>1.07489146164978</v>
      </c>
      <c r="O39" s="8">
        <v>1.0748223497963401</v>
      </c>
      <c r="P39" s="8">
        <v>1.0759537827696299</v>
      </c>
      <c r="Q39" s="8">
        <v>1.07486292843772</v>
      </c>
      <c r="R39" s="6">
        <v>29.708089748370998</v>
      </c>
      <c r="S39" s="6">
        <v>29.742197644746401</v>
      </c>
      <c r="T39" s="6">
        <v>29.706967780176001</v>
      </c>
      <c r="U39" s="7">
        <v>-6.4298655097344996E-5</v>
      </c>
      <c r="V39" s="7">
        <v>1.0831440777567499E-3</v>
      </c>
      <c r="W39" s="7">
        <v>-1.02065788270525E-4</v>
      </c>
      <c r="X39" s="8">
        <v>1.0749191177264401</v>
      </c>
      <c r="Y39" s="8">
        <v>1.07476747574368</v>
      </c>
      <c r="Z39" s="8">
        <v>1.0759758305967599</v>
      </c>
      <c r="AA39" s="8">
        <v>1.0748870047434</v>
      </c>
      <c r="AB39" s="6">
        <v>29.8648862787323</v>
      </c>
      <c r="AC39" s="6">
        <v>29.9012985319129</v>
      </c>
      <c r="AD39" s="6">
        <v>29.865913724215101</v>
      </c>
      <c r="AE39" s="7">
        <v>-1.41082875499164E-4</v>
      </c>
      <c r="AF39" s="7">
        <v>1.0774074062908201E-3</v>
      </c>
      <c r="AG39" s="7">
        <v>-1.0668034002825E-4</v>
      </c>
      <c r="AZ39" s="23"/>
      <c r="BB39" s="12">
        <f t="shared" si="6"/>
        <v>0</v>
      </c>
      <c r="BC39" s="12">
        <f t="shared" si="7"/>
        <v>0</v>
      </c>
      <c r="BD39" s="12">
        <f t="shared" si="8"/>
        <v>1</v>
      </c>
      <c r="BE39" s="12">
        <f t="shared" si="4"/>
        <v>1</v>
      </c>
      <c r="BF39" s="12">
        <f t="shared" si="9"/>
        <v>1</v>
      </c>
      <c r="BG39" s="23">
        <f t="shared" si="10"/>
        <v>7.2385091832307704E-4</v>
      </c>
      <c r="BH39" s="23">
        <f t="shared" si="11"/>
        <v>0</v>
      </c>
      <c r="BI39" s="23">
        <f t="shared" si="12"/>
        <v>7.2385091832307704E-4</v>
      </c>
      <c r="BJ39" s="18">
        <f t="shared" si="13"/>
        <v>9.5379911009030891E-4</v>
      </c>
      <c r="BL39" s="23"/>
      <c r="BN39" s="12">
        <f t="shared" si="14"/>
        <v>0</v>
      </c>
      <c r="BO39" s="12">
        <f t="shared" si="15"/>
        <v>1</v>
      </c>
      <c r="BP39" s="12">
        <f t="shared" si="16"/>
        <v>0</v>
      </c>
      <c r="BQ39" s="12">
        <f t="shared" si="5"/>
        <v>1</v>
      </c>
      <c r="BR39" s="12">
        <f t="shared" si="17"/>
        <v>0</v>
      </c>
      <c r="BS39" s="23">
        <f t="shared" si="18"/>
        <v>0</v>
      </c>
      <c r="BT39" s="23">
        <f t="shared" si="19"/>
        <v>0</v>
      </c>
      <c r="BU39" s="23">
        <f t="shared" si="20"/>
        <v>0</v>
      </c>
      <c r="BV39" s="18">
        <f t="shared" si="21"/>
        <v>0</v>
      </c>
      <c r="BX39" s="18">
        <f t="shared" si="22"/>
        <v>7.2385091832307704E-4</v>
      </c>
      <c r="BY39" s="18">
        <f t="shared" si="23"/>
        <v>9.5379911009030891E-4</v>
      </c>
    </row>
    <row r="40" spans="1:102" x14ac:dyDescent="0.3">
      <c r="A40" s="1">
        <v>46080</v>
      </c>
      <c r="B40" s="6">
        <v>27.57</v>
      </c>
      <c r="C40" s="6">
        <v>29.63</v>
      </c>
      <c r="D40" s="7">
        <v>-2.5357738637637401E-3</v>
      </c>
      <c r="E40" s="7">
        <v>-2.6963278890425098E-3</v>
      </c>
      <c r="F40" s="6">
        <v>0</v>
      </c>
      <c r="G40" s="6">
        <v>0.14729999999999999</v>
      </c>
      <c r="H40" s="6">
        <v>0</v>
      </c>
      <c r="I40" s="6">
        <v>0.15909999999999999</v>
      </c>
      <c r="J40" s="6">
        <v>0.14729999999999999</v>
      </c>
      <c r="K40" s="6">
        <v>0.15909999999999999</v>
      </c>
      <c r="L40" s="6">
        <v>27.717300000000002</v>
      </c>
      <c r="M40" s="6">
        <v>29.789099999999902</v>
      </c>
      <c r="N40" s="8">
        <v>1.07471889735219</v>
      </c>
      <c r="O40" s="8">
        <v>1.0748223497963401</v>
      </c>
      <c r="P40" s="8">
        <v>1.0758059337530299</v>
      </c>
      <c r="Q40" s="8">
        <v>1.07497305749677</v>
      </c>
      <c r="R40" s="6">
        <v>29.632852183885198</v>
      </c>
      <c r="S40" s="6">
        <v>29.664045790958699</v>
      </c>
      <c r="T40" s="6">
        <v>29.633970937028</v>
      </c>
      <c r="U40" s="7">
        <v>9.6255370181428499E-5</v>
      </c>
      <c r="V40" s="7">
        <v>1.14837145099692E-3</v>
      </c>
      <c r="W40" s="7">
        <v>1.3400846994093799E-4</v>
      </c>
      <c r="X40" s="8">
        <v>1.0747475403448301</v>
      </c>
      <c r="Y40" s="8">
        <v>1.07476747574368</v>
      </c>
      <c r="Z40" s="8">
        <v>1.0758287665544199</v>
      </c>
      <c r="AA40" s="8">
        <v>1.07499856595209</v>
      </c>
      <c r="AB40" s="6">
        <v>29.789652555430301</v>
      </c>
      <c r="AC40" s="6">
        <v>29.8231448893996</v>
      </c>
      <c r="AD40" s="6">
        <v>29.792965576574399</v>
      </c>
      <c r="AE40" s="7">
        <v>1.8548741174889701E-5</v>
      </c>
      <c r="AF40" s="7">
        <v>1.14221140855222E-3</v>
      </c>
      <c r="AG40" s="7">
        <v>1.2975638029625599E-4</v>
      </c>
      <c r="AZ40" s="23"/>
      <c r="BB40" s="12">
        <f t="shared" si="6"/>
        <v>0</v>
      </c>
      <c r="BC40" s="12">
        <f t="shared" si="7"/>
        <v>1</v>
      </c>
      <c r="BD40" s="12">
        <f t="shared" si="8"/>
        <v>1</v>
      </c>
      <c r="BE40" s="12">
        <f t="shared" si="4"/>
        <v>0</v>
      </c>
      <c r="BF40" s="12">
        <f t="shared" si="9"/>
        <v>1</v>
      </c>
      <c r="BG40" s="23">
        <f t="shared" si="10"/>
        <v>-2.5357738637637401E-3</v>
      </c>
      <c r="BH40" s="23">
        <f t="shared" si="11"/>
        <v>2.6963278890425098E-3</v>
      </c>
      <c r="BI40" s="23">
        <f t="shared" si="12"/>
        <v>1.6055402527876978E-4</v>
      </c>
      <c r="BJ40" s="18">
        <f t="shared" si="13"/>
        <v>1.1143531353690786E-3</v>
      </c>
      <c r="BL40" s="23"/>
      <c r="BN40" s="12">
        <f t="shared" si="14"/>
        <v>0</v>
      </c>
      <c r="BO40" s="12">
        <f t="shared" si="15"/>
        <v>1</v>
      </c>
      <c r="BP40" s="12">
        <f t="shared" si="16"/>
        <v>0</v>
      </c>
      <c r="BQ40" s="12">
        <f t="shared" si="5"/>
        <v>0</v>
      </c>
      <c r="BR40" s="12">
        <f t="shared" si="17"/>
        <v>0</v>
      </c>
      <c r="BS40" s="23">
        <f t="shared" si="18"/>
        <v>0</v>
      </c>
      <c r="BT40" s="23">
        <f t="shared" si="19"/>
        <v>0</v>
      </c>
      <c r="BU40" s="23">
        <f t="shared" si="20"/>
        <v>0</v>
      </c>
      <c r="BV40" s="18">
        <f t="shared" si="21"/>
        <v>0</v>
      </c>
      <c r="BX40" s="18">
        <f t="shared" si="22"/>
        <v>1.6055402527876978E-4</v>
      </c>
      <c r="BY40" s="18">
        <f t="shared" si="23"/>
        <v>1.1143531353690786E-3</v>
      </c>
    </row>
    <row r="41" spans="1:102" x14ac:dyDescent="0.3">
      <c r="A41" s="1">
        <v>46083</v>
      </c>
      <c r="B41" s="6">
        <v>27.37</v>
      </c>
      <c r="C41" s="6">
        <v>29.5</v>
      </c>
      <c r="D41" s="7">
        <v>-7.2807019831176399E-3</v>
      </c>
      <c r="E41" s="7">
        <v>-4.3970982396996398E-3</v>
      </c>
      <c r="F41" s="6">
        <v>0.15060000000000001</v>
      </c>
      <c r="G41" s="6">
        <v>0.2979</v>
      </c>
      <c r="H41" s="6">
        <v>0.14050000000000001</v>
      </c>
      <c r="I41" s="6">
        <v>0.29959999999999998</v>
      </c>
      <c r="J41" s="6">
        <v>0.2979</v>
      </c>
      <c r="K41" s="6">
        <v>0.29959999999999998</v>
      </c>
      <c r="L41" s="6">
        <v>27.667899999999999</v>
      </c>
      <c r="M41" s="6">
        <v>29.799600000000002</v>
      </c>
      <c r="N41" s="8">
        <v>1.0778224333211499</v>
      </c>
      <c r="O41" s="8">
        <v>1.0748223497963401</v>
      </c>
      <c r="P41" s="8">
        <v>1.0759404786436799</v>
      </c>
      <c r="Q41" s="8">
        <v>1.0752007769140099</v>
      </c>
      <c r="R41" s="6">
        <v>29.417887713926</v>
      </c>
      <c r="S41" s="6">
        <v>29.444808406820499</v>
      </c>
      <c r="T41" s="6">
        <v>29.422012583686701</v>
      </c>
      <c r="U41" s="7">
        <v>-2.7873483732365799E-3</v>
      </c>
      <c r="V41" s="7">
        <v>-1.87265378580836E-3</v>
      </c>
      <c r="W41" s="7">
        <v>-2.6471418213345199E-3</v>
      </c>
      <c r="X41" s="8">
        <v>1.0770459630112801</v>
      </c>
      <c r="Y41" s="8">
        <v>1.07476747574368</v>
      </c>
      <c r="Z41" s="8">
        <v>1.0758837358190301</v>
      </c>
      <c r="AA41" s="8">
        <v>1.07518746185383</v>
      </c>
      <c r="AB41" s="6">
        <v>29.736559042128501</v>
      </c>
      <c r="AC41" s="6">
        <v>29.7659227301511</v>
      </c>
      <c r="AD41" s="6">
        <v>29.742952822905899</v>
      </c>
      <c r="AE41" s="7">
        <v>-2.1177376050540101E-3</v>
      </c>
      <c r="AF41" s="7">
        <v>-1.1307639686082001E-3</v>
      </c>
      <c r="AG41" s="7">
        <v>-1.90274657363853E-3</v>
      </c>
      <c r="AZ41" s="23"/>
      <c r="BB41" s="12">
        <f t="shared" si="6"/>
        <v>1</v>
      </c>
      <c r="BC41" s="12">
        <f t="shared" si="7"/>
        <v>0</v>
      </c>
      <c r="BD41" s="12">
        <f t="shared" si="8"/>
        <v>0</v>
      </c>
      <c r="BE41" s="12">
        <f t="shared" si="4"/>
        <v>1</v>
      </c>
      <c r="BF41" s="12">
        <f t="shared" si="9"/>
        <v>0</v>
      </c>
      <c r="BG41" s="23">
        <f t="shared" si="10"/>
        <v>0</v>
      </c>
      <c r="BH41" s="23">
        <f t="shared" si="11"/>
        <v>0</v>
      </c>
      <c r="BI41" s="23">
        <f t="shared" si="12"/>
        <v>0</v>
      </c>
      <c r="BJ41" s="18">
        <f t="shared" si="13"/>
        <v>1.1143531353690786E-3</v>
      </c>
      <c r="BL41" s="23"/>
      <c r="BN41" s="12">
        <f t="shared" si="14"/>
        <v>0</v>
      </c>
      <c r="BO41" s="12">
        <f t="shared" si="15"/>
        <v>1</v>
      </c>
      <c r="BP41" s="12">
        <f t="shared" si="16"/>
        <v>0</v>
      </c>
      <c r="BQ41" s="12">
        <f t="shared" si="5"/>
        <v>1</v>
      </c>
      <c r="BR41" s="12">
        <f t="shared" si="17"/>
        <v>0</v>
      </c>
      <c r="BS41" s="23">
        <f t="shared" si="18"/>
        <v>0</v>
      </c>
      <c r="BT41" s="23">
        <f t="shared" si="19"/>
        <v>0</v>
      </c>
      <c r="BU41" s="23">
        <f t="shared" si="20"/>
        <v>0</v>
      </c>
      <c r="BV41" s="18">
        <f t="shared" si="21"/>
        <v>0</v>
      </c>
      <c r="BX41" s="18">
        <f t="shared" si="22"/>
        <v>0</v>
      </c>
      <c r="BY41" s="18">
        <f t="shared" si="23"/>
        <v>1.1143531353690786E-3</v>
      </c>
    </row>
    <row r="42" spans="1:102" x14ac:dyDescent="0.3">
      <c r="A42" s="1">
        <v>46084</v>
      </c>
      <c r="B42" s="6">
        <v>27.23</v>
      </c>
      <c r="C42" s="6">
        <v>29.32</v>
      </c>
      <c r="D42" s="7">
        <v>-5.1282163669194502E-3</v>
      </c>
      <c r="E42" s="7">
        <v>-6.1203863273234099E-3</v>
      </c>
      <c r="F42" s="6">
        <v>0</v>
      </c>
      <c r="G42" s="6">
        <v>0.2979</v>
      </c>
      <c r="H42" s="6">
        <v>0</v>
      </c>
      <c r="I42" s="6">
        <v>0.29959999999999998</v>
      </c>
      <c r="J42" s="6">
        <v>0.2979</v>
      </c>
      <c r="K42" s="6">
        <v>0.29959999999999998</v>
      </c>
      <c r="L42" s="6">
        <v>27.527899999999999</v>
      </c>
      <c r="M42" s="6">
        <v>29.619599999999998</v>
      </c>
      <c r="N42" s="8">
        <v>1.07675358060962</v>
      </c>
      <c r="O42" s="8">
        <v>1.0748223497963401</v>
      </c>
      <c r="P42" s="8">
        <v>1.0759988617318501</v>
      </c>
      <c r="Q42" s="8">
        <v>1.0753772537587001</v>
      </c>
      <c r="R42" s="6">
        <v>29.267412584954499</v>
      </c>
      <c r="S42" s="6">
        <v>29.297859233467499</v>
      </c>
      <c r="T42" s="6">
        <v>29.277717155368499</v>
      </c>
      <c r="U42" s="7">
        <v>-1.79517841283271E-3</v>
      </c>
      <c r="V42" s="7">
        <v>-7.5542736888938695E-4</v>
      </c>
      <c r="W42" s="7">
        <v>-1.44315697001949E-3</v>
      </c>
      <c r="X42" s="8">
        <v>1.0759847282211801</v>
      </c>
      <c r="Y42" s="8">
        <v>1.07476747574368</v>
      </c>
      <c r="Z42" s="8">
        <v>1.0758631404057899</v>
      </c>
      <c r="AA42" s="8">
        <v>1.07532365876465</v>
      </c>
      <c r="AB42" s="6">
        <v>29.586091595524401</v>
      </c>
      <c r="AC42" s="6">
        <v>29.6168198912527</v>
      </c>
      <c r="AD42" s="6">
        <v>29.597652931166198</v>
      </c>
      <c r="AE42" s="7">
        <v>-1.1319319866148799E-3</v>
      </c>
      <c r="AF42" s="7">
        <v>-9.38648471452776E-5</v>
      </c>
      <c r="AG42" s="7">
        <v>-7.4123903937799304E-4</v>
      </c>
      <c r="AZ42" s="23"/>
      <c r="BB42" s="12">
        <f t="shared" si="6"/>
        <v>0</v>
      </c>
      <c r="BC42" s="12">
        <f t="shared" si="7"/>
        <v>0</v>
      </c>
      <c r="BD42" s="12">
        <f t="shared" si="8"/>
        <v>1</v>
      </c>
      <c r="BE42" s="12">
        <f t="shared" si="4"/>
        <v>1</v>
      </c>
      <c r="BF42" s="12">
        <f t="shared" si="9"/>
        <v>1</v>
      </c>
      <c r="BG42" s="23">
        <f t="shared" si="10"/>
        <v>-5.1282163669194502E-3</v>
      </c>
      <c r="BH42" s="23">
        <f t="shared" si="11"/>
        <v>6.1203863273234099E-3</v>
      </c>
      <c r="BI42" s="23">
        <f t="shared" si="12"/>
        <v>9.921699604039597E-4</v>
      </c>
      <c r="BJ42" s="18">
        <f t="shared" si="13"/>
        <v>2.1065230957730383E-3</v>
      </c>
      <c r="BL42" s="23"/>
      <c r="BN42" s="12">
        <f t="shared" si="14"/>
        <v>0</v>
      </c>
      <c r="BO42" s="12">
        <f t="shared" si="15"/>
        <v>1</v>
      </c>
      <c r="BP42" s="12">
        <f t="shared" si="16"/>
        <v>0</v>
      </c>
      <c r="BQ42" s="12">
        <f t="shared" si="5"/>
        <v>1</v>
      </c>
      <c r="BR42" s="12">
        <f t="shared" si="17"/>
        <v>0</v>
      </c>
      <c r="BS42" s="23">
        <f t="shared" si="18"/>
        <v>0</v>
      </c>
      <c r="BT42" s="23">
        <f t="shared" si="19"/>
        <v>0</v>
      </c>
      <c r="BU42" s="23">
        <f t="shared" si="20"/>
        <v>0</v>
      </c>
      <c r="BV42" s="18">
        <f t="shared" si="21"/>
        <v>0</v>
      </c>
      <c r="BX42" s="18">
        <f t="shared" si="22"/>
        <v>9.921699604039597E-4</v>
      </c>
      <c r="BY42" s="18">
        <f t="shared" si="23"/>
        <v>2.1065230957730383E-3</v>
      </c>
    </row>
    <row r="43" spans="1:102" x14ac:dyDescent="0.3">
      <c r="A43" s="1">
        <v>46085</v>
      </c>
      <c r="B43" s="6">
        <v>27.33</v>
      </c>
      <c r="C43" s="6">
        <v>29.41</v>
      </c>
      <c r="D43" s="7">
        <v>3.66569325430826E-3</v>
      </c>
      <c r="E43" s="7">
        <v>3.0648755474529401E-3</v>
      </c>
      <c r="F43" s="6">
        <v>0</v>
      </c>
      <c r="G43" s="6">
        <v>0.2979</v>
      </c>
      <c r="H43" s="6">
        <v>0</v>
      </c>
      <c r="I43" s="6">
        <v>0.29959999999999998</v>
      </c>
      <c r="J43" s="6">
        <v>0.2979</v>
      </c>
      <c r="K43" s="6">
        <v>0.29959999999999998</v>
      </c>
      <c r="L43" s="6">
        <v>27.627899999999901</v>
      </c>
      <c r="M43" s="6">
        <v>29.709599999999998</v>
      </c>
      <c r="N43" s="8">
        <v>1.0761068422978399</v>
      </c>
      <c r="O43" s="8">
        <v>1.0748223497963401</v>
      </c>
      <c r="P43" s="8">
        <v>1.07608149673977</v>
      </c>
      <c r="Q43" s="8">
        <v>1.0755396086240401</v>
      </c>
      <c r="R43" s="6">
        <v>29.374894819934099</v>
      </c>
      <c r="S43" s="6">
        <v>29.407048891131499</v>
      </c>
      <c r="T43" s="6">
        <v>29.390060345225201</v>
      </c>
      <c r="U43" s="7">
        <v>-1.1943607059771899E-3</v>
      </c>
      <c r="V43" s="7">
        <v>-1.00348756919603E-4</v>
      </c>
      <c r="W43" s="7">
        <v>-6.7821888011545899E-4</v>
      </c>
      <c r="X43" s="8">
        <v>1.0753477462999299</v>
      </c>
      <c r="Y43" s="8">
        <v>1.07476747574368</v>
      </c>
      <c r="Z43" s="8">
        <v>1.0758673055093</v>
      </c>
      <c r="AA43" s="8">
        <v>1.07544612429382</v>
      </c>
      <c r="AB43" s="6">
        <v>29.6935683430988</v>
      </c>
      <c r="AC43" s="6">
        <v>29.723839256817101</v>
      </c>
      <c r="AD43" s="6">
        <v>29.708934511984001</v>
      </c>
      <c r="AE43" s="7">
        <v>-5.3975765056174096E-4</v>
      </c>
      <c r="AF43" s="7">
        <v>4.7916651863431198E-4</v>
      </c>
      <c r="AG43" s="7">
        <v>-2.24000144564354E-5</v>
      </c>
      <c r="AZ43" s="23"/>
      <c r="BB43" s="12">
        <f t="shared" si="6"/>
        <v>0</v>
      </c>
      <c r="BC43" s="12">
        <f t="shared" si="7"/>
        <v>0</v>
      </c>
      <c r="BD43" s="12">
        <f t="shared" si="8"/>
        <v>1</v>
      </c>
      <c r="BE43" s="12">
        <f t="shared" si="4"/>
        <v>1</v>
      </c>
      <c r="BF43" s="12">
        <f t="shared" si="9"/>
        <v>1</v>
      </c>
      <c r="BG43" s="23">
        <f t="shared" si="10"/>
        <v>3.66569325430826E-3</v>
      </c>
      <c r="BH43" s="23">
        <f t="shared" si="11"/>
        <v>-3.0648755474529401E-3</v>
      </c>
      <c r="BI43" s="23">
        <f t="shared" si="12"/>
        <v>6.0081770685531995E-4</v>
      </c>
      <c r="BJ43" s="18">
        <f t="shared" si="13"/>
        <v>2.7073408026283582E-3</v>
      </c>
      <c r="BL43" s="23"/>
      <c r="BN43" s="12">
        <f t="shared" si="14"/>
        <v>0</v>
      </c>
      <c r="BO43" s="12">
        <f t="shared" si="15"/>
        <v>1</v>
      </c>
      <c r="BP43" s="12">
        <f t="shared" si="16"/>
        <v>0</v>
      </c>
      <c r="BQ43" s="12">
        <f t="shared" si="5"/>
        <v>1</v>
      </c>
      <c r="BR43" s="12">
        <f t="shared" si="17"/>
        <v>0</v>
      </c>
      <c r="BS43" s="23">
        <f t="shared" si="18"/>
        <v>0</v>
      </c>
      <c r="BT43" s="23">
        <f t="shared" si="19"/>
        <v>0</v>
      </c>
      <c r="BU43" s="23">
        <f t="shared" si="20"/>
        <v>0</v>
      </c>
      <c r="BV43" s="18">
        <f t="shared" si="21"/>
        <v>0</v>
      </c>
      <c r="BX43" s="18">
        <f t="shared" si="22"/>
        <v>6.0081770685531995E-4</v>
      </c>
      <c r="BY43" s="18">
        <f t="shared" si="23"/>
        <v>2.7073408026283582E-3</v>
      </c>
    </row>
    <row r="44" spans="1:102" x14ac:dyDescent="0.3">
      <c r="A44" s="1">
        <v>46086</v>
      </c>
      <c r="B44" s="6">
        <v>27.19</v>
      </c>
      <c r="C44" s="6">
        <v>29.23</v>
      </c>
      <c r="D44" s="7">
        <v>-5.1357412955972299E-3</v>
      </c>
      <c r="E44" s="7">
        <v>-6.1391734427491103E-3</v>
      </c>
      <c r="F44" s="6">
        <v>0</v>
      </c>
      <c r="G44" s="6">
        <v>0.2979</v>
      </c>
      <c r="H44" s="6">
        <v>0</v>
      </c>
      <c r="I44" s="6">
        <v>0.29959999999999998</v>
      </c>
      <c r="J44" s="6">
        <v>0.2979</v>
      </c>
      <c r="K44" s="6">
        <v>0.29959999999999998</v>
      </c>
      <c r="L44" s="6">
        <v>27.4879</v>
      </c>
      <c r="M44" s="6">
        <v>29.529599999999999</v>
      </c>
      <c r="N44" s="8">
        <v>1.0750275836704599</v>
      </c>
      <c r="O44" s="8">
        <v>1.0748223497963401</v>
      </c>
      <c r="P44" s="8">
        <v>1.0759893183979601</v>
      </c>
      <c r="Q44" s="8">
        <v>1.0756271161342199</v>
      </c>
      <c r="R44" s="6">
        <v>29.224419690962598</v>
      </c>
      <c r="S44" s="6">
        <v>29.258655896354501</v>
      </c>
      <c r="T44" s="6">
        <v>29.2439219584878</v>
      </c>
      <c r="U44" s="7">
        <v>-1.9092855882534701E-4</v>
      </c>
      <c r="V44" s="7">
        <v>9.7987885712948197E-4</v>
      </c>
      <c r="W44" s="7">
        <v>4.7617667105744998E-4</v>
      </c>
      <c r="X44" s="8">
        <v>1.07427631794353</v>
      </c>
      <c r="Y44" s="8">
        <v>1.07476747574368</v>
      </c>
      <c r="Z44" s="8">
        <v>1.0756977965741501</v>
      </c>
      <c r="AA44" s="8">
        <v>1.07549424412938</v>
      </c>
      <c r="AB44" s="6">
        <v>29.5431008964947</v>
      </c>
      <c r="AC44" s="6">
        <v>29.573332907108998</v>
      </c>
      <c r="AD44" s="6">
        <v>29.561755519976199</v>
      </c>
      <c r="AE44" s="7">
        <v>4.5709427620162099E-4</v>
      </c>
      <c r="AF44" s="7">
        <v>1.4798898443618199E-3</v>
      </c>
      <c r="AG44" s="7">
        <v>1.0883325612421201E-3</v>
      </c>
      <c r="AZ44" s="23"/>
      <c r="BB44" s="12">
        <f t="shared" si="6"/>
        <v>0</v>
      </c>
      <c r="BC44" s="12">
        <f t="shared" si="7"/>
        <v>1</v>
      </c>
      <c r="BD44" s="12">
        <f t="shared" si="8"/>
        <v>1</v>
      </c>
      <c r="BE44" s="12">
        <f t="shared" si="4"/>
        <v>1</v>
      </c>
      <c r="BF44" s="12">
        <f t="shared" si="9"/>
        <v>1</v>
      </c>
      <c r="BG44" s="23">
        <f t="shared" si="10"/>
        <v>-5.1357412955972299E-3</v>
      </c>
      <c r="BH44" s="23">
        <f t="shared" si="11"/>
        <v>6.1391734427491103E-3</v>
      </c>
      <c r="BI44" s="23">
        <f t="shared" si="12"/>
        <v>1.0034321471518804E-3</v>
      </c>
      <c r="BJ44" s="18">
        <f t="shared" si="13"/>
        <v>3.7107729497802386E-3</v>
      </c>
      <c r="BL44" s="23"/>
      <c r="BN44" s="12">
        <f t="shared" si="14"/>
        <v>0</v>
      </c>
      <c r="BO44" s="12">
        <f t="shared" si="15"/>
        <v>0</v>
      </c>
      <c r="BP44" s="12">
        <f t="shared" si="16"/>
        <v>0</v>
      </c>
      <c r="BQ44" s="12">
        <f t="shared" si="5"/>
        <v>1</v>
      </c>
      <c r="BR44" s="12">
        <f t="shared" si="17"/>
        <v>0</v>
      </c>
      <c r="BS44" s="23">
        <f t="shared" si="18"/>
        <v>0</v>
      </c>
      <c r="BT44" s="23">
        <f t="shared" si="19"/>
        <v>0</v>
      </c>
      <c r="BU44" s="23">
        <f t="shared" si="20"/>
        <v>0</v>
      </c>
      <c r="BV44" s="18">
        <f t="shared" si="21"/>
        <v>0</v>
      </c>
      <c r="BX44" s="18">
        <f t="shared" si="22"/>
        <v>1.0034321471518804E-3</v>
      </c>
      <c r="BY44" s="18">
        <f t="shared" si="23"/>
        <v>3.7107729497802386E-3</v>
      </c>
    </row>
    <row r="45" spans="1:102" x14ac:dyDescent="0.3">
      <c r="A45" s="1">
        <v>46087</v>
      </c>
      <c r="B45" s="6">
        <v>26.98</v>
      </c>
      <c r="C45" s="6">
        <v>29.05</v>
      </c>
      <c r="D45" s="7">
        <v>-7.7534078647695298E-3</v>
      </c>
      <c r="E45" s="7">
        <v>-6.1770958252342903E-3</v>
      </c>
      <c r="F45" s="6">
        <v>0</v>
      </c>
      <c r="G45" s="6">
        <v>0.2979</v>
      </c>
      <c r="H45" s="6">
        <v>0</v>
      </c>
      <c r="I45" s="6">
        <v>0.29959999999999998</v>
      </c>
      <c r="J45" s="6">
        <v>0.2979</v>
      </c>
      <c r="K45" s="6">
        <v>0.29959999999999998</v>
      </c>
      <c r="L45" s="6">
        <v>27.277899999999999</v>
      </c>
      <c r="M45" s="6">
        <v>29.349599999999999</v>
      </c>
      <c r="N45" s="8">
        <v>1.0767234988880601</v>
      </c>
      <c r="O45" s="8">
        <v>1.0748223497963401</v>
      </c>
      <c r="P45" s="8">
        <v>1.0760278043214999</v>
      </c>
      <c r="Q45" s="8">
        <v>1.0757954078669401</v>
      </c>
      <c r="R45" s="6">
        <v>28.998706997505401</v>
      </c>
      <c r="S45" s="6">
        <v>29.030191810377001</v>
      </c>
      <c r="T45" s="6">
        <v>29.020419593301199</v>
      </c>
      <c r="U45" s="7">
        <v>-1.7672405983606299E-3</v>
      </c>
      <c r="V45" s="7">
        <v>-6.8209796743233997E-4</v>
      </c>
      <c r="W45" s="7">
        <v>-1.01877718343896E-3</v>
      </c>
      <c r="X45" s="8">
        <v>1.0759479285428799</v>
      </c>
      <c r="Y45" s="8">
        <v>1.07476747574368</v>
      </c>
      <c r="Z45" s="8">
        <v>1.07565672700208</v>
      </c>
      <c r="AA45" s="8">
        <v>1.07562195242012</v>
      </c>
      <c r="AB45" s="6">
        <v>29.317399726588501</v>
      </c>
      <c r="AC45" s="6">
        <v>29.342776925170199</v>
      </c>
      <c r="AD45" s="6">
        <v>29.3372244419369</v>
      </c>
      <c r="AE45" s="7">
        <v>-1.0977304718155999E-3</v>
      </c>
      <c r="AF45" s="7">
        <v>-2.3250293199802299E-4</v>
      </c>
      <c r="AG45" s="7">
        <v>-4.2174911878968102E-4</v>
      </c>
      <c r="AZ45" s="23"/>
      <c r="BB45" s="12">
        <f t="shared" si="6"/>
        <v>0</v>
      </c>
      <c r="BC45" s="12">
        <f t="shared" si="7"/>
        <v>0</v>
      </c>
      <c r="BD45" s="12">
        <f t="shared" si="8"/>
        <v>0</v>
      </c>
      <c r="BE45" s="12">
        <f t="shared" si="4"/>
        <v>1</v>
      </c>
      <c r="BF45" s="12">
        <f t="shared" si="9"/>
        <v>0</v>
      </c>
      <c r="BG45" s="23">
        <f t="shared" si="10"/>
        <v>0</v>
      </c>
      <c r="BH45" s="23">
        <f t="shared" si="11"/>
        <v>0</v>
      </c>
      <c r="BI45" s="23">
        <f t="shared" si="12"/>
        <v>0</v>
      </c>
      <c r="BJ45" s="18">
        <f t="shared" si="13"/>
        <v>3.7107729497802386E-3</v>
      </c>
      <c r="BL45" s="23"/>
      <c r="BN45" s="12">
        <f t="shared" si="14"/>
        <v>0</v>
      </c>
      <c r="BO45" s="12">
        <f t="shared" si="15"/>
        <v>1</v>
      </c>
      <c r="BP45" s="12">
        <f t="shared" si="16"/>
        <v>0</v>
      </c>
      <c r="BQ45" s="12">
        <f t="shared" si="5"/>
        <v>1</v>
      </c>
      <c r="BR45" s="12">
        <f t="shared" si="17"/>
        <v>0</v>
      </c>
      <c r="BS45" s="23">
        <f t="shared" si="18"/>
        <v>0</v>
      </c>
      <c r="BT45" s="23">
        <f t="shared" si="19"/>
        <v>0</v>
      </c>
      <c r="BU45" s="23">
        <f t="shared" si="20"/>
        <v>0</v>
      </c>
      <c r="BV45" s="18">
        <f t="shared" si="21"/>
        <v>0</v>
      </c>
      <c r="BX45" s="18">
        <f t="shared" si="22"/>
        <v>0</v>
      </c>
      <c r="BY45" s="18">
        <f t="shared" si="23"/>
        <v>3.7107729497802386E-3</v>
      </c>
    </row>
    <row r="46" spans="1:102" x14ac:dyDescent="0.3">
      <c r="A46" s="1">
        <v>46090</v>
      </c>
      <c r="B46" s="6">
        <v>27.12</v>
      </c>
      <c r="C46" s="6">
        <v>29.17</v>
      </c>
      <c r="D46" s="7">
        <v>5.1756122925850998E-3</v>
      </c>
      <c r="E46" s="7">
        <v>4.1223005817097504E-3</v>
      </c>
      <c r="F46" s="6">
        <v>0</v>
      </c>
      <c r="G46" s="6">
        <v>0.2979</v>
      </c>
      <c r="H46" s="6">
        <v>0</v>
      </c>
      <c r="I46" s="6">
        <v>0.29959999999999998</v>
      </c>
      <c r="J46" s="6">
        <v>0.2979</v>
      </c>
      <c r="K46" s="6">
        <v>0.29959999999999998</v>
      </c>
      <c r="L46" s="6">
        <v>27.417899999999999</v>
      </c>
      <c r="M46" s="6">
        <v>29.4696</v>
      </c>
      <c r="N46" s="8">
        <v>1.07558997050147</v>
      </c>
      <c r="O46" s="8">
        <v>1.0748223497963401</v>
      </c>
      <c r="P46" s="8">
        <v>1.0759781057194699</v>
      </c>
      <c r="Q46" s="8">
        <v>1.07584084446123</v>
      </c>
      <c r="R46" s="6">
        <v>29.149182126476902</v>
      </c>
      <c r="S46" s="6">
        <v>29.181874053199099</v>
      </c>
      <c r="T46" s="6">
        <v>29.175571461351499</v>
      </c>
      <c r="U46" s="7">
        <v>-7.1392888748548502E-4</v>
      </c>
      <c r="V46" s="7">
        <v>4.0698104579059403E-4</v>
      </c>
      <c r="W46" s="7">
        <v>1.90981465395012E-4</v>
      </c>
      <c r="X46" s="8">
        <v>1.07483067631</v>
      </c>
      <c r="Y46" s="8">
        <v>1.07476747574368</v>
      </c>
      <c r="Z46" s="8">
        <v>1.0755289640297401</v>
      </c>
      <c r="AA46" s="8">
        <v>1.0756279758777201</v>
      </c>
      <c r="AB46" s="6">
        <v>29.467867173192602</v>
      </c>
      <c r="AC46" s="6">
        <v>29.492248575270501</v>
      </c>
      <c r="AD46" s="6">
        <v>29.491295129259701</v>
      </c>
      <c r="AE46" s="7">
        <v>-5.8802214990150998E-5</v>
      </c>
      <c r="AF46" s="7">
        <v>7.6824512567718304E-4</v>
      </c>
      <c r="AG46" s="7">
        <v>7.3591590464449198E-4</v>
      </c>
      <c r="AZ46" s="23"/>
      <c r="BB46" s="12">
        <f t="shared" si="6"/>
        <v>0</v>
      </c>
      <c r="BC46" s="12">
        <f t="shared" si="7"/>
        <v>1</v>
      </c>
      <c r="BD46" s="12">
        <f t="shared" si="8"/>
        <v>0</v>
      </c>
      <c r="BE46" s="12">
        <f t="shared" si="4"/>
        <v>1</v>
      </c>
      <c r="BF46" s="12">
        <f t="shared" si="9"/>
        <v>0</v>
      </c>
      <c r="BG46" s="23">
        <f t="shared" si="10"/>
        <v>0</v>
      </c>
      <c r="BH46" s="23">
        <f t="shared" si="11"/>
        <v>0</v>
      </c>
      <c r="BI46" s="23">
        <f t="shared" si="12"/>
        <v>0</v>
      </c>
      <c r="BJ46" s="18">
        <f t="shared" si="13"/>
        <v>3.7107729497802386E-3</v>
      </c>
      <c r="BL46" s="23"/>
      <c r="BN46" s="12">
        <f t="shared" si="14"/>
        <v>0</v>
      </c>
      <c r="BO46" s="12">
        <f t="shared" si="15"/>
        <v>1</v>
      </c>
      <c r="BP46" s="12">
        <f t="shared" si="16"/>
        <v>0</v>
      </c>
      <c r="BQ46" s="12">
        <f t="shared" si="5"/>
        <v>1</v>
      </c>
      <c r="BR46" s="12">
        <f t="shared" si="17"/>
        <v>0</v>
      </c>
      <c r="BS46" s="23">
        <f t="shared" si="18"/>
        <v>0</v>
      </c>
      <c r="BT46" s="23">
        <f t="shared" si="19"/>
        <v>0</v>
      </c>
      <c r="BU46" s="23">
        <f t="shared" si="20"/>
        <v>0</v>
      </c>
      <c r="BV46" s="18">
        <f t="shared" si="21"/>
        <v>0</v>
      </c>
      <c r="BX46" s="18">
        <f t="shared" si="22"/>
        <v>0</v>
      </c>
      <c r="BY46" s="18">
        <f t="shared" si="23"/>
        <v>3.7107729497802386E-3</v>
      </c>
    </row>
    <row r="47" spans="1:102" x14ac:dyDescent="0.3">
      <c r="A47" s="1">
        <v>46091</v>
      </c>
      <c r="B47" s="6">
        <v>27.06</v>
      </c>
      <c r="C47" s="6">
        <v>29.12</v>
      </c>
      <c r="D47" s="7">
        <v>-2.2148403295528898E-3</v>
      </c>
      <c r="E47" s="7">
        <v>-1.7155605511448E-3</v>
      </c>
      <c r="F47" s="6">
        <v>0</v>
      </c>
      <c r="G47" s="6">
        <v>0.2979</v>
      </c>
      <c r="H47" s="6">
        <v>0</v>
      </c>
      <c r="I47" s="6">
        <v>0.29959999999999998</v>
      </c>
      <c r="J47" s="6">
        <v>0.2979</v>
      </c>
      <c r="K47" s="6">
        <v>0.29959999999999998</v>
      </c>
      <c r="L47" s="6">
        <v>27.357899999999901</v>
      </c>
      <c r="M47" s="6">
        <v>29.419599999999999</v>
      </c>
      <c r="N47" s="8">
        <v>1.0761271249076101</v>
      </c>
      <c r="O47" s="8">
        <v>1.0748223497963401</v>
      </c>
      <c r="P47" s="8">
        <v>1.0759431197687701</v>
      </c>
      <c r="Q47" s="8">
        <v>1.0759394580675701</v>
      </c>
      <c r="R47" s="6">
        <v>29.0846927854891</v>
      </c>
      <c r="S47" s="6">
        <v>29.115967540768899</v>
      </c>
      <c r="T47" s="6">
        <v>29.112253251121</v>
      </c>
      <c r="U47" s="7">
        <v>-1.21320866589341E-3</v>
      </c>
      <c r="V47" s="7">
        <v>-1.38486897625358E-4</v>
      </c>
      <c r="W47" s="7">
        <v>-2.6606385609880603E-4</v>
      </c>
      <c r="X47" s="8">
        <v>1.0753603163985499</v>
      </c>
      <c r="Y47" s="8">
        <v>1.07476747574368</v>
      </c>
      <c r="Z47" s="8">
        <v>1.0754153686330801</v>
      </c>
      <c r="AA47" s="8">
        <v>1.0756866635998199</v>
      </c>
      <c r="AB47" s="6">
        <v>29.403381124648</v>
      </c>
      <c r="AC47" s="6">
        <v>29.424213845029399</v>
      </c>
      <c r="AD47" s="6">
        <v>29.426922601265201</v>
      </c>
      <c r="AE47" s="7">
        <v>-5.5144691591224701E-4</v>
      </c>
      <c r="AF47" s="7">
        <v>1.56816655394151E-4</v>
      </c>
      <c r="AG47" s="7">
        <v>2.4887116449286899E-4</v>
      </c>
      <c r="AZ47" s="23"/>
      <c r="BB47" s="12">
        <f t="shared" si="6"/>
        <v>0</v>
      </c>
      <c r="BC47" s="12">
        <f t="shared" si="7"/>
        <v>1</v>
      </c>
      <c r="BD47" s="12">
        <f t="shared" si="8"/>
        <v>0</v>
      </c>
      <c r="BE47" s="12">
        <f t="shared" si="4"/>
        <v>1</v>
      </c>
      <c r="BF47" s="12">
        <f t="shared" si="9"/>
        <v>0</v>
      </c>
      <c r="BG47" s="23">
        <f t="shared" si="10"/>
        <v>0</v>
      </c>
      <c r="BH47" s="23">
        <f t="shared" si="11"/>
        <v>0</v>
      </c>
      <c r="BI47" s="23">
        <f t="shared" si="12"/>
        <v>0</v>
      </c>
      <c r="BJ47" s="18">
        <f t="shared" si="13"/>
        <v>3.7107729497802386E-3</v>
      </c>
      <c r="BL47" s="23"/>
      <c r="BN47" s="12">
        <f t="shared" si="14"/>
        <v>0</v>
      </c>
      <c r="BO47" s="12">
        <f t="shared" si="15"/>
        <v>1</v>
      </c>
      <c r="BP47" s="12">
        <f t="shared" si="16"/>
        <v>0</v>
      </c>
      <c r="BQ47" s="12">
        <f t="shared" si="5"/>
        <v>1</v>
      </c>
      <c r="BR47" s="12">
        <f t="shared" si="17"/>
        <v>0</v>
      </c>
      <c r="BS47" s="23">
        <f t="shared" si="18"/>
        <v>0</v>
      </c>
      <c r="BT47" s="23">
        <f t="shared" si="19"/>
        <v>0</v>
      </c>
      <c r="BU47" s="23">
        <f t="shared" si="20"/>
        <v>0</v>
      </c>
      <c r="BV47" s="18">
        <f t="shared" si="21"/>
        <v>0</v>
      </c>
      <c r="BX47" s="18">
        <f t="shared" si="22"/>
        <v>0</v>
      </c>
      <c r="BY47" s="18">
        <f t="shared" si="23"/>
        <v>3.7107729497802386E-3</v>
      </c>
    </row>
    <row r="48" spans="1:102" x14ac:dyDescent="0.3">
      <c r="A48" s="1">
        <v>46092</v>
      </c>
      <c r="B48" s="6">
        <v>26.96</v>
      </c>
      <c r="C48" s="6">
        <v>29.02</v>
      </c>
      <c r="D48" s="7">
        <v>-3.70233669853566E-3</v>
      </c>
      <c r="E48" s="7">
        <v>-3.4399758724435298E-3</v>
      </c>
      <c r="F48" s="6">
        <v>0</v>
      </c>
      <c r="G48" s="6">
        <v>0.2979</v>
      </c>
      <c r="H48" s="6">
        <v>0</v>
      </c>
      <c r="I48" s="6">
        <v>0.29959999999999998</v>
      </c>
      <c r="J48" s="6">
        <v>0.2979</v>
      </c>
      <c r="K48" s="6">
        <v>0.29959999999999998</v>
      </c>
      <c r="L48" s="6">
        <v>27.257899999999999</v>
      </c>
      <c r="M48" s="6">
        <v>29.319600000000001</v>
      </c>
      <c r="N48" s="8">
        <v>1.07640949554896</v>
      </c>
      <c r="O48" s="8">
        <v>1.0748223497963401</v>
      </c>
      <c r="P48" s="8">
        <v>1.07601708887471</v>
      </c>
      <c r="Q48" s="8">
        <v>1.07603672180252</v>
      </c>
      <c r="R48" s="6">
        <v>28.977210550509501</v>
      </c>
      <c r="S48" s="6">
        <v>29.007426508965999</v>
      </c>
      <c r="T48" s="6">
        <v>29.007327789501801</v>
      </c>
      <c r="U48" s="7">
        <v>-1.47556949198559E-3</v>
      </c>
      <c r="V48" s="7">
        <v>-4.3336373805078198E-4</v>
      </c>
      <c r="W48" s="7">
        <v>-4.3676699177197103E-4</v>
      </c>
      <c r="X48" s="8">
        <v>1.0756367878669999</v>
      </c>
      <c r="Y48" s="8">
        <v>1.07476747574368</v>
      </c>
      <c r="Z48" s="8">
        <v>1.07540971226656</v>
      </c>
      <c r="AA48" s="8">
        <v>1.0757437899611999</v>
      </c>
      <c r="AB48" s="6">
        <v>29.295904377073601</v>
      </c>
      <c r="AC48" s="6">
        <v>29.313564576663801</v>
      </c>
      <c r="AD48" s="6">
        <v>29.320959507737701</v>
      </c>
      <c r="AE48" s="7">
        <v>-8.0851046046435796E-4</v>
      </c>
      <c r="AF48" s="7">
        <v>-2.05870633150621E-4</v>
      </c>
      <c r="AG48" s="7">
        <v>4.6367488626779797E-5</v>
      </c>
      <c r="AZ48" s="23"/>
      <c r="BB48" s="12">
        <f t="shared" si="6"/>
        <v>0</v>
      </c>
      <c r="BC48" s="12">
        <f t="shared" si="7"/>
        <v>1</v>
      </c>
      <c r="BD48" s="12">
        <f t="shared" si="8"/>
        <v>0</v>
      </c>
      <c r="BE48" s="12">
        <f t="shared" si="4"/>
        <v>1</v>
      </c>
      <c r="BF48" s="12">
        <f t="shared" si="9"/>
        <v>0</v>
      </c>
      <c r="BG48" s="23">
        <f t="shared" si="10"/>
        <v>0</v>
      </c>
      <c r="BH48" s="23">
        <f t="shared" si="11"/>
        <v>0</v>
      </c>
      <c r="BI48" s="23">
        <f t="shared" si="12"/>
        <v>0</v>
      </c>
      <c r="BJ48" s="18">
        <f t="shared" si="13"/>
        <v>3.7107729497802386E-3</v>
      </c>
      <c r="BL48" s="23"/>
      <c r="BN48" s="12">
        <f t="shared" si="14"/>
        <v>0</v>
      </c>
      <c r="BO48" s="12">
        <f t="shared" si="15"/>
        <v>1</v>
      </c>
      <c r="BP48" s="12">
        <f t="shared" si="16"/>
        <v>0</v>
      </c>
      <c r="BQ48" s="12">
        <f t="shared" si="5"/>
        <v>1</v>
      </c>
      <c r="BR48" s="12">
        <f t="shared" si="17"/>
        <v>0</v>
      </c>
      <c r="BS48" s="23">
        <f t="shared" si="18"/>
        <v>0</v>
      </c>
      <c r="BT48" s="23">
        <f t="shared" si="19"/>
        <v>0</v>
      </c>
      <c r="BU48" s="23">
        <f t="shared" si="20"/>
        <v>0</v>
      </c>
      <c r="BV48" s="18">
        <f t="shared" si="21"/>
        <v>0</v>
      </c>
      <c r="BX48" s="18">
        <f t="shared" si="22"/>
        <v>0</v>
      </c>
      <c r="BY48" s="18">
        <f t="shared" si="23"/>
        <v>3.7107729497802386E-3</v>
      </c>
    </row>
    <row r="49" spans="1:77" x14ac:dyDescent="0.3">
      <c r="A49" s="1">
        <v>46093</v>
      </c>
      <c r="B49" s="6">
        <v>26.75</v>
      </c>
      <c r="C49" s="6">
        <v>28.82</v>
      </c>
      <c r="D49" s="7">
        <v>-7.8198127020907299E-3</v>
      </c>
      <c r="E49" s="7">
        <v>-6.91565688466574E-3</v>
      </c>
      <c r="F49" s="6">
        <v>0</v>
      </c>
      <c r="G49" s="6">
        <v>0.2979</v>
      </c>
      <c r="H49" s="6">
        <v>0</v>
      </c>
      <c r="I49" s="6">
        <v>0.29959999999999998</v>
      </c>
      <c r="J49" s="6">
        <v>0.2979</v>
      </c>
      <c r="K49" s="6">
        <v>0.29959999999999998</v>
      </c>
      <c r="L49" s="6">
        <v>27.047899999999998</v>
      </c>
      <c r="M49" s="6">
        <v>29.119599999999998</v>
      </c>
      <c r="N49" s="8">
        <v>1.0773831775700899</v>
      </c>
      <c r="O49" s="8">
        <v>1.0748223497963401</v>
      </c>
      <c r="P49" s="8">
        <v>1.0762662604667399</v>
      </c>
      <c r="Q49" s="8">
        <v>1.07611002161818</v>
      </c>
      <c r="R49" s="6">
        <v>28.7514978570522</v>
      </c>
      <c r="S49" s="6">
        <v>28.783457127398599</v>
      </c>
      <c r="T49" s="6">
        <v>28.783982308217499</v>
      </c>
      <c r="U49" s="7">
        <v>-2.3797253094105702E-3</v>
      </c>
      <c r="V49" s="7">
        <v>-1.26877376205638E-3</v>
      </c>
      <c r="W49" s="7">
        <v>-1.25052800285568E-3</v>
      </c>
      <c r="X49" s="8">
        <v>1.0765937466494599</v>
      </c>
      <c r="Y49" s="8">
        <v>1.07476747574368</v>
      </c>
      <c r="Z49" s="8">
        <v>1.0755771751588601</v>
      </c>
      <c r="AA49" s="8">
        <v>1.0757765028778099</v>
      </c>
      <c r="AB49" s="6">
        <v>29.070203207167399</v>
      </c>
      <c r="AC49" s="6">
        <v>29.087574356414802</v>
      </c>
      <c r="AD49" s="6">
        <v>29.096610456491501</v>
      </c>
      <c r="AE49" s="7">
        <v>-1.6977821534133E-3</v>
      </c>
      <c r="AF49" s="7">
        <v>-1.1004020439350599E-3</v>
      </c>
      <c r="AG49" s="7">
        <v>-7.8979873554901002E-4</v>
      </c>
      <c r="AZ49" s="23"/>
      <c r="BB49" s="12">
        <f t="shared" si="6"/>
        <v>0</v>
      </c>
      <c r="BC49" s="12">
        <f t="shared" si="7"/>
        <v>0</v>
      </c>
      <c r="BD49" s="12">
        <f t="shared" si="8"/>
        <v>0</v>
      </c>
      <c r="BE49" s="12">
        <f t="shared" si="4"/>
        <v>1</v>
      </c>
      <c r="BF49" s="12">
        <f t="shared" si="9"/>
        <v>0</v>
      </c>
      <c r="BG49" s="23">
        <f t="shared" si="10"/>
        <v>0</v>
      </c>
      <c r="BH49" s="23">
        <f t="shared" si="11"/>
        <v>0</v>
      </c>
      <c r="BI49" s="23">
        <f t="shared" si="12"/>
        <v>0</v>
      </c>
      <c r="BJ49" s="18">
        <f t="shared" si="13"/>
        <v>3.7107729497802386E-3</v>
      </c>
      <c r="BL49" s="23"/>
      <c r="BN49" s="12">
        <f t="shared" si="14"/>
        <v>0</v>
      </c>
      <c r="BO49" s="12">
        <f t="shared" si="15"/>
        <v>1</v>
      </c>
      <c r="BP49" s="12">
        <f t="shared" si="16"/>
        <v>0</v>
      </c>
      <c r="BQ49" s="12">
        <f t="shared" si="5"/>
        <v>1</v>
      </c>
      <c r="BR49" s="12">
        <f t="shared" si="17"/>
        <v>0</v>
      </c>
      <c r="BS49" s="23">
        <f t="shared" si="18"/>
        <v>0</v>
      </c>
      <c r="BT49" s="23">
        <f t="shared" si="19"/>
        <v>0</v>
      </c>
      <c r="BU49" s="23">
        <f t="shared" si="20"/>
        <v>0</v>
      </c>
      <c r="BV49" s="18">
        <f t="shared" si="21"/>
        <v>0</v>
      </c>
      <c r="BX49" s="18">
        <f t="shared" si="22"/>
        <v>0</v>
      </c>
      <c r="BY49" s="18">
        <f t="shared" si="23"/>
        <v>3.7107729497802386E-3</v>
      </c>
    </row>
    <row r="50" spans="1:77" x14ac:dyDescent="0.3">
      <c r="A50" s="1">
        <v>46094</v>
      </c>
      <c r="B50" s="6">
        <v>26.66</v>
      </c>
      <c r="C50" s="6">
        <v>28.72</v>
      </c>
      <c r="D50" s="7">
        <v>-3.3701585914529802E-3</v>
      </c>
      <c r="E50" s="7">
        <v>-3.4758463913526498E-3</v>
      </c>
      <c r="F50" s="6">
        <v>0</v>
      </c>
      <c r="G50" s="6">
        <v>0.2979</v>
      </c>
      <c r="H50" s="6">
        <v>0</v>
      </c>
      <c r="I50" s="6">
        <v>0.29959999999999998</v>
      </c>
      <c r="J50" s="6">
        <v>0.2979</v>
      </c>
      <c r="K50" s="6">
        <v>0.29959999999999998</v>
      </c>
      <c r="L50" s="6">
        <v>26.957899999999999</v>
      </c>
      <c r="M50" s="6">
        <v>29.019600000000001</v>
      </c>
      <c r="N50" s="8">
        <v>1.07726931732933</v>
      </c>
      <c r="O50" s="8">
        <v>1.0748223497963401</v>
      </c>
      <c r="P50" s="8">
        <v>1.07652130246446</v>
      </c>
      <c r="Q50" s="8">
        <v>1.0761636181087399</v>
      </c>
      <c r="R50" s="6">
        <v>28.654763845570599</v>
      </c>
      <c r="S50" s="6">
        <v>28.693258504043499</v>
      </c>
      <c r="T50" s="6">
        <v>28.689093176340901</v>
      </c>
      <c r="U50" s="7">
        <v>-2.2740375095109599E-3</v>
      </c>
      <c r="V50" s="7">
        <v>-9.31544336171012E-4</v>
      </c>
      <c r="W50" s="7">
        <v>-1.0767223425763E-3</v>
      </c>
      <c r="X50" s="8">
        <v>1.0764785090826801</v>
      </c>
      <c r="Y50" s="8">
        <v>1.07476747574368</v>
      </c>
      <c r="Z50" s="8">
        <v>1.0757502720326499</v>
      </c>
      <c r="AA50" s="8">
        <v>1.0757895192935301</v>
      </c>
      <c r="AB50" s="6">
        <v>28.9734741343505</v>
      </c>
      <c r="AC50" s="6">
        <v>28.995301930215199</v>
      </c>
      <c r="AD50" s="6">
        <v>29.0006753869298</v>
      </c>
      <c r="AE50" s="7">
        <v>-1.5907373790587901E-3</v>
      </c>
      <c r="AF50" s="7">
        <v>-8.3764930723135699E-4</v>
      </c>
      <c r="AG50" s="7">
        <v>-6.5234484376514598E-4</v>
      </c>
      <c r="AZ50" s="23"/>
      <c r="BB50" s="12">
        <f t="shared" si="6"/>
        <v>0</v>
      </c>
      <c r="BC50" s="12">
        <f t="shared" si="7"/>
        <v>0</v>
      </c>
      <c r="BD50" s="12">
        <f t="shared" si="8"/>
        <v>0</v>
      </c>
      <c r="BE50" s="12">
        <f t="shared" si="4"/>
        <v>1</v>
      </c>
      <c r="BF50" s="12">
        <f t="shared" si="9"/>
        <v>0</v>
      </c>
      <c r="BG50" s="23">
        <f t="shared" si="10"/>
        <v>0</v>
      </c>
      <c r="BH50" s="23">
        <f t="shared" si="11"/>
        <v>0</v>
      </c>
      <c r="BI50" s="23">
        <f t="shared" si="12"/>
        <v>0</v>
      </c>
      <c r="BJ50" s="18">
        <f t="shared" si="13"/>
        <v>3.7107729497802386E-3</v>
      </c>
      <c r="BL50" s="23"/>
      <c r="BN50" s="12">
        <f t="shared" si="14"/>
        <v>0</v>
      </c>
      <c r="BO50" s="12">
        <f t="shared" si="15"/>
        <v>1</v>
      </c>
      <c r="BP50" s="12">
        <f t="shared" si="16"/>
        <v>0</v>
      </c>
      <c r="BQ50" s="12">
        <f t="shared" si="5"/>
        <v>1</v>
      </c>
      <c r="BR50" s="12">
        <f t="shared" si="17"/>
        <v>0</v>
      </c>
      <c r="BS50" s="23">
        <f t="shared" si="18"/>
        <v>0</v>
      </c>
      <c r="BT50" s="23">
        <f t="shared" si="19"/>
        <v>0</v>
      </c>
      <c r="BU50" s="23">
        <f t="shared" si="20"/>
        <v>0</v>
      </c>
      <c r="BV50" s="18">
        <f t="shared" si="21"/>
        <v>0</v>
      </c>
      <c r="BX50" s="18">
        <f t="shared" si="22"/>
        <v>0</v>
      </c>
      <c r="BY50" s="18">
        <f t="shared" si="23"/>
        <v>3.7107729497802386E-3</v>
      </c>
    </row>
    <row r="51" spans="1:77" x14ac:dyDescent="0.3">
      <c r="A51" s="1">
        <v>46097</v>
      </c>
      <c r="B51" s="6">
        <v>26.76</v>
      </c>
      <c r="C51" s="6">
        <v>28.79</v>
      </c>
      <c r="D51" s="7">
        <v>3.74392050946506E-3</v>
      </c>
      <c r="E51" s="7">
        <v>2.4343604440611399E-3</v>
      </c>
      <c r="F51" s="6">
        <v>0</v>
      </c>
      <c r="G51" s="6">
        <v>0.2979</v>
      </c>
      <c r="H51" s="6">
        <v>0</v>
      </c>
      <c r="I51" s="6">
        <v>0.29959999999999998</v>
      </c>
      <c r="J51" s="6">
        <v>0.2979</v>
      </c>
      <c r="K51" s="6">
        <v>0.29959999999999998</v>
      </c>
      <c r="L51" s="6">
        <v>27.0579</v>
      </c>
      <c r="M51" s="6">
        <v>29.089600000000001</v>
      </c>
      <c r="N51" s="8">
        <v>1.07585949177877</v>
      </c>
      <c r="O51" s="8">
        <v>1.0748223497963401</v>
      </c>
      <c r="P51" s="8">
        <v>1.07632500831022</v>
      </c>
      <c r="Q51" s="8">
        <v>1.0761327434769501</v>
      </c>
      <c r="R51" s="6">
        <v>28.762246080550199</v>
      </c>
      <c r="S51" s="6">
        <v>28.807710053948998</v>
      </c>
      <c r="T51" s="6">
        <v>28.798138420590099</v>
      </c>
      <c r="U51" s="7">
        <v>-9.6447744410678004E-4</v>
      </c>
      <c r="V51" s="7">
        <v>6.1495689639578296E-4</v>
      </c>
      <c r="W51" s="7">
        <v>2.8264225472492301E-4</v>
      </c>
      <c r="X51" s="8">
        <v>1.07508712797371</v>
      </c>
      <c r="Y51" s="8">
        <v>1.07476747574368</v>
      </c>
      <c r="Z51" s="8">
        <v>1.0755543885288901</v>
      </c>
      <c r="AA51" s="8">
        <v>1.0757190621739601</v>
      </c>
      <c r="AB51" s="6">
        <v>29.080950881924899</v>
      </c>
      <c r="AC51" s="6">
        <v>29.1075432856323</v>
      </c>
      <c r="AD51" s="6">
        <v>29.1086052340926</v>
      </c>
      <c r="AE51" s="7">
        <v>-2.9737102391764201E-4</v>
      </c>
      <c r="AF51" s="7">
        <v>6.1663804055905099E-4</v>
      </c>
      <c r="AG51" s="7">
        <v>6.5312099202210995E-4</v>
      </c>
      <c r="AZ51" s="23"/>
      <c r="BB51" s="12">
        <f t="shared" si="6"/>
        <v>0</v>
      </c>
      <c r="BC51" s="12">
        <f t="shared" si="7"/>
        <v>1</v>
      </c>
      <c r="BD51" s="12">
        <f t="shared" si="8"/>
        <v>0</v>
      </c>
      <c r="BE51" s="12">
        <f t="shared" si="4"/>
        <v>1</v>
      </c>
      <c r="BF51" s="12">
        <f t="shared" si="9"/>
        <v>0</v>
      </c>
      <c r="BG51" s="23">
        <f t="shared" si="10"/>
        <v>0</v>
      </c>
      <c r="BH51" s="23">
        <f t="shared" si="11"/>
        <v>0</v>
      </c>
      <c r="BI51" s="23">
        <f t="shared" si="12"/>
        <v>0</v>
      </c>
      <c r="BJ51" s="18">
        <f t="shared" si="13"/>
        <v>3.7107729497802386E-3</v>
      </c>
      <c r="BL51" s="23"/>
      <c r="BN51" s="12">
        <f t="shared" si="14"/>
        <v>0</v>
      </c>
      <c r="BO51" s="12">
        <f t="shared" si="15"/>
        <v>1</v>
      </c>
      <c r="BP51" s="12">
        <f t="shared" si="16"/>
        <v>0</v>
      </c>
      <c r="BQ51" s="12">
        <f t="shared" si="5"/>
        <v>1</v>
      </c>
      <c r="BR51" s="12">
        <f t="shared" si="17"/>
        <v>0</v>
      </c>
      <c r="BS51" s="23">
        <f t="shared" si="18"/>
        <v>0</v>
      </c>
      <c r="BT51" s="23">
        <f t="shared" si="19"/>
        <v>0</v>
      </c>
      <c r="BU51" s="23">
        <f t="shared" si="20"/>
        <v>0</v>
      </c>
      <c r="BV51" s="18">
        <f t="shared" si="21"/>
        <v>0</v>
      </c>
      <c r="BX51" s="18">
        <f t="shared" si="22"/>
        <v>0</v>
      </c>
      <c r="BY51" s="18">
        <f t="shared" si="23"/>
        <v>3.7107729497802386E-3</v>
      </c>
    </row>
    <row r="52" spans="1:77" x14ac:dyDescent="0.3">
      <c r="A52" s="1">
        <v>46098</v>
      </c>
      <c r="B52" s="6">
        <v>26.88</v>
      </c>
      <c r="C52" s="6">
        <v>28.9</v>
      </c>
      <c r="D52" s="7">
        <v>4.4742803949210999E-3</v>
      </c>
      <c r="E52" s="7">
        <v>3.8134904943019098E-3</v>
      </c>
      <c r="F52" s="6">
        <v>0</v>
      </c>
      <c r="G52" s="6">
        <v>0.2979</v>
      </c>
      <c r="H52" s="6">
        <v>0</v>
      </c>
      <c r="I52" s="6">
        <v>0.29959999999999998</v>
      </c>
      <c r="J52" s="6">
        <v>0.2979</v>
      </c>
      <c r="K52" s="6">
        <v>0.29959999999999998</v>
      </c>
      <c r="L52" s="6">
        <v>27.177899999999902</v>
      </c>
      <c r="M52" s="6">
        <v>29.1996</v>
      </c>
      <c r="N52" s="8">
        <v>1.0751488095238</v>
      </c>
      <c r="O52" s="8">
        <v>1.0748223497963401</v>
      </c>
      <c r="P52" s="8">
        <v>1.0761645312016399</v>
      </c>
      <c r="Q52" s="8">
        <v>1.0760816964667399</v>
      </c>
      <c r="R52" s="6">
        <v>28.891224762525798</v>
      </c>
      <c r="S52" s="6">
        <v>28.9316162233788</v>
      </c>
      <c r="T52" s="6">
        <v>28.926448144660501</v>
      </c>
      <c r="U52" s="7">
        <v>-3.0368754348782801E-4</v>
      </c>
      <c r="V52" s="7">
        <v>1.0933890004552901E-3</v>
      </c>
      <c r="W52" s="7">
        <v>9.14742210644203E-4</v>
      </c>
      <c r="X52" s="8">
        <v>1.0743876458446</v>
      </c>
      <c r="Y52" s="8">
        <v>1.07476747574368</v>
      </c>
      <c r="Z52" s="8">
        <v>1.07539468029123</v>
      </c>
      <c r="AA52" s="8">
        <v>1.0756289103485099</v>
      </c>
      <c r="AB52" s="6">
        <v>29.209922979014099</v>
      </c>
      <c r="AC52" s="6">
        <v>29.2313096159994</v>
      </c>
      <c r="AD52" s="6">
        <v>29.2357850998578</v>
      </c>
      <c r="AE52" s="7">
        <v>3.5346904392153001E-4</v>
      </c>
      <c r="AF52" s="7">
        <v>1.0853714008829101E-3</v>
      </c>
      <c r="AG52" s="7">
        <v>1.2384655092463101E-3</v>
      </c>
      <c r="AZ52" s="23"/>
      <c r="BB52" s="12">
        <f t="shared" si="6"/>
        <v>0</v>
      </c>
      <c r="BC52" s="12">
        <f t="shared" si="7"/>
        <v>1</v>
      </c>
      <c r="BD52" s="12">
        <f t="shared" si="8"/>
        <v>0</v>
      </c>
      <c r="BE52" s="12">
        <f t="shared" si="4"/>
        <v>1</v>
      </c>
      <c r="BF52" s="12">
        <f t="shared" si="9"/>
        <v>0</v>
      </c>
      <c r="BG52" s="23">
        <f t="shared" si="10"/>
        <v>0</v>
      </c>
      <c r="BH52" s="23">
        <f t="shared" si="11"/>
        <v>0</v>
      </c>
      <c r="BI52" s="23">
        <f t="shared" si="12"/>
        <v>0</v>
      </c>
      <c r="BJ52" s="18">
        <f t="shared" si="13"/>
        <v>3.7107729497802386E-3</v>
      </c>
      <c r="BL52" s="23"/>
      <c r="BN52" s="12">
        <f t="shared" si="14"/>
        <v>0</v>
      </c>
      <c r="BO52" s="12">
        <f t="shared" si="15"/>
        <v>0</v>
      </c>
      <c r="BP52" s="12">
        <f t="shared" si="16"/>
        <v>0</v>
      </c>
      <c r="BQ52" s="12">
        <f t="shared" si="5"/>
        <v>1</v>
      </c>
      <c r="BR52" s="12">
        <f t="shared" si="17"/>
        <v>0</v>
      </c>
      <c r="BS52" s="23">
        <f t="shared" si="18"/>
        <v>0</v>
      </c>
      <c r="BT52" s="23">
        <f t="shared" si="19"/>
        <v>0</v>
      </c>
      <c r="BU52" s="23">
        <f t="shared" si="20"/>
        <v>0</v>
      </c>
      <c r="BV52" s="18">
        <f t="shared" si="21"/>
        <v>0</v>
      </c>
      <c r="BX52" s="18">
        <f t="shared" si="22"/>
        <v>0</v>
      </c>
      <c r="BY52" s="18">
        <f t="shared" si="23"/>
        <v>3.7107729497802386E-3</v>
      </c>
    </row>
    <row r="53" spans="1:77" x14ac:dyDescent="0.3">
      <c r="A53" s="1">
        <v>46099</v>
      </c>
      <c r="B53" s="6">
        <v>26.7</v>
      </c>
      <c r="C53" s="6">
        <v>28.75</v>
      </c>
      <c r="D53" s="7">
        <v>-6.7189502487449799E-3</v>
      </c>
      <c r="E53" s="7">
        <v>-5.2038278750269904E-3</v>
      </c>
      <c r="F53" s="6">
        <v>0</v>
      </c>
      <c r="G53" s="6">
        <v>0.2979</v>
      </c>
      <c r="H53" s="6">
        <v>0</v>
      </c>
      <c r="I53" s="6">
        <v>0.29959999999999998</v>
      </c>
      <c r="J53" s="6">
        <v>0.2979</v>
      </c>
      <c r="K53" s="6">
        <v>0.29959999999999998</v>
      </c>
      <c r="L53" s="6">
        <v>26.997899999999898</v>
      </c>
      <c r="M53" s="6">
        <v>29.049600000000002</v>
      </c>
      <c r="N53" s="8">
        <v>1.0767790262172201</v>
      </c>
      <c r="O53" s="8">
        <v>1.0748223497963401</v>
      </c>
      <c r="P53" s="8">
        <v>1.07623174959358</v>
      </c>
      <c r="Q53" s="8">
        <v>1.0761566231666699</v>
      </c>
      <c r="R53" s="6">
        <v>28.697756739562401</v>
      </c>
      <c r="S53" s="6">
        <v>28.733592983083799</v>
      </c>
      <c r="T53" s="6">
        <v>28.7313812956621</v>
      </c>
      <c r="U53" s="7">
        <v>-1.8188099172057801E-3</v>
      </c>
      <c r="V53" s="7">
        <v>-5.7084174840938795E-4</v>
      </c>
      <c r="W53" s="7">
        <v>-6.4781689546402005E-4</v>
      </c>
      <c r="X53" s="8">
        <v>1.0759947995955199</v>
      </c>
      <c r="Y53" s="8">
        <v>1.07476747574368</v>
      </c>
      <c r="Z53" s="8">
        <v>1.0754593856207899</v>
      </c>
      <c r="AA53" s="8">
        <v>1.07566334556504</v>
      </c>
      <c r="AB53" s="6">
        <v>29.016464833380301</v>
      </c>
      <c r="AC53" s="6">
        <v>29.0333980390348</v>
      </c>
      <c r="AD53" s="6">
        <v>29.0397217586981</v>
      </c>
      <c r="AE53" s="7">
        <v>-1.14129208898358E-3</v>
      </c>
      <c r="AF53" s="7">
        <v>-5.5788998269473396E-4</v>
      </c>
      <c r="AG53" s="7">
        <v>-3.4010524130799301E-4</v>
      </c>
      <c r="AZ53" s="23"/>
      <c r="BB53" s="12">
        <f t="shared" si="6"/>
        <v>0</v>
      </c>
      <c r="BC53" s="12">
        <f t="shared" si="7"/>
        <v>0</v>
      </c>
      <c r="BD53" s="12">
        <f t="shared" si="8"/>
        <v>0</v>
      </c>
      <c r="BE53" s="12">
        <f t="shared" si="4"/>
        <v>1</v>
      </c>
      <c r="BF53" s="12">
        <f t="shared" si="9"/>
        <v>0</v>
      </c>
      <c r="BG53" s="23">
        <f t="shared" si="10"/>
        <v>0</v>
      </c>
      <c r="BH53" s="23">
        <f t="shared" si="11"/>
        <v>0</v>
      </c>
      <c r="BI53" s="23">
        <f t="shared" si="12"/>
        <v>0</v>
      </c>
      <c r="BJ53" s="18">
        <f t="shared" si="13"/>
        <v>3.7107729497802386E-3</v>
      </c>
      <c r="BL53" s="23"/>
      <c r="BN53" s="12">
        <f t="shared" si="14"/>
        <v>0</v>
      </c>
      <c r="BO53" s="12">
        <f t="shared" si="15"/>
        <v>1</v>
      </c>
      <c r="BP53" s="12">
        <f t="shared" si="16"/>
        <v>0</v>
      </c>
      <c r="BQ53" s="12">
        <f t="shared" si="5"/>
        <v>1</v>
      </c>
      <c r="BR53" s="12">
        <f t="shared" si="17"/>
        <v>0</v>
      </c>
      <c r="BS53" s="23">
        <f t="shared" si="18"/>
        <v>0</v>
      </c>
      <c r="BT53" s="23">
        <f t="shared" si="19"/>
        <v>0</v>
      </c>
      <c r="BU53" s="23">
        <f t="shared" si="20"/>
        <v>0</v>
      </c>
      <c r="BV53" s="18">
        <f t="shared" si="21"/>
        <v>0</v>
      </c>
      <c r="BX53" s="18">
        <f t="shared" si="22"/>
        <v>0</v>
      </c>
      <c r="BY53" s="18">
        <f t="shared" si="23"/>
        <v>3.7107729497802386E-3</v>
      </c>
    </row>
    <row r="54" spans="1:77" x14ac:dyDescent="0.3">
      <c r="A54" s="1">
        <v>46100</v>
      </c>
      <c r="B54" s="6">
        <v>26.78</v>
      </c>
      <c r="C54" s="6">
        <v>28.8</v>
      </c>
      <c r="D54" s="7">
        <v>2.9917748568226502E-3</v>
      </c>
      <c r="E54" s="7">
        <v>1.7376198985408701E-3</v>
      </c>
      <c r="F54" s="6">
        <v>0</v>
      </c>
      <c r="G54" s="6">
        <v>0.2979</v>
      </c>
      <c r="H54" s="6">
        <v>0</v>
      </c>
      <c r="I54" s="6">
        <v>0.29959999999999998</v>
      </c>
      <c r="J54" s="6">
        <v>0.2979</v>
      </c>
      <c r="K54" s="6">
        <v>0.29959999999999998</v>
      </c>
      <c r="L54" s="6">
        <v>27.0779</v>
      </c>
      <c r="M54" s="6">
        <v>29.099599999999999</v>
      </c>
      <c r="N54" s="8">
        <v>1.07542942494398</v>
      </c>
      <c r="O54" s="8">
        <v>1.0748223497963401</v>
      </c>
      <c r="P54" s="8">
        <v>1.0762719337209301</v>
      </c>
      <c r="Q54" s="8">
        <v>1.0761306260594401</v>
      </c>
      <c r="R54" s="6">
        <v>28.783742527546099</v>
      </c>
      <c r="S54" s="6">
        <v>28.821486254116099</v>
      </c>
      <c r="T54" s="6">
        <v>28.819474368403601</v>
      </c>
      <c r="U54" s="7">
        <v>-5.6465495892389997E-4</v>
      </c>
      <c r="V54" s="7">
        <v>7.4577233281384605E-4</v>
      </c>
      <c r="W54" s="7">
        <v>6.7596483163592997E-4</v>
      </c>
      <c r="X54" s="8">
        <v>1.0746623630340599</v>
      </c>
      <c r="Y54" s="8">
        <v>1.07476747574368</v>
      </c>
      <c r="Z54" s="8">
        <v>1.07549799012984</v>
      </c>
      <c r="AA54" s="8">
        <v>1.0755978933520001</v>
      </c>
      <c r="AB54" s="6">
        <v>29.102446231439799</v>
      </c>
      <c r="AC54" s="6">
        <v>29.121181697901299</v>
      </c>
      <c r="AD54" s="6">
        <v>29.1267045048758</v>
      </c>
      <c r="AE54" s="7">
        <v>9.7805201925491305E-5</v>
      </c>
      <c r="AF54" s="7">
        <v>7.4137441169544699E-4</v>
      </c>
      <c r="AG54" s="7">
        <v>9.3100556746943E-4</v>
      </c>
      <c r="AZ54" s="23"/>
      <c r="BB54" s="12">
        <f t="shared" si="6"/>
        <v>0</v>
      </c>
      <c r="BC54" s="12">
        <f t="shared" si="7"/>
        <v>1</v>
      </c>
      <c r="BD54" s="12">
        <f t="shared" si="8"/>
        <v>0</v>
      </c>
      <c r="BE54" s="12">
        <f t="shared" si="4"/>
        <v>1</v>
      </c>
      <c r="BF54" s="12">
        <f t="shared" si="9"/>
        <v>0</v>
      </c>
      <c r="BG54" s="23">
        <f t="shared" si="10"/>
        <v>0</v>
      </c>
      <c r="BH54" s="23">
        <f t="shared" si="11"/>
        <v>0</v>
      </c>
      <c r="BI54" s="23">
        <f t="shared" si="12"/>
        <v>0</v>
      </c>
      <c r="BJ54" s="18">
        <f t="shared" si="13"/>
        <v>3.7107729497802386E-3</v>
      </c>
      <c r="BL54" s="23"/>
      <c r="BN54" s="12">
        <f t="shared" si="14"/>
        <v>0</v>
      </c>
      <c r="BO54" s="12">
        <f t="shared" si="15"/>
        <v>1</v>
      </c>
      <c r="BP54" s="12">
        <f t="shared" si="16"/>
        <v>0</v>
      </c>
      <c r="BQ54" s="12">
        <f t="shared" si="5"/>
        <v>1</v>
      </c>
      <c r="BR54" s="12">
        <f t="shared" si="17"/>
        <v>0</v>
      </c>
      <c r="BS54" s="23">
        <f t="shared" si="18"/>
        <v>0</v>
      </c>
      <c r="BT54" s="23">
        <f t="shared" si="19"/>
        <v>0</v>
      </c>
      <c r="BU54" s="23">
        <f t="shared" si="20"/>
        <v>0</v>
      </c>
      <c r="BV54" s="18">
        <f t="shared" si="21"/>
        <v>0</v>
      </c>
      <c r="BX54" s="18">
        <f t="shared" si="22"/>
        <v>0</v>
      </c>
      <c r="BY54" s="18">
        <f t="shared" si="23"/>
        <v>3.7107729497802386E-3</v>
      </c>
    </row>
    <row r="55" spans="1:77" x14ac:dyDescent="0.3">
      <c r="A55" s="1">
        <v>46101</v>
      </c>
      <c r="B55" s="6">
        <v>26.46</v>
      </c>
      <c r="C55" s="6">
        <v>28.46</v>
      </c>
      <c r="D55" s="7">
        <v>-1.2021181576216801E-2</v>
      </c>
      <c r="E55" s="7">
        <v>-1.18757944801938E-2</v>
      </c>
      <c r="F55" s="6">
        <v>0</v>
      </c>
      <c r="G55" s="6">
        <v>0.2979</v>
      </c>
      <c r="H55" s="6">
        <v>0</v>
      </c>
      <c r="I55" s="6">
        <v>0.29959999999999998</v>
      </c>
      <c r="J55" s="6">
        <v>0.2979</v>
      </c>
      <c r="K55" s="6">
        <v>0.29959999999999998</v>
      </c>
      <c r="L55" s="6">
        <v>26.757899999999999</v>
      </c>
      <c r="M55" s="6">
        <v>28.759599999999999</v>
      </c>
      <c r="N55" s="8">
        <v>1.0755857898715</v>
      </c>
      <c r="O55" s="8">
        <v>1.0748223497963401</v>
      </c>
      <c r="P55" s="8">
        <v>1.07615816281927</v>
      </c>
      <c r="Q55" s="8">
        <v>1.0760929835703801</v>
      </c>
      <c r="R55" s="6">
        <v>28.439799375611301</v>
      </c>
      <c r="S55" s="6">
        <v>28.478155366255901</v>
      </c>
      <c r="T55" s="6">
        <v>28.474416365532999</v>
      </c>
      <c r="U55" s="7">
        <v>-7.1004205494675096E-4</v>
      </c>
      <c r="V55" s="7">
        <v>6.3772234117646497E-4</v>
      </c>
      <c r="W55" s="7">
        <v>5.0642007985267498E-4</v>
      </c>
      <c r="X55" s="8">
        <v>1.07480781376714</v>
      </c>
      <c r="Y55" s="8">
        <v>1.07476747574368</v>
      </c>
      <c r="Z55" s="8">
        <v>1.0753839786522701</v>
      </c>
      <c r="AA55" s="8">
        <v>1.0755203528271799</v>
      </c>
      <c r="AB55" s="6">
        <v>28.758520639201802</v>
      </c>
      <c r="AC55" s="6">
        <v>28.7780676700954</v>
      </c>
      <c r="AD55" s="6">
        <v>28.780740870523498</v>
      </c>
      <c r="AE55" s="7">
        <v>-3.7531156661804199E-5</v>
      </c>
      <c r="AF55" s="7">
        <v>6.41933240518388E-4</v>
      </c>
      <c r="AG55" s="7">
        <v>7.3481912533035596E-4</v>
      </c>
      <c r="AZ55" s="23"/>
      <c r="BB55" s="12">
        <f t="shared" si="6"/>
        <v>0</v>
      </c>
      <c r="BC55" s="12">
        <f t="shared" si="7"/>
        <v>1</v>
      </c>
      <c r="BD55" s="12">
        <f t="shared" si="8"/>
        <v>0</v>
      </c>
      <c r="BE55" s="12">
        <f t="shared" si="4"/>
        <v>1</v>
      </c>
      <c r="BF55" s="12">
        <f t="shared" si="9"/>
        <v>0</v>
      </c>
      <c r="BG55" s="23">
        <f t="shared" si="10"/>
        <v>0</v>
      </c>
      <c r="BH55" s="23">
        <f t="shared" si="11"/>
        <v>0</v>
      </c>
      <c r="BI55" s="23">
        <f t="shared" si="12"/>
        <v>0</v>
      </c>
      <c r="BJ55" s="18">
        <f t="shared" si="13"/>
        <v>3.7107729497802386E-3</v>
      </c>
      <c r="BL55" s="23"/>
      <c r="BN55" s="12">
        <f t="shared" si="14"/>
        <v>0</v>
      </c>
      <c r="BO55" s="12">
        <f t="shared" si="15"/>
        <v>1</v>
      </c>
      <c r="BP55" s="12">
        <f t="shared" si="16"/>
        <v>0</v>
      </c>
      <c r="BQ55" s="12">
        <f t="shared" si="5"/>
        <v>1</v>
      </c>
      <c r="BR55" s="12">
        <f t="shared" si="17"/>
        <v>0</v>
      </c>
      <c r="BS55" s="23">
        <f t="shared" si="18"/>
        <v>0</v>
      </c>
      <c r="BT55" s="23">
        <f t="shared" si="19"/>
        <v>0</v>
      </c>
      <c r="BU55" s="23">
        <f t="shared" si="20"/>
        <v>0</v>
      </c>
      <c r="BV55" s="18">
        <f t="shared" si="21"/>
        <v>0</v>
      </c>
      <c r="BX55" s="18">
        <f t="shared" si="22"/>
        <v>0</v>
      </c>
      <c r="BY55" s="18">
        <f t="shared" si="23"/>
        <v>3.7107729497802386E-3</v>
      </c>
    </row>
    <row r="56" spans="1:77" x14ac:dyDescent="0.3">
      <c r="A56" s="1">
        <v>46104</v>
      </c>
      <c r="B56" s="6">
        <v>26.68</v>
      </c>
      <c r="C56" s="6">
        <v>28.67</v>
      </c>
      <c r="D56" s="7">
        <v>8.2800623606133009E-3</v>
      </c>
      <c r="E56" s="7">
        <v>7.3516872335721902E-3</v>
      </c>
      <c r="F56" s="6">
        <v>0</v>
      </c>
      <c r="G56" s="6">
        <v>0.2979</v>
      </c>
      <c r="H56" s="6">
        <v>0</v>
      </c>
      <c r="I56" s="6">
        <v>0.29959999999999998</v>
      </c>
      <c r="J56" s="6">
        <v>0.2979</v>
      </c>
      <c r="K56" s="6">
        <v>0.29959999999999998</v>
      </c>
      <c r="L56" s="6">
        <v>26.977899999999899</v>
      </c>
      <c r="M56" s="6">
        <v>28.9696</v>
      </c>
      <c r="N56" s="8">
        <v>1.07458770614692</v>
      </c>
      <c r="O56" s="8">
        <v>1.0748223497963401</v>
      </c>
      <c r="P56" s="8">
        <v>1.0760579363838201</v>
      </c>
      <c r="Q56" s="8">
        <v>1.0760180210516399</v>
      </c>
      <c r="R56" s="6">
        <v>28.6762602925665</v>
      </c>
      <c r="S56" s="6">
        <v>28.7118997840183</v>
      </c>
      <c r="T56" s="6">
        <v>28.710160801657899</v>
      </c>
      <c r="U56" s="7">
        <v>2.18333072094232E-4</v>
      </c>
      <c r="V56" s="7">
        <v>1.4603835572802499E-3</v>
      </c>
      <c r="W56" s="7">
        <v>1.39981511570418E-3</v>
      </c>
      <c r="X56" s="8">
        <v>1.0738270955115099</v>
      </c>
      <c r="Y56" s="8">
        <v>1.07476747574368</v>
      </c>
      <c r="Z56" s="8">
        <v>1.0752836205724201</v>
      </c>
      <c r="AA56" s="8">
        <v>1.0754062923010801</v>
      </c>
      <c r="AB56" s="6">
        <v>28.9949694838654</v>
      </c>
      <c r="AC56" s="6">
        <v>29.011601437683201</v>
      </c>
      <c r="AD56" s="6">
        <v>29.015280526536401</v>
      </c>
      <c r="AE56" s="7">
        <v>8.7534456690453505E-4</v>
      </c>
      <c r="AF56" s="7">
        <v>1.4487952642768501E-3</v>
      </c>
      <c r="AG56" s="7">
        <v>1.5756016248314601E-3</v>
      </c>
      <c r="AZ56" s="23"/>
      <c r="BB56" s="12">
        <f t="shared" si="6"/>
        <v>0</v>
      </c>
      <c r="BC56" s="12">
        <f t="shared" si="7"/>
        <v>1</v>
      </c>
      <c r="BD56" s="12">
        <f t="shared" si="8"/>
        <v>0</v>
      </c>
      <c r="BE56" s="12">
        <f t="shared" si="4"/>
        <v>1</v>
      </c>
      <c r="BF56" s="12">
        <f t="shared" si="9"/>
        <v>0</v>
      </c>
      <c r="BG56" s="23">
        <f t="shared" si="10"/>
        <v>0</v>
      </c>
      <c r="BH56" s="23">
        <f t="shared" si="11"/>
        <v>0</v>
      </c>
      <c r="BI56" s="23">
        <f t="shared" si="12"/>
        <v>0</v>
      </c>
      <c r="BJ56" s="18">
        <f t="shared" si="13"/>
        <v>3.7107729497802386E-3</v>
      </c>
      <c r="BL56" s="23"/>
      <c r="BN56" s="12">
        <f t="shared" si="14"/>
        <v>0</v>
      </c>
      <c r="BO56" s="12">
        <f t="shared" si="15"/>
        <v>0</v>
      </c>
      <c r="BP56" s="12">
        <f t="shared" si="16"/>
        <v>0</v>
      </c>
      <c r="BQ56" s="12">
        <f t="shared" si="5"/>
        <v>1</v>
      </c>
      <c r="BR56" s="12">
        <f t="shared" si="17"/>
        <v>0</v>
      </c>
      <c r="BS56" s="23">
        <f t="shared" si="18"/>
        <v>0</v>
      </c>
      <c r="BT56" s="23">
        <f t="shared" si="19"/>
        <v>0</v>
      </c>
      <c r="BU56" s="23">
        <f t="shared" si="20"/>
        <v>0</v>
      </c>
      <c r="BV56" s="18">
        <f t="shared" si="21"/>
        <v>0</v>
      </c>
      <c r="BX56" s="18">
        <f t="shared" si="22"/>
        <v>0</v>
      </c>
      <c r="BY56" s="18">
        <f t="shared" si="23"/>
        <v>3.7107729497802386E-3</v>
      </c>
    </row>
    <row r="57" spans="1:77" x14ac:dyDescent="0.3">
      <c r="A57" s="1">
        <v>46105</v>
      </c>
      <c r="B57" s="6">
        <v>26.62</v>
      </c>
      <c r="C57" s="6">
        <v>28.59</v>
      </c>
      <c r="D57" s="7">
        <v>-2.2514080804573698E-3</v>
      </c>
      <c r="E57" s="7">
        <v>-2.79427356105813E-3</v>
      </c>
      <c r="F57" s="6">
        <v>0</v>
      </c>
      <c r="G57" s="6">
        <v>0.2979</v>
      </c>
      <c r="H57" s="6">
        <v>0</v>
      </c>
      <c r="I57" s="6">
        <v>0.29959999999999998</v>
      </c>
      <c r="J57" s="6">
        <v>0.2979</v>
      </c>
      <c r="K57" s="6">
        <v>0.29959999999999998</v>
      </c>
      <c r="L57" s="6">
        <v>26.917899999999999</v>
      </c>
      <c r="M57" s="6">
        <v>28.889600000000002</v>
      </c>
      <c r="N57" s="8">
        <v>1.0740045078888001</v>
      </c>
      <c r="O57" s="8">
        <v>1.0748223497963401</v>
      </c>
      <c r="P57" s="8">
        <v>1.07584567468194</v>
      </c>
      <c r="Q57" s="8">
        <v>1.0758943972253501</v>
      </c>
      <c r="R57" s="6">
        <v>28.611770951578698</v>
      </c>
      <c r="S57" s="6">
        <v>28.644662266537299</v>
      </c>
      <c r="T57" s="6">
        <v>28.6435997203948</v>
      </c>
      <c r="U57" s="7">
        <v>7.6119855269496601E-4</v>
      </c>
      <c r="V57" s="7">
        <v>1.9101111456734301E-3</v>
      </c>
      <c r="W57" s="7">
        <v>1.8730164213532699E-3</v>
      </c>
      <c r="X57" s="8">
        <v>1.07324865609873</v>
      </c>
      <c r="Y57" s="8">
        <v>1.07476747574368</v>
      </c>
      <c r="Z57" s="8">
        <v>1.0750724545424399</v>
      </c>
      <c r="AA57" s="8">
        <v>1.0752439115877599</v>
      </c>
      <c r="AB57" s="6">
        <v>28.930483435320799</v>
      </c>
      <c r="AC57" s="6">
        <v>28.944376970206498</v>
      </c>
      <c r="AD57" s="6">
        <v>28.947679035531401</v>
      </c>
      <c r="AE57" s="7">
        <v>1.41416060666677E-3</v>
      </c>
      <c r="AF57" s="7">
        <v>1.89428392982451E-3</v>
      </c>
      <c r="AG57" s="7">
        <v>2.00836055989568E-3</v>
      </c>
      <c r="AZ57" s="23"/>
      <c r="BB57" s="12">
        <f t="shared" si="6"/>
        <v>0</v>
      </c>
      <c r="BC57" s="12">
        <f t="shared" si="7"/>
        <v>1</v>
      </c>
      <c r="BD57" s="12">
        <f t="shared" si="8"/>
        <v>0</v>
      </c>
      <c r="BE57" s="12">
        <f t="shared" si="4"/>
        <v>1</v>
      </c>
      <c r="BF57" s="12">
        <f t="shared" si="9"/>
        <v>0</v>
      </c>
      <c r="BG57" s="23">
        <f t="shared" si="10"/>
        <v>0</v>
      </c>
      <c r="BH57" s="23">
        <f t="shared" si="11"/>
        <v>0</v>
      </c>
      <c r="BI57" s="23">
        <f t="shared" si="12"/>
        <v>0</v>
      </c>
      <c r="BJ57" s="18">
        <f t="shared" si="13"/>
        <v>3.7107729497802386E-3</v>
      </c>
      <c r="BL57" s="23"/>
      <c r="BN57" s="12">
        <f t="shared" si="14"/>
        <v>1</v>
      </c>
      <c r="BO57" s="12">
        <f t="shared" si="15"/>
        <v>0</v>
      </c>
      <c r="BP57" s="12">
        <f t="shared" si="16"/>
        <v>0</v>
      </c>
      <c r="BQ57" s="12">
        <f t="shared" si="5"/>
        <v>1</v>
      </c>
      <c r="BR57" s="12">
        <f t="shared" si="17"/>
        <v>0</v>
      </c>
      <c r="BS57" s="23">
        <f t="shared" si="18"/>
        <v>0</v>
      </c>
      <c r="BT57" s="23">
        <f t="shared" si="19"/>
        <v>0</v>
      </c>
      <c r="BU57" s="23">
        <f t="shared" si="20"/>
        <v>0</v>
      </c>
      <c r="BV57" s="18">
        <f t="shared" si="21"/>
        <v>0</v>
      </c>
      <c r="BX57" s="18">
        <f t="shared" si="22"/>
        <v>0</v>
      </c>
      <c r="BY57" s="18">
        <f t="shared" si="23"/>
        <v>3.7107729497802386E-3</v>
      </c>
    </row>
    <row r="58" spans="1:77" x14ac:dyDescent="0.3">
      <c r="A58" s="1">
        <v>46106</v>
      </c>
      <c r="B58" s="6">
        <v>26.74</v>
      </c>
      <c r="C58" s="6">
        <v>28.73</v>
      </c>
      <c r="D58" s="7">
        <v>4.4977587068313904E-3</v>
      </c>
      <c r="E58" s="7">
        <v>4.8848666569777498E-3</v>
      </c>
      <c r="F58" s="6">
        <v>0</v>
      </c>
      <c r="G58" s="6">
        <v>0.2979</v>
      </c>
      <c r="H58" s="6">
        <v>0</v>
      </c>
      <c r="I58" s="6">
        <v>0.29959999999999998</v>
      </c>
      <c r="J58" s="6">
        <v>0.2979</v>
      </c>
      <c r="K58" s="6">
        <v>0.29959999999999998</v>
      </c>
      <c r="L58" s="6">
        <v>27.037899999999901</v>
      </c>
      <c r="M58" s="6">
        <v>29.029599999999999</v>
      </c>
      <c r="N58" s="8">
        <v>1.07442034405385</v>
      </c>
      <c r="O58" s="8">
        <v>1.0748223497963401</v>
      </c>
      <c r="P58" s="8">
        <v>1.0756467595324299</v>
      </c>
      <c r="Q58" s="8">
        <v>1.0758319242035701</v>
      </c>
      <c r="R58" s="6">
        <v>28.740749633554302</v>
      </c>
      <c r="S58" s="6">
        <v>28.7681133409951</v>
      </c>
      <c r="T58" s="6">
        <v>28.769416181806001</v>
      </c>
      <c r="U58" s="7">
        <v>3.7409060254864601E-4</v>
      </c>
      <c r="V58" s="7">
        <v>1.325725119058E-3</v>
      </c>
      <c r="W58" s="7">
        <v>1.37101176316452E-3</v>
      </c>
      <c r="X58" s="8">
        <v>1.07366326526838</v>
      </c>
      <c r="Y58" s="8">
        <v>1.07476747574368</v>
      </c>
      <c r="Z58" s="8">
        <v>1.07487510228258</v>
      </c>
      <c r="AA58" s="8">
        <v>1.0751424072745701</v>
      </c>
      <c r="AB58" s="6">
        <v>29.059455532409999</v>
      </c>
      <c r="AC58" s="6">
        <v>29.0677015186731</v>
      </c>
      <c r="AD58" s="6">
        <v>29.072337357118801</v>
      </c>
      <c r="AE58" s="7">
        <v>1.0279228940893201E-3</v>
      </c>
      <c r="AF58" s="7">
        <v>1.3116452275645099E-3</v>
      </c>
      <c r="AG58" s="7">
        <v>1.47111668802978E-3</v>
      </c>
      <c r="AZ58" s="23"/>
      <c r="BB58" s="12">
        <f t="shared" si="6"/>
        <v>0</v>
      </c>
      <c r="BC58" s="12">
        <f t="shared" si="7"/>
        <v>1</v>
      </c>
      <c r="BD58" s="12">
        <f t="shared" si="8"/>
        <v>0</v>
      </c>
      <c r="BE58" s="12">
        <f t="shared" si="4"/>
        <v>1</v>
      </c>
      <c r="BF58" s="12">
        <f t="shared" si="9"/>
        <v>0</v>
      </c>
      <c r="BG58" s="23">
        <f t="shared" si="10"/>
        <v>0</v>
      </c>
      <c r="BH58" s="23">
        <f t="shared" si="11"/>
        <v>0</v>
      </c>
      <c r="BI58" s="23">
        <f t="shared" si="12"/>
        <v>0</v>
      </c>
      <c r="BJ58" s="18">
        <f t="shared" si="13"/>
        <v>3.7107729497802386E-3</v>
      </c>
      <c r="BL58" s="23"/>
      <c r="BN58" s="12">
        <f t="shared" si="14"/>
        <v>0</v>
      </c>
      <c r="BO58" s="12">
        <f t="shared" si="15"/>
        <v>0</v>
      </c>
      <c r="BP58" s="12">
        <f t="shared" si="16"/>
        <v>1</v>
      </c>
      <c r="BQ58" s="12">
        <f t="shared" si="5"/>
        <v>1</v>
      </c>
      <c r="BR58" s="12">
        <f t="shared" si="17"/>
        <v>1</v>
      </c>
      <c r="BS58" s="23">
        <f t="shared" si="18"/>
        <v>-4.4977587068313904E-3</v>
      </c>
      <c r="BT58" s="23">
        <f t="shared" si="19"/>
        <v>4.8848666569777498E-3</v>
      </c>
      <c r="BU58" s="23">
        <f t="shared" si="20"/>
        <v>3.8710795014635941E-4</v>
      </c>
      <c r="BV58" s="18">
        <f t="shared" si="21"/>
        <v>3.8710795014635941E-4</v>
      </c>
      <c r="BX58" s="18">
        <f t="shared" si="22"/>
        <v>3.8710795014635941E-4</v>
      </c>
      <c r="BY58" s="18">
        <f t="shared" si="23"/>
        <v>4.0978808999265984E-3</v>
      </c>
    </row>
    <row r="59" spans="1:77" x14ac:dyDescent="0.3">
      <c r="A59" s="1">
        <v>46107</v>
      </c>
      <c r="B59" s="6">
        <v>26.54</v>
      </c>
      <c r="C59" s="6">
        <v>28.51</v>
      </c>
      <c r="D59" s="7">
        <v>-7.5075427697356596E-3</v>
      </c>
      <c r="E59" s="7">
        <v>-7.6869700666174802E-3</v>
      </c>
      <c r="F59" s="6">
        <v>0</v>
      </c>
      <c r="G59" s="6">
        <v>0.2979</v>
      </c>
      <c r="H59" s="6">
        <v>0</v>
      </c>
      <c r="I59" s="6">
        <v>0.29959999999999998</v>
      </c>
      <c r="J59" s="6">
        <v>0.2979</v>
      </c>
      <c r="K59" s="6">
        <v>0.29959999999999998</v>
      </c>
      <c r="L59" s="6">
        <v>26.837899999999902</v>
      </c>
      <c r="M59" s="6">
        <v>28.8096</v>
      </c>
      <c r="N59" s="8">
        <v>1.0742275810097901</v>
      </c>
      <c r="O59" s="8">
        <v>1.0748223497963401</v>
      </c>
      <c r="P59" s="8">
        <v>1.0753311998763999</v>
      </c>
      <c r="Q59" s="8">
        <v>1.0757987301715699</v>
      </c>
      <c r="R59" s="6">
        <v>28.525785163595</v>
      </c>
      <c r="S59" s="6">
        <v>28.547664997990701</v>
      </c>
      <c r="T59" s="6">
        <v>28.552579268362798</v>
      </c>
      <c r="U59" s="7">
        <v>5.53517899430658E-4</v>
      </c>
      <c r="V59" s="7">
        <v>1.3202434226155799E-3</v>
      </c>
      <c r="W59" s="7">
        <v>1.49237124614456E-3</v>
      </c>
      <c r="X59" s="8">
        <v>1.07346700002608</v>
      </c>
      <c r="Y59" s="8">
        <v>1.07476747574368</v>
      </c>
      <c r="Z59" s="8">
        <v>1.0745624276202399</v>
      </c>
      <c r="AA59" s="8">
        <v>1.0750698013895501</v>
      </c>
      <c r="AB59" s="6">
        <v>28.8445020372613</v>
      </c>
      <c r="AC59" s="6">
        <v>28.847390507549701</v>
      </c>
      <c r="AD59" s="6">
        <v>28.8545644121943</v>
      </c>
      <c r="AE59" s="7">
        <v>1.2107392290077201E-3</v>
      </c>
      <c r="AF59" s="7">
        <v>1.31087358631105E-3</v>
      </c>
      <c r="AG59" s="7">
        <v>1.55952736906558E-3</v>
      </c>
      <c r="AZ59" s="23"/>
      <c r="BB59" s="12">
        <f t="shared" si="6"/>
        <v>0</v>
      </c>
      <c r="BC59" s="12">
        <f t="shared" si="7"/>
        <v>1</v>
      </c>
      <c r="BD59" s="12">
        <f t="shared" si="8"/>
        <v>0</v>
      </c>
      <c r="BE59" s="12">
        <f t="shared" si="4"/>
        <v>1</v>
      </c>
      <c r="BF59" s="12">
        <f t="shared" si="9"/>
        <v>0</v>
      </c>
      <c r="BG59" s="23">
        <f t="shared" si="10"/>
        <v>0</v>
      </c>
      <c r="BH59" s="23">
        <f t="shared" si="11"/>
        <v>0</v>
      </c>
      <c r="BI59" s="23">
        <f t="shared" si="12"/>
        <v>0</v>
      </c>
      <c r="BJ59" s="18">
        <f t="shared" si="13"/>
        <v>3.7107729497802386E-3</v>
      </c>
      <c r="BL59" s="23"/>
      <c r="BN59" s="12">
        <f t="shared" si="14"/>
        <v>0</v>
      </c>
      <c r="BO59" s="12">
        <f t="shared" si="15"/>
        <v>0</v>
      </c>
      <c r="BP59" s="12">
        <f t="shared" si="16"/>
        <v>1</v>
      </c>
      <c r="BQ59" s="12">
        <f t="shared" si="5"/>
        <v>1</v>
      </c>
      <c r="BR59" s="12">
        <f t="shared" si="17"/>
        <v>1</v>
      </c>
      <c r="BS59" s="23">
        <f t="shared" si="18"/>
        <v>7.5075427697356596E-3</v>
      </c>
      <c r="BT59" s="23">
        <f t="shared" si="19"/>
        <v>-7.6869700666174802E-3</v>
      </c>
      <c r="BU59" s="23">
        <f t="shared" si="20"/>
        <v>-1.7942729688182057E-4</v>
      </c>
      <c r="BV59" s="18">
        <f t="shared" si="21"/>
        <v>2.0768065326453884E-4</v>
      </c>
      <c r="BX59" s="18">
        <f t="shared" si="22"/>
        <v>-1.7942729688182057E-4</v>
      </c>
      <c r="BY59" s="18">
        <f t="shared" si="23"/>
        <v>3.9184536030447779E-3</v>
      </c>
    </row>
    <row r="60" spans="1:77" x14ac:dyDescent="0.3">
      <c r="A60" s="1">
        <v>46108</v>
      </c>
      <c r="B60" s="6">
        <v>26.41</v>
      </c>
      <c r="C60" s="6">
        <v>28.41</v>
      </c>
      <c r="D60" s="7">
        <v>-4.9103025950205503E-3</v>
      </c>
      <c r="E60" s="7">
        <v>-3.51370705848409E-3</v>
      </c>
      <c r="F60" s="6">
        <v>0</v>
      </c>
      <c r="G60" s="6">
        <v>0.2979</v>
      </c>
      <c r="H60" s="6">
        <v>0</v>
      </c>
      <c r="I60" s="6">
        <v>0.29959999999999998</v>
      </c>
      <c r="J60" s="6">
        <v>0.2979</v>
      </c>
      <c r="K60" s="6">
        <v>0.29959999999999998</v>
      </c>
      <c r="L60" s="6">
        <v>26.707899999999999</v>
      </c>
      <c r="M60" s="6">
        <v>28.709599999999998</v>
      </c>
      <c r="N60" s="8">
        <v>1.0757288905717499</v>
      </c>
      <c r="O60" s="8">
        <v>1.0748223497963401</v>
      </c>
      <c r="P60" s="8">
        <v>1.0751771572006401</v>
      </c>
      <c r="Q60" s="8">
        <v>1.0758492298325499</v>
      </c>
      <c r="R60" s="6">
        <v>28.386058258121501</v>
      </c>
      <c r="S60" s="6">
        <v>28.399496988735699</v>
      </c>
      <c r="T60" s="6">
        <v>28.411844463831301</v>
      </c>
      <c r="U60" s="7">
        <v>-8.4307763710591904E-4</v>
      </c>
      <c r="V60" s="7">
        <v>-3.6976252002309001E-4</v>
      </c>
      <c r="W60" s="7">
        <v>6.4920941914196103E-5</v>
      </c>
      <c r="X60" s="8">
        <v>1.0749478618685799</v>
      </c>
      <c r="Y60" s="8">
        <v>1.07476747574368</v>
      </c>
      <c r="Z60" s="8">
        <v>1.07440936289883</v>
      </c>
      <c r="AA60" s="8">
        <v>1.0750798174657401</v>
      </c>
      <c r="AB60" s="6">
        <v>28.7047822654146</v>
      </c>
      <c r="AC60" s="6">
        <v>28.699305860638699</v>
      </c>
      <c r="AD60" s="6">
        <v>28.712856748532101</v>
      </c>
      <c r="AE60" s="7">
        <v>-1.6782326680429E-4</v>
      </c>
      <c r="AF60" s="7">
        <v>-3.58625175564554E-4</v>
      </c>
      <c r="AG60" s="7">
        <v>1.13431180762283E-4</v>
      </c>
      <c r="AZ60" s="23"/>
      <c r="BB60" s="12">
        <f t="shared" si="6"/>
        <v>0</v>
      </c>
      <c r="BC60" s="12">
        <f t="shared" si="7"/>
        <v>1</v>
      </c>
      <c r="BD60" s="12">
        <f t="shared" si="8"/>
        <v>0</v>
      </c>
      <c r="BE60" s="12">
        <f t="shared" si="4"/>
        <v>1</v>
      </c>
      <c r="BF60" s="12">
        <f t="shared" si="9"/>
        <v>0</v>
      </c>
      <c r="BG60" s="23">
        <f t="shared" si="10"/>
        <v>0</v>
      </c>
      <c r="BH60" s="23">
        <f t="shared" si="11"/>
        <v>0</v>
      </c>
      <c r="BI60" s="23">
        <f t="shared" si="12"/>
        <v>0</v>
      </c>
      <c r="BJ60" s="18">
        <f t="shared" si="13"/>
        <v>3.7107729497802386E-3</v>
      </c>
      <c r="BL60" s="23"/>
      <c r="BN60" s="12">
        <f t="shared" si="14"/>
        <v>0</v>
      </c>
      <c r="BO60" s="12">
        <f t="shared" si="15"/>
        <v>1</v>
      </c>
      <c r="BP60" s="12">
        <f t="shared" si="16"/>
        <v>1</v>
      </c>
      <c r="BQ60" s="12">
        <f t="shared" si="5"/>
        <v>1</v>
      </c>
      <c r="BR60" s="12">
        <f t="shared" si="17"/>
        <v>1</v>
      </c>
      <c r="BS60" s="23">
        <f t="shared" si="18"/>
        <v>4.9103025950205503E-3</v>
      </c>
      <c r="BT60" s="23">
        <f t="shared" si="19"/>
        <v>-3.51370705848409E-3</v>
      </c>
      <c r="BU60" s="23">
        <f t="shared" si="20"/>
        <v>1.3965955365364603E-3</v>
      </c>
      <c r="BV60" s="18">
        <f t="shared" si="21"/>
        <v>1.6042761898009991E-3</v>
      </c>
      <c r="BX60" s="18">
        <f t="shared" si="22"/>
        <v>1.3965955365364603E-3</v>
      </c>
      <c r="BY60" s="18">
        <f t="shared" si="23"/>
        <v>5.3150491395812377E-3</v>
      </c>
    </row>
    <row r="61" spans="1:77" x14ac:dyDescent="0.3">
      <c r="A61" s="1">
        <v>46111</v>
      </c>
      <c r="B61" s="6">
        <v>26.45</v>
      </c>
      <c r="C61" s="6">
        <v>28.42</v>
      </c>
      <c r="D61" s="7">
        <v>1.5134319952674099E-3</v>
      </c>
      <c r="E61" s="7">
        <v>3.5192680285812798E-4</v>
      </c>
      <c r="F61" s="6">
        <v>0</v>
      </c>
      <c r="G61" s="6">
        <v>0.2979</v>
      </c>
      <c r="H61" s="6">
        <v>0</v>
      </c>
      <c r="I61" s="6">
        <v>0.29959999999999998</v>
      </c>
      <c r="J61" s="6">
        <v>0.2979</v>
      </c>
      <c r="K61" s="6">
        <v>0.29959999999999998</v>
      </c>
      <c r="L61" s="6">
        <v>26.747899999999898</v>
      </c>
      <c r="M61" s="6">
        <v>28.7196</v>
      </c>
      <c r="N61" s="8">
        <v>1.0744801512287301</v>
      </c>
      <c r="O61" s="8">
        <v>1.0748223497963401</v>
      </c>
      <c r="P61" s="8">
        <v>1.0750392231456301</v>
      </c>
      <c r="Q61" s="8">
        <v>1.0756821157279299</v>
      </c>
      <c r="R61" s="6">
        <v>28.429051152113299</v>
      </c>
      <c r="S61" s="6">
        <v>28.438435807956999</v>
      </c>
      <c r="T61" s="6">
        <v>28.456212129071002</v>
      </c>
      <c r="U61" s="7">
        <v>3.1842755530368198E-4</v>
      </c>
      <c r="V61" s="7">
        <v>6.4848103332844299E-4</v>
      </c>
      <c r="W61" s="7">
        <v>1.2733665836221499E-3</v>
      </c>
      <c r="X61" s="8">
        <v>1.07371419812396</v>
      </c>
      <c r="Y61" s="8">
        <v>1.07476747574368</v>
      </c>
      <c r="Z61" s="8">
        <v>1.0742720699138499</v>
      </c>
      <c r="AA61" s="8">
        <v>1.0749132292213699</v>
      </c>
      <c r="AB61" s="6">
        <v>28.747772964444302</v>
      </c>
      <c r="AC61" s="6">
        <v>28.7381941978817</v>
      </c>
      <c r="AD61" s="6">
        <v>28.756127449591901</v>
      </c>
      <c r="AE61" s="7">
        <v>9.8048563030112001E-4</v>
      </c>
      <c r="AF61" s="7">
        <v>6.4722980721417097E-4</v>
      </c>
      <c r="AG61" s="7">
        <v>1.27105670969612E-3</v>
      </c>
      <c r="AZ61" s="23"/>
      <c r="BB61" s="12">
        <f t="shared" si="6"/>
        <v>0</v>
      </c>
      <c r="BC61" s="12">
        <f t="shared" si="7"/>
        <v>1</v>
      </c>
      <c r="BD61" s="12">
        <f t="shared" si="8"/>
        <v>0</v>
      </c>
      <c r="BE61" s="12">
        <f t="shared" si="4"/>
        <v>1</v>
      </c>
      <c r="BF61" s="12">
        <f t="shared" si="9"/>
        <v>0</v>
      </c>
      <c r="BG61" s="23">
        <f t="shared" si="10"/>
        <v>0</v>
      </c>
      <c r="BH61" s="23">
        <f t="shared" si="11"/>
        <v>0</v>
      </c>
      <c r="BI61" s="23">
        <f t="shared" si="12"/>
        <v>0</v>
      </c>
      <c r="BJ61" s="18">
        <f t="shared" si="13"/>
        <v>3.7107729497802386E-3</v>
      </c>
      <c r="BL61" s="23"/>
      <c r="BN61" s="12">
        <f t="shared" si="14"/>
        <v>0</v>
      </c>
      <c r="BO61" s="12">
        <f t="shared" si="15"/>
        <v>0</v>
      </c>
      <c r="BP61" s="12">
        <f t="shared" si="16"/>
        <v>0</v>
      </c>
      <c r="BQ61" s="12">
        <f t="shared" si="5"/>
        <v>1</v>
      </c>
      <c r="BR61" s="12">
        <f t="shared" si="17"/>
        <v>0</v>
      </c>
      <c r="BS61" s="23">
        <f t="shared" si="18"/>
        <v>0</v>
      </c>
      <c r="BT61" s="23">
        <f t="shared" si="19"/>
        <v>0</v>
      </c>
      <c r="BU61" s="23">
        <f t="shared" si="20"/>
        <v>0</v>
      </c>
      <c r="BV61" s="18">
        <f t="shared" si="21"/>
        <v>1.6042761898009991E-3</v>
      </c>
      <c r="BX61" s="18">
        <f t="shared" si="22"/>
        <v>0</v>
      </c>
      <c r="BY61" s="18">
        <f t="shared" si="23"/>
        <v>5.3150491395812377E-3</v>
      </c>
    </row>
    <row r="62" spans="1:77" x14ac:dyDescent="0.3">
      <c r="A62" s="1">
        <v>46112</v>
      </c>
      <c r="B62" s="6">
        <v>26.72</v>
      </c>
      <c r="C62" s="6">
        <v>28.72</v>
      </c>
      <c r="D62" s="7">
        <v>1.0156190364136499E-2</v>
      </c>
      <c r="E62" s="7">
        <v>1.0500621511068601E-2</v>
      </c>
      <c r="F62" s="6">
        <v>0</v>
      </c>
      <c r="G62" s="6">
        <v>0.2979</v>
      </c>
      <c r="H62" s="6">
        <v>0</v>
      </c>
      <c r="I62" s="6">
        <v>0.29959999999999998</v>
      </c>
      <c r="J62" s="6">
        <v>0.2979</v>
      </c>
      <c r="K62" s="6">
        <v>0.29959999999999998</v>
      </c>
      <c r="L62" s="6">
        <v>27.017899999999901</v>
      </c>
      <c r="M62" s="6">
        <v>29.019600000000001</v>
      </c>
      <c r="N62" s="8">
        <v>1.0748502994011899</v>
      </c>
      <c r="O62" s="8">
        <v>1.0748223497963401</v>
      </c>
      <c r="P62" s="8">
        <v>1.07500937213337</v>
      </c>
      <c r="Q62" s="8">
        <v>1.0755869516675101</v>
      </c>
      <c r="R62" s="6">
        <v>28.719253186558301</v>
      </c>
      <c r="S62" s="6">
        <v>28.725048042451402</v>
      </c>
      <c r="T62" s="6">
        <v>28.742226132250298</v>
      </c>
      <c r="U62" s="7">
        <v>-2.60035916286453E-5</v>
      </c>
      <c r="V62" s="7">
        <v>1.7575204953299001E-4</v>
      </c>
      <c r="W62" s="7">
        <v>7.7359109992066399E-4</v>
      </c>
      <c r="X62" s="8">
        <v>1.07408791949041</v>
      </c>
      <c r="Y62" s="8">
        <v>1.07476747574368</v>
      </c>
      <c r="Z62" s="8">
        <v>1.0742420972784399</v>
      </c>
      <c r="AA62" s="8">
        <v>1.0748183887848299</v>
      </c>
      <c r="AB62" s="6">
        <v>29.037960182895102</v>
      </c>
      <c r="AC62" s="6">
        <v>29.024575357725599</v>
      </c>
      <c r="AD62" s="6">
        <v>29.041898135780201</v>
      </c>
      <c r="AE62" s="7">
        <v>6.3248209016715496E-4</v>
      </c>
      <c r="AF62" s="7">
        <v>1.7143348862075301E-4</v>
      </c>
      <c r="AG62" s="7">
        <v>7.68086859362812E-4</v>
      </c>
      <c r="AZ62" s="23"/>
      <c r="BB62" s="12">
        <f t="shared" si="6"/>
        <v>0</v>
      </c>
      <c r="BC62" s="12">
        <f t="shared" si="7"/>
        <v>1</v>
      </c>
      <c r="BD62" s="12">
        <f t="shared" si="8"/>
        <v>0</v>
      </c>
      <c r="BE62" s="12">
        <f t="shared" si="4"/>
        <v>0</v>
      </c>
      <c r="BF62" s="12">
        <f t="shared" si="9"/>
        <v>0</v>
      </c>
      <c r="BG62" s="23">
        <f t="shared" si="10"/>
        <v>0</v>
      </c>
      <c r="BH62" s="23">
        <f t="shared" si="11"/>
        <v>0</v>
      </c>
      <c r="BI62" s="23">
        <f t="shared" si="12"/>
        <v>0</v>
      </c>
      <c r="BJ62" s="18">
        <f t="shared" si="13"/>
        <v>3.7107729497802386E-3</v>
      </c>
      <c r="BL62" s="23"/>
      <c r="BN62" s="12">
        <f t="shared" si="14"/>
        <v>0</v>
      </c>
      <c r="BO62" s="12">
        <f t="shared" si="15"/>
        <v>1</v>
      </c>
      <c r="BP62" s="12">
        <f t="shared" si="16"/>
        <v>0</v>
      </c>
      <c r="BQ62" s="12">
        <f t="shared" si="5"/>
        <v>0</v>
      </c>
      <c r="BR62" s="12">
        <f t="shared" si="17"/>
        <v>0</v>
      </c>
      <c r="BS62" s="23">
        <f t="shared" si="18"/>
        <v>0</v>
      </c>
      <c r="BT62" s="23">
        <f t="shared" si="19"/>
        <v>0</v>
      </c>
      <c r="BU62" s="23">
        <f t="shared" si="20"/>
        <v>0</v>
      </c>
      <c r="BV62" s="18">
        <f t="shared" si="21"/>
        <v>1.6042761898009991E-3</v>
      </c>
      <c r="BX62" s="18">
        <f t="shared" si="22"/>
        <v>0</v>
      </c>
      <c r="BY62" s="18">
        <f t="shared" si="23"/>
        <v>5.3150491395812377E-3</v>
      </c>
    </row>
    <row r="63" spans="1:77" x14ac:dyDescent="0.3">
      <c r="A63" s="1">
        <v>46113</v>
      </c>
      <c r="B63" s="6">
        <v>26.73</v>
      </c>
      <c r="C63" s="6">
        <v>28.73</v>
      </c>
      <c r="D63" s="7">
        <v>3.7418148238265201E-4</v>
      </c>
      <c r="E63" s="7">
        <v>3.4812881117485598E-4</v>
      </c>
      <c r="F63" s="6">
        <v>0.14199999999999999</v>
      </c>
      <c r="G63" s="6">
        <v>0.43989999999999901</v>
      </c>
      <c r="H63" s="6">
        <v>0.17449999999999999</v>
      </c>
      <c r="I63" s="6">
        <v>0.47409999999999902</v>
      </c>
      <c r="J63" s="6">
        <v>0.43989999999999901</v>
      </c>
      <c r="K63" s="6">
        <v>0.47409999999999902</v>
      </c>
      <c r="L63" s="6">
        <v>27.169899999999998</v>
      </c>
      <c r="M63" s="6">
        <v>29.2041</v>
      </c>
      <c r="N63" s="8">
        <v>1.07482229704451</v>
      </c>
      <c r="O63" s="8">
        <v>1.0748223497963401</v>
      </c>
      <c r="P63" s="8">
        <v>1.0748136992160999</v>
      </c>
      <c r="Q63" s="8">
        <v>1.07552272440484</v>
      </c>
      <c r="R63" s="6">
        <v>28.7300014100563</v>
      </c>
      <c r="S63" s="6">
        <v>28.735000517125201</v>
      </c>
      <c r="T63" s="6">
        <v>28.750439218072501</v>
      </c>
      <c r="U63" s="7">
        <v>4.9079579417433197E-8</v>
      </c>
      <c r="V63" s="7">
        <v>1.7403696485957001E-4</v>
      </c>
      <c r="W63" s="7">
        <v>7.1117128581704204E-4</v>
      </c>
      <c r="X63" s="8">
        <v>1.074869616745</v>
      </c>
      <c r="Y63" s="8">
        <v>1.07476747574368</v>
      </c>
      <c r="Z63" s="8">
        <v>1.07412957899338</v>
      </c>
      <c r="AA63" s="8">
        <v>1.0747944823070901</v>
      </c>
      <c r="AB63" s="6">
        <v>29.201324839208201</v>
      </c>
      <c r="AC63" s="6">
        <v>29.187050358845401</v>
      </c>
      <c r="AD63" s="6">
        <v>29.2027081414452</v>
      </c>
      <c r="AE63" s="7">
        <v>-9.5030925688992598E-5</v>
      </c>
      <c r="AF63" s="7">
        <v>-5.8398033038452204E-4</v>
      </c>
      <c r="AG63" s="7">
        <v>-4.7660832678775202E-5</v>
      </c>
      <c r="AZ63" s="23"/>
      <c r="BB63" s="12">
        <f t="shared" si="6"/>
        <v>0</v>
      </c>
      <c r="BC63" s="12">
        <f t="shared" si="7"/>
        <v>0</v>
      </c>
      <c r="BD63" s="12">
        <f t="shared" si="8"/>
        <v>0</v>
      </c>
      <c r="BE63" s="12">
        <f t="shared" si="4"/>
        <v>1</v>
      </c>
      <c r="BF63" s="12">
        <f t="shared" si="9"/>
        <v>0</v>
      </c>
      <c r="BG63" s="23">
        <f t="shared" si="10"/>
        <v>0</v>
      </c>
      <c r="BH63" s="23">
        <f t="shared" si="11"/>
        <v>0</v>
      </c>
      <c r="BI63" s="23">
        <f t="shared" si="12"/>
        <v>0</v>
      </c>
      <c r="BJ63" s="18">
        <f t="shared" si="13"/>
        <v>3.7107729497802386E-3</v>
      </c>
      <c r="BL63" s="23"/>
      <c r="BN63" s="12">
        <f t="shared" si="14"/>
        <v>0</v>
      </c>
      <c r="BO63" s="12">
        <f t="shared" si="15"/>
        <v>1</v>
      </c>
      <c r="BP63" s="12">
        <f t="shared" si="16"/>
        <v>0</v>
      </c>
      <c r="BQ63" s="12">
        <f t="shared" si="5"/>
        <v>1</v>
      </c>
      <c r="BR63" s="12">
        <f t="shared" si="17"/>
        <v>0</v>
      </c>
      <c r="BS63" s="23">
        <f t="shared" si="18"/>
        <v>0</v>
      </c>
      <c r="BT63" s="23">
        <f t="shared" si="19"/>
        <v>0</v>
      </c>
      <c r="BU63" s="23">
        <f t="shared" si="20"/>
        <v>0</v>
      </c>
      <c r="BV63" s="18">
        <f t="shared" si="21"/>
        <v>1.6042761898009991E-3</v>
      </c>
      <c r="BX63" s="18">
        <f t="shared" si="22"/>
        <v>0</v>
      </c>
      <c r="BY63" s="18">
        <f t="shared" si="23"/>
        <v>5.3150491395812377E-3</v>
      </c>
    </row>
    <row r="64" spans="1:77" x14ac:dyDescent="0.3">
      <c r="A64" s="1">
        <v>46114</v>
      </c>
      <c r="B64" s="6">
        <v>26.79</v>
      </c>
      <c r="C64" s="6">
        <v>28.81</v>
      </c>
      <c r="D64" s="7">
        <v>2.2421534056897199E-3</v>
      </c>
      <c r="E64" s="7">
        <v>2.7806761052388E-3</v>
      </c>
      <c r="F64" s="6">
        <v>0</v>
      </c>
      <c r="G64" s="6">
        <v>0.43989999999999901</v>
      </c>
      <c r="H64" s="6">
        <v>0</v>
      </c>
      <c r="I64" s="6">
        <v>0.47409999999999902</v>
      </c>
      <c r="J64" s="6">
        <v>0.43989999999999901</v>
      </c>
      <c r="K64" s="6">
        <v>0.47409999999999902</v>
      </c>
      <c r="L64" s="6">
        <v>27.229900000000001</v>
      </c>
      <c r="M64" s="6">
        <v>29.284099999999999</v>
      </c>
      <c r="N64" s="8">
        <v>1.0754012691302699</v>
      </c>
      <c r="O64" s="8">
        <v>1.0748223497963401</v>
      </c>
      <c r="P64" s="8">
        <v>1.0748108836347301</v>
      </c>
      <c r="Q64" s="8">
        <v>1.0755414086778301</v>
      </c>
      <c r="R64" s="6">
        <v>28.794490751044101</v>
      </c>
      <c r="S64" s="6">
        <v>28.7942590019995</v>
      </c>
      <c r="T64" s="6">
        <v>28.813253786805699</v>
      </c>
      <c r="U64" s="7">
        <v>-5.3847361996989902E-4</v>
      </c>
      <c r="V64" s="7">
        <v>-5.46522033786965E-4</v>
      </c>
      <c r="W64" s="7">
        <v>1.1293311624806E-4</v>
      </c>
      <c r="X64" s="8">
        <v>1.0754391312491001</v>
      </c>
      <c r="Y64" s="8">
        <v>1.07476747574368</v>
      </c>
      <c r="Z64" s="8">
        <v>1.0742072558148901</v>
      </c>
      <c r="AA64" s="8">
        <v>1.0748526229723701</v>
      </c>
      <c r="AB64" s="6">
        <v>29.265810887752799</v>
      </c>
      <c r="AC64" s="6">
        <v>29.248441023032001</v>
      </c>
      <c r="AD64" s="6">
        <v>29.266546273773798</v>
      </c>
      <c r="AE64" s="7">
        <v>-6.2473580453641499E-4</v>
      </c>
      <c r="AF64" s="7">
        <v>-1.21843271302555E-3</v>
      </c>
      <c r="AG64" s="7">
        <v>-5.9960830047716296E-4</v>
      </c>
      <c r="AZ64" s="23"/>
      <c r="BB64" s="12">
        <f t="shared" si="6"/>
        <v>0</v>
      </c>
      <c r="BC64" s="12">
        <f t="shared" si="7"/>
        <v>0</v>
      </c>
      <c r="BD64" s="12">
        <f t="shared" si="8"/>
        <v>0</v>
      </c>
      <c r="BE64" s="12">
        <f t="shared" si="4"/>
        <v>1</v>
      </c>
      <c r="BF64" s="12">
        <f t="shared" si="9"/>
        <v>0</v>
      </c>
      <c r="BG64" s="23">
        <f t="shared" si="10"/>
        <v>0</v>
      </c>
      <c r="BH64" s="23">
        <f t="shared" si="11"/>
        <v>0</v>
      </c>
      <c r="BI64" s="23">
        <f t="shared" si="12"/>
        <v>0</v>
      </c>
      <c r="BJ64" s="18">
        <f t="shared" si="13"/>
        <v>3.7107729497802386E-3</v>
      </c>
      <c r="BL64" s="23"/>
      <c r="BN64" s="12">
        <f t="shared" si="14"/>
        <v>0</v>
      </c>
      <c r="BO64" s="12">
        <f t="shared" si="15"/>
        <v>1</v>
      </c>
      <c r="BP64" s="12">
        <f t="shared" si="16"/>
        <v>0</v>
      </c>
      <c r="BQ64" s="12">
        <f t="shared" si="5"/>
        <v>1</v>
      </c>
      <c r="BR64" s="12">
        <f t="shared" si="17"/>
        <v>0</v>
      </c>
      <c r="BS64" s="23">
        <f t="shared" si="18"/>
        <v>0</v>
      </c>
      <c r="BT64" s="23">
        <f t="shared" si="19"/>
        <v>0</v>
      </c>
      <c r="BU64" s="23">
        <f t="shared" si="20"/>
        <v>0</v>
      </c>
      <c r="BV64" s="18">
        <f t="shared" si="21"/>
        <v>1.6042761898009991E-3</v>
      </c>
      <c r="BX64" s="18">
        <f t="shared" si="22"/>
        <v>0</v>
      </c>
      <c r="BY64" s="18">
        <f t="shared" si="23"/>
        <v>5.3150491395812377E-3</v>
      </c>
    </row>
    <row r="65" spans="1:77" x14ac:dyDescent="0.3">
      <c r="A65" s="1">
        <v>46118</v>
      </c>
      <c r="B65" s="6">
        <v>26.84</v>
      </c>
      <c r="C65" s="6">
        <v>28.89</v>
      </c>
      <c r="D65" s="7">
        <v>1.8646285469637099E-3</v>
      </c>
      <c r="E65" s="7">
        <v>2.7729653817069101E-3</v>
      </c>
      <c r="F65" s="6">
        <v>0</v>
      </c>
      <c r="G65" s="6">
        <v>0.43989999999999901</v>
      </c>
      <c r="H65" s="6">
        <v>0</v>
      </c>
      <c r="I65" s="6">
        <v>0.47409999999999902</v>
      </c>
      <c r="J65" s="6">
        <v>0.43989999999999901</v>
      </c>
      <c r="K65" s="6">
        <v>0.47409999999999902</v>
      </c>
      <c r="L65" s="6">
        <v>27.279900000000001</v>
      </c>
      <c r="M65" s="6">
        <v>29.364100000000001</v>
      </c>
      <c r="N65" s="8">
        <v>1.0763785394932901</v>
      </c>
      <c r="O65" s="8">
        <v>1.0748223497963401</v>
      </c>
      <c r="P65" s="8">
        <v>1.07489015859691</v>
      </c>
      <c r="Q65" s="8">
        <v>1.0755241607080901</v>
      </c>
      <c r="R65" s="6">
        <v>28.848231868533901</v>
      </c>
      <c r="S65" s="6">
        <v>28.8479241167563</v>
      </c>
      <c r="T65" s="6">
        <v>28.867531408913099</v>
      </c>
      <c r="U65" s="7">
        <v>-1.4468104547130101E-3</v>
      </c>
      <c r="V65" s="7">
        <v>-1.45747847140755E-3</v>
      </c>
      <c r="W65" s="7">
        <v>-7.7803159768877097E-4</v>
      </c>
      <c r="X65" s="8">
        <v>1.0764005733158799</v>
      </c>
      <c r="Y65" s="8">
        <v>1.07476747574368</v>
      </c>
      <c r="Z65" s="8">
        <v>1.0743665317697599</v>
      </c>
      <c r="AA65" s="8">
        <v>1.0748752552110199</v>
      </c>
      <c r="AB65" s="6">
        <v>29.319549261540001</v>
      </c>
      <c r="AC65" s="6">
        <v>29.304266517904601</v>
      </c>
      <c r="AD65" s="6">
        <v>29.3218720694239</v>
      </c>
      <c r="AE65" s="7">
        <v>-1.5183359446563601E-3</v>
      </c>
      <c r="AF65" s="7">
        <v>-2.0397194055708401E-3</v>
      </c>
      <c r="AG65" s="7">
        <v>-1.4391152220870299E-3</v>
      </c>
      <c r="AZ65" s="23"/>
      <c r="BB65" s="12">
        <f t="shared" si="6"/>
        <v>1</v>
      </c>
      <c r="BC65" s="12">
        <f t="shared" si="7"/>
        <v>0</v>
      </c>
      <c r="BD65" s="12">
        <f t="shared" si="8"/>
        <v>0</v>
      </c>
      <c r="BE65" s="12">
        <f t="shared" si="4"/>
        <v>1</v>
      </c>
      <c r="BF65" s="12">
        <f t="shared" si="9"/>
        <v>0</v>
      </c>
      <c r="BG65" s="23">
        <f t="shared" si="10"/>
        <v>0</v>
      </c>
      <c r="BH65" s="23">
        <f t="shared" si="11"/>
        <v>0</v>
      </c>
      <c r="BI65" s="23">
        <f t="shared" si="12"/>
        <v>0</v>
      </c>
      <c r="BJ65" s="18">
        <f t="shared" si="13"/>
        <v>3.7107729497802386E-3</v>
      </c>
      <c r="BL65" s="23"/>
      <c r="BN65" s="12">
        <f t="shared" si="14"/>
        <v>0</v>
      </c>
      <c r="BO65" s="12">
        <f t="shared" si="15"/>
        <v>1</v>
      </c>
      <c r="BP65" s="12">
        <f t="shared" si="16"/>
        <v>0</v>
      </c>
      <c r="BQ65" s="12">
        <f t="shared" si="5"/>
        <v>1</v>
      </c>
      <c r="BR65" s="12">
        <f t="shared" si="17"/>
        <v>0</v>
      </c>
      <c r="BS65" s="23">
        <f t="shared" si="18"/>
        <v>0</v>
      </c>
      <c r="BT65" s="23">
        <f t="shared" si="19"/>
        <v>0</v>
      </c>
      <c r="BU65" s="23">
        <f t="shared" si="20"/>
        <v>0</v>
      </c>
      <c r="BV65" s="18">
        <f t="shared" si="21"/>
        <v>1.6042761898009991E-3</v>
      </c>
      <c r="BX65" s="18">
        <f t="shared" si="22"/>
        <v>0</v>
      </c>
      <c r="BY65" s="18">
        <f t="shared" si="23"/>
        <v>5.3150491395812377E-3</v>
      </c>
    </row>
    <row r="66" spans="1:77" x14ac:dyDescent="0.3">
      <c r="A66" s="1">
        <v>46119</v>
      </c>
      <c r="B66" s="6">
        <v>26.88</v>
      </c>
      <c r="C66" s="6">
        <v>28.94</v>
      </c>
      <c r="D66" s="7">
        <v>1.48920355146761E-3</v>
      </c>
      <c r="E66" s="7">
        <v>1.729206725194E-3</v>
      </c>
      <c r="F66" s="6">
        <v>0</v>
      </c>
      <c r="G66" s="6">
        <v>0.43989999999999901</v>
      </c>
      <c r="H66" s="6">
        <v>0</v>
      </c>
      <c r="I66" s="6">
        <v>0.47409999999999902</v>
      </c>
      <c r="J66" s="6">
        <v>0.43989999999999901</v>
      </c>
      <c r="K66" s="6">
        <v>0.47409999999999902</v>
      </c>
      <c r="L66" s="6">
        <v>27.319900000000001</v>
      </c>
      <c r="M66" s="6">
        <v>29.414100000000001</v>
      </c>
      <c r="N66" s="8">
        <v>1.0766369047619</v>
      </c>
      <c r="O66" s="8">
        <v>1.0748223497963401</v>
      </c>
      <c r="P66" s="8">
        <v>1.0750950784584099</v>
      </c>
      <c r="Q66" s="8">
        <v>1.0755765074211101</v>
      </c>
      <c r="R66" s="6">
        <v>28.891224762525798</v>
      </c>
      <c r="S66" s="6">
        <v>28.893047463085001</v>
      </c>
      <c r="T66" s="6">
        <v>28.910089439833602</v>
      </c>
      <c r="U66" s="7">
        <v>-1.68681362843924E-3</v>
      </c>
      <c r="V66" s="7">
        <v>-1.6237272386768001E-3</v>
      </c>
      <c r="W66" s="7">
        <v>-1.03407144643276E-3</v>
      </c>
      <c r="X66" s="8">
        <v>1.0766547461740299</v>
      </c>
      <c r="Y66" s="8">
        <v>1.07476747574368</v>
      </c>
      <c r="Z66" s="8">
        <v>1.07464929683601</v>
      </c>
      <c r="AA66" s="8">
        <v>1.07496645870422</v>
      </c>
      <c r="AB66" s="6">
        <v>29.362539960569698</v>
      </c>
      <c r="AC66" s="6">
        <v>29.351586211296802</v>
      </c>
      <c r="AD66" s="6">
        <v>29.365484484839499</v>
      </c>
      <c r="AE66" s="7">
        <v>-1.7544402909122599E-3</v>
      </c>
      <c r="AF66" s="7">
        <v>-2.1275617223021899E-3</v>
      </c>
      <c r="AG66" s="7">
        <v>-1.65416365807596E-3</v>
      </c>
      <c r="AZ66" s="23"/>
      <c r="BB66" s="12">
        <f t="shared" si="6"/>
        <v>1</v>
      </c>
      <c r="BC66" s="12">
        <f t="shared" si="7"/>
        <v>0</v>
      </c>
      <c r="BD66" s="12">
        <f t="shared" si="8"/>
        <v>1</v>
      </c>
      <c r="BE66" s="12">
        <f t="shared" si="4"/>
        <v>1</v>
      </c>
      <c r="BF66" s="12">
        <f t="shared" si="9"/>
        <v>1</v>
      </c>
      <c r="BG66" s="23">
        <f t="shared" si="10"/>
        <v>1.48920355146761E-3</v>
      </c>
      <c r="BH66" s="23">
        <f t="shared" si="11"/>
        <v>-1.729206725194E-3</v>
      </c>
      <c r="BI66" s="23">
        <f t="shared" si="12"/>
        <v>-2.4000317372638996E-4</v>
      </c>
      <c r="BJ66" s="18">
        <f t="shared" si="13"/>
        <v>3.4707697760538486E-3</v>
      </c>
      <c r="BL66" s="23"/>
      <c r="BN66" s="12">
        <f t="shared" si="14"/>
        <v>0</v>
      </c>
      <c r="BO66" s="12">
        <f t="shared" si="15"/>
        <v>1</v>
      </c>
      <c r="BP66" s="12">
        <f t="shared" si="16"/>
        <v>0</v>
      </c>
      <c r="BQ66" s="12">
        <f t="shared" si="5"/>
        <v>1</v>
      </c>
      <c r="BR66" s="12">
        <f t="shared" si="17"/>
        <v>0</v>
      </c>
      <c r="BS66" s="23">
        <f t="shared" si="18"/>
        <v>0</v>
      </c>
      <c r="BT66" s="23">
        <f t="shared" si="19"/>
        <v>0</v>
      </c>
      <c r="BU66" s="23">
        <f t="shared" si="20"/>
        <v>0</v>
      </c>
      <c r="BV66" s="18">
        <f t="shared" si="21"/>
        <v>1.6042761898009991E-3</v>
      </c>
      <c r="BX66" s="18">
        <f t="shared" si="22"/>
        <v>-2.4000317372638996E-4</v>
      </c>
      <c r="BY66" s="18">
        <f t="shared" si="23"/>
        <v>5.0750459658548477E-3</v>
      </c>
    </row>
    <row r="67" spans="1:77" x14ac:dyDescent="0.3">
      <c r="A67" s="1">
        <v>46120</v>
      </c>
      <c r="B67" s="6">
        <v>27.08</v>
      </c>
      <c r="C67" s="6">
        <v>29.14</v>
      </c>
      <c r="D67" s="7">
        <v>7.4129323891255301E-3</v>
      </c>
      <c r="E67" s="7">
        <v>6.88707956372099E-3</v>
      </c>
      <c r="F67" s="6">
        <v>0</v>
      </c>
      <c r="G67" s="6">
        <v>0.43989999999999901</v>
      </c>
      <c r="H67" s="6">
        <v>0</v>
      </c>
      <c r="I67" s="6">
        <v>0.47409999999999902</v>
      </c>
      <c r="J67" s="6">
        <v>0.43989999999999901</v>
      </c>
      <c r="K67" s="6">
        <v>0.47409999999999902</v>
      </c>
      <c r="L67" s="6">
        <v>27.5199</v>
      </c>
      <c r="M67" s="6">
        <v>29.614100000000001</v>
      </c>
      <c r="N67" s="8">
        <v>1.07607090103397</v>
      </c>
      <c r="O67" s="8">
        <v>1.0748223497963401</v>
      </c>
      <c r="P67" s="8">
        <v>1.0753017177729201</v>
      </c>
      <c r="Q67" s="8">
        <v>1.07557369622743</v>
      </c>
      <c r="R67" s="6">
        <v>29.106189232485001</v>
      </c>
      <c r="S67" s="6">
        <v>29.113574724653802</v>
      </c>
      <c r="T67" s="6">
        <v>29.126611820963799</v>
      </c>
      <c r="U67" s="7">
        <v>-1.16096080303473E-3</v>
      </c>
      <c r="V67" s="7">
        <v>-9.0724997680044603E-4</v>
      </c>
      <c r="W67" s="7">
        <v>-4.5954892015604099E-4</v>
      </c>
      <c r="X67" s="8">
        <v>1.0760976602385901</v>
      </c>
      <c r="Y67" s="8">
        <v>1.07476747574368</v>
      </c>
      <c r="Z67" s="8">
        <v>1.0749341972499999</v>
      </c>
      <c r="AA67" s="8">
        <v>1.0750033258962199</v>
      </c>
      <c r="AB67" s="6">
        <v>29.5774934557185</v>
      </c>
      <c r="AC67" s="6">
        <v>29.574241183997501</v>
      </c>
      <c r="AD67" s="6">
        <v>29.5829694468943</v>
      </c>
      <c r="AE67" s="7">
        <v>-1.2368833751989999E-3</v>
      </c>
      <c r="AF67" s="7">
        <v>-1.34684707259701E-3</v>
      </c>
      <c r="AG67" s="7">
        <v>-1.0517600369832701E-3</v>
      </c>
      <c r="AZ67" s="23"/>
      <c r="BB67" s="12">
        <f t="shared" si="6"/>
        <v>1</v>
      </c>
      <c r="BC67" s="12">
        <f t="shared" si="7"/>
        <v>0</v>
      </c>
      <c r="BD67" s="12">
        <f t="shared" si="8"/>
        <v>1</v>
      </c>
      <c r="BE67" s="12">
        <f t="shared" si="4"/>
        <v>1</v>
      </c>
      <c r="BF67" s="12">
        <f t="shared" si="9"/>
        <v>1</v>
      </c>
      <c r="BG67" s="23">
        <f t="shared" si="10"/>
        <v>7.4129323891255301E-3</v>
      </c>
      <c r="BH67" s="23">
        <f t="shared" si="11"/>
        <v>-6.88707956372099E-3</v>
      </c>
      <c r="BI67" s="23">
        <f t="shared" si="12"/>
        <v>5.2585282540454012E-4</v>
      </c>
      <c r="BJ67" s="18">
        <f t="shared" si="13"/>
        <v>3.9966226014583883E-3</v>
      </c>
      <c r="BL67" s="23"/>
      <c r="BN67" s="12">
        <f t="shared" si="14"/>
        <v>0</v>
      </c>
      <c r="BO67" s="12">
        <f t="shared" si="15"/>
        <v>1</v>
      </c>
      <c r="BP67" s="12">
        <f t="shared" si="16"/>
        <v>0</v>
      </c>
      <c r="BQ67" s="12">
        <f t="shared" si="5"/>
        <v>1</v>
      </c>
      <c r="BR67" s="12">
        <f t="shared" si="17"/>
        <v>0</v>
      </c>
      <c r="BS67" s="23">
        <f t="shared" si="18"/>
        <v>0</v>
      </c>
      <c r="BT67" s="23">
        <f t="shared" si="19"/>
        <v>0</v>
      </c>
      <c r="BU67" s="23">
        <f t="shared" si="20"/>
        <v>0</v>
      </c>
      <c r="BV67" s="18">
        <f t="shared" si="21"/>
        <v>1.6042761898009991E-3</v>
      </c>
      <c r="BX67" s="18">
        <f t="shared" si="22"/>
        <v>5.2585282540454012E-4</v>
      </c>
      <c r="BY67" s="18">
        <f t="shared" si="23"/>
        <v>5.6008987912593879E-3</v>
      </c>
    </row>
    <row r="68" spans="1:77" x14ac:dyDescent="0.3">
      <c r="A68" s="1">
        <v>46121</v>
      </c>
      <c r="B68" s="6">
        <v>27.13</v>
      </c>
      <c r="C68" s="6">
        <v>29.19</v>
      </c>
      <c r="D68" s="7">
        <v>1.84467862676609E-3</v>
      </c>
      <c r="E68" s="7">
        <v>1.7143840989647301E-3</v>
      </c>
      <c r="F68" s="6">
        <v>0</v>
      </c>
      <c r="G68" s="6">
        <v>0.43989999999999901</v>
      </c>
      <c r="H68" s="6">
        <v>0</v>
      </c>
      <c r="I68" s="6">
        <v>0.47409999999999902</v>
      </c>
      <c r="J68" s="6">
        <v>0.43989999999999901</v>
      </c>
      <c r="K68" s="6">
        <v>0.47409999999999902</v>
      </c>
      <c r="L68" s="6">
        <v>27.569900000000001</v>
      </c>
      <c r="M68" s="6">
        <v>29.664100000000001</v>
      </c>
      <c r="N68" s="8">
        <v>1.07593070401769</v>
      </c>
      <c r="O68" s="8">
        <v>1.0748223497963401</v>
      </c>
      <c r="P68" s="8">
        <v>1.0754527537693099</v>
      </c>
      <c r="Q68" s="8">
        <v>1.07554975665087</v>
      </c>
      <c r="R68" s="6">
        <v>29.1599303499748</v>
      </c>
      <c r="S68" s="6">
        <v>29.1729356031795</v>
      </c>
      <c r="T68" s="6">
        <v>29.180314378650301</v>
      </c>
      <c r="U68" s="7">
        <v>-1.0306662752332101E-3</v>
      </c>
      <c r="V68" s="7">
        <v>-5.8476829961774505E-4</v>
      </c>
      <c r="W68" s="7">
        <v>-3.3186805799014798E-4</v>
      </c>
      <c r="X68" s="8">
        <v>1.0759596516490799</v>
      </c>
      <c r="Y68" s="8">
        <v>1.07476747574368</v>
      </c>
      <c r="Z68" s="8">
        <v>1.07516383588807</v>
      </c>
      <c r="AA68" s="8">
        <v>1.0750194690853201</v>
      </c>
      <c r="AB68" s="6">
        <v>29.631231829505602</v>
      </c>
      <c r="AC68" s="6">
        <v>29.635828324762802</v>
      </c>
      <c r="AD68" s="6">
        <v>29.637734194626301</v>
      </c>
      <c r="AE68" s="7">
        <v>-1.1086260198425501E-3</v>
      </c>
      <c r="AF68" s="7">
        <v>-9.5351472346829897E-4</v>
      </c>
      <c r="AG68" s="7">
        <v>-8.8920713731763701E-4</v>
      </c>
      <c r="AZ68" s="23"/>
      <c r="BB68" s="12">
        <f t="shared" si="6"/>
        <v>0</v>
      </c>
      <c r="BC68" s="12">
        <f t="shared" si="7"/>
        <v>0</v>
      </c>
      <c r="BD68" s="12">
        <f t="shared" si="8"/>
        <v>1</v>
      </c>
      <c r="BE68" s="12">
        <f t="shared" si="4"/>
        <v>1</v>
      </c>
      <c r="BF68" s="12">
        <f t="shared" si="9"/>
        <v>1</v>
      </c>
      <c r="BG68" s="23">
        <f t="shared" si="10"/>
        <v>1.84467862676609E-3</v>
      </c>
      <c r="BH68" s="23">
        <f t="shared" si="11"/>
        <v>-1.7143840989647301E-3</v>
      </c>
      <c r="BI68" s="23">
        <f t="shared" si="12"/>
        <v>1.3029452780135989E-4</v>
      </c>
      <c r="BJ68" s="18">
        <f t="shared" si="13"/>
        <v>4.1269171292597478E-3</v>
      </c>
      <c r="BL68" s="23"/>
      <c r="BN68" s="12">
        <f t="shared" si="14"/>
        <v>0</v>
      </c>
      <c r="BO68" s="12">
        <f t="shared" si="15"/>
        <v>1</v>
      </c>
      <c r="BP68" s="12">
        <f t="shared" si="16"/>
        <v>0</v>
      </c>
      <c r="BQ68" s="12">
        <f t="shared" si="5"/>
        <v>1</v>
      </c>
      <c r="BR68" s="12">
        <f t="shared" si="17"/>
        <v>0</v>
      </c>
      <c r="BS68" s="23">
        <f t="shared" si="18"/>
        <v>0</v>
      </c>
      <c r="BT68" s="23">
        <f t="shared" si="19"/>
        <v>0</v>
      </c>
      <c r="BU68" s="23">
        <f t="shared" si="20"/>
        <v>0</v>
      </c>
      <c r="BV68" s="18">
        <f t="shared" si="21"/>
        <v>1.6042761898009991E-3</v>
      </c>
      <c r="BX68" s="18">
        <f t="shared" si="22"/>
        <v>1.3029452780135989E-4</v>
      </c>
      <c r="BY68" s="18">
        <f t="shared" si="23"/>
        <v>5.7311933190607473E-3</v>
      </c>
    </row>
    <row r="69" spans="1:77" x14ac:dyDescent="0.3">
      <c r="A69" s="1">
        <v>46122</v>
      </c>
      <c r="B69" s="6">
        <v>27.04</v>
      </c>
      <c r="C69" s="6">
        <v>29.13</v>
      </c>
      <c r="D69" s="7">
        <v>-3.3228754960770101E-3</v>
      </c>
      <c r="E69" s="7">
        <v>-2.0576138946802598E-3</v>
      </c>
      <c r="F69" s="6">
        <v>0</v>
      </c>
      <c r="G69" s="6">
        <v>0.43989999999999901</v>
      </c>
      <c r="H69" s="6">
        <v>0</v>
      </c>
      <c r="I69" s="6">
        <v>0.47409999999999902</v>
      </c>
      <c r="J69" s="6">
        <v>0.43989999999999901</v>
      </c>
      <c r="K69" s="6">
        <v>0.47409999999999902</v>
      </c>
      <c r="L69" s="6">
        <v>27.479900000000001</v>
      </c>
      <c r="M69" s="6">
        <v>29.604099999999999</v>
      </c>
      <c r="N69" s="8">
        <v>1.07729289940828</v>
      </c>
      <c r="O69" s="8">
        <v>1.0748223497963401</v>
      </c>
      <c r="P69" s="8">
        <v>1.07575928560916</v>
      </c>
      <c r="Q69" s="8">
        <v>1.0755452427427801</v>
      </c>
      <c r="R69" s="6">
        <v>29.063196338493199</v>
      </c>
      <c r="S69" s="6">
        <v>29.0802424619222</v>
      </c>
      <c r="T69" s="6">
        <v>29.0828654198395</v>
      </c>
      <c r="U69" s="7">
        <v>-2.2959278766300798E-3</v>
      </c>
      <c r="V69" s="7">
        <v>-1.7095805855481901E-3</v>
      </c>
      <c r="W69" s="7">
        <v>-1.6193874024581401E-3</v>
      </c>
      <c r="X69" s="8">
        <v>1.07730013573557</v>
      </c>
      <c r="Y69" s="8">
        <v>1.07476747574368</v>
      </c>
      <c r="Z69" s="8">
        <v>1.0755471494590201</v>
      </c>
      <c r="AA69" s="8">
        <v>1.07505478853963</v>
      </c>
      <c r="AB69" s="6">
        <v>29.534502756688699</v>
      </c>
      <c r="AC69" s="6">
        <v>29.545394693820601</v>
      </c>
      <c r="AD69" s="6">
        <v>29.541427508517899</v>
      </c>
      <c r="AE69" s="7">
        <v>-2.3537003648107699E-3</v>
      </c>
      <c r="AF69" s="7">
        <v>-1.9849814697092899E-3</v>
      </c>
      <c r="AG69" s="7">
        <v>-2.1192647214016099E-3</v>
      </c>
      <c r="AZ69" s="23"/>
      <c r="BB69" s="12">
        <f t="shared" si="6"/>
        <v>1</v>
      </c>
      <c r="BC69" s="12">
        <f t="shared" si="7"/>
        <v>0</v>
      </c>
      <c r="BD69" s="12">
        <f t="shared" si="8"/>
        <v>1</v>
      </c>
      <c r="BE69" s="12">
        <f t="shared" si="4"/>
        <v>1</v>
      </c>
      <c r="BF69" s="12">
        <f t="shared" si="9"/>
        <v>1</v>
      </c>
      <c r="BG69" s="23">
        <f t="shared" si="10"/>
        <v>-3.3228754960770101E-3</v>
      </c>
      <c r="BH69" s="23">
        <f t="shared" si="11"/>
        <v>2.0576138946802598E-3</v>
      </c>
      <c r="BI69" s="23">
        <f t="shared" si="12"/>
        <v>-1.2652616013967503E-3</v>
      </c>
      <c r="BJ69" s="18">
        <f t="shared" si="13"/>
        <v>2.8616555278629975E-3</v>
      </c>
      <c r="BL69" s="23"/>
      <c r="BN69" s="12">
        <f t="shared" si="14"/>
        <v>0</v>
      </c>
      <c r="BO69" s="12">
        <f t="shared" si="15"/>
        <v>1</v>
      </c>
      <c r="BP69" s="12">
        <f t="shared" si="16"/>
        <v>0</v>
      </c>
      <c r="BQ69" s="12">
        <f t="shared" si="5"/>
        <v>1</v>
      </c>
      <c r="BR69" s="12">
        <f t="shared" si="17"/>
        <v>0</v>
      </c>
      <c r="BS69" s="23">
        <f t="shared" si="18"/>
        <v>0</v>
      </c>
      <c r="BT69" s="23">
        <f t="shared" si="19"/>
        <v>0</v>
      </c>
      <c r="BU69" s="23">
        <f t="shared" si="20"/>
        <v>0</v>
      </c>
      <c r="BV69" s="18">
        <f t="shared" si="21"/>
        <v>1.6042761898009991E-3</v>
      </c>
      <c r="BX69" s="18">
        <f t="shared" si="22"/>
        <v>-1.2652616013967503E-3</v>
      </c>
      <c r="BY69" s="18">
        <f t="shared" si="23"/>
        <v>4.465931717663997E-3</v>
      </c>
    </row>
    <row r="70" spans="1:77" x14ac:dyDescent="0.3">
      <c r="A70" s="1">
        <v>46125</v>
      </c>
      <c r="B70" s="6">
        <v>27.14</v>
      </c>
      <c r="C70" s="6">
        <v>29.23</v>
      </c>
      <c r="D70" s="7">
        <v>3.6914032319598899E-3</v>
      </c>
      <c r="E70" s="7">
        <v>3.42700815181135E-3</v>
      </c>
      <c r="F70" s="6">
        <v>0</v>
      </c>
      <c r="G70" s="6">
        <v>0.43989999999999901</v>
      </c>
      <c r="H70" s="6">
        <v>0</v>
      </c>
      <c r="I70" s="6">
        <v>0.47409999999999902</v>
      </c>
      <c r="J70" s="6">
        <v>0.43989999999999901</v>
      </c>
      <c r="K70" s="6">
        <v>0.47409999999999902</v>
      </c>
      <c r="L70" s="6">
        <v>27.579899999999999</v>
      </c>
      <c r="M70" s="6">
        <v>29.7041</v>
      </c>
      <c r="N70" s="8">
        <v>1.0770081061164301</v>
      </c>
      <c r="O70" s="8">
        <v>1.0748223497963401</v>
      </c>
      <c r="P70" s="8">
        <v>1.0758872071636301</v>
      </c>
      <c r="Q70" s="8">
        <v>1.07553218218213</v>
      </c>
      <c r="R70" s="6">
        <v>29.170678573472799</v>
      </c>
      <c r="S70" s="6">
        <v>29.196107011432598</v>
      </c>
      <c r="T70" s="6">
        <v>29.190297888039101</v>
      </c>
      <c r="U70" s="7">
        <v>-2.0315327964815699E-3</v>
      </c>
      <c r="V70" s="7">
        <v>-1.16020026330161E-3</v>
      </c>
      <c r="W70" s="7">
        <v>-1.35918916911749E-3</v>
      </c>
      <c r="X70" s="8">
        <v>1.07701985866518</v>
      </c>
      <c r="Y70" s="8">
        <v>1.07476747574368</v>
      </c>
      <c r="Z70" s="8">
        <v>1.0757543491386801</v>
      </c>
      <c r="AA70" s="8">
        <v>1.0750818560187501</v>
      </c>
      <c r="AB70" s="6">
        <v>29.641979504263102</v>
      </c>
      <c r="AC70" s="6">
        <v>29.663482827364898</v>
      </c>
      <c r="AD70" s="6">
        <v>29.649903562444202</v>
      </c>
      <c r="AE70" s="7">
        <v>-2.0935003270294299E-3</v>
      </c>
      <c r="AF70" s="7">
        <v>-1.3683285401920201E-3</v>
      </c>
      <c r="AG70" s="7">
        <v>-1.8262105120181E-3</v>
      </c>
      <c r="AZ70" s="23"/>
      <c r="BB70" s="12">
        <f t="shared" si="6"/>
        <v>1</v>
      </c>
      <c r="BC70" s="12">
        <f t="shared" si="7"/>
        <v>0</v>
      </c>
      <c r="BD70" s="12">
        <f t="shared" si="8"/>
        <v>1</v>
      </c>
      <c r="BE70" s="12">
        <f t="shared" si="4"/>
        <v>1</v>
      </c>
      <c r="BF70" s="12">
        <f t="shared" si="9"/>
        <v>1</v>
      </c>
      <c r="BG70" s="23">
        <f t="shared" si="10"/>
        <v>3.6914032319598899E-3</v>
      </c>
      <c r="BH70" s="23">
        <f t="shared" si="11"/>
        <v>-3.42700815181135E-3</v>
      </c>
      <c r="BI70" s="23">
        <f t="shared" si="12"/>
        <v>2.6439508014853988E-4</v>
      </c>
      <c r="BJ70" s="18">
        <f t="shared" si="13"/>
        <v>3.1260506080115374E-3</v>
      </c>
      <c r="BL70" s="23"/>
      <c r="BN70" s="12">
        <f t="shared" si="14"/>
        <v>0</v>
      </c>
      <c r="BO70" s="12">
        <f t="shared" si="15"/>
        <v>1</v>
      </c>
      <c r="BP70" s="12">
        <f t="shared" si="16"/>
        <v>0</v>
      </c>
      <c r="BQ70" s="12">
        <f t="shared" si="5"/>
        <v>1</v>
      </c>
      <c r="BR70" s="12">
        <f t="shared" si="17"/>
        <v>0</v>
      </c>
      <c r="BS70" s="23">
        <f t="shared" si="18"/>
        <v>0</v>
      </c>
      <c r="BT70" s="23">
        <f t="shared" si="19"/>
        <v>0</v>
      </c>
      <c r="BU70" s="23">
        <f t="shared" si="20"/>
        <v>0</v>
      </c>
      <c r="BV70" s="18">
        <f t="shared" si="21"/>
        <v>1.6042761898009991E-3</v>
      </c>
      <c r="BX70" s="18">
        <f t="shared" si="22"/>
        <v>2.6439508014853988E-4</v>
      </c>
      <c r="BY70" s="18">
        <f t="shared" si="23"/>
        <v>4.7303267978125365E-3</v>
      </c>
    </row>
    <row r="71" spans="1:77" x14ac:dyDescent="0.3">
      <c r="A71" s="1">
        <v>46126</v>
      </c>
      <c r="B71" s="6">
        <v>27.26</v>
      </c>
      <c r="C71" s="6">
        <v>29.34</v>
      </c>
      <c r="D71" s="7">
        <v>4.41177186166358E-3</v>
      </c>
      <c r="E71" s="7">
        <v>3.7561935916810701E-3</v>
      </c>
      <c r="F71" s="6">
        <v>0</v>
      </c>
      <c r="G71" s="6">
        <v>0.43989999999999901</v>
      </c>
      <c r="H71" s="6">
        <v>0</v>
      </c>
      <c r="I71" s="6">
        <v>0.47409999999999902</v>
      </c>
      <c r="J71" s="6">
        <v>0.43989999999999901</v>
      </c>
      <c r="K71" s="6">
        <v>0.47409999999999902</v>
      </c>
      <c r="L71" s="6">
        <v>27.6999</v>
      </c>
      <c r="M71" s="6">
        <v>29.8141</v>
      </c>
      <c r="N71" s="8">
        <v>1.0763022743947099</v>
      </c>
      <c r="O71" s="8">
        <v>1.0748223497963401</v>
      </c>
      <c r="P71" s="8">
        <v>1.0760694194802201</v>
      </c>
      <c r="Q71" s="8">
        <v>1.0755543213129299</v>
      </c>
      <c r="R71" s="6">
        <v>29.299657255448398</v>
      </c>
      <c r="S71" s="6">
        <v>29.328685267280498</v>
      </c>
      <c r="T71" s="6">
        <v>29.319007286285</v>
      </c>
      <c r="U71" s="7">
        <v>-1.37595452649925E-3</v>
      </c>
      <c r="V71" s="7">
        <v>-3.8571625759686097E-4</v>
      </c>
      <c r="W71" s="7">
        <v>-7.1575417254191704E-4</v>
      </c>
      <c r="X71" s="8">
        <v>1.07632518528947</v>
      </c>
      <c r="Y71" s="8">
        <v>1.07476747574368</v>
      </c>
      <c r="Z71" s="8">
        <v>1.07601544785523</v>
      </c>
      <c r="AA71" s="8">
        <v>1.0751437588845401</v>
      </c>
      <c r="AB71" s="6">
        <v>29.770951601352301</v>
      </c>
      <c r="AC71" s="6">
        <v>29.798287895706601</v>
      </c>
      <c r="AD71" s="6">
        <v>29.779659903534</v>
      </c>
      <c r="AE71" s="7">
        <v>-1.4482963438046401E-3</v>
      </c>
      <c r="AF71" s="7">
        <v>-5.3049727489079903E-4</v>
      </c>
      <c r="AG71" s="7">
        <v>-1.1558290786110601E-3</v>
      </c>
      <c r="AZ71" s="23"/>
      <c r="BB71" s="12">
        <f t="shared" si="6"/>
        <v>1</v>
      </c>
      <c r="BC71" s="12">
        <f t="shared" si="7"/>
        <v>0</v>
      </c>
      <c r="BD71" s="12">
        <f t="shared" si="8"/>
        <v>1</v>
      </c>
      <c r="BE71" s="12">
        <f t="shared" si="4"/>
        <v>1</v>
      </c>
      <c r="BF71" s="12">
        <f t="shared" si="9"/>
        <v>1</v>
      </c>
      <c r="BG71" s="23">
        <f t="shared" si="10"/>
        <v>4.41177186166358E-3</v>
      </c>
      <c r="BH71" s="23">
        <f t="shared" si="11"/>
        <v>-3.7561935916810701E-3</v>
      </c>
      <c r="BI71" s="23">
        <f t="shared" si="12"/>
        <v>6.5557826998250985E-4</v>
      </c>
      <c r="BJ71" s="18">
        <f t="shared" si="13"/>
        <v>3.7816288779940472E-3</v>
      </c>
      <c r="BL71" s="23"/>
      <c r="BN71" s="12">
        <f t="shared" si="14"/>
        <v>0</v>
      </c>
      <c r="BO71" s="12">
        <f t="shared" si="15"/>
        <v>1</v>
      </c>
      <c r="BP71" s="12">
        <f t="shared" si="16"/>
        <v>0</v>
      </c>
      <c r="BQ71" s="12">
        <f t="shared" si="5"/>
        <v>1</v>
      </c>
      <c r="BR71" s="12">
        <f t="shared" si="17"/>
        <v>0</v>
      </c>
      <c r="BS71" s="23">
        <f t="shared" si="18"/>
        <v>0</v>
      </c>
      <c r="BT71" s="23">
        <f t="shared" si="19"/>
        <v>0</v>
      </c>
      <c r="BU71" s="23">
        <f t="shared" si="20"/>
        <v>0</v>
      </c>
      <c r="BV71" s="18">
        <f t="shared" si="21"/>
        <v>1.6042761898009991E-3</v>
      </c>
      <c r="BX71" s="18">
        <f t="shared" si="22"/>
        <v>6.5557826998250985E-4</v>
      </c>
      <c r="BY71" s="18">
        <f t="shared" si="23"/>
        <v>5.3859050677950463E-3</v>
      </c>
    </row>
    <row r="72" spans="1:77" x14ac:dyDescent="0.3">
      <c r="A72" s="1">
        <v>46127</v>
      </c>
      <c r="B72" s="6">
        <v>27.23</v>
      </c>
      <c r="C72" s="6">
        <v>29.32</v>
      </c>
      <c r="D72" s="7">
        <v>-1.1011195827183701E-3</v>
      </c>
      <c r="E72" s="7">
        <v>-6.8189569638493503E-4</v>
      </c>
      <c r="F72" s="6">
        <v>0</v>
      </c>
      <c r="G72" s="6">
        <v>0.43989999999999901</v>
      </c>
      <c r="H72" s="6">
        <v>0</v>
      </c>
      <c r="I72" s="6">
        <v>0.47409999999999902</v>
      </c>
      <c r="J72" s="6">
        <v>0.43989999999999901</v>
      </c>
      <c r="K72" s="6">
        <v>0.47409999999999902</v>
      </c>
      <c r="L72" s="6">
        <v>27.669899999999998</v>
      </c>
      <c r="M72" s="6">
        <v>29.7941</v>
      </c>
      <c r="N72" s="8">
        <v>1.07675358060962</v>
      </c>
      <c r="O72" s="8">
        <v>1.0748223497963401</v>
      </c>
      <c r="P72" s="8">
        <v>1.07625974760107</v>
      </c>
      <c r="Q72" s="8">
        <v>1.0756345598672199</v>
      </c>
      <c r="R72" s="6">
        <v>29.267412584954499</v>
      </c>
      <c r="S72" s="6">
        <v>29.301370292446599</v>
      </c>
      <c r="T72" s="6">
        <v>29.287344169351201</v>
      </c>
      <c r="U72" s="7">
        <v>-1.79517841283271E-3</v>
      </c>
      <c r="V72" s="7">
        <v>-6.3559442870734302E-4</v>
      </c>
      <c r="W72" s="7">
        <v>-1.11439392080174E-3</v>
      </c>
      <c r="X72" s="8">
        <v>1.07676934141431</v>
      </c>
      <c r="Y72" s="8">
        <v>1.07476747574368</v>
      </c>
      <c r="Z72" s="8">
        <v>1.07628359004762</v>
      </c>
      <c r="AA72" s="8">
        <v>1.07526284366303</v>
      </c>
      <c r="AB72" s="6">
        <v>29.738708577080001</v>
      </c>
      <c r="AC72" s="6">
        <v>29.773239840609499</v>
      </c>
      <c r="AD72" s="6">
        <v>29.7491202939595</v>
      </c>
      <c r="AE72" s="7">
        <v>-1.8608710130824399E-3</v>
      </c>
      <c r="AF72" s="7">
        <v>-7.0038918303176297E-4</v>
      </c>
      <c r="AG72" s="7">
        <v>-1.5108257287488899E-3</v>
      </c>
      <c r="AZ72" s="23"/>
      <c r="BB72" s="12">
        <f t="shared" si="6"/>
        <v>1</v>
      </c>
      <c r="BC72" s="12">
        <f t="shared" si="7"/>
        <v>0</v>
      </c>
      <c r="BD72" s="12">
        <f t="shared" si="8"/>
        <v>1</v>
      </c>
      <c r="BE72" s="12">
        <f t="shared" si="4"/>
        <v>1</v>
      </c>
      <c r="BF72" s="12">
        <f t="shared" si="9"/>
        <v>1</v>
      </c>
      <c r="BG72" s="23">
        <f t="shared" si="10"/>
        <v>-1.1011195827183701E-3</v>
      </c>
      <c r="BH72" s="23">
        <f t="shared" si="11"/>
        <v>6.8189569638493503E-4</v>
      </c>
      <c r="BI72" s="23">
        <f t="shared" si="12"/>
        <v>-4.1922388633343507E-4</v>
      </c>
      <c r="BJ72" s="18">
        <f t="shared" si="13"/>
        <v>3.3624049916606124E-3</v>
      </c>
      <c r="BL72" s="23"/>
      <c r="BN72" s="12">
        <f t="shared" si="14"/>
        <v>0</v>
      </c>
      <c r="BO72" s="12">
        <f t="shared" si="15"/>
        <v>1</v>
      </c>
      <c r="BP72" s="12">
        <f t="shared" si="16"/>
        <v>0</v>
      </c>
      <c r="BQ72" s="12">
        <f t="shared" si="5"/>
        <v>1</v>
      </c>
      <c r="BR72" s="12">
        <f t="shared" si="17"/>
        <v>0</v>
      </c>
      <c r="BS72" s="23">
        <f t="shared" si="18"/>
        <v>0</v>
      </c>
      <c r="BT72" s="23">
        <f t="shared" si="19"/>
        <v>0</v>
      </c>
      <c r="BU72" s="23">
        <f t="shared" si="20"/>
        <v>0</v>
      </c>
      <c r="BV72" s="18">
        <f t="shared" si="21"/>
        <v>1.6042761898009991E-3</v>
      </c>
      <c r="BX72" s="18">
        <f t="shared" si="22"/>
        <v>-4.1922388633343507E-4</v>
      </c>
      <c r="BY72" s="18">
        <f t="shared" si="23"/>
        <v>4.9666811814616111E-3</v>
      </c>
    </row>
    <row r="73" spans="1:77" x14ac:dyDescent="0.3">
      <c r="A73" s="1">
        <v>46128</v>
      </c>
      <c r="B73" s="6">
        <v>27.17</v>
      </c>
      <c r="C73" s="6">
        <v>29.28</v>
      </c>
      <c r="D73" s="7">
        <v>-2.2058832474118298E-3</v>
      </c>
      <c r="E73" s="7">
        <v>-1.36518792533985E-3</v>
      </c>
      <c r="F73" s="6">
        <v>0</v>
      </c>
      <c r="G73" s="6">
        <v>0.43989999999999901</v>
      </c>
      <c r="H73" s="6">
        <v>0</v>
      </c>
      <c r="I73" s="6">
        <v>0.47409999999999902</v>
      </c>
      <c r="J73" s="6">
        <v>0.43989999999999901</v>
      </c>
      <c r="K73" s="6">
        <v>0.47409999999999902</v>
      </c>
      <c r="L73" s="6">
        <v>27.6099</v>
      </c>
      <c r="M73" s="6">
        <v>29.754100000000001</v>
      </c>
      <c r="N73" s="8">
        <v>1.0776591829223401</v>
      </c>
      <c r="O73" s="8">
        <v>1.0748223497963401</v>
      </c>
      <c r="P73" s="8">
        <v>1.07654343618885</v>
      </c>
      <c r="Q73" s="8">
        <v>1.07567856770248</v>
      </c>
      <c r="R73" s="6">
        <v>29.202923243966701</v>
      </c>
      <c r="S73" s="6">
        <v>29.2419773423211</v>
      </c>
      <c r="T73" s="6">
        <v>29.224990991592499</v>
      </c>
      <c r="U73" s="7">
        <v>-2.6358737349045499E-3</v>
      </c>
      <c r="V73" s="7">
        <v>-1.2994319315855301E-3</v>
      </c>
      <c r="W73" s="7">
        <v>-1.8804899782253999E-3</v>
      </c>
      <c r="X73" s="8">
        <v>1.0776605492957201</v>
      </c>
      <c r="Y73" s="8">
        <v>1.07476747574368</v>
      </c>
      <c r="Z73" s="8">
        <v>1.07656268330269</v>
      </c>
      <c r="AA73" s="8">
        <v>1.0753461311480399</v>
      </c>
      <c r="AB73" s="6">
        <v>29.674222528535399</v>
      </c>
      <c r="AC73" s="6">
        <v>29.716082292855901</v>
      </c>
      <c r="AD73" s="6">
        <v>29.687899587251898</v>
      </c>
      <c r="AE73" s="7">
        <v>-2.68819701341648E-3</v>
      </c>
      <c r="AF73" s="7">
        <v>-1.27854702498675E-3</v>
      </c>
      <c r="AG73" s="7">
        <v>-2.2273961366602599E-3</v>
      </c>
      <c r="AZ73" s="23"/>
      <c r="BB73" s="12">
        <f t="shared" si="6"/>
        <v>1</v>
      </c>
      <c r="BC73" s="12">
        <f t="shared" si="7"/>
        <v>0</v>
      </c>
      <c r="BD73" s="12">
        <f t="shared" si="8"/>
        <v>1</v>
      </c>
      <c r="BE73" s="12">
        <f t="shared" si="4"/>
        <v>1</v>
      </c>
      <c r="BF73" s="12">
        <f t="shared" si="9"/>
        <v>1</v>
      </c>
      <c r="BG73" s="23">
        <f t="shared" si="10"/>
        <v>-2.2058832474118298E-3</v>
      </c>
      <c r="BH73" s="23">
        <f t="shared" si="11"/>
        <v>1.36518792533985E-3</v>
      </c>
      <c r="BI73" s="23">
        <f t="shared" si="12"/>
        <v>-8.4069532207197979E-4</v>
      </c>
      <c r="BJ73" s="18">
        <f t="shared" si="13"/>
        <v>2.5217096695886324E-3</v>
      </c>
      <c r="BL73" s="23"/>
      <c r="BN73" s="12">
        <f t="shared" si="14"/>
        <v>0</v>
      </c>
      <c r="BO73" s="12">
        <f t="shared" si="15"/>
        <v>1</v>
      </c>
      <c r="BP73" s="12">
        <f t="shared" si="16"/>
        <v>0</v>
      </c>
      <c r="BQ73" s="12">
        <f t="shared" si="5"/>
        <v>1</v>
      </c>
      <c r="BR73" s="12">
        <f t="shared" si="17"/>
        <v>0</v>
      </c>
      <c r="BS73" s="23">
        <f t="shared" si="18"/>
        <v>0</v>
      </c>
      <c r="BT73" s="23">
        <f t="shared" si="19"/>
        <v>0</v>
      </c>
      <c r="BU73" s="23">
        <f t="shared" si="20"/>
        <v>0</v>
      </c>
      <c r="BV73" s="18">
        <f t="shared" si="21"/>
        <v>1.6042761898009991E-3</v>
      </c>
      <c r="BX73" s="18">
        <f t="shared" si="22"/>
        <v>-8.4069532207197979E-4</v>
      </c>
      <c r="BY73" s="18">
        <f t="shared" si="23"/>
        <v>4.1259858593896311E-3</v>
      </c>
    </row>
    <row r="74" spans="1:77" x14ac:dyDescent="0.3">
      <c r="A74" s="1">
        <v>46129</v>
      </c>
      <c r="B74" s="6">
        <v>27.29</v>
      </c>
      <c r="C74" s="6">
        <v>29.4</v>
      </c>
      <c r="D74" s="7">
        <v>4.4069112819906499E-3</v>
      </c>
      <c r="E74" s="7">
        <v>4.0899852515250603E-3</v>
      </c>
      <c r="F74" s="6">
        <v>0</v>
      </c>
      <c r="G74" s="6">
        <v>0.43989999999999901</v>
      </c>
      <c r="H74" s="6">
        <v>0</v>
      </c>
      <c r="I74" s="6">
        <v>0.47409999999999902</v>
      </c>
      <c r="J74" s="6">
        <v>0.43989999999999901</v>
      </c>
      <c r="K74" s="6">
        <v>0.47409999999999902</v>
      </c>
      <c r="L74" s="6">
        <v>27.729900000000001</v>
      </c>
      <c r="M74" s="6">
        <v>29.874099999999999</v>
      </c>
      <c r="N74" s="8">
        <v>1.07731769879076</v>
      </c>
      <c r="O74" s="8">
        <v>1.0748223497963401</v>
      </c>
      <c r="P74" s="8">
        <v>1.0767350791549</v>
      </c>
      <c r="Q74" s="8">
        <v>1.07577298139481</v>
      </c>
      <c r="R74" s="6">
        <v>29.331901925942301</v>
      </c>
      <c r="S74" s="6">
        <v>29.378870373593799</v>
      </c>
      <c r="T74" s="6">
        <v>29.355268112600601</v>
      </c>
      <c r="U74" s="7">
        <v>-2.3189477044389898E-3</v>
      </c>
      <c r="V74" s="7">
        <v>-7.1895316061827697E-4</v>
      </c>
      <c r="W74" s="7">
        <v>-1.52265141420263E-3</v>
      </c>
      <c r="X74" s="8">
        <v>1.07732447646763</v>
      </c>
      <c r="Y74" s="8">
        <v>1.07476747574368</v>
      </c>
      <c r="Z74" s="8">
        <v>1.07675121782455</v>
      </c>
      <c r="AA74" s="8">
        <v>1.0754792368197199</v>
      </c>
      <c r="AB74" s="6">
        <v>29.803194625624599</v>
      </c>
      <c r="AC74" s="6">
        <v>29.852975551715399</v>
      </c>
      <c r="AD74" s="6">
        <v>29.8192406821221</v>
      </c>
      <c r="AE74" s="7">
        <v>-2.3762943070954399E-3</v>
      </c>
      <c r="AF74" s="7">
        <v>-7.0736592978046795E-4</v>
      </c>
      <c r="AG74" s="7">
        <v>-1.8380386386710999E-3</v>
      </c>
      <c r="AZ74" s="23"/>
      <c r="BB74" s="12">
        <f t="shared" si="6"/>
        <v>1</v>
      </c>
      <c r="BC74" s="12">
        <f t="shared" si="7"/>
        <v>0</v>
      </c>
      <c r="BD74" s="12">
        <f t="shared" si="8"/>
        <v>1</v>
      </c>
      <c r="BE74" s="12">
        <f t="shared" si="4"/>
        <v>1</v>
      </c>
      <c r="BF74" s="12">
        <f t="shared" si="9"/>
        <v>1</v>
      </c>
      <c r="BG74" s="23">
        <f t="shared" si="10"/>
        <v>4.4069112819906499E-3</v>
      </c>
      <c r="BH74" s="23">
        <f t="shared" si="11"/>
        <v>-4.0899852515250603E-3</v>
      </c>
      <c r="BI74" s="23">
        <f t="shared" si="12"/>
        <v>3.1692603046558961E-4</v>
      </c>
      <c r="BJ74" s="18">
        <f t="shared" si="13"/>
        <v>2.838635700054222E-3</v>
      </c>
      <c r="BL74" s="23"/>
      <c r="BN74" s="12">
        <f t="shared" si="14"/>
        <v>0</v>
      </c>
      <c r="BO74" s="12">
        <f t="shared" si="15"/>
        <v>1</v>
      </c>
      <c r="BP74" s="12">
        <f t="shared" si="16"/>
        <v>0</v>
      </c>
      <c r="BQ74" s="12">
        <f t="shared" si="5"/>
        <v>1</v>
      </c>
      <c r="BR74" s="12">
        <f t="shared" si="17"/>
        <v>0</v>
      </c>
      <c r="BS74" s="23">
        <f t="shared" si="18"/>
        <v>0</v>
      </c>
      <c r="BT74" s="23">
        <f t="shared" si="19"/>
        <v>0</v>
      </c>
      <c r="BU74" s="23">
        <f t="shared" si="20"/>
        <v>0</v>
      </c>
      <c r="BV74" s="18">
        <f t="shared" si="21"/>
        <v>1.6042761898009991E-3</v>
      </c>
      <c r="BX74" s="18">
        <f t="shared" si="22"/>
        <v>3.1692603046558961E-4</v>
      </c>
      <c r="BY74" s="18">
        <f t="shared" si="23"/>
        <v>4.4429118898552207E-3</v>
      </c>
    </row>
    <row r="75" spans="1:77" x14ac:dyDescent="0.3">
      <c r="A75" s="1">
        <v>46132</v>
      </c>
      <c r="B75" s="6">
        <v>27.26</v>
      </c>
      <c r="C75" s="6">
        <v>29.36</v>
      </c>
      <c r="D75" s="7">
        <v>-1.0999084518605001E-3</v>
      </c>
      <c r="E75" s="7">
        <v>-1.36147059832107E-3</v>
      </c>
      <c r="F75" s="6">
        <v>0</v>
      </c>
      <c r="G75" s="6">
        <v>0.43989999999999901</v>
      </c>
      <c r="H75" s="6">
        <v>0</v>
      </c>
      <c r="I75" s="6">
        <v>0.47409999999999902</v>
      </c>
      <c r="J75" s="6">
        <v>0.43989999999999901</v>
      </c>
      <c r="K75" s="6">
        <v>0.47409999999999902</v>
      </c>
      <c r="L75" s="6">
        <v>27.6999</v>
      </c>
      <c r="M75" s="6">
        <v>29.834099999999999</v>
      </c>
      <c r="N75" s="8">
        <v>1.0770359501100499</v>
      </c>
      <c r="O75" s="8">
        <v>1.0748223497963401</v>
      </c>
      <c r="P75" s="8">
        <v>1.07680082021657</v>
      </c>
      <c r="Q75" s="8">
        <v>1.07584548940674</v>
      </c>
      <c r="R75" s="6">
        <v>29.299657255448398</v>
      </c>
      <c r="S75" s="6">
        <v>29.351798257762599</v>
      </c>
      <c r="T75" s="6">
        <v>29.325571472822698</v>
      </c>
      <c r="U75" s="7">
        <v>-2.0573855579783498E-3</v>
      </c>
      <c r="V75" s="7">
        <v>-2.7938991937158901E-4</v>
      </c>
      <c r="W75" s="7">
        <v>-1.1733218323664999E-3</v>
      </c>
      <c r="X75" s="8">
        <v>1.0770472095567101</v>
      </c>
      <c r="Y75" s="8">
        <v>1.07476747574368</v>
      </c>
      <c r="Z75" s="8">
        <v>1.0768158814486299</v>
      </c>
      <c r="AA75" s="8">
        <v>1.0755912066091899</v>
      </c>
      <c r="AB75" s="6">
        <v>29.770951601352301</v>
      </c>
      <c r="AC75" s="6">
        <v>29.8259010586182</v>
      </c>
      <c r="AD75" s="6">
        <v>29.790667311982599</v>
      </c>
      <c r="AE75" s="7">
        <v>-2.11889497878456E-3</v>
      </c>
      <c r="AF75" s="7">
        <v>-2.74855557755782E-4</v>
      </c>
      <c r="AG75" s="7">
        <v>-1.45686759571398E-3</v>
      </c>
      <c r="AZ75" s="23"/>
      <c r="BB75" s="12">
        <f t="shared" si="6"/>
        <v>1</v>
      </c>
      <c r="BC75" s="12">
        <f t="shared" si="7"/>
        <v>0</v>
      </c>
      <c r="BD75" s="12">
        <f t="shared" si="8"/>
        <v>1</v>
      </c>
      <c r="BE75" s="12">
        <f t="shared" si="4"/>
        <v>1</v>
      </c>
      <c r="BF75" s="12">
        <f t="shared" si="9"/>
        <v>1</v>
      </c>
      <c r="BG75" s="23">
        <f t="shared" si="10"/>
        <v>-1.0999084518605001E-3</v>
      </c>
      <c r="BH75" s="23">
        <f t="shared" si="11"/>
        <v>1.36147059832107E-3</v>
      </c>
      <c r="BI75" s="23">
        <f t="shared" si="12"/>
        <v>2.6156214646056992E-4</v>
      </c>
      <c r="BJ75" s="18">
        <f t="shared" si="13"/>
        <v>3.1001978465147921E-3</v>
      </c>
      <c r="BL75" s="23"/>
      <c r="BN75" s="12">
        <f t="shared" si="14"/>
        <v>0</v>
      </c>
      <c r="BO75" s="12">
        <f t="shared" si="15"/>
        <v>1</v>
      </c>
      <c r="BP75" s="12">
        <f t="shared" si="16"/>
        <v>0</v>
      </c>
      <c r="BQ75" s="12">
        <f t="shared" si="5"/>
        <v>1</v>
      </c>
      <c r="BR75" s="12">
        <f t="shared" si="17"/>
        <v>0</v>
      </c>
      <c r="BS75" s="23">
        <f t="shared" si="18"/>
        <v>0</v>
      </c>
      <c r="BT75" s="23">
        <f t="shared" si="19"/>
        <v>0</v>
      </c>
      <c r="BU75" s="23">
        <f t="shared" si="20"/>
        <v>0</v>
      </c>
      <c r="BV75" s="18">
        <f t="shared" si="21"/>
        <v>1.6042761898009991E-3</v>
      </c>
      <c r="BX75" s="18">
        <f t="shared" si="22"/>
        <v>2.6156214646056992E-4</v>
      </c>
      <c r="BY75" s="18">
        <f t="shared" si="23"/>
        <v>4.7044740363157908E-3</v>
      </c>
    </row>
    <row r="76" spans="1:77" x14ac:dyDescent="0.3">
      <c r="A76" s="1">
        <v>46133</v>
      </c>
      <c r="B76" s="6">
        <v>27.18</v>
      </c>
      <c r="C76" s="6">
        <v>29.28</v>
      </c>
      <c r="D76" s="7">
        <v>-2.9390175453889601E-3</v>
      </c>
      <c r="E76" s="7">
        <v>-2.7285146532039502E-3</v>
      </c>
      <c r="F76" s="6">
        <v>0</v>
      </c>
      <c r="G76" s="6">
        <v>0.43989999999999901</v>
      </c>
      <c r="H76" s="6">
        <v>0</v>
      </c>
      <c r="I76" s="6">
        <v>0.47409999999999902</v>
      </c>
      <c r="J76" s="6">
        <v>0.43989999999999901</v>
      </c>
      <c r="K76" s="6">
        <v>0.47409999999999902</v>
      </c>
      <c r="L76" s="6">
        <v>27.619900000000001</v>
      </c>
      <c r="M76" s="6">
        <v>29.754100000000001</v>
      </c>
      <c r="N76" s="8">
        <v>1.07726269315673</v>
      </c>
      <c r="O76" s="8">
        <v>1.0748223497963401</v>
      </c>
      <c r="P76" s="8">
        <v>1.0768633990560601</v>
      </c>
      <c r="Q76" s="8">
        <v>1.07597923875723</v>
      </c>
      <c r="R76" s="6">
        <v>29.2136714674647</v>
      </c>
      <c r="S76" s="6">
        <v>29.2674462934866</v>
      </c>
      <c r="T76" s="6">
        <v>29.2414804020753</v>
      </c>
      <c r="U76" s="7">
        <v>-2.2678884501633901E-3</v>
      </c>
      <c r="V76" s="7">
        <v>-4.2883874534350102E-4</v>
      </c>
      <c r="W76" s="7">
        <v>-1.31642614721202E-3</v>
      </c>
      <c r="X76" s="8">
        <v>1.0772703738970799</v>
      </c>
      <c r="Y76" s="8">
        <v>1.07476747574368</v>
      </c>
      <c r="Z76" s="8">
        <v>1.0768774442209299</v>
      </c>
      <c r="AA76" s="8">
        <v>1.0757633705284699</v>
      </c>
      <c r="AB76" s="6">
        <v>29.684970203292799</v>
      </c>
      <c r="AC76" s="6">
        <v>29.741546964023101</v>
      </c>
      <c r="AD76" s="6">
        <v>29.707721567425398</v>
      </c>
      <c r="AE76" s="7">
        <v>-2.3260736630051999E-3</v>
      </c>
      <c r="AF76" s="7">
        <v>-4.21981667692362E-4</v>
      </c>
      <c r="AG76" s="7">
        <v>-1.5599401685599801E-3</v>
      </c>
      <c r="AZ76" s="23"/>
      <c r="BB76" s="12">
        <f t="shared" si="6"/>
        <v>1</v>
      </c>
      <c r="BC76" s="12">
        <f t="shared" si="7"/>
        <v>0</v>
      </c>
      <c r="BD76" s="12">
        <f t="shared" si="8"/>
        <v>1</v>
      </c>
      <c r="BE76" s="12">
        <f t="shared" si="4"/>
        <v>1</v>
      </c>
      <c r="BF76" s="12">
        <f t="shared" si="9"/>
        <v>1</v>
      </c>
      <c r="BG76" s="23">
        <f t="shared" si="10"/>
        <v>-2.9390175453889601E-3</v>
      </c>
      <c r="BH76" s="23">
        <f t="shared" si="11"/>
        <v>2.7285146532039502E-3</v>
      </c>
      <c r="BI76" s="23">
        <f t="shared" si="12"/>
        <v>-2.105028921850099E-4</v>
      </c>
      <c r="BJ76" s="18">
        <f t="shared" si="13"/>
        <v>2.8896949543297822E-3</v>
      </c>
      <c r="BL76" s="23"/>
      <c r="BN76" s="12">
        <f t="shared" si="14"/>
        <v>0</v>
      </c>
      <c r="BO76" s="12">
        <f t="shared" si="15"/>
        <v>1</v>
      </c>
      <c r="BP76" s="12">
        <f t="shared" si="16"/>
        <v>0</v>
      </c>
      <c r="BQ76" s="12">
        <f t="shared" si="5"/>
        <v>1</v>
      </c>
      <c r="BR76" s="12">
        <f t="shared" si="17"/>
        <v>0</v>
      </c>
      <c r="BS76" s="23">
        <f t="shared" si="18"/>
        <v>0</v>
      </c>
      <c r="BT76" s="23">
        <f t="shared" si="19"/>
        <v>0</v>
      </c>
      <c r="BU76" s="23">
        <f t="shared" si="20"/>
        <v>0</v>
      </c>
      <c r="BV76" s="18">
        <f t="shared" si="21"/>
        <v>1.6042761898009991E-3</v>
      </c>
      <c r="BX76" s="18">
        <f t="shared" si="22"/>
        <v>-2.105028921850099E-4</v>
      </c>
      <c r="BY76" s="18">
        <f t="shared" si="23"/>
        <v>4.4939711441307813E-3</v>
      </c>
    </row>
    <row r="77" spans="1:77" x14ac:dyDescent="0.3">
      <c r="A77" s="1">
        <v>46134</v>
      </c>
      <c r="B77" s="6">
        <v>27.23</v>
      </c>
      <c r="C77" s="6">
        <v>29.33</v>
      </c>
      <c r="D77" s="7">
        <v>1.8378979626706201E-3</v>
      </c>
      <c r="E77" s="7">
        <v>1.7061938962486499E-3</v>
      </c>
      <c r="F77" s="6">
        <v>0</v>
      </c>
      <c r="G77" s="6">
        <v>0.43989999999999901</v>
      </c>
      <c r="H77" s="6">
        <v>0</v>
      </c>
      <c r="I77" s="6">
        <v>0.47409999999999902</v>
      </c>
      <c r="J77" s="6">
        <v>0.43989999999999901</v>
      </c>
      <c r="K77" s="6">
        <v>0.47409999999999902</v>
      </c>
      <c r="L77" s="6">
        <v>27.669899999999998</v>
      </c>
      <c r="M77" s="6">
        <v>29.804099999999998</v>
      </c>
      <c r="N77" s="8">
        <v>1.0771208226221001</v>
      </c>
      <c r="O77" s="8">
        <v>1.0748223497963401</v>
      </c>
      <c r="P77" s="8">
        <v>1.07696839121487</v>
      </c>
      <c r="Q77" s="8">
        <v>1.0761350544938999</v>
      </c>
      <c r="R77" s="6">
        <v>29.267412584954499</v>
      </c>
      <c r="S77" s="6">
        <v>29.322990356296501</v>
      </c>
      <c r="T77" s="6">
        <v>29.298914671359501</v>
      </c>
      <c r="U77" s="7">
        <v>-2.13618438374154E-3</v>
      </c>
      <c r="V77" s="7">
        <v>-2.39020847674919E-4</v>
      </c>
      <c r="W77" s="7">
        <v>-1.0604095855278101E-3</v>
      </c>
      <c r="X77" s="8">
        <v>1.07713074496113</v>
      </c>
      <c r="Y77" s="8">
        <v>1.07476747574368</v>
      </c>
      <c r="Z77" s="8">
        <v>1.07698075269319</v>
      </c>
      <c r="AA77" s="8">
        <v>1.0759574749715899</v>
      </c>
      <c r="AB77" s="6">
        <v>29.738708577080001</v>
      </c>
      <c r="AC77" s="6">
        <v>29.7970911938489</v>
      </c>
      <c r="AD77" s="6">
        <v>29.766264886185901</v>
      </c>
      <c r="AE77" s="7">
        <v>-2.19645162101507E-3</v>
      </c>
      <c r="AF77" s="7">
        <v>-2.35190137746275E-4</v>
      </c>
      <c r="AG77" s="7">
        <v>-1.27026648145687E-3</v>
      </c>
      <c r="AZ77" s="23"/>
      <c r="BB77" s="12">
        <f t="shared" si="6"/>
        <v>1</v>
      </c>
      <c r="BC77" s="12">
        <f t="shared" si="7"/>
        <v>0</v>
      </c>
      <c r="BD77" s="12">
        <f t="shared" si="8"/>
        <v>1</v>
      </c>
      <c r="BE77" s="12">
        <f t="shared" si="4"/>
        <v>1</v>
      </c>
      <c r="BF77" s="12">
        <f t="shared" si="9"/>
        <v>1</v>
      </c>
      <c r="BG77" s="23">
        <f t="shared" si="10"/>
        <v>1.8378979626706201E-3</v>
      </c>
      <c r="BH77" s="23">
        <f t="shared" si="11"/>
        <v>-1.7061938962486499E-3</v>
      </c>
      <c r="BI77" s="23">
        <f t="shared" si="12"/>
        <v>1.317040664219702E-4</v>
      </c>
      <c r="BJ77" s="18">
        <f t="shared" si="13"/>
        <v>3.0213990207517524E-3</v>
      </c>
      <c r="BL77" s="23"/>
      <c r="BN77" s="12">
        <f t="shared" si="14"/>
        <v>0</v>
      </c>
      <c r="BO77" s="12">
        <f t="shared" si="15"/>
        <v>1</v>
      </c>
      <c r="BP77" s="12">
        <f t="shared" si="16"/>
        <v>0</v>
      </c>
      <c r="BQ77" s="12">
        <f t="shared" si="5"/>
        <v>1</v>
      </c>
      <c r="BR77" s="12">
        <f t="shared" si="17"/>
        <v>0</v>
      </c>
      <c r="BS77" s="23">
        <f t="shared" si="18"/>
        <v>0</v>
      </c>
      <c r="BT77" s="23">
        <f t="shared" si="19"/>
        <v>0</v>
      </c>
      <c r="BU77" s="23">
        <f t="shared" si="20"/>
        <v>0</v>
      </c>
      <c r="BV77" s="18">
        <f t="shared" si="21"/>
        <v>1.6042761898009991E-3</v>
      </c>
      <c r="BX77" s="18">
        <f t="shared" si="22"/>
        <v>1.317040664219702E-4</v>
      </c>
      <c r="BY77" s="18">
        <f t="shared" si="23"/>
        <v>4.6256752105527515E-3</v>
      </c>
    </row>
    <row r="78" spans="1:77" x14ac:dyDescent="0.3">
      <c r="A78" s="1">
        <v>46135</v>
      </c>
      <c r="B78" s="6">
        <v>27.18</v>
      </c>
      <c r="C78" s="6">
        <v>29.29</v>
      </c>
      <c r="D78" s="7">
        <v>-1.8378979626706099E-3</v>
      </c>
      <c r="E78" s="7">
        <v>-1.36472214971749E-3</v>
      </c>
      <c r="F78" s="6">
        <v>0</v>
      </c>
      <c r="G78" s="6">
        <v>0.43989999999999901</v>
      </c>
      <c r="H78" s="6">
        <v>0</v>
      </c>
      <c r="I78" s="6">
        <v>0.47409999999999902</v>
      </c>
      <c r="J78" s="6">
        <v>0.43989999999999901</v>
      </c>
      <c r="K78" s="6">
        <v>0.47409999999999902</v>
      </c>
      <c r="L78" s="6">
        <v>27.619900000000001</v>
      </c>
      <c r="M78" s="6">
        <v>29.764099999999999</v>
      </c>
      <c r="N78" s="8">
        <v>1.0776306107431901</v>
      </c>
      <c r="O78" s="8">
        <v>1.0748223497963401</v>
      </c>
      <c r="P78" s="8">
        <v>1.0771383818874201</v>
      </c>
      <c r="Q78" s="8">
        <v>1.0762955678283599</v>
      </c>
      <c r="R78" s="6">
        <v>29.2136714674647</v>
      </c>
      <c r="S78" s="6">
        <v>29.2720008732202</v>
      </c>
      <c r="T78" s="6">
        <v>29.249350781144202</v>
      </c>
      <c r="U78" s="7">
        <v>-2.6093601966945502E-3</v>
      </c>
      <c r="V78" s="7">
        <v>-6.1470329148875097E-4</v>
      </c>
      <c r="W78" s="7">
        <v>-1.38878292453632E-3</v>
      </c>
      <c r="X78" s="8">
        <v>1.07763243168874</v>
      </c>
      <c r="Y78" s="8">
        <v>1.07476747574368</v>
      </c>
      <c r="Z78" s="8">
        <v>1.0771480306971499</v>
      </c>
      <c r="AA78" s="8">
        <v>1.0761559332926101</v>
      </c>
      <c r="AB78" s="6">
        <v>29.684970203292799</v>
      </c>
      <c r="AC78" s="6">
        <v>29.746100691310701</v>
      </c>
      <c r="AD78" s="6">
        <v>29.717837862968</v>
      </c>
      <c r="AE78" s="7">
        <v>-2.66210533379141E-3</v>
      </c>
      <c r="AF78" s="7">
        <v>-6.0491509116294203E-4</v>
      </c>
      <c r="AG78" s="7">
        <v>-1.55550232631843E-3</v>
      </c>
      <c r="AZ78" s="23"/>
      <c r="BB78" s="12">
        <f t="shared" si="6"/>
        <v>1</v>
      </c>
      <c r="BC78" s="12">
        <f t="shared" si="7"/>
        <v>0</v>
      </c>
      <c r="BD78" s="12">
        <f t="shared" si="8"/>
        <v>1</v>
      </c>
      <c r="BE78" s="12">
        <f t="shared" si="4"/>
        <v>1</v>
      </c>
      <c r="BF78" s="12">
        <f t="shared" si="9"/>
        <v>1</v>
      </c>
      <c r="BG78" s="23">
        <f t="shared" si="10"/>
        <v>-1.8378979626706099E-3</v>
      </c>
      <c r="BH78" s="23">
        <f t="shared" si="11"/>
        <v>1.36472214971749E-3</v>
      </c>
      <c r="BI78" s="23">
        <f t="shared" si="12"/>
        <v>-4.7317581295311991E-4</v>
      </c>
      <c r="BJ78" s="18">
        <f t="shared" si="13"/>
        <v>2.5482232077986325E-3</v>
      </c>
      <c r="BL78" s="23"/>
      <c r="BN78" s="12">
        <f t="shared" si="14"/>
        <v>0</v>
      </c>
      <c r="BO78" s="12">
        <f t="shared" si="15"/>
        <v>1</v>
      </c>
      <c r="BP78" s="12">
        <f t="shared" si="16"/>
        <v>0</v>
      </c>
      <c r="BQ78" s="12">
        <f t="shared" si="5"/>
        <v>1</v>
      </c>
      <c r="BR78" s="12">
        <f t="shared" si="17"/>
        <v>0</v>
      </c>
      <c r="BS78" s="23">
        <f t="shared" si="18"/>
        <v>0</v>
      </c>
      <c r="BT78" s="23">
        <f t="shared" si="19"/>
        <v>0</v>
      </c>
      <c r="BU78" s="23">
        <f t="shared" si="20"/>
        <v>0</v>
      </c>
      <c r="BV78" s="18">
        <f t="shared" si="21"/>
        <v>1.6042761898009991E-3</v>
      </c>
      <c r="BX78" s="18">
        <f t="shared" si="22"/>
        <v>-4.7317581295311991E-4</v>
      </c>
      <c r="BY78" s="18">
        <f t="shared" si="23"/>
        <v>4.1524993975996316E-3</v>
      </c>
    </row>
    <row r="79" spans="1:77" x14ac:dyDescent="0.3">
      <c r="A79" s="1">
        <v>46136</v>
      </c>
      <c r="B79" s="6">
        <v>27.2</v>
      </c>
      <c r="C79" s="6">
        <v>29.29</v>
      </c>
      <c r="D79" s="7">
        <v>7.3556457895390995E-4</v>
      </c>
      <c r="E79" s="7">
        <v>0</v>
      </c>
      <c r="F79" s="6">
        <v>0</v>
      </c>
      <c r="G79" s="6">
        <v>0.43989999999999901</v>
      </c>
      <c r="H79" s="6">
        <v>0</v>
      </c>
      <c r="I79" s="6">
        <v>0.47409999999999902</v>
      </c>
      <c r="J79" s="6">
        <v>0.43989999999999901</v>
      </c>
      <c r="K79" s="6">
        <v>0.47409999999999902</v>
      </c>
      <c r="L79" s="6">
        <v>27.639900000000001</v>
      </c>
      <c r="M79" s="6">
        <v>29.764099999999999</v>
      </c>
      <c r="N79" s="8">
        <v>1.0768382352941099</v>
      </c>
      <c r="O79" s="8">
        <v>1.0748223497963401</v>
      </c>
      <c r="P79" s="8">
        <v>1.0770929154760001</v>
      </c>
      <c r="Q79" s="8">
        <v>1.0764261005425799</v>
      </c>
      <c r="R79" s="6">
        <v>29.2351679144606</v>
      </c>
      <c r="S79" s="6">
        <v>29.298163987337901</v>
      </c>
      <c r="T79" s="6">
        <v>29.2752394449316</v>
      </c>
      <c r="U79" s="7">
        <v>-1.87379561774064E-3</v>
      </c>
      <c r="V79" s="7">
        <v>2.78690671807571E-4</v>
      </c>
      <c r="W79" s="7">
        <v>-5.0407222853666002E-4</v>
      </c>
      <c r="X79" s="8">
        <v>1.07685266589242</v>
      </c>
      <c r="Y79" s="8">
        <v>1.07476747574368</v>
      </c>
      <c r="Z79" s="8">
        <v>1.07710328371284</v>
      </c>
      <c r="AA79" s="8">
        <v>1.0763252165859301</v>
      </c>
      <c r="AB79" s="6">
        <v>29.7064655528077</v>
      </c>
      <c r="AC79" s="6">
        <v>29.772263853666399</v>
      </c>
      <c r="AD79" s="6">
        <v>29.7448423806145</v>
      </c>
      <c r="AE79" s="7">
        <v>-1.93825179565791E-3</v>
      </c>
      <c r="AF79" s="7">
        <v>2.7424764258856599E-4</v>
      </c>
      <c r="AG79" s="7">
        <v>-6.4721768820802795E-4</v>
      </c>
      <c r="AZ79" s="23"/>
      <c r="BB79" s="12">
        <f t="shared" si="6"/>
        <v>0</v>
      </c>
      <c r="BC79" s="12">
        <f t="shared" si="7"/>
        <v>0</v>
      </c>
      <c r="BD79" s="12">
        <f t="shared" si="8"/>
        <v>1</v>
      </c>
      <c r="BE79" s="12">
        <f t="shared" si="4"/>
        <v>1</v>
      </c>
      <c r="BF79" s="12">
        <f t="shared" si="9"/>
        <v>1</v>
      </c>
      <c r="BG79" s="23">
        <f t="shared" si="10"/>
        <v>7.3556457895390995E-4</v>
      </c>
      <c r="BH79" s="23">
        <f t="shared" si="11"/>
        <v>0</v>
      </c>
      <c r="BI79" s="23">
        <f t="shared" si="12"/>
        <v>7.3556457895390995E-4</v>
      </c>
      <c r="BJ79" s="18">
        <f t="shared" si="13"/>
        <v>3.2837877867525423E-3</v>
      </c>
      <c r="BL79" s="23"/>
      <c r="BN79" s="12">
        <f t="shared" si="14"/>
        <v>0</v>
      </c>
      <c r="BO79" s="12">
        <f t="shared" si="15"/>
        <v>1</v>
      </c>
      <c r="BP79" s="12">
        <f t="shared" si="16"/>
        <v>0</v>
      </c>
      <c r="BQ79" s="12">
        <f t="shared" si="5"/>
        <v>1</v>
      </c>
      <c r="BR79" s="12">
        <f t="shared" si="17"/>
        <v>0</v>
      </c>
      <c r="BS79" s="23">
        <f t="shared" si="18"/>
        <v>0</v>
      </c>
      <c r="BT79" s="23">
        <f t="shared" si="19"/>
        <v>0</v>
      </c>
      <c r="BU79" s="23">
        <f t="shared" si="20"/>
        <v>0</v>
      </c>
      <c r="BV79" s="18">
        <f t="shared" si="21"/>
        <v>1.6042761898009991E-3</v>
      </c>
      <c r="BX79" s="18">
        <f t="shared" si="22"/>
        <v>7.3556457895390995E-4</v>
      </c>
      <c r="BY79" s="18">
        <f t="shared" si="23"/>
        <v>4.8880639765535418E-3</v>
      </c>
    </row>
    <row r="80" spans="1:77" x14ac:dyDescent="0.3">
      <c r="A80" s="1">
        <v>46139</v>
      </c>
      <c r="B80" s="6">
        <v>27.22</v>
      </c>
      <c r="C80" s="6">
        <v>29.3</v>
      </c>
      <c r="D80" s="7">
        <v>7.3502392136837603E-4</v>
      </c>
      <c r="E80" s="7">
        <v>3.41355183379657E-4</v>
      </c>
      <c r="F80" s="6">
        <v>0</v>
      </c>
      <c r="G80" s="6">
        <v>0.43989999999999901</v>
      </c>
      <c r="H80" s="6">
        <v>0</v>
      </c>
      <c r="I80" s="6">
        <v>0.47409999999999902</v>
      </c>
      <c r="J80" s="6">
        <v>0.43989999999999901</v>
      </c>
      <c r="K80" s="6">
        <v>0.47409999999999902</v>
      </c>
      <c r="L80" s="6">
        <v>27.6599</v>
      </c>
      <c r="M80" s="6">
        <v>29.774100000000001</v>
      </c>
      <c r="N80" s="8">
        <v>1.0764144011756001</v>
      </c>
      <c r="O80" s="8">
        <v>1.0748223497963401</v>
      </c>
      <c r="P80" s="8">
        <v>1.0770335449819199</v>
      </c>
      <c r="Q80" s="8">
        <v>1.07646037607277</v>
      </c>
      <c r="R80" s="6">
        <v>29.256664361456501</v>
      </c>
      <c r="S80" s="6">
        <v>29.3184691592569</v>
      </c>
      <c r="T80" s="6">
        <v>29.300318456769102</v>
      </c>
      <c r="U80" s="7">
        <v>-1.48012687975182E-3</v>
      </c>
      <c r="V80" s="7">
        <v>6.3014814726453702E-4</v>
      </c>
      <c r="W80" s="7">
        <v>1.0868772646872901E-5</v>
      </c>
      <c r="X80" s="8">
        <v>1.07643556195069</v>
      </c>
      <c r="Y80" s="8">
        <v>1.07476747574368</v>
      </c>
      <c r="Z80" s="8">
        <v>1.0770448540413899</v>
      </c>
      <c r="AA80" s="8">
        <v>1.0763996015900299</v>
      </c>
      <c r="AB80" s="6">
        <v>29.7279609023226</v>
      </c>
      <c r="AC80" s="6">
        <v>29.792569117168799</v>
      </c>
      <c r="AD80" s="6">
        <v>29.771047858245201</v>
      </c>
      <c r="AE80" s="7">
        <v>-1.5508406339258601E-3</v>
      </c>
      <c r="AF80" s="7">
        <v>6.2011584782126802E-4</v>
      </c>
      <c r="AG80" s="7">
        <v>-1.02515212983492E-4</v>
      </c>
      <c r="AZ80" s="23"/>
      <c r="BB80" s="12">
        <f t="shared" si="6"/>
        <v>0</v>
      </c>
      <c r="BC80" s="12">
        <f t="shared" si="7"/>
        <v>0</v>
      </c>
      <c r="BD80" s="12">
        <f t="shared" si="8"/>
        <v>1</v>
      </c>
      <c r="BE80" s="12">
        <f t="shared" si="4"/>
        <v>1</v>
      </c>
      <c r="BF80" s="12">
        <f t="shared" si="9"/>
        <v>1</v>
      </c>
      <c r="BG80" s="23">
        <f t="shared" si="10"/>
        <v>7.3502392136837603E-4</v>
      </c>
      <c r="BH80" s="23">
        <f t="shared" si="11"/>
        <v>-3.41355183379657E-4</v>
      </c>
      <c r="BI80" s="23">
        <f t="shared" si="12"/>
        <v>3.9366873798871903E-4</v>
      </c>
      <c r="BJ80" s="18">
        <f t="shared" si="13"/>
        <v>3.6774565247412612E-3</v>
      </c>
      <c r="BL80" s="23"/>
      <c r="BN80" s="12">
        <f t="shared" si="14"/>
        <v>0</v>
      </c>
      <c r="BO80" s="12">
        <f t="shared" si="15"/>
        <v>1</v>
      </c>
      <c r="BP80" s="12">
        <f t="shared" si="16"/>
        <v>0</v>
      </c>
      <c r="BQ80" s="12">
        <f t="shared" si="5"/>
        <v>1</v>
      </c>
      <c r="BR80" s="12">
        <f t="shared" si="17"/>
        <v>0</v>
      </c>
      <c r="BS80" s="23">
        <f t="shared" si="18"/>
        <v>0</v>
      </c>
      <c r="BT80" s="23">
        <f t="shared" si="19"/>
        <v>0</v>
      </c>
      <c r="BU80" s="23">
        <f t="shared" si="20"/>
        <v>0</v>
      </c>
      <c r="BV80" s="18">
        <f t="shared" si="21"/>
        <v>1.6042761898009991E-3</v>
      </c>
      <c r="BX80" s="18">
        <f t="shared" si="22"/>
        <v>3.9366873798871903E-4</v>
      </c>
      <c r="BY80" s="18">
        <f t="shared" si="23"/>
        <v>5.2817327145422612E-3</v>
      </c>
    </row>
    <row r="81" spans="1:77" x14ac:dyDescent="0.3">
      <c r="A81" s="1">
        <v>46140</v>
      </c>
      <c r="B81" s="6">
        <v>27.2</v>
      </c>
      <c r="C81" s="6">
        <v>29.27</v>
      </c>
      <c r="D81" s="7">
        <v>-7.3502392136831998E-4</v>
      </c>
      <c r="E81" s="7">
        <v>-1.0244153192272001E-3</v>
      </c>
      <c r="F81" s="6">
        <v>0</v>
      </c>
      <c r="G81" s="6">
        <v>0.43989999999999901</v>
      </c>
      <c r="H81" s="6">
        <v>0</v>
      </c>
      <c r="I81" s="6">
        <v>0.47409999999999902</v>
      </c>
      <c r="J81" s="6">
        <v>0.43989999999999901</v>
      </c>
      <c r="K81" s="6">
        <v>0.47409999999999902</v>
      </c>
      <c r="L81" s="6">
        <v>27.639900000000001</v>
      </c>
      <c r="M81" s="6">
        <v>29.7441</v>
      </c>
      <c r="N81" s="8">
        <v>1.07610294117647</v>
      </c>
      <c r="O81" s="8">
        <v>1.0748223497963401</v>
      </c>
      <c r="P81" s="8">
        <v>1.0770136116600999</v>
      </c>
      <c r="Q81" s="8">
        <v>1.0765415155701601</v>
      </c>
      <c r="R81" s="6">
        <v>29.2351679144606</v>
      </c>
      <c r="S81" s="6">
        <v>29.2953124235083</v>
      </c>
      <c r="T81" s="6">
        <v>29.279722229179502</v>
      </c>
      <c r="U81" s="7">
        <v>-1.19073548189306E-3</v>
      </c>
      <c r="V81" s="7">
        <v>8.6441697438524904E-4</v>
      </c>
      <c r="W81" s="7">
        <v>3.3210163596902301E-4</v>
      </c>
      <c r="X81" s="8">
        <v>1.07612907427306</v>
      </c>
      <c r="Y81" s="8">
        <v>1.07476747574368</v>
      </c>
      <c r="Z81" s="8">
        <v>1.07702524293975</v>
      </c>
      <c r="AA81" s="8">
        <v>1.0765203453974901</v>
      </c>
      <c r="AB81" s="6">
        <v>29.7064655528077</v>
      </c>
      <c r="AC81" s="6">
        <v>29.769412061218699</v>
      </c>
      <c r="AD81" s="6">
        <v>29.751577347988501</v>
      </c>
      <c r="AE81" s="7">
        <v>-1.2660754988439099E-3</v>
      </c>
      <c r="AF81" s="7">
        <v>8.5063246541302001E-4</v>
      </c>
      <c r="AG81" s="7">
        <v>2.5135769054789199E-4</v>
      </c>
      <c r="AZ81" s="23"/>
      <c r="BB81" s="12">
        <f t="shared" si="6"/>
        <v>0</v>
      </c>
      <c r="BC81" s="12">
        <f t="shared" si="7"/>
        <v>1</v>
      </c>
      <c r="BD81" s="12">
        <f t="shared" si="8"/>
        <v>1</v>
      </c>
      <c r="BE81" s="12">
        <f t="shared" si="4"/>
        <v>1</v>
      </c>
      <c r="BF81" s="12">
        <f t="shared" si="9"/>
        <v>1</v>
      </c>
      <c r="BG81" s="23">
        <f t="shared" si="10"/>
        <v>-7.3502392136831998E-4</v>
      </c>
      <c r="BH81" s="23">
        <f t="shared" si="11"/>
        <v>1.0244153192272001E-3</v>
      </c>
      <c r="BI81" s="23">
        <f t="shared" si="12"/>
        <v>2.8939139785888013E-4</v>
      </c>
      <c r="BJ81" s="18">
        <f t="shared" si="13"/>
        <v>3.9668479226001412E-3</v>
      </c>
      <c r="BL81" s="23"/>
      <c r="BN81" s="12">
        <f t="shared" si="14"/>
        <v>0</v>
      </c>
      <c r="BO81" s="12">
        <f t="shared" si="15"/>
        <v>1</v>
      </c>
      <c r="BP81" s="12">
        <f t="shared" si="16"/>
        <v>0</v>
      </c>
      <c r="BQ81" s="12">
        <f t="shared" si="5"/>
        <v>1</v>
      </c>
      <c r="BR81" s="12">
        <f t="shared" si="17"/>
        <v>0</v>
      </c>
      <c r="BS81" s="23">
        <f t="shared" si="18"/>
        <v>0</v>
      </c>
      <c r="BT81" s="23">
        <f t="shared" si="19"/>
        <v>0</v>
      </c>
      <c r="BU81" s="23">
        <f t="shared" si="20"/>
        <v>0</v>
      </c>
      <c r="BV81" s="18">
        <f t="shared" si="21"/>
        <v>1.6042761898009991E-3</v>
      </c>
      <c r="BX81" s="18">
        <f t="shared" si="22"/>
        <v>2.8939139785888013E-4</v>
      </c>
      <c r="BY81" s="18">
        <f t="shared" si="23"/>
        <v>5.5711241124011416E-3</v>
      </c>
    </row>
    <row r="82" spans="1:77" x14ac:dyDescent="0.3">
      <c r="A82" s="1">
        <v>46141</v>
      </c>
      <c r="B82" s="6">
        <v>27.07</v>
      </c>
      <c r="C82" s="6">
        <v>29.17</v>
      </c>
      <c r="D82" s="7">
        <v>-4.7908696757417999E-3</v>
      </c>
      <c r="E82" s="7">
        <v>-3.42231682416432E-3</v>
      </c>
      <c r="F82" s="6">
        <v>0</v>
      </c>
      <c r="G82" s="6">
        <v>0.43989999999999901</v>
      </c>
      <c r="H82" s="6">
        <v>0</v>
      </c>
      <c r="I82" s="6">
        <v>0.47409999999999902</v>
      </c>
      <c r="J82" s="6">
        <v>0.43989999999999901</v>
      </c>
      <c r="K82" s="6">
        <v>0.47409999999999902</v>
      </c>
      <c r="L82" s="6">
        <v>27.509899999999998</v>
      </c>
      <c r="M82" s="6">
        <v>29.644100000000002</v>
      </c>
      <c r="N82" s="8">
        <v>1.0775766531215301</v>
      </c>
      <c r="O82" s="8">
        <v>1.0748223497963401</v>
      </c>
      <c r="P82" s="8">
        <v>1.0770959189112901</v>
      </c>
      <c r="Q82" s="8">
        <v>1.0766778332561799</v>
      </c>
      <c r="R82" s="6">
        <v>29.095441008987098</v>
      </c>
      <c r="S82" s="6">
        <v>29.154758467638899</v>
      </c>
      <c r="T82" s="6">
        <v>29.141978826484301</v>
      </c>
      <c r="U82" s="7">
        <v>-2.55928833347041E-3</v>
      </c>
      <c r="V82" s="7">
        <v>-5.22643663118654E-4</v>
      </c>
      <c r="W82" s="7">
        <v>-9.6107785180405097E-4</v>
      </c>
      <c r="X82" s="8">
        <v>1.0775793441633701</v>
      </c>
      <c r="Y82" s="8">
        <v>1.07476747574368</v>
      </c>
      <c r="Z82" s="8">
        <v>1.0771062432146501</v>
      </c>
      <c r="AA82" s="8">
        <v>1.0766949166311399</v>
      </c>
      <c r="AB82" s="6">
        <v>29.566745780961</v>
      </c>
      <c r="AC82" s="6">
        <v>29.6288567307483</v>
      </c>
      <c r="AD82" s="6">
        <v>29.614967049850499</v>
      </c>
      <c r="AE82" s="7">
        <v>-2.6128410099994599E-3</v>
      </c>
      <c r="AF82" s="7">
        <v>-5.1434146121576596E-4</v>
      </c>
      <c r="AG82" s="7">
        <v>-9.8324033593133204E-4</v>
      </c>
      <c r="AZ82" s="23"/>
      <c r="BB82" s="12">
        <f t="shared" si="6"/>
        <v>0</v>
      </c>
      <c r="BC82" s="12">
        <f t="shared" si="7"/>
        <v>0</v>
      </c>
      <c r="BD82" s="12">
        <f t="shared" si="8"/>
        <v>0</v>
      </c>
      <c r="BE82" s="12">
        <f t="shared" si="4"/>
        <v>1</v>
      </c>
      <c r="BF82" s="12">
        <f t="shared" si="9"/>
        <v>0</v>
      </c>
      <c r="BG82" s="23">
        <f t="shared" si="10"/>
        <v>0</v>
      </c>
      <c r="BH82" s="23">
        <f t="shared" si="11"/>
        <v>0</v>
      </c>
      <c r="BI82" s="23">
        <f t="shared" si="12"/>
        <v>0</v>
      </c>
      <c r="BJ82" s="18">
        <f t="shared" si="13"/>
        <v>3.9668479226001412E-3</v>
      </c>
      <c r="BL82" s="23"/>
      <c r="BN82" s="12">
        <f t="shared" si="14"/>
        <v>0</v>
      </c>
      <c r="BO82" s="12">
        <f t="shared" si="15"/>
        <v>1</v>
      </c>
      <c r="BP82" s="12">
        <f t="shared" si="16"/>
        <v>0</v>
      </c>
      <c r="BQ82" s="12">
        <f t="shared" si="5"/>
        <v>1</v>
      </c>
      <c r="BR82" s="12">
        <f t="shared" si="17"/>
        <v>0</v>
      </c>
      <c r="BS82" s="23">
        <f t="shared" si="18"/>
        <v>0</v>
      </c>
      <c r="BT82" s="23">
        <f t="shared" si="19"/>
        <v>0</v>
      </c>
      <c r="BU82" s="23">
        <f t="shared" si="20"/>
        <v>0</v>
      </c>
      <c r="BV82" s="18">
        <f t="shared" si="21"/>
        <v>1.6042761898009991E-3</v>
      </c>
      <c r="BX82" s="18">
        <f t="shared" si="22"/>
        <v>0</v>
      </c>
      <c r="BY82" s="18">
        <f t="shared" si="23"/>
        <v>5.5711241124011416E-3</v>
      </c>
    </row>
    <row r="83" spans="1:77" x14ac:dyDescent="0.3">
      <c r="A83" s="1">
        <v>46142</v>
      </c>
      <c r="B83" s="6">
        <v>27.14</v>
      </c>
      <c r="C83" s="6">
        <v>29.26</v>
      </c>
      <c r="D83" s="7">
        <v>2.5825507805133101E-3</v>
      </c>
      <c r="E83" s="7">
        <v>3.0806117123481202E-3</v>
      </c>
      <c r="F83" s="6">
        <v>0</v>
      </c>
      <c r="G83" s="6">
        <v>0.43989999999999901</v>
      </c>
      <c r="H83" s="6">
        <v>0</v>
      </c>
      <c r="I83" s="6">
        <v>0.47409999999999902</v>
      </c>
      <c r="J83" s="6">
        <v>0.43989999999999901</v>
      </c>
      <c r="K83" s="6">
        <v>0.47409999999999902</v>
      </c>
      <c r="L83" s="6">
        <v>27.579899999999999</v>
      </c>
      <c r="M83" s="6">
        <v>29.734100000000002</v>
      </c>
      <c r="N83" s="8">
        <v>1.07811348563006</v>
      </c>
      <c r="O83" s="8">
        <v>1.0748223497963401</v>
      </c>
      <c r="P83" s="8">
        <v>1.0771413491820601</v>
      </c>
      <c r="Q83" s="8">
        <v>1.07684239268545</v>
      </c>
      <c r="R83" s="6">
        <v>29.170678573472799</v>
      </c>
      <c r="S83" s="6">
        <v>29.2323832392524</v>
      </c>
      <c r="T83" s="6">
        <v>29.2210363945727</v>
      </c>
      <c r="U83" s="7">
        <v>-3.0573492653052699E-3</v>
      </c>
      <c r="V83" s="7">
        <v>-9.4428577774534198E-4</v>
      </c>
      <c r="W83" s="7">
        <v>-1.33252122721285E-3</v>
      </c>
      <c r="X83" s="8">
        <v>1.0781076073517299</v>
      </c>
      <c r="Y83" s="8">
        <v>1.07476747574368</v>
      </c>
      <c r="Z83" s="8">
        <v>1.07715094902025</v>
      </c>
      <c r="AA83" s="8">
        <v>1.07685681616147</v>
      </c>
      <c r="AB83" s="6">
        <v>29.641979504263102</v>
      </c>
      <c r="AC83" s="6">
        <v>29.706482477235902</v>
      </c>
      <c r="AD83" s="6">
        <v>29.695138131195201</v>
      </c>
      <c r="AE83" s="7">
        <v>-3.1029522467539601E-3</v>
      </c>
      <c r="AF83" s="7">
        <v>-9.2924811973119298E-4</v>
      </c>
      <c r="AG83" s="7">
        <v>-1.3112022166887501E-3</v>
      </c>
      <c r="AZ83" s="23"/>
      <c r="BB83" s="12">
        <f t="shared" si="6"/>
        <v>1</v>
      </c>
      <c r="BC83" s="12">
        <f t="shared" si="7"/>
        <v>0</v>
      </c>
      <c r="BD83" s="12">
        <f t="shared" si="8"/>
        <v>0</v>
      </c>
      <c r="BE83" s="12">
        <f t="shared" si="4"/>
        <v>0</v>
      </c>
      <c r="BF83" s="12">
        <f t="shared" si="9"/>
        <v>0</v>
      </c>
      <c r="BG83" s="23">
        <f t="shared" si="10"/>
        <v>0</v>
      </c>
      <c r="BH83" s="23">
        <f t="shared" si="11"/>
        <v>0</v>
      </c>
      <c r="BI83" s="23">
        <f t="shared" si="12"/>
        <v>0</v>
      </c>
      <c r="BJ83" s="18">
        <f t="shared" si="13"/>
        <v>3.9668479226001412E-3</v>
      </c>
      <c r="BL83" s="23"/>
      <c r="BN83" s="12">
        <f t="shared" si="14"/>
        <v>0</v>
      </c>
      <c r="BO83" s="12">
        <f t="shared" si="15"/>
        <v>1</v>
      </c>
      <c r="BP83" s="12">
        <f t="shared" si="16"/>
        <v>0</v>
      </c>
      <c r="BQ83" s="12">
        <f t="shared" si="5"/>
        <v>0</v>
      </c>
      <c r="BR83" s="12">
        <f t="shared" si="17"/>
        <v>0</v>
      </c>
      <c r="BS83" s="23">
        <f t="shared" si="18"/>
        <v>0</v>
      </c>
      <c r="BT83" s="23">
        <f t="shared" si="19"/>
        <v>0</v>
      </c>
      <c r="BU83" s="23">
        <f t="shared" si="20"/>
        <v>0</v>
      </c>
      <c r="BV83" s="18">
        <f t="shared" si="21"/>
        <v>1.6042761898009991E-3</v>
      </c>
      <c r="BX83" s="18">
        <f t="shared" si="22"/>
        <v>0</v>
      </c>
      <c r="BY83" s="18">
        <f t="shared" si="23"/>
        <v>5.5711241124011416E-3</v>
      </c>
    </row>
    <row r="84" spans="1:77" x14ac:dyDescent="0.3">
      <c r="A84" s="1">
        <v>46143</v>
      </c>
      <c r="B84" s="6">
        <v>27.04</v>
      </c>
      <c r="C84" s="6">
        <v>29.14</v>
      </c>
      <c r="D84" s="7">
        <v>-3.6914032319597901E-3</v>
      </c>
      <c r="E84" s="7">
        <v>-4.1095948249194603E-3</v>
      </c>
      <c r="F84" s="6">
        <v>0.15160000000000001</v>
      </c>
      <c r="G84" s="6">
        <v>0.59149999999999903</v>
      </c>
      <c r="H84" s="6">
        <v>0.15629999999999999</v>
      </c>
      <c r="I84" s="6">
        <v>0.63039999999999996</v>
      </c>
      <c r="J84" s="6">
        <v>0.59149999999999903</v>
      </c>
      <c r="K84" s="6">
        <v>0.63039999999999996</v>
      </c>
      <c r="L84" s="6">
        <v>27.631499999999999</v>
      </c>
      <c r="M84" s="6">
        <v>29.770399999999999</v>
      </c>
      <c r="N84" s="8">
        <v>1.07766272189349</v>
      </c>
      <c r="O84" s="8">
        <v>1.0748223497963401</v>
      </c>
      <c r="P84" s="8">
        <v>1.07717585149233</v>
      </c>
      <c r="Q84" s="8">
        <v>1.07695546532362</v>
      </c>
      <c r="R84" s="6">
        <v>29.063196338493199</v>
      </c>
      <c r="S84" s="6">
        <v>29.125902081883002</v>
      </c>
      <c r="T84" s="6">
        <v>29.1178182982148</v>
      </c>
      <c r="U84" s="7">
        <v>-2.6391576723456501E-3</v>
      </c>
      <c r="V84" s="7">
        <v>-4.83916592324255E-4</v>
      </c>
      <c r="W84" s="7">
        <v>-7.6150132308565896E-4</v>
      </c>
      <c r="X84" s="8">
        <v>1.0774080306896101</v>
      </c>
      <c r="Y84" s="8">
        <v>1.07476747574368</v>
      </c>
      <c r="Z84" s="8">
        <v>1.0771593044424499</v>
      </c>
      <c r="AA84" s="8">
        <v>1.0769552611335</v>
      </c>
      <c r="AB84" s="6">
        <v>29.6974375060115</v>
      </c>
      <c r="AC84" s="6">
        <v>29.7632964478533</v>
      </c>
      <c r="AD84" s="6">
        <v>29.755169115765799</v>
      </c>
      <c r="AE84" s="7">
        <v>-2.4538484552195502E-3</v>
      </c>
      <c r="AF84" s="7">
        <v>-2.3863971512791201E-4</v>
      </c>
      <c r="AG84" s="7">
        <v>-5.1174259373732898E-4</v>
      </c>
      <c r="AZ84" s="23"/>
      <c r="BB84" s="12">
        <f t="shared" si="6"/>
        <v>0</v>
      </c>
      <c r="BC84" s="12">
        <f t="shared" si="7"/>
        <v>0</v>
      </c>
      <c r="BD84" s="12">
        <f t="shared" si="8"/>
        <v>0</v>
      </c>
      <c r="BE84" s="12">
        <f t="shared" si="4"/>
        <v>1</v>
      </c>
      <c r="BF84" s="12">
        <f t="shared" si="9"/>
        <v>0</v>
      </c>
      <c r="BG84" s="23">
        <f t="shared" si="10"/>
        <v>0</v>
      </c>
      <c r="BH84" s="23">
        <f t="shared" si="11"/>
        <v>0</v>
      </c>
      <c r="BI84" s="23">
        <f t="shared" si="12"/>
        <v>0</v>
      </c>
      <c r="BJ84" s="18">
        <f t="shared" si="13"/>
        <v>3.9668479226001412E-3</v>
      </c>
      <c r="BL84" s="23"/>
      <c r="BN84" s="12">
        <f t="shared" si="14"/>
        <v>0</v>
      </c>
      <c r="BO84" s="12">
        <f t="shared" si="15"/>
        <v>1</v>
      </c>
      <c r="BP84" s="12">
        <f t="shared" si="16"/>
        <v>0</v>
      </c>
      <c r="BQ84" s="12">
        <f t="shared" si="5"/>
        <v>1</v>
      </c>
      <c r="BR84" s="12">
        <f t="shared" si="17"/>
        <v>0</v>
      </c>
      <c r="BS84" s="23">
        <f t="shared" si="18"/>
        <v>0</v>
      </c>
      <c r="BT84" s="23">
        <f t="shared" si="19"/>
        <v>0</v>
      </c>
      <c r="BU84" s="23">
        <f t="shared" si="20"/>
        <v>0</v>
      </c>
      <c r="BV84" s="18">
        <f t="shared" si="21"/>
        <v>1.6042761898009991E-3</v>
      </c>
      <c r="BX84" s="18">
        <f t="shared" si="22"/>
        <v>0</v>
      </c>
      <c r="BY84" s="18">
        <f t="shared" si="23"/>
        <v>5.5711241124011416E-3</v>
      </c>
    </row>
    <row r="85" spans="1:77" x14ac:dyDescent="0.3">
      <c r="A85" s="1">
        <v>46146</v>
      </c>
      <c r="B85" s="6">
        <v>26.95</v>
      </c>
      <c r="C85" s="6">
        <v>29.04</v>
      </c>
      <c r="D85" s="7">
        <v>-3.3339538197572102E-3</v>
      </c>
      <c r="E85" s="7">
        <v>-3.43761081046346E-3</v>
      </c>
      <c r="F85" s="6">
        <v>0</v>
      </c>
      <c r="G85" s="6">
        <v>0.59149999999999903</v>
      </c>
      <c r="H85" s="6">
        <v>0</v>
      </c>
      <c r="I85" s="6">
        <v>0.63039999999999996</v>
      </c>
      <c r="J85" s="6">
        <v>0.59149999999999903</v>
      </c>
      <c r="K85" s="6">
        <v>0.63039999999999996</v>
      </c>
      <c r="L85" s="6">
        <v>27.541499999999999</v>
      </c>
      <c r="M85" s="6">
        <v>29.670400000000001</v>
      </c>
      <c r="N85" s="8">
        <v>1.07755102040816</v>
      </c>
      <c r="O85" s="8">
        <v>1.0748223497963401</v>
      </c>
      <c r="P85" s="8">
        <v>1.0772273585221399</v>
      </c>
      <c r="Q85" s="8">
        <v>1.0770140893693601</v>
      </c>
      <c r="R85" s="6">
        <v>28.966462327011499</v>
      </c>
      <c r="S85" s="6">
        <v>29.029889197718401</v>
      </c>
      <c r="T85" s="6">
        <v>29.023949790471502</v>
      </c>
      <c r="U85" s="7">
        <v>-2.5355006816392199E-3</v>
      </c>
      <c r="V85" s="7">
        <v>-3.4822874723441E-4</v>
      </c>
      <c r="W85" s="7">
        <v>-5.5284595674792096E-4</v>
      </c>
      <c r="X85" s="8">
        <v>1.0772978959025401</v>
      </c>
      <c r="Y85" s="8">
        <v>1.07476747574368</v>
      </c>
      <c r="Z85" s="8">
        <v>1.0771843730770401</v>
      </c>
      <c r="AA85" s="8">
        <v>1.07700012726283</v>
      </c>
      <c r="AB85" s="6">
        <v>29.600708433194502</v>
      </c>
      <c r="AC85" s="6">
        <v>29.6665829833019</v>
      </c>
      <c r="AD85" s="6">
        <v>29.660963324508302</v>
      </c>
      <c r="AE85" s="7">
        <v>-2.3516212456488501E-3</v>
      </c>
      <c r="AF85" s="7">
        <v>-1.2865557065550699E-4</v>
      </c>
      <c r="AG85" s="7">
        <v>-3.1810074949960098E-4</v>
      </c>
      <c r="AZ85" s="23"/>
      <c r="BB85" s="12">
        <f t="shared" si="6"/>
        <v>0</v>
      </c>
      <c r="BC85" s="12">
        <f t="shared" si="7"/>
        <v>0</v>
      </c>
      <c r="BD85" s="12">
        <f t="shared" si="8"/>
        <v>0</v>
      </c>
      <c r="BE85" s="12">
        <f t="shared" si="4"/>
        <v>1</v>
      </c>
      <c r="BF85" s="12">
        <f t="shared" si="9"/>
        <v>0</v>
      </c>
      <c r="BG85" s="23">
        <f t="shared" si="10"/>
        <v>0</v>
      </c>
      <c r="BH85" s="23">
        <f t="shared" si="11"/>
        <v>0</v>
      </c>
      <c r="BI85" s="23">
        <f t="shared" si="12"/>
        <v>0</v>
      </c>
      <c r="BJ85" s="18">
        <f t="shared" si="13"/>
        <v>3.9668479226001412E-3</v>
      </c>
      <c r="BL85" s="23"/>
      <c r="BN85" s="12">
        <f t="shared" si="14"/>
        <v>0</v>
      </c>
      <c r="BO85" s="12">
        <f t="shared" si="15"/>
        <v>1</v>
      </c>
      <c r="BP85" s="12">
        <f t="shared" si="16"/>
        <v>0</v>
      </c>
      <c r="BQ85" s="12">
        <f t="shared" si="5"/>
        <v>1</v>
      </c>
      <c r="BR85" s="12">
        <f t="shared" si="17"/>
        <v>0</v>
      </c>
      <c r="BS85" s="23">
        <f t="shared" si="18"/>
        <v>0</v>
      </c>
      <c r="BT85" s="23">
        <f t="shared" si="19"/>
        <v>0</v>
      </c>
      <c r="BU85" s="23">
        <f t="shared" si="20"/>
        <v>0</v>
      </c>
      <c r="BV85" s="18">
        <f t="shared" si="21"/>
        <v>1.6042761898009991E-3</v>
      </c>
      <c r="BX85" s="18">
        <f t="shared" si="22"/>
        <v>0</v>
      </c>
      <c r="BY85" s="18">
        <f t="shared" si="23"/>
        <v>5.5711241124011416E-3</v>
      </c>
    </row>
    <row r="86" spans="1:77" x14ac:dyDescent="0.3">
      <c r="A86" s="1">
        <v>46147</v>
      </c>
      <c r="B86" s="6">
        <v>27.03</v>
      </c>
      <c r="C86" s="6">
        <v>29.11</v>
      </c>
      <c r="D86" s="7">
        <v>2.9640629333501701E-3</v>
      </c>
      <c r="E86" s="7">
        <v>2.4075678009364402E-3</v>
      </c>
      <c r="F86" s="6">
        <v>0</v>
      </c>
      <c r="G86" s="6">
        <v>0.59149999999999903</v>
      </c>
      <c r="H86" s="6">
        <v>0</v>
      </c>
      <c r="I86" s="6">
        <v>0.63039999999999996</v>
      </c>
      <c r="J86" s="6">
        <v>0.59149999999999903</v>
      </c>
      <c r="K86" s="6">
        <v>0.63039999999999996</v>
      </c>
      <c r="L86" s="6">
        <v>27.621500000000001</v>
      </c>
      <c r="M86" s="6">
        <v>29.740400000000001</v>
      </c>
      <c r="N86" s="8">
        <v>1.0769515353311101</v>
      </c>
      <c r="O86" s="8">
        <v>1.0748223497963401</v>
      </c>
      <c r="P86" s="8">
        <v>1.07719624273958</v>
      </c>
      <c r="Q86" s="8">
        <v>1.07702982089782</v>
      </c>
      <c r="R86" s="6">
        <v>29.052448114995201</v>
      </c>
      <c r="S86" s="6">
        <v>29.117455500853598</v>
      </c>
      <c r="T86" s="6">
        <v>29.111690835653899</v>
      </c>
      <c r="U86" s="7">
        <v>-1.9790055492257199E-3</v>
      </c>
      <c r="V86" s="7">
        <v>2.5608197474168398E-4</v>
      </c>
      <c r="W86" s="7">
        <v>5.8082670912138098E-5</v>
      </c>
      <c r="X86" s="8">
        <v>1.07671198160852</v>
      </c>
      <c r="Y86" s="8">
        <v>1.07476747574368</v>
      </c>
      <c r="Z86" s="8">
        <v>1.07712853384818</v>
      </c>
      <c r="AA86" s="8">
        <v>1.07700298903456</v>
      </c>
      <c r="AB86" s="6">
        <v>29.686689831254</v>
      </c>
      <c r="AC86" s="6">
        <v>29.7534481609474</v>
      </c>
      <c r="AD86" s="6">
        <v>29.748359015190399</v>
      </c>
      <c r="AE86" s="7">
        <v>-1.8075993128013801E-3</v>
      </c>
      <c r="AF86" s="7">
        <v>4.3863900420010402E-4</v>
      </c>
      <c r="AG86" s="7">
        <v>2.6758047636892001E-4</v>
      </c>
      <c r="AZ86" s="23"/>
      <c r="BB86" s="12">
        <f t="shared" si="6"/>
        <v>0</v>
      </c>
      <c r="BC86" s="12">
        <f t="shared" si="7"/>
        <v>1</v>
      </c>
      <c r="BD86" s="12">
        <f t="shared" si="8"/>
        <v>0</v>
      </c>
      <c r="BE86" s="12">
        <f t="shared" ref="BE86:BE149" si="24">IF(F87+H87&gt;0,0,1)</f>
        <v>1</v>
      </c>
      <c r="BF86" s="12">
        <f t="shared" si="9"/>
        <v>0</v>
      </c>
      <c r="BG86" s="23">
        <f t="shared" si="10"/>
        <v>0</v>
      </c>
      <c r="BH86" s="23">
        <f t="shared" si="11"/>
        <v>0</v>
      </c>
      <c r="BI86" s="23">
        <f t="shared" si="12"/>
        <v>0</v>
      </c>
      <c r="BJ86" s="18">
        <f t="shared" si="13"/>
        <v>3.9668479226001412E-3</v>
      </c>
      <c r="BL86" s="23"/>
      <c r="BN86" s="12">
        <f t="shared" si="14"/>
        <v>0</v>
      </c>
      <c r="BO86" s="12">
        <f t="shared" si="15"/>
        <v>1</v>
      </c>
      <c r="BP86" s="12">
        <f t="shared" si="16"/>
        <v>0</v>
      </c>
      <c r="BQ86" s="12">
        <f t="shared" ref="BQ86:BQ149" si="25">IF(F87+H87&gt;0,0,1)</f>
        <v>1</v>
      </c>
      <c r="BR86" s="12">
        <f t="shared" si="17"/>
        <v>0</v>
      </c>
      <c r="BS86" s="23">
        <f t="shared" si="18"/>
        <v>0</v>
      </c>
      <c r="BT86" s="23">
        <f t="shared" si="19"/>
        <v>0</v>
      </c>
      <c r="BU86" s="23">
        <f t="shared" si="20"/>
        <v>0</v>
      </c>
      <c r="BV86" s="18">
        <f t="shared" si="21"/>
        <v>1.6042761898009991E-3</v>
      </c>
      <c r="BX86" s="18">
        <f t="shared" si="22"/>
        <v>0</v>
      </c>
      <c r="BY86" s="18">
        <f t="shared" si="23"/>
        <v>5.5711241124011416E-3</v>
      </c>
    </row>
    <row r="87" spans="1:77" x14ac:dyDescent="0.3">
      <c r="A87" s="1">
        <v>46148</v>
      </c>
      <c r="B87" s="6">
        <v>27.12</v>
      </c>
      <c r="C87" s="6">
        <v>29.21</v>
      </c>
      <c r="D87" s="7">
        <v>3.3241027838386201E-3</v>
      </c>
      <c r="E87" s="7">
        <v>3.4293586421178198E-3</v>
      </c>
      <c r="F87" s="6">
        <v>0</v>
      </c>
      <c r="G87" s="6">
        <v>0.59149999999999903</v>
      </c>
      <c r="H87" s="6">
        <v>0</v>
      </c>
      <c r="I87" s="6">
        <v>0.63039999999999996</v>
      </c>
      <c r="J87" s="6">
        <v>0.59149999999999903</v>
      </c>
      <c r="K87" s="6">
        <v>0.63039999999999996</v>
      </c>
      <c r="L87" s="6">
        <v>27.711500000000001</v>
      </c>
      <c r="M87" s="6">
        <v>29.840399999999999</v>
      </c>
      <c r="N87" s="8">
        <v>1.0770648967551599</v>
      </c>
      <c r="O87" s="8">
        <v>1.0748223497963401</v>
      </c>
      <c r="P87" s="8">
        <v>1.0771906501528901</v>
      </c>
      <c r="Q87" s="8">
        <v>1.0770795206838799</v>
      </c>
      <c r="R87" s="6">
        <v>29.149182126476902</v>
      </c>
      <c r="S87" s="6">
        <v>29.213562103097502</v>
      </c>
      <c r="T87" s="6">
        <v>29.209048742748902</v>
      </c>
      <c r="U87" s="7">
        <v>-2.0842614075049499E-3</v>
      </c>
      <c r="V87" s="7">
        <v>1.21940634010632E-4</v>
      </c>
      <c r="W87" s="7">
        <v>-3.2566680614350001E-5</v>
      </c>
      <c r="X87" s="8">
        <v>1.0768237013514199</v>
      </c>
      <c r="Y87" s="8">
        <v>1.07476747574368</v>
      </c>
      <c r="Z87" s="8">
        <v>1.07709782948721</v>
      </c>
      <c r="AA87" s="8">
        <v>1.0770392910902</v>
      </c>
      <c r="AB87" s="6">
        <v>29.783418904070999</v>
      </c>
      <c r="AC87" s="6">
        <v>29.848847365733899</v>
      </c>
      <c r="AD87" s="6">
        <v>29.845368330631199</v>
      </c>
      <c r="AE87" s="7">
        <v>-1.91135403010575E-3</v>
      </c>
      <c r="AF87" s="7">
        <v>2.8304480834248202E-4</v>
      </c>
      <c r="AG87" s="7">
        <v>1.66482924881097E-4</v>
      </c>
      <c r="AZ87" s="23"/>
      <c r="BB87" s="12">
        <f t="shared" ref="BB87:BB150" si="26">IF($AG87&lt;BA$20,1,0)</f>
        <v>0</v>
      </c>
      <c r="BC87" s="12">
        <f t="shared" ref="BC87:BC150" si="27">IF($AG87&gt;BA$21,1,0)</f>
        <v>1</v>
      </c>
      <c r="BD87" s="12">
        <f t="shared" ref="BD87:BD150" si="28">BF87</f>
        <v>0</v>
      </c>
      <c r="BE87" s="12">
        <f t="shared" si="24"/>
        <v>1</v>
      </c>
      <c r="BF87" s="12">
        <f t="shared" ref="BF87:BF150" si="29">IF(BB86,1,IF(BC86,0,BD86))*BE86</f>
        <v>0</v>
      </c>
      <c r="BG87" s="23">
        <f t="shared" ref="BG87:BG150" si="30">BF87*D87</f>
        <v>0</v>
      </c>
      <c r="BH87" s="23">
        <f t="shared" ref="BH87:BH150" si="31">-BF87*$E87</f>
        <v>0</v>
      </c>
      <c r="BI87" s="23">
        <f t="shared" ref="BI87:BI150" si="32">BG87+BH87</f>
        <v>0</v>
      </c>
      <c r="BJ87" s="18">
        <f t="shared" ref="BJ87:BJ150" si="33">BJ86+BI87</f>
        <v>3.9668479226001412E-3</v>
      </c>
      <c r="BL87" s="23"/>
      <c r="BN87" s="12">
        <f t="shared" ref="BN87:BN150" si="34">IF($AG87&gt;BM$20,1,0)</f>
        <v>0</v>
      </c>
      <c r="BO87" s="12">
        <f t="shared" ref="BO87:BO150" si="35">IF($AG87&lt;BM$21,1,0)</f>
        <v>1</v>
      </c>
      <c r="BP87" s="12">
        <f t="shared" ref="BP87:BP150" si="36">BR87</f>
        <v>0</v>
      </c>
      <c r="BQ87" s="12">
        <f t="shared" si="25"/>
        <v>1</v>
      </c>
      <c r="BR87" s="12">
        <f t="shared" ref="BR87:BR150" si="37">IF(BN86,1,IF(BO86,0,BP86))*BQ86</f>
        <v>0</v>
      </c>
      <c r="BS87" s="23">
        <f t="shared" ref="BS87:BS150" si="38">-BR87*D87</f>
        <v>0</v>
      </c>
      <c r="BT87" s="23">
        <f t="shared" ref="BT87:BT150" si="39">BR87*$E87</f>
        <v>0</v>
      </c>
      <c r="BU87" s="23">
        <f t="shared" ref="BU87:BU150" si="40">BS87+BT87</f>
        <v>0</v>
      </c>
      <c r="BV87" s="18">
        <f t="shared" ref="BV87:BV150" si="41">BV86+BU87</f>
        <v>1.6042761898009991E-3</v>
      </c>
      <c r="BX87" s="18">
        <f t="shared" ref="BX87:BX150" si="42">BI87+BU87</f>
        <v>0</v>
      </c>
      <c r="BY87" s="18">
        <f t="shared" ref="BY87:BY150" si="43">BY86+BX87</f>
        <v>5.5711241124011416E-3</v>
      </c>
    </row>
    <row r="88" spans="1:77" x14ac:dyDescent="0.3">
      <c r="A88" s="1">
        <v>46149</v>
      </c>
      <c r="B88" s="6">
        <v>27.04</v>
      </c>
      <c r="C88" s="6">
        <v>29.08</v>
      </c>
      <c r="D88" s="7">
        <v>-2.9542118974315201E-3</v>
      </c>
      <c r="E88" s="7">
        <v>-4.4604637343311103E-3</v>
      </c>
      <c r="F88" s="6">
        <v>0</v>
      </c>
      <c r="G88" s="6">
        <v>0.59149999999999903</v>
      </c>
      <c r="H88" s="6">
        <v>0</v>
      </c>
      <c r="I88" s="6">
        <v>0.63039999999999996</v>
      </c>
      <c r="J88" s="6">
        <v>0.59149999999999903</v>
      </c>
      <c r="K88" s="6">
        <v>0.63039999999999996</v>
      </c>
      <c r="L88" s="6">
        <v>27.631499999999999</v>
      </c>
      <c r="M88" s="6">
        <v>29.7104</v>
      </c>
      <c r="N88" s="8">
        <v>1.07544378698224</v>
      </c>
      <c r="O88" s="8">
        <v>1.0748223497963401</v>
      </c>
      <c r="P88" s="8">
        <v>1.0769719677767899</v>
      </c>
      <c r="Q88" s="8">
        <v>1.07705517483211</v>
      </c>
      <c r="R88" s="6">
        <v>29.063196338493199</v>
      </c>
      <c r="S88" s="6">
        <v>29.1272351801342</v>
      </c>
      <c r="T88" s="6">
        <v>29.124230239292199</v>
      </c>
      <c r="U88" s="7">
        <v>-5.7800957060543095E-4</v>
      </c>
      <c r="V88" s="7">
        <v>1.6230006581366501E-3</v>
      </c>
      <c r="W88" s="7">
        <v>1.5198293190802801E-3</v>
      </c>
      <c r="X88" s="8">
        <v>1.0752365959140799</v>
      </c>
      <c r="Y88" s="8">
        <v>1.07476747574368</v>
      </c>
      <c r="Z88" s="8">
        <v>1.07685824590974</v>
      </c>
      <c r="AA88" s="8">
        <v>1.07700313830345</v>
      </c>
      <c r="AB88" s="6">
        <v>29.6974375060115</v>
      </c>
      <c r="AC88" s="6">
        <v>29.7618286754759</v>
      </c>
      <c r="AD88" s="6">
        <v>29.7602111717589</v>
      </c>
      <c r="AE88" s="7">
        <v>-4.3639003668130701E-4</v>
      </c>
      <c r="AF88" s="7">
        <v>1.72950264150874E-3</v>
      </c>
      <c r="AG88" s="7">
        <v>1.6751529007554299E-3</v>
      </c>
      <c r="AZ88" s="23"/>
      <c r="BB88" s="12">
        <f t="shared" si="26"/>
        <v>0</v>
      </c>
      <c r="BC88" s="12">
        <f t="shared" si="27"/>
        <v>1</v>
      </c>
      <c r="BD88" s="12">
        <f t="shared" si="28"/>
        <v>0</v>
      </c>
      <c r="BE88" s="12">
        <f t="shared" si="24"/>
        <v>1</v>
      </c>
      <c r="BF88" s="12">
        <f t="shared" si="29"/>
        <v>0</v>
      </c>
      <c r="BG88" s="23">
        <f t="shared" si="30"/>
        <v>0</v>
      </c>
      <c r="BH88" s="23">
        <f t="shared" si="31"/>
        <v>0</v>
      </c>
      <c r="BI88" s="23">
        <f t="shared" si="32"/>
        <v>0</v>
      </c>
      <c r="BJ88" s="18">
        <f t="shared" si="33"/>
        <v>3.9668479226001412E-3</v>
      </c>
      <c r="BL88" s="23"/>
      <c r="BN88" s="12">
        <f t="shared" si="34"/>
        <v>0</v>
      </c>
      <c r="BO88" s="12">
        <f t="shared" si="35"/>
        <v>0</v>
      </c>
      <c r="BP88" s="12">
        <f t="shared" si="36"/>
        <v>0</v>
      </c>
      <c r="BQ88" s="12">
        <f t="shared" si="25"/>
        <v>1</v>
      </c>
      <c r="BR88" s="12">
        <f t="shared" si="37"/>
        <v>0</v>
      </c>
      <c r="BS88" s="23">
        <f t="shared" si="38"/>
        <v>0</v>
      </c>
      <c r="BT88" s="23">
        <f t="shared" si="39"/>
        <v>0</v>
      </c>
      <c r="BU88" s="23">
        <f t="shared" si="40"/>
        <v>0</v>
      </c>
      <c r="BV88" s="18">
        <f t="shared" si="41"/>
        <v>1.6042761898009991E-3</v>
      </c>
      <c r="BX88" s="18">
        <f t="shared" si="42"/>
        <v>0</v>
      </c>
      <c r="BY88" s="18">
        <f t="shared" si="43"/>
        <v>5.5711241124011416E-3</v>
      </c>
    </row>
    <row r="89" spans="1:77" x14ac:dyDescent="0.3">
      <c r="A89" s="1">
        <v>46150</v>
      </c>
      <c r="B89" s="6">
        <v>27.13</v>
      </c>
      <c r="C89" s="6">
        <v>29.17</v>
      </c>
      <c r="D89" s="7">
        <v>3.3228754960769498E-3</v>
      </c>
      <c r="E89" s="7">
        <v>3.0901312143115601E-3</v>
      </c>
      <c r="F89" s="6">
        <v>0</v>
      </c>
      <c r="G89" s="6">
        <v>0.59149999999999903</v>
      </c>
      <c r="H89" s="6">
        <v>0</v>
      </c>
      <c r="I89" s="6">
        <v>0.63039999999999996</v>
      </c>
      <c r="J89" s="6">
        <v>0.59149999999999903</v>
      </c>
      <c r="K89" s="6">
        <v>0.63039999999999996</v>
      </c>
      <c r="L89" s="6">
        <v>27.721499999999999</v>
      </c>
      <c r="M89" s="6">
        <v>29.8004</v>
      </c>
      <c r="N89" s="8">
        <v>1.0751935127165499</v>
      </c>
      <c r="O89" s="8">
        <v>1.0748223497963401</v>
      </c>
      <c r="P89" s="8">
        <v>1.0768074955190401</v>
      </c>
      <c r="Q89" s="8">
        <v>1.07695020549752</v>
      </c>
      <c r="R89" s="6">
        <v>29.1599303499748</v>
      </c>
      <c r="S89" s="6">
        <v>29.218249485784501</v>
      </c>
      <c r="T89" s="6">
        <v>29.2205068931951</v>
      </c>
      <c r="U89" s="7">
        <v>-3.45265288839898E-4</v>
      </c>
      <c r="V89" s="7">
        <v>1.6527125643282701E-3</v>
      </c>
      <c r="W89" s="7">
        <v>1.7299697666251E-3</v>
      </c>
      <c r="X89" s="8">
        <v>1.0749923344696299</v>
      </c>
      <c r="Y89" s="8">
        <v>1.07476747574368</v>
      </c>
      <c r="Z89" s="8">
        <v>1.0766722127674599</v>
      </c>
      <c r="AA89" s="8">
        <v>1.07688774824015</v>
      </c>
      <c r="AB89" s="6">
        <v>29.794166578828399</v>
      </c>
      <c r="AC89" s="6">
        <v>29.852125863986998</v>
      </c>
      <c r="AD89" s="6">
        <v>29.856142498479102</v>
      </c>
      <c r="AE89" s="7">
        <v>-2.0919427901377601E-4</v>
      </c>
      <c r="AF89" s="7">
        <v>1.73423928667073E-3</v>
      </c>
      <c r="AG89" s="7">
        <v>1.86878127250731E-3</v>
      </c>
      <c r="AZ89" s="23"/>
      <c r="BB89" s="12">
        <f t="shared" si="26"/>
        <v>0</v>
      </c>
      <c r="BC89" s="12">
        <f t="shared" si="27"/>
        <v>1</v>
      </c>
      <c r="BD89" s="12">
        <f t="shared" si="28"/>
        <v>0</v>
      </c>
      <c r="BE89" s="12">
        <f t="shared" si="24"/>
        <v>1</v>
      </c>
      <c r="BF89" s="12">
        <f t="shared" si="29"/>
        <v>0</v>
      </c>
      <c r="BG89" s="23">
        <f t="shared" si="30"/>
        <v>0</v>
      </c>
      <c r="BH89" s="23">
        <f t="shared" si="31"/>
        <v>0</v>
      </c>
      <c r="BI89" s="23">
        <f t="shared" si="32"/>
        <v>0</v>
      </c>
      <c r="BJ89" s="18">
        <f t="shared" si="33"/>
        <v>3.9668479226001412E-3</v>
      </c>
      <c r="BL89" s="23"/>
      <c r="BN89" s="12">
        <f t="shared" si="34"/>
        <v>0</v>
      </c>
      <c r="BO89" s="12">
        <f t="shared" si="35"/>
        <v>0</v>
      </c>
      <c r="BP89" s="12">
        <f t="shared" si="36"/>
        <v>0</v>
      </c>
      <c r="BQ89" s="12">
        <f t="shared" si="25"/>
        <v>1</v>
      </c>
      <c r="BR89" s="12">
        <f t="shared" si="37"/>
        <v>0</v>
      </c>
      <c r="BS89" s="23">
        <f t="shared" si="38"/>
        <v>0</v>
      </c>
      <c r="BT89" s="23">
        <f t="shared" si="39"/>
        <v>0</v>
      </c>
      <c r="BU89" s="23">
        <f t="shared" si="40"/>
        <v>0</v>
      </c>
      <c r="BV89" s="18">
        <f t="shared" si="41"/>
        <v>1.6042761898009991E-3</v>
      </c>
      <c r="BX89" s="18">
        <f t="shared" si="42"/>
        <v>0</v>
      </c>
      <c r="BY89" s="18">
        <f t="shared" si="43"/>
        <v>5.5711241124011416E-3</v>
      </c>
    </row>
    <row r="90" spans="1:77" x14ac:dyDescent="0.3">
      <c r="A90" s="1">
        <v>46153</v>
      </c>
      <c r="B90" s="6">
        <v>27.04</v>
      </c>
      <c r="C90" s="6">
        <v>29.09</v>
      </c>
      <c r="D90" s="7">
        <v>-3.3228754960770101E-3</v>
      </c>
      <c r="E90" s="7">
        <v>-2.7463113725198101E-3</v>
      </c>
      <c r="F90" s="6">
        <v>0</v>
      </c>
      <c r="G90" s="6">
        <v>0.59149999999999903</v>
      </c>
      <c r="H90" s="6">
        <v>0</v>
      </c>
      <c r="I90" s="6">
        <v>0.63039999999999996</v>
      </c>
      <c r="J90" s="6">
        <v>0.59149999999999903</v>
      </c>
      <c r="K90" s="6">
        <v>0.63039999999999996</v>
      </c>
      <c r="L90" s="6">
        <v>27.631499999999999</v>
      </c>
      <c r="M90" s="6">
        <v>29.720400000000001</v>
      </c>
      <c r="N90" s="8">
        <v>1.07581360946745</v>
      </c>
      <c r="O90" s="8">
        <v>1.0748223497963401</v>
      </c>
      <c r="P90" s="8">
        <v>1.07674741634822</v>
      </c>
      <c r="Q90" s="8">
        <v>1.0768904806650701</v>
      </c>
      <c r="R90" s="6">
        <v>29.063196338493199</v>
      </c>
      <c r="S90" s="6">
        <v>29.116874678834801</v>
      </c>
      <c r="T90" s="6">
        <v>29.120733556653001</v>
      </c>
      <c r="U90" s="7">
        <v>-9.2182941239712999E-4</v>
      </c>
      <c r="V90" s="7">
        <v>9.2341947210951801E-4</v>
      </c>
      <c r="W90" s="7">
        <v>1.0559413232216399E-3</v>
      </c>
      <c r="X90" s="8">
        <v>1.07559850171</v>
      </c>
      <c r="Y90" s="8">
        <v>1.07476747574368</v>
      </c>
      <c r="Z90" s="8">
        <v>1.0765885067434</v>
      </c>
      <c r="AA90" s="8">
        <v>1.07681668039239</v>
      </c>
      <c r="AB90" s="6">
        <v>29.6974375060115</v>
      </c>
      <c r="AC90" s="6">
        <v>29.7500682470843</v>
      </c>
      <c r="AD90" s="6">
        <v>29.756023815497802</v>
      </c>
      <c r="AE90" s="7">
        <v>-7.7291588167677E-4</v>
      </c>
      <c r="AF90" s="7">
        <v>9.9774729945929092E-4</v>
      </c>
      <c r="AG90" s="7">
        <v>1.19791397910546E-3</v>
      </c>
      <c r="AZ90" s="23"/>
      <c r="BB90" s="12">
        <f t="shared" si="26"/>
        <v>0</v>
      </c>
      <c r="BC90" s="12">
        <f t="shared" si="27"/>
        <v>1</v>
      </c>
      <c r="BD90" s="12">
        <f t="shared" si="28"/>
        <v>0</v>
      </c>
      <c r="BE90" s="12">
        <f t="shared" si="24"/>
        <v>1</v>
      </c>
      <c r="BF90" s="12">
        <f t="shared" si="29"/>
        <v>0</v>
      </c>
      <c r="BG90" s="23">
        <f t="shared" si="30"/>
        <v>0</v>
      </c>
      <c r="BH90" s="23">
        <f t="shared" si="31"/>
        <v>0</v>
      </c>
      <c r="BI90" s="23">
        <f t="shared" si="32"/>
        <v>0</v>
      </c>
      <c r="BJ90" s="18">
        <f t="shared" si="33"/>
        <v>3.9668479226001412E-3</v>
      </c>
      <c r="BL90" s="23"/>
      <c r="BN90" s="12">
        <f t="shared" si="34"/>
        <v>0</v>
      </c>
      <c r="BO90" s="12">
        <f t="shared" si="35"/>
        <v>0</v>
      </c>
      <c r="BP90" s="12">
        <f t="shared" si="36"/>
        <v>0</v>
      </c>
      <c r="BQ90" s="12">
        <f t="shared" si="25"/>
        <v>1</v>
      </c>
      <c r="BR90" s="12">
        <f t="shared" si="37"/>
        <v>0</v>
      </c>
      <c r="BS90" s="23">
        <f t="shared" si="38"/>
        <v>0</v>
      </c>
      <c r="BT90" s="23">
        <f t="shared" si="39"/>
        <v>0</v>
      </c>
      <c r="BU90" s="23">
        <f t="shared" si="40"/>
        <v>0</v>
      </c>
      <c r="BV90" s="18">
        <f t="shared" si="41"/>
        <v>1.6042761898009991E-3</v>
      </c>
      <c r="BX90" s="18">
        <f t="shared" si="42"/>
        <v>0</v>
      </c>
      <c r="BY90" s="18">
        <f t="shared" si="43"/>
        <v>5.5711241124011416E-3</v>
      </c>
    </row>
    <row r="91" spans="1:77" x14ac:dyDescent="0.3">
      <c r="A91" s="1">
        <v>46154</v>
      </c>
      <c r="B91" s="6">
        <v>26.98</v>
      </c>
      <c r="C91" s="6">
        <v>29.02</v>
      </c>
      <c r="D91" s="7">
        <v>-2.2214003951534999E-3</v>
      </c>
      <c r="E91" s="7">
        <v>-2.4092250510685301E-3</v>
      </c>
      <c r="F91" s="6">
        <v>0</v>
      </c>
      <c r="G91" s="6">
        <v>0.59149999999999903</v>
      </c>
      <c r="H91" s="6">
        <v>0</v>
      </c>
      <c r="I91" s="6">
        <v>0.63039999999999996</v>
      </c>
      <c r="J91" s="6">
        <v>0.59149999999999903</v>
      </c>
      <c r="K91" s="6">
        <v>0.63039999999999996</v>
      </c>
      <c r="L91" s="6">
        <v>27.5715</v>
      </c>
      <c r="M91" s="6">
        <v>29.650400000000001</v>
      </c>
      <c r="N91" s="8">
        <v>1.07561156412157</v>
      </c>
      <c r="O91" s="8">
        <v>1.0748223497963401</v>
      </c>
      <c r="P91" s="8">
        <v>1.0766982786427299</v>
      </c>
      <c r="Q91" s="8">
        <v>1.0768559451514099</v>
      </c>
      <c r="R91" s="6">
        <v>28.998706997505401</v>
      </c>
      <c r="S91" s="6">
        <v>29.0506452930751</v>
      </c>
      <c r="T91" s="6">
        <v>29.054505168343699</v>
      </c>
      <c r="U91" s="7">
        <v>-7.3400475648210202E-4</v>
      </c>
      <c r="V91" s="7">
        <v>1.0554487819206899E-3</v>
      </c>
      <c r="W91" s="7">
        <v>1.18830706534782E-3</v>
      </c>
      <c r="X91" s="8">
        <v>1.0754003227970901</v>
      </c>
      <c r="Y91" s="8">
        <v>1.07476747574368</v>
      </c>
      <c r="Z91" s="8">
        <v>1.0765156315958</v>
      </c>
      <c r="AA91" s="8">
        <v>1.07677043726777</v>
      </c>
      <c r="AB91" s="6">
        <v>29.632951457466799</v>
      </c>
      <c r="AC91" s="6">
        <v>29.6831600136756</v>
      </c>
      <c r="AD91" s="6">
        <v>29.689451103438898</v>
      </c>
      <c r="AE91" s="7">
        <v>-5.8864900880203398E-4</v>
      </c>
      <c r="AF91" s="7">
        <v>1.1042660173125E-3</v>
      </c>
      <c r="AG91" s="7">
        <v>1.31618493644034E-3</v>
      </c>
      <c r="AZ91" s="23"/>
      <c r="BB91" s="12">
        <f t="shared" si="26"/>
        <v>0</v>
      </c>
      <c r="BC91" s="12">
        <f t="shared" si="27"/>
        <v>1</v>
      </c>
      <c r="BD91" s="12">
        <f t="shared" si="28"/>
        <v>0</v>
      </c>
      <c r="BE91" s="12">
        <f t="shared" si="24"/>
        <v>1</v>
      </c>
      <c r="BF91" s="12">
        <f t="shared" si="29"/>
        <v>0</v>
      </c>
      <c r="BG91" s="23">
        <f t="shared" si="30"/>
        <v>0</v>
      </c>
      <c r="BH91" s="23">
        <f t="shared" si="31"/>
        <v>0</v>
      </c>
      <c r="BI91" s="23">
        <f t="shared" si="32"/>
        <v>0</v>
      </c>
      <c r="BJ91" s="18">
        <f t="shared" si="33"/>
        <v>3.9668479226001412E-3</v>
      </c>
      <c r="BL91" s="23"/>
      <c r="BN91" s="12">
        <f t="shared" si="34"/>
        <v>0</v>
      </c>
      <c r="BO91" s="12">
        <f t="shared" si="35"/>
        <v>0</v>
      </c>
      <c r="BP91" s="12">
        <f t="shared" si="36"/>
        <v>0</v>
      </c>
      <c r="BQ91" s="12">
        <f t="shared" si="25"/>
        <v>1</v>
      </c>
      <c r="BR91" s="12">
        <f t="shared" si="37"/>
        <v>0</v>
      </c>
      <c r="BS91" s="23">
        <f t="shared" si="38"/>
        <v>0</v>
      </c>
      <c r="BT91" s="23">
        <f t="shared" si="39"/>
        <v>0</v>
      </c>
      <c r="BU91" s="23">
        <f t="shared" si="40"/>
        <v>0</v>
      </c>
      <c r="BV91" s="18">
        <f t="shared" si="41"/>
        <v>1.6042761898009991E-3</v>
      </c>
      <c r="BX91" s="18">
        <f t="shared" si="42"/>
        <v>0</v>
      </c>
      <c r="BY91" s="18">
        <f t="shared" si="43"/>
        <v>5.5711241124011416E-3</v>
      </c>
    </row>
    <row r="92" spans="1:77" x14ac:dyDescent="0.3">
      <c r="A92" s="1">
        <v>46155</v>
      </c>
      <c r="B92" s="6">
        <v>26.96</v>
      </c>
      <c r="C92" s="6">
        <v>29.01</v>
      </c>
      <c r="D92" s="7">
        <v>-7.4156473550349004E-4</v>
      </c>
      <c r="E92" s="7">
        <v>-3.4464932272903202E-4</v>
      </c>
      <c r="F92" s="6">
        <v>0</v>
      </c>
      <c r="G92" s="6">
        <v>0.59149999999999903</v>
      </c>
      <c r="H92" s="6">
        <v>0</v>
      </c>
      <c r="I92" s="6">
        <v>0.63039999999999996</v>
      </c>
      <c r="J92" s="6">
        <v>0.59149999999999903</v>
      </c>
      <c r="K92" s="6">
        <v>0.63039999999999996</v>
      </c>
      <c r="L92" s="6">
        <v>27.551500000000001</v>
      </c>
      <c r="M92" s="6">
        <v>29.6404</v>
      </c>
      <c r="N92" s="8">
        <v>1.07603857566765</v>
      </c>
      <c r="O92" s="8">
        <v>1.0748223497963401</v>
      </c>
      <c r="P92" s="8">
        <v>1.07654447089734</v>
      </c>
      <c r="Q92" s="8">
        <v>1.0768201949043199</v>
      </c>
      <c r="R92" s="6">
        <v>28.977210550509501</v>
      </c>
      <c r="S92" s="6">
        <v>29.027785592208101</v>
      </c>
      <c r="T92" s="6">
        <v>29.032036281282199</v>
      </c>
      <c r="U92" s="7">
        <v>-1.13092016925659E-3</v>
      </c>
      <c r="V92" s="7">
        <v>6.1289701470940096E-4</v>
      </c>
      <c r="W92" s="7">
        <v>7.5932147639453805E-4</v>
      </c>
      <c r="X92" s="8">
        <v>1.07581801353828</v>
      </c>
      <c r="Y92" s="8">
        <v>1.07476747574368</v>
      </c>
      <c r="Z92" s="8">
        <v>1.0763394985332899</v>
      </c>
      <c r="AA92" s="8">
        <v>1.07672287087397</v>
      </c>
      <c r="AB92" s="6">
        <v>29.611456107952002</v>
      </c>
      <c r="AC92" s="6">
        <v>29.659620423911701</v>
      </c>
      <c r="AD92" s="6">
        <v>29.666640702383098</v>
      </c>
      <c r="AE92" s="7">
        <v>-9.7697848646194807E-4</v>
      </c>
      <c r="AF92" s="7">
        <v>6.4824343895470197E-4</v>
      </c>
      <c r="AG92" s="7">
        <v>8.8491024960166804E-4</v>
      </c>
      <c r="AZ92" s="23"/>
      <c r="BB92" s="12">
        <f t="shared" si="26"/>
        <v>0</v>
      </c>
      <c r="BC92" s="12">
        <f t="shared" si="27"/>
        <v>1</v>
      </c>
      <c r="BD92" s="12">
        <f t="shared" si="28"/>
        <v>0</v>
      </c>
      <c r="BE92" s="12">
        <f t="shared" si="24"/>
        <v>1</v>
      </c>
      <c r="BF92" s="12">
        <f t="shared" si="29"/>
        <v>0</v>
      </c>
      <c r="BG92" s="23">
        <f t="shared" si="30"/>
        <v>0</v>
      </c>
      <c r="BH92" s="23">
        <f t="shared" si="31"/>
        <v>0</v>
      </c>
      <c r="BI92" s="23">
        <f t="shared" si="32"/>
        <v>0</v>
      </c>
      <c r="BJ92" s="18">
        <f t="shared" si="33"/>
        <v>3.9668479226001412E-3</v>
      </c>
      <c r="BL92" s="23"/>
      <c r="BN92" s="12">
        <f t="shared" si="34"/>
        <v>0</v>
      </c>
      <c r="BO92" s="12">
        <f t="shared" si="35"/>
        <v>1</v>
      </c>
      <c r="BP92" s="12">
        <f t="shared" si="36"/>
        <v>0</v>
      </c>
      <c r="BQ92" s="12">
        <f t="shared" si="25"/>
        <v>1</v>
      </c>
      <c r="BR92" s="12">
        <f t="shared" si="37"/>
        <v>0</v>
      </c>
      <c r="BS92" s="23">
        <f t="shared" si="38"/>
        <v>0</v>
      </c>
      <c r="BT92" s="23">
        <f t="shared" si="39"/>
        <v>0</v>
      </c>
      <c r="BU92" s="23">
        <f t="shared" si="40"/>
        <v>0</v>
      </c>
      <c r="BV92" s="18">
        <f t="shared" si="41"/>
        <v>1.6042761898009991E-3</v>
      </c>
      <c r="BX92" s="18">
        <f t="shared" si="42"/>
        <v>0</v>
      </c>
      <c r="BY92" s="18">
        <f t="shared" si="43"/>
        <v>5.5711241124011416E-3</v>
      </c>
    </row>
    <row r="93" spans="1:77" x14ac:dyDescent="0.3">
      <c r="A93" s="1">
        <v>46156</v>
      </c>
      <c r="B93" s="6">
        <v>26.96</v>
      </c>
      <c r="C93" s="6">
        <v>29.01</v>
      </c>
      <c r="D93" s="7">
        <v>0</v>
      </c>
      <c r="E93" s="7">
        <v>0</v>
      </c>
      <c r="F93" s="6">
        <v>0</v>
      </c>
      <c r="G93" s="6">
        <v>0.59149999999999903</v>
      </c>
      <c r="H93" s="6">
        <v>0</v>
      </c>
      <c r="I93" s="6">
        <v>0.63039999999999996</v>
      </c>
      <c r="J93" s="6">
        <v>0.59149999999999903</v>
      </c>
      <c r="K93" s="6">
        <v>0.63039999999999996</v>
      </c>
      <c r="L93" s="6">
        <v>27.551500000000001</v>
      </c>
      <c r="M93" s="6">
        <v>29.6404</v>
      </c>
      <c r="N93" s="8">
        <v>1.07603857566765</v>
      </c>
      <c r="O93" s="8">
        <v>1.0748223497963401</v>
      </c>
      <c r="P93" s="8">
        <v>1.0763369799011</v>
      </c>
      <c r="Q93" s="8">
        <v>1.07673916454158</v>
      </c>
      <c r="R93" s="6">
        <v>28.977210550509501</v>
      </c>
      <c r="S93" s="6">
        <v>29.023638935392398</v>
      </c>
      <c r="T93" s="6">
        <v>29.0310724546204</v>
      </c>
      <c r="U93" s="7">
        <v>-1.13092016925659E-3</v>
      </c>
      <c r="V93" s="7">
        <v>4.7003551367118599E-4</v>
      </c>
      <c r="W93" s="7">
        <v>7.2612219778757695E-4</v>
      </c>
      <c r="X93" s="8">
        <v>1.07581801353828</v>
      </c>
      <c r="Y93" s="8">
        <v>1.07476747574368</v>
      </c>
      <c r="Z93" s="8">
        <v>1.0761105391519401</v>
      </c>
      <c r="AA93" s="8">
        <v>1.0766307440861</v>
      </c>
      <c r="AB93" s="6">
        <v>29.611456107952002</v>
      </c>
      <c r="AC93" s="6">
        <v>29.65476769384</v>
      </c>
      <c r="AD93" s="6">
        <v>29.6653301768843</v>
      </c>
      <c r="AE93" s="7">
        <v>-9.7697848646194807E-4</v>
      </c>
      <c r="AF93" s="7">
        <v>4.8461602117140398E-4</v>
      </c>
      <c r="AG93" s="7">
        <v>8.4073421837873598E-4</v>
      </c>
      <c r="AZ93" s="23"/>
      <c r="BB93" s="12">
        <f t="shared" si="26"/>
        <v>0</v>
      </c>
      <c r="BC93" s="12">
        <f t="shared" si="27"/>
        <v>1</v>
      </c>
      <c r="BD93" s="12">
        <f t="shared" si="28"/>
        <v>0</v>
      </c>
      <c r="BE93" s="12">
        <f t="shared" si="24"/>
        <v>1</v>
      </c>
      <c r="BF93" s="12">
        <f t="shared" si="29"/>
        <v>0</v>
      </c>
      <c r="BG93" s="23">
        <f t="shared" si="30"/>
        <v>0</v>
      </c>
      <c r="BH93" s="23">
        <f t="shared" si="31"/>
        <v>0</v>
      </c>
      <c r="BI93" s="23">
        <f t="shared" si="32"/>
        <v>0</v>
      </c>
      <c r="BJ93" s="18">
        <f t="shared" si="33"/>
        <v>3.9668479226001412E-3</v>
      </c>
      <c r="BL93" s="23"/>
      <c r="BN93" s="12">
        <f t="shared" si="34"/>
        <v>0</v>
      </c>
      <c r="BO93" s="12">
        <f t="shared" si="35"/>
        <v>1</v>
      </c>
      <c r="BP93" s="12">
        <f t="shared" si="36"/>
        <v>0</v>
      </c>
      <c r="BQ93" s="12">
        <f t="shared" si="25"/>
        <v>1</v>
      </c>
      <c r="BR93" s="12">
        <f t="shared" si="37"/>
        <v>0</v>
      </c>
      <c r="BS93" s="23">
        <f t="shared" si="38"/>
        <v>0</v>
      </c>
      <c r="BT93" s="23">
        <f t="shared" si="39"/>
        <v>0</v>
      </c>
      <c r="BU93" s="23">
        <f t="shared" si="40"/>
        <v>0</v>
      </c>
      <c r="BV93" s="18">
        <f t="shared" si="41"/>
        <v>1.6042761898009991E-3</v>
      </c>
      <c r="BX93" s="18">
        <f t="shared" si="42"/>
        <v>0</v>
      </c>
      <c r="BY93" s="18">
        <f t="shared" si="43"/>
        <v>5.5711241124011416E-3</v>
      </c>
    </row>
    <row r="94" spans="1:77" x14ac:dyDescent="0.3">
      <c r="A94" s="1">
        <v>46157</v>
      </c>
      <c r="B94" s="6">
        <v>26.8</v>
      </c>
      <c r="C94" s="6">
        <v>28.82</v>
      </c>
      <c r="D94" s="7">
        <v>-5.9523985272952702E-3</v>
      </c>
      <c r="E94" s="7">
        <v>-6.5710075619366598E-3</v>
      </c>
      <c r="F94" s="6">
        <v>0</v>
      </c>
      <c r="G94" s="6">
        <v>0.59149999999999903</v>
      </c>
      <c r="H94" s="6">
        <v>0</v>
      </c>
      <c r="I94" s="6">
        <v>0.63039999999999996</v>
      </c>
      <c r="J94" s="6">
        <v>0.59149999999999903</v>
      </c>
      <c r="K94" s="6">
        <v>0.63039999999999996</v>
      </c>
      <c r="L94" s="6">
        <v>27.391500000000001</v>
      </c>
      <c r="M94" s="6">
        <v>29.450399999999998</v>
      </c>
      <c r="N94" s="8">
        <v>1.0753731343283499</v>
      </c>
      <c r="O94" s="8">
        <v>1.0748223497963401</v>
      </c>
      <c r="P94" s="8">
        <v>1.0761080211445899</v>
      </c>
      <c r="Q94" s="8">
        <v>1.0766419363184601</v>
      </c>
      <c r="R94" s="6">
        <v>28.805238974542</v>
      </c>
      <c r="S94" s="6">
        <v>28.8458310613496</v>
      </c>
      <c r="T94" s="6">
        <v>28.8566096097145</v>
      </c>
      <c r="U94" s="7">
        <v>-5.1231113461519605E-4</v>
      </c>
      <c r="V94" s="7">
        <v>8.9588800167930596E-4</v>
      </c>
      <c r="W94" s="7">
        <v>1.2694787324992001E-3</v>
      </c>
      <c r="X94" s="8">
        <v>1.07516565357866</v>
      </c>
      <c r="Y94" s="8">
        <v>1.07476747574368</v>
      </c>
      <c r="Z94" s="8">
        <v>1.07588630144085</v>
      </c>
      <c r="AA94" s="8">
        <v>1.07652280294165</v>
      </c>
      <c r="AB94" s="6">
        <v>29.439493311833001</v>
      </c>
      <c r="AC94" s="6">
        <v>29.4762818331806</v>
      </c>
      <c r="AD94" s="6">
        <v>29.4905310266345</v>
      </c>
      <c r="AE94" s="7">
        <v>-3.7040951098095702E-4</v>
      </c>
      <c r="AF94" s="7">
        <v>8.7844195667507498E-4</v>
      </c>
      <c r="AG94" s="7">
        <v>1.3617373236854699E-3</v>
      </c>
      <c r="AZ94" s="23"/>
      <c r="BB94" s="12">
        <f t="shared" si="26"/>
        <v>0</v>
      </c>
      <c r="BC94" s="12">
        <f t="shared" si="27"/>
        <v>1</v>
      </c>
      <c r="BD94" s="12">
        <f t="shared" si="28"/>
        <v>0</v>
      </c>
      <c r="BE94" s="12">
        <f t="shared" si="24"/>
        <v>1</v>
      </c>
      <c r="BF94" s="12">
        <f t="shared" si="29"/>
        <v>0</v>
      </c>
      <c r="BG94" s="23">
        <f t="shared" si="30"/>
        <v>0</v>
      </c>
      <c r="BH94" s="23">
        <f t="shared" si="31"/>
        <v>0</v>
      </c>
      <c r="BI94" s="23">
        <f t="shared" si="32"/>
        <v>0</v>
      </c>
      <c r="BJ94" s="18">
        <f t="shared" si="33"/>
        <v>3.9668479226001412E-3</v>
      </c>
      <c r="BL94" s="23"/>
      <c r="BN94" s="12">
        <f t="shared" si="34"/>
        <v>0</v>
      </c>
      <c r="BO94" s="12">
        <f t="shared" si="35"/>
        <v>0</v>
      </c>
      <c r="BP94" s="12">
        <f t="shared" si="36"/>
        <v>0</v>
      </c>
      <c r="BQ94" s="12">
        <f t="shared" si="25"/>
        <v>1</v>
      </c>
      <c r="BR94" s="12">
        <f t="shared" si="37"/>
        <v>0</v>
      </c>
      <c r="BS94" s="23">
        <f t="shared" si="38"/>
        <v>0</v>
      </c>
      <c r="BT94" s="23">
        <f t="shared" si="39"/>
        <v>0</v>
      </c>
      <c r="BU94" s="23">
        <f t="shared" si="40"/>
        <v>0</v>
      </c>
      <c r="BV94" s="18">
        <f t="shared" si="41"/>
        <v>1.6042761898009991E-3</v>
      </c>
      <c r="BX94" s="18">
        <f t="shared" si="42"/>
        <v>0</v>
      </c>
      <c r="BY94" s="18">
        <f t="shared" si="43"/>
        <v>5.5711241124011416E-3</v>
      </c>
    </row>
    <row r="95" spans="1:77" x14ac:dyDescent="0.3">
      <c r="A95" s="1">
        <v>46160</v>
      </c>
      <c r="B95" s="6">
        <v>26.82</v>
      </c>
      <c r="C95" s="6">
        <v>28.84</v>
      </c>
      <c r="D95" s="7">
        <v>7.4599033672139499E-4</v>
      </c>
      <c r="E95" s="7">
        <v>6.9372184537230797E-4</v>
      </c>
      <c r="F95" s="6">
        <v>0</v>
      </c>
      <c r="G95" s="6">
        <v>0.59149999999999903</v>
      </c>
      <c r="H95" s="6">
        <v>0</v>
      </c>
      <c r="I95" s="6">
        <v>0.63039999999999996</v>
      </c>
      <c r="J95" s="6">
        <v>0.59149999999999903</v>
      </c>
      <c r="K95" s="6">
        <v>0.63039999999999996</v>
      </c>
      <c r="L95" s="6">
        <v>27.4115</v>
      </c>
      <c r="M95" s="6">
        <v>29.470400000000001</v>
      </c>
      <c r="N95" s="8">
        <v>1.07531692766592</v>
      </c>
      <c r="O95" s="8">
        <v>1.0748223497963401</v>
      </c>
      <c r="P95" s="8">
        <v>1.07588461187036</v>
      </c>
      <c r="Q95" s="8">
        <v>1.0765559851962501</v>
      </c>
      <c r="R95" s="6">
        <v>28.826735421538</v>
      </c>
      <c r="S95" s="6">
        <v>28.861217127097898</v>
      </c>
      <c r="T95" s="6">
        <v>28.8755367320612</v>
      </c>
      <c r="U95" s="7">
        <v>-4.6004264326605102E-4</v>
      </c>
      <c r="V95" s="7">
        <v>7.35413535818688E-4</v>
      </c>
      <c r="W95" s="7">
        <v>1.23144437578535E-3</v>
      </c>
      <c r="X95" s="8">
        <v>1.0751108111559</v>
      </c>
      <c r="Y95" s="8">
        <v>1.07476747574368</v>
      </c>
      <c r="Z95" s="8">
        <v>1.0756675929661901</v>
      </c>
      <c r="AA95" s="8">
        <v>1.0764259830216101</v>
      </c>
      <c r="AB95" s="6">
        <v>29.460988661347798</v>
      </c>
      <c r="AC95" s="6">
        <v>29.4916573519459</v>
      </c>
      <c r="AD95" s="6">
        <v>29.509104812835101</v>
      </c>
      <c r="AE95" s="7">
        <v>-3.1939986298962702E-4</v>
      </c>
      <c r="AF95" s="7">
        <v>7.2105193820154901E-4</v>
      </c>
      <c r="AG95" s="7">
        <v>1.31248366747514E-3</v>
      </c>
      <c r="AZ95" s="23"/>
      <c r="BB95" s="12">
        <f t="shared" si="26"/>
        <v>0</v>
      </c>
      <c r="BC95" s="12">
        <f t="shared" si="27"/>
        <v>1</v>
      </c>
      <c r="BD95" s="12">
        <f t="shared" si="28"/>
        <v>0</v>
      </c>
      <c r="BE95" s="12">
        <f t="shared" si="24"/>
        <v>1</v>
      </c>
      <c r="BF95" s="12">
        <f t="shared" si="29"/>
        <v>0</v>
      </c>
      <c r="BG95" s="23">
        <f t="shared" si="30"/>
        <v>0</v>
      </c>
      <c r="BH95" s="23">
        <f t="shared" si="31"/>
        <v>0</v>
      </c>
      <c r="BI95" s="23">
        <f t="shared" si="32"/>
        <v>0</v>
      </c>
      <c r="BJ95" s="18">
        <f t="shared" si="33"/>
        <v>3.9668479226001412E-3</v>
      </c>
      <c r="BL95" s="23"/>
      <c r="BN95" s="12">
        <f t="shared" si="34"/>
        <v>0</v>
      </c>
      <c r="BO95" s="12">
        <f t="shared" si="35"/>
        <v>0</v>
      </c>
      <c r="BP95" s="12">
        <f t="shared" si="36"/>
        <v>0</v>
      </c>
      <c r="BQ95" s="12">
        <f t="shared" si="25"/>
        <v>1</v>
      </c>
      <c r="BR95" s="12">
        <f t="shared" si="37"/>
        <v>0</v>
      </c>
      <c r="BS95" s="23">
        <f t="shared" si="38"/>
        <v>0</v>
      </c>
      <c r="BT95" s="23">
        <f t="shared" si="39"/>
        <v>0</v>
      </c>
      <c r="BU95" s="23">
        <f t="shared" si="40"/>
        <v>0</v>
      </c>
      <c r="BV95" s="18">
        <f t="shared" si="41"/>
        <v>1.6042761898009991E-3</v>
      </c>
      <c r="BX95" s="18">
        <f t="shared" si="42"/>
        <v>0</v>
      </c>
      <c r="BY95" s="18">
        <f t="shared" si="43"/>
        <v>5.5711241124011416E-3</v>
      </c>
    </row>
    <row r="96" spans="1:77" x14ac:dyDescent="0.3">
      <c r="A96" s="1">
        <v>46161</v>
      </c>
      <c r="B96" s="6">
        <v>26.73</v>
      </c>
      <c r="C96" s="6">
        <v>28.75</v>
      </c>
      <c r="D96" s="7">
        <v>-3.36134770270477E-3</v>
      </c>
      <c r="E96" s="7">
        <v>-3.1255451733888701E-3</v>
      </c>
      <c r="F96" s="6">
        <v>0</v>
      </c>
      <c r="G96" s="6">
        <v>0.59149999999999903</v>
      </c>
      <c r="H96" s="6">
        <v>0</v>
      </c>
      <c r="I96" s="6">
        <v>0.63039999999999996</v>
      </c>
      <c r="J96" s="6">
        <v>0.59149999999999903</v>
      </c>
      <c r="K96" s="6">
        <v>0.63039999999999996</v>
      </c>
      <c r="L96" s="6">
        <v>27.3215</v>
      </c>
      <c r="M96" s="6">
        <v>29.380400000000002</v>
      </c>
      <c r="N96" s="8">
        <v>1.0755705200149599</v>
      </c>
      <c r="O96" s="8">
        <v>1.0748223497963401</v>
      </c>
      <c r="P96" s="8">
        <v>1.07574651033875</v>
      </c>
      <c r="Q96" s="8">
        <v>1.07647137653917</v>
      </c>
      <c r="R96" s="6">
        <v>28.7300014100563</v>
      </c>
      <c r="S96" s="6">
        <v>28.758395675294899</v>
      </c>
      <c r="T96" s="6">
        <v>28.776341484296001</v>
      </c>
      <c r="U96" s="7">
        <v>-6.9584517258193697E-4</v>
      </c>
      <c r="V96" s="7">
        <v>2.9198085796115498E-4</v>
      </c>
      <c r="W96" s="7">
        <v>9.1580606231471396E-4</v>
      </c>
      <c r="X96" s="8">
        <v>1.0753582343575501</v>
      </c>
      <c r="Y96" s="8">
        <v>1.07476747574368</v>
      </c>
      <c r="Z96" s="8">
        <v>1.07553221824109</v>
      </c>
      <c r="AA96" s="8">
        <v>1.0763303760446301</v>
      </c>
      <c r="AB96" s="6">
        <v>29.364259588530899</v>
      </c>
      <c r="AC96" s="6">
        <v>29.388852141225701</v>
      </c>
      <c r="AD96" s="6">
        <v>29.409572495125001</v>
      </c>
      <c r="AE96" s="7">
        <v>-5.4951078066459798E-4</v>
      </c>
      <c r="AF96" s="7">
        <v>2.8763821134672701E-4</v>
      </c>
      <c r="AG96" s="7">
        <v>9.9243106541180293E-4</v>
      </c>
      <c r="AZ96" s="23"/>
      <c r="BB96" s="12">
        <f t="shared" si="26"/>
        <v>0</v>
      </c>
      <c r="BC96" s="12">
        <f t="shared" si="27"/>
        <v>1</v>
      </c>
      <c r="BD96" s="12">
        <f t="shared" si="28"/>
        <v>0</v>
      </c>
      <c r="BE96" s="12">
        <f t="shared" si="24"/>
        <v>1</v>
      </c>
      <c r="BF96" s="12">
        <f t="shared" si="29"/>
        <v>0</v>
      </c>
      <c r="BG96" s="23">
        <f t="shared" si="30"/>
        <v>0</v>
      </c>
      <c r="BH96" s="23">
        <f t="shared" si="31"/>
        <v>0</v>
      </c>
      <c r="BI96" s="23">
        <f t="shared" si="32"/>
        <v>0</v>
      </c>
      <c r="BJ96" s="18">
        <f t="shared" si="33"/>
        <v>3.9668479226001412E-3</v>
      </c>
      <c r="BL96" s="23"/>
      <c r="BN96" s="12">
        <f t="shared" si="34"/>
        <v>0</v>
      </c>
      <c r="BO96" s="12">
        <f t="shared" si="35"/>
        <v>1</v>
      </c>
      <c r="BP96" s="12">
        <f t="shared" si="36"/>
        <v>0</v>
      </c>
      <c r="BQ96" s="12">
        <f t="shared" si="25"/>
        <v>1</v>
      </c>
      <c r="BR96" s="12">
        <f t="shared" si="37"/>
        <v>0</v>
      </c>
      <c r="BS96" s="23">
        <f t="shared" si="38"/>
        <v>0</v>
      </c>
      <c r="BT96" s="23">
        <f t="shared" si="39"/>
        <v>0</v>
      </c>
      <c r="BU96" s="23">
        <f t="shared" si="40"/>
        <v>0</v>
      </c>
      <c r="BV96" s="18">
        <f t="shared" si="41"/>
        <v>1.6042761898009991E-3</v>
      </c>
      <c r="BX96" s="18">
        <f t="shared" si="42"/>
        <v>0</v>
      </c>
      <c r="BY96" s="18">
        <f t="shared" si="43"/>
        <v>5.5711241124011416E-3</v>
      </c>
    </row>
    <row r="97" spans="1:77" x14ac:dyDescent="0.3">
      <c r="A97" s="1">
        <v>46162</v>
      </c>
      <c r="B97" s="6">
        <v>26.93</v>
      </c>
      <c r="C97" s="6">
        <v>28.92</v>
      </c>
      <c r="D97" s="7">
        <v>7.4543766726798697E-3</v>
      </c>
      <c r="E97" s="7">
        <v>5.8956300472044398E-3</v>
      </c>
      <c r="F97" s="6">
        <v>0</v>
      </c>
      <c r="G97" s="6">
        <v>0.59149999999999903</v>
      </c>
      <c r="H97" s="6">
        <v>0</v>
      </c>
      <c r="I97" s="6">
        <v>0.63039999999999996</v>
      </c>
      <c r="J97" s="6">
        <v>0.59149999999999903</v>
      </c>
      <c r="K97" s="6">
        <v>0.63039999999999996</v>
      </c>
      <c r="L97" s="6">
        <v>27.5215</v>
      </c>
      <c r="M97" s="6">
        <v>29.5504</v>
      </c>
      <c r="N97" s="8">
        <v>1.0738952840698099</v>
      </c>
      <c r="O97" s="8">
        <v>1.0748223497963401</v>
      </c>
      <c r="P97" s="8">
        <v>1.0754295490702099</v>
      </c>
      <c r="Q97" s="8">
        <v>1.07631009961155</v>
      </c>
      <c r="R97" s="6">
        <v>28.944965880015602</v>
      </c>
      <c r="S97" s="6">
        <v>28.9698535234226</v>
      </c>
      <c r="T97" s="6">
        <v>28.989374170199799</v>
      </c>
      <c r="U97" s="7">
        <v>8.62901452893444E-4</v>
      </c>
      <c r="V97" s="7">
        <v>1.72235833095549E-3</v>
      </c>
      <c r="W97" s="7">
        <v>2.3959576279818698E-3</v>
      </c>
      <c r="X97" s="8">
        <v>1.07372054575513</v>
      </c>
      <c r="Y97" s="8">
        <v>1.07476747574368</v>
      </c>
      <c r="Z97" s="8">
        <v>1.07522190268146</v>
      </c>
      <c r="AA97" s="8">
        <v>1.0761598660843299</v>
      </c>
      <c r="AB97" s="6">
        <v>29.579213083679701</v>
      </c>
      <c r="AC97" s="6">
        <v>29.6002599443222</v>
      </c>
      <c r="AD97" s="6">
        <v>29.622226444312499</v>
      </c>
      <c r="AE97" s="7">
        <v>9.7457380346681495E-4</v>
      </c>
      <c r="AF97" s="7">
        <v>1.6858630547224699E-3</v>
      </c>
      <c r="AG97" s="7">
        <v>2.4276928000495301E-3</v>
      </c>
      <c r="AZ97" s="23"/>
      <c r="BB97" s="12">
        <f t="shared" si="26"/>
        <v>0</v>
      </c>
      <c r="BC97" s="12">
        <f t="shared" si="27"/>
        <v>1</v>
      </c>
      <c r="BD97" s="12">
        <f t="shared" si="28"/>
        <v>0</v>
      </c>
      <c r="BE97" s="12">
        <f t="shared" si="24"/>
        <v>1</v>
      </c>
      <c r="BF97" s="12">
        <f t="shared" si="29"/>
        <v>0</v>
      </c>
      <c r="BG97" s="23">
        <f t="shared" si="30"/>
        <v>0</v>
      </c>
      <c r="BH97" s="23">
        <f t="shared" si="31"/>
        <v>0</v>
      </c>
      <c r="BI97" s="23">
        <f t="shared" si="32"/>
        <v>0</v>
      </c>
      <c r="BJ97" s="18">
        <f t="shared" si="33"/>
        <v>3.9668479226001412E-3</v>
      </c>
      <c r="BL97" s="23"/>
      <c r="BN97" s="12">
        <f t="shared" si="34"/>
        <v>1</v>
      </c>
      <c r="BO97" s="12">
        <f t="shared" si="35"/>
        <v>0</v>
      </c>
      <c r="BP97" s="12">
        <f t="shared" si="36"/>
        <v>0</v>
      </c>
      <c r="BQ97" s="12">
        <f t="shared" si="25"/>
        <v>1</v>
      </c>
      <c r="BR97" s="12">
        <f t="shared" si="37"/>
        <v>0</v>
      </c>
      <c r="BS97" s="23">
        <f t="shared" si="38"/>
        <v>0</v>
      </c>
      <c r="BT97" s="23">
        <f t="shared" si="39"/>
        <v>0</v>
      </c>
      <c r="BU97" s="23">
        <f t="shared" si="40"/>
        <v>0</v>
      </c>
      <c r="BV97" s="18">
        <f t="shared" si="41"/>
        <v>1.6042761898009991E-3</v>
      </c>
      <c r="BX97" s="18">
        <f t="shared" si="42"/>
        <v>0</v>
      </c>
      <c r="BY97" s="18">
        <f t="shared" si="43"/>
        <v>5.5711241124011416E-3</v>
      </c>
    </row>
    <row r="98" spans="1:77" x14ac:dyDescent="0.3">
      <c r="A98" s="1">
        <v>46163</v>
      </c>
      <c r="B98" s="6">
        <v>26.98</v>
      </c>
      <c r="C98" s="6">
        <v>29</v>
      </c>
      <c r="D98" s="7">
        <v>1.8549439561024101E-3</v>
      </c>
      <c r="E98" s="7">
        <v>2.76243269591007E-3</v>
      </c>
      <c r="F98" s="6">
        <v>0</v>
      </c>
      <c r="G98" s="6">
        <v>0.59149999999999903</v>
      </c>
      <c r="H98" s="6">
        <v>0</v>
      </c>
      <c r="I98" s="6">
        <v>0.63039999999999996</v>
      </c>
      <c r="J98" s="6">
        <v>0.59149999999999903</v>
      </c>
      <c r="K98" s="6">
        <v>0.63039999999999996</v>
      </c>
      <c r="L98" s="6">
        <v>27.5715</v>
      </c>
      <c r="M98" s="6">
        <v>29.630400000000002</v>
      </c>
      <c r="N98" s="8">
        <v>1.07487027427724</v>
      </c>
      <c r="O98" s="8">
        <v>1.0748223497963401</v>
      </c>
      <c r="P98" s="8">
        <v>1.0753721977997099</v>
      </c>
      <c r="Q98" s="8">
        <v>1.0761720827882499</v>
      </c>
      <c r="R98" s="6">
        <v>28.998706997505401</v>
      </c>
      <c r="S98" s="6">
        <v>29.015089233914502</v>
      </c>
      <c r="T98" s="6">
        <v>29.038846487519699</v>
      </c>
      <c r="U98" s="7">
        <v>-4.45872869144528E-5</v>
      </c>
      <c r="V98" s="7">
        <v>5.2018309215815699E-4</v>
      </c>
      <c r="W98" s="7">
        <v>1.33863767706129E-3</v>
      </c>
      <c r="X98" s="8">
        <v>1.0746749360752901</v>
      </c>
      <c r="Y98" s="8">
        <v>1.07476747574368</v>
      </c>
      <c r="Z98" s="8">
        <v>1.07516573669758</v>
      </c>
      <c r="AA98" s="8">
        <v>1.0760119913036601</v>
      </c>
      <c r="AB98" s="6">
        <v>29.632951457466799</v>
      </c>
      <c r="AC98" s="6">
        <v>29.645480689781898</v>
      </c>
      <c r="AD98" s="6">
        <v>29.6713417477443</v>
      </c>
      <c r="AE98" s="7">
        <v>8.6105743455744304E-5</v>
      </c>
      <c r="AF98" s="7">
        <v>5.0883057094629495E-4</v>
      </c>
      <c r="AG98" s="7">
        <v>1.3807943255176201E-3</v>
      </c>
      <c r="AZ98" s="23"/>
      <c r="BB98" s="12">
        <f t="shared" si="26"/>
        <v>0</v>
      </c>
      <c r="BC98" s="12">
        <f t="shared" si="27"/>
        <v>1</v>
      </c>
      <c r="BD98" s="12">
        <f t="shared" si="28"/>
        <v>0</v>
      </c>
      <c r="BE98" s="12">
        <f t="shared" si="24"/>
        <v>1</v>
      </c>
      <c r="BF98" s="12">
        <f t="shared" si="29"/>
        <v>0</v>
      </c>
      <c r="BG98" s="23">
        <f t="shared" si="30"/>
        <v>0</v>
      </c>
      <c r="BH98" s="23">
        <f t="shared" si="31"/>
        <v>0</v>
      </c>
      <c r="BI98" s="23">
        <f t="shared" si="32"/>
        <v>0</v>
      </c>
      <c r="BJ98" s="18">
        <f t="shared" si="33"/>
        <v>3.9668479226001412E-3</v>
      </c>
      <c r="BL98" s="23"/>
      <c r="BN98" s="12">
        <f t="shared" si="34"/>
        <v>0</v>
      </c>
      <c r="BO98" s="12">
        <f t="shared" si="35"/>
        <v>0</v>
      </c>
      <c r="BP98" s="12">
        <f t="shared" si="36"/>
        <v>1</v>
      </c>
      <c r="BQ98" s="12">
        <f t="shared" si="25"/>
        <v>1</v>
      </c>
      <c r="BR98" s="12">
        <f t="shared" si="37"/>
        <v>1</v>
      </c>
      <c r="BS98" s="23">
        <f t="shared" si="38"/>
        <v>-1.8549439561024101E-3</v>
      </c>
      <c r="BT98" s="23">
        <f t="shared" si="39"/>
        <v>2.76243269591007E-3</v>
      </c>
      <c r="BU98" s="23">
        <f t="shared" si="40"/>
        <v>9.0748873980765993E-4</v>
      </c>
      <c r="BV98" s="18">
        <f t="shared" si="41"/>
        <v>2.5117649296086588E-3</v>
      </c>
      <c r="BX98" s="18">
        <f t="shared" si="42"/>
        <v>9.0748873980765993E-4</v>
      </c>
      <c r="BY98" s="18">
        <f t="shared" si="43"/>
        <v>6.4786128522088017E-3</v>
      </c>
    </row>
    <row r="99" spans="1:77" x14ac:dyDescent="0.3">
      <c r="A99" s="1">
        <v>46164</v>
      </c>
      <c r="B99" s="6">
        <v>27.02</v>
      </c>
      <c r="C99" s="6">
        <v>29.03</v>
      </c>
      <c r="D99" s="7">
        <v>1.4814817524428799E-3</v>
      </c>
      <c r="E99" s="7">
        <v>1.03394805006464E-3</v>
      </c>
      <c r="F99" s="6">
        <v>0</v>
      </c>
      <c r="G99" s="6">
        <v>0.59149999999999903</v>
      </c>
      <c r="H99" s="6">
        <v>0</v>
      </c>
      <c r="I99" s="6">
        <v>0.63039999999999996</v>
      </c>
      <c r="J99" s="6">
        <v>0.59149999999999903</v>
      </c>
      <c r="K99" s="6">
        <v>0.63039999999999996</v>
      </c>
      <c r="L99" s="6">
        <v>27.611499999999999</v>
      </c>
      <c r="M99" s="6">
        <v>29.660399999999999</v>
      </c>
      <c r="N99" s="8">
        <v>1.07438934122871</v>
      </c>
      <c r="O99" s="8">
        <v>1.0748223497963401</v>
      </c>
      <c r="P99" s="8">
        <v>1.0752917806509299</v>
      </c>
      <c r="Q99" s="8">
        <v>1.07604963808498</v>
      </c>
      <c r="R99" s="6">
        <v>29.041699891497199</v>
      </c>
      <c r="S99" s="6">
        <v>29.056556784548299</v>
      </c>
      <c r="T99" s="6">
        <v>29.0781696769387</v>
      </c>
      <c r="U99" s="7">
        <v>4.02946415464043E-4</v>
      </c>
      <c r="V99" s="7">
        <v>9.1438666255406402E-4</v>
      </c>
      <c r="W99" s="7">
        <v>1.6579316898246001E-3</v>
      </c>
      <c r="X99" s="8">
        <v>1.07420458866776</v>
      </c>
      <c r="Y99" s="8">
        <v>1.07476747574368</v>
      </c>
      <c r="Z99" s="8">
        <v>1.07508696211739</v>
      </c>
      <c r="AA99" s="8">
        <v>1.0758795874424301</v>
      </c>
      <c r="AB99" s="6">
        <v>29.6759421564966</v>
      </c>
      <c r="AC99" s="6">
        <v>29.686938738825301</v>
      </c>
      <c r="AD99" s="6">
        <v>29.710305097881101</v>
      </c>
      <c r="AE99" s="7">
        <v>5.2386636207129699E-4</v>
      </c>
      <c r="AF99" s="7">
        <v>8.9435318106254405E-4</v>
      </c>
      <c r="AG99" s="7">
        <v>1.6811358245609101E-3</v>
      </c>
      <c r="AZ99" s="23"/>
      <c r="BB99" s="12">
        <f t="shared" si="26"/>
        <v>0</v>
      </c>
      <c r="BC99" s="12">
        <f t="shared" si="27"/>
        <v>1</v>
      </c>
      <c r="BD99" s="12">
        <f t="shared" si="28"/>
        <v>0</v>
      </c>
      <c r="BE99" s="12">
        <f t="shared" si="24"/>
        <v>1</v>
      </c>
      <c r="BF99" s="12">
        <f t="shared" si="29"/>
        <v>0</v>
      </c>
      <c r="BG99" s="23">
        <f t="shared" si="30"/>
        <v>0</v>
      </c>
      <c r="BH99" s="23">
        <f t="shared" si="31"/>
        <v>0</v>
      </c>
      <c r="BI99" s="23">
        <f t="shared" si="32"/>
        <v>0</v>
      </c>
      <c r="BJ99" s="18">
        <f t="shared" si="33"/>
        <v>3.9668479226001412E-3</v>
      </c>
      <c r="BL99" s="23"/>
      <c r="BN99" s="12">
        <f t="shared" si="34"/>
        <v>0</v>
      </c>
      <c r="BO99" s="12">
        <f t="shared" si="35"/>
        <v>0</v>
      </c>
      <c r="BP99" s="12">
        <f t="shared" si="36"/>
        <v>1</v>
      </c>
      <c r="BQ99" s="12">
        <f t="shared" si="25"/>
        <v>1</v>
      </c>
      <c r="BR99" s="12">
        <f t="shared" si="37"/>
        <v>1</v>
      </c>
      <c r="BS99" s="23">
        <f t="shared" si="38"/>
        <v>-1.4814817524428799E-3</v>
      </c>
      <c r="BT99" s="23">
        <f t="shared" si="39"/>
        <v>1.03394805006464E-3</v>
      </c>
      <c r="BU99" s="23">
        <f t="shared" si="40"/>
        <v>-4.4753370237823995E-4</v>
      </c>
      <c r="BV99" s="18">
        <f t="shared" si="41"/>
        <v>2.0642312272304191E-3</v>
      </c>
      <c r="BX99" s="18">
        <f t="shared" si="42"/>
        <v>-4.4753370237823995E-4</v>
      </c>
      <c r="BY99" s="18">
        <f t="shared" si="43"/>
        <v>6.031079149830562E-3</v>
      </c>
    </row>
    <row r="100" spans="1:77" x14ac:dyDescent="0.3">
      <c r="A100" s="1">
        <v>46168</v>
      </c>
      <c r="B100" s="6">
        <v>27.06</v>
      </c>
      <c r="C100" s="6">
        <v>29.11</v>
      </c>
      <c r="D100" s="7">
        <v>1.47929021058912E-3</v>
      </c>
      <c r="E100" s="7">
        <v>2.7519797209933201E-3</v>
      </c>
      <c r="F100" s="6">
        <v>0</v>
      </c>
      <c r="G100" s="6">
        <v>0.59149999999999903</v>
      </c>
      <c r="H100" s="6">
        <v>0</v>
      </c>
      <c r="I100" s="6">
        <v>0.63039999999999996</v>
      </c>
      <c r="J100" s="6">
        <v>0.59149999999999903</v>
      </c>
      <c r="K100" s="6">
        <v>0.63039999999999996</v>
      </c>
      <c r="L100" s="6">
        <v>27.651499999999999</v>
      </c>
      <c r="M100" s="6">
        <v>29.740400000000001</v>
      </c>
      <c r="N100" s="8">
        <v>1.0757575757575699</v>
      </c>
      <c r="O100" s="8">
        <v>1.0748223497963401</v>
      </c>
      <c r="P100" s="8">
        <v>1.07528617727994</v>
      </c>
      <c r="Q100" s="8">
        <v>1.0760167968140799</v>
      </c>
      <c r="R100" s="6">
        <v>29.0846927854891</v>
      </c>
      <c r="S100" s="6">
        <v>29.097395584414301</v>
      </c>
      <c r="T100" s="6">
        <v>29.117903206579701</v>
      </c>
      <c r="U100" s="7">
        <v>-8.6974309494003996E-4</v>
      </c>
      <c r="V100" s="7">
        <v>-4.3308640272072998E-4</v>
      </c>
      <c r="W100" s="7">
        <v>2.7145770989806E-4</v>
      </c>
      <c r="X100" s="8">
        <v>1.07554382221579</v>
      </c>
      <c r="Y100" s="8">
        <v>1.07476747574368</v>
      </c>
      <c r="Z100" s="8">
        <v>1.0750814941679701</v>
      </c>
      <c r="AA100" s="8">
        <v>1.07583500045568</v>
      </c>
      <c r="AB100" s="6">
        <v>29.718932855526301</v>
      </c>
      <c r="AC100" s="6">
        <v>29.7277671329892</v>
      </c>
      <c r="AD100" s="6">
        <v>29.749684412164399</v>
      </c>
      <c r="AE100" s="7">
        <v>-7.2207824660675197E-4</v>
      </c>
      <c r="AF100" s="7">
        <v>-4.2486149514370702E-4</v>
      </c>
      <c r="AG100" s="7">
        <v>3.1213310021586602E-4</v>
      </c>
      <c r="AZ100" s="23"/>
      <c r="BB100" s="12">
        <f t="shared" si="26"/>
        <v>0</v>
      </c>
      <c r="BC100" s="12">
        <f t="shared" si="27"/>
        <v>1</v>
      </c>
      <c r="BD100" s="12">
        <f t="shared" si="28"/>
        <v>0</v>
      </c>
      <c r="BE100" s="12">
        <f t="shared" si="24"/>
        <v>1</v>
      </c>
      <c r="BF100" s="12">
        <f t="shared" si="29"/>
        <v>0</v>
      </c>
      <c r="BG100" s="23">
        <f t="shared" si="30"/>
        <v>0</v>
      </c>
      <c r="BH100" s="23">
        <f t="shared" si="31"/>
        <v>0</v>
      </c>
      <c r="BI100" s="23">
        <f t="shared" si="32"/>
        <v>0</v>
      </c>
      <c r="BJ100" s="18">
        <f t="shared" si="33"/>
        <v>3.9668479226001412E-3</v>
      </c>
      <c r="BL100" s="23"/>
      <c r="BN100" s="12">
        <f t="shared" si="34"/>
        <v>0</v>
      </c>
      <c r="BO100" s="12">
        <f t="shared" si="35"/>
        <v>1</v>
      </c>
      <c r="BP100" s="12">
        <f t="shared" si="36"/>
        <v>1</v>
      </c>
      <c r="BQ100" s="12">
        <f t="shared" si="25"/>
        <v>1</v>
      </c>
      <c r="BR100" s="12">
        <f t="shared" si="37"/>
        <v>1</v>
      </c>
      <c r="BS100" s="23">
        <f t="shared" si="38"/>
        <v>-1.47929021058912E-3</v>
      </c>
      <c r="BT100" s="23">
        <f t="shared" si="39"/>
        <v>2.7519797209933201E-3</v>
      </c>
      <c r="BU100" s="23">
        <f t="shared" si="40"/>
        <v>1.2726895104042E-3</v>
      </c>
      <c r="BV100" s="18">
        <f t="shared" si="41"/>
        <v>3.3369207376346193E-3</v>
      </c>
      <c r="BX100" s="18">
        <f t="shared" si="42"/>
        <v>1.2726895104042E-3</v>
      </c>
      <c r="BY100" s="18">
        <f t="shared" si="43"/>
        <v>7.3037686602347622E-3</v>
      </c>
    </row>
    <row r="101" spans="1:77" x14ac:dyDescent="0.3">
      <c r="A101" s="1">
        <v>46169</v>
      </c>
      <c r="B101" s="6">
        <v>27.08</v>
      </c>
      <c r="C101" s="6">
        <v>29.12</v>
      </c>
      <c r="D101" s="7">
        <v>7.38825301432257E-4</v>
      </c>
      <c r="E101" s="7">
        <v>3.43465570953438E-4</v>
      </c>
      <c r="F101" s="6">
        <v>0</v>
      </c>
      <c r="G101" s="6">
        <v>0.59149999999999903</v>
      </c>
      <c r="H101" s="6">
        <v>0</v>
      </c>
      <c r="I101" s="6">
        <v>0.63039999999999996</v>
      </c>
      <c r="J101" s="6">
        <v>0.59149999999999903</v>
      </c>
      <c r="K101" s="6">
        <v>0.63039999999999996</v>
      </c>
      <c r="L101" s="6">
        <v>27.671499999999899</v>
      </c>
      <c r="M101" s="6">
        <v>29.750399999999999</v>
      </c>
      <c r="N101" s="8">
        <v>1.0753323485967501</v>
      </c>
      <c r="O101" s="8">
        <v>1.0748223497963401</v>
      </c>
      <c r="P101" s="8">
        <v>1.0752582557274599</v>
      </c>
      <c r="Q101" s="8">
        <v>1.0759782671850999</v>
      </c>
      <c r="R101" s="6">
        <v>29.106189232485001</v>
      </c>
      <c r="S101" s="6">
        <v>29.118749680740901</v>
      </c>
      <c r="T101" s="6">
        <v>29.1385348577254</v>
      </c>
      <c r="U101" s="7">
        <v>-4.7438336446116501E-4</v>
      </c>
      <c r="V101" s="7">
        <v>-4.29377095514007E-5</v>
      </c>
      <c r="W101" s="7">
        <v>6.3629675535391305E-4</v>
      </c>
      <c r="X101" s="8">
        <v>1.0751278391124399</v>
      </c>
      <c r="Y101" s="8">
        <v>1.07476747574368</v>
      </c>
      <c r="Z101" s="8">
        <v>1.07505424579951</v>
      </c>
      <c r="AA101" s="8">
        <v>1.0757849386976499</v>
      </c>
      <c r="AB101" s="6">
        <v>29.740428205041201</v>
      </c>
      <c r="AC101" s="6">
        <v>29.749117565869099</v>
      </c>
      <c r="AD101" s="6">
        <v>29.7699682151095</v>
      </c>
      <c r="AE101" s="7">
        <v>-3.3523806452221002E-4</v>
      </c>
      <c r="AF101" s="7">
        <v>-4.3107379134749602E-5</v>
      </c>
      <c r="AG101" s="7">
        <v>6.5753006580482397E-4</v>
      </c>
      <c r="AZ101" s="23"/>
      <c r="BB101" s="12">
        <f t="shared" si="26"/>
        <v>0</v>
      </c>
      <c r="BC101" s="12">
        <f t="shared" si="27"/>
        <v>1</v>
      </c>
      <c r="BD101" s="12">
        <f t="shared" si="28"/>
        <v>0</v>
      </c>
      <c r="BE101" s="12">
        <f t="shared" si="24"/>
        <v>1</v>
      </c>
      <c r="BF101" s="12">
        <f t="shared" si="29"/>
        <v>0</v>
      </c>
      <c r="BG101" s="23">
        <f t="shared" si="30"/>
        <v>0</v>
      </c>
      <c r="BH101" s="23">
        <f t="shared" si="31"/>
        <v>0</v>
      </c>
      <c r="BI101" s="23">
        <f t="shared" si="32"/>
        <v>0</v>
      </c>
      <c r="BJ101" s="18">
        <f t="shared" si="33"/>
        <v>3.9668479226001412E-3</v>
      </c>
      <c r="BL101" s="23"/>
      <c r="BN101" s="12">
        <f t="shared" si="34"/>
        <v>0</v>
      </c>
      <c r="BO101" s="12">
        <f t="shared" si="35"/>
        <v>1</v>
      </c>
      <c r="BP101" s="12">
        <f t="shared" si="36"/>
        <v>0</v>
      </c>
      <c r="BQ101" s="12">
        <f t="shared" si="25"/>
        <v>1</v>
      </c>
      <c r="BR101" s="12">
        <f t="shared" si="37"/>
        <v>0</v>
      </c>
      <c r="BS101" s="23">
        <f t="shared" si="38"/>
        <v>0</v>
      </c>
      <c r="BT101" s="23">
        <f t="shared" si="39"/>
        <v>0</v>
      </c>
      <c r="BU101" s="23">
        <f t="shared" si="40"/>
        <v>0</v>
      </c>
      <c r="BV101" s="18">
        <f t="shared" si="41"/>
        <v>3.3369207376346193E-3</v>
      </c>
      <c r="BX101" s="18">
        <f t="shared" si="42"/>
        <v>0</v>
      </c>
      <c r="BY101" s="18">
        <f t="shared" si="43"/>
        <v>7.3037686602347622E-3</v>
      </c>
    </row>
    <row r="102" spans="1:77" x14ac:dyDescent="0.3">
      <c r="A102" s="1">
        <v>46170</v>
      </c>
      <c r="B102" s="6">
        <v>27.11</v>
      </c>
      <c r="C102" s="6">
        <v>29.14</v>
      </c>
      <c r="D102" s="7">
        <v>1.10721546649993E-3</v>
      </c>
      <c r="E102" s="7">
        <v>6.8657743857355102E-4</v>
      </c>
      <c r="F102" s="6">
        <v>0</v>
      </c>
      <c r="G102" s="6">
        <v>0.59149999999999903</v>
      </c>
      <c r="H102" s="6">
        <v>0</v>
      </c>
      <c r="I102" s="6">
        <v>0.63039999999999996</v>
      </c>
      <c r="J102" s="6">
        <v>0.59149999999999903</v>
      </c>
      <c r="K102" s="6">
        <v>0.63039999999999996</v>
      </c>
      <c r="L102" s="6">
        <v>27.701499999999999</v>
      </c>
      <c r="M102" s="6">
        <v>29.770399999999999</v>
      </c>
      <c r="N102" s="8">
        <v>1.07488011803762</v>
      </c>
      <c r="O102" s="8">
        <v>1.0748223497963401</v>
      </c>
      <c r="P102" s="8">
        <v>1.07514240996446</v>
      </c>
      <c r="Q102" s="8">
        <v>1.0758434404309001</v>
      </c>
      <c r="R102" s="6">
        <v>29.1384339029789</v>
      </c>
      <c r="S102" s="6">
        <v>29.150251312771498</v>
      </c>
      <c r="T102" s="6">
        <v>29.169770823387999</v>
      </c>
      <c r="U102" s="7">
        <v>-5.37453365348036E-5</v>
      </c>
      <c r="V102" s="7">
        <v>3.5173335665569002E-4</v>
      </c>
      <c r="W102" s="7">
        <v>1.02112649576623E-3</v>
      </c>
      <c r="X102" s="8">
        <v>1.0746854863455</v>
      </c>
      <c r="Y102" s="8">
        <v>1.07476747574368</v>
      </c>
      <c r="Z102" s="8">
        <v>1.0749409930802301</v>
      </c>
      <c r="AA102" s="8">
        <v>1.07564024580676</v>
      </c>
      <c r="AB102" s="6">
        <v>29.772671229313499</v>
      </c>
      <c r="AC102" s="6">
        <v>29.780615190015101</v>
      </c>
      <c r="AD102" s="6">
        <v>29.800856479333099</v>
      </c>
      <c r="AE102" s="7">
        <v>7.6288618231065597E-5</v>
      </c>
      <c r="AF102" s="7">
        <v>3.4307358431390699E-4</v>
      </c>
      <c r="AG102" s="7">
        <v>1.02252273283467E-3</v>
      </c>
      <c r="AZ102" s="23"/>
      <c r="BB102" s="12">
        <f t="shared" si="26"/>
        <v>0</v>
      </c>
      <c r="BC102" s="12">
        <f t="shared" si="27"/>
        <v>1</v>
      </c>
      <c r="BD102" s="12">
        <f t="shared" si="28"/>
        <v>0</v>
      </c>
      <c r="BE102" s="12">
        <f t="shared" si="24"/>
        <v>1</v>
      </c>
      <c r="BF102" s="12">
        <f t="shared" si="29"/>
        <v>0</v>
      </c>
      <c r="BG102" s="23">
        <f t="shared" si="30"/>
        <v>0</v>
      </c>
      <c r="BH102" s="23">
        <f t="shared" si="31"/>
        <v>0</v>
      </c>
      <c r="BI102" s="23">
        <f t="shared" si="32"/>
        <v>0</v>
      </c>
      <c r="BJ102" s="18">
        <f t="shared" si="33"/>
        <v>3.9668479226001412E-3</v>
      </c>
      <c r="BL102" s="23"/>
      <c r="BN102" s="12">
        <f t="shared" si="34"/>
        <v>0</v>
      </c>
      <c r="BO102" s="12">
        <f t="shared" si="35"/>
        <v>0</v>
      </c>
      <c r="BP102" s="12">
        <f t="shared" si="36"/>
        <v>0</v>
      </c>
      <c r="BQ102" s="12">
        <f t="shared" si="25"/>
        <v>1</v>
      </c>
      <c r="BR102" s="12">
        <f t="shared" si="37"/>
        <v>0</v>
      </c>
      <c r="BS102" s="23">
        <f t="shared" si="38"/>
        <v>0</v>
      </c>
      <c r="BT102" s="23">
        <f t="shared" si="39"/>
        <v>0</v>
      </c>
      <c r="BU102" s="23">
        <f t="shared" si="40"/>
        <v>0</v>
      </c>
      <c r="BV102" s="18">
        <f t="shared" si="41"/>
        <v>3.3369207376346193E-3</v>
      </c>
      <c r="BX102" s="18">
        <f t="shared" si="42"/>
        <v>0</v>
      </c>
      <c r="BY102" s="18">
        <f t="shared" si="43"/>
        <v>7.3037686602347622E-3</v>
      </c>
    </row>
    <row r="103" spans="1:77" x14ac:dyDescent="0.3">
      <c r="A103" s="1">
        <v>46171</v>
      </c>
      <c r="B103" s="6">
        <v>27.2</v>
      </c>
      <c r="C103" s="6">
        <v>29.23</v>
      </c>
      <c r="D103" s="7">
        <v>3.3143097913773999E-3</v>
      </c>
      <c r="E103" s="7">
        <v>3.08377835609584E-3</v>
      </c>
      <c r="F103" s="6">
        <v>0</v>
      </c>
      <c r="G103" s="6">
        <v>0.59149999999999903</v>
      </c>
      <c r="H103" s="6">
        <v>0</v>
      </c>
      <c r="I103" s="6">
        <v>0.63039999999999996</v>
      </c>
      <c r="J103" s="6">
        <v>0.59149999999999903</v>
      </c>
      <c r="K103" s="6">
        <v>0.63039999999999996</v>
      </c>
      <c r="L103" s="6">
        <v>27.791499999999999</v>
      </c>
      <c r="M103" s="6">
        <v>29.860399999999998</v>
      </c>
      <c r="N103" s="8">
        <v>1.0746323529411701</v>
      </c>
      <c r="O103" s="8">
        <v>1.0748223497963401</v>
      </c>
      <c r="P103" s="8">
        <v>1.0750017876918101</v>
      </c>
      <c r="Q103" s="8">
        <v>1.0756693837964599</v>
      </c>
      <c r="R103" s="6">
        <v>29.2351679144606</v>
      </c>
      <c r="S103" s="6">
        <v>29.2438735510333</v>
      </c>
      <c r="T103" s="6">
        <v>29.2629415797206</v>
      </c>
      <c r="U103" s="7">
        <v>1.76786098746912E-4</v>
      </c>
      <c r="V103" s="7">
        <v>4.74521370013105E-4</v>
      </c>
      <c r="W103" s="7">
        <v>1.1263438737587801E-3</v>
      </c>
      <c r="X103" s="8">
        <v>1.0744436248493201</v>
      </c>
      <c r="Y103" s="8">
        <v>1.07476747574368</v>
      </c>
      <c r="Z103" s="8">
        <v>1.0748035542113299</v>
      </c>
      <c r="AA103" s="8">
        <v>1.07545704668164</v>
      </c>
      <c r="AB103" s="6">
        <v>29.869400302130401</v>
      </c>
      <c r="AC103" s="6">
        <v>29.8742226091893</v>
      </c>
      <c r="AD103" s="6">
        <v>29.8936558913386</v>
      </c>
      <c r="AE103" s="7">
        <v>3.0136722885674999E-4</v>
      </c>
      <c r="AF103" s="7">
        <v>4.6280059477371501E-4</v>
      </c>
      <c r="AG103" s="7">
        <v>1.1130924679912399E-3</v>
      </c>
      <c r="AZ103" s="23"/>
      <c r="BB103" s="12">
        <f t="shared" si="26"/>
        <v>0</v>
      </c>
      <c r="BC103" s="12">
        <f t="shared" si="27"/>
        <v>1</v>
      </c>
      <c r="BD103" s="12">
        <f t="shared" si="28"/>
        <v>0</v>
      </c>
      <c r="BE103" s="12">
        <f t="shared" si="24"/>
        <v>0</v>
      </c>
      <c r="BF103" s="12">
        <f t="shared" si="29"/>
        <v>0</v>
      </c>
      <c r="BG103" s="23">
        <f t="shared" si="30"/>
        <v>0</v>
      </c>
      <c r="BH103" s="23">
        <f t="shared" si="31"/>
        <v>0</v>
      </c>
      <c r="BI103" s="23">
        <f t="shared" si="32"/>
        <v>0</v>
      </c>
      <c r="BJ103" s="18">
        <f t="shared" si="33"/>
        <v>3.9668479226001412E-3</v>
      </c>
      <c r="BL103" s="23"/>
      <c r="BN103" s="12">
        <f t="shared" si="34"/>
        <v>0</v>
      </c>
      <c r="BO103" s="12">
        <f t="shared" si="35"/>
        <v>0</v>
      </c>
      <c r="BP103" s="12">
        <f t="shared" si="36"/>
        <v>0</v>
      </c>
      <c r="BQ103" s="12">
        <f t="shared" si="25"/>
        <v>0</v>
      </c>
      <c r="BR103" s="12">
        <f t="shared" si="37"/>
        <v>0</v>
      </c>
      <c r="BS103" s="23">
        <f t="shared" si="38"/>
        <v>0</v>
      </c>
      <c r="BT103" s="23">
        <f t="shared" si="39"/>
        <v>0</v>
      </c>
      <c r="BU103" s="23">
        <f t="shared" si="40"/>
        <v>0</v>
      </c>
      <c r="BV103" s="18">
        <f t="shared" si="41"/>
        <v>3.3369207376346193E-3</v>
      </c>
      <c r="BX103" s="18">
        <f t="shared" si="42"/>
        <v>0</v>
      </c>
      <c r="BY103" s="18">
        <f t="shared" si="43"/>
        <v>7.3037686602347622E-3</v>
      </c>
    </row>
    <row r="104" spans="1:77" x14ac:dyDescent="0.3">
      <c r="A104" s="1">
        <v>46174</v>
      </c>
      <c r="B104" s="6">
        <v>27.04</v>
      </c>
      <c r="C104" s="6">
        <v>29.06</v>
      </c>
      <c r="D104" s="7">
        <v>-5.8997221271882699E-3</v>
      </c>
      <c r="E104" s="7">
        <v>-5.8329209810177697E-3</v>
      </c>
      <c r="F104" s="6">
        <v>0.14910000000000001</v>
      </c>
      <c r="G104" s="6">
        <v>0.74059999999999904</v>
      </c>
      <c r="H104" s="6">
        <v>0.1535</v>
      </c>
      <c r="I104" s="6">
        <v>0.78389999999999904</v>
      </c>
      <c r="J104" s="6">
        <v>0.74059999999999904</v>
      </c>
      <c r="K104" s="6">
        <v>0.78389999999999904</v>
      </c>
      <c r="L104" s="6">
        <v>27.7806</v>
      </c>
      <c r="M104" s="6">
        <v>29.843899999999898</v>
      </c>
      <c r="N104" s="8">
        <v>1.07470414201183</v>
      </c>
      <c r="O104" s="8">
        <v>1.0748223497963401</v>
      </c>
      <c r="P104" s="8">
        <v>1.0749348884601599</v>
      </c>
      <c r="Q104" s="8">
        <v>1.0755214548023699</v>
      </c>
      <c r="R104" s="6">
        <v>29.063196338493199</v>
      </c>
      <c r="S104" s="6">
        <v>29.0680483391866</v>
      </c>
      <c r="T104" s="6">
        <v>29.086100137856199</v>
      </c>
      <c r="U104" s="7">
        <v>1.09984952576416E-4</v>
      </c>
      <c r="V104" s="7">
        <v>2.76917579999356E-4</v>
      </c>
      <c r="W104" s="7">
        <v>8.9774342724080697E-4</v>
      </c>
      <c r="X104" s="8">
        <v>1.0742712540405801</v>
      </c>
      <c r="Y104" s="8">
        <v>1.07476747574368</v>
      </c>
      <c r="Z104" s="8">
        <v>1.0747141142575301</v>
      </c>
      <c r="AA104" s="8">
        <v>1.07530020784919</v>
      </c>
      <c r="AB104" s="6">
        <v>29.857685336644799</v>
      </c>
      <c r="AC104" s="6">
        <v>29.858687618123501</v>
      </c>
      <c r="AD104" s="6">
        <v>29.876842031043999</v>
      </c>
      <c r="AE104" s="7">
        <v>4.61808067981825E-4</v>
      </c>
      <c r="AF104" s="7">
        <v>4.9537613078049695E-4</v>
      </c>
      <c r="AG104" s="7">
        <v>1.1032024474169099E-3</v>
      </c>
      <c r="AZ104" s="23"/>
      <c r="BB104" s="12">
        <f t="shared" si="26"/>
        <v>0</v>
      </c>
      <c r="BC104" s="12">
        <f t="shared" si="27"/>
        <v>1</v>
      </c>
      <c r="BD104" s="12">
        <f t="shared" si="28"/>
        <v>0</v>
      </c>
      <c r="BE104" s="12">
        <f t="shared" si="24"/>
        <v>1</v>
      </c>
      <c r="BF104" s="12">
        <f t="shared" si="29"/>
        <v>0</v>
      </c>
      <c r="BG104" s="23">
        <f t="shared" si="30"/>
        <v>0</v>
      </c>
      <c r="BH104" s="23">
        <f t="shared" si="31"/>
        <v>0</v>
      </c>
      <c r="BI104" s="23">
        <f t="shared" si="32"/>
        <v>0</v>
      </c>
      <c r="BJ104" s="18">
        <f t="shared" si="33"/>
        <v>3.9668479226001412E-3</v>
      </c>
      <c r="BL104" s="23"/>
      <c r="BN104" s="12">
        <f t="shared" si="34"/>
        <v>0</v>
      </c>
      <c r="BO104" s="12">
        <f t="shared" si="35"/>
        <v>0</v>
      </c>
      <c r="BP104" s="12">
        <f t="shared" si="36"/>
        <v>0</v>
      </c>
      <c r="BQ104" s="12">
        <f t="shared" si="25"/>
        <v>1</v>
      </c>
      <c r="BR104" s="12">
        <f t="shared" si="37"/>
        <v>0</v>
      </c>
      <c r="BS104" s="23">
        <f t="shared" si="38"/>
        <v>0</v>
      </c>
      <c r="BT104" s="23">
        <f t="shared" si="39"/>
        <v>0</v>
      </c>
      <c r="BU104" s="23">
        <f t="shared" si="40"/>
        <v>0</v>
      </c>
      <c r="BV104" s="18">
        <f t="shared" si="41"/>
        <v>3.3369207376346193E-3</v>
      </c>
      <c r="BX104" s="18">
        <f t="shared" si="42"/>
        <v>0</v>
      </c>
      <c r="BY104" s="18">
        <f t="shared" si="43"/>
        <v>7.3037686602347622E-3</v>
      </c>
    </row>
    <row r="105" spans="1:77" x14ac:dyDescent="0.3">
      <c r="A105" s="1">
        <v>46175</v>
      </c>
      <c r="B105" s="6">
        <v>27.04</v>
      </c>
      <c r="C105" s="6">
        <v>29.09</v>
      </c>
      <c r="D105" s="7">
        <v>0</v>
      </c>
      <c r="E105" s="7">
        <v>1.0318143649733901E-3</v>
      </c>
      <c r="F105" s="6">
        <v>0</v>
      </c>
      <c r="G105" s="6">
        <v>0.74059999999999904</v>
      </c>
      <c r="H105" s="6">
        <v>0</v>
      </c>
      <c r="I105" s="6">
        <v>0.78389999999999904</v>
      </c>
      <c r="J105" s="6">
        <v>0.74059999999999904</v>
      </c>
      <c r="K105" s="6">
        <v>0.78389999999999904</v>
      </c>
      <c r="L105" s="6">
        <v>27.7806</v>
      </c>
      <c r="M105" s="6">
        <v>29.873899999999999</v>
      </c>
      <c r="N105" s="8">
        <v>1.07581360946745</v>
      </c>
      <c r="O105" s="8">
        <v>1.0748223497963401</v>
      </c>
      <c r="P105" s="8">
        <v>1.07498455664031</v>
      </c>
      <c r="Q105" s="8">
        <v>1.0754345842553401</v>
      </c>
      <c r="R105" s="6">
        <v>29.063196338493199</v>
      </c>
      <c r="S105" s="6">
        <v>29.066239383962699</v>
      </c>
      <c r="T105" s="6">
        <v>29.082100137856202</v>
      </c>
      <c r="U105" s="7">
        <v>-9.2182941239712999E-4</v>
      </c>
      <c r="V105" s="7">
        <v>-8.1713046135711495E-4</v>
      </c>
      <c r="W105" s="7">
        <v>-2.7160312842576501E-4</v>
      </c>
      <c r="X105" s="8">
        <v>1.07535114432373</v>
      </c>
      <c r="Y105" s="8">
        <v>1.07476747574368</v>
      </c>
      <c r="Z105" s="8">
        <v>1.0747381475743101</v>
      </c>
      <c r="AA105" s="8">
        <v>1.0752028702702501</v>
      </c>
      <c r="AB105" s="6">
        <v>29.857685336644799</v>
      </c>
      <c r="AC105" s="6">
        <v>29.8562029225427</v>
      </c>
      <c r="AD105" s="6">
        <v>29.872484954175199</v>
      </c>
      <c r="AE105" s="7">
        <v>-5.42917575751981E-4</v>
      </c>
      <c r="AF105" s="7">
        <v>-5.9256813931894605E-4</v>
      </c>
      <c r="AG105" s="7">
        <v>-4.7368416551414602E-5</v>
      </c>
      <c r="AZ105" s="23"/>
      <c r="BB105" s="12">
        <f t="shared" si="26"/>
        <v>0</v>
      </c>
      <c r="BC105" s="12">
        <f t="shared" si="27"/>
        <v>0</v>
      </c>
      <c r="BD105" s="12">
        <f t="shared" si="28"/>
        <v>0</v>
      </c>
      <c r="BE105" s="12">
        <f t="shared" si="24"/>
        <v>1</v>
      </c>
      <c r="BF105" s="12">
        <f t="shared" si="29"/>
        <v>0</v>
      </c>
      <c r="BG105" s="23">
        <f t="shared" si="30"/>
        <v>0</v>
      </c>
      <c r="BH105" s="23">
        <f t="shared" si="31"/>
        <v>0</v>
      </c>
      <c r="BI105" s="23">
        <f t="shared" si="32"/>
        <v>0</v>
      </c>
      <c r="BJ105" s="18">
        <f t="shared" si="33"/>
        <v>3.9668479226001412E-3</v>
      </c>
      <c r="BL105" s="23"/>
      <c r="BN105" s="12">
        <f t="shared" si="34"/>
        <v>0</v>
      </c>
      <c r="BO105" s="12">
        <f t="shared" si="35"/>
        <v>1</v>
      </c>
      <c r="BP105" s="12">
        <f t="shared" si="36"/>
        <v>0</v>
      </c>
      <c r="BQ105" s="12">
        <f t="shared" si="25"/>
        <v>1</v>
      </c>
      <c r="BR105" s="12">
        <f t="shared" si="37"/>
        <v>0</v>
      </c>
      <c r="BS105" s="23">
        <f t="shared" si="38"/>
        <v>0</v>
      </c>
      <c r="BT105" s="23">
        <f t="shared" si="39"/>
        <v>0</v>
      </c>
      <c r="BU105" s="23">
        <f t="shared" si="40"/>
        <v>0</v>
      </c>
      <c r="BV105" s="18">
        <f t="shared" si="41"/>
        <v>3.3369207376346193E-3</v>
      </c>
      <c r="BX105" s="18">
        <f t="shared" si="42"/>
        <v>0</v>
      </c>
      <c r="BY105" s="18">
        <f t="shared" si="43"/>
        <v>7.3037686602347622E-3</v>
      </c>
    </row>
    <row r="106" spans="1:77" x14ac:dyDescent="0.3">
      <c r="A106" s="1">
        <v>46176</v>
      </c>
      <c r="B106" s="6">
        <v>26.98</v>
      </c>
      <c r="C106" s="6">
        <v>29.03</v>
      </c>
      <c r="D106" s="7">
        <v>-2.2214003951534999E-3</v>
      </c>
      <c r="E106" s="7">
        <v>-2.0646944705717098E-3</v>
      </c>
      <c r="F106" s="6">
        <v>0</v>
      </c>
      <c r="G106" s="6">
        <v>0.74059999999999904</v>
      </c>
      <c r="H106" s="6">
        <v>0</v>
      </c>
      <c r="I106" s="6">
        <v>0.78389999999999904</v>
      </c>
      <c r="J106" s="6">
        <v>0.74059999999999904</v>
      </c>
      <c r="K106" s="6">
        <v>0.78389999999999904</v>
      </c>
      <c r="L106" s="6">
        <v>27.720600000000001</v>
      </c>
      <c r="M106" s="6">
        <v>29.8139</v>
      </c>
      <c r="N106" s="8">
        <v>1.0759822090437301</v>
      </c>
      <c r="O106" s="8">
        <v>1.0748223497963401</v>
      </c>
      <c r="P106" s="8">
        <v>1.0750257255431901</v>
      </c>
      <c r="Q106" s="8">
        <v>1.0753861179409701</v>
      </c>
      <c r="R106" s="6">
        <v>28.998706997505401</v>
      </c>
      <c r="S106" s="6">
        <v>29.003083338155701</v>
      </c>
      <c r="T106" s="6">
        <v>29.015225083209099</v>
      </c>
      <c r="U106" s="7">
        <v>-1.07853533697896E-3</v>
      </c>
      <c r="V106" s="7">
        <v>-9.2763169647907596E-4</v>
      </c>
      <c r="W106" s="7">
        <v>-5.09082946574267E-4</v>
      </c>
      <c r="X106" s="8">
        <v>1.0755142385085401</v>
      </c>
      <c r="Y106" s="8">
        <v>1.07476747574368</v>
      </c>
      <c r="Z106" s="8">
        <v>1.07475374798941</v>
      </c>
      <c r="AA106" s="8">
        <v>1.0751429831152499</v>
      </c>
      <c r="AB106" s="6">
        <v>29.793199288100201</v>
      </c>
      <c r="AC106" s="6">
        <v>29.792386293648502</v>
      </c>
      <c r="AD106" s="6">
        <v>29.805268685613498</v>
      </c>
      <c r="AE106" s="7">
        <v>-6.94572055315078E-4</v>
      </c>
      <c r="AF106" s="7">
        <v>-7.2186034807346497E-4</v>
      </c>
      <c r="AG106" s="7">
        <v>-2.8954829921414103E-4</v>
      </c>
      <c r="AZ106" s="23"/>
      <c r="BB106" s="12">
        <f t="shared" si="26"/>
        <v>0</v>
      </c>
      <c r="BC106" s="12">
        <f t="shared" si="27"/>
        <v>0</v>
      </c>
      <c r="BD106" s="12">
        <f t="shared" si="28"/>
        <v>0</v>
      </c>
      <c r="BE106" s="12">
        <f t="shared" si="24"/>
        <v>1</v>
      </c>
      <c r="BF106" s="12">
        <f t="shared" si="29"/>
        <v>0</v>
      </c>
      <c r="BG106" s="23">
        <f t="shared" si="30"/>
        <v>0</v>
      </c>
      <c r="BH106" s="23">
        <f t="shared" si="31"/>
        <v>0</v>
      </c>
      <c r="BI106" s="23">
        <f t="shared" si="32"/>
        <v>0</v>
      </c>
      <c r="BJ106" s="18">
        <f t="shared" si="33"/>
        <v>3.9668479226001412E-3</v>
      </c>
      <c r="BL106" s="23"/>
      <c r="BN106" s="12">
        <f t="shared" si="34"/>
        <v>0</v>
      </c>
      <c r="BO106" s="12">
        <f t="shared" si="35"/>
        <v>1</v>
      </c>
      <c r="BP106" s="12">
        <f t="shared" si="36"/>
        <v>0</v>
      </c>
      <c r="BQ106" s="12">
        <f t="shared" si="25"/>
        <v>1</v>
      </c>
      <c r="BR106" s="12">
        <f t="shared" si="37"/>
        <v>0</v>
      </c>
      <c r="BS106" s="23">
        <f t="shared" si="38"/>
        <v>0</v>
      </c>
      <c r="BT106" s="23">
        <f t="shared" si="39"/>
        <v>0</v>
      </c>
      <c r="BU106" s="23">
        <f t="shared" si="40"/>
        <v>0</v>
      </c>
      <c r="BV106" s="18">
        <f t="shared" si="41"/>
        <v>3.3369207376346193E-3</v>
      </c>
      <c r="BX106" s="18">
        <f t="shared" si="42"/>
        <v>0</v>
      </c>
      <c r="BY106" s="18">
        <f t="shared" si="43"/>
        <v>7.3037686602347622E-3</v>
      </c>
    </row>
    <row r="107" spans="1:77" x14ac:dyDescent="0.3">
      <c r="A107" s="1">
        <v>46177</v>
      </c>
      <c r="B107" s="6">
        <v>27.03</v>
      </c>
      <c r="C107" s="6">
        <v>29.09</v>
      </c>
      <c r="D107" s="7">
        <v>1.8515095087465101E-3</v>
      </c>
      <c r="E107" s="7">
        <v>2.06469447057179E-3</v>
      </c>
      <c r="F107" s="6">
        <v>0</v>
      </c>
      <c r="G107" s="6">
        <v>0.74059999999999904</v>
      </c>
      <c r="H107" s="6">
        <v>0</v>
      </c>
      <c r="I107" s="6">
        <v>0.78389999999999904</v>
      </c>
      <c r="J107" s="6">
        <v>0.74059999999999904</v>
      </c>
      <c r="K107" s="6">
        <v>0.78389999999999904</v>
      </c>
      <c r="L107" s="6">
        <v>27.770600000000002</v>
      </c>
      <c r="M107" s="6">
        <v>29.873899999999999</v>
      </c>
      <c r="N107" s="8">
        <v>1.07621161672216</v>
      </c>
      <c r="O107" s="8">
        <v>1.0748223497963401</v>
      </c>
      <c r="P107" s="8">
        <v>1.07525735880842</v>
      </c>
      <c r="Q107" s="8">
        <v>1.0753434539393201</v>
      </c>
      <c r="R107" s="6">
        <v>29.052448114995201</v>
      </c>
      <c r="S107" s="6">
        <v>29.057945361432399</v>
      </c>
      <c r="T107" s="6">
        <v>29.067686767944501</v>
      </c>
      <c r="U107" s="7">
        <v>-1.2917202988040901E-3</v>
      </c>
      <c r="V107" s="7">
        <v>-1.10252018760988E-3</v>
      </c>
      <c r="W107" s="7">
        <v>-7.6733564866029297E-4</v>
      </c>
      <c r="X107" s="8">
        <v>1.0757383707950099</v>
      </c>
      <c r="Y107" s="8">
        <v>1.07476747574368</v>
      </c>
      <c r="Z107" s="8">
        <v>1.0749555304934</v>
      </c>
      <c r="AA107" s="8">
        <v>1.0750887165874301</v>
      </c>
      <c r="AB107" s="6">
        <v>29.846937661887399</v>
      </c>
      <c r="AC107" s="6">
        <v>29.846556433914799</v>
      </c>
      <c r="AD107" s="6">
        <v>29.857365726900401</v>
      </c>
      <c r="AE107" s="7">
        <v>-9.0294580585371595E-4</v>
      </c>
      <c r="AF107" s="7">
        <v>-9.1571865416568098E-4</v>
      </c>
      <c r="AG107" s="7">
        <v>-5.5362207114283796E-4</v>
      </c>
      <c r="AZ107" s="23"/>
      <c r="BB107" s="12">
        <f t="shared" si="26"/>
        <v>0</v>
      </c>
      <c r="BC107" s="12">
        <f t="shared" si="27"/>
        <v>0</v>
      </c>
      <c r="BD107" s="12">
        <f t="shared" si="28"/>
        <v>0</v>
      </c>
      <c r="BE107" s="12">
        <f t="shared" si="24"/>
        <v>1</v>
      </c>
      <c r="BF107" s="12">
        <f t="shared" si="29"/>
        <v>0</v>
      </c>
      <c r="BG107" s="23">
        <f t="shared" si="30"/>
        <v>0</v>
      </c>
      <c r="BH107" s="23">
        <f t="shared" si="31"/>
        <v>0</v>
      </c>
      <c r="BI107" s="23">
        <f t="shared" si="32"/>
        <v>0</v>
      </c>
      <c r="BJ107" s="18">
        <f t="shared" si="33"/>
        <v>3.9668479226001412E-3</v>
      </c>
      <c r="BL107" s="23"/>
      <c r="BN107" s="12">
        <f t="shared" si="34"/>
        <v>0</v>
      </c>
      <c r="BO107" s="12">
        <f t="shared" si="35"/>
        <v>1</v>
      </c>
      <c r="BP107" s="12">
        <f t="shared" si="36"/>
        <v>0</v>
      </c>
      <c r="BQ107" s="12">
        <f t="shared" si="25"/>
        <v>1</v>
      </c>
      <c r="BR107" s="12">
        <f t="shared" si="37"/>
        <v>0</v>
      </c>
      <c r="BS107" s="23">
        <f t="shared" si="38"/>
        <v>0</v>
      </c>
      <c r="BT107" s="23">
        <f t="shared" si="39"/>
        <v>0</v>
      </c>
      <c r="BU107" s="23">
        <f t="shared" si="40"/>
        <v>0</v>
      </c>
      <c r="BV107" s="18">
        <f t="shared" si="41"/>
        <v>3.3369207376346193E-3</v>
      </c>
      <c r="BX107" s="18">
        <f t="shared" si="42"/>
        <v>0</v>
      </c>
      <c r="BY107" s="18">
        <f t="shared" si="43"/>
        <v>7.3037686602347622E-3</v>
      </c>
    </row>
    <row r="108" spans="1:77" x14ac:dyDescent="0.3">
      <c r="A108" s="1">
        <v>46178</v>
      </c>
      <c r="B108" s="6">
        <v>26.89</v>
      </c>
      <c r="C108" s="6">
        <v>28.94</v>
      </c>
      <c r="D108" s="7">
        <v>-5.1928900075829199E-3</v>
      </c>
      <c r="E108" s="7">
        <v>-5.1697513037724397E-3</v>
      </c>
      <c r="F108" s="6">
        <v>0</v>
      </c>
      <c r="G108" s="6">
        <v>0.74059999999999904</v>
      </c>
      <c r="H108" s="6">
        <v>0</v>
      </c>
      <c r="I108" s="6">
        <v>0.78389999999999904</v>
      </c>
      <c r="J108" s="6">
        <v>0.74059999999999904</v>
      </c>
      <c r="K108" s="6">
        <v>0.78389999999999904</v>
      </c>
      <c r="L108" s="6">
        <v>27.630600000000001</v>
      </c>
      <c r="M108" s="6">
        <v>29.7239</v>
      </c>
      <c r="N108" s="8">
        <v>1.0762365191520999</v>
      </c>
      <c r="O108" s="8">
        <v>1.0748223497963401</v>
      </c>
      <c r="P108" s="8">
        <v>1.0753939832959101</v>
      </c>
      <c r="Q108" s="8">
        <v>1.0753830905478099</v>
      </c>
      <c r="R108" s="6">
        <v>28.901972986023701</v>
      </c>
      <c r="S108" s="6">
        <v>28.913670378358599</v>
      </c>
      <c r="T108" s="6">
        <v>28.9159854764284</v>
      </c>
      <c r="U108" s="7">
        <v>-1.3148590026146199E-3</v>
      </c>
      <c r="V108" s="7">
        <v>-9.1021445267033796E-4</v>
      </c>
      <c r="W108" s="7">
        <v>-8.3014833307105897E-4</v>
      </c>
      <c r="X108" s="8">
        <v>1.07576020788546</v>
      </c>
      <c r="Y108" s="8">
        <v>1.07476747574368</v>
      </c>
      <c r="Z108" s="8">
        <v>1.0750640576744099</v>
      </c>
      <c r="AA108" s="8">
        <v>1.0751148971860001</v>
      </c>
      <c r="AB108" s="6">
        <v>29.696470215283298</v>
      </c>
      <c r="AC108" s="6">
        <v>29.701666280850901</v>
      </c>
      <c r="AD108" s="6">
        <v>29.7053462925407</v>
      </c>
      <c r="AE108" s="7">
        <v>-9.23245229394262E-4</v>
      </c>
      <c r="AF108" s="7">
        <v>-7.4828803755604503E-4</v>
      </c>
      <c r="AG108" s="7">
        <v>-6.2439654612988105E-4</v>
      </c>
      <c r="AZ108" s="23"/>
      <c r="BB108" s="12">
        <f t="shared" si="26"/>
        <v>0</v>
      </c>
      <c r="BC108" s="12">
        <f t="shared" si="27"/>
        <v>0</v>
      </c>
      <c r="BD108" s="12">
        <f t="shared" si="28"/>
        <v>0</v>
      </c>
      <c r="BE108" s="12">
        <f t="shared" si="24"/>
        <v>1</v>
      </c>
      <c r="BF108" s="12">
        <f t="shared" si="29"/>
        <v>0</v>
      </c>
      <c r="BG108" s="23">
        <f t="shared" si="30"/>
        <v>0</v>
      </c>
      <c r="BH108" s="23">
        <f t="shared" si="31"/>
        <v>0</v>
      </c>
      <c r="BI108" s="23">
        <f t="shared" si="32"/>
        <v>0</v>
      </c>
      <c r="BJ108" s="18">
        <f t="shared" si="33"/>
        <v>3.9668479226001412E-3</v>
      </c>
      <c r="BL108" s="23"/>
      <c r="BN108" s="12">
        <f t="shared" si="34"/>
        <v>0</v>
      </c>
      <c r="BO108" s="12">
        <f t="shared" si="35"/>
        <v>1</v>
      </c>
      <c r="BP108" s="12">
        <f t="shared" si="36"/>
        <v>0</v>
      </c>
      <c r="BQ108" s="12">
        <f t="shared" si="25"/>
        <v>1</v>
      </c>
      <c r="BR108" s="12">
        <f t="shared" si="37"/>
        <v>0</v>
      </c>
      <c r="BS108" s="23">
        <f t="shared" si="38"/>
        <v>0</v>
      </c>
      <c r="BT108" s="23">
        <f t="shared" si="39"/>
        <v>0</v>
      </c>
      <c r="BU108" s="23">
        <f t="shared" si="40"/>
        <v>0</v>
      </c>
      <c r="BV108" s="18">
        <f t="shared" si="41"/>
        <v>3.3369207376346193E-3</v>
      </c>
      <c r="BX108" s="18">
        <f t="shared" si="42"/>
        <v>0</v>
      </c>
      <c r="BY108" s="18">
        <f t="shared" si="43"/>
        <v>7.3037686602347622E-3</v>
      </c>
    </row>
    <row r="109" spans="1:77" x14ac:dyDescent="0.3">
      <c r="A109" s="1">
        <v>46181</v>
      </c>
      <c r="B109" s="6">
        <v>26.91</v>
      </c>
      <c r="C109" s="6">
        <v>28.95</v>
      </c>
      <c r="D109" s="7">
        <v>7.4349445804120699E-4</v>
      </c>
      <c r="E109" s="7">
        <v>3.4548281566631502E-4</v>
      </c>
      <c r="F109" s="6">
        <v>0</v>
      </c>
      <c r="G109" s="6">
        <v>0.74059999999999904</v>
      </c>
      <c r="H109" s="6">
        <v>0</v>
      </c>
      <c r="I109" s="6">
        <v>0.78389999999999904</v>
      </c>
      <c r="J109" s="6">
        <v>0.74059999999999904</v>
      </c>
      <c r="K109" s="6">
        <v>0.78389999999999904</v>
      </c>
      <c r="L109" s="6">
        <v>27.650600000000001</v>
      </c>
      <c r="M109" s="6">
        <v>29.733899999999998</v>
      </c>
      <c r="N109" s="8">
        <v>1.07580824972129</v>
      </c>
      <c r="O109" s="8">
        <v>1.0748223497963401</v>
      </c>
      <c r="P109" s="8">
        <v>1.0755358741451699</v>
      </c>
      <c r="Q109" s="8">
        <v>1.07541382739805</v>
      </c>
      <c r="R109" s="6">
        <v>28.923469433019601</v>
      </c>
      <c r="S109" s="6">
        <v>28.938852090493</v>
      </c>
      <c r="T109" s="6">
        <v>28.9385589666417</v>
      </c>
      <c r="U109" s="7">
        <v>-9.1684736023993905E-4</v>
      </c>
      <c r="V109" s="7">
        <v>-3.8514875462869702E-4</v>
      </c>
      <c r="W109" s="7">
        <v>-3.95277882589023E-4</v>
      </c>
      <c r="X109" s="8">
        <v>1.0753437538425901</v>
      </c>
      <c r="Y109" s="8">
        <v>1.07476747574368</v>
      </c>
      <c r="Z109" s="8">
        <v>1.0751779741919001</v>
      </c>
      <c r="AA109" s="8">
        <v>1.0751324681546399</v>
      </c>
      <c r="AB109" s="6">
        <v>29.717965564798199</v>
      </c>
      <c r="AC109" s="6">
        <v>29.726166233132201</v>
      </c>
      <c r="AD109" s="6">
        <v>29.727571976131198</v>
      </c>
      <c r="AE109" s="7">
        <v>-5.3604493086840802E-4</v>
      </c>
      <c r="AF109" s="7">
        <v>-2.6013314149475901E-4</v>
      </c>
      <c r="AG109" s="7">
        <v>-2.1284450863140599E-4</v>
      </c>
      <c r="AZ109" s="23"/>
      <c r="BB109" s="12">
        <f t="shared" si="26"/>
        <v>0</v>
      </c>
      <c r="BC109" s="12">
        <f t="shared" si="27"/>
        <v>0</v>
      </c>
      <c r="BD109" s="12">
        <f t="shared" si="28"/>
        <v>0</v>
      </c>
      <c r="BE109" s="12">
        <f t="shared" si="24"/>
        <v>1</v>
      </c>
      <c r="BF109" s="12">
        <f t="shared" si="29"/>
        <v>0</v>
      </c>
      <c r="BG109" s="23">
        <f t="shared" si="30"/>
        <v>0</v>
      </c>
      <c r="BH109" s="23">
        <f t="shared" si="31"/>
        <v>0</v>
      </c>
      <c r="BI109" s="23">
        <f t="shared" si="32"/>
        <v>0</v>
      </c>
      <c r="BJ109" s="18">
        <f t="shared" si="33"/>
        <v>3.9668479226001412E-3</v>
      </c>
      <c r="BL109" s="23"/>
      <c r="BN109" s="12">
        <f t="shared" si="34"/>
        <v>0</v>
      </c>
      <c r="BO109" s="12">
        <f t="shared" si="35"/>
        <v>1</v>
      </c>
      <c r="BP109" s="12">
        <f t="shared" si="36"/>
        <v>0</v>
      </c>
      <c r="BQ109" s="12">
        <f t="shared" si="25"/>
        <v>1</v>
      </c>
      <c r="BR109" s="12">
        <f t="shared" si="37"/>
        <v>0</v>
      </c>
      <c r="BS109" s="23">
        <f t="shared" si="38"/>
        <v>0</v>
      </c>
      <c r="BT109" s="23">
        <f t="shared" si="39"/>
        <v>0</v>
      </c>
      <c r="BU109" s="23">
        <f t="shared" si="40"/>
        <v>0</v>
      </c>
      <c r="BV109" s="18">
        <f t="shared" si="41"/>
        <v>3.3369207376346193E-3</v>
      </c>
      <c r="BX109" s="18">
        <f t="shared" si="42"/>
        <v>0</v>
      </c>
      <c r="BY109" s="18">
        <f t="shared" si="43"/>
        <v>7.3037686602347622E-3</v>
      </c>
    </row>
    <row r="110" spans="1:77" x14ac:dyDescent="0.3">
      <c r="A110" s="1">
        <v>46182</v>
      </c>
      <c r="B110" s="6">
        <v>26.97</v>
      </c>
      <c r="C110" s="6">
        <v>29</v>
      </c>
      <c r="D110" s="7">
        <v>2.22717241282407E-3</v>
      </c>
      <c r="E110" s="7">
        <v>1.7256259674698501E-3</v>
      </c>
      <c r="F110" s="6">
        <v>0</v>
      </c>
      <c r="G110" s="6">
        <v>0.74059999999999904</v>
      </c>
      <c r="H110" s="6">
        <v>0</v>
      </c>
      <c r="I110" s="6">
        <v>0.78389999999999904</v>
      </c>
      <c r="J110" s="6">
        <v>0.74059999999999904</v>
      </c>
      <c r="K110" s="6">
        <v>0.78389999999999904</v>
      </c>
      <c r="L110" s="6">
        <v>27.710599999999999</v>
      </c>
      <c r="M110" s="6">
        <v>29.783899999999999</v>
      </c>
      <c r="N110" s="8">
        <v>1.0752688172042999</v>
      </c>
      <c r="O110" s="8">
        <v>1.0748223497963401</v>
      </c>
      <c r="P110" s="8">
        <v>1.0754869982898401</v>
      </c>
      <c r="Q110" s="8">
        <v>1.07538658778489</v>
      </c>
      <c r="R110" s="6">
        <v>28.987958774007399</v>
      </c>
      <c r="S110" s="6">
        <v>29.007202525695199</v>
      </c>
      <c r="T110" s="6">
        <v>29.0039109249254</v>
      </c>
      <c r="U110" s="7">
        <v>-4.15300914885567E-4</v>
      </c>
      <c r="V110" s="7">
        <v>2.4833211803576501E-4</v>
      </c>
      <c r="W110" s="7">
        <v>1.34850387467105E-4</v>
      </c>
      <c r="X110" s="8">
        <v>1.0748197440690499</v>
      </c>
      <c r="Y110" s="8">
        <v>1.07476747574368</v>
      </c>
      <c r="Z110" s="8">
        <v>1.07510556637722</v>
      </c>
      <c r="AA110" s="8">
        <v>1.0750935302725999</v>
      </c>
      <c r="AB110" s="6">
        <v>29.782451613342801</v>
      </c>
      <c r="AC110" s="6">
        <v>29.793826771641999</v>
      </c>
      <c r="AD110" s="6">
        <v>29.792565772046199</v>
      </c>
      <c r="AE110" s="7">
        <v>-4.8631034744430297E-5</v>
      </c>
      <c r="AF110" s="7">
        <v>3.3323768031601398E-4</v>
      </c>
      <c r="AG110" s="7">
        <v>2.9091259426162699E-4</v>
      </c>
      <c r="AZ110" s="23"/>
      <c r="BB110" s="12">
        <f t="shared" si="26"/>
        <v>0</v>
      </c>
      <c r="BC110" s="12">
        <f t="shared" si="27"/>
        <v>1</v>
      </c>
      <c r="BD110" s="12">
        <f t="shared" si="28"/>
        <v>0</v>
      </c>
      <c r="BE110" s="12">
        <f t="shared" si="24"/>
        <v>1</v>
      </c>
      <c r="BF110" s="12">
        <f t="shared" si="29"/>
        <v>0</v>
      </c>
      <c r="BG110" s="23">
        <f t="shared" si="30"/>
        <v>0</v>
      </c>
      <c r="BH110" s="23">
        <f t="shared" si="31"/>
        <v>0</v>
      </c>
      <c r="BI110" s="23">
        <f t="shared" si="32"/>
        <v>0</v>
      </c>
      <c r="BJ110" s="18">
        <f t="shared" si="33"/>
        <v>3.9668479226001412E-3</v>
      </c>
      <c r="BL110" s="23"/>
      <c r="BN110" s="12">
        <f t="shared" si="34"/>
        <v>0</v>
      </c>
      <c r="BO110" s="12">
        <f t="shared" si="35"/>
        <v>1</v>
      </c>
      <c r="BP110" s="12">
        <f t="shared" si="36"/>
        <v>0</v>
      </c>
      <c r="BQ110" s="12">
        <f t="shared" si="25"/>
        <v>1</v>
      </c>
      <c r="BR110" s="12">
        <f t="shared" si="37"/>
        <v>0</v>
      </c>
      <c r="BS110" s="23">
        <f t="shared" si="38"/>
        <v>0</v>
      </c>
      <c r="BT110" s="23">
        <f t="shared" si="39"/>
        <v>0</v>
      </c>
      <c r="BU110" s="23">
        <f t="shared" si="40"/>
        <v>0</v>
      </c>
      <c r="BV110" s="18">
        <f t="shared" si="41"/>
        <v>3.3369207376346193E-3</v>
      </c>
      <c r="BX110" s="18">
        <f t="shared" si="42"/>
        <v>0</v>
      </c>
      <c r="BY110" s="18">
        <f t="shared" si="43"/>
        <v>7.3037686602347622E-3</v>
      </c>
    </row>
    <row r="111" spans="1:77" x14ac:dyDescent="0.3">
      <c r="A111" s="1">
        <v>46183</v>
      </c>
      <c r="B111" s="6">
        <v>26.89</v>
      </c>
      <c r="C111" s="6">
        <v>28.92</v>
      </c>
      <c r="D111" s="7">
        <v>-2.9706668708652699E-3</v>
      </c>
      <c r="E111" s="7">
        <v>-2.76243269591007E-3</v>
      </c>
      <c r="F111" s="6">
        <v>0</v>
      </c>
      <c r="G111" s="6">
        <v>0.74059999999999904</v>
      </c>
      <c r="H111" s="6">
        <v>0</v>
      </c>
      <c r="I111" s="6">
        <v>0.78389999999999904</v>
      </c>
      <c r="J111" s="6">
        <v>0.74059999999999904</v>
      </c>
      <c r="K111" s="6">
        <v>0.78389999999999904</v>
      </c>
      <c r="L111" s="6">
        <v>27.630600000000001</v>
      </c>
      <c r="M111" s="6">
        <v>29.703900000000001</v>
      </c>
      <c r="N111" s="8">
        <v>1.0754927482335399</v>
      </c>
      <c r="O111" s="8">
        <v>1.0748223497963401</v>
      </c>
      <c r="P111" s="8">
        <v>1.07550303825352</v>
      </c>
      <c r="Q111" s="8">
        <v>1.0753806469904901</v>
      </c>
      <c r="R111" s="6">
        <v>28.901972986023701</v>
      </c>
      <c r="S111" s="6">
        <v>28.919845384013801</v>
      </c>
      <c r="T111" s="6">
        <v>28.917145345535801</v>
      </c>
      <c r="U111" s="7">
        <v>-6.2353508984079196E-4</v>
      </c>
      <c r="V111" s="7">
        <v>-5.3463485279072599E-6</v>
      </c>
      <c r="W111" s="7">
        <v>-9.8713532607035395E-5</v>
      </c>
      <c r="X111" s="8">
        <v>1.0750363727172001</v>
      </c>
      <c r="Y111" s="8">
        <v>1.07476747574368</v>
      </c>
      <c r="Z111" s="8">
        <v>1.0750964197377</v>
      </c>
      <c r="AA111" s="8">
        <v>1.0750753327686</v>
      </c>
      <c r="AB111" s="6">
        <v>29.696470215283298</v>
      </c>
      <c r="AC111" s="6">
        <v>29.7058118623426</v>
      </c>
      <c r="AD111" s="6">
        <v>29.705479297550099</v>
      </c>
      <c r="AE111" s="7">
        <v>-2.5015954373621498E-4</v>
      </c>
      <c r="AF111" s="7">
        <v>6.4361946332949695E-5</v>
      </c>
      <c r="AG111" s="7">
        <v>5.3166606660668097E-5</v>
      </c>
      <c r="AZ111" s="23"/>
      <c r="BB111" s="12">
        <f t="shared" si="26"/>
        <v>0</v>
      </c>
      <c r="BC111" s="12">
        <f t="shared" si="27"/>
        <v>1</v>
      </c>
      <c r="BD111" s="12">
        <f t="shared" si="28"/>
        <v>0</v>
      </c>
      <c r="BE111" s="12">
        <f t="shared" si="24"/>
        <v>1</v>
      </c>
      <c r="BF111" s="12">
        <f t="shared" si="29"/>
        <v>0</v>
      </c>
      <c r="BG111" s="23">
        <f t="shared" si="30"/>
        <v>0</v>
      </c>
      <c r="BH111" s="23">
        <f t="shared" si="31"/>
        <v>0</v>
      </c>
      <c r="BI111" s="23">
        <f t="shared" si="32"/>
        <v>0</v>
      </c>
      <c r="BJ111" s="18">
        <f t="shared" si="33"/>
        <v>3.9668479226001412E-3</v>
      </c>
      <c r="BL111" s="23"/>
      <c r="BN111" s="12">
        <f t="shared" si="34"/>
        <v>0</v>
      </c>
      <c r="BO111" s="12">
        <f t="shared" si="35"/>
        <v>1</v>
      </c>
      <c r="BP111" s="12">
        <f t="shared" si="36"/>
        <v>0</v>
      </c>
      <c r="BQ111" s="12">
        <f t="shared" si="25"/>
        <v>1</v>
      </c>
      <c r="BR111" s="12">
        <f t="shared" si="37"/>
        <v>0</v>
      </c>
      <c r="BS111" s="23">
        <f t="shared" si="38"/>
        <v>0</v>
      </c>
      <c r="BT111" s="23">
        <f t="shared" si="39"/>
        <v>0</v>
      </c>
      <c r="BU111" s="23">
        <f t="shared" si="40"/>
        <v>0</v>
      </c>
      <c r="BV111" s="18">
        <f t="shared" si="41"/>
        <v>3.3369207376346193E-3</v>
      </c>
      <c r="BX111" s="18">
        <f t="shared" si="42"/>
        <v>0</v>
      </c>
      <c r="BY111" s="18">
        <f t="shared" si="43"/>
        <v>7.3037686602347622E-3</v>
      </c>
    </row>
    <row r="112" spans="1:77" x14ac:dyDescent="0.3">
      <c r="A112" s="1">
        <v>46184</v>
      </c>
      <c r="B112" s="6">
        <v>27.08</v>
      </c>
      <c r="C112" s="6">
        <v>29.11</v>
      </c>
      <c r="D112" s="7">
        <v>7.0409777633007996E-3</v>
      </c>
      <c r="E112" s="7">
        <v>6.5483604669678902E-3</v>
      </c>
      <c r="F112" s="6">
        <v>0</v>
      </c>
      <c r="G112" s="6">
        <v>0.74059999999999904</v>
      </c>
      <c r="H112" s="6">
        <v>0</v>
      </c>
      <c r="I112" s="6">
        <v>0.78389999999999904</v>
      </c>
      <c r="J112" s="6">
        <v>0.74059999999999904</v>
      </c>
      <c r="K112" s="6">
        <v>0.78389999999999904</v>
      </c>
      <c r="L112" s="6">
        <v>27.820599999999999</v>
      </c>
      <c r="M112" s="6">
        <v>29.893899999999999</v>
      </c>
      <c r="N112" s="8">
        <v>1.07496307237813</v>
      </c>
      <c r="O112" s="8">
        <v>1.0748223497963401</v>
      </c>
      <c r="P112" s="8">
        <v>1.0755113336875699</v>
      </c>
      <c r="Q112" s="8">
        <v>1.0753268718260101</v>
      </c>
      <c r="R112" s="6">
        <v>29.106189232485001</v>
      </c>
      <c r="S112" s="6">
        <v>29.124622275905399</v>
      </c>
      <c r="T112" s="6">
        <v>29.121307920502499</v>
      </c>
      <c r="U112" s="7">
        <v>-1.30917793507743E-4</v>
      </c>
      <c r="V112" s="7">
        <v>5.0218497660802104E-4</v>
      </c>
      <c r="W112" s="7">
        <v>3.8837941473530399E-4</v>
      </c>
      <c r="X112" s="8">
        <v>1.0745239139342699</v>
      </c>
      <c r="Y112" s="8">
        <v>1.07476747574368</v>
      </c>
      <c r="Z112" s="8">
        <v>1.0750802624965801</v>
      </c>
      <c r="AA112" s="8">
        <v>1.0750106277884</v>
      </c>
      <c r="AB112" s="6">
        <v>29.9006760356746</v>
      </c>
      <c r="AC112" s="6">
        <v>29.909827454954701</v>
      </c>
      <c r="AD112" s="6">
        <v>29.9092408028223</v>
      </c>
      <c r="AE112" s="7">
        <v>2.2664382467070399E-4</v>
      </c>
      <c r="AF112" s="7">
        <v>5.3265761213013301E-4</v>
      </c>
      <c r="AG112" s="7">
        <v>5.1304339380450704E-4</v>
      </c>
      <c r="AZ112" s="23"/>
      <c r="BB112" s="12">
        <f t="shared" si="26"/>
        <v>0</v>
      </c>
      <c r="BC112" s="12">
        <f t="shared" si="27"/>
        <v>1</v>
      </c>
      <c r="BD112" s="12">
        <f t="shared" si="28"/>
        <v>0</v>
      </c>
      <c r="BE112" s="12">
        <f t="shared" si="24"/>
        <v>1</v>
      </c>
      <c r="BF112" s="12">
        <f t="shared" si="29"/>
        <v>0</v>
      </c>
      <c r="BG112" s="23">
        <f t="shared" si="30"/>
        <v>0</v>
      </c>
      <c r="BH112" s="23">
        <f t="shared" si="31"/>
        <v>0</v>
      </c>
      <c r="BI112" s="23">
        <f t="shared" si="32"/>
        <v>0</v>
      </c>
      <c r="BJ112" s="18">
        <f t="shared" si="33"/>
        <v>3.9668479226001412E-3</v>
      </c>
      <c r="BL112" s="23"/>
      <c r="BN112" s="12">
        <f t="shared" si="34"/>
        <v>0</v>
      </c>
      <c r="BO112" s="12">
        <f t="shared" si="35"/>
        <v>1</v>
      </c>
      <c r="BP112" s="12">
        <f t="shared" si="36"/>
        <v>0</v>
      </c>
      <c r="BQ112" s="12">
        <f t="shared" si="25"/>
        <v>1</v>
      </c>
      <c r="BR112" s="12">
        <f t="shared" si="37"/>
        <v>0</v>
      </c>
      <c r="BS112" s="23">
        <f t="shared" si="38"/>
        <v>0</v>
      </c>
      <c r="BT112" s="23">
        <f t="shared" si="39"/>
        <v>0</v>
      </c>
      <c r="BU112" s="23">
        <f t="shared" si="40"/>
        <v>0</v>
      </c>
      <c r="BV112" s="18">
        <f t="shared" si="41"/>
        <v>3.3369207376346193E-3</v>
      </c>
      <c r="BX112" s="18">
        <f t="shared" si="42"/>
        <v>0</v>
      </c>
      <c r="BY112" s="18">
        <f t="shared" si="43"/>
        <v>7.3037686602347622E-3</v>
      </c>
    </row>
    <row r="113" spans="1:77" x14ac:dyDescent="0.3">
      <c r="A113" s="1">
        <v>46185</v>
      </c>
      <c r="B113" s="6">
        <v>27.09</v>
      </c>
      <c r="C113" s="6">
        <v>29.12</v>
      </c>
      <c r="D113" s="7">
        <v>3.6920805292957998E-4</v>
      </c>
      <c r="E113" s="7">
        <v>3.43465570953438E-4</v>
      </c>
      <c r="F113" s="6">
        <v>0</v>
      </c>
      <c r="G113" s="6">
        <v>0.74059999999999904</v>
      </c>
      <c r="H113" s="6">
        <v>0</v>
      </c>
      <c r="I113" s="6">
        <v>0.78389999999999904</v>
      </c>
      <c r="J113" s="6">
        <v>0.74059999999999904</v>
      </c>
      <c r="K113" s="6">
        <v>0.78389999999999904</v>
      </c>
      <c r="L113" s="6">
        <v>27.8306</v>
      </c>
      <c r="M113" s="6">
        <v>29.9039</v>
      </c>
      <c r="N113" s="8">
        <v>1.0749354005167899</v>
      </c>
      <c r="O113" s="8">
        <v>1.0748223497963401</v>
      </c>
      <c r="P113" s="8">
        <v>1.07554163844513</v>
      </c>
      <c r="Q113" s="8">
        <v>1.0752717130684699</v>
      </c>
      <c r="R113" s="6">
        <v>29.116937455982999</v>
      </c>
      <c r="S113" s="6">
        <v>29.135602029596299</v>
      </c>
      <c r="T113" s="6">
        <v>29.130604957766799</v>
      </c>
      <c r="U113" s="7">
        <v>-1.0517531153172701E-4</v>
      </c>
      <c r="V113" s="7">
        <v>5.3564050240153898E-4</v>
      </c>
      <c r="W113" s="7">
        <v>3.6411494410030099E-4</v>
      </c>
      <c r="X113" s="8">
        <v>1.0744971362457101</v>
      </c>
      <c r="Y113" s="8">
        <v>1.07476747574368</v>
      </c>
      <c r="Z113" s="8">
        <v>1.0750856136362099</v>
      </c>
      <c r="AA113" s="8">
        <v>1.0749445839237699</v>
      </c>
      <c r="AB113" s="6">
        <v>29.911423710432</v>
      </c>
      <c r="AC113" s="6">
        <v>29.9201287534373</v>
      </c>
      <c r="AD113" s="6">
        <v>29.918190777728</v>
      </c>
      <c r="AE113" s="7">
        <v>2.51564649492668E-4</v>
      </c>
      <c r="AF113" s="7">
        <v>5.4254968023998795E-4</v>
      </c>
      <c r="AG113" s="7">
        <v>4.7777594577877501E-4</v>
      </c>
      <c r="AZ113" s="23"/>
      <c r="BB113" s="12">
        <f t="shared" si="26"/>
        <v>0</v>
      </c>
      <c r="BC113" s="12">
        <f t="shared" si="27"/>
        <v>1</v>
      </c>
      <c r="BD113" s="12">
        <f t="shared" si="28"/>
        <v>0</v>
      </c>
      <c r="BE113" s="12">
        <f t="shared" si="24"/>
        <v>1</v>
      </c>
      <c r="BF113" s="12">
        <f t="shared" si="29"/>
        <v>0</v>
      </c>
      <c r="BG113" s="23">
        <f t="shared" si="30"/>
        <v>0</v>
      </c>
      <c r="BH113" s="23">
        <f t="shared" si="31"/>
        <v>0</v>
      </c>
      <c r="BI113" s="23">
        <f t="shared" si="32"/>
        <v>0</v>
      </c>
      <c r="BJ113" s="18">
        <f t="shared" si="33"/>
        <v>3.9668479226001412E-3</v>
      </c>
      <c r="BL113" s="23"/>
      <c r="BN113" s="12">
        <f t="shared" si="34"/>
        <v>0</v>
      </c>
      <c r="BO113" s="12">
        <f t="shared" si="35"/>
        <v>1</v>
      </c>
      <c r="BP113" s="12">
        <f t="shared" si="36"/>
        <v>0</v>
      </c>
      <c r="BQ113" s="12">
        <f t="shared" si="25"/>
        <v>1</v>
      </c>
      <c r="BR113" s="12">
        <f t="shared" si="37"/>
        <v>0</v>
      </c>
      <c r="BS113" s="23">
        <f t="shared" si="38"/>
        <v>0</v>
      </c>
      <c r="BT113" s="23">
        <f t="shared" si="39"/>
        <v>0</v>
      </c>
      <c r="BU113" s="23">
        <f t="shared" si="40"/>
        <v>0</v>
      </c>
      <c r="BV113" s="18">
        <f t="shared" si="41"/>
        <v>3.3369207376346193E-3</v>
      </c>
      <c r="BX113" s="18">
        <f t="shared" si="42"/>
        <v>0</v>
      </c>
      <c r="BY113" s="18">
        <f t="shared" si="43"/>
        <v>7.3037686602347622E-3</v>
      </c>
    </row>
    <row r="114" spans="1:77" x14ac:dyDescent="0.3">
      <c r="A114" s="1">
        <v>46188</v>
      </c>
      <c r="B114" s="6">
        <v>27.15</v>
      </c>
      <c r="C114" s="6">
        <v>29.18</v>
      </c>
      <c r="D114" s="7">
        <v>2.2123902829406399E-3</v>
      </c>
      <c r="E114" s="7">
        <v>2.0583197661543599E-3</v>
      </c>
      <c r="F114" s="6">
        <v>0</v>
      </c>
      <c r="G114" s="6">
        <v>0.74059999999999904</v>
      </c>
      <c r="H114" s="6">
        <v>0</v>
      </c>
      <c r="I114" s="6">
        <v>0.78389999999999904</v>
      </c>
      <c r="J114" s="6">
        <v>0.74059999999999904</v>
      </c>
      <c r="K114" s="6">
        <v>0.78389999999999904</v>
      </c>
      <c r="L114" s="6">
        <v>27.890599999999999</v>
      </c>
      <c r="M114" s="6">
        <v>29.963899999999999</v>
      </c>
      <c r="N114" s="8">
        <v>1.0747697974217301</v>
      </c>
      <c r="O114" s="8">
        <v>1.0748223497963401</v>
      </c>
      <c r="P114" s="8">
        <v>1.0755482039861199</v>
      </c>
      <c r="Q114" s="8">
        <v>1.0752415462231399</v>
      </c>
      <c r="R114" s="6">
        <v>29.181426796970801</v>
      </c>
      <c r="S114" s="6">
        <v>29.2009554837854</v>
      </c>
      <c r="T114" s="6">
        <v>29.193627009809099</v>
      </c>
      <c r="U114" s="7">
        <v>4.8895205254617697E-5</v>
      </c>
      <c r="V114" s="7">
        <v>7.1788769168881902E-4</v>
      </c>
      <c r="W114" s="7">
        <v>4.6688927019562901E-4</v>
      </c>
      <c r="X114" s="8">
        <v>1.0743368733551799</v>
      </c>
      <c r="Y114" s="8">
        <v>1.07476747574368</v>
      </c>
      <c r="Z114" s="8">
        <v>1.0750921755676699</v>
      </c>
      <c r="AA114" s="8">
        <v>1.0749031449126001</v>
      </c>
      <c r="AB114" s="6">
        <v>29.975909758976599</v>
      </c>
      <c r="AC114" s="6">
        <v>29.984782815682301</v>
      </c>
      <c r="AD114" s="6">
        <v>29.980849412384501</v>
      </c>
      <c r="AE114" s="7">
        <v>4.0072730246227498E-4</v>
      </c>
      <c r="AF114" s="7">
        <v>6.9668975350840802E-4</v>
      </c>
      <c r="AG114" s="7">
        <v>5.6550116573643298E-4</v>
      </c>
      <c r="AZ114" s="23"/>
      <c r="BB114" s="12">
        <f t="shared" si="26"/>
        <v>0</v>
      </c>
      <c r="BC114" s="12">
        <f t="shared" si="27"/>
        <v>1</v>
      </c>
      <c r="BD114" s="12">
        <f t="shared" si="28"/>
        <v>0</v>
      </c>
      <c r="BE114" s="12">
        <f t="shared" si="24"/>
        <v>1</v>
      </c>
      <c r="BF114" s="12">
        <f t="shared" si="29"/>
        <v>0</v>
      </c>
      <c r="BG114" s="23">
        <f t="shared" si="30"/>
        <v>0</v>
      </c>
      <c r="BH114" s="23">
        <f t="shared" si="31"/>
        <v>0</v>
      </c>
      <c r="BI114" s="23">
        <f t="shared" si="32"/>
        <v>0</v>
      </c>
      <c r="BJ114" s="18">
        <f t="shared" si="33"/>
        <v>3.9668479226001412E-3</v>
      </c>
      <c r="BL114" s="23"/>
      <c r="BN114" s="12">
        <f t="shared" si="34"/>
        <v>0</v>
      </c>
      <c r="BO114" s="12">
        <f t="shared" si="35"/>
        <v>1</v>
      </c>
      <c r="BP114" s="12">
        <f t="shared" si="36"/>
        <v>0</v>
      </c>
      <c r="BQ114" s="12">
        <f t="shared" si="25"/>
        <v>1</v>
      </c>
      <c r="BR114" s="12">
        <f t="shared" si="37"/>
        <v>0</v>
      </c>
      <c r="BS114" s="23">
        <f t="shared" si="38"/>
        <v>0</v>
      </c>
      <c r="BT114" s="23">
        <f t="shared" si="39"/>
        <v>0</v>
      </c>
      <c r="BU114" s="23">
        <f t="shared" si="40"/>
        <v>0</v>
      </c>
      <c r="BV114" s="18">
        <f t="shared" si="41"/>
        <v>3.3369207376346193E-3</v>
      </c>
      <c r="BX114" s="18">
        <f t="shared" si="42"/>
        <v>0</v>
      </c>
      <c r="BY114" s="18">
        <f t="shared" si="43"/>
        <v>7.3037686602347622E-3</v>
      </c>
    </row>
    <row r="115" spans="1:77" x14ac:dyDescent="0.3">
      <c r="A115" s="1">
        <v>46189</v>
      </c>
      <c r="B115" s="6">
        <v>27.17</v>
      </c>
      <c r="C115" s="6">
        <v>29.18</v>
      </c>
      <c r="D115" s="7">
        <v>7.3637705831201404E-4</v>
      </c>
      <c r="E115" s="7">
        <v>0</v>
      </c>
      <c r="F115" s="6">
        <v>0</v>
      </c>
      <c r="G115" s="6">
        <v>0.74059999999999904</v>
      </c>
      <c r="H115" s="6">
        <v>0</v>
      </c>
      <c r="I115" s="6">
        <v>0.78389999999999904</v>
      </c>
      <c r="J115" s="6">
        <v>0.74059999999999904</v>
      </c>
      <c r="K115" s="6">
        <v>0.78389999999999904</v>
      </c>
      <c r="L115" s="6">
        <v>27.910599999999999</v>
      </c>
      <c r="M115" s="6">
        <v>29.963899999999999</v>
      </c>
      <c r="N115" s="8">
        <v>1.07397865292602</v>
      </c>
      <c r="O115" s="8">
        <v>1.0748223497963401</v>
      </c>
      <c r="P115" s="8">
        <v>1.0753647083319799</v>
      </c>
      <c r="Q115" s="8">
        <v>1.07517463248614</v>
      </c>
      <c r="R115" s="6">
        <v>29.202923243966701</v>
      </c>
      <c r="S115" s="6">
        <v>29.222644702303</v>
      </c>
      <c r="T115" s="6">
        <v>29.214312810882799</v>
      </c>
      <c r="U115" s="7">
        <v>7.8527226356673403E-4</v>
      </c>
      <c r="V115" s="7">
        <v>1.4603691356569401E-3</v>
      </c>
      <c r="W115" s="7">
        <v>1.1752108443546E-3</v>
      </c>
      <c r="X115" s="8">
        <v>1.0735670318803601</v>
      </c>
      <c r="Y115" s="8">
        <v>1.07476747574368</v>
      </c>
      <c r="Z115" s="8">
        <v>1.07491376432334</v>
      </c>
      <c r="AA115" s="8">
        <v>1.07482595594882</v>
      </c>
      <c r="AB115" s="6">
        <v>29.997405108491499</v>
      </c>
      <c r="AC115" s="6">
        <v>30.0064676753992</v>
      </c>
      <c r="AD115" s="6">
        <v>30.001191716397699</v>
      </c>
      <c r="AE115" s="7">
        <v>1.1175577955846599E-3</v>
      </c>
      <c r="AF115" s="7">
        <v>1.4196238641943E-3</v>
      </c>
      <c r="AG115" s="7">
        <v>1.24378101117968E-3</v>
      </c>
      <c r="AZ115" s="23"/>
      <c r="BB115" s="12">
        <f t="shared" si="26"/>
        <v>0</v>
      </c>
      <c r="BC115" s="12">
        <f t="shared" si="27"/>
        <v>1</v>
      </c>
      <c r="BD115" s="12">
        <f t="shared" si="28"/>
        <v>0</v>
      </c>
      <c r="BE115" s="12">
        <f t="shared" si="24"/>
        <v>1</v>
      </c>
      <c r="BF115" s="12">
        <f t="shared" si="29"/>
        <v>0</v>
      </c>
      <c r="BG115" s="23">
        <f t="shared" si="30"/>
        <v>0</v>
      </c>
      <c r="BH115" s="23">
        <f t="shared" si="31"/>
        <v>0</v>
      </c>
      <c r="BI115" s="23">
        <f t="shared" si="32"/>
        <v>0</v>
      </c>
      <c r="BJ115" s="18">
        <f t="shared" si="33"/>
        <v>3.9668479226001412E-3</v>
      </c>
      <c r="BL115" s="23"/>
      <c r="BN115" s="12">
        <f t="shared" si="34"/>
        <v>0</v>
      </c>
      <c r="BO115" s="12">
        <f t="shared" si="35"/>
        <v>0</v>
      </c>
      <c r="BP115" s="12">
        <f t="shared" si="36"/>
        <v>0</v>
      </c>
      <c r="BQ115" s="12">
        <f t="shared" si="25"/>
        <v>1</v>
      </c>
      <c r="BR115" s="12">
        <f t="shared" si="37"/>
        <v>0</v>
      </c>
      <c r="BS115" s="23">
        <f t="shared" si="38"/>
        <v>0</v>
      </c>
      <c r="BT115" s="23">
        <f t="shared" si="39"/>
        <v>0</v>
      </c>
      <c r="BU115" s="23">
        <f t="shared" si="40"/>
        <v>0</v>
      </c>
      <c r="BV115" s="18">
        <f t="shared" si="41"/>
        <v>3.3369207376346193E-3</v>
      </c>
      <c r="BX115" s="18">
        <f t="shared" si="42"/>
        <v>0</v>
      </c>
      <c r="BY115" s="18">
        <f t="shared" si="43"/>
        <v>7.3037686602347622E-3</v>
      </c>
    </row>
    <row r="116" spans="1:77" x14ac:dyDescent="0.3">
      <c r="A116" s="1">
        <v>46190</v>
      </c>
      <c r="B116" s="6">
        <v>27.1</v>
      </c>
      <c r="C116" s="6">
        <v>29.09</v>
      </c>
      <c r="D116" s="7">
        <v>-2.5796955526012199E-3</v>
      </c>
      <c r="E116" s="7">
        <v>-3.08907058752936E-3</v>
      </c>
      <c r="F116" s="6">
        <v>0</v>
      </c>
      <c r="G116" s="6">
        <v>0.74059999999999904</v>
      </c>
      <c r="H116" s="6">
        <v>0</v>
      </c>
      <c r="I116" s="6">
        <v>0.78389999999999904</v>
      </c>
      <c r="J116" s="6">
        <v>0.74059999999999904</v>
      </c>
      <c r="K116" s="6">
        <v>0.78389999999999904</v>
      </c>
      <c r="L116" s="6">
        <v>27.840599999999998</v>
      </c>
      <c r="M116" s="6">
        <v>29.873899999999999</v>
      </c>
      <c r="N116" s="8">
        <v>1.0734317343173401</v>
      </c>
      <c r="O116" s="8">
        <v>1.0748223497963401</v>
      </c>
      <c r="P116" s="8">
        <v>1.07510966085934</v>
      </c>
      <c r="Q116" s="8">
        <v>1.0750676932012599</v>
      </c>
      <c r="R116" s="6">
        <v>29.127685679480901</v>
      </c>
      <c r="S116" s="6">
        <v>29.142383595796701</v>
      </c>
      <c r="T116" s="6">
        <v>29.137232540374601</v>
      </c>
      <c r="U116" s="7">
        <v>1.29464729849477E-3</v>
      </c>
      <c r="V116" s="7">
        <v>1.79912298593574E-3</v>
      </c>
      <c r="W116" s="7">
        <v>1.6223525891142E-3</v>
      </c>
      <c r="X116" s="8">
        <v>1.0730336271488401</v>
      </c>
      <c r="Y116" s="8">
        <v>1.07476747574368</v>
      </c>
      <c r="Z116" s="8">
        <v>1.0746657031873701</v>
      </c>
      <c r="AA116" s="8">
        <v>1.07470972558839</v>
      </c>
      <c r="AB116" s="6">
        <v>29.9221713851895</v>
      </c>
      <c r="AC116" s="6">
        <v>29.926244147020402</v>
      </c>
      <c r="AD116" s="6">
        <v>29.9237995091889</v>
      </c>
      <c r="AE116" s="7">
        <v>1.61453401727335E-3</v>
      </c>
      <c r="AF116" s="7">
        <v>1.75063659579481E-3</v>
      </c>
      <c r="AG116" s="7">
        <v>1.6689444972268501E-3</v>
      </c>
      <c r="AZ116" s="23"/>
      <c r="BB116" s="12">
        <f t="shared" si="26"/>
        <v>0</v>
      </c>
      <c r="BC116" s="12">
        <f t="shared" si="27"/>
        <v>1</v>
      </c>
      <c r="BD116" s="12">
        <f t="shared" si="28"/>
        <v>0</v>
      </c>
      <c r="BE116" s="12">
        <f t="shared" si="24"/>
        <v>1</v>
      </c>
      <c r="BF116" s="12">
        <f t="shared" si="29"/>
        <v>0</v>
      </c>
      <c r="BG116" s="23">
        <f t="shared" si="30"/>
        <v>0</v>
      </c>
      <c r="BH116" s="23">
        <f t="shared" si="31"/>
        <v>0</v>
      </c>
      <c r="BI116" s="23">
        <f t="shared" si="32"/>
        <v>0</v>
      </c>
      <c r="BJ116" s="18">
        <f t="shared" si="33"/>
        <v>3.9668479226001412E-3</v>
      </c>
      <c r="BL116" s="23"/>
      <c r="BN116" s="12">
        <f t="shared" si="34"/>
        <v>0</v>
      </c>
      <c r="BO116" s="12">
        <f t="shared" si="35"/>
        <v>0</v>
      </c>
      <c r="BP116" s="12">
        <f t="shared" si="36"/>
        <v>0</v>
      </c>
      <c r="BQ116" s="12">
        <f t="shared" si="25"/>
        <v>1</v>
      </c>
      <c r="BR116" s="12">
        <f t="shared" si="37"/>
        <v>0</v>
      </c>
      <c r="BS116" s="23">
        <f t="shared" si="38"/>
        <v>0</v>
      </c>
      <c r="BT116" s="23">
        <f t="shared" si="39"/>
        <v>0</v>
      </c>
      <c r="BU116" s="23">
        <f t="shared" si="40"/>
        <v>0</v>
      </c>
      <c r="BV116" s="18">
        <f t="shared" si="41"/>
        <v>3.3369207376346193E-3</v>
      </c>
      <c r="BX116" s="18">
        <f t="shared" si="42"/>
        <v>0</v>
      </c>
      <c r="BY116" s="18">
        <f t="shared" si="43"/>
        <v>7.3037686602347622E-3</v>
      </c>
    </row>
    <row r="117" spans="1:77" x14ac:dyDescent="0.3">
      <c r="A117" s="1">
        <v>46191</v>
      </c>
      <c r="B117" s="6">
        <v>27.19</v>
      </c>
      <c r="C117" s="6">
        <v>29.18</v>
      </c>
      <c r="D117" s="7">
        <v>3.3155307587241899E-3</v>
      </c>
      <c r="E117" s="7">
        <v>3.0890705875293301E-3</v>
      </c>
      <c r="F117" s="6">
        <v>0</v>
      </c>
      <c r="G117" s="6">
        <v>0.74059999999999904</v>
      </c>
      <c r="H117" s="6">
        <v>0</v>
      </c>
      <c r="I117" s="6">
        <v>0.78389999999999904</v>
      </c>
      <c r="J117" s="6">
        <v>0.74059999999999904</v>
      </c>
      <c r="K117" s="6">
        <v>0.78389999999999904</v>
      </c>
      <c r="L117" s="6">
        <v>27.930599999999998</v>
      </c>
      <c r="M117" s="6">
        <v>29.963899999999999</v>
      </c>
      <c r="N117" s="8">
        <v>1.07318867230599</v>
      </c>
      <c r="O117" s="8">
        <v>1.0748223497963401</v>
      </c>
      <c r="P117" s="8">
        <v>1.07480736641772</v>
      </c>
      <c r="Q117" s="8">
        <v>1.07503236261307</v>
      </c>
      <c r="R117" s="6">
        <v>29.224419690962598</v>
      </c>
      <c r="S117" s="6">
        <v>29.232231678765501</v>
      </c>
      <c r="T117" s="6">
        <v>29.2310905781424</v>
      </c>
      <c r="U117" s="7">
        <v>1.52110746968967E-3</v>
      </c>
      <c r="V117" s="7">
        <v>1.7883820284037601E-3</v>
      </c>
      <c r="W117" s="7">
        <v>1.7493455665963599E-3</v>
      </c>
      <c r="X117" s="8">
        <v>1.0727982929117099</v>
      </c>
      <c r="Y117" s="8">
        <v>1.07476747574368</v>
      </c>
      <c r="Z117" s="8">
        <v>1.0743716953990401</v>
      </c>
      <c r="AA117" s="8">
        <v>1.0746636129462199</v>
      </c>
      <c r="AB117" s="6">
        <v>30.018900458006399</v>
      </c>
      <c r="AC117" s="6">
        <v>30.016057889445101</v>
      </c>
      <c r="AD117" s="6">
        <v>30.0172874615191</v>
      </c>
      <c r="AE117" s="7">
        <v>1.8338748108058199E-3</v>
      </c>
      <c r="AF117" s="7">
        <v>1.73917769960107E-3</v>
      </c>
      <c r="AG117" s="7">
        <v>1.78014066999566E-3</v>
      </c>
      <c r="AZ117" s="23"/>
      <c r="BB117" s="12">
        <f t="shared" si="26"/>
        <v>0</v>
      </c>
      <c r="BC117" s="12">
        <f t="shared" si="27"/>
        <v>1</v>
      </c>
      <c r="BD117" s="12">
        <f t="shared" si="28"/>
        <v>0</v>
      </c>
      <c r="BE117" s="12">
        <f t="shared" si="24"/>
        <v>1</v>
      </c>
      <c r="BF117" s="12">
        <f t="shared" si="29"/>
        <v>0</v>
      </c>
      <c r="BG117" s="23">
        <f t="shared" si="30"/>
        <v>0</v>
      </c>
      <c r="BH117" s="23">
        <f t="shared" si="31"/>
        <v>0</v>
      </c>
      <c r="BI117" s="23">
        <f t="shared" si="32"/>
        <v>0</v>
      </c>
      <c r="BJ117" s="18">
        <f t="shared" si="33"/>
        <v>3.9668479226001412E-3</v>
      </c>
      <c r="BL117" s="23"/>
      <c r="BN117" s="12">
        <f t="shared" si="34"/>
        <v>0</v>
      </c>
      <c r="BO117" s="12">
        <f t="shared" si="35"/>
        <v>0</v>
      </c>
      <c r="BP117" s="12">
        <f t="shared" si="36"/>
        <v>0</v>
      </c>
      <c r="BQ117" s="12">
        <f t="shared" si="25"/>
        <v>1</v>
      </c>
      <c r="BR117" s="12">
        <f t="shared" si="37"/>
        <v>0</v>
      </c>
      <c r="BS117" s="23">
        <f t="shared" si="38"/>
        <v>0</v>
      </c>
      <c r="BT117" s="23">
        <f t="shared" si="39"/>
        <v>0</v>
      </c>
      <c r="BU117" s="23">
        <f t="shared" si="40"/>
        <v>0</v>
      </c>
      <c r="BV117" s="18">
        <f t="shared" si="41"/>
        <v>3.3369207376346193E-3</v>
      </c>
      <c r="BX117" s="18">
        <f t="shared" si="42"/>
        <v>0</v>
      </c>
      <c r="BY117" s="18">
        <f t="shared" si="43"/>
        <v>7.3037686602347622E-3</v>
      </c>
    </row>
    <row r="118" spans="1:77" x14ac:dyDescent="0.3">
      <c r="A118" s="1">
        <v>46195</v>
      </c>
      <c r="B118" s="6">
        <v>27.16</v>
      </c>
      <c r="C118" s="6">
        <v>29.17</v>
      </c>
      <c r="D118" s="7">
        <v>-1.1039559538840299E-3</v>
      </c>
      <c r="E118" s="7">
        <v>-3.4275921500944199E-4</v>
      </c>
      <c r="F118" s="6">
        <v>0</v>
      </c>
      <c r="G118" s="6">
        <v>0.74059999999999904</v>
      </c>
      <c r="H118" s="6">
        <v>0</v>
      </c>
      <c r="I118" s="6">
        <v>0.78389999999999904</v>
      </c>
      <c r="J118" s="6">
        <v>0.74059999999999904</v>
      </c>
      <c r="K118" s="6">
        <v>0.78389999999999904</v>
      </c>
      <c r="L118" s="6">
        <v>27.900600000000001</v>
      </c>
      <c r="M118" s="6">
        <v>29.953900000000001</v>
      </c>
      <c r="N118" s="8">
        <v>1.0740058910162</v>
      </c>
      <c r="O118" s="8">
        <v>1.0748223497963401</v>
      </c>
      <c r="P118" s="8">
        <v>1.07458430360413</v>
      </c>
      <c r="Q118" s="8">
        <v>1.0749891434500201</v>
      </c>
      <c r="R118" s="6">
        <v>29.192175020468699</v>
      </c>
      <c r="S118" s="6">
        <v>29.1917680719054</v>
      </c>
      <c r="T118" s="6">
        <v>29.1978789685711</v>
      </c>
      <c r="U118" s="7">
        <v>7.5991073081508296E-4</v>
      </c>
      <c r="V118" s="7">
        <v>7.4597030330098805E-4</v>
      </c>
      <c r="W118" s="7">
        <v>9.5528469370308601E-4</v>
      </c>
      <c r="X118" s="8">
        <v>1.0735933994250999</v>
      </c>
      <c r="Y118" s="8">
        <v>1.07476747574368</v>
      </c>
      <c r="Z118" s="8">
        <v>1.0741550145530001</v>
      </c>
      <c r="AA118" s="8">
        <v>1.07460953611371</v>
      </c>
      <c r="AB118" s="6">
        <v>29.986657433734099</v>
      </c>
      <c r="AC118" s="6">
        <v>29.975614924650401</v>
      </c>
      <c r="AD118" s="6">
        <v>29.9837595993673</v>
      </c>
      <c r="AE118" s="7">
        <v>1.0929974093573801E-3</v>
      </c>
      <c r="AF118" s="7">
        <v>7.2468217465496295E-4</v>
      </c>
      <c r="AG118" s="7">
        <v>9.9635528104076204E-4</v>
      </c>
      <c r="AZ118" s="23"/>
      <c r="BB118" s="12">
        <f t="shared" si="26"/>
        <v>0</v>
      </c>
      <c r="BC118" s="12">
        <f t="shared" si="27"/>
        <v>1</v>
      </c>
      <c r="BD118" s="12">
        <f t="shared" si="28"/>
        <v>0</v>
      </c>
      <c r="BE118" s="12">
        <f t="shared" si="24"/>
        <v>1</v>
      </c>
      <c r="BF118" s="12">
        <f t="shared" si="29"/>
        <v>0</v>
      </c>
      <c r="BG118" s="23">
        <f t="shared" si="30"/>
        <v>0</v>
      </c>
      <c r="BH118" s="23">
        <f t="shared" si="31"/>
        <v>0</v>
      </c>
      <c r="BI118" s="23">
        <f t="shared" si="32"/>
        <v>0</v>
      </c>
      <c r="BJ118" s="18">
        <f t="shared" si="33"/>
        <v>3.9668479226001412E-3</v>
      </c>
      <c r="BL118" s="23"/>
      <c r="BN118" s="12">
        <f t="shared" si="34"/>
        <v>0</v>
      </c>
      <c r="BO118" s="12">
        <f t="shared" si="35"/>
        <v>1</v>
      </c>
      <c r="BP118" s="12">
        <f t="shared" si="36"/>
        <v>0</v>
      </c>
      <c r="BQ118" s="12">
        <f t="shared" si="25"/>
        <v>1</v>
      </c>
      <c r="BR118" s="12">
        <f t="shared" si="37"/>
        <v>0</v>
      </c>
      <c r="BS118" s="23">
        <f t="shared" si="38"/>
        <v>0</v>
      </c>
      <c r="BT118" s="23">
        <f t="shared" si="39"/>
        <v>0</v>
      </c>
      <c r="BU118" s="23">
        <f t="shared" si="40"/>
        <v>0</v>
      </c>
      <c r="BV118" s="18">
        <f t="shared" si="41"/>
        <v>3.3369207376346193E-3</v>
      </c>
      <c r="BX118" s="18">
        <f t="shared" si="42"/>
        <v>0</v>
      </c>
      <c r="BY118" s="18">
        <f t="shared" si="43"/>
        <v>7.3037686602347622E-3</v>
      </c>
    </row>
    <row r="119" spans="1:77" x14ac:dyDescent="0.3">
      <c r="A119" s="1">
        <v>46196</v>
      </c>
      <c r="B119" s="6">
        <v>27.16</v>
      </c>
      <c r="C119" s="6">
        <v>29.15</v>
      </c>
      <c r="D119" s="7">
        <v>0</v>
      </c>
      <c r="E119" s="7">
        <v>-6.8587108312881005E-4</v>
      </c>
      <c r="F119" s="6">
        <v>0</v>
      </c>
      <c r="G119" s="6">
        <v>0.74059999999999904</v>
      </c>
      <c r="H119" s="6">
        <v>0</v>
      </c>
      <c r="I119" s="6">
        <v>0.78389999999999904</v>
      </c>
      <c r="J119" s="6">
        <v>0.74059999999999904</v>
      </c>
      <c r="K119" s="6">
        <v>0.78389999999999904</v>
      </c>
      <c r="L119" s="6">
        <v>27.900600000000001</v>
      </c>
      <c r="M119" s="6">
        <v>29.933899999999898</v>
      </c>
      <c r="N119" s="8">
        <v>1.0732695139911601</v>
      </c>
      <c r="O119" s="8">
        <v>1.0748223497963401</v>
      </c>
      <c r="P119" s="8">
        <v>1.0743304300311201</v>
      </c>
      <c r="Q119" s="8">
        <v>1.07493315208814</v>
      </c>
      <c r="R119" s="6">
        <v>29.192175020468699</v>
      </c>
      <c r="S119" s="6">
        <v>29.185709685888298</v>
      </c>
      <c r="T119" s="6">
        <v>29.196705136102601</v>
      </c>
      <c r="U119" s="7">
        <v>1.4457818139438599E-3</v>
      </c>
      <c r="V119" s="7">
        <v>1.22428236635743E-3</v>
      </c>
      <c r="W119" s="7">
        <v>1.6009523063680001E-3</v>
      </c>
      <c r="X119" s="8">
        <v>1.07287656896267</v>
      </c>
      <c r="Y119" s="8">
        <v>1.07476747574368</v>
      </c>
      <c r="Z119" s="8">
        <v>1.0739082960650099</v>
      </c>
      <c r="AA119" s="8">
        <v>1.07454313512845</v>
      </c>
      <c r="AB119" s="6">
        <v>29.986657433734099</v>
      </c>
      <c r="AC119" s="6">
        <v>29.9695693990375</v>
      </c>
      <c r="AD119" s="6">
        <v>29.982250823294201</v>
      </c>
      <c r="AE119" s="7">
        <v>1.7609131031554801E-3</v>
      </c>
      <c r="AF119" s="7">
        <v>1.1908960736678601E-3</v>
      </c>
      <c r="AG119" s="7">
        <v>1.6139499325417499E-3</v>
      </c>
      <c r="AZ119" s="23"/>
      <c r="BB119" s="12">
        <f t="shared" si="26"/>
        <v>0</v>
      </c>
      <c r="BC119" s="12">
        <f t="shared" si="27"/>
        <v>1</v>
      </c>
      <c r="BD119" s="12">
        <f t="shared" si="28"/>
        <v>0</v>
      </c>
      <c r="BE119" s="12">
        <f t="shared" si="24"/>
        <v>1</v>
      </c>
      <c r="BF119" s="12">
        <f t="shared" si="29"/>
        <v>0</v>
      </c>
      <c r="BG119" s="23">
        <f t="shared" si="30"/>
        <v>0</v>
      </c>
      <c r="BH119" s="23">
        <f t="shared" si="31"/>
        <v>0</v>
      </c>
      <c r="BI119" s="23">
        <f t="shared" si="32"/>
        <v>0</v>
      </c>
      <c r="BJ119" s="18">
        <f t="shared" si="33"/>
        <v>3.9668479226001412E-3</v>
      </c>
      <c r="BL119" s="23"/>
      <c r="BN119" s="12">
        <f t="shared" si="34"/>
        <v>0</v>
      </c>
      <c r="BO119" s="12">
        <f t="shared" si="35"/>
        <v>0</v>
      </c>
      <c r="BP119" s="12">
        <f t="shared" si="36"/>
        <v>0</v>
      </c>
      <c r="BQ119" s="12">
        <f t="shared" si="25"/>
        <v>1</v>
      </c>
      <c r="BR119" s="12">
        <f t="shared" si="37"/>
        <v>0</v>
      </c>
      <c r="BS119" s="23">
        <f t="shared" si="38"/>
        <v>0</v>
      </c>
      <c r="BT119" s="23">
        <f t="shared" si="39"/>
        <v>0</v>
      </c>
      <c r="BU119" s="23">
        <f t="shared" si="40"/>
        <v>0</v>
      </c>
      <c r="BV119" s="18">
        <f t="shared" si="41"/>
        <v>3.3369207376346193E-3</v>
      </c>
      <c r="BX119" s="18">
        <f t="shared" si="42"/>
        <v>0</v>
      </c>
      <c r="BY119" s="18">
        <f t="shared" si="43"/>
        <v>7.3037686602347622E-3</v>
      </c>
    </row>
    <row r="120" spans="1:77" x14ac:dyDescent="0.3">
      <c r="A120" s="1">
        <v>46197</v>
      </c>
      <c r="B120" s="6">
        <v>27.18</v>
      </c>
      <c r="C120" s="6">
        <v>29.19</v>
      </c>
      <c r="D120" s="7">
        <v>7.3610603250227197E-4</v>
      </c>
      <c r="E120" s="7">
        <v>1.3712720695222E-3</v>
      </c>
      <c r="F120" s="6">
        <v>0</v>
      </c>
      <c r="G120" s="6">
        <v>0.74059999999999904</v>
      </c>
      <c r="H120" s="6">
        <v>0</v>
      </c>
      <c r="I120" s="6">
        <v>0.78389999999999904</v>
      </c>
      <c r="J120" s="6">
        <v>0.74059999999999904</v>
      </c>
      <c r="K120" s="6">
        <v>0.78389999999999904</v>
      </c>
      <c r="L120" s="6">
        <v>27.9206</v>
      </c>
      <c r="M120" s="6">
        <v>29.9739</v>
      </c>
      <c r="N120" s="8">
        <v>1.0739514348785799</v>
      </c>
      <c r="O120" s="8">
        <v>1.0748223497963401</v>
      </c>
      <c r="P120" s="8">
        <v>1.07419869179855</v>
      </c>
      <c r="Q120" s="8">
        <v>1.07484284504419</v>
      </c>
      <c r="R120" s="6">
        <v>29.2136714674647</v>
      </c>
      <c r="S120" s="6">
        <v>29.200301088245901</v>
      </c>
      <c r="T120" s="6">
        <v>29.216683073755799</v>
      </c>
      <c r="U120" s="7">
        <v>8.1061577692410197E-4</v>
      </c>
      <c r="V120" s="7">
        <v>3.5283559635131497E-4</v>
      </c>
      <c r="W120" s="7">
        <v>9.1369939903985804E-4</v>
      </c>
      <c r="X120" s="8">
        <v>1.07354068322314</v>
      </c>
      <c r="Y120" s="8">
        <v>1.07476747574368</v>
      </c>
      <c r="Z120" s="8">
        <v>1.0737803899804199</v>
      </c>
      <c r="AA120" s="8">
        <v>1.0744429781788201</v>
      </c>
      <c r="AB120" s="6">
        <v>30.008152783248999</v>
      </c>
      <c r="AC120" s="6">
        <v>29.9841639711128</v>
      </c>
      <c r="AD120" s="6">
        <v>30.001889058667501</v>
      </c>
      <c r="AE120" s="7">
        <v>1.14210119136943E-3</v>
      </c>
      <c r="AF120" s="7">
        <v>3.4237166890542698E-4</v>
      </c>
      <c r="AG120" s="7">
        <v>9.3334530945677902E-4</v>
      </c>
      <c r="AZ120" s="23"/>
      <c r="BB120" s="12">
        <f t="shared" si="26"/>
        <v>0</v>
      </c>
      <c r="BC120" s="12">
        <f t="shared" si="27"/>
        <v>1</v>
      </c>
      <c r="BD120" s="12">
        <f t="shared" si="28"/>
        <v>0</v>
      </c>
      <c r="BE120" s="12">
        <f t="shared" si="24"/>
        <v>1</v>
      </c>
      <c r="BF120" s="12">
        <f t="shared" si="29"/>
        <v>0</v>
      </c>
      <c r="BG120" s="23">
        <f t="shared" si="30"/>
        <v>0</v>
      </c>
      <c r="BH120" s="23">
        <f t="shared" si="31"/>
        <v>0</v>
      </c>
      <c r="BI120" s="23">
        <f t="shared" si="32"/>
        <v>0</v>
      </c>
      <c r="BJ120" s="18">
        <f t="shared" si="33"/>
        <v>3.9668479226001412E-3</v>
      </c>
      <c r="BL120" s="23"/>
      <c r="BN120" s="12">
        <f t="shared" si="34"/>
        <v>0</v>
      </c>
      <c r="BO120" s="12">
        <f t="shared" si="35"/>
        <v>1</v>
      </c>
      <c r="BP120" s="12">
        <f t="shared" si="36"/>
        <v>0</v>
      </c>
      <c r="BQ120" s="12">
        <f t="shared" si="25"/>
        <v>1</v>
      </c>
      <c r="BR120" s="12">
        <f t="shared" si="37"/>
        <v>0</v>
      </c>
      <c r="BS120" s="23">
        <f t="shared" si="38"/>
        <v>0</v>
      </c>
      <c r="BT120" s="23">
        <f t="shared" si="39"/>
        <v>0</v>
      </c>
      <c r="BU120" s="23">
        <f t="shared" si="40"/>
        <v>0</v>
      </c>
      <c r="BV120" s="18">
        <f t="shared" si="41"/>
        <v>3.3369207376346193E-3</v>
      </c>
      <c r="BX120" s="18">
        <f t="shared" si="42"/>
        <v>0</v>
      </c>
      <c r="BY120" s="18">
        <f t="shared" si="43"/>
        <v>7.3037686602347622E-3</v>
      </c>
    </row>
    <row r="121" spans="1:77" x14ac:dyDescent="0.3">
      <c r="A121" s="1">
        <v>46198</v>
      </c>
      <c r="B121" s="6">
        <v>27.22</v>
      </c>
      <c r="C121" s="6">
        <v>29.24</v>
      </c>
      <c r="D121" s="7">
        <v>1.47058850032222E-3</v>
      </c>
      <c r="E121" s="7">
        <v>1.71145001555416E-3</v>
      </c>
      <c r="F121" s="6">
        <v>0</v>
      </c>
      <c r="G121" s="6">
        <v>0.74059999999999904</v>
      </c>
      <c r="H121" s="6">
        <v>0</v>
      </c>
      <c r="I121" s="6">
        <v>0.78389999999999904</v>
      </c>
      <c r="J121" s="6">
        <v>0.74059999999999904</v>
      </c>
      <c r="K121" s="6">
        <v>0.78389999999999904</v>
      </c>
      <c r="L121" s="6">
        <v>27.960599999999999</v>
      </c>
      <c r="M121" s="6">
        <v>30.023899999999902</v>
      </c>
      <c r="N121" s="8">
        <v>1.07421013960323</v>
      </c>
      <c r="O121" s="8">
        <v>1.0748223497963401</v>
      </c>
      <c r="P121" s="8">
        <v>1.07407043093552</v>
      </c>
      <c r="Q121" s="8">
        <v>1.0747867345945199</v>
      </c>
      <c r="R121" s="6">
        <v>29.256664361456501</v>
      </c>
      <c r="S121" s="6">
        <v>29.239688390756498</v>
      </c>
      <c r="T121" s="6">
        <v>29.257222242103001</v>
      </c>
      <c r="U121" s="7">
        <v>5.6975426169216599E-4</v>
      </c>
      <c r="V121" s="7">
        <v>-1.0657007654918799E-5</v>
      </c>
      <c r="W121" s="7">
        <v>5.8882257791257795E-4</v>
      </c>
      <c r="X121" s="8">
        <v>1.07379312318047</v>
      </c>
      <c r="Y121" s="8">
        <v>1.07476747574368</v>
      </c>
      <c r="Z121" s="8">
        <v>1.0736560650267399</v>
      </c>
      <c r="AA121" s="8">
        <v>1.0743762423822201</v>
      </c>
      <c r="AB121" s="6">
        <v>30.0511434822787</v>
      </c>
      <c r="AC121" s="6">
        <v>30.0235439720865</v>
      </c>
      <c r="AD121" s="6">
        <v>30.0420703356668</v>
      </c>
      <c r="AE121" s="7">
        <v>9.06981753725108E-4</v>
      </c>
      <c r="AF121" s="7">
        <v>-1.1858220429919999E-5</v>
      </c>
      <c r="AG121" s="7">
        <v>6.0501265923279003E-4</v>
      </c>
      <c r="AZ121" s="23"/>
      <c r="BB121" s="12">
        <f t="shared" si="26"/>
        <v>0</v>
      </c>
      <c r="BC121" s="12">
        <f t="shared" si="27"/>
        <v>1</v>
      </c>
      <c r="BD121" s="12">
        <f t="shared" si="28"/>
        <v>0</v>
      </c>
      <c r="BE121" s="12">
        <f t="shared" si="24"/>
        <v>1</v>
      </c>
      <c r="BF121" s="12">
        <f t="shared" si="29"/>
        <v>0</v>
      </c>
      <c r="BG121" s="23">
        <f t="shared" si="30"/>
        <v>0</v>
      </c>
      <c r="BH121" s="23">
        <f t="shared" si="31"/>
        <v>0</v>
      </c>
      <c r="BI121" s="23">
        <f t="shared" si="32"/>
        <v>0</v>
      </c>
      <c r="BJ121" s="18">
        <f t="shared" si="33"/>
        <v>3.9668479226001412E-3</v>
      </c>
      <c r="BL121" s="23"/>
      <c r="BN121" s="12">
        <f t="shared" si="34"/>
        <v>0</v>
      </c>
      <c r="BO121" s="12">
        <f t="shared" si="35"/>
        <v>1</v>
      </c>
      <c r="BP121" s="12">
        <f t="shared" si="36"/>
        <v>0</v>
      </c>
      <c r="BQ121" s="12">
        <f t="shared" si="25"/>
        <v>1</v>
      </c>
      <c r="BR121" s="12">
        <f t="shared" si="37"/>
        <v>0</v>
      </c>
      <c r="BS121" s="23">
        <f t="shared" si="38"/>
        <v>0</v>
      </c>
      <c r="BT121" s="23">
        <f t="shared" si="39"/>
        <v>0</v>
      </c>
      <c r="BU121" s="23">
        <f t="shared" si="40"/>
        <v>0</v>
      </c>
      <c r="BV121" s="18">
        <f t="shared" si="41"/>
        <v>3.3369207376346193E-3</v>
      </c>
      <c r="BX121" s="18">
        <f t="shared" si="42"/>
        <v>0</v>
      </c>
      <c r="BY121" s="18">
        <f t="shared" si="43"/>
        <v>7.3037686602347622E-3</v>
      </c>
    </row>
    <row r="122" spans="1:77" x14ac:dyDescent="0.3">
      <c r="A122" s="1">
        <v>46199</v>
      </c>
      <c r="B122" s="6">
        <v>27.19</v>
      </c>
      <c r="C122" s="6">
        <v>29.22</v>
      </c>
      <c r="D122" s="7">
        <v>-1.1027385789405199E-3</v>
      </c>
      <c r="E122" s="7">
        <v>-6.8422855902435095E-4</v>
      </c>
      <c r="F122" s="6">
        <v>0</v>
      </c>
      <c r="G122" s="6">
        <v>0.74059999999999904</v>
      </c>
      <c r="H122" s="6">
        <v>0</v>
      </c>
      <c r="I122" s="6">
        <v>0.78389999999999904</v>
      </c>
      <c r="J122" s="6">
        <v>0.74059999999999904</v>
      </c>
      <c r="K122" s="6">
        <v>0.78389999999999904</v>
      </c>
      <c r="L122" s="6">
        <v>27.930599999999998</v>
      </c>
      <c r="M122" s="6">
        <v>30.003899999999899</v>
      </c>
      <c r="N122" s="8">
        <v>1.0746598013975699</v>
      </c>
      <c r="O122" s="8">
        <v>1.0748223497963401</v>
      </c>
      <c r="P122" s="8">
        <v>1.0740401038374601</v>
      </c>
      <c r="Q122" s="8">
        <v>1.07477571876251</v>
      </c>
      <c r="R122" s="6">
        <v>29.224419690962598</v>
      </c>
      <c r="S122" s="6">
        <v>29.203975017136798</v>
      </c>
      <c r="T122" s="6">
        <v>29.223451313624999</v>
      </c>
      <c r="U122" s="7">
        <v>1.5124424177595801E-4</v>
      </c>
      <c r="V122" s="7">
        <v>-5.48575589399874E-4</v>
      </c>
      <c r="W122" s="7">
        <v>1.18107796561914E-4</v>
      </c>
      <c r="X122" s="8">
        <v>1.07423041395458</v>
      </c>
      <c r="Y122" s="8">
        <v>1.07476747574368</v>
      </c>
      <c r="Z122" s="8">
        <v>1.0736267150287699</v>
      </c>
      <c r="AA122" s="8">
        <v>1.07435348876268</v>
      </c>
      <c r="AB122" s="6">
        <v>30.018900458006399</v>
      </c>
      <c r="AC122" s="6">
        <v>29.987858089836099</v>
      </c>
      <c r="AD122" s="6">
        <v>30.007973075481001</v>
      </c>
      <c r="AE122" s="7">
        <v>4.9982533984675303E-4</v>
      </c>
      <c r="AF122" s="7">
        <v>-5.3480381495810397E-4</v>
      </c>
      <c r="AG122" s="7">
        <v>1.3574232159463501E-4</v>
      </c>
      <c r="AZ122" s="23"/>
      <c r="BB122" s="12">
        <f t="shared" si="26"/>
        <v>0</v>
      </c>
      <c r="BC122" s="12">
        <f t="shared" si="27"/>
        <v>1</v>
      </c>
      <c r="BD122" s="12">
        <f t="shared" si="28"/>
        <v>0</v>
      </c>
      <c r="BE122" s="12">
        <f t="shared" si="24"/>
        <v>1</v>
      </c>
      <c r="BF122" s="12">
        <f t="shared" si="29"/>
        <v>0</v>
      </c>
      <c r="BG122" s="23">
        <f t="shared" si="30"/>
        <v>0</v>
      </c>
      <c r="BH122" s="23">
        <f t="shared" si="31"/>
        <v>0</v>
      </c>
      <c r="BI122" s="23">
        <f t="shared" si="32"/>
        <v>0</v>
      </c>
      <c r="BJ122" s="18">
        <f t="shared" si="33"/>
        <v>3.9668479226001412E-3</v>
      </c>
      <c r="BL122" s="23"/>
      <c r="BN122" s="12">
        <f t="shared" si="34"/>
        <v>0</v>
      </c>
      <c r="BO122" s="12">
        <f t="shared" si="35"/>
        <v>1</v>
      </c>
      <c r="BP122" s="12">
        <f t="shared" si="36"/>
        <v>0</v>
      </c>
      <c r="BQ122" s="12">
        <f t="shared" si="25"/>
        <v>1</v>
      </c>
      <c r="BR122" s="12">
        <f t="shared" si="37"/>
        <v>0</v>
      </c>
      <c r="BS122" s="23">
        <f t="shared" si="38"/>
        <v>0</v>
      </c>
      <c r="BT122" s="23">
        <f t="shared" si="39"/>
        <v>0</v>
      </c>
      <c r="BU122" s="23">
        <f t="shared" si="40"/>
        <v>0</v>
      </c>
      <c r="BV122" s="18">
        <f t="shared" si="41"/>
        <v>3.3369207376346193E-3</v>
      </c>
      <c r="BX122" s="18">
        <f t="shared" si="42"/>
        <v>0</v>
      </c>
      <c r="BY122" s="18">
        <f t="shared" si="43"/>
        <v>7.3037686602347622E-3</v>
      </c>
    </row>
    <row r="123" spans="1:77" x14ac:dyDescent="0.3">
      <c r="A123" s="1">
        <v>46202</v>
      </c>
      <c r="B123" s="6">
        <v>27.23</v>
      </c>
      <c r="C123" s="6">
        <v>29.25</v>
      </c>
      <c r="D123" s="7">
        <v>1.4700480412887401E-3</v>
      </c>
      <c r="E123" s="7">
        <v>1.02616735531217E-3</v>
      </c>
      <c r="F123" s="6">
        <v>0</v>
      </c>
      <c r="G123" s="6">
        <v>0.74059999999999904</v>
      </c>
      <c r="H123" s="6">
        <v>0</v>
      </c>
      <c r="I123" s="6">
        <v>0.78389999999999904</v>
      </c>
      <c r="J123" s="6">
        <v>0.74059999999999904</v>
      </c>
      <c r="K123" s="6">
        <v>0.78389999999999904</v>
      </c>
      <c r="L123" s="6">
        <v>27.970600000000001</v>
      </c>
      <c r="M123" s="6">
        <v>30.033899999999999</v>
      </c>
      <c r="N123" s="8">
        <v>1.0741828865222101</v>
      </c>
      <c r="O123" s="8">
        <v>1.0748223497963401</v>
      </c>
      <c r="P123" s="8">
        <v>1.0739648524380001</v>
      </c>
      <c r="Q123" s="8">
        <v>1.07475324544157</v>
      </c>
      <c r="R123" s="6">
        <v>29.267412584954499</v>
      </c>
      <c r="S123" s="6">
        <v>29.2461120274941</v>
      </c>
      <c r="T123" s="6">
        <v>29.266142821903301</v>
      </c>
      <c r="U123" s="7">
        <v>5.9512492775249E-4</v>
      </c>
      <c r="V123" s="7">
        <v>-1.3293097188220001E-4</v>
      </c>
      <c r="W123" s="7">
        <v>5.5173911110425902E-4</v>
      </c>
      <c r="X123" s="8">
        <v>1.0737667407921101</v>
      </c>
      <c r="Y123" s="8">
        <v>1.07476747574368</v>
      </c>
      <c r="Z123" s="8">
        <v>1.0735536754834101</v>
      </c>
      <c r="AA123" s="8">
        <v>1.07431964455981</v>
      </c>
      <c r="AB123" s="6">
        <v>30.061891157036101</v>
      </c>
      <c r="AC123" s="6">
        <v>30.029983395383901</v>
      </c>
      <c r="AD123" s="6">
        <v>30.050311692785399</v>
      </c>
      <c r="AE123" s="7">
        <v>9.3155139557926604E-4</v>
      </c>
      <c r="AF123" s="7">
        <v>-1.3041463189429801E-4</v>
      </c>
      <c r="AG123" s="7">
        <v>5.4628970676948196E-4</v>
      </c>
      <c r="AZ123" s="23"/>
      <c r="BB123" s="12">
        <f t="shared" si="26"/>
        <v>0</v>
      </c>
      <c r="BC123" s="12">
        <f t="shared" si="27"/>
        <v>1</v>
      </c>
      <c r="BD123" s="12">
        <f t="shared" si="28"/>
        <v>0</v>
      </c>
      <c r="BE123" s="12">
        <f t="shared" si="24"/>
        <v>1</v>
      </c>
      <c r="BF123" s="12">
        <f t="shared" si="29"/>
        <v>0</v>
      </c>
      <c r="BG123" s="23">
        <f t="shared" si="30"/>
        <v>0</v>
      </c>
      <c r="BH123" s="23">
        <f t="shared" si="31"/>
        <v>0</v>
      </c>
      <c r="BI123" s="23">
        <f t="shared" si="32"/>
        <v>0</v>
      </c>
      <c r="BJ123" s="18">
        <f t="shared" si="33"/>
        <v>3.9668479226001412E-3</v>
      </c>
      <c r="BL123" s="23"/>
      <c r="BN123" s="12">
        <f t="shared" si="34"/>
        <v>0</v>
      </c>
      <c r="BO123" s="12">
        <f t="shared" si="35"/>
        <v>1</v>
      </c>
      <c r="BP123" s="12">
        <f t="shared" si="36"/>
        <v>0</v>
      </c>
      <c r="BQ123" s="12">
        <f t="shared" si="25"/>
        <v>1</v>
      </c>
      <c r="BR123" s="12">
        <f t="shared" si="37"/>
        <v>0</v>
      </c>
      <c r="BS123" s="23">
        <f t="shared" si="38"/>
        <v>0</v>
      </c>
      <c r="BT123" s="23">
        <f t="shared" si="39"/>
        <v>0</v>
      </c>
      <c r="BU123" s="23">
        <f t="shared" si="40"/>
        <v>0</v>
      </c>
      <c r="BV123" s="18">
        <f t="shared" si="41"/>
        <v>3.3369207376346193E-3</v>
      </c>
      <c r="BX123" s="18">
        <f t="shared" si="42"/>
        <v>0</v>
      </c>
      <c r="BY123" s="18">
        <f t="shared" si="43"/>
        <v>7.3037686602347622E-3</v>
      </c>
    </row>
    <row r="124" spans="1:77" x14ac:dyDescent="0.3">
      <c r="A124" s="1">
        <v>46203</v>
      </c>
      <c r="B124" s="6">
        <v>27.24</v>
      </c>
      <c r="C124" s="6">
        <v>29.24</v>
      </c>
      <c r="D124" s="7">
        <v>3.6717459564321602E-4</v>
      </c>
      <c r="E124" s="7">
        <v>-3.41938796287833E-4</v>
      </c>
      <c r="F124" s="6">
        <v>0</v>
      </c>
      <c r="G124" s="6">
        <v>0.74059999999999904</v>
      </c>
      <c r="H124" s="6">
        <v>0</v>
      </c>
      <c r="I124" s="6">
        <v>0.78389999999999904</v>
      </c>
      <c r="J124" s="6">
        <v>0.74059999999999904</v>
      </c>
      <c r="K124" s="6">
        <v>0.78389999999999904</v>
      </c>
      <c r="L124" s="6">
        <v>27.980599999999999</v>
      </c>
      <c r="M124" s="6">
        <v>30.023899999999902</v>
      </c>
      <c r="N124" s="8">
        <v>1.0734214390601999</v>
      </c>
      <c r="O124" s="8">
        <v>1.0748223497963401</v>
      </c>
      <c r="P124" s="8">
        <v>1.07383001660185</v>
      </c>
      <c r="Q124" s="8">
        <v>1.07468911029398</v>
      </c>
      <c r="R124" s="6">
        <v>29.278160808452402</v>
      </c>
      <c r="S124" s="6">
        <v>29.254802580411202</v>
      </c>
      <c r="T124" s="6">
        <v>29.2762784058284</v>
      </c>
      <c r="U124" s="7">
        <v>1.3042383196836501E-3</v>
      </c>
      <c r="V124" s="7">
        <v>5.0611610174827596E-4</v>
      </c>
      <c r="W124" s="7">
        <v>1.23994250710358E-3</v>
      </c>
      <c r="X124" s="8">
        <v>1.07302559630601</v>
      </c>
      <c r="Y124" s="8">
        <v>1.07476747574368</v>
      </c>
      <c r="Z124" s="8">
        <v>1.0734225477785</v>
      </c>
      <c r="AA124" s="8">
        <v>1.0742573616730899</v>
      </c>
      <c r="AB124" s="6">
        <v>30.072638831793601</v>
      </c>
      <c r="AC124" s="6">
        <v>30.038675972231299</v>
      </c>
      <c r="AD124" s="6">
        <v>30.060108246570401</v>
      </c>
      <c r="AE124" s="7">
        <v>1.6220182868036199E-3</v>
      </c>
      <c r="AF124" s="7">
        <v>4.9201927457397305E-4</v>
      </c>
      <c r="AG124" s="7">
        <v>1.20525417695214E-3</v>
      </c>
      <c r="AZ124" s="23"/>
      <c r="BB124" s="12">
        <f t="shared" si="26"/>
        <v>0</v>
      </c>
      <c r="BC124" s="12">
        <f t="shared" si="27"/>
        <v>1</v>
      </c>
      <c r="BD124" s="12">
        <f t="shared" si="28"/>
        <v>0</v>
      </c>
      <c r="BE124" s="12">
        <f t="shared" si="24"/>
        <v>0</v>
      </c>
      <c r="BF124" s="12">
        <f t="shared" si="29"/>
        <v>0</v>
      </c>
      <c r="BG124" s="23">
        <f t="shared" si="30"/>
        <v>0</v>
      </c>
      <c r="BH124" s="23">
        <f t="shared" si="31"/>
        <v>0</v>
      </c>
      <c r="BI124" s="23">
        <f t="shared" si="32"/>
        <v>0</v>
      </c>
      <c r="BJ124" s="18">
        <f t="shared" si="33"/>
        <v>3.9668479226001412E-3</v>
      </c>
      <c r="BL124" s="23"/>
      <c r="BN124" s="12">
        <f t="shared" si="34"/>
        <v>0</v>
      </c>
      <c r="BO124" s="12">
        <f t="shared" si="35"/>
        <v>0</v>
      </c>
      <c r="BP124" s="12">
        <f t="shared" si="36"/>
        <v>0</v>
      </c>
      <c r="BQ124" s="12">
        <f t="shared" si="25"/>
        <v>0</v>
      </c>
      <c r="BR124" s="12">
        <f t="shared" si="37"/>
        <v>0</v>
      </c>
      <c r="BS124" s="23">
        <f t="shared" si="38"/>
        <v>0</v>
      </c>
      <c r="BT124" s="23">
        <f t="shared" si="39"/>
        <v>0</v>
      </c>
      <c r="BU124" s="23">
        <f t="shared" si="40"/>
        <v>0</v>
      </c>
      <c r="BV124" s="18">
        <f t="shared" si="41"/>
        <v>3.3369207376346193E-3</v>
      </c>
      <c r="BX124" s="18">
        <f t="shared" si="42"/>
        <v>0</v>
      </c>
      <c r="BY124" s="18">
        <f t="shared" si="43"/>
        <v>7.3037686602347622E-3</v>
      </c>
    </row>
    <row r="125" spans="1:77" x14ac:dyDescent="0.3">
      <c r="A125" s="1">
        <v>46204</v>
      </c>
      <c r="B125" s="6">
        <v>27.12</v>
      </c>
      <c r="C125" s="6">
        <v>29.11</v>
      </c>
      <c r="D125" s="7">
        <v>-4.4150182091167202E-3</v>
      </c>
      <c r="E125" s="7">
        <v>-4.45587712404586E-3</v>
      </c>
      <c r="F125" s="6">
        <v>0.1411</v>
      </c>
      <c r="G125" s="6">
        <v>0.88169999999999904</v>
      </c>
      <c r="H125" s="6">
        <v>0.17100000000000001</v>
      </c>
      <c r="I125" s="6">
        <v>0.95489999999999997</v>
      </c>
      <c r="J125" s="6">
        <v>0.88169999999999904</v>
      </c>
      <c r="K125" s="6">
        <v>0.95489999999999997</v>
      </c>
      <c r="L125" s="6">
        <v>28.0017</v>
      </c>
      <c r="M125" s="6">
        <v>30.064899999999898</v>
      </c>
      <c r="N125" s="8">
        <v>1.0733775811209401</v>
      </c>
      <c r="O125" s="8">
        <v>1.0748223497963401</v>
      </c>
      <c r="P125" s="8">
        <v>1.07376990942134</v>
      </c>
      <c r="Q125" s="8">
        <v>1.0745673088766601</v>
      </c>
      <c r="R125" s="6">
        <v>29.149182126476902</v>
      </c>
      <c r="S125" s="6">
        <v>29.1222700502422</v>
      </c>
      <c r="T125" s="6">
        <v>29.145568671172999</v>
      </c>
      <c r="U125" s="7">
        <v>1.3450972346127799E-3</v>
      </c>
      <c r="V125" s="7">
        <v>4.2141755467487601E-4</v>
      </c>
      <c r="W125" s="7">
        <v>1.2211253414627101E-3</v>
      </c>
      <c r="X125" s="8">
        <v>1.0736812407817999</v>
      </c>
      <c r="Y125" s="8">
        <v>1.07476747574368</v>
      </c>
      <c r="Z125" s="8">
        <v>1.07343396866864</v>
      </c>
      <c r="AA125" s="8">
        <v>1.0741738664959899</v>
      </c>
      <c r="AB125" s="6">
        <v>30.095316425531799</v>
      </c>
      <c r="AC125" s="6">
        <v>30.057656156129202</v>
      </c>
      <c r="AD125" s="6">
        <v>30.081032364361299</v>
      </c>
      <c r="AE125" s="7">
        <v>1.01118080787386E-3</v>
      </c>
      <c r="AF125" s="7">
        <v>-2.4096925908945901E-4</v>
      </c>
      <c r="AG125" s="7">
        <v>5.3644075714095703E-4</v>
      </c>
      <c r="AZ125" s="23"/>
      <c r="BB125" s="12">
        <f t="shared" si="26"/>
        <v>0</v>
      </c>
      <c r="BC125" s="12">
        <f t="shared" si="27"/>
        <v>1</v>
      </c>
      <c r="BD125" s="12">
        <f t="shared" si="28"/>
        <v>0</v>
      </c>
      <c r="BE125" s="12">
        <f t="shared" si="24"/>
        <v>1</v>
      </c>
      <c r="BF125" s="12">
        <f t="shared" si="29"/>
        <v>0</v>
      </c>
      <c r="BG125" s="23">
        <f t="shared" si="30"/>
        <v>0</v>
      </c>
      <c r="BH125" s="23">
        <f t="shared" si="31"/>
        <v>0</v>
      </c>
      <c r="BI125" s="23">
        <f t="shared" si="32"/>
        <v>0</v>
      </c>
      <c r="BJ125" s="18">
        <f t="shared" si="33"/>
        <v>3.9668479226001412E-3</v>
      </c>
      <c r="BL125" s="23"/>
      <c r="BN125" s="12">
        <f t="shared" si="34"/>
        <v>0</v>
      </c>
      <c r="BO125" s="12">
        <f t="shared" si="35"/>
        <v>1</v>
      </c>
      <c r="BP125" s="12">
        <f t="shared" si="36"/>
        <v>0</v>
      </c>
      <c r="BQ125" s="12">
        <f t="shared" si="25"/>
        <v>1</v>
      </c>
      <c r="BR125" s="12">
        <f t="shared" si="37"/>
        <v>0</v>
      </c>
      <c r="BS125" s="23">
        <f t="shared" si="38"/>
        <v>0</v>
      </c>
      <c r="BT125" s="23">
        <f t="shared" si="39"/>
        <v>0</v>
      </c>
      <c r="BU125" s="23">
        <f t="shared" si="40"/>
        <v>0</v>
      </c>
      <c r="BV125" s="18">
        <f t="shared" si="41"/>
        <v>3.3369207376346193E-3</v>
      </c>
      <c r="BX125" s="18">
        <f t="shared" si="42"/>
        <v>0</v>
      </c>
      <c r="BY125" s="18">
        <f t="shared" si="43"/>
        <v>7.3037686602347622E-3</v>
      </c>
    </row>
    <row r="126" spans="1:77" x14ac:dyDescent="0.3">
      <c r="A126" s="1">
        <v>46205</v>
      </c>
      <c r="B126" s="6">
        <v>27.17</v>
      </c>
      <c r="C126" s="6">
        <v>29.16</v>
      </c>
      <c r="D126" s="7">
        <v>1.84196036606167E-3</v>
      </c>
      <c r="E126" s="7">
        <v>1.7161493829254699E-3</v>
      </c>
      <c r="F126" s="6">
        <v>0</v>
      </c>
      <c r="G126" s="6">
        <v>0.88169999999999904</v>
      </c>
      <c r="H126" s="6">
        <v>0</v>
      </c>
      <c r="I126" s="6">
        <v>0.95489999999999997</v>
      </c>
      <c r="J126" s="6">
        <v>0.88169999999999904</v>
      </c>
      <c r="K126" s="6">
        <v>0.95489999999999997</v>
      </c>
      <c r="L126" s="6">
        <v>28.0517</v>
      </c>
      <c r="M126" s="6">
        <v>30.114899999999999</v>
      </c>
      <c r="N126" s="8">
        <v>1.0732425469267499</v>
      </c>
      <c r="O126" s="8">
        <v>1.0748223497963401</v>
      </c>
      <c r="P126" s="8">
        <v>1.07375099068228</v>
      </c>
      <c r="Q126" s="8">
        <v>1.0744303257708101</v>
      </c>
      <c r="R126" s="6">
        <v>29.202923243966701</v>
      </c>
      <c r="S126" s="6">
        <v>29.174328438977899</v>
      </c>
      <c r="T126" s="6">
        <v>29.195993782178899</v>
      </c>
      <c r="U126" s="7">
        <v>1.4709082177489399E-3</v>
      </c>
      <c r="V126" s="7">
        <v>4.9125239458694598E-4</v>
      </c>
      <c r="W126" s="7">
        <v>1.2335934806556E-3</v>
      </c>
      <c r="X126" s="8">
        <v>1.0735499096311401</v>
      </c>
      <c r="Y126" s="8">
        <v>1.07476747574368</v>
      </c>
      <c r="Z126" s="8">
        <v>1.07348559691687</v>
      </c>
      <c r="AA126" s="8">
        <v>1.07407565005212</v>
      </c>
      <c r="AB126" s="6">
        <v>30.149054799319</v>
      </c>
      <c r="AC126" s="6">
        <v>30.111647658902299</v>
      </c>
      <c r="AD126" s="6">
        <v>30.132403050785602</v>
      </c>
      <c r="AE126" s="7">
        <v>1.13350685628535E-3</v>
      </c>
      <c r="AF126" s="7">
        <v>-1.0800357076006701E-4</v>
      </c>
      <c r="AG126" s="7">
        <v>5.81040159203782E-4</v>
      </c>
      <c r="AZ126" s="23"/>
      <c r="BB126" s="12">
        <f t="shared" si="26"/>
        <v>0</v>
      </c>
      <c r="BC126" s="12">
        <f t="shared" si="27"/>
        <v>1</v>
      </c>
      <c r="BD126" s="12">
        <f t="shared" si="28"/>
        <v>0</v>
      </c>
      <c r="BE126" s="12">
        <f t="shared" si="24"/>
        <v>1</v>
      </c>
      <c r="BF126" s="12">
        <f t="shared" si="29"/>
        <v>0</v>
      </c>
      <c r="BG126" s="23">
        <f t="shared" si="30"/>
        <v>0</v>
      </c>
      <c r="BH126" s="23">
        <f t="shared" si="31"/>
        <v>0</v>
      </c>
      <c r="BI126" s="23">
        <f t="shared" si="32"/>
        <v>0</v>
      </c>
      <c r="BJ126" s="18">
        <f t="shared" si="33"/>
        <v>3.9668479226001412E-3</v>
      </c>
      <c r="BL126" s="23"/>
      <c r="BN126" s="12">
        <f t="shared" si="34"/>
        <v>0</v>
      </c>
      <c r="BO126" s="12">
        <f t="shared" si="35"/>
        <v>1</v>
      </c>
      <c r="BP126" s="12">
        <f t="shared" si="36"/>
        <v>0</v>
      </c>
      <c r="BQ126" s="12">
        <f t="shared" si="25"/>
        <v>1</v>
      </c>
      <c r="BR126" s="12">
        <f t="shared" si="37"/>
        <v>0</v>
      </c>
      <c r="BS126" s="23">
        <f t="shared" si="38"/>
        <v>0</v>
      </c>
      <c r="BT126" s="23">
        <f t="shared" si="39"/>
        <v>0</v>
      </c>
      <c r="BU126" s="23">
        <f t="shared" si="40"/>
        <v>0</v>
      </c>
      <c r="BV126" s="18">
        <f t="shared" si="41"/>
        <v>3.3369207376346193E-3</v>
      </c>
      <c r="BX126" s="18">
        <f t="shared" si="42"/>
        <v>0</v>
      </c>
      <c r="BY126" s="18">
        <f t="shared" si="43"/>
        <v>7.3037686602347622E-3</v>
      </c>
    </row>
    <row r="127" spans="1:77" x14ac:dyDescent="0.3">
      <c r="A127" s="1">
        <v>46209</v>
      </c>
      <c r="B127" s="6">
        <v>27.21</v>
      </c>
      <c r="C127" s="6">
        <v>29.18</v>
      </c>
      <c r="D127" s="7">
        <v>1.4711293568985199E-3</v>
      </c>
      <c r="E127" s="7">
        <v>6.8563595418216598E-4</v>
      </c>
      <c r="F127" s="6">
        <v>0</v>
      </c>
      <c r="G127" s="6">
        <v>0.88169999999999904</v>
      </c>
      <c r="H127" s="6">
        <v>0</v>
      </c>
      <c r="I127" s="6">
        <v>0.95489999999999997</v>
      </c>
      <c r="J127" s="6">
        <v>0.88169999999999904</v>
      </c>
      <c r="K127" s="6">
        <v>0.95489999999999997</v>
      </c>
      <c r="L127" s="6">
        <v>28.091699999999999</v>
      </c>
      <c r="M127" s="6">
        <v>30.134899999999998</v>
      </c>
      <c r="N127" s="8">
        <v>1.0723998529952199</v>
      </c>
      <c r="O127" s="8">
        <v>1.0748223497963401</v>
      </c>
      <c r="P127" s="8">
        <v>1.07367210875121</v>
      </c>
      <c r="Q127" s="8">
        <v>1.0742397375844599</v>
      </c>
      <c r="R127" s="6">
        <v>29.245916137958499</v>
      </c>
      <c r="S127" s="6">
        <v>29.216764456465</v>
      </c>
      <c r="T127" s="6">
        <v>29.235249164223799</v>
      </c>
      <c r="U127" s="7">
        <v>2.2564016204652199E-3</v>
      </c>
      <c r="V127" s="7">
        <v>1.2591266541708999E-3</v>
      </c>
      <c r="W127" s="7">
        <v>1.8916013023495899E-3</v>
      </c>
      <c r="X127" s="8">
        <v>1.0727332272521699</v>
      </c>
      <c r="Y127" s="8">
        <v>1.07476747574368</v>
      </c>
      <c r="Z127" s="8">
        <v>1.0734790903509199</v>
      </c>
      <c r="AA127" s="8">
        <v>1.0739253928749799</v>
      </c>
      <c r="AB127" s="6">
        <v>30.192045498348701</v>
      </c>
      <c r="AC127" s="6">
        <v>30.156035342909799</v>
      </c>
      <c r="AD127" s="6">
        <v>30.1726109385692</v>
      </c>
      <c r="AE127" s="7">
        <v>1.8945270631242699E-3</v>
      </c>
      <c r="AF127" s="7">
        <v>7.01111822380061E-4</v>
      </c>
      <c r="AG127" s="7">
        <v>1.2506217848332901E-3</v>
      </c>
      <c r="AZ127" s="23"/>
      <c r="BB127" s="12">
        <f t="shared" si="26"/>
        <v>0</v>
      </c>
      <c r="BC127" s="12">
        <f t="shared" si="27"/>
        <v>1</v>
      </c>
      <c r="BD127" s="12">
        <f t="shared" si="28"/>
        <v>0</v>
      </c>
      <c r="BE127" s="12">
        <f t="shared" si="24"/>
        <v>1</v>
      </c>
      <c r="BF127" s="12">
        <f t="shared" si="29"/>
        <v>0</v>
      </c>
      <c r="BG127" s="23">
        <f t="shared" si="30"/>
        <v>0</v>
      </c>
      <c r="BH127" s="23">
        <f t="shared" si="31"/>
        <v>0</v>
      </c>
      <c r="BI127" s="23">
        <f t="shared" si="32"/>
        <v>0</v>
      </c>
      <c r="BJ127" s="18">
        <f t="shared" si="33"/>
        <v>3.9668479226001412E-3</v>
      </c>
      <c r="BL127" s="23"/>
      <c r="BN127" s="12">
        <f t="shared" si="34"/>
        <v>0</v>
      </c>
      <c r="BO127" s="12">
        <f t="shared" si="35"/>
        <v>0</v>
      </c>
      <c r="BP127" s="12">
        <f t="shared" si="36"/>
        <v>0</v>
      </c>
      <c r="BQ127" s="12">
        <f t="shared" si="25"/>
        <v>1</v>
      </c>
      <c r="BR127" s="12">
        <f t="shared" si="37"/>
        <v>0</v>
      </c>
      <c r="BS127" s="23">
        <f t="shared" si="38"/>
        <v>0</v>
      </c>
      <c r="BT127" s="23">
        <f t="shared" si="39"/>
        <v>0</v>
      </c>
      <c r="BU127" s="23">
        <f t="shared" si="40"/>
        <v>0</v>
      </c>
      <c r="BV127" s="18">
        <f t="shared" si="41"/>
        <v>3.3369207376346193E-3</v>
      </c>
      <c r="BX127" s="18">
        <f t="shared" si="42"/>
        <v>0</v>
      </c>
      <c r="BY127" s="18">
        <f t="shared" si="43"/>
        <v>7.3037686602347622E-3</v>
      </c>
    </row>
    <row r="128" spans="1:77" x14ac:dyDescent="0.3">
      <c r="A128" s="1">
        <v>46210</v>
      </c>
      <c r="B128" s="6">
        <v>27.15</v>
      </c>
      <c r="C128" s="6">
        <v>29.14</v>
      </c>
      <c r="D128" s="7">
        <v>-2.2075064152105601E-3</v>
      </c>
      <c r="E128" s="7">
        <v>-1.37174232758077E-3</v>
      </c>
      <c r="F128" s="6">
        <v>0</v>
      </c>
      <c r="G128" s="6">
        <v>0.88169999999999904</v>
      </c>
      <c r="H128" s="6">
        <v>0</v>
      </c>
      <c r="I128" s="6">
        <v>0.95489999999999997</v>
      </c>
      <c r="J128" s="6">
        <v>0.88169999999999904</v>
      </c>
      <c r="K128" s="6">
        <v>0.95489999999999997</v>
      </c>
      <c r="L128" s="6">
        <v>28.031699999999901</v>
      </c>
      <c r="M128" s="6">
        <v>30.094899999999999</v>
      </c>
      <c r="N128" s="8">
        <v>1.07329650092081</v>
      </c>
      <c r="O128" s="8">
        <v>1.0748223497963401</v>
      </c>
      <c r="P128" s="8">
        <v>1.0736011697416701</v>
      </c>
      <c r="Q128" s="8">
        <v>1.0740927366729001</v>
      </c>
      <c r="R128" s="6">
        <v>29.181426796970801</v>
      </c>
      <c r="S128" s="6">
        <v>29.1501977525953</v>
      </c>
      <c r="T128" s="6">
        <v>29.1656088754183</v>
      </c>
      <c r="U128" s="7">
        <v>1.4206375328355001E-3</v>
      </c>
      <c r="V128" s="7">
        <v>3.4989597196712199E-4</v>
      </c>
      <c r="W128" s="7">
        <v>8.7843614221702702E-4</v>
      </c>
      <c r="X128" s="8">
        <v>1.0736023858702799</v>
      </c>
      <c r="Y128" s="8">
        <v>1.07476747574368</v>
      </c>
      <c r="Z128" s="8">
        <v>1.0734799889954401</v>
      </c>
      <c r="AA128" s="8">
        <v>1.07381750177422</v>
      </c>
      <c r="AB128" s="6">
        <v>30.1275594498041</v>
      </c>
      <c r="AC128" s="6">
        <v>30.091443816989901</v>
      </c>
      <c r="AD128" s="6">
        <v>30.103954435453598</v>
      </c>
      <c r="AE128" s="7">
        <v>1.0846270080718599E-3</v>
      </c>
      <c r="AF128" s="7">
        <v>-1.1484940917193501E-4</v>
      </c>
      <c r="AG128" s="7">
        <v>3.00817535710166E-4</v>
      </c>
      <c r="AZ128" s="23"/>
      <c r="BB128" s="12">
        <f t="shared" si="26"/>
        <v>0</v>
      </c>
      <c r="BC128" s="12">
        <f t="shared" si="27"/>
        <v>1</v>
      </c>
      <c r="BD128" s="12">
        <f t="shared" si="28"/>
        <v>0</v>
      </c>
      <c r="BE128" s="12">
        <f t="shared" si="24"/>
        <v>1</v>
      </c>
      <c r="BF128" s="12">
        <f t="shared" si="29"/>
        <v>0</v>
      </c>
      <c r="BG128" s="23">
        <f t="shared" si="30"/>
        <v>0</v>
      </c>
      <c r="BH128" s="23">
        <f t="shared" si="31"/>
        <v>0</v>
      </c>
      <c r="BI128" s="23">
        <f t="shared" si="32"/>
        <v>0</v>
      </c>
      <c r="BJ128" s="18">
        <f t="shared" si="33"/>
        <v>3.9668479226001412E-3</v>
      </c>
      <c r="BL128" s="23"/>
      <c r="BN128" s="12">
        <f t="shared" si="34"/>
        <v>0</v>
      </c>
      <c r="BO128" s="12">
        <f t="shared" si="35"/>
        <v>1</v>
      </c>
      <c r="BP128" s="12">
        <f t="shared" si="36"/>
        <v>0</v>
      </c>
      <c r="BQ128" s="12">
        <f t="shared" si="25"/>
        <v>1</v>
      </c>
      <c r="BR128" s="12">
        <f t="shared" si="37"/>
        <v>0</v>
      </c>
      <c r="BS128" s="23">
        <f t="shared" si="38"/>
        <v>0</v>
      </c>
      <c r="BT128" s="23">
        <f t="shared" si="39"/>
        <v>0</v>
      </c>
      <c r="BU128" s="23">
        <f t="shared" si="40"/>
        <v>0</v>
      </c>
      <c r="BV128" s="18">
        <f t="shared" si="41"/>
        <v>3.3369207376346193E-3</v>
      </c>
      <c r="BX128" s="18">
        <f t="shared" si="42"/>
        <v>0</v>
      </c>
      <c r="BY128" s="18">
        <f t="shared" si="43"/>
        <v>7.3037686602347622E-3</v>
      </c>
    </row>
    <row r="129" spans="1:77" x14ac:dyDescent="0.3">
      <c r="A129" s="1">
        <v>46211</v>
      </c>
      <c r="B129" s="6">
        <v>27.1</v>
      </c>
      <c r="C129" s="6">
        <v>29.05</v>
      </c>
      <c r="D129" s="7">
        <v>-1.8433184942891099E-3</v>
      </c>
      <c r="E129" s="7">
        <v>-3.0933174691385799E-3</v>
      </c>
      <c r="F129" s="6">
        <v>0</v>
      </c>
      <c r="G129" s="6">
        <v>0.88169999999999904</v>
      </c>
      <c r="H129" s="6">
        <v>0</v>
      </c>
      <c r="I129" s="6">
        <v>0.95489999999999997</v>
      </c>
      <c r="J129" s="6">
        <v>0.88169999999999904</v>
      </c>
      <c r="K129" s="6">
        <v>0.95489999999999997</v>
      </c>
      <c r="L129" s="6">
        <v>27.9817</v>
      </c>
      <c r="M129" s="6">
        <v>30.004899999999999</v>
      </c>
      <c r="N129" s="8">
        <v>1.07195571955719</v>
      </c>
      <c r="O129" s="8">
        <v>1.0748223497963401</v>
      </c>
      <c r="P129" s="8">
        <v>1.0734697902982699</v>
      </c>
      <c r="Q129" s="8">
        <v>1.0739001101646899</v>
      </c>
      <c r="R129" s="6">
        <v>29.127685679480901</v>
      </c>
      <c r="S129" s="6">
        <v>29.094591699999199</v>
      </c>
      <c r="T129" s="6">
        <v>29.107913163835601</v>
      </c>
      <c r="U129" s="7">
        <v>2.6706365076847398E-3</v>
      </c>
      <c r="V129" s="7">
        <v>1.5338213731588401E-3</v>
      </c>
      <c r="W129" s="7">
        <v>1.9915839419758401E-3</v>
      </c>
      <c r="X129" s="8">
        <v>1.07230439894645</v>
      </c>
      <c r="Y129" s="8">
        <v>1.07476747574368</v>
      </c>
      <c r="Z129" s="8">
        <v>1.0734227719938201</v>
      </c>
      <c r="AA129" s="8">
        <v>1.0736655340294099</v>
      </c>
      <c r="AB129" s="6">
        <v>30.073821076016898</v>
      </c>
      <c r="AC129" s="6">
        <v>30.037795008073701</v>
      </c>
      <c r="AD129" s="6">
        <v>30.0472391893957</v>
      </c>
      <c r="AE129" s="7">
        <v>2.29435996693796E-3</v>
      </c>
      <c r="AF129" s="7">
        <v>1.0957206821079501E-3</v>
      </c>
      <c r="AG129" s="7">
        <v>1.4100812055207099E-3</v>
      </c>
      <c r="AZ129" s="23"/>
      <c r="BB129" s="12">
        <f t="shared" si="26"/>
        <v>0</v>
      </c>
      <c r="BC129" s="12">
        <f t="shared" si="27"/>
        <v>1</v>
      </c>
      <c r="BD129" s="12">
        <f t="shared" si="28"/>
        <v>0</v>
      </c>
      <c r="BE129" s="12">
        <f t="shared" si="24"/>
        <v>1</v>
      </c>
      <c r="BF129" s="12">
        <f t="shared" si="29"/>
        <v>0</v>
      </c>
      <c r="BG129" s="23">
        <f t="shared" si="30"/>
        <v>0</v>
      </c>
      <c r="BH129" s="23">
        <f t="shared" si="31"/>
        <v>0</v>
      </c>
      <c r="BI129" s="23">
        <f t="shared" si="32"/>
        <v>0</v>
      </c>
      <c r="BJ129" s="18">
        <f t="shared" si="33"/>
        <v>3.9668479226001412E-3</v>
      </c>
      <c r="BL129" s="23"/>
      <c r="BN129" s="12">
        <f t="shared" si="34"/>
        <v>0</v>
      </c>
      <c r="BO129" s="12">
        <f t="shared" si="35"/>
        <v>0</v>
      </c>
      <c r="BP129" s="12">
        <f t="shared" si="36"/>
        <v>0</v>
      </c>
      <c r="BQ129" s="12">
        <f t="shared" si="25"/>
        <v>1</v>
      </c>
      <c r="BR129" s="12">
        <f t="shared" si="37"/>
        <v>0</v>
      </c>
      <c r="BS129" s="23">
        <f t="shared" si="38"/>
        <v>0</v>
      </c>
      <c r="BT129" s="23">
        <f t="shared" si="39"/>
        <v>0</v>
      </c>
      <c r="BU129" s="23">
        <f t="shared" si="40"/>
        <v>0</v>
      </c>
      <c r="BV129" s="18">
        <f t="shared" si="41"/>
        <v>3.3369207376346193E-3</v>
      </c>
      <c r="BX129" s="18">
        <f t="shared" si="42"/>
        <v>0</v>
      </c>
      <c r="BY129" s="18">
        <f t="shared" si="43"/>
        <v>7.3037686602347622E-3</v>
      </c>
    </row>
    <row r="130" spans="1:77" x14ac:dyDescent="0.3">
      <c r="A130" s="1">
        <v>46212</v>
      </c>
      <c r="B130" s="6">
        <v>27.12</v>
      </c>
      <c r="C130" s="6">
        <v>29.09</v>
      </c>
      <c r="D130" s="7">
        <v>7.3773518653959399E-4</v>
      </c>
      <c r="E130" s="7">
        <v>1.3759892091899999E-3</v>
      </c>
      <c r="F130" s="6">
        <v>0</v>
      </c>
      <c r="G130" s="6">
        <v>0.88169999999999904</v>
      </c>
      <c r="H130" s="6">
        <v>0</v>
      </c>
      <c r="I130" s="6">
        <v>0.95489999999999997</v>
      </c>
      <c r="J130" s="6">
        <v>0.88169999999999904</v>
      </c>
      <c r="K130" s="6">
        <v>0.95489999999999997</v>
      </c>
      <c r="L130" s="6">
        <v>28.0017</v>
      </c>
      <c r="M130" s="6">
        <v>30.044899999999998</v>
      </c>
      <c r="N130" s="8">
        <v>1.0726401179941001</v>
      </c>
      <c r="O130" s="8">
        <v>1.0748223497963401</v>
      </c>
      <c r="P130" s="8">
        <v>1.0733386586098199</v>
      </c>
      <c r="Q130" s="8">
        <v>1.07376867520418</v>
      </c>
      <c r="R130" s="6">
        <v>29.149182126476902</v>
      </c>
      <c r="S130" s="6">
        <v>29.112500712889201</v>
      </c>
      <c r="T130" s="6">
        <v>29.124170987666599</v>
      </c>
      <c r="U130" s="7">
        <v>2.0323824850343101E-3</v>
      </c>
      <c r="V130" s="7">
        <v>7.7318719074100301E-4</v>
      </c>
      <c r="W130" s="7">
        <v>1.1739750308721699E-3</v>
      </c>
      <c r="X130" s="8">
        <v>1.0729669984322301</v>
      </c>
      <c r="Y130" s="8">
        <v>1.07476747574368</v>
      </c>
      <c r="Z130" s="8">
        <v>1.07336540351473</v>
      </c>
      <c r="AA130" s="8">
        <v>1.0735728967475699</v>
      </c>
      <c r="AB130" s="6">
        <v>30.095316425531799</v>
      </c>
      <c r="AC130" s="6">
        <v>30.057662434539299</v>
      </c>
      <c r="AD130" s="6">
        <v>30.0644601842315</v>
      </c>
      <c r="AE130" s="7">
        <v>1.6766297276186099E-3</v>
      </c>
      <c r="AF130" s="7">
        <v>4.2468853953027202E-4</v>
      </c>
      <c r="AG130" s="7">
        <v>6.5081993426595298E-4</v>
      </c>
      <c r="AZ130" s="23"/>
      <c r="BB130" s="12">
        <f t="shared" si="26"/>
        <v>0</v>
      </c>
      <c r="BC130" s="12">
        <f t="shared" si="27"/>
        <v>1</v>
      </c>
      <c r="BD130" s="12">
        <f t="shared" si="28"/>
        <v>0</v>
      </c>
      <c r="BE130" s="12">
        <f t="shared" si="24"/>
        <v>1</v>
      </c>
      <c r="BF130" s="12">
        <f t="shared" si="29"/>
        <v>0</v>
      </c>
      <c r="BG130" s="23">
        <f t="shared" si="30"/>
        <v>0</v>
      </c>
      <c r="BH130" s="23">
        <f t="shared" si="31"/>
        <v>0</v>
      </c>
      <c r="BI130" s="23">
        <f t="shared" si="32"/>
        <v>0</v>
      </c>
      <c r="BJ130" s="18">
        <f t="shared" si="33"/>
        <v>3.9668479226001412E-3</v>
      </c>
      <c r="BL130" s="23"/>
      <c r="BN130" s="12">
        <f t="shared" si="34"/>
        <v>0</v>
      </c>
      <c r="BO130" s="12">
        <f t="shared" si="35"/>
        <v>1</v>
      </c>
      <c r="BP130" s="12">
        <f t="shared" si="36"/>
        <v>0</v>
      </c>
      <c r="BQ130" s="12">
        <f t="shared" si="25"/>
        <v>1</v>
      </c>
      <c r="BR130" s="12">
        <f t="shared" si="37"/>
        <v>0</v>
      </c>
      <c r="BS130" s="23">
        <f t="shared" si="38"/>
        <v>0</v>
      </c>
      <c r="BT130" s="23">
        <f t="shared" si="39"/>
        <v>0</v>
      </c>
      <c r="BU130" s="23">
        <f t="shared" si="40"/>
        <v>0</v>
      </c>
      <c r="BV130" s="18">
        <f t="shared" si="41"/>
        <v>3.3369207376346193E-3</v>
      </c>
      <c r="BX130" s="18">
        <f t="shared" si="42"/>
        <v>0</v>
      </c>
      <c r="BY130" s="18">
        <f t="shared" si="43"/>
        <v>7.3037686602347622E-3</v>
      </c>
    </row>
    <row r="131" spans="1:77" x14ac:dyDescent="0.3">
      <c r="A131" s="1">
        <v>46213</v>
      </c>
      <c r="B131" s="6">
        <v>27.09</v>
      </c>
      <c r="C131" s="6">
        <v>29.03</v>
      </c>
      <c r="D131" s="7">
        <v>-1.1068069751911001E-3</v>
      </c>
      <c r="E131" s="7">
        <v>-2.0646944705717098E-3</v>
      </c>
      <c r="F131" s="6">
        <v>0</v>
      </c>
      <c r="G131" s="6">
        <v>0.88169999999999904</v>
      </c>
      <c r="H131" s="6">
        <v>0</v>
      </c>
      <c r="I131" s="6">
        <v>0.95489999999999997</v>
      </c>
      <c r="J131" s="6">
        <v>0.88169999999999904</v>
      </c>
      <c r="K131" s="6">
        <v>0.95489999999999997</v>
      </c>
      <c r="L131" s="6">
        <v>27.971699999999998</v>
      </c>
      <c r="M131" s="6">
        <v>29.9849</v>
      </c>
      <c r="N131" s="8">
        <v>1.0716131413805801</v>
      </c>
      <c r="O131" s="8">
        <v>1.0748223497963401</v>
      </c>
      <c r="P131" s="8">
        <v>1.07307895878756</v>
      </c>
      <c r="Q131" s="8">
        <v>1.0735746948615399</v>
      </c>
      <c r="R131" s="6">
        <v>29.116937455982999</v>
      </c>
      <c r="S131" s="6">
        <v>29.0767442617401</v>
      </c>
      <c r="T131" s="6">
        <v>29.088393411281402</v>
      </c>
      <c r="U131" s="7">
        <v>2.9902699804149999E-3</v>
      </c>
      <c r="V131" s="7">
        <v>1.60891037409047E-3</v>
      </c>
      <c r="W131" s="7">
        <v>2.0094647323569701E-3</v>
      </c>
      <c r="X131" s="8">
        <v>1.0719727438804201</v>
      </c>
      <c r="Y131" s="8">
        <v>1.07476747574368</v>
      </c>
      <c r="Z131" s="8">
        <v>1.0731833655847201</v>
      </c>
      <c r="AA131" s="8">
        <v>1.0734197153057301</v>
      </c>
      <c r="AB131" s="6">
        <v>30.063073401259501</v>
      </c>
      <c r="AC131" s="6">
        <v>30.023855057492899</v>
      </c>
      <c r="AD131" s="6">
        <v>30.029658995954101</v>
      </c>
      <c r="AE131" s="7">
        <v>2.6036997085719699E-3</v>
      </c>
      <c r="AF131" s="7">
        <v>1.29831265213181E-3</v>
      </c>
      <c r="AG131" s="7">
        <v>1.4916048706052E-3</v>
      </c>
      <c r="AZ131" s="23"/>
      <c r="BB131" s="12">
        <f t="shared" si="26"/>
        <v>0</v>
      </c>
      <c r="BC131" s="12">
        <f t="shared" si="27"/>
        <v>1</v>
      </c>
      <c r="BD131" s="12">
        <f t="shared" si="28"/>
        <v>0</v>
      </c>
      <c r="BE131" s="12">
        <f t="shared" si="24"/>
        <v>1</v>
      </c>
      <c r="BF131" s="12">
        <f t="shared" si="29"/>
        <v>0</v>
      </c>
      <c r="BG131" s="23">
        <f t="shared" si="30"/>
        <v>0</v>
      </c>
      <c r="BH131" s="23">
        <f t="shared" si="31"/>
        <v>0</v>
      </c>
      <c r="BI131" s="23">
        <f t="shared" si="32"/>
        <v>0</v>
      </c>
      <c r="BJ131" s="18">
        <f t="shared" si="33"/>
        <v>3.9668479226001412E-3</v>
      </c>
      <c r="BL131" s="23"/>
      <c r="BN131" s="12">
        <f t="shared" si="34"/>
        <v>0</v>
      </c>
      <c r="BO131" s="12">
        <f t="shared" si="35"/>
        <v>0</v>
      </c>
      <c r="BP131" s="12">
        <f t="shared" si="36"/>
        <v>0</v>
      </c>
      <c r="BQ131" s="12">
        <f t="shared" si="25"/>
        <v>1</v>
      </c>
      <c r="BR131" s="12">
        <f t="shared" si="37"/>
        <v>0</v>
      </c>
      <c r="BS131" s="23">
        <f t="shared" si="38"/>
        <v>0</v>
      </c>
      <c r="BT131" s="23">
        <f t="shared" si="39"/>
        <v>0</v>
      </c>
      <c r="BU131" s="23">
        <f t="shared" si="40"/>
        <v>0</v>
      </c>
      <c r="BV131" s="18">
        <f t="shared" si="41"/>
        <v>3.3369207376346193E-3</v>
      </c>
      <c r="BX131" s="18">
        <f t="shared" si="42"/>
        <v>0</v>
      </c>
      <c r="BY131" s="18">
        <f t="shared" si="43"/>
        <v>7.3037686602347622E-3</v>
      </c>
    </row>
    <row r="132" spans="1:77" x14ac:dyDescent="0.3">
      <c r="A132" s="1">
        <v>46216</v>
      </c>
      <c r="B132" s="6">
        <v>27</v>
      </c>
      <c r="C132" s="6">
        <v>28.96</v>
      </c>
      <c r="D132" s="7">
        <v>-3.3277900926746901E-3</v>
      </c>
      <c r="E132" s="7">
        <v>-2.4142105190229301E-3</v>
      </c>
      <c r="F132" s="6">
        <v>0</v>
      </c>
      <c r="G132" s="6">
        <v>0.88169999999999904</v>
      </c>
      <c r="H132" s="6">
        <v>0</v>
      </c>
      <c r="I132" s="6">
        <v>0.95489999999999997</v>
      </c>
      <c r="J132" s="6">
        <v>0.88169999999999904</v>
      </c>
      <c r="K132" s="6">
        <v>0.95489999999999997</v>
      </c>
      <c r="L132" s="6">
        <v>27.881699999999999</v>
      </c>
      <c r="M132" s="6">
        <v>29.914899999999999</v>
      </c>
      <c r="N132" s="8">
        <v>1.0725925925925901</v>
      </c>
      <c r="O132" s="8">
        <v>1.0748223497963401</v>
      </c>
      <c r="P132" s="8">
        <v>1.0728722379070601</v>
      </c>
      <c r="Q132" s="8">
        <v>1.0734561708722601</v>
      </c>
      <c r="R132" s="6">
        <v>29.020203444501298</v>
      </c>
      <c r="S132" s="6">
        <v>28.973131887264099</v>
      </c>
      <c r="T132" s="6">
        <v>28.986516761261601</v>
      </c>
      <c r="U132" s="7">
        <v>2.0766904067631999E-3</v>
      </c>
      <c r="V132" s="7">
        <v>4.5334636886574099E-4</v>
      </c>
      <c r="W132" s="7">
        <v>9.1521508434302501E-4</v>
      </c>
      <c r="X132" s="8">
        <v>1.07292238278153</v>
      </c>
      <c r="Y132" s="8">
        <v>1.07476747574368</v>
      </c>
      <c r="Z132" s="8">
        <v>1.0730525624674101</v>
      </c>
      <c r="AA132" s="8">
        <v>1.07333963874809</v>
      </c>
      <c r="AB132" s="6">
        <v>29.966344328442499</v>
      </c>
      <c r="AC132" s="6">
        <v>29.922176644223601</v>
      </c>
      <c r="AD132" s="6">
        <v>29.9287664762399</v>
      </c>
      <c r="AE132" s="7">
        <v>1.7182121606157299E-3</v>
      </c>
      <c r="AF132" s="7">
        <v>2.43215232681158E-4</v>
      </c>
      <c r="AG132" s="7">
        <v>4.6342335971765201E-4</v>
      </c>
      <c r="AZ132" s="23"/>
      <c r="BB132" s="12">
        <f t="shared" si="26"/>
        <v>0</v>
      </c>
      <c r="BC132" s="12">
        <f t="shared" si="27"/>
        <v>1</v>
      </c>
      <c r="BD132" s="12">
        <f t="shared" si="28"/>
        <v>0</v>
      </c>
      <c r="BE132" s="12">
        <f t="shared" si="24"/>
        <v>1</v>
      </c>
      <c r="BF132" s="12">
        <f t="shared" si="29"/>
        <v>0</v>
      </c>
      <c r="BG132" s="23">
        <f t="shared" si="30"/>
        <v>0</v>
      </c>
      <c r="BH132" s="23">
        <f t="shared" si="31"/>
        <v>0</v>
      </c>
      <c r="BI132" s="23">
        <f t="shared" si="32"/>
        <v>0</v>
      </c>
      <c r="BJ132" s="18">
        <f t="shared" si="33"/>
        <v>3.9668479226001412E-3</v>
      </c>
      <c r="BL132" s="23"/>
      <c r="BN132" s="12">
        <f t="shared" si="34"/>
        <v>0</v>
      </c>
      <c r="BO132" s="12">
        <f t="shared" si="35"/>
        <v>1</v>
      </c>
      <c r="BP132" s="12">
        <f t="shared" si="36"/>
        <v>0</v>
      </c>
      <c r="BQ132" s="12">
        <f t="shared" si="25"/>
        <v>1</v>
      </c>
      <c r="BR132" s="12">
        <f t="shared" si="37"/>
        <v>0</v>
      </c>
      <c r="BS132" s="23">
        <f t="shared" si="38"/>
        <v>0</v>
      </c>
      <c r="BT132" s="23">
        <f t="shared" si="39"/>
        <v>0</v>
      </c>
      <c r="BU132" s="23">
        <f t="shared" si="40"/>
        <v>0</v>
      </c>
      <c r="BV132" s="18">
        <f t="shared" si="41"/>
        <v>3.3369207376346193E-3</v>
      </c>
      <c r="BX132" s="18">
        <f t="shared" si="42"/>
        <v>0</v>
      </c>
      <c r="BY132" s="18">
        <f t="shared" si="43"/>
        <v>7.3037686602347622E-3</v>
      </c>
    </row>
    <row r="133" spans="1:77" x14ac:dyDescent="0.3">
      <c r="A133" s="1">
        <v>46217</v>
      </c>
      <c r="B133" s="6">
        <v>27.07</v>
      </c>
      <c r="C133" s="6">
        <v>29.03</v>
      </c>
      <c r="D133" s="7">
        <v>2.5892376218808401E-3</v>
      </c>
      <c r="E133" s="7">
        <v>2.4142105190228802E-3</v>
      </c>
      <c r="F133" s="6">
        <v>0</v>
      </c>
      <c r="G133" s="6">
        <v>0.88169999999999904</v>
      </c>
      <c r="H133" s="6">
        <v>0</v>
      </c>
      <c r="I133" s="6">
        <v>0.95489999999999997</v>
      </c>
      <c r="J133" s="6">
        <v>0.88169999999999904</v>
      </c>
      <c r="K133" s="6">
        <v>0.95489999999999997</v>
      </c>
      <c r="L133" s="6">
        <v>27.951699999999999</v>
      </c>
      <c r="M133" s="6">
        <v>29.9849</v>
      </c>
      <c r="N133" s="8">
        <v>1.07240487624676</v>
      </c>
      <c r="O133" s="8">
        <v>1.0748223497963401</v>
      </c>
      <c r="P133" s="8">
        <v>1.0726944368795099</v>
      </c>
      <c r="Q133" s="8">
        <v>1.0733296446587599</v>
      </c>
      <c r="R133" s="6">
        <v>29.095441008987098</v>
      </c>
      <c r="S133" s="6">
        <v>29.042651480144102</v>
      </c>
      <c r="T133" s="6">
        <v>29.058458545512099</v>
      </c>
      <c r="U133" s="7">
        <v>2.2517175096210102E-3</v>
      </c>
      <c r="V133" s="7">
        <v>4.35712164741547E-4</v>
      </c>
      <c r="W133" s="7">
        <v>9.7983484160615495E-4</v>
      </c>
      <c r="X133" s="8">
        <v>1.07273976180339</v>
      </c>
      <c r="Y133" s="8">
        <v>1.07476747574368</v>
      </c>
      <c r="Z133" s="8">
        <v>1.07294986456854</v>
      </c>
      <c r="AA133" s="8">
        <v>1.07325177002598</v>
      </c>
      <c r="AB133" s="6">
        <v>30.041578051744601</v>
      </c>
      <c r="AC133" s="6">
        <v>29.9936433103205</v>
      </c>
      <c r="AD133" s="6">
        <v>30.0016675803952</v>
      </c>
      <c r="AE133" s="7">
        <v>1.8884355846929999E-3</v>
      </c>
      <c r="AF133" s="7">
        <v>2.9154794031153102E-4</v>
      </c>
      <c r="AG133" s="7">
        <v>5.5904451640703603E-4</v>
      </c>
      <c r="AZ133" s="23"/>
      <c r="BB133" s="12">
        <f t="shared" si="26"/>
        <v>0</v>
      </c>
      <c r="BC133" s="12">
        <f t="shared" si="27"/>
        <v>1</v>
      </c>
      <c r="BD133" s="12">
        <f t="shared" si="28"/>
        <v>0</v>
      </c>
      <c r="BE133" s="12">
        <f t="shared" si="24"/>
        <v>1</v>
      </c>
      <c r="BF133" s="12">
        <f t="shared" si="29"/>
        <v>0</v>
      </c>
      <c r="BG133" s="23">
        <f t="shared" si="30"/>
        <v>0</v>
      </c>
      <c r="BH133" s="23">
        <f t="shared" si="31"/>
        <v>0</v>
      </c>
      <c r="BI133" s="23">
        <f t="shared" si="32"/>
        <v>0</v>
      </c>
      <c r="BJ133" s="18">
        <f t="shared" si="33"/>
        <v>3.9668479226001412E-3</v>
      </c>
      <c r="BL133" s="23"/>
      <c r="BN133" s="12">
        <f t="shared" si="34"/>
        <v>0</v>
      </c>
      <c r="BO133" s="12">
        <f t="shared" si="35"/>
        <v>1</v>
      </c>
      <c r="BP133" s="12">
        <f t="shared" si="36"/>
        <v>0</v>
      </c>
      <c r="BQ133" s="12">
        <f t="shared" si="25"/>
        <v>1</v>
      </c>
      <c r="BR133" s="12">
        <f t="shared" si="37"/>
        <v>0</v>
      </c>
      <c r="BS133" s="23">
        <f t="shared" si="38"/>
        <v>0</v>
      </c>
      <c r="BT133" s="23">
        <f t="shared" si="39"/>
        <v>0</v>
      </c>
      <c r="BU133" s="23">
        <f t="shared" si="40"/>
        <v>0</v>
      </c>
      <c r="BV133" s="18">
        <f t="shared" si="41"/>
        <v>3.3369207376346193E-3</v>
      </c>
      <c r="BX133" s="18">
        <f t="shared" si="42"/>
        <v>0</v>
      </c>
      <c r="BY133" s="18">
        <f t="shared" si="43"/>
        <v>7.3037686602347622E-3</v>
      </c>
    </row>
    <row r="134" spans="1:77" x14ac:dyDescent="0.3">
      <c r="A134" s="1">
        <v>46218</v>
      </c>
      <c r="B134" s="6">
        <v>27.14</v>
      </c>
      <c r="C134" s="6">
        <v>29.07</v>
      </c>
      <c r="D134" s="7">
        <v>2.5825507805133101E-3</v>
      </c>
      <c r="E134" s="7">
        <v>1.3769365342459099E-3</v>
      </c>
      <c r="F134" s="6">
        <v>0</v>
      </c>
      <c r="G134" s="6">
        <v>0.88169999999999904</v>
      </c>
      <c r="H134" s="6">
        <v>0</v>
      </c>
      <c r="I134" s="6">
        <v>0.95489999999999997</v>
      </c>
      <c r="J134" s="6">
        <v>0.88169999999999904</v>
      </c>
      <c r="K134" s="6">
        <v>0.95489999999999997</v>
      </c>
      <c r="L134" s="6">
        <v>28.021699999999999</v>
      </c>
      <c r="M134" s="6">
        <v>30.024899999999999</v>
      </c>
      <c r="N134" s="8">
        <v>1.07111274871039</v>
      </c>
      <c r="O134" s="8">
        <v>1.0748223497963401</v>
      </c>
      <c r="P134" s="8">
        <v>1.07246356784453</v>
      </c>
      <c r="Q134" s="8">
        <v>1.0731467922231901</v>
      </c>
      <c r="R134" s="6">
        <v>29.170678573472799</v>
      </c>
      <c r="S134" s="6">
        <v>29.112927016910099</v>
      </c>
      <c r="T134" s="6">
        <v>29.130166556038802</v>
      </c>
      <c r="U134" s="7">
        <v>3.4573317558883299E-3</v>
      </c>
      <c r="V134" s="7">
        <v>1.47558835211604E-3</v>
      </c>
      <c r="W134" s="7">
        <v>2.0675740649132601E-3</v>
      </c>
      <c r="X134" s="8">
        <v>1.07148745436572</v>
      </c>
      <c r="Y134" s="8">
        <v>1.07476747574368</v>
      </c>
      <c r="Z134" s="8">
        <v>1.07279605037451</v>
      </c>
      <c r="AA134" s="8">
        <v>1.0731092990765101</v>
      </c>
      <c r="AB134" s="6">
        <v>30.1168117750466</v>
      </c>
      <c r="AC134" s="6">
        <v>30.065879219980399</v>
      </c>
      <c r="AD134" s="6">
        <v>30.074339124137101</v>
      </c>
      <c r="AE134" s="7">
        <v>3.0565091644110501E-3</v>
      </c>
      <c r="AF134" s="7">
        <v>1.36391063204867E-3</v>
      </c>
      <c r="AG134" s="7">
        <v>1.64524995689216E-3</v>
      </c>
      <c r="AZ134" s="23"/>
      <c r="BB134" s="12">
        <f t="shared" si="26"/>
        <v>0</v>
      </c>
      <c r="BC134" s="12">
        <f t="shared" si="27"/>
        <v>1</v>
      </c>
      <c r="BD134" s="12">
        <f t="shared" si="28"/>
        <v>0</v>
      </c>
      <c r="BE134" s="12">
        <f t="shared" si="24"/>
        <v>1</v>
      </c>
      <c r="BF134" s="12">
        <f t="shared" si="29"/>
        <v>0</v>
      </c>
      <c r="BG134" s="23">
        <f t="shared" si="30"/>
        <v>0</v>
      </c>
      <c r="BH134" s="23">
        <f t="shared" si="31"/>
        <v>0</v>
      </c>
      <c r="BI134" s="23">
        <f t="shared" si="32"/>
        <v>0</v>
      </c>
      <c r="BJ134" s="18">
        <f t="shared" si="33"/>
        <v>3.9668479226001412E-3</v>
      </c>
      <c r="BL134" s="23"/>
      <c r="BN134" s="12">
        <f t="shared" si="34"/>
        <v>0</v>
      </c>
      <c r="BO134" s="12">
        <f t="shared" si="35"/>
        <v>0</v>
      </c>
      <c r="BP134" s="12">
        <f t="shared" si="36"/>
        <v>0</v>
      </c>
      <c r="BQ134" s="12">
        <f t="shared" si="25"/>
        <v>1</v>
      </c>
      <c r="BR134" s="12">
        <f t="shared" si="37"/>
        <v>0</v>
      </c>
      <c r="BS134" s="23">
        <f t="shared" si="38"/>
        <v>0</v>
      </c>
      <c r="BT134" s="23">
        <f t="shared" si="39"/>
        <v>0</v>
      </c>
      <c r="BU134" s="23">
        <f t="shared" si="40"/>
        <v>0</v>
      </c>
      <c r="BV134" s="18">
        <f t="shared" si="41"/>
        <v>3.3369207376346193E-3</v>
      </c>
      <c r="BX134" s="18">
        <f t="shared" si="42"/>
        <v>0</v>
      </c>
      <c r="BY134" s="18">
        <f t="shared" si="43"/>
        <v>7.3037686602347622E-3</v>
      </c>
    </row>
    <row r="135" spans="1:77" x14ac:dyDescent="0.3">
      <c r="A135" s="1">
        <v>46219</v>
      </c>
      <c r="B135" s="6">
        <v>27.12</v>
      </c>
      <c r="C135" s="6">
        <v>29.06</v>
      </c>
      <c r="D135" s="7">
        <v>-7.37191334528207E-4</v>
      </c>
      <c r="E135" s="7">
        <v>-3.4405642864772601E-4</v>
      </c>
      <c r="F135" s="6">
        <v>0</v>
      </c>
      <c r="G135" s="6">
        <v>0.88169999999999904</v>
      </c>
      <c r="H135" s="6">
        <v>0</v>
      </c>
      <c r="I135" s="6">
        <v>0.95489999999999997</v>
      </c>
      <c r="J135" s="6">
        <v>0.88169999999999904</v>
      </c>
      <c r="K135" s="6">
        <v>0.95489999999999997</v>
      </c>
      <c r="L135" s="6">
        <v>28.0017</v>
      </c>
      <c r="M135" s="6">
        <v>30.014899999999901</v>
      </c>
      <c r="N135" s="8">
        <v>1.0715339233038299</v>
      </c>
      <c r="O135" s="8">
        <v>1.0748223497963401</v>
      </c>
      <c r="P135" s="8">
        <v>1.07227920206282</v>
      </c>
      <c r="Q135" s="8">
        <v>1.0730245557420801</v>
      </c>
      <c r="R135" s="6">
        <v>29.149182126476902</v>
      </c>
      <c r="S135" s="6">
        <v>29.085211959943798</v>
      </c>
      <c r="T135" s="6">
        <v>29.103741005092999</v>
      </c>
      <c r="U135" s="7">
        <v>3.06419685000787E-3</v>
      </c>
      <c r="V135" s="7">
        <v>8.6720679739695503E-4</v>
      </c>
      <c r="W135" s="7">
        <v>1.5040646486331199E-3</v>
      </c>
      <c r="X135" s="8">
        <v>1.0718956349078801</v>
      </c>
      <c r="Y135" s="8">
        <v>1.07476747574368</v>
      </c>
      <c r="Z135" s="8">
        <v>1.0726174897871199</v>
      </c>
      <c r="AA135" s="8">
        <v>1.07302572922788</v>
      </c>
      <c r="AB135" s="6">
        <v>30.095316425531799</v>
      </c>
      <c r="AC135" s="6">
        <v>30.040113163772102</v>
      </c>
      <c r="AD135" s="6">
        <v>30.048884659950701</v>
      </c>
      <c r="AE135" s="7">
        <v>2.6756341363919798E-3</v>
      </c>
      <c r="AF135" s="7">
        <v>8.3966896101637099E-4</v>
      </c>
      <c r="AG135" s="7">
        <v>1.1316191202322E-3</v>
      </c>
      <c r="AZ135" s="23"/>
      <c r="BB135" s="12">
        <f t="shared" si="26"/>
        <v>0</v>
      </c>
      <c r="BC135" s="12">
        <f t="shared" si="27"/>
        <v>1</v>
      </c>
      <c r="BD135" s="12">
        <f t="shared" si="28"/>
        <v>0</v>
      </c>
      <c r="BE135" s="12">
        <f t="shared" si="24"/>
        <v>1</v>
      </c>
      <c r="BF135" s="12">
        <f t="shared" si="29"/>
        <v>0</v>
      </c>
      <c r="BG135" s="23">
        <f t="shared" si="30"/>
        <v>0</v>
      </c>
      <c r="BH135" s="23">
        <f t="shared" si="31"/>
        <v>0</v>
      </c>
      <c r="BI135" s="23">
        <f t="shared" si="32"/>
        <v>0</v>
      </c>
      <c r="BJ135" s="18">
        <f t="shared" si="33"/>
        <v>3.9668479226001412E-3</v>
      </c>
      <c r="BL135" s="23"/>
      <c r="BN135" s="12">
        <f t="shared" si="34"/>
        <v>0</v>
      </c>
      <c r="BO135" s="12">
        <f t="shared" si="35"/>
        <v>0</v>
      </c>
      <c r="BP135" s="12">
        <f t="shared" si="36"/>
        <v>0</v>
      </c>
      <c r="BQ135" s="12">
        <f t="shared" si="25"/>
        <v>1</v>
      </c>
      <c r="BR135" s="12">
        <f t="shared" si="37"/>
        <v>0</v>
      </c>
      <c r="BS135" s="23">
        <f t="shared" si="38"/>
        <v>0</v>
      </c>
      <c r="BT135" s="23">
        <f t="shared" si="39"/>
        <v>0</v>
      </c>
      <c r="BU135" s="23">
        <f t="shared" si="40"/>
        <v>0</v>
      </c>
      <c r="BV135" s="18">
        <f t="shared" si="41"/>
        <v>3.3369207376346193E-3</v>
      </c>
      <c r="BX135" s="18">
        <f t="shared" si="42"/>
        <v>0</v>
      </c>
      <c r="BY135" s="18">
        <f t="shared" si="43"/>
        <v>7.3037686602347622E-3</v>
      </c>
    </row>
    <row r="136" spans="1:77" x14ac:dyDescent="0.3">
      <c r="A136" s="1">
        <v>46220</v>
      </c>
      <c r="B136" s="6">
        <v>27.12</v>
      </c>
      <c r="C136" s="6">
        <v>29.05</v>
      </c>
      <c r="D136" s="7">
        <v>0</v>
      </c>
      <c r="E136" s="7">
        <v>-3.4417484421652702E-4</v>
      </c>
      <c r="F136" s="6">
        <v>0</v>
      </c>
      <c r="G136" s="6">
        <v>0.88169999999999904</v>
      </c>
      <c r="H136" s="6">
        <v>0</v>
      </c>
      <c r="I136" s="6">
        <v>0.95489999999999997</v>
      </c>
      <c r="J136" s="6">
        <v>0.88169999999999904</v>
      </c>
      <c r="K136" s="6">
        <v>0.95489999999999997</v>
      </c>
      <c r="L136" s="6">
        <v>28.0017</v>
      </c>
      <c r="M136" s="6">
        <v>30.004899999999999</v>
      </c>
      <c r="N136" s="8">
        <v>1.0711651917404099</v>
      </c>
      <c r="O136" s="8">
        <v>1.0748223497963401</v>
      </c>
      <c r="P136" s="8">
        <v>1.0720714665441899</v>
      </c>
      <c r="Q136" s="8">
        <v>1.0729112286132301</v>
      </c>
      <c r="R136" s="6">
        <v>29.149182126476902</v>
      </c>
      <c r="S136" s="6">
        <v>29.080211959943799</v>
      </c>
      <c r="T136" s="6">
        <v>29.100425951725299</v>
      </c>
      <c r="U136" s="7">
        <v>3.4083716942243198E-3</v>
      </c>
      <c r="V136" s="7">
        <v>1.0394581972252199E-3</v>
      </c>
      <c r="W136" s="7">
        <v>1.7343282887349999E-3</v>
      </c>
      <c r="X136" s="8">
        <v>1.0715385137330899</v>
      </c>
      <c r="Y136" s="8">
        <v>1.07476747574368</v>
      </c>
      <c r="Z136" s="8">
        <v>1.0724163501973201</v>
      </c>
      <c r="AA136" s="8">
        <v>1.0729509735570899</v>
      </c>
      <c r="AB136" s="6">
        <v>30.095316425531799</v>
      </c>
      <c r="AC136" s="6">
        <v>30.035113163772099</v>
      </c>
      <c r="AD136" s="6">
        <v>30.046544562120499</v>
      </c>
      <c r="AE136" s="7">
        <v>3.0088575090966799E-3</v>
      </c>
      <c r="AF136" s="7">
        <v>1.00643436702853E-3</v>
      </c>
      <c r="AG136" s="7">
        <v>1.3869630980579901E-3</v>
      </c>
      <c r="AZ136" s="23"/>
      <c r="BB136" s="12">
        <f t="shared" si="26"/>
        <v>0</v>
      </c>
      <c r="BC136" s="12">
        <f t="shared" si="27"/>
        <v>1</v>
      </c>
      <c r="BD136" s="12">
        <f t="shared" si="28"/>
        <v>0</v>
      </c>
      <c r="BE136" s="12">
        <f t="shared" si="24"/>
        <v>1</v>
      </c>
      <c r="BF136" s="12">
        <f t="shared" si="29"/>
        <v>0</v>
      </c>
      <c r="BG136" s="23">
        <f t="shared" si="30"/>
        <v>0</v>
      </c>
      <c r="BH136" s="23">
        <f t="shared" si="31"/>
        <v>0</v>
      </c>
      <c r="BI136" s="23">
        <f t="shared" si="32"/>
        <v>0</v>
      </c>
      <c r="BJ136" s="18">
        <f t="shared" si="33"/>
        <v>3.9668479226001412E-3</v>
      </c>
      <c r="BL136" s="23"/>
      <c r="BN136" s="12">
        <f t="shared" si="34"/>
        <v>0</v>
      </c>
      <c r="BO136" s="12">
        <f t="shared" si="35"/>
        <v>0</v>
      </c>
      <c r="BP136" s="12">
        <f t="shared" si="36"/>
        <v>0</v>
      </c>
      <c r="BQ136" s="12">
        <f t="shared" si="25"/>
        <v>1</v>
      </c>
      <c r="BR136" s="12">
        <f t="shared" si="37"/>
        <v>0</v>
      </c>
      <c r="BS136" s="23">
        <f t="shared" si="38"/>
        <v>0</v>
      </c>
      <c r="BT136" s="23">
        <f t="shared" si="39"/>
        <v>0</v>
      </c>
      <c r="BU136" s="23">
        <f t="shared" si="40"/>
        <v>0</v>
      </c>
      <c r="BV136" s="18">
        <f t="shared" si="41"/>
        <v>3.3369207376346193E-3</v>
      </c>
      <c r="BX136" s="18">
        <f t="shared" si="42"/>
        <v>0</v>
      </c>
      <c r="BY136" s="18">
        <f t="shared" si="43"/>
        <v>7.3037686602347622E-3</v>
      </c>
    </row>
    <row r="137" spans="1:77" x14ac:dyDescent="0.3">
      <c r="A137" s="1">
        <v>46223</v>
      </c>
      <c r="B137" s="6">
        <v>27.07</v>
      </c>
      <c r="C137" s="6">
        <v>29.03</v>
      </c>
      <c r="D137" s="7">
        <v>-1.84535944598501E-3</v>
      </c>
      <c r="E137" s="7">
        <v>-6.8870526138169999E-4</v>
      </c>
      <c r="F137" s="6">
        <v>0</v>
      </c>
      <c r="G137" s="6">
        <v>0.88169999999999904</v>
      </c>
      <c r="H137" s="6">
        <v>0</v>
      </c>
      <c r="I137" s="6">
        <v>0.95489999999999997</v>
      </c>
      <c r="J137" s="6">
        <v>0.88169999999999904</v>
      </c>
      <c r="K137" s="6">
        <v>0.95489999999999997</v>
      </c>
      <c r="L137" s="6">
        <v>27.951699999999999</v>
      </c>
      <c r="M137" s="6">
        <v>29.9849</v>
      </c>
      <c r="N137" s="8">
        <v>1.07240487624676</v>
      </c>
      <c r="O137" s="8">
        <v>1.0748223497963401</v>
      </c>
      <c r="P137" s="8">
        <v>1.0720719688693401</v>
      </c>
      <c r="Q137" s="8">
        <v>1.0728720388102699</v>
      </c>
      <c r="R137" s="6">
        <v>29.095441008987098</v>
      </c>
      <c r="S137" s="6">
        <v>29.020974599351199</v>
      </c>
      <c r="T137" s="6">
        <v>29.0437069585603</v>
      </c>
      <c r="U137" s="7">
        <v>2.2517175096210102E-3</v>
      </c>
      <c r="V137" s="7">
        <v>-3.1094743141732998E-4</v>
      </c>
      <c r="W137" s="7">
        <v>4.7205386164520798E-4</v>
      </c>
      <c r="X137" s="8">
        <v>1.07273976180339</v>
      </c>
      <c r="Y137" s="8">
        <v>1.07476747574368</v>
      </c>
      <c r="Z137" s="8">
        <v>1.0724170036524401</v>
      </c>
      <c r="AA137" s="8">
        <v>1.0729480470016799</v>
      </c>
      <c r="AB137" s="6">
        <v>30.041578051744601</v>
      </c>
      <c r="AC137" s="6">
        <v>29.9758600958104</v>
      </c>
      <c r="AD137" s="6">
        <v>29.990803727575901</v>
      </c>
      <c r="AE137" s="7">
        <v>1.8884355846929999E-3</v>
      </c>
      <c r="AF137" s="7">
        <v>-3.0152734033366398E-4</v>
      </c>
      <c r="AG137" s="7">
        <v>1.9687064021332699E-4</v>
      </c>
      <c r="AZ137" s="23"/>
      <c r="BB137" s="12">
        <f t="shared" si="26"/>
        <v>0</v>
      </c>
      <c r="BC137" s="12">
        <f t="shared" si="27"/>
        <v>1</v>
      </c>
      <c r="BD137" s="12">
        <f t="shared" si="28"/>
        <v>0</v>
      </c>
      <c r="BE137" s="12">
        <f t="shared" si="24"/>
        <v>1</v>
      </c>
      <c r="BF137" s="12">
        <f t="shared" si="29"/>
        <v>0</v>
      </c>
      <c r="BG137" s="23">
        <f t="shared" si="30"/>
        <v>0</v>
      </c>
      <c r="BH137" s="23">
        <f t="shared" si="31"/>
        <v>0</v>
      </c>
      <c r="BI137" s="23">
        <f t="shared" si="32"/>
        <v>0</v>
      </c>
      <c r="BJ137" s="18">
        <f t="shared" si="33"/>
        <v>3.9668479226001412E-3</v>
      </c>
      <c r="BL137" s="23"/>
      <c r="BN137" s="12">
        <f t="shared" si="34"/>
        <v>0</v>
      </c>
      <c r="BO137" s="12">
        <f t="shared" si="35"/>
        <v>1</v>
      </c>
      <c r="BP137" s="12">
        <f t="shared" si="36"/>
        <v>0</v>
      </c>
      <c r="BQ137" s="12">
        <f t="shared" si="25"/>
        <v>1</v>
      </c>
      <c r="BR137" s="12">
        <f t="shared" si="37"/>
        <v>0</v>
      </c>
      <c r="BS137" s="23">
        <f t="shared" si="38"/>
        <v>0</v>
      </c>
      <c r="BT137" s="23">
        <f t="shared" si="39"/>
        <v>0</v>
      </c>
      <c r="BU137" s="23">
        <f t="shared" si="40"/>
        <v>0</v>
      </c>
      <c r="BV137" s="18">
        <f t="shared" si="41"/>
        <v>3.3369207376346193E-3</v>
      </c>
      <c r="BX137" s="18">
        <f t="shared" si="42"/>
        <v>0</v>
      </c>
      <c r="BY137" s="18">
        <f t="shared" si="43"/>
        <v>7.3037686602347622E-3</v>
      </c>
    </row>
    <row r="138" spans="1:77" x14ac:dyDescent="0.3">
      <c r="A138" s="1">
        <v>46224</v>
      </c>
      <c r="B138" s="6">
        <v>27.04</v>
      </c>
      <c r="C138" s="6">
        <v>28.99</v>
      </c>
      <c r="D138" s="7">
        <v>-1.1088524514465401E-3</v>
      </c>
      <c r="E138" s="7">
        <v>-1.3788351029744999E-3</v>
      </c>
      <c r="F138" s="6">
        <v>0</v>
      </c>
      <c r="G138" s="6">
        <v>0.88169999999999904</v>
      </c>
      <c r="H138" s="6">
        <v>0</v>
      </c>
      <c r="I138" s="6">
        <v>0.95489999999999997</v>
      </c>
      <c r="J138" s="6">
        <v>0.88169999999999904</v>
      </c>
      <c r="K138" s="6">
        <v>0.95489999999999997</v>
      </c>
      <c r="L138" s="6">
        <v>27.921699999999898</v>
      </c>
      <c r="M138" s="6">
        <v>29.944899999999901</v>
      </c>
      <c r="N138" s="8">
        <v>1.0721153846153799</v>
      </c>
      <c r="O138" s="8">
        <v>1.0748223497963401</v>
      </c>
      <c r="P138" s="8">
        <v>1.0719538572388001</v>
      </c>
      <c r="Q138" s="8">
        <v>1.07277751349023</v>
      </c>
      <c r="R138" s="6">
        <v>29.063196338493199</v>
      </c>
      <c r="S138" s="6">
        <v>28.988826038227099</v>
      </c>
      <c r="T138" s="6">
        <v>29.010459929429899</v>
      </c>
      <c r="U138" s="7">
        <v>2.5217001611489501E-3</v>
      </c>
      <c r="V138" s="7">
        <v>-4.0496224338140898E-5</v>
      </c>
      <c r="W138" s="7">
        <v>7.0550924263224697E-4</v>
      </c>
      <c r="X138" s="8">
        <v>1.0724597714322499</v>
      </c>
      <c r="Y138" s="8">
        <v>1.07476747574368</v>
      </c>
      <c r="Z138" s="8">
        <v>1.07230274220864</v>
      </c>
      <c r="AA138" s="8">
        <v>1.07289136560204</v>
      </c>
      <c r="AB138" s="6">
        <v>30.0093350274723</v>
      </c>
      <c r="AC138" s="6">
        <v>29.943705850882399</v>
      </c>
      <c r="AD138" s="6">
        <v>29.9585334839669</v>
      </c>
      <c r="AE138" s="7">
        <v>2.1494745867936499E-3</v>
      </c>
      <c r="AF138" s="7">
        <v>-3.9879008728974102E-5</v>
      </c>
      <c r="AG138" s="7">
        <v>4.5518206250894002E-4</v>
      </c>
      <c r="AZ138" s="23"/>
      <c r="BB138" s="12">
        <f t="shared" si="26"/>
        <v>0</v>
      </c>
      <c r="BC138" s="12">
        <f t="shared" si="27"/>
        <v>1</v>
      </c>
      <c r="BD138" s="12">
        <f t="shared" si="28"/>
        <v>0</v>
      </c>
      <c r="BE138" s="12">
        <f t="shared" si="24"/>
        <v>1</v>
      </c>
      <c r="BF138" s="12">
        <f t="shared" si="29"/>
        <v>0</v>
      </c>
      <c r="BG138" s="23">
        <f t="shared" si="30"/>
        <v>0</v>
      </c>
      <c r="BH138" s="23">
        <f t="shared" si="31"/>
        <v>0</v>
      </c>
      <c r="BI138" s="23">
        <f t="shared" si="32"/>
        <v>0</v>
      </c>
      <c r="BJ138" s="18">
        <f t="shared" si="33"/>
        <v>3.9668479226001412E-3</v>
      </c>
      <c r="BL138" s="23"/>
      <c r="BN138" s="12">
        <f t="shared" si="34"/>
        <v>0</v>
      </c>
      <c r="BO138" s="12">
        <f t="shared" si="35"/>
        <v>1</v>
      </c>
      <c r="BP138" s="12">
        <f t="shared" si="36"/>
        <v>0</v>
      </c>
      <c r="BQ138" s="12">
        <f t="shared" si="25"/>
        <v>1</v>
      </c>
      <c r="BR138" s="12">
        <f t="shared" si="37"/>
        <v>0</v>
      </c>
      <c r="BS138" s="23">
        <f t="shared" si="38"/>
        <v>0</v>
      </c>
      <c r="BT138" s="23">
        <f t="shared" si="39"/>
        <v>0</v>
      </c>
      <c r="BU138" s="23">
        <f t="shared" si="40"/>
        <v>0</v>
      </c>
      <c r="BV138" s="18">
        <f t="shared" si="41"/>
        <v>3.3369207376346193E-3</v>
      </c>
      <c r="BX138" s="18">
        <f t="shared" si="42"/>
        <v>0</v>
      </c>
      <c r="BY138" s="18">
        <f t="shared" si="43"/>
        <v>7.3037686602347622E-3</v>
      </c>
    </row>
    <row r="139" spans="1:77" x14ac:dyDescent="0.3">
      <c r="A139" s="1">
        <v>46225</v>
      </c>
      <c r="B139" s="6">
        <v>26.98</v>
      </c>
      <c r="C139" s="6">
        <v>28.94</v>
      </c>
      <c r="D139" s="7">
        <v>-2.2214003951534999E-3</v>
      </c>
      <c r="E139" s="7">
        <v>-1.7262217302262E-3</v>
      </c>
      <c r="F139" s="6">
        <v>0</v>
      </c>
      <c r="G139" s="6">
        <v>0.88169999999999904</v>
      </c>
      <c r="H139" s="6">
        <v>0</v>
      </c>
      <c r="I139" s="6">
        <v>0.95489999999999997</v>
      </c>
      <c r="J139" s="6">
        <v>0.88169999999999904</v>
      </c>
      <c r="K139" s="6">
        <v>0.95489999999999997</v>
      </c>
      <c r="L139" s="6">
        <v>27.861699999999999</v>
      </c>
      <c r="M139" s="6">
        <v>29.8949</v>
      </c>
      <c r="N139" s="8">
        <v>1.0726464047442501</v>
      </c>
      <c r="O139" s="8">
        <v>1.0748223497963401</v>
      </c>
      <c r="P139" s="8">
        <v>1.0720229257575</v>
      </c>
      <c r="Q139" s="8">
        <v>1.07274635802789</v>
      </c>
      <c r="R139" s="6">
        <v>28.998706997505401</v>
      </c>
      <c r="S139" s="6">
        <v>28.921315068302899</v>
      </c>
      <c r="T139" s="6">
        <v>28.943537313966502</v>
      </c>
      <c r="U139" s="7">
        <v>2.0265214962217298E-3</v>
      </c>
      <c r="V139" s="7">
        <v>-6.4585232204083501E-4</v>
      </c>
      <c r="W139" s="7">
        <v>1.22221762357421E-4</v>
      </c>
      <c r="X139" s="8">
        <v>1.0729747287495</v>
      </c>
      <c r="Y139" s="8">
        <v>1.07476747574368</v>
      </c>
      <c r="Z139" s="8">
        <v>1.0723697751889401</v>
      </c>
      <c r="AA139" s="8">
        <v>1.0728962735913801</v>
      </c>
      <c r="AB139" s="6">
        <v>29.944848978927698</v>
      </c>
      <c r="AC139" s="6">
        <v>29.8761773125944</v>
      </c>
      <c r="AD139" s="6">
        <v>29.892577360994299</v>
      </c>
      <c r="AE139" s="7">
        <v>1.6694251356522099E-3</v>
      </c>
      <c r="AF139" s="7">
        <v>-6.2647985814171696E-4</v>
      </c>
      <c r="AG139" s="7">
        <v>-7.7696504663127798E-5</v>
      </c>
      <c r="AZ139" s="23"/>
      <c r="BB139" s="12">
        <f t="shared" si="26"/>
        <v>0</v>
      </c>
      <c r="BC139" s="12">
        <f t="shared" si="27"/>
        <v>0</v>
      </c>
      <c r="BD139" s="12">
        <f t="shared" si="28"/>
        <v>0</v>
      </c>
      <c r="BE139" s="12">
        <f t="shared" si="24"/>
        <v>1</v>
      </c>
      <c r="BF139" s="12">
        <f t="shared" si="29"/>
        <v>0</v>
      </c>
      <c r="BG139" s="23">
        <f t="shared" si="30"/>
        <v>0</v>
      </c>
      <c r="BH139" s="23">
        <f t="shared" si="31"/>
        <v>0</v>
      </c>
      <c r="BI139" s="23">
        <f t="shared" si="32"/>
        <v>0</v>
      </c>
      <c r="BJ139" s="18">
        <f t="shared" si="33"/>
        <v>3.9668479226001412E-3</v>
      </c>
      <c r="BL139" s="23"/>
      <c r="BN139" s="12">
        <f t="shared" si="34"/>
        <v>0</v>
      </c>
      <c r="BO139" s="12">
        <f t="shared" si="35"/>
        <v>1</v>
      </c>
      <c r="BP139" s="12">
        <f t="shared" si="36"/>
        <v>0</v>
      </c>
      <c r="BQ139" s="12">
        <f t="shared" si="25"/>
        <v>1</v>
      </c>
      <c r="BR139" s="12">
        <f t="shared" si="37"/>
        <v>0</v>
      </c>
      <c r="BS139" s="23">
        <f t="shared" si="38"/>
        <v>0</v>
      </c>
      <c r="BT139" s="23">
        <f t="shared" si="39"/>
        <v>0</v>
      </c>
      <c r="BU139" s="23">
        <f t="shared" si="40"/>
        <v>0</v>
      </c>
      <c r="BV139" s="18">
        <f t="shared" si="41"/>
        <v>3.3369207376346193E-3</v>
      </c>
      <c r="BX139" s="18">
        <f t="shared" si="42"/>
        <v>0</v>
      </c>
      <c r="BY139" s="18">
        <f t="shared" si="43"/>
        <v>7.3037686602347622E-3</v>
      </c>
    </row>
    <row r="140" spans="1:77" x14ac:dyDescent="0.3">
      <c r="A140" s="1">
        <v>46226</v>
      </c>
      <c r="B140" s="6">
        <v>26.86</v>
      </c>
      <c r="C140" s="6">
        <v>28.82</v>
      </c>
      <c r="D140" s="7">
        <v>-4.4576596845183501E-3</v>
      </c>
      <c r="E140" s="7">
        <v>-4.15513063196185E-3</v>
      </c>
      <c r="F140" s="6">
        <v>0</v>
      </c>
      <c r="G140" s="6">
        <v>0.88169999999999904</v>
      </c>
      <c r="H140" s="6">
        <v>0</v>
      </c>
      <c r="I140" s="6">
        <v>0.95489999999999997</v>
      </c>
      <c r="J140" s="6">
        <v>0.88169999999999904</v>
      </c>
      <c r="K140" s="6">
        <v>0.95489999999999997</v>
      </c>
      <c r="L140" s="6">
        <v>27.741699999999899</v>
      </c>
      <c r="M140" s="6">
        <v>29.774899999999999</v>
      </c>
      <c r="N140" s="8">
        <v>1.07297096053611</v>
      </c>
      <c r="O140" s="8">
        <v>1.0748223497963401</v>
      </c>
      <c r="P140" s="8">
        <v>1.07205601001171</v>
      </c>
      <c r="Q140" s="8">
        <v>1.07269733431076</v>
      </c>
      <c r="R140" s="6">
        <v>28.869728315529802</v>
      </c>
      <c r="S140" s="6">
        <v>28.794535785846598</v>
      </c>
      <c r="T140" s="6">
        <v>28.813967176629099</v>
      </c>
      <c r="U140" s="7">
        <v>1.72399244366527E-3</v>
      </c>
      <c r="V140" s="7">
        <v>-8.8395108852544599E-4</v>
      </c>
      <c r="W140" s="7">
        <v>-2.0934957936773001E-4</v>
      </c>
      <c r="X140" s="8">
        <v>1.07329038955795</v>
      </c>
      <c r="Y140" s="8">
        <v>1.07476747574368</v>
      </c>
      <c r="Z140" s="8">
        <v>1.0724021143015099</v>
      </c>
      <c r="AA140" s="8">
        <v>1.0728837589081199</v>
      </c>
      <c r="AB140" s="6">
        <v>29.815876881838399</v>
      </c>
      <c r="AC140" s="6">
        <v>29.7493605923591</v>
      </c>
      <c r="AD140" s="6">
        <v>29.76396655309</v>
      </c>
      <c r="AE140" s="7">
        <v>1.3752761900823001E-3</v>
      </c>
      <c r="AF140" s="7">
        <v>-8.5811764661644196E-4</v>
      </c>
      <c r="AG140" s="7">
        <v>-3.67270916153447E-4</v>
      </c>
      <c r="AZ140" s="23"/>
      <c r="BB140" s="12">
        <f t="shared" si="26"/>
        <v>0</v>
      </c>
      <c r="BC140" s="12">
        <f t="shared" si="27"/>
        <v>0</v>
      </c>
      <c r="BD140" s="12">
        <f t="shared" si="28"/>
        <v>0</v>
      </c>
      <c r="BE140" s="12">
        <f t="shared" si="24"/>
        <v>1</v>
      </c>
      <c r="BF140" s="12">
        <f t="shared" si="29"/>
        <v>0</v>
      </c>
      <c r="BG140" s="23">
        <f t="shared" si="30"/>
        <v>0</v>
      </c>
      <c r="BH140" s="23">
        <f t="shared" si="31"/>
        <v>0</v>
      </c>
      <c r="BI140" s="23">
        <f t="shared" si="32"/>
        <v>0</v>
      </c>
      <c r="BJ140" s="18">
        <f t="shared" si="33"/>
        <v>3.9668479226001412E-3</v>
      </c>
      <c r="BL140" s="23"/>
      <c r="BN140" s="12">
        <f t="shared" si="34"/>
        <v>0</v>
      </c>
      <c r="BO140" s="12">
        <f t="shared" si="35"/>
        <v>1</v>
      </c>
      <c r="BP140" s="12">
        <f t="shared" si="36"/>
        <v>0</v>
      </c>
      <c r="BQ140" s="12">
        <f t="shared" si="25"/>
        <v>1</v>
      </c>
      <c r="BR140" s="12">
        <f t="shared" si="37"/>
        <v>0</v>
      </c>
      <c r="BS140" s="23">
        <f t="shared" si="38"/>
        <v>0</v>
      </c>
      <c r="BT140" s="23">
        <f t="shared" si="39"/>
        <v>0</v>
      </c>
      <c r="BU140" s="23">
        <f t="shared" si="40"/>
        <v>0</v>
      </c>
      <c r="BV140" s="18">
        <f t="shared" si="41"/>
        <v>3.3369207376346193E-3</v>
      </c>
      <c r="BX140" s="18">
        <f t="shared" si="42"/>
        <v>0</v>
      </c>
      <c r="BY140" s="18">
        <f t="shared" si="43"/>
        <v>7.3037686602347622E-3</v>
      </c>
    </row>
    <row r="141" spans="1:77" x14ac:dyDescent="0.3">
      <c r="A141" s="1">
        <v>46227</v>
      </c>
      <c r="B141" s="6">
        <v>26.87</v>
      </c>
      <c r="C141" s="6">
        <v>28.82</v>
      </c>
      <c r="D141" s="7">
        <v>3.7223153230846098E-4</v>
      </c>
      <c r="E141" s="7">
        <v>0</v>
      </c>
      <c r="F141" s="6">
        <v>0</v>
      </c>
      <c r="G141" s="6">
        <v>0.88169999999999904</v>
      </c>
      <c r="H141" s="6">
        <v>0</v>
      </c>
      <c r="I141" s="6">
        <v>0.95489999999999997</v>
      </c>
      <c r="J141" s="6">
        <v>0.88169999999999904</v>
      </c>
      <c r="K141" s="6">
        <v>0.95489999999999997</v>
      </c>
      <c r="L141" s="6">
        <v>27.7517</v>
      </c>
      <c r="M141" s="6">
        <v>29.774899999999999</v>
      </c>
      <c r="N141" s="8">
        <v>1.0725716412355699</v>
      </c>
      <c r="O141" s="8">
        <v>1.0748223497963401</v>
      </c>
      <c r="P141" s="8">
        <v>1.0721518599972</v>
      </c>
      <c r="Q141" s="8">
        <v>1.0726154093923801</v>
      </c>
      <c r="R141" s="6">
        <v>28.8804765390278</v>
      </c>
      <c r="S141" s="6">
        <v>28.806144989014602</v>
      </c>
      <c r="T141" s="6">
        <v>28.823377372930299</v>
      </c>
      <c r="U141" s="7">
        <v>2.0962239759738399E-3</v>
      </c>
      <c r="V141" s="7">
        <v>-4.8085851500056901E-4</v>
      </c>
      <c r="W141" s="7">
        <v>1.17181646465763E-4</v>
      </c>
      <c r="X141" s="8">
        <v>1.0729036419390501</v>
      </c>
      <c r="Y141" s="8">
        <v>1.07476747574368</v>
      </c>
      <c r="Z141" s="8">
        <v>1.0724952041073701</v>
      </c>
      <c r="AA141" s="8">
        <v>1.07283928484605</v>
      </c>
      <c r="AB141" s="6">
        <v>29.826624556595799</v>
      </c>
      <c r="AC141" s="6">
        <v>29.760981755461401</v>
      </c>
      <c r="AD141" s="6">
        <v>29.774348212090501</v>
      </c>
      <c r="AE141" s="7">
        <v>1.73567941310493E-3</v>
      </c>
      <c r="AF141" s="7">
        <v>-4.6755819790570899E-4</v>
      </c>
      <c r="AG141" s="7">
        <v>-1.85321536715291E-5</v>
      </c>
      <c r="AZ141" s="23"/>
      <c r="BB141" s="12">
        <f t="shared" si="26"/>
        <v>0</v>
      </c>
      <c r="BC141" s="12">
        <f t="shared" si="27"/>
        <v>0</v>
      </c>
      <c r="BD141" s="12">
        <f t="shared" si="28"/>
        <v>0</v>
      </c>
      <c r="BE141" s="12">
        <f t="shared" si="24"/>
        <v>1</v>
      </c>
      <c r="BF141" s="12">
        <f t="shared" si="29"/>
        <v>0</v>
      </c>
      <c r="BG141" s="23">
        <f t="shared" si="30"/>
        <v>0</v>
      </c>
      <c r="BH141" s="23">
        <f t="shared" si="31"/>
        <v>0</v>
      </c>
      <c r="BI141" s="23">
        <f t="shared" si="32"/>
        <v>0</v>
      </c>
      <c r="BJ141" s="18">
        <f t="shared" si="33"/>
        <v>3.9668479226001412E-3</v>
      </c>
      <c r="BL141" s="23"/>
      <c r="BN141" s="12">
        <f t="shared" si="34"/>
        <v>0</v>
      </c>
      <c r="BO141" s="12">
        <f t="shared" si="35"/>
        <v>1</v>
      </c>
      <c r="BP141" s="12">
        <f t="shared" si="36"/>
        <v>0</v>
      </c>
      <c r="BQ141" s="12">
        <f t="shared" si="25"/>
        <v>1</v>
      </c>
      <c r="BR141" s="12">
        <f t="shared" si="37"/>
        <v>0</v>
      </c>
      <c r="BS141" s="23">
        <f t="shared" si="38"/>
        <v>0</v>
      </c>
      <c r="BT141" s="23">
        <f t="shared" si="39"/>
        <v>0</v>
      </c>
      <c r="BU141" s="23">
        <f t="shared" si="40"/>
        <v>0</v>
      </c>
      <c r="BV141" s="18">
        <f t="shared" si="41"/>
        <v>3.3369207376346193E-3</v>
      </c>
      <c r="BX141" s="18">
        <f t="shared" si="42"/>
        <v>0</v>
      </c>
      <c r="BY141" s="18">
        <f t="shared" si="43"/>
        <v>7.3037686602347622E-3</v>
      </c>
    </row>
    <row r="142" spans="1:77" x14ac:dyDescent="0.3">
      <c r="A142" s="1">
        <v>46230</v>
      </c>
      <c r="B142" s="6">
        <v>26.89</v>
      </c>
      <c r="C142" s="6">
        <v>28.89</v>
      </c>
      <c r="D142" s="7">
        <v>7.4404765337333001E-4</v>
      </c>
      <c r="E142" s="7">
        <v>2.4259239067677702E-3</v>
      </c>
      <c r="F142" s="6">
        <v>0</v>
      </c>
      <c r="G142" s="6">
        <v>0.88169999999999904</v>
      </c>
      <c r="H142" s="6">
        <v>0</v>
      </c>
      <c r="I142" s="6">
        <v>0.95489999999999997</v>
      </c>
      <c r="J142" s="6">
        <v>0.88169999999999904</v>
      </c>
      <c r="K142" s="6">
        <v>0.95489999999999997</v>
      </c>
      <c r="L142" s="6">
        <v>27.771699999999999</v>
      </c>
      <c r="M142" s="6">
        <v>29.844899999999999</v>
      </c>
      <c r="N142" s="8">
        <v>1.0743770918557001</v>
      </c>
      <c r="O142" s="8">
        <v>1.0748223497963401</v>
      </c>
      <c r="P142" s="8">
        <v>1.07233030992352</v>
      </c>
      <c r="Q142" s="8">
        <v>1.0726012739152899</v>
      </c>
      <c r="R142" s="6">
        <v>28.901972986023701</v>
      </c>
      <c r="S142" s="6">
        <v>28.830163515324902</v>
      </c>
      <c r="T142" s="6">
        <v>28.8426283585612</v>
      </c>
      <c r="U142" s="7">
        <v>4.14347722579229E-4</v>
      </c>
      <c r="V142" s="7">
        <v>-2.07333113649538E-3</v>
      </c>
      <c r="W142" s="7">
        <v>-1.6410703415742601E-3</v>
      </c>
      <c r="X142" s="8">
        <v>1.07465153375558</v>
      </c>
      <c r="Y142" s="8">
        <v>1.07476747574368</v>
      </c>
      <c r="Z142" s="8">
        <v>1.07266811920478</v>
      </c>
      <c r="AA142" s="8">
        <v>1.0728603408360999</v>
      </c>
      <c r="AB142" s="6">
        <v>29.8481199061107</v>
      </c>
      <c r="AC142" s="6">
        <v>29.785015059908901</v>
      </c>
      <c r="AD142" s="6">
        <v>29.794570766959101</v>
      </c>
      <c r="AE142" s="7">
        <v>1.0788216508257599E-4</v>
      </c>
      <c r="AF142" s="7">
        <v>-2.0085542688997099E-3</v>
      </c>
      <c r="AG142" s="7">
        <v>-1.6877830852966901E-3</v>
      </c>
      <c r="AZ142" s="23"/>
      <c r="BB142" s="12">
        <f t="shared" si="26"/>
        <v>1</v>
      </c>
      <c r="BC142" s="12">
        <f t="shared" si="27"/>
        <v>0</v>
      </c>
      <c r="BD142" s="12">
        <f t="shared" si="28"/>
        <v>0</v>
      </c>
      <c r="BE142" s="12">
        <f t="shared" si="24"/>
        <v>1</v>
      </c>
      <c r="BF142" s="12">
        <f t="shared" si="29"/>
        <v>0</v>
      </c>
      <c r="BG142" s="23">
        <f t="shared" si="30"/>
        <v>0</v>
      </c>
      <c r="BH142" s="23">
        <f t="shared" si="31"/>
        <v>0</v>
      </c>
      <c r="BI142" s="23">
        <f t="shared" si="32"/>
        <v>0</v>
      </c>
      <c r="BJ142" s="18">
        <f t="shared" si="33"/>
        <v>3.9668479226001412E-3</v>
      </c>
      <c r="BL142" s="23"/>
      <c r="BN142" s="12">
        <f t="shared" si="34"/>
        <v>0</v>
      </c>
      <c r="BO142" s="12">
        <f t="shared" si="35"/>
        <v>1</v>
      </c>
      <c r="BP142" s="12">
        <f t="shared" si="36"/>
        <v>0</v>
      </c>
      <c r="BQ142" s="12">
        <f t="shared" si="25"/>
        <v>1</v>
      </c>
      <c r="BR142" s="12">
        <f t="shared" si="37"/>
        <v>0</v>
      </c>
      <c r="BS142" s="23">
        <f t="shared" si="38"/>
        <v>0</v>
      </c>
      <c r="BT142" s="23">
        <f t="shared" si="39"/>
        <v>0</v>
      </c>
      <c r="BU142" s="23">
        <f t="shared" si="40"/>
        <v>0</v>
      </c>
      <c r="BV142" s="18">
        <f t="shared" si="41"/>
        <v>3.3369207376346193E-3</v>
      </c>
      <c r="BX142" s="18">
        <f t="shared" si="42"/>
        <v>0</v>
      </c>
      <c r="BY142" s="18">
        <f t="shared" si="43"/>
        <v>7.3037686602347622E-3</v>
      </c>
    </row>
    <row r="143" spans="1:77" x14ac:dyDescent="0.3">
      <c r="A143" s="1">
        <v>46231</v>
      </c>
      <c r="B143" s="6">
        <v>26.95</v>
      </c>
      <c r="C143" s="6">
        <v>28.92</v>
      </c>
      <c r="D143" s="7">
        <v>2.22882707423283E-3</v>
      </c>
      <c r="E143" s="7">
        <v>1.0378828124200201E-3</v>
      </c>
      <c r="F143" s="6">
        <v>0</v>
      </c>
      <c r="G143" s="6">
        <v>0.88169999999999904</v>
      </c>
      <c r="H143" s="6">
        <v>0</v>
      </c>
      <c r="I143" s="6">
        <v>0.95489999999999997</v>
      </c>
      <c r="J143" s="6">
        <v>0.88169999999999904</v>
      </c>
      <c r="K143" s="6">
        <v>0.95489999999999997</v>
      </c>
      <c r="L143" s="6">
        <v>27.831699999999898</v>
      </c>
      <c r="M143" s="6">
        <v>29.8749</v>
      </c>
      <c r="N143" s="8">
        <v>1.0730983302411801</v>
      </c>
      <c r="O143" s="8">
        <v>1.0748223497963401</v>
      </c>
      <c r="P143" s="8">
        <v>1.07239965532296</v>
      </c>
      <c r="Q143" s="8">
        <v>1.0725470461012401</v>
      </c>
      <c r="R143" s="6">
        <v>28.966462327011499</v>
      </c>
      <c r="S143" s="6">
        <v>28.899301852438899</v>
      </c>
      <c r="T143" s="6">
        <v>28.9066043320171</v>
      </c>
      <c r="U143" s="7">
        <v>1.605291984392E-3</v>
      </c>
      <c r="V143" s="7">
        <v>-7.1595981902649198E-4</v>
      </c>
      <c r="W143" s="7">
        <v>-4.6330468050952801E-4</v>
      </c>
      <c r="X143" s="8">
        <v>1.0734126912836801</v>
      </c>
      <c r="Y143" s="8">
        <v>1.07476747574368</v>
      </c>
      <c r="Z143" s="8">
        <v>1.0727354121528101</v>
      </c>
      <c r="AA143" s="8">
        <v>1.0728426383606799</v>
      </c>
      <c r="AB143" s="6">
        <v>29.912605954655302</v>
      </c>
      <c r="AC143" s="6">
        <v>29.8541772932717</v>
      </c>
      <c r="AD143" s="6">
        <v>29.859527148048102</v>
      </c>
      <c r="AE143" s="7">
        <v>1.26133241560673E-3</v>
      </c>
      <c r="AF143" s="7">
        <v>-6.9389009503442202E-4</v>
      </c>
      <c r="AG143" s="7">
        <v>-5.1470661141998601E-4</v>
      </c>
      <c r="AZ143" s="23"/>
      <c r="BB143" s="12">
        <f t="shared" si="26"/>
        <v>0</v>
      </c>
      <c r="BC143" s="12">
        <f t="shared" si="27"/>
        <v>0</v>
      </c>
      <c r="BD143" s="12">
        <f t="shared" si="28"/>
        <v>1</v>
      </c>
      <c r="BE143" s="12">
        <f t="shared" si="24"/>
        <v>1</v>
      </c>
      <c r="BF143" s="12">
        <f t="shared" si="29"/>
        <v>1</v>
      </c>
      <c r="BG143" s="23">
        <f t="shared" si="30"/>
        <v>2.22882707423283E-3</v>
      </c>
      <c r="BH143" s="23">
        <f t="shared" si="31"/>
        <v>-1.0378828124200201E-3</v>
      </c>
      <c r="BI143" s="23">
        <f t="shared" si="32"/>
        <v>1.1909442618128099E-3</v>
      </c>
      <c r="BJ143" s="18">
        <f t="shared" si="33"/>
        <v>5.1577921844129515E-3</v>
      </c>
      <c r="BL143" s="23"/>
      <c r="BN143" s="12">
        <f t="shared" si="34"/>
        <v>0</v>
      </c>
      <c r="BO143" s="12">
        <f t="shared" si="35"/>
        <v>1</v>
      </c>
      <c r="BP143" s="12">
        <f t="shared" si="36"/>
        <v>0</v>
      </c>
      <c r="BQ143" s="12">
        <f t="shared" si="25"/>
        <v>1</v>
      </c>
      <c r="BR143" s="12">
        <f t="shared" si="37"/>
        <v>0</v>
      </c>
      <c r="BS143" s="23">
        <f t="shared" si="38"/>
        <v>0</v>
      </c>
      <c r="BT143" s="23">
        <f t="shared" si="39"/>
        <v>0</v>
      </c>
      <c r="BU143" s="23">
        <f t="shared" si="40"/>
        <v>0</v>
      </c>
      <c r="BV143" s="18">
        <f t="shared" si="41"/>
        <v>3.3369207376346193E-3</v>
      </c>
      <c r="BX143" s="18">
        <f t="shared" si="42"/>
        <v>1.1909442618128099E-3</v>
      </c>
      <c r="BY143" s="18">
        <f t="shared" si="43"/>
        <v>8.4947129220475717E-3</v>
      </c>
    </row>
    <row r="144" spans="1:77" x14ac:dyDescent="0.3">
      <c r="A144" s="1">
        <v>46232</v>
      </c>
      <c r="B144" s="6">
        <v>26.86</v>
      </c>
      <c r="C144" s="6">
        <v>28.84</v>
      </c>
      <c r="D144" s="7">
        <v>-3.3451062599146098E-3</v>
      </c>
      <c r="E144" s="7">
        <v>-2.7700848738157098E-3</v>
      </c>
      <c r="F144" s="6">
        <v>0</v>
      </c>
      <c r="G144" s="6">
        <v>0.88169999999999904</v>
      </c>
      <c r="H144" s="6">
        <v>0</v>
      </c>
      <c r="I144" s="6">
        <v>0.95489999999999997</v>
      </c>
      <c r="J144" s="6">
        <v>0.88169999999999904</v>
      </c>
      <c r="K144" s="6">
        <v>0.95489999999999997</v>
      </c>
      <c r="L144" s="6">
        <v>27.741699999999899</v>
      </c>
      <c r="M144" s="6">
        <v>29.794899999999998</v>
      </c>
      <c r="N144" s="8">
        <v>1.07371556217423</v>
      </c>
      <c r="O144" s="8">
        <v>1.0748223497963401</v>
      </c>
      <c r="P144" s="8">
        <v>1.0726599366693399</v>
      </c>
      <c r="Q144" s="8">
        <v>1.0725617522569399</v>
      </c>
      <c r="R144" s="6">
        <v>28.869728315529802</v>
      </c>
      <c r="S144" s="6">
        <v>28.804654741974701</v>
      </c>
      <c r="T144" s="6">
        <v>28.808613658279299</v>
      </c>
      <c r="U144" s="7">
        <v>1.03027059829308E-3</v>
      </c>
      <c r="V144" s="7">
        <v>-1.2263153491997301E-3</v>
      </c>
      <c r="W144" s="7">
        <v>-1.0888846350364399E-3</v>
      </c>
      <c r="X144" s="8">
        <v>1.0740113259100901</v>
      </c>
      <c r="Y144" s="8">
        <v>1.07476747574368</v>
      </c>
      <c r="Z144" s="8">
        <v>1.0729877993072401</v>
      </c>
      <c r="AA144" s="8">
        <v>1.0728919248408799</v>
      </c>
      <c r="AB144" s="6">
        <v>29.815876881838399</v>
      </c>
      <c r="AC144" s="6">
        <v>29.7595039833196</v>
      </c>
      <c r="AD144" s="6">
        <v>29.762478620610398</v>
      </c>
      <c r="AE144" s="7">
        <v>7.0379497807615901E-4</v>
      </c>
      <c r="AF144" s="7">
        <v>-1.18869532664961E-3</v>
      </c>
      <c r="AG144" s="7">
        <v>-1.0887444458777501E-3</v>
      </c>
      <c r="AZ144" s="23"/>
      <c r="BB144" s="12">
        <f t="shared" si="26"/>
        <v>1</v>
      </c>
      <c r="BC144" s="12">
        <f t="shared" si="27"/>
        <v>0</v>
      </c>
      <c r="BD144" s="12">
        <f t="shared" si="28"/>
        <v>1</v>
      </c>
      <c r="BE144" s="12">
        <f t="shared" si="24"/>
        <v>1</v>
      </c>
      <c r="BF144" s="12">
        <f t="shared" si="29"/>
        <v>1</v>
      </c>
      <c r="BG144" s="23">
        <f t="shared" si="30"/>
        <v>-3.3451062599146098E-3</v>
      </c>
      <c r="BH144" s="23">
        <f t="shared" si="31"/>
        <v>2.7700848738157098E-3</v>
      </c>
      <c r="BI144" s="23">
        <f t="shared" si="32"/>
        <v>-5.7502138609890003E-4</v>
      </c>
      <c r="BJ144" s="18">
        <f t="shared" si="33"/>
        <v>4.5827707983140519E-3</v>
      </c>
      <c r="BL144" s="23"/>
      <c r="BN144" s="12">
        <f t="shared" si="34"/>
        <v>0</v>
      </c>
      <c r="BO144" s="12">
        <f t="shared" si="35"/>
        <v>1</v>
      </c>
      <c r="BP144" s="12">
        <f t="shared" si="36"/>
        <v>0</v>
      </c>
      <c r="BQ144" s="12">
        <f t="shared" si="25"/>
        <v>1</v>
      </c>
      <c r="BR144" s="12">
        <f t="shared" si="37"/>
        <v>0</v>
      </c>
      <c r="BS144" s="23">
        <f t="shared" si="38"/>
        <v>0</v>
      </c>
      <c r="BT144" s="23">
        <f t="shared" si="39"/>
        <v>0</v>
      </c>
      <c r="BU144" s="23">
        <f t="shared" si="40"/>
        <v>0</v>
      </c>
      <c r="BV144" s="18">
        <f t="shared" si="41"/>
        <v>3.3369207376346193E-3</v>
      </c>
      <c r="BX144" s="18">
        <f t="shared" si="42"/>
        <v>-5.7502138609890003E-4</v>
      </c>
      <c r="BY144" s="18">
        <f t="shared" si="43"/>
        <v>7.9196915359486721E-3</v>
      </c>
    </row>
    <row r="145" spans="1:77" x14ac:dyDescent="0.3">
      <c r="A145" s="1">
        <v>46233</v>
      </c>
      <c r="B145" s="6">
        <v>26.95</v>
      </c>
      <c r="C145" s="6">
        <v>28.93</v>
      </c>
      <c r="D145" s="7">
        <v>3.3451062599146098E-3</v>
      </c>
      <c r="E145" s="7">
        <v>3.1158065712952798E-3</v>
      </c>
      <c r="F145" s="6">
        <v>0</v>
      </c>
      <c r="G145" s="6">
        <v>0.88169999999999904</v>
      </c>
      <c r="H145" s="6">
        <v>0</v>
      </c>
      <c r="I145" s="6">
        <v>0.95489999999999997</v>
      </c>
      <c r="J145" s="6">
        <v>0.88169999999999904</v>
      </c>
      <c r="K145" s="6">
        <v>0.95489999999999997</v>
      </c>
      <c r="L145" s="6">
        <v>27.831699999999898</v>
      </c>
      <c r="M145" s="6">
        <v>29.884899999999998</v>
      </c>
      <c r="N145" s="8">
        <v>1.0734693877551</v>
      </c>
      <c r="O145" s="8">
        <v>1.0748223497963401</v>
      </c>
      <c r="P145" s="8">
        <v>1.07285348311447</v>
      </c>
      <c r="Q145" s="8">
        <v>1.07256634258865</v>
      </c>
      <c r="R145" s="6">
        <v>28.966462327011499</v>
      </c>
      <c r="S145" s="6">
        <v>28.908185293238901</v>
      </c>
      <c r="T145" s="6">
        <v>28.905539223324499</v>
      </c>
      <c r="U145" s="7">
        <v>1.2595702869123201E-3</v>
      </c>
      <c r="V145" s="7">
        <v>-7.5433583141981599E-4</v>
      </c>
      <c r="W145" s="7">
        <v>-8.4587360859324895E-4</v>
      </c>
      <c r="X145" s="8">
        <v>1.0737719938056201</v>
      </c>
      <c r="Y145" s="8">
        <v>1.07476747574368</v>
      </c>
      <c r="Z145" s="8">
        <v>1.07317543519702</v>
      </c>
      <c r="AA145" s="8">
        <v>1.07289646249207</v>
      </c>
      <c r="AB145" s="6">
        <v>29.912605954655302</v>
      </c>
      <c r="AC145" s="6">
        <v>29.8630745339795</v>
      </c>
      <c r="AD145" s="6">
        <v>29.860406184594002</v>
      </c>
      <c r="AE145" s="7">
        <v>9.2665927100659795E-4</v>
      </c>
      <c r="AF145" s="7">
        <v>-7.3058433064682703E-4</v>
      </c>
      <c r="AG145" s="7">
        <v>-8.19941124832641E-4</v>
      </c>
      <c r="AZ145" s="23"/>
      <c r="BB145" s="12">
        <f t="shared" si="26"/>
        <v>0</v>
      </c>
      <c r="BC145" s="12">
        <f t="shared" si="27"/>
        <v>0</v>
      </c>
      <c r="BD145" s="12">
        <f t="shared" si="28"/>
        <v>1</v>
      </c>
      <c r="BE145" s="12">
        <f t="shared" si="24"/>
        <v>1</v>
      </c>
      <c r="BF145" s="12">
        <f t="shared" si="29"/>
        <v>1</v>
      </c>
      <c r="BG145" s="23">
        <f t="shared" si="30"/>
        <v>3.3451062599146098E-3</v>
      </c>
      <c r="BH145" s="23">
        <f t="shared" si="31"/>
        <v>-3.1158065712952798E-3</v>
      </c>
      <c r="BI145" s="23">
        <f t="shared" si="32"/>
        <v>2.2929968861933004E-4</v>
      </c>
      <c r="BJ145" s="18">
        <f t="shared" si="33"/>
        <v>4.8120704869333824E-3</v>
      </c>
      <c r="BL145" s="23"/>
      <c r="BN145" s="12">
        <f t="shared" si="34"/>
        <v>0</v>
      </c>
      <c r="BO145" s="12">
        <f t="shared" si="35"/>
        <v>1</v>
      </c>
      <c r="BP145" s="12">
        <f t="shared" si="36"/>
        <v>0</v>
      </c>
      <c r="BQ145" s="12">
        <f t="shared" si="25"/>
        <v>1</v>
      </c>
      <c r="BR145" s="12">
        <f t="shared" si="37"/>
        <v>0</v>
      </c>
      <c r="BS145" s="23">
        <f t="shared" si="38"/>
        <v>0</v>
      </c>
      <c r="BT145" s="23">
        <f t="shared" si="39"/>
        <v>0</v>
      </c>
      <c r="BU145" s="23">
        <f t="shared" si="40"/>
        <v>0</v>
      </c>
      <c r="BV145" s="18">
        <f t="shared" si="41"/>
        <v>3.3369207376346193E-3</v>
      </c>
      <c r="BX145" s="18">
        <f t="shared" si="42"/>
        <v>2.2929968861933004E-4</v>
      </c>
      <c r="BY145" s="18">
        <f t="shared" si="43"/>
        <v>8.1489912245680026E-3</v>
      </c>
    </row>
    <row r="146" spans="1:77" x14ac:dyDescent="0.3">
      <c r="A146" s="1">
        <v>46234</v>
      </c>
      <c r="B146" s="6">
        <v>26.92</v>
      </c>
      <c r="C146" s="6">
        <v>28.92</v>
      </c>
      <c r="D146" s="7">
        <v>-1.11379257847905E-3</v>
      </c>
      <c r="E146" s="7">
        <v>-3.4572169747976199E-4</v>
      </c>
      <c r="F146" s="6">
        <v>0</v>
      </c>
      <c r="G146" s="6">
        <v>0.88169999999999904</v>
      </c>
      <c r="H146" s="6">
        <v>0</v>
      </c>
      <c r="I146" s="6">
        <v>0.95489999999999997</v>
      </c>
      <c r="J146" s="6">
        <v>0.88169999999999904</v>
      </c>
      <c r="K146" s="6">
        <v>0.95489999999999997</v>
      </c>
      <c r="L146" s="6">
        <v>27.8017</v>
      </c>
      <c r="M146" s="6">
        <v>29.8749</v>
      </c>
      <c r="N146" s="8">
        <v>1.0742942050519999</v>
      </c>
      <c r="O146" s="8">
        <v>1.0748223497963401</v>
      </c>
      <c r="P146" s="8">
        <v>1.0731663844456301</v>
      </c>
      <c r="Q146" s="8">
        <v>1.0726189254949099</v>
      </c>
      <c r="R146" s="6">
        <v>28.9342176565176</v>
      </c>
      <c r="S146" s="6">
        <v>28.881215765441599</v>
      </c>
      <c r="T146" s="6">
        <v>28.873485942486401</v>
      </c>
      <c r="U146" s="7">
        <v>4.9149940591309801E-4</v>
      </c>
      <c r="V146" s="7">
        <v>-1.34198701066669E-3</v>
      </c>
      <c r="W146" s="7">
        <v>-1.60966471560723E-3</v>
      </c>
      <c r="X146" s="8">
        <v>1.07457097947247</v>
      </c>
      <c r="Y146" s="8">
        <v>1.07476747574368</v>
      </c>
      <c r="Z146" s="8">
        <v>1.0734786817709601</v>
      </c>
      <c r="AA146" s="8">
        <v>1.07294751598414</v>
      </c>
      <c r="AB146" s="6">
        <v>29.880362930383001</v>
      </c>
      <c r="AC146" s="6">
        <v>29.836101496717099</v>
      </c>
      <c r="AD146" s="6">
        <v>29.8283455812659</v>
      </c>
      <c r="AE146" s="7">
        <v>1.8284348960758199E-4</v>
      </c>
      <c r="AF146" s="7">
        <v>-1.29954305808479E-3</v>
      </c>
      <c r="AG146" s="7">
        <v>-1.5595275505157101E-3</v>
      </c>
      <c r="AZ146" s="23"/>
      <c r="BB146" s="12">
        <f t="shared" si="26"/>
        <v>1</v>
      </c>
      <c r="BC146" s="12">
        <f t="shared" si="27"/>
        <v>0</v>
      </c>
      <c r="BD146" s="12">
        <f t="shared" si="28"/>
        <v>1</v>
      </c>
      <c r="BE146" s="12">
        <f t="shared" si="24"/>
        <v>0</v>
      </c>
      <c r="BF146" s="12">
        <f t="shared" si="29"/>
        <v>1</v>
      </c>
      <c r="BG146" s="23">
        <f t="shared" si="30"/>
        <v>-1.11379257847905E-3</v>
      </c>
      <c r="BH146" s="23">
        <f t="shared" si="31"/>
        <v>3.4572169747976199E-4</v>
      </c>
      <c r="BI146" s="23">
        <f t="shared" si="32"/>
        <v>-7.6807088099928799E-4</v>
      </c>
      <c r="BJ146" s="18">
        <f t="shared" si="33"/>
        <v>4.0439996059340941E-3</v>
      </c>
      <c r="BL146" s="23"/>
      <c r="BN146" s="12">
        <f t="shared" si="34"/>
        <v>0</v>
      </c>
      <c r="BO146" s="12">
        <f t="shared" si="35"/>
        <v>1</v>
      </c>
      <c r="BP146" s="12">
        <f t="shared" si="36"/>
        <v>0</v>
      </c>
      <c r="BQ146" s="12">
        <f t="shared" si="25"/>
        <v>0</v>
      </c>
      <c r="BR146" s="12">
        <f t="shared" si="37"/>
        <v>0</v>
      </c>
      <c r="BS146" s="23">
        <f t="shared" si="38"/>
        <v>0</v>
      </c>
      <c r="BT146" s="23">
        <f t="shared" si="39"/>
        <v>0</v>
      </c>
      <c r="BU146" s="23">
        <f t="shared" si="40"/>
        <v>0</v>
      </c>
      <c r="BV146" s="18">
        <f t="shared" si="41"/>
        <v>3.3369207376346193E-3</v>
      </c>
      <c r="BX146" s="18">
        <f t="shared" si="42"/>
        <v>-7.6807088099928799E-4</v>
      </c>
      <c r="BY146" s="18">
        <f t="shared" si="43"/>
        <v>7.3809203435687143E-3</v>
      </c>
    </row>
    <row r="147" spans="1:77" x14ac:dyDescent="0.3">
      <c r="A147" s="1">
        <v>46237</v>
      </c>
      <c r="B147" s="6">
        <v>26.87</v>
      </c>
      <c r="C147" s="6">
        <v>28.85</v>
      </c>
      <c r="D147" s="7">
        <v>-1.8590821491271899E-3</v>
      </c>
      <c r="E147" s="7">
        <v>-2.4234043364553602E-3</v>
      </c>
      <c r="F147" s="6">
        <v>0.14810000000000001</v>
      </c>
      <c r="G147" s="6">
        <v>1.0297999999999901</v>
      </c>
      <c r="H147" s="6">
        <v>0.16839999999999999</v>
      </c>
      <c r="I147" s="6">
        <v>1.1233</v>
      </c>
      <c r="J147" s="6">
        <v>1.0297999999999901</v>
      </c>
      <c r="K147" s="6">
        <v>1.1233</v>
      </c>
      <c r="L147" s="6">
        <v>27.899799999999999</v>
      </c>
      <c r="M147" s="6">
        <v>29.973299999999998</v>
      </c>
      <c r="N147" s="8">
        <v>1.07368812802381</v>
      </c>
      <c r="O147" s="8">
        <v>1.0748223497963401</v>
      </c>
      <c r="P147" s="8">
        <v>1.0732947096233301</v>
      </c>
      <c r="Q147" s="8">
        <v>1.07268333924634</v>
      </c>
      <c r="R147" s="6">
        <v>28.8804765390278</v>
      </c>
      <c r="S147" s="6">
        <v>28.835980750054102</v>
      </c>
      <c r="T147" s="6">
        <v>28.821270528048299</v>
      </c>
      <c r="U147" s="7">
        <v>1.05582159324121E-3</v>
      </c>
      <c r="V147" s="7">
        <v>-4.8605397843761198E-4</v>
      </c>
      <c r="W147" s="7">
        <v>-9.9631841175595501E-4</v>
      </c>
      <c r="X147" s="8">
        <v>1.07431952917225</v>
      </c>
      <c r="Y147" s="8">
        <v>1.07476747574368</v>
      </c>
      <c r="Z147" s="8">
        <v>1.0736366585078401</v>
      </c>
      <c r="AA147" s="8">
        <v>1.0730268310801401</v>
      </c>
      <c r="AB147" s="6">
        <v>29.985797619753502</v>
      </c>
      <c r="AC147" s="6">
        <v>29.949840525673402</v>
      </c>
      <c r="AD147" s="6">
        <v>29.9350211064543</v>
      </c>
      <c r="AE147" s="7">
        <v>4.1687151510452899E-4</v>
      </c>
      <c r="AF147" s="7">
        <v>-7.8298551508560398E-4</v>
      </c>
      <c r="AG147" s="7">
        <v>-1.2779159237984001E-3</v>
      </c>
      <c r="AZ147" s="23"/>
      <c r="BB147" s="12">
        <f t="shared" si="26"/>
        <v>1</v>
      </c>
      <c r="BC147" s="12">
        <f t="shared" si="27"/>
        <v>0</v>
      </c>
      <c r="BD147" s="12">
        <f t="shared" si="28"/>
        <v>0</v>
      </c>
      <c r="BE147" s="12">
        <f t="shared" si="24"/>
        <v>1</v>
      </c>
      <c r="BF147" s="12">
        <f t="shared" si="29"/>
        <v>0</v>
      </c>
      <c r="BG147" s="23">
        <f t="shared" si="30"/>
        <v>0</v>
      </c>
      <c r="BH147" s="23">
        <f t="shared" si="31"/>
        <v>0</v>
      </c>
      <c r="BI147" s="23">
        <f t="shared" si="32"/>
        <v>0</v>
      </c>
      <c r="BJ147" s="18">
        <f t="shared" si="33"/>
        <v>4.0439996059340941E-3</v>
      </c>
      <c r="BL147" s="23"/>
      <c r="BN147" s="12">
        <f t="shared" si="34"/>
        <v>0</v>
      </c>
      <c r="BO147" s="12">
        <f t="shared" si="35"/>
        <v>1</v>
      </c>
      <c r="BP147" s="12">
        <f t="shared" si="36"/>
        <v>0</v>
      </c>
      <c r="BQ147" s="12">
        <f t="shared" si="25"/>
        <v>1</v>
      </c>
      <c r="BR147" s="12">
        <f t="shared" si="37"/>
        <v>0</v>
      </c>
      <c r="BS147" s="23">
        <f t="shared" si="38"/>
        <v>0</v>
      </c>
      <c r="BT147" s="23">
        <f t="shared" si="39"/>
        <v>0</v>
      </c>
      <c r="BU147" s="23">
        <f t="shared" si="40"/>
        <v>0</v>
      </c>
      <c r="BV147" s="18">
        <f t="shared" si="41"/>
        <v>3.3369207376346193E-3</v>
      </c>
      <c r="BX147" s="18">
        <f t="shared" si="42"/>
        <v>0</v>
      </c>
      <c r="BY147" s="18">
        <f t="shared" si="43"/>
        <v>7.3809203435687143E-3</v>
      </c>
    </row>
    <row r="148" spans="1:77" x14ac:dyDescent="0.3">
      <c r="A148" s="1">
        <v>46238</v>
      </c>
      <c r="B148" s="6">
        <v>26.98</v>
      </c>
      <c r="C148" s="6">
        <v>28.97</v>
      </c>
      <c r="D148" s="7">
        <v>4.08542815220989E-3</v>
      </c>
      <c r="E148" s="7">
        <v>4.1508188271502898E-3</v>
      </c>
      <c r="F148" s="6">
        <v>0</v>
      </c>
      <c r="G148" s="6">
        <v>1.0297999999999901</v>
      </c>
      <c r="H148" s="6">
        <v>0</v>
      </c>
      <c r="I148" s="6">
        <v>1.1233</v>
      </c>
      <c r="J148" s="6">
        <v>1.0297999999999901</v>
      </c>
      <c r="K148" s="6">
        <v>1.1233</v>
      </c>
      <c r="L148" s="6">
        <v>28.009799999999998</v>
      </c>
      <c r="M148" s="6">
        <v>30.093299999999999</v>
      </c>
      <c r="N148" s="8">
        <v>1.07375833951074</v>
      </c>
      <c r="O148" s="8">
        <v>1.0748223497963401</v>
      </c>
      <c r="P148" s="8">
        <v>1.0734590051128701</v>
      </c>
      <c r="Q148" s="8">
        <v>1.0727064311758301</v>
      </c>
      <c r="R148" s="6">
        <v>28.998706997505401</v>
      </c>
      <c r="S148" s="6">
        <v>28.9574912656376</v>
      </c>
      <c r="T148" s="6">
        <v>28.940996492866301</v>
      </c>
      <c r="U148" s="7">
        <v>9.904309183007289E-4</v>
      </c>
      <c r="V148" s="7">
        <v>-4.31875583887274E-4</v>
      </c>
      <c r="W148" s="7">
        <v>-1.0016581069276101E-3</v>
      </c>
      <c r="X148" s="8">
        <v>1.07438467964783</v>
      </c>
      <c r="Y148" s="8">
        <v>1.07476747574368</v>
      </c>
      <c r="Z148" s="8">
        <v>1.0738291493294001</v>
      </c>
      <c r="AA148" s="8">
        <v>1.0730659457690199</v>
      </c>
      <c r="AB148" s="6">
        <v>30.104022042085301</v>
      </c>
      <c r="AC148" s="6">
        <v>30.072348077473102</v>
      </c>
      <c r="AD148" s="6">
        <v>30.055266933188602</v>
      </c>
      <c r="AE148" s="7">
        <v>3.5622987319031699E-4</v>
      </c>
      <c r="AF148" s="7">
        <v>-6.9647461776997698E-4</v>
      </c>
      <c r="AG148" s="7">
        <v>-1.2646376736617101E-3</v>
      </c>
      <c r="AZ148" s="23"/>
      <c r="BB148" s="12">
        <f t="shared" si="26"/>
        <v>1</v>
      </c>
      <c r="BC148" s="12">
        <f t="shared" si="27"/>
        <v>0</v>
      </c>
      <c r="BD148" s="12">
        <f t="shared" si="28"/>
        <v>1</v>
      </c>
      <c r="BE148" s="12">
        <f t="shared" si="24"/>
        <v>1</v>
      </c>
      <c r="BF148" s="12">
        <f t="shared" si="29"/>
        <v>1</v>
      </c>
      <c r="BG148" s="23">
        <f t="shared" si="30"/>
        <v>4.08542815220989E-3</v>
      </c>
      <c r="BH148" s="23">
        <f t="shared" si="31"/>
        <v>-4.1508188271502898E-3</v>
      </c>
      <c r="BI148" s="23">
        <f t="shared" si="32"/>
        <v>-6.5390674940399816E-5</v>
      </c>
      <c r="BJ148" s="18">
        <f t="shared" si="33"/>
        <v>3.9786089309936943E-3</v>
      </c>
      <c r="BL148" s="23"/>
      <c r="BN148" s="12">
        <f t="shared" si="34"/>
        <v>0</v>
      </c>
      <c r="BO148" s="12">
        <f t="shared" si="35"/>
        <v>1</v>
      </c>
      <c r="BP148" s="12">
        <f t="shared" si="36"/>
        <v>0</v>
      </c>
      <c r="BQ148" s="12">
        <f t="shared" si="25"/>
        <v>1</v>
      </c>
      <c r="BR148" s="12">
        <f t="shared" si="37"/>
        <v>0</v>
      </c>
      <c r="BS148" s="23">
        <f t="shared" si="38"/>
        <v>0</v>
      </c>
      <c r="BT148" s="23">
        <f t="shared" si="39"/>
        <v>0</v>
      </c>
      <c r="BU148" s="23">
        <f t="shared" si="40"/>
        <v>0</v>
      </c>
      <c r="BV148" s="18">
        <f t="shared" si="41"/>
        <v>3.3369207376346193E-3</v>
      </c>
      <c r="BX148" s="18">
        <f t="shared" si="42"/>
        <v>-6.5390674940399816E-5</v>
      </c>
      <c r="BY148" s="18">
        <f t="shared" si="43"/>
        <v>7.3155296686283145E-3</v>
      </c>
    </row>
    <row r="149" spans="1:77" x14ac:dyDescent="0.3">
      <c r="A149" s="1">
        <v>46239</v>
      </c>
      <c r="B149" s="6">
        <v>26.98</v>
      </c>
      <c r="C149" s="6">
        <v>28.97</v>
      </c>
      <c r="D149" s="7">
        <v>0</v>
      </c>
      <c r="E149" s="7">
        <v>0</v>
      </c>
      <c r="F149" s="6">
        <v>0</v>
      </c>
      <c r="G149" s="6">
        <v>1.0297999999999901</v>
      </c>
      <c r="H149" s="6">
        <v>0</v>
      </c>
      <c r="I149" s="6">
        <v>1.1233</v>
      </c>
      <c r="J149" s="6">
        <v>1.0297999999999901</v>
      </c>
      <c r="K149" s="6">
        <v>1.1233</v>
      </c>
      <c r="L149" s="6">
        <v>28.009799999999998</v>
      </c>
      <c r="M149" s="6">
        <v>30.093299999999999</v>
      </c>
      <c r="N149" s="8">
        <v>1.07375833951074</v>
      </c>
      <c r="O149" s="8">
        <v>1.0748223497963401</v>
      </c>
      <c r="P149" s="8">
        <v>1.0735701985895201</v>
      </c>
      <c r="Q149" s="8">
        <v>1.07279656217351</v>
      </c>
      <c r="R149" s="6">
        <v>28.998706997505401</v>
      </c>
      <c r="S149" s="6">
        <v>28.961923957945299</v>
      </c>
      <c r="T149" s="6">
        <v>28.941619513124099</v>
      </c>
      <c r="U149" s="7">
        <v>9.904309183007289E-4</v>
      </c>
      <c r="V149" s="7">
        <v>-2.78811458524946E-4</v>
      </c>
      <c r="W149" s="7">
        <v>-9.8013108203329593E-4</v>
      </c>
      <c r="X149" s="8">
        <v>1.07438467964783</v>
      </c>
      <c r="Y149" s="8">
        <v>1.07476747574368</v>
      </c>
      <c r="Z149" s="8">
        <v>1.07397014441923</v>
      </c>
      <c r="AA149" s="8">
        <v>1.07316995980409</v>
      </c>
      <c r="AB149" s="6">
        <v>30.104022042085301</v>
      </c>
      <c r="AC149" s="6">
        <v>30.077739706886799</v>
      </c>
      <c r="AD149" s="6">
        <v>30.056362527801099</v>
      </c>
      <c r="AE149" s="7">
        <v>3.5622987319031699E-4</v>
      </c>
      <c r="AF149" s="7">
        <v>-5.1720208046461004E-4</v>
      </c>
      <c r="AG149" s="7">
        <v>-1.2281856718615301E-3</v>
      </c>
      <c r="AZ149" s="23"/>
      <c r="BB149" s="12">
        <f t="shared" si="26"/>
        <v>1</v>
      </c>
      <c r="BC149" s="12">
        <f t="shared" si="27"/>
        <v>0</v>
      </c>
      <c r="BD149" s="12">
        <f t="shared" si="28"/>
        <v>1</v>
      </c>
      <c r="BE149" s="12">
        <f t="shared" si="24"/>
        <v>1</v>
      </c>
      <c r="BF149" s="12">
        <f t="shared" si="29"/>
        <v>1</v>
      </c>
      <c r="BG149" s="23">
        <f t="shared" si="30"/>
        <v>0</v>
      </c>
      <c r="BH149" s="23">
        <f t="shared" si="31"/>
        <v>0</v>
      </c>
      <c r="BI149" s="23">
        <f t="shared" si="32"/>
        <v>0</v>
      </c>
      <c r="BJ149" s="18">
        <f t="shared" si="33"/>
        <v>3.9786089309936943E-3</v>
      </c>
      <c r="BL149" s="23"/>
      <c r="BN149" s="12">
        <f t="shared" si="34"/>
        <v>0</v>
      </c>
      <c r="BO149" s="12">
        <f t="shared" si="35"/>
        <v>1</v>
      </c>
      <c r="BP149" s="12">
        <f t="shared" si="36"/>
        <v>0</v>
      </c>
      <c r="BQ149" s="12">
        <f t="shared" si="25"/>
        <v>1</v>
      </c>
      <c r="BR149" s="12">
        <f t="shared" si="37"/>
        <v>0</v>
      </c>
      <c r="BS149" s="23">
        <f t="shared" si="38"/>
        <v>0</v>
      </c>
      <c r="BT149" s="23">
        <f t="shared" si="39"/>
        <v>0</v>
      </c>
      <c r="BU149" s="23">
        <f t="shared" si="40"/>
        <v>0</v>
      </c>
      <c r="BV149" s="18">
        <f t="shared" si="41"/>
        <v>3.3369207376346193E-3</v>
      </c>
      <c r="BX149" s="18">
        <f t="shared" si="42"/>
        <v>0</v>
      </c>
      <c r="BY149" s="18">
        <f t="shared" si="43"/>
        <v>7.3155296686283145E-3</v>
      </c>
    </row>
    <row r="150" spans="1:77" x14ac:dyDescent="0.3">
      <c r="A150" s="1">
        <v>46240</v>
      </c>
      <c r="B150" s="6">
        <v>26.93</v>
      </c>
      <c r="C150" s="6">
        <v>28.95</v>
      </c>
      <c r="D150" s="7">
        <v>-1.85494395610227E-3</v>
      </c>
      <c r="E150" s="7">
        <v>-6.90607762254731E-4</v>
      </c>
      <c r="F150" s="6">
        <v>0</v>
      </c>
      <c r="G150" s="6">
        <v>1.0297999999999901</v>
      </c>
      <c r="H150" s="6">
        <v>0</v>
      </c>
      <c r="I150" s="6">
        <v>1.1233</v>
      </c>
      <c r="J150" s="6">
        <v>1.0297999999999901</v>
      </c>
      <c r="K150" s="6">
        <v>1.1233</v>
      </c>
      <c r="L150" s="6">
        <v>27.959800000000001</v>
      </c>
      <c r="M150" s="6">
        <v>30.0733</v>
      </c>
      <c r="N150" s="8">
        <v>1.0750092833271401</v>
      </c>
      <c r="O150" s="8">
        <v>1.0748223497963401</v>
      </c>
      <c r="P150" s="8">
        <v>1.0737740308686201</v>
      </c>
      <c r="Q150" s="8">
        <v>1.0729150204401601</v>
      </c>
      <c r="R150" s="6">
        <v>28.944965880015602</v>
      </c>
      <c r="S150" s="6">
        <v>28.911245448015901</v>
      </c>
      <c r="T150" s="6">
        <v>28.8904114193328</v>
      </c>
      <c r="U150" s="7">
        <v>-1.7390527554688901E-4</v>
      </c>
      <c r="V150" s="7">
        <v>-1.3395687382552399E-3</v>
      </c>
      <c r="W150" s="7">
        <v>-2.0604487515439502E-3</v>
      </c>
      <c r="X150" s="8">
        <v>1.0755906694611499</v>
      </c>
      <c r="Y150" s="8">
        <v>1.07476747574368</v>
      </c>
      <c r="Z150" s="8">
        <v>1.07420017240955</v>
      </c>
      <c r="AA150" s="8">
        <v>1.07330114335553</v>
      </c>
      <c r="AB150" s="6">
        <v>30.0502836682981</v>
      </c>
      <c r="AC150" s="6">
        <v>30.027990443933</v>
      </c>
      <c r="AD150" s="6">
        <v>30.005617442130401</v>
      </c>
      <c r="AE150" s="7">
        <v>-7.65634096369196E-4</v>
      </c>
      <c r="AF150" s="7">
        <v>-1.5077734376778499E-3</v>
      </c>
      <c r="AG150" s="7">
        <v>-2.2531227054021601E-3</v>
      </c>
      <c r="AZ150" s="23"/>
      <c r="BB150" s="12">
        <f t="shared" si="26"/>
        <v>1</v>
      </c>
      <c r="BC150" s="12">
        <f t="shared" si="27"/>
        <v>0</v>
      </c>
      <c r="BD150" s="12">
        <f t="shared" si="28"/>
        <v>1</v>
      </c>
      <c r="BE150" s="12">
        <f t="shared" ref="BE150:BE167" si="44">IF(F151+H151&gt;0,0,1)</f>
        <v>1</v>
      </c>
      <c r="BF150" s="12">
        <f t="shared" si="29"/>
        <v>1</v>
      </c>
      <c r="BG150" s="23">
        <f t="shared" si="30"/>
        <v>-1.85494395610227E-3</v>
      </c>
      <c r="BH150" s="23">
        <f t="shared" si="31"/>
        <v>6.90607762254731E-4</v>
      </c>
      <c r="BI150" s="23">
        <f t="shared" si="32"/>
        <v>-1.1643361938475389E-3</v>
      </c>
      <c r="BJ150" s="18">
        <f t="shared" si="33"/>
        <v>2.8142727371461554E-3</v>
      </c>
      <c r="BL150" s="23"/>
      <c r="BN150" s="12">
        <f t="shared" si="34"/>
        <v>0</v>
      </c>
      <c r="BO150" s="12">
        <f t="shared" si="35"/>
        <v>1</v>
      </c>
      <c r="BP150" s="12">
        <f t="shared" si="36"/>
        <v>0</v>
      </c>
      <c r="BQ150" s="12">
        <f t="shared" ref="BQ150:BQ167" si="45">IF(F151+H151&gt;0,0,1)</f>
        <v>1</v>
      </c>
      <c r="BR150" s="12">
        <f t="shared" si="37"/>
        <v>0</v>
      </c>
      <c r="BS150" s="23">
        <f t="shared" si="38"/>
        <v>0</v>
      </c>
      <c r="BT150" s="23">
        <f t="shared" si="39"/>
        <v>0</v>
      </c>
      <c r="BU150" s="23">
        <f t="shared" si="40"/>
        <v>0</v>
      </c>
      <c r="BV150" s="18">
        <f t="shared" si="41"/>
        <v>3.3369207376346193E-3</v>
      </c>
      <c r="BX150" s="18">
        <f t="shared" si="42"/>
        <v>-1.1643361938475389E-3</v>
      </c>
      <c r="BY150" s="18">
        <f t="shared" si="43"/>
        <v>6.1511934747807756E-3</v>
      </c>
    </row>
    <row r="151" spans="1:77" x14ac:dyDescent="0.3">
      <c r="A151" s="1">
        <v>46241</v>
      </c>
      <c r="B151" s="6">
        <v>26.99</v>
      </c>
      <c r="C151" s="6">
        <v>29.02</v>
      </c>
      <c r="D151" s="7">
        <v>2.2255202064056798E-3</v>
      </c>
      <c r="E151" s="7">
        <v>2.41504343703765E-3</v>
      </c>
      <c r="F151" s="6">
        <v>0</v>
      </c>
      <c r="G151" s="6">
        <v>1.0297999999999901</v>
      </c>
      <c r="H151" s="6">
        <v>0</v>
      </c>
      <c r="I151" s="6">
        <v>1.1233</v>
      </c>
      <c r="J151" s="6">
        <v>1.0297999999999901</v>
      </c>
      <c r="K151" s="6">
        <v>1.1233</v>
      </c>
      <c r="L151" s="6">
        <v>28.019799999999901</v>
      </c>
      <c r="M151" s="6">
        <v>30.1433</v>
      </c>
      <c r="N151" s="8">
        <v>1.07521304186735</v>
      </c>
      <c r="O151" s="8">
        <v>1.0748223497963401</v>
      </c>
      <c r="P151" s="8">
        <v>1.0740381709318001</v>
      </c>
      <c r="Q151" s="8">
        <v>1.0730950154645</v>
      </c>
      <c r="R151" s="6">
        <v>29.0094552210033</v>
      </c>
      <c r="S151" s="6">
        <v>28.981161093144198</v>
      </c>
      <c r="T151" s="6">
        <v>28.957976401680099</v>
      </c>
      <c r="U151" s="7">
        <v>-3.6342850617866398E-4</v>
      </c>
      <c r="V151" s="7">
        <v>-1.33924604021007E-3</v>
      </c>
      <c r="W151" s="7">
        <v>-2.13955801253298E-3</v>
      </c>
      <c r="X151" s="8">
        <v>1.07578569440181</v>
      </c>
      <c r="Y151" s="8">
        <v>1.07476747574368</v>
      </c>
      <c r="Z151" s="8">
        <v>1.0744883776558301</v>
      </c>
      <c r="AA151" s="8">
        <v>1.0734917908816</v>
      </c>
      <c r="AB151" s="6">
        <v>30.114769716842702</v>
      </c>
      <c r="AC151" s="6">
        <v>30.098873990881302</v>
      </c>
      <c r="AD151" s="6">
        <v>30.0736833765935</v>
      </c>
      <c r="AE151" s="7">
        <v>-9.4693658204418195E-4</v>
      </c>
      <c r="AF151" s="7">
        <v>-1.4749141416756E-3</v>
      </c>
      <c r="AG151" s="7">
        <v>-2.3121933553762698E-3</v>
      </c>
      <c r="AZ151" s="23"/>
      <c r="BB151" s="12">
        <f t="shared" ref="BB151:BB167" si="46">IF($AG151&lt;BA$20,1,0)</f>
        <v>1</v>
      </c>
      <c r="BC151" s="12">
        <f t="shared" ref="BC151:BC167" si="47">IF($AG151&gt;BA$21,1,0)</f>
        <v>0</v>
      </c>
      <c r="BD151" s="12">
        <f t="shared" ref="BD151:BD167" si="48">BF151</f>
        <v>1</v>
      </c>
      <c r="BE151" s="12">
        <f t="shared" si="44"/>
        <v>1</v>
      </c>
      <c r="BF151" s="12">
        <f t="shared" ref="BF151:BF167" si="49">IF(BB150,1,IF(BC150,0,BD150))*BE150</f>
        <v>1</v>
      </c>
      <c r="BG151" s="23">
        <f t="shared" ref="BG151:BG167" si="50">BF151*D151</f>
        <v>2.2255202064056798E-3</v>
      </c>
      <c r="BH151" s="23">
        <f t="shared" ref="BH151:BH167" si="51">-BF151*$E151</f>
        <v>-2.41504343703765E-3</v>
      </c>
      <c r="BI151" s="23">
        <f t="shared" ref="BI151:BI167" si="52">BG151+BH151</f>
        <v>-1.8952323063197015E-4</v>
      </c>
      <c r="BJ151" s="18">
        <f t="shared" ref="BJ151:BJ167" si="53">BJ150+BI151</f>
        <v>2.6247495065141852E-3</v>
      </c>
      <c r="BL151" s="23"/>
      <c r="BN151" s="12">
        <f t="shared" ref="BN151:BN167" si="54">IF($AG151&gt;BM$20,1,0)</f>
        <v>0</v>
      </c>
      <c r="BO151" s="12">
        <f t="shared" ref="BO151:BO167" si="55">IF($AG151&lt;BM$21,1,0)</f>
        <v>1</v>
      </c>
      <c r="BP151" s="12">
        <f t="shared" ref="BP151:BP167" si="56">BR151</f>
        <v>0</v>
      </c>
      <c r="BQ151" s="12">
        <f t="shared" si="45"/>
        <v>1</v>
      </c>
      <c r="BR151" s="12">
        <f t="shared" ref="BR151:BR167" si="57">IF(BN150,1,IF(BO150,0,BP150))*BQ150</f>
        <v>0</v>
      </c>
      <c r="BS151" s="23">
        <f t="shared" ref="BS151:BS167" si="58">-BR151*D151</f>
        <v>0</v>
      </c>
      <c r="BT151" s="23">
        <f t="shared" ref="BT151:BT167" si="59">BR151*$E151</f>
        <v>0</v>
      </c>
      <c r="BU151" s="23">
        <f t="shared" ref="BU151:BU167" si="60">BS151+BT151</f>
        <v>0</v>
      </c>
      <c r="BV151" s="18">
        <f t="shared" ref="BV151:BV167" si="61">BV150+BU151</f>
        <v>3.3369207376346193E-3</v>
      </c>
      <c r="BX151" s="18">
        <f t="shared" ref="BX151:BX167" si="62">BI151+BU151</f>
        <v>-1.8952323063197015E-4</v>
      </c>
      <c r="BY151" s="18">
        <f t="shared" ref="BY151:BY167" si="63">BY150+BX151</f>
        <v>5.9616702441488059E-3</v>
      </c>
    </row>
    <row r="152" spans="1:77" x14ac:dyDescent="0.3">
      <c r="A152" s="1">
        <v>46244</v>
      </c>
      <c r="B152" s="6">
        <v>26.99</v>
      </c>
      <c r="C152" s="6">
        <v>28.96</v>
      </c>
      <c r="D152" s="7">
        <v>0</v>
      </c>
      <c r="E152" s="7">
        <v>-2.0696799385260798E-3</v>
      </c>
      <c r="F152" s="6">
        <v>0</v>
      </c>
      <c r="G152" s="6">
        <v>1.0297999999999901</v>
      </c>
      <c r="H152" s="6">
        <v>0</v>
      </c>
      <c r="I152" s="6">
        <v>1.1233</v>
      </c>
      <c r="J152" s="6">
        <v>1.0297999999999901</v>
      </c>
      <c r="K152" s="6">
        <v>1.1233</v>
      </c>
      <c r="L152" s="6">
        <v>28.019799999999901</v>
      </c>
      <c r="M152" s="6">
        <v>30.083300000000001</v>
      </c>
      <c r="N152" s="8">
        <v>1.0729899962949201</v>
      </c>
      <c r="O152" s="8">
        <v>1.0748223497963401</v>
      </c>
      <c r="P152" s="8">
        <v>1.07389946137572</v>
      </c>
      <c r="Q152" s="8">
        <v>1.07311488564962</v>
      </c>
      <c r="R152" s="6">
        <v>29.0094552210033</v>
      </c>
      <c r="S152" s="6">
        <v>28.988290233449401</v>
      </c>
      <c r="T152" s="6">
        <v>28.962834467387001</v>
      </c>
      <c r="U152" s="7">
        <v>1.70625143234741E-3</v>
      </c>
      <c r="V152" s="7">
        <v>9.7639587235479205E-4</v>
      </c>
      <c r="W152" s="7">
        <v>9.7870465607938703E-5</v>
      </c>
      <c r="X152" s="8">
        <v>1.0736443514942999</v>
      </c>
      <c r="Y152" s="8">
        <v>1.07476747574368</v>
      </c>
      <c r="Z152" s="8">
        <v>1.0743876594296999</v>
      </c>
      <c r="AA152" s="8">
        <v>1.07352788931724</v>
      </c>
      <c r="AB152" s="6">
        <v>30.114769716842702</v>
      </c>
      <c r="AC152" s="6">
        <v>30.1069494442409</v>
      </c>
      <c r="AD152" s="6">
        <v>30.0790252821444</v>
      </c>
      <c r="AE152" s="7">
        <v>1.04553916288569E-3</v>
      </c>
      <c r="AF152" s="7">
        <v>7.8582314166653696E-4</v>
      </c>
      <c r="AG152" s="7">
        <v>-1.4210613844058801E-4</v>
      </c>
      <c r="AZ152" s="23"/>
      <c r="BB152" s="12">
        <f t="shared" si="46"/>
        <v>0</v>
      </c>
      <c r="BC152" s="12">
        <f t="shared" si="47"/>
        <v>0</v>
      </c>
      <c r="BD152" s="12">
        <f t="shared" si="48"/>
        <v>1</v>
      </c>
      <c r="BE152" s="12">
        <f t="shared" si="44"/>
        <v>1</v>
      </c>
      <c r="BF152" s="12">
        <f t="shared" si="49"/>
        <v>1</v>
      </c>
      <c r="BG152" s="23">
        <f t="shared" si="50"/>
        <v>0</v>
      </c>
      <c r="BH152" s="23">
        <f t="shared" si="51"/>
        <v>2.0696799385260798E-3</v>
      </c>
      <c r="BI152" s="23">
        <f t="shared" si="52"/>
        <v>2.0696799385260798E-3</v>
      </c>
      <c r="BJ152" s="18">
        <f t="shared" si="53"/>
        <v>4.694429445040265E-3</v>
      </c>
      <c r="BL152" s="23"/>
      <c r="BN152" s="12">
        <f t="shared" si="54"/>
        <v>0</v>
      </c>
      <c r="BO152" s="12">
        <f t="shared" si="55"/>
        <v>1</v>
      </c>
      <c r="BP152" s="12">
        <f t="shared" si="56"/>
        <v>0</v>
      </c>
      <c r="BQ152" s="12">
        <f t="shared" si="45"/>
        <v>1</v>
      </c>
      <c r="BR152" s="12">
        <f t="shared" si="57"/>
        <v>0</v>
      </c>
      <c r="BS152" s="23">
        <f t="shared" si="58"/>
        <v>0</v>
      </c>
      <c r="BT152" s="23">
        <f t="shared" si="59"/>
        <v>0</v>
      </c>
      <c r="BU152" s="23">
        <f t="shared" si="60"/>
        <v>0</v>
      </c>
      <c r="BV152" s="18">
        <f t="shared" si="61"/>
        <v>3.3369207376346193E-3</v>
      </c>
      <c r="BX152" s="18">
        <f t="shared" si="62"/>
        <v>2.0696799385260798E-3</v>
      </c>
      <c r="BY152" s="18">
        <f t="shared" si="63"/>
        <v>8.0313501826748852E-3</v>
      </c>
    </row>
    <row r="153" spans="1:77" x14ac:dyDescent="0.3">
      <c r="A153" s="1">
        <v>46245</v>
      </c>
      <c r="B153" s="6">
        <v>27</v>
      </c>
      <c r="C153" s="6">
        <v>28.96</v>
      </c>
      <c r="D153" s="7">
        <v>3.7043897441577101E-4</v>
      </c>
      <c r="E153" s="7">
        <v>0</v>
      </c>
      <c r="F153" s="6">
        <v>0</v>
      </c>
      <c r="G153" s="6">
        <v>1.0297999999999901</v>
      </c>
      <c r="H153" s="6">
        <v>0</v>
      </c>
      <c r="I153" s="6">
        <v>1.1233</v>
      </c>
      <c r="J153" s="6">
        <v>1.0297999999999901</v>
      </c>
      <c r="K153" s="6">
        <v>1.1233</v>
      </c>
      <c r="L153" s="6">
        <v>28.029800000000002</v>
      </c>
      <c r="M153" s="6">
        <v>30.083300000000001</v>
      </c>
      <c r="N153" s="8">
        <v>1.0725925925925901</v>
      </c>
      <c r="O153" s="8">
        <v>1.0748223497963401</v>
      </c>
      <c r="P153" s="8">
        <v>1.0738488876108601</v>
      </c>
      <c r="Q153" s="8">
        <v>1.07312427146691</v>
      </c>
      <c r="R153" s="6">
        <v>29.020203444501298</v>
      </c>
      <c r="S153" s="6">
        <v>28.9952854571446</v>
      </c>
      <c r="T153" s="6">
        <v>28.974101912539801</v>
      </c>
      <c r="U153" s="7">
        <v>2.0766904067631999E-3</v>
      </c>
      <c r="V153" s="7">
        <v>1.2176788096632E-3</v>
      </c>
      <c r="W153" s="7">
        <v>4.8682597478282702E-4</v>
      </c>
      <c r="X153" s="8">
        <v>1.0732613147435901</v>
      </c>
      <c r="Y153" s="8">
        <v>1.07476747574368</v>
      </c>
      <c r="Z153" s="8">
        <v>1.0743725217756901</v>
      </c>
      <c r="AA153" s="8">
        <v>1.07355396696425</v>
      </c>
      <c r="AB153" s="6">
        <v>30.125517391600201</v>
      </c>
      <c r="AC153" s="6">
        <v>30.114871216282801</v>
      </c>
      <c r="AD153" s="6">
        <v>30.0907720319845</v>
      </c>
      <c r="AE153" s="7">
        <v>1.40236597721112E-3</v>
      </c>
      <c r="AF153" s="7">
        <v>1.0489095777997E-3</v>
      </c>
      <c r="AG153" s="7">
        <v>2.4834722898502999E-4</v>
      </c>
      <c r="AZ153" s="23"/>
      <c r="BB153" s="12">
        <f t="shared" si="46"/>
        <v>0</v>
      </c>
      <c r="BC153" s="12">
        <f t="shared" si="47"/>
        <v>1</v>
      </c>
      <c r="BD153" s="12">
        <f t="shared" si="48"/>
        <v>1</v>
      </c>
      <c r="BE153" s="12">
        <f t="shared" si="44"/>
        <v>1</v>
      </c>
      <c r="BF153" s="12">
        <f t="shared" si="49"/>
        <v>1</v>
      </c>
      <c r="BG153" s="23">
        <f t="shared" si="50"/>
        <v>3.7043897441577101E-4</v>
      </c>
      <c r="BH153" s="23">
        <f t="shared" si="51"/>
        <v>0</v>
      </c>
      <c r="BI153" s="23">
        <f t="shared" si="52"/>
        <v>3.7043897441577101E-4</v>
      </c>
      <c r="BJ153" s="18">
        <f t="shared" si="53"/>
        <v>5.064868419456036E-3</v>
      </c>
      <c r="BL153" s="23"/>
      <c r="BN153" s="12">
        <f t="shared" si="54"/>
        <v>0</v>
      </c>
      <c r="BO153" s="12">
        <f t="shared" si="55"/>
        <v>1</v>
      </c>
      <c r="BP153" s="12">
        <f t="shared" si="56"/>
        <v>0</v>
      </c>
      <c r="BQ153" s="12">
        <f t="shared" si="45"/>
        <v>1</v>
      </c>
      <c r="BR153" s="12">
        <f t="shared" si="57"/>
        <v>0</v>
      </c>
      <c r="BS153" s="23">
        <f t="shared" si="58"/>
        <v>0</v>
      </c>
      <c r="BT153" s="23">
        <f t="shared" si="59"/>
        <v>0</v>
      </c>
      <c r="BU153" s="23">
        <f t="shared" si="60"/>
        <v>0</v>
      </c>
      <c r="BV153" s="18">
        <f t="shared" si="61"/>
        <v>3.3369207376346193E-3</v>
      </c>
      <c r="BX153" s="18">
        <f t="shared" si="62"/>
        <v>3.7043897441577101E-4</v>
      </c>
      <c r="BY153" s="18">
        <f t="shared" si="63"/>
        <v>8.4017891570906562E-3</v>
      </c>
    </row>
    <row r="154" spans="1:77" x14ac:dyDescent="0.3">
      <c r="A154" s="1">
        <v>46246</v>
      </c>
      <c r="B154" s="6">
        <v>27.02</v>
      </c>
      <c r="C154" s="6">
        <v>29.03</v>
      </c>
      <c r="D154" s="7">
        <v>7.4046652772369196E-4</v>
      </c>
      <c r="E154" s="7">
        <v>2.4142105190228802E-3</v>
      </c>
      <c r="F154" s="6">
        <v>0</v>
      </c>
      <c r="G154" s="6">
        <v>1.0297999999999901</v>
      </c>
      <c r="H154" s="6">
        <v>0</v>
      </c>
      <c r="I154" s="6">
        <v>1.1233</v>
      </c>
      <c r="J154" s="6">
        <v>1.0297999999999901</v>
      </c>
      <c r="K154" s="6">
        <v>1.1233</v>
      </c>
      <c r="L154" s="6">
        <v>28.049799999999902</v>
      </c>
      <c r="M154" s="6">
        <v>30.153300000000002</v>
      </c>
      <c r="N154" s="8">
        <v>1.07438934122871</v>
      </c>
      <c r="O154" s="8">
        <v>1.0748223497963401</v>
      </c>
      <c r="P154" s="8">
        <v>1.0739162655163099</v>
      </c>
      <c r="Q154" s="8">
        <v>1.0732881010928299</v>
      </c>
      <c r="R154" s="6">
        <v>29.041699891497199</v>
      </c>
      <c r="S154" s="6">
        <v>29.015396943245602</v>
      </c>
      <c r="T154" s="6">
        <v>28.995817815035998</v>
      </c>
      <c r="U154" s="7">
        <v>4.02946415464043E-4</v>
      </c>
      <c r="V154" s="7">
        <v>-5.0315986560384802E-4</v>
      </c>
      <c r="W154" s="7">
        <v>-1.17817172441706E-3</v>
      </c>
      <c r="X154" s="8">
        <v>1.07499162204365</v>
      </c>
      <c r="Y154" s="8">
        <v>1.07476747574368</v>
      </c>
      <c r="Z154" s="8">
        <v>1.07447055138905</v>
      </c>
      <c r="AA154" s="8">
        <v>1.0737291753481499</v>
      </c>
      <c r="AB154" s="6">
        <v>30.147012741114999</v>
      </c>
      <c r="AC154" s="6">
        <v>30.135934361303999</v>
      </c>
      <c r="AD154" s="6">
        <v>30.112974062553899</v>
      </c>
      <c r="AE154" s="7">
        <v>-2.0853155222235701E-4</v>
      </c>
      <c r="AF154" s="7">
        <v>-5.7607761519037101E-4</v>
      </c>
      <c r="AG154" s="7">
        <v>-1.3382590542297399E-3</v>
      </c>
      <c r="AZ154" s="23"/>
      <c r="BB154" s="12">
        <f t="shared" si="46"/>
        <v>1</v>
      </c>
      <c r="BC154" s="12">
        <f t="shared" si="47"/>
        <v>0</v>
      </c>
      <c r="BD154" s="12">
        <f t="shared" si="48"/>
        <v>0</v>
      </c>
      <c r="BE154" s="12">
        <f t="shared" si="44"/>
        <v>1</v>
      </c>
      <c r="BF154" s="12">
        <f t="shared" si="49"/>
        <v>0</v>
      </c>
      <c r="BG154" s="23">
        <f t="shared" si="50"/>
        <v>0</v>
      </c>
      <c r="BH154" s="23">
        <f t="shared" si="51"/>
        <v>0</v>
      </c>
      <c r="BI154" s="23">
        <f t="shared" si="52"/>
        <v>0</v>
      </c>
      <c r="BJ154" s="18">
        <f t="shared" si="53"/>
        <v>5.064868419456036E-3</v>
      </c>
      <c r="BL154" s="23"/>
      <c r="BN154" s="12">
        <f t="shared" si="54"/>
        <v>0</v>
      </c>
      <c r="BO154" s="12">
        <f t="shared" si="55"/>
        <v>1</v>
      </c>
      <c r="BP154" s="12">
        <f t="shared" si="56"/>
        <v>0</v>
      </c>
      <c r="BQ154" s="12">
        <f t="shared" si="45"/>
        <v>1</v>
      </c>
      <c r="BR154" s="12">
        <f t="shared" si="57"/>
        <v>0</v>
      </c>
      <c r="BS154" s="23">
        <f t="shared" si="58"/>
        <v>0</v>
      </c>
      <c r="BT154" s="23">
        <f t="shared" si="59"/>
        <v>0</v>
      </c>
      <c r="BU154" s="23">
        <f t="shared" si="60"/>
        <v>0</v>
      </c>
      <c r="BV154" s="18">
        <f t="shared" si="61"/>
        <v>3.3369207376346193E-3</v>
      </c>
      <c r="BX154" s="18">
        <f t="shared" si="62"/>
        <v>0</v>
      </c>
      <c r="BY154" s="18">
        <f t="shared" si="63"/>
        <v>8.4017891570906562E-3</v>
      </c>
    </row>
    <row r="155" spans="1:77" x14ac:dyDescent="0.3">
      <c r="A155" s="1">
        <v>46247</v>
      </c>
      <c r="B155" s="6">
        <v>27.12</v>
      </c>
      <c r="C155" s="6">
        <v>29.09</v>
      </c>
      <c r="D155" s="7">
        <v>3.6941305401420898E-3</v>
      </c>
      <c r="E155" s="7">
        <v>2.06469447057179E-3</v>
      </c>
      <c r="F155" s="6">
        <v>0</v>
      </c>
      <c r="G155" s="6">
        <v>1.0297999999999901</v>
      </c>
      <c r="H155" s="6">
        <v>0</v>
      </c>
      <c r="I155" s="6">
        <v>1.1233</v>
      </c>
      <c r="J155" s="6">
        <v>1.0297999999999901</v>
      </c>
      <c r="K155" s="6">
        <v>1.1233</v>
      </c>
      <c r="L155" s="6">
        <v>28.149799999999999</v>
      </c>
      <c r="M155" s="6">
        <v>30.2133</v>
      </c>
      <c r="N155" s="8">
        <v>1.0726401179941001</v>
      </c>
      <c r="O155" s="8">
        <v>1.0748223497963401</v>
      </c>
      <c r="P155" s="8">
        <v>1.0738333385402099</v>
      </c>
      <c r="Q155" s="8">
        <v>1.0733434108273401</v>
      </c>
      <c r="R155" s="6">
        <v>29.149182126476902</v>
      </c>
      <c r="S155" s="6">
        <v>29.1246091208025</v>
      </c>
      <c r="T155" s="6">
        <v>29.107573301637601</v>
      </c>
      <c r="U155" s="7">
        <v>2.0323824850343101E-3</v>
      </c>
      <c r="V155" s="7">
        <v>1.1890185437168799E-3</v>
      </c>
      <c r="W155" s="7">
        <v>6.0391872632332695E-4</v>
      </c>
      <c r="X155" s="8">
        <v>1.0733042508294901</v>
      </c>
      <c r="Y155" s="8">
        <v>1.07476747574368</v>
      </c>
      <c r="Z155" s="8">
        <v>1.07442377709144</v>
      </c>
      <c r="AA155" s="8">
        <v>1.0737996061442301</v>
      </c>
      <c r="AB155" s="6">
        <v>30.254489488689401</v>
      </c>
      <c r="AC155" s="6">
        <v>30.246131127491601</v>
      </c>
      <c r="AD155" s="6">
        <v>30.225261540215399</v>
      </c>
      <c r="AE155" s="7">
        <v>1.3623615286249601E-3</v>
      </c>
      <c r="AF155" s="7">
        <v>1.0860549001674401E-3</v>
      </c>
      <c r="AG155" s="7">
        <v>3.9582478691610798E-4</v>
      </c>
      <c r="AZ155" s="23"/>
      <c r="BB155" s="12">
        <f t="shared" si="46"/>
        <v>0</v>
      </c>
      <c r="BC155" s="12">
        <f t="shared" si="47"/>
        <v>1</v>
      </c>
      <c r="BD155" s="12">
        <f t="shared" si="48"/>
        <v>1</v>
      </c>
      <c r="BE155" s="12">
        <f t="shared" si="44"/>
        <v>1</v>
      </c>
      <c r="BF155" s="12">
        <f t="shared" si="49"/>
        <v>1</v>
      </c>
      <c r="BG155" s="23">
        <f t="shared" si="50"/>
        <v>3.6941305401420898E-3</v>
      </c>
      <c r="BH155" s="23">
        <f t="shared" si="51"/>
        <v>-2.06469447057179E-3</v>
      </c>
      <c r="BI155" s="23">
        <f t="shared" si="52"/>
        <v>1.6294360695702998E-3</v>
      </c>
      <c r="BJ155" s="18">
        <f t="shared" si="53"/>
        <v>6.6943044890263358E-3</v>
      </c>
      <c r="BL155" s="23"/>
      <c r="BN155" s="12">
        <f t="shared" si="54"/>
        <v>0</v>
      </c>
      <c r="BO155" s="12">
        <f t="shared" si="55"/>
        <v>1</v>
      </c>
      <c r="BP155" s="12">
        <f t="shared" si="56"/>
        <v>0</v>
      </c>
      <c r="BQ155" s="12">
        <f t="shared" si="45"/>
        <v>1</v>
      </c>
      <c r="BR155" s="12">
        <f t="shared" si="57"/>
        <v>0</v>
      </c>
      <c r="BS155" s="23">
        <f t="shared" si="58"/>
        <v>0</v>
      </c>
      <c r="BT155" s="23">
        <f t="shared" si="59"/>
        <v>0</v>
      </c>
      <c r="BU155" s="23">
        <f t="shared" si="60"/>
        <v>0</v>
      </c>
      <c r="BV155" s="18">
        <f t="shared" si="61"/>
        <v>3.3369207376346193E-3</v>
      </c>
      <c r="BX155" s="18">
        <f t="shared" si="62"/>
        <v>1.6294360695702998E-3</v>
      </c>
      <c r="BY155" s="18">
        <f t="shared" si="63"/>
        <v>1.0031225226660955E-2</v>
      </c>
    </row>
    <row r="156" spans="1:77" x14ac:dyDescent="0.3">
      <c r="A156" s="1">
        <v>46248</v>
      </c>
      <c r="B156" s="6">
        <v>27.07</v>
      </c>
      <c r="C156" s="6">
        <v>29.04</v>
      </c>
      <c r="D156" s="7">
        <v>-1.84535944598501E-3</v>
      </c>
      <c r="E156" s="7">
        <v>-1.72028255051491E-3</v>
      </c>
      <c r="F156" s="6">
        <v>0</v>
      </c>
      <c r="G156" s="6">
        <v>1.0297999999999901</v>
      </c>
      <c r="H156" s="6">
        <v>0</v>
      </c>
      <c r="I156" s="6">
        <v>1.1233</v>
      </c>
      <c r="J156" s="6">
        <v>1.0297999999999901</v>
      </c>
      <c r="K156" s="6">
        <v>1.1233</v>
      </c>
      <c r="L156" s="6">
        <v>28.099799999999998</v>
      </c>
      <c r="M156" s="6">
        <v>30.1633</v>
      </c>
      <c r="N156" s="8">
        <v>1.0727742888806699</v>
      </c>
      <c r="O156" s="8">
        <v>1.0748223497963401</v>
      </c>
      <c r="P156" s="8">
        <v>1.0736813469230799</v>
      </c>
      <c r="Q156" s="8">
        <v>1.07342386568435</v>
      </c>
      <c r="R156" s="6">
        <v>29.095441008987098</v>
      </c>
      <c r="S156" s="6">
        <v>29.068668474283601</v>
      </c>
      <c r="T156" s="6">
        <v>29.055406131096198</v>
      </c>
      <c r="U156" s="7">
        <v>1.9073055895643099E-3</v>
      </c>
      <c r="V156" s="7">
        <v>9.8671944693909603E-4</v>
      </c>
      <c r="W156" s="7">
        <v>5.3037348332211096E-4</v>
      </c>
      <c r="X156" s="8">
        <v>1.0734346863678701</v>
      </c>
      <c r="Y156" s="8">
        <v>1.07476747574368</v>
      </c>
      <c r="Z156" s="8">
        <v>1.07431014778098</v>
      </c>
      <c r="AA156" s="8">
        <v>1.0738944147759699</v>
      </c>
      <c r="AB156" s="6">
        <v>30.2007511149022</v>
      </c>
      <c r="AC156" s="6">
        <v>30.191093251514001</v>
      </c>
      <c r="AD156" s="6">
        <v>30.173554172731698</v>
      </c>
      <c r="AE156" s="7">
        <v>1.240841826081E-3</v>
      </c>
      <c r="AF156" s="7">
        <v>9.2100183537219E-4</v>
      </c>
      <c r="AG156" s="7">
        <v>3.3989749618296302E-4</v>
      </c>
      <c r="AZ156" s="23"/>
      <c r="BB156" s="12">
        <f t="shared" si="46"/>
        <v>0</v>
      </c>
      <c r="BC156" s="12">
        <f t="shared" si="47"/>
        <v>1</v>
      </c>
      <c r="BD156" s="12">
        <f t="shared" si="48"/>
        <v>0</v>
      </c>
      <c r="BE156" s="12">
        <f t="shared" si="44"/>
        <v>1</v>
      </c>
      <c r="BF156" s="12">
        <f t="shared" si="49"/>
        <v>0</v>
      </c>
      <c r="BG156" s="23">
        <f t="shared" si="50"/>
        <v>0</v>
      </c>
      <c r="BH156" s="23">
        <f t="shared" si="51"/>
        <v>0</v>
      </c>
      <c r="BI156" s="23">
        <f t="shared" si="52"/>
        <v>0</v>
      </c>
      <c r="BJ156" s="18">
        <f t="shared" si="53"/>
        <v>6.6943044890263358E-3</v>
      </c>
      <c r="BL156" s="23"/>
      <c r="BN156" s="12">
        <f t="shared" si="54"/>
        <v>0</v>
      </c>
      <c r="BO156" s="12">
        <f t="shared" si="55"/>
        <v>1</v>
      </c>
      <c r="BP156" s="12">
        <f t="shared" si="56"/>
        <v>0</v>
      </c>
      <c r="BQ156" s="12">
        <f t="shared" si="45"/>
        <v>1</v>
      </c>
      <c r="BR156" s="12">
        <f t="shared" si="57"/>
        <v>0</v>
      </c>
      <c r="BS156" s="23">
        <f t="shared" si="58"/>
        <v>0</v>
      </c>
      <c r="BT156" s="23">
        <f t="shared" si="59"/>
        <v>0</v>
      </c>
      <c r="BU156" s="23">
        <f t="shared" si="60"/>
        <v>0</v>
      </c>
      <c r="BV156" s="18">
        <f t="shared" si="61"/>
        <v>3.3369207376346193E-3</v>
      </c>
      <c r="BX156" s="18">
        <f t="shared" si="62"/>
        <v>0</v>
      </c>
      <c r="BY156" s="18">
        <f t="shared" si="63"/>
        <v>1.0031225226660955E-2</v>
      </c>
    </row>
    <row r="157" spans="1:77" x14ac:dyDescent="0.3">
      <c r="A157" s="1">
        <v>46251</v>
      </c>
      <c r="B157" s="6">
        <v>27.02</v>
      </c>
      <c r="C157" s="6">
        <v>29</v>
      </c>
      <c r="D157" s="7">
        <v>-1.84877109415702E-3</v>
      </c>
      <c r="E157" s="7">
        <v>-1.37835997012127E-3</v>
      </c>
      <c r="F157" s="6">
        <v>0</v>
      </c>
      <c r="G157" s="6">
        <v>1.0297999999999901</v>
      </c>
      <c r="H157" s="6">
        <v>0</v>
      </c>
      <c r="I157" s="6">
        <v>1.1233</v>
      </c>
      <c r="J157" s="6">
        <v>1.0297999999999901</v>
      </c>
      <c r="K157" s="6">
        <v>1.1233</v>
      </c>
      <c r="L157" s="6">
        <v>28.049799999999902</v>
      </c>
      <c r="M157" s="6">
        <v>30.1233</v>
      </c>
      <c r="N157" s="8">
        <v>1.07327905255366</v>
      </c>
      <c r="O157" s="8">
        <v>1.0748223497963401</v>
      </c>
      <c r="P157" s="8">
        <v>1.0736404393760599</v>
      </c>
      <c r="Q157" s="8">
        <v>1.0734675744997</v>
      </c>
      <c r="R157" s="6">
        <v>29.041699891497199</v>
      </c>
      <c r="S157" s="6">
        <v>29.0108699938617</v>
      </c>
      <c r="T157" s="6">
        <v>29.003912850791298</v>
      </c>
      <c r="U157" s="7">
        <v>1.43689446552852E-3</v>
      </c>
      <c r="V157" s="7">
        <v>3.7475714431043798E-4</v>
      </c>
      <c r="W157" s="7">
        <v>1.3491678767836701E-4</v>
      </c>
      <c r="X157" s="8">
        <v>1.0739220957012101</v>
      </c>
      <c r="Y157" s="8">
        <v>1.07476747574368</v>
      </c>
      <c r="Z157" s="8">
        <v>1.07427040443387</v>
      </c>
      <c r="AA157" s="8">
        <v>1.0739535314708599</v>
      </c>
      <c r="AB157" s="6">
        <v>30.147012741114999</v>
      </c>
      <c r="AC157" s="6">
        <v>30.1341847832269</v>
      </c>
      <c r="AD157" s="6">
        <v>30.122523555583001</v>
      </c>
      <c r="AE157" s="7">
        <v>7.8687968454659398E-4</v>
      </c>
      <c r="AF157" s="7">
        <v>3.6127572813589401E-4</v>
      </c>
      <c r="AG157" s="7">
        <v>-2.5775875278047601E-5</v>
      </c>
      <c r="BB157" s="12">
        <f t="shared" si="46"/>
        <v>0</v>
      </c>
      <c r="BC157" s="12">
        <f t="shared" si="47"/>
        <v>0</v>
      </c>
      <c r="BD157" s="12">
        <f t="shared" si="48"/>
        <v>0</v>
      </c>
      <c r="BE157" s="12">
        <f t="shared" si="44"/>
        <v>1</v>
      </c>
      <c r="BF157" s="12">
        <f t="shared" si="49"/>
        <v>0</v>
      </c>
      <c r="BG157" s="23">
        <f t="shared" si="50"/>
        <v>0</v>
      </c>
      <c r="BH157" s="23">
        <f t="shared" si="51"/>
        <v>0</v>
      </c>
      <c r="BI157" s="23">
        <f t="shared" si="52"/>
        <v>0</v>
      </c>
      <c r="BJ157" s="18">
        <f t="shared" si="53"/>
        <v>6.6943044890263358E-3</v>
      </c>
      <c r="BL157" s="23"/>
      <c r="BN157" s="12">
        <f t="shared" si="54"/>
        <v>0</v>
      </c>
      <c r="BO157" s="12">
        <f t="shared" si="55"/>
        <v>1</v>
      </c>
      <c r="BP157" s="12">
        <f t="shared" si="56"/>
        <v>0</v>
      </c>
      <c r="BQ157" s="12">
        <f t="shared" si="45"/>
        <v>1</v>
      </c>
      <c r="BR157" s="12">
        <f t="shared" si="57"/>
        <v>0</v>
      </c>
      <c r="BS157" s="23">
        <f t="shared" si="58"/>
        <v>0</v>
      </c>
      <c r="BT157" s="23">
        <f t="shared" si="59"/>
        <v>0</v>
      </c>
      <c r="BU157" s="23">
        <f t="shared" si="60"/>
        <v>0</v>
      </c>
      <c r="BV157" s="18">
        <f t="shared" si="61"/>
        <v>3.3369207376346193E-3</v>
      </c>
      <c r="BX157" s="18">
        <f t="shared" si="62"/>
        <v>0</v>
      </c>
      <c r="BY157" s="18">
        <f t="shared" si="63"/>
        <v>1.0031225226660955E-2</v>
      </c>
    </row>
    <row r="158" spans="1:77" x14ac:dyDescent="0.3">
      <c r="A158" s="1">
        <v>46252</v>
      </c>
      <c r="B158" s="6">
        <v>26.98</v>
      </c>
      <c r="C158" s="6">
        <v>28.99</v>
      </c>
      <c r="D158" s="7">
        <v>-1.48148175244291E-3</v>
      </c>
      <c r="E158" s="7">
        <v>-3.4488705290991201E-4</v>
      </c>
      <c r="F158" s="6">
        <v>0</v>
      </c>
      <c r="G158" s="6">
        <v>1.0297999999999901</v>
      </c>
      <c r="H158" s="6">
        <v>0</v>
      </c>
      <c r="I158" s="6">
        <v>1.1233</v>
      </c>
      <c r="J158" s="6">
        <v>1.0297999999999901</v>
      </c>
      <c r="K158" s="6">
        <v>1.1233</v>
      </c>
      <c r="L158" s="6">
        <v>28.009799999999998</v>
      </c>
      <c r="M158" s="6">
        <v>30.113299999999999</v>
      </c>
      <c r="N158" s="8">
        <v>1.0744996293550699</v>
      </c>
      <c r="O158" s="8">
        <v>1.0748223497963401</v>
      </c>
      <c r="P158" s="8">
        <v>1.0737145683605001</v>
      </c>
      <c r="Q158" s="8">
        <v>1.07358678673668</v>
      </c>
      <c r="R158" s="6">
        <v>28.998706997505401</v>
      </c>
      <c r="S158" s="6">
        <v>28.966819054366301</v>
      </c>
      <c r="T158" s="6">
        <v>28.962155160001998</v>
      </c>
      <c r="U158" s="7">
        <v>3.0029976599556599E-4</v>
      </c>
      <c r="V158" s="7">
        <v>-7.9993854901071399E-4</v>
      </c>
      <c r="W158" s="7">
        <v>-9.60959676611816E-4</v>
      </c>
      <c r="X158" s="8">
        <v>1.0750987154495899</v>
      </c>
      <c r="Y158" s="8">
        <v>1.07476747574368</v>
      </c>
      <c r="Z158" s="8">
        <v>1.0743418080140501</v>
      </c>
      <c r="AA158" s="8">
        <v>1.07408547867172</v>
      </c>
      <c r="AB158" s="6">
        <v>30.104022042085301</v>
      </c>
      <c r="AC158" s="6">
        <v>30.090099174112002</v>
      </c>
      <c r="AD158" s="6">
        <v>30.0812236257925</v>
      </c>
      <c r="AE158" s="7">
        <v>-3.0814913959779E-4</v>
      </c>
      <c r="AF158" s="7">
        <v>-7.7074807584960299E-4</v>
      </c>
      <c r="AG158" s="7">
        <v>-1.06575732513362E-3</v>
      </c>
      <c r="BB158" s="12">
        <f t="shared" si="46"/>
        <v>1</v>
      </c>
      <c r="BC158" s="12">
        <f t="shared" si="47"/>
        <v>0</v>
      </c>
      <c r="BD158" s="12">
        <f t="shared" si="48"/>
        <v>0</v>
      </c>
      <c r="BE158" s="12">
        <f t="shared" si="44"/>
        <v>1</v>
      </c>
      <c r="BF158" s="12">
        <f t="shared" si="49"/>
        <v>0</v>
      </c>
      <c r="BG158" s="23">
        <f t="shared" si="50"/>
        <v>0</v>
      </c>
      <c r="BH158" s="23">
        <f t="shared" si="51"/>
        <v>0</v>
      </c>
      <c r="BI158" s="23">
        <f t="shared" si="52"/>
        <v>0</v>
      </c>
      <c r="BJ158" s="18">
        <f t="shared" si="53"/>
        <v>6.6943044890263358E-3</v>
      </c>
      <c r="BL158" s="23"/>
      <c r="BN158" s="12">
        <f t="shared" si="54"/>
        <v>0</v>
      </c>
      <c r="BO158" s="12">
        <f t="shared" si="55"/>
        <v>1</v>
      </c>
      <c r="BP158" s="12">
        <f t="shared" si="56"/>
        <v>0</v>
      </c>
      <c r="BQ158" s="12">
        <f t="shared" si="45"/>
        <v>1</v>
      </c>
      <c r="BR158" s="12">
        <f t="shared" si="57"/>
        <v>0</v>
      </c>
      <c r="BS158" s="23">
        <f t="shared" si="58"/>
        <v>0</v>
      </c>
      <c r="BT158" s="23">
        <f t="shared" si="59"/>
        <v>0</v>
      </c>
      <c r="BU158" s="23">
        <f t="shared" si="60"/>
        <v>0</v>
      </c>
      <c r="BV158" s="18">
        <f t="shared" si="61"/>
        <v>3.3369207376346193E-3</v>
      </c>
      <c r="BX158" s="18">
        <f t="shared" si="62"/>
        <v>0</v>
      </c>
      <c r="BY158" s="18">
        <f t="shared" si="63"/>
        <v>1.0031225226660955E-2</v>
      </c>
    </row>
    <row r="159" spans="1:77" x14ac:dyDescent="0.3">
      <c r="A159" s="1">
        <v>46253</v>
      </c>
      <c r="B159" s="6">
        <v>27.07</v>
      </c>
      <c r="C159" s="6">
        <v>29.07</v>
      </c>
      <c r="D159" s="7">
        <v>3.3302528465999899E-3</v>
      </c>
      <c r="E159" s="7">
        <v>2.7557716372204502E-3</v>
      </c>
      <c r="F159" s="6">
        <v>0</v>
      </c>
      <c r="G159" s="6">
        <v>1.0297999999999901</v>
      </c>
      <c r="H159" s="6">
        <v>0</v>
      </c>
      <c r="I159" s="6">
        <v>1.1233</v>
      </c>
      <c r="J159" s="6">
        <v>1.0297999999999901</v>
      </c>
      <c r="K159" s="6">
        <v>1.1233</v>
      </c>
      <c r="L159" s="6">
        <v>28.099799999999998</v>
      </c>
      <c r="M159" s="6">
        <v>30.193300000000001</v>
      </c>
      <c r="N159" s="8">
        <v>1.0738825267824099</v>
      </c>
      <c r="O159" s="8">
        <v>1.0748223497963401</v>
      </c>
      <c r="P159" s="8">
        <v>1.07372698708766</v>
      </c>
      <c r="Q159" s="8">
        <v>1.0736485928385899</v>
      </c>
      <c r="R159" s="6">
        <v>29.095441008987098</v>
      </c>
      <c r="S159" s="6">
        <v>29.0654533655187</v>
      </c>
      <c r="T159" s="6">
        <v>29.0619943169621</v>
      </c>
      <c r="U159" s="7">
        <v>8.7478097537512802E-4</v>
      </c>
      <c r="V159" s="7">
        <v>-1.56415207151651E-4</v>
      </c>
      <c r="W159" s="7">
        <v>-2.7543122105199097E-4</v>
      </c>
      <c r="X159" s="8">
        <v>1.07450230962497</v>
      </c>
      <c r="Y159" s="8">
        <v>1.07476747574368</v>
      </c>
      <c r="Z159" s="8">
        <v>1.07435357101176</v>
      </c>
      <c r="AA159" s="8">
        <v>1.0741618577155001</v>
      </c>
      <c r="AB159" s="6">
        <v>30.2007511149022</v>
      </c>
      <c r="AC159" s="6">
        <v>30.188789936833199</v>
      </c>
      <c r="AD159" s="6">
        <v>30.1815871335798</v>
      </c>
      <c r="AE159" s="7">
        <v>2.4674996303529598E-4</v>
      </c>
      <c r="AF159" s="7">
        <v>-1.49384136250256E-4</v>
      </c>
      <c r="AG159" s="7">
        <v>-3.8800458678000399E-4</v>
      </c>
      <c r="BB159" s="12">
        <f t="shared" si="46"/>
        <v>0</v>
      </c>
      <c r="BC159" s="12">
        <f t="shared" si="47"/>
        <v>0</v>
      </c>
      <c r="BD159" s="12">
        <f t="shared" si="48"/>
        <v>1</v>
      </c>
      <c r="BE159" s="12">
        <f t="shared" si="44"/>
        <v>1</v>
      </c>
      <c r="BF159" s="12">
        <f t="shared" si="49"/>
        <v>1</v>
      </c>
      <c r="BG159" s="23">
        <f t="shared" si="50"/>
        <v>3.3302528465999899E-3</v>
      </c>
      <c r="BH159" s="23">
        <f t="shared" si="51"/>
        <v>-2.7557716372204502E-3</v>
      </c>
      <c r="BI159" s="23">
        <f t="shared" si="52"/>
        <v>5.744812093795397E-4</v>
      </c>
      <c r="BJ159" s="18">
        <f t="shared" si="53"/>
        <v>7.2687856984058755E-3</v>
      </c>
      <c r="BL159" s="23"/>
      <c r="BN159" s="12">
        <f t="shared" si="54"/>
        <v>0</v>
      </c>
      <c r="BO159" s="12">
        <f t="shared" si="55"/>
        <v>1</v>
      </c>
      <c r="BP159" s="12">
        <f t="shared" si="56"/>
        <v>0</v>
      </c>
      <c r="BQ159" s="12">
        <f t="shared" si="45"/>
        <v>1</v>
      </c>
      <c r="BR159" s="12">
        <f t="shared" si="57"/>
        <v>0</v>
      </c>
      <c r="BS159" s="23">
        <f t="shared" si="58"/>
        <v>0</v>
      </c>
      <c r="BT159" s="23">
        <f t="shared" si="59"/>
        <v>0</v>
      </c>
      <c r="BU159" s="23">
        <f t="shared" si="60"/>
        <v>0</v>
      </c>
      <c r="BV159" s="18">
        <f t="shared" si="61"/>
        <v>3.3369207376346193E-3</v>
      </c>
      <c r="BX159" s="18">
        <f t="shared" si="62"/>
        <v>5.744812093795397E-4</v>
      </c>
      <c r="BY159" s="18">
        <f t="shared" si="63"/>
        <v>1.0605706436040495E-2</v>
      </c>
    </row>
    <row r="160" spans="1:77" x14ac:dyDescent="0.3">
      <c r="A160" s="1">
        <v>46254</v>
      </c>
      <c r="B160" s="6">
        <v>27</v>
      </c>
      <c r="C160" s="6">
        <v>28.99</v>
      </c>
      <c r="D160" s="7">
        <v>-2.5892376218807898E-3</v>
      </c>
      <c r="E160" s="7">
        <v>-2.7557716372204398E-3</v>
      </c>
      <c r="F160" s="6">
        <v>0</v>
      </c>
      <c r="G160" s="6">
        <v>1.0297999999999901</v>
      </c>
      <c r="H160" s="6">
        <v>0</v>
      </c>
      <c r="I160" s="6">
        <v>1.1233</v>
      </c>
      <c r="J160" s="6">
        <v>1.0297999999999901</v>
      </c>
      <c r="K160" s="6">
        <v>1.1233</v>
      </c>
      <c r="L160" s="6">
        <v>28.029800000000002</v>
      </c>
      <c r="M160" s="6">
        <v>30.113299999999999</v>
      </c>
      <c r="N160" s="8">
        <v>1.0737037037037001</v>
      </c>
      <c r="O160" s="8">
        <v>1.0748223497963401</v>
      </c>
      <c r="P160" s="8">
        <v>1.0735964291253199</v>
      </c>
      <c r="Q160" s="8">
        <v>1.0736852299969699</v>
      </c>
      <c r="R160" s="6">
        <v>29.020203444501298</v>
      </c>
      <c r="S160" s="6">
        <v>28.990628651367</v>
      </c>
      <c r="T160" s="6">
        <v>28.9885120066421</v>
      </c>
      <c r="U160" s="7">
        <v>1.04131499071492E-3</v>
      </c>
      <c r="V160" s="7">
        <v>2.16848758518287E-5</v>
      </c>
      <c r="W160" s="7">
        <v>-5.1329132353403603E-5</v>
      </c>
      <c r="X160" s="8">
        <v>1.0743316042212201</v>
      </c>
      <c r="Y160" s="8">
        <v>1.07476747574368</v>
      </c>
      <c r="Z160" s="8">
        <v>1.07422766448777</v>
      </c>
      <c r="AA160" s="8">
        <v>1.0742139184486601</v>
      </c>
      <c r="AB160" s="6">
        <v>30.125517391600201</v>
      </c>
      <c r="AC160" s="6">
        <v>30.113915724745599</v>
      </c>
      <c r="AD160" s="6">
        <v>30.108542039393999</v>
      </c>
      <c r="AE160" s="7">
        <v>4.0563185987895801E-4</v>
      </c>
      <c r="AF160" s="7">
        <v>2.0446727886947998E-5</v>
      </c>
      <c r="AG160" s="7">
        <v>-1.5801444973289E-4</v>
      </c>
      <c r="BB160" s="12">
        <f t="shared" si="46"/>
        <v>0</v>
      </c>
      <c r="BC160" s="12">
        <f t="shared" si="47"/>
        <v>0</v>
      </c>
      <c r="BD160" s="12">
        <f t="shared" si="48"/>
        <v>1</v>
      </c>
      <c r="BE160" s="12">
        <f t="shared" si="44"/>
        <v>1</v>
      </c>
      <c r="BF160" s="12">
        <f t="shared" si="49"/>
        <v>1</v>
      </c>
      <c r="BG160" s="23">
        <f t="shared" si="50"/>
        <v>-2.5892376218807898E-3</v>
      </c>
      <c r="BH160" s="23">
        <f t="shared" si="51"/>
        <v>2.7557716372204398E-3</v>
      </c>
      <c r="BI160" s="23">
        <f t="shared" si="52"/>
        <v>1.6653401533964999E-4</v>
      </c>
      <c r="BJ160" s="18">
        <f t="shared" si="53"/>
        <v>7.4353197137455255E-3</v>
      </c>
      <c r="BL160" s="23"/>
      <c r="BN160" s="12">
        <f t="shared" si="54"/>
        <v>0</v>
      </c>
      <c r="BO160" s="12">
        <f t="shared" si="55"/>
        <v>1</v>
      </c>
      <c r="BP160" s="12">
        <f t="shared" si="56"/>
        <v>0</v>
      </c>
      <c r="BQ160" s="12">
        <f t="shared" si="45"/>
        <v>1</v>
      </c>
      <c r="BR160" s="12">
        <f t="shared" si="57"/>
        <v>0</v>
      </c>
      <c r="BS160" s="23">
        <f t="shared" si="58"/>
        <v>0</v>
      </c>
      <c r="BT160" s="23">
        <f t="shared" si="59"/>
        <v>0</v>
      </c>
      <c r="BU160" s="23">
        <f t="shared" si="60"/>
        <v>0</v>
      </c>
      <c r="BV160" s="18">
        <f t="shared" si="61"/>
        <v>3.3369207376346193E-3</v>
      </c>
      <c r="BX160" s="18">
        <f t="shared" si="62"/>
        <v>1.6653401533964999E-4</v>
      </c>
      <c r="BY160" s="18">
        <f t="shared" si="63"/>
        <v>1.0772240451380144E-2</v>
      </c>
    </row>
    <row r="161" spans="1:77" x14ac:dyDescent="0.3">
      <c r="A161" s="1">
        <v>46255</v>
      </c>
      <c r="B161" s="6">
        <v>27</v>
      </c>
      <c r="C161" s="6">
        <v>29</v>
      </c>
      <c r="D161" s="7">
        <v>0</v>
      </c>
      <c r="E161" s="7">
        <v>3.4488705290998601E-4</v>
      </c>
      <c r="F161" s="6">
        <v>0</v>
      </c>
      <c r="G161" s="6">
        <v>1.0297999999999901</v>
      </c>
      <c r="H161" s="6">
        <v>0</v>
      </c>
      <c r="I161" s="6">
        <v>1.1233</v>
      </c>
      <c r="J161" s="6">
        <v>1.0297999999999901</v>
      </c>
      <c r="K161" s="6">
        <v>1.1233</v>
      </c>
      <c r="L161" s="6">
        <v>28.029800000000002</v>
      </c>
      <c r="M161" s="6">
        <v>30.1233</v>
      </c>
      <c r="N161" s="8">
        <v>1.07407407407407</v>
      </c>
      <c r="O161" s="8">
        <v>1.0748223497963401</v>
      </c>
      <c r="P161" s="8">
        <v>1.07348253234599</v>
      </c>
      <c r="Q161" s="8">
        <v>1.0737603516389</v>
      </c>
      <c r="R161" s="6">
        <v>29.020203444501298</v>
      </c>
      <c r="S161" s="6">
        <v>28.9871035863837</v>
      </c>
      <c r="T161" s="6">
        <v>28.989501209918298</v>
      </c>
      <c r="U161" s="7">
        <v>6.9642793780501898E-4</v>
      </c>
      <c r="V161" s="7">
        <v>-4.4480282791442002E-4</v>
      </c>
      <c r="W161" s="7">
        <v>-3.6209279187815197E-4</v>
      </c>
      <c r="X161" s="8">
        <v>1.0746883673804299</v>
      </c>
      <c r="Y161" s="8">
        <v>1.07476747574368</v>
      </c>
      <c r="Z161" s="8">
        <v>1.07411793178563</v>
      </c>
      <c r="AA161" s="8">
        <v>1.07430315472073</v>
      </c>
      <c r="AB161" s="6">
        <v>30.125517391600201</v>
      </c>
      <c r="AC161" s="6">
        <v>30.110386590059399</v>
      </c>
      <c r="AD161" s="6">
        <v>30.110001291332399</v>
      </c>
      <c r="AE161" s="7">
        <v>7.3607805006515198E-5</v>
      </c>
      <c r="AF161" s="7">
        <v>-4.2877701397653502E-4</v>
      </c>
      <c r="AG161" s="7">
        <v>-4.41573302427249E-4</v>
      </c>
      <c r="BB161" s="12">
        <f t="shared" si="46"/>
        <v>0</v>
      </c>
      <c r="BC161" s="12">
        <f t="shared" si="47"/>
        <v>0</v>
      </c>
      <c r="BD161" s="12">
        <f t="shared" si="48"/>
        <v>1</v>
      </c>
      <c r="BE161" s="12">
        <f t="shared" si="44"/>
        <v>1</v>
      </c>
      <c r="BF161" s="12">
        <f t="shared" si="49"/>
        <v>1</v>
      </c>
      <c r="BG161" s="23">
        <f t="shared" si="50"/>
        <v>0</v>
      </c>
      <c r="BH161" s="23">
        <f t="shared" si="51"/>
        <v>-3.4488705290998601E-4</v>
      </c>
      <c r="BI161" s="23">
        <f t="shared" si="52"/>
        <v>-3.4488705290998601E-4</v>
      </c>
      <c r="BJ161" s="18">
        <f t="shared" si="53"/>
        <v>7.0904326608355397E-3</v>
      </c>
      <c r="BL161" s="23"/>
      <c r="BN161" s="12">
        <f t="shared" si="54"/>
        <v>0</v>
      </c>
      <c r="BO161" s="12">
        <f t="shared" si="55"/>
        <v>1</v>
      </c>
      <c r="BP161" s="12">
        <f t="shared" si="56"/>
        <v>0</v>
      </c>
      <c r="BQ161" s="12">
        <f t="shared" si="45"/>
        <v>1</v>
      </c>
      <c r="BR161" s="12">
        <f t="shared" si="57"/>
        <v>0</v>
      </c>
      <c r="BS161" s="23">
        <f t="shared" si="58"/>
        <v>0</v>
      </c>
      <c r="BT161" s="23">
        <f t="shared" si="59"/>
        <v>0</v>
      </c>
      <c r="BU161" s="23">
        <f t="shared" si="60"/>
        <v>0</v>
      </c>
      <c r="BV161" s="18">
        <f t="shared" si="61"/>
        <v>3.3369207376346193E-3</v>
      </c>
      <c r="BX161" s="18">
        <f t="shared" si="62"/>
        <v>-3.4488705290998601E-4</v>
      </c>
      <c r="BY161" s="18">
        <f t="shared" si="63"/>
        <v>1.0427353398470158E-2</v>
      </c>
    </row>
    <row r="162" spans="1:77" x14ac:dyDescent="0.3">
      <c r="A162" s="1">
        <v>46258</v>
      </c>
      <c r="B162" s="6">
        <v>27.03</v>
      </c>
      <c r="C162" s="6">
        <v>29.03</v>
      </c>
      <c r="D162" s="7">
        <v>1.1104942840271101E-3</v>
      </c>
      <c r="E162" s="7">
        <v>1.03394805006464E-3</v>
      </c>
      <c r="F162" s="6">
        <v>0</v>
      </c>
      <c r="G162" s="6">
        <v>1.0297999999999901</v>
      </c>
      <c r="H162" s="6">
        <v>0</v>
      </c>
      <c r="I162" s="6">
        <v>1.1233</v>
      </c>
      <c r="J162" s="6">
        <v>1.0297999999999901</v>
      </c>
      <c r="K162" s="6">
        <v>1.1233</v>
      </c>
      <c r="L162" s="6">
        <v>28.059799999999999</v>
      </c>
      <c r="M162" s="6">
        <v>30.153300000000002</v>
      </c>
      <c r="N162" s="8">
        <v>1.0739918608953001</v>
      </c>
      <c r="O162" s="8">
        <v>1.0748223497963401</v>
      </c>
      <c r="P162" s="8">
        <v>1.0735827188060301</v>
      </c>
      <c r="Q162" s="8">
        <v>1.0737410900908799</v>
      </c>
      <c r="R162" s="6">
        <v>29.052448114995201</v>
      </c>
      <c r="S162" s="6">
        <v>29.0162328493122</v>
      </c>
      <c r="T162" s="6">
        <v>29.023742304799399</v>
      </c>
      <c r="U162" s="7">
        <v>7.7297417176751704E-4</v>
      </c>
      <c r="V162" s="7">
        <v>-4.7435122901550201E-4</v>
      </c>
      <c r="W162" s="7">
        <v>-2.15582836741227E-4</v>
      </c>
      <c r="X162" s="8">
        <v>1.07460851467223</v>
      </c>
      <c r="Y162" s="8">
        <v>1.07476747574368</v>
      </c>
      <c r="Z162" s="8">
        <v>1.0742143481034201</v>
      </c>
      <c r="AA162" s="8">
        <v>1.0743010037665599</v>
      </c>
      <c r="AB162" s="6">
        <v>30.157760415872499</v>
      </c>
      <c r="AC162" s="6">
        <v>30.139534342318498</v>
      </c>
      <c r="AD162" s="6">
        <v>30.1447316608329</v>
      </c>
      <c r="AE162" s="7">
        <v>1.4791369443344801E-4</v>
      </c>
      <c r="AF162" s="7">
        <v>-4.5662666453726199E-4</v>
      </c>
      <c r="AG162" s="7">
        <v>-2.8419963268347598E-4</v>
      </c>
      <c r="BB162" s="12">
        <f t="shared" si="46"/>
        <v>0</v>
      </c>
      <c r="BC162" s="12">
        <f t="shared" si="47"/>
        <v>0</v>
      </c>
      <c r="BD162" s="12">
        <f t="shared" si="48"/>
        <v>1</v>
      </c>
      <c r="BE162" s="12">
        <f t="shared" si="44"/>
        <v>1</v>
      </c>
      <c r="BF162" s="12">
        <f t="shared" si="49"/>
        <v>1</v>
      </c>
      <c r="BG162" s="23">
        <f t="shared" si="50"/>
        <v>1.1104942840271101E-3</v>
      </c>
      <c r="BH162" s="23">
        <f t="shared" si="51"/>
        <v>-1.03394805006464E-3</v>
      </c>
      <c r="BI162" s="23">
        <f t="shared" si="52"/>
        <v>7.6546233962470093E-5</v>
      </c>
      <c r="BJ162" s="18">
        <f t="shared" si="53"/>
        <v>7.1669788947980101E-3</v>
      </c>
      <c r="BL162" s="23"/>
      <c r="BN162" s="12">
        <f t="shared" si="54"/>
        <v>0</v>
      </c>
      <c r="BO162" s="12">
        <f t="shared" si="55"/>
        <v>1</v>
      </c>
      <c r="BP162" s="12">
        <f t="shared" si="56"/>
        <v>0</v>
      </c>
      <c r="BQ162" s="12">
        <f t="shared" si="45"/>
        <v>1</v>
      </c>
      <c r="BR162" s="12">
        <f t="shared" si="57"/>
        <v>0</v>
      </c>
      <c r="BS162" s="23">
        <f t="shared" si="58"/>
        <v>0</v>
      </c>
      <c r="BT162" s="23">
        <f t="shared" si="59"/>
        <v>0</v>
      </c>
      <c r="BU162" s="23">
        <f t="shared" si="60"/>
        <v>0</v>
      </c>
      <c r="BV162" s="18">
        <f t="shared" si="61"/>
        <v>3.3369207376346193E-3</v>
      </c>
      <c r="BX162" s="18">
        <f t="shared" si="62"/>
        <v>7.6546233962470093E-5</v>
      </c>
      <c r="BY162" s="18">
        <f t="shared" si="63"/>
        <v>1.0503899632432628E-2</v>
      </c>
    </row>
    <row r="163" spans="1:77" x14ac:dyDescent="0.3">
      <c r="A163" s="1">
        <v>46259</v>
      </c>
      <c r="B163" s="6">
        <v>27.12</v>
      </c>
      <c r="C163" s="6">
        <v>29.11</v>
      </c>
      <c r="D163" s="7">
        <v>3.3241027838386201E-3</v>
      </c>
      <c r="E163" s="7">
        <v>2.7519797209933201E-3</v>
      </c>
      <c r="F163" s="6">
        <v>0</v>
      </c>
      <c r="G163" s="6">
        <v>1.0297999999999901</v>
      </c>
      <c r="H163" s="6">
        <v>0</v>
      </c>
      <c r="I163" s="6">
        <v>1.1233</v>
      </c>
      <c r="J163" s="6">
        <v>1.0297999999999901</v>
      </c>
      <c r="K163" s="6">
        <v>1.1233</v>
      </c>
      <c r="L163" s="6">
        <v>28.149799999999999</v>
      </c>
      <c r="M163" s="6">
        <v>30.2333</v>
      </c>
      <c r="N163" s="8">
        <v>1.0733775811209401</v>
      </c>
      <c r="O163" s="8">
        <v>1.0748223497963401</v>
      </c>
      <c r="P163" s="8">
        <v>1.07366121765886</v>
      </c>
      <c r="Q163" s="8">
        <v>1.07375505263486</v>
      </c>
      <c r="R163" s="6">
        <v>29.149182126476902</v>
      </c>
      <c r="S163" s="6">
        <v>29.115563334019601</v>
      </c>
      <c r="T163" s="6">
        <v>29.119858363264601</v>
      </c>
      <c r="U163" s="7">
        <v>1.3450972346127799E-3</v>
      </c>
      <c r="V163" s="7">
        <v>1.9109592824823499E-4</v>
      </c>
      <c r="W163" s="7">
        <v>3.3860166024649399E-4</v>
      </c>
      <c r="X163" s="8">
        <v>1.0740147354510501</v>
      </c>
      <c r="Y163" s="8">
        <v>1.07476747574368</v>
      </c>
      <c r="Z163" s="8">
        <v>1.0742896901741701</v>
      </c>
      <c r="AA163" s="8">
        <v>1.0743311059749301</v>
      </c>
      <c r="AB163" s="6">
        <v>30.254489488689401</v>
      </c>
      <c r="AC163" s="6">
        <v>30.238919056241802</v>
      </c>
      <c r="AD163" s="6">
        <v>30.241358395828101</v>
      </c>
      <c r="AE163" s="7">
        <v>7.0062039745027798E-4</v>
      </c>
      <c r="AF163" s="7">
        <v>1.85839261259634E-4</v>
      </c>
      <c r="AG163" s="7">
        <v>2.6650488285818102E-4</v>
      </c>
      <c r="BB163" s="12">
        <f t="shared" si="46"/>
        <v>0</v>
      </c>
      <c r="BC163" s="12">
        <f t="shared" si="47"/>
        <v>1</v>
      </c>
      <c r="BD163" s="12">
        <f t="shared" si="48"/>
        <v>1</v>
      </c>
      <c r="BE163" s="12">
        <f t="shared" si="44"/>
        <v>1</v>
      </c>
      <c r="BF163" s="12">
        <f t="shared" si="49"/>
        <v>1</v>
      </c>
      <c r="BG163" s="23">
        <f t="shared" si="50"/>
        <v>3.3241027838386201E-3</v>
      </c>
      <c r="BH163" s="23">
        <f t="shared" si="51"/>
        <v>-2.7519797209933201E-3</v>
      </c>
      <c r="BI163" s="23">
        <f t="shared" si="52"/>
        <v>5.7212306284530005E-4</v>
      </c>
      <c r="BJ163" s="18">
        <f t="shared" si="53"/>
        <v>7.7391019576433101E-3</v>
      </c>
      <c r="BL163" s="23"/>
      <c r="BN163" s="12">
        <f t="shared" si="54"/>
        <v>0</v>
      </c>
      <c r="BO163" s="12">
        <f t="shared" si="55"/>
        <v>1</v>
      </c>
      <c r="BP163" s="12">
        <f t="shared" si="56"/>
        <v>0</v>
      </c>
      <c r="BQ163" s="12">
        <f t="shared" si="45"/>
        <v>1</v>
      </c>
      <c r="BR163" s="12">
        <f t="shared" si="57"/>
        <v>0</v>
      </c>
      <c r="BS163" s="23">
        <f t="shared" si="58"/>
        <v>0</v>
      </c>
      <c r="BT163" s="23">
        <f t="shared" si="59"/>
        <v>0</v>
      </c>
      <c r="BU163" s="23">
        <f t="shared" si="60"/>
        <v>0</v>
      </c>
      <c r="BV163" s="18">
        <f t="shared" si="61"/>
        <v>3.3369207376346193E-3</v>
      </c>
      <c r="BX163" s="18">
        <f t="shared" si="62"/>
        <v>5.7212306284530005E-4</v>
      </c>
      <c r="BY163" s="18">
        <f t="shared" si="63"/>
        <v>1.1076022695277927E-2</v>
      </c>
    </row>
    <row r="164" spans="1:77" x14ac:dyDescent="0.3">
      <c r="A164" s="1">
        <v>46260</v>
      </c>
      <c r="B164" s="6">
        <v>27.09</v>
      </c>
      <c r="C164" s="6">
        <v>29.1</v>
      </c>
      <c r="D164" s="7">
        <v>-1.1068069751911001E-3</v>
      </c>
      <c r="E164" s="7">
        <v>-3.4358358008499198E-4</v>
      </c>
      <c r="F164" s="6">
        <v>0</v>
      </c>
      <c r="G164" s="6">
        <v>1.0297999999999901</v>
      </c>
      <c r="H164" s="6">
        <v>0</v>
      </c>
      <c r="I164" s="6">
        <v>1.1233</v>
      </c>
      <c r="J164" s="6">
        <v>1.0297999999999901</v>
      </c>
      <c r="K164" s="6">
        <v>1.1233</v>
      </c>
      <c r="L164" s="6">
        <v>28.119799999999898</v>
      </c>
      <c r="M164" s="6">
        <v>30.223299999999998</v>
      </c>
      <c r="N164" s="8">
        <v>1.07419712070874</v>
      </c>
      <c r="O164" s="8">
        <v>1.0748223497963401</v>
      </c>
      <c r="P164" s="8">
        <v>1.0736419956068699</v>
      </c>
      <c r="Q164" s="8">
        <v>1.07377913056159</v>
      </c>
      <c r="R164" s="6">
        <v>29.116937455982999</v>
      </c>
      <c r="S164" s="6">
        <v>29.0854823863787</v>
      </c>
      <c r="T164" s="6">
        <v>29.088024375878501</v>
      </c>
      <c r="U164" s="7">
        <v>5.8187383950671903E-4</v>
      </c>
      <c r="V164" s="7">
        <v>-4.99011551579724E-4</v>
      </c>
      <c r="W164" s="7">
        <v>-4.11618178103233E-4</v>
      </c>
      <c r="X164" s="8">
        <v>1.07480494171366</v>
      </c>
      <c r="Y164" s="8">
        <v>1.07476747574368</v>
      </c>
      <c r="Z164" s="8">
        <v>1.07427102214117</v>
      </c>
      <c r="AA164" s="8">
        <v>1.07437078676511</v>
      </c>
      <c r="AB164" s="6">
        <v>30.2222464644171</v>
      </c>
      <c r="AC164" s="6">
        <v>30.2088112297597</v>
      </c>
      <c r="AD164" s="6">
        <v>30.209975833794001</v>
      </c>
      <c r="AE164" s="7">
        <v>-3.4858997712410699E-5</v>
      </c>
      <c r="AF164" s="7">
        <v>-4.7950568739124199E-4</v>
      </c>
      <c r="AG164" s="7">
        <v>-4.40954630972436E-4</v>
      </c>
      <c r="BB164" s="12">
        <f t="shared" si="46"/>
        <v>0</v>
      </c>
      <c r="BC164" s="12">
        <f t="shared" si="47"/>
        <v>0</v>
      </c>
      <c r="BD164" s="12">
        <f t="shared" si="48"/>
        <v>0</v>
      </c>
      <c r="BE164" s="12">
        <f t="shared" si="44"/>
        <v>1</v>
      </c>
      <c r="BF164" s="12">
        <f t="shared" si="49"/>
        <v>0</v>
      </c>
      <c r="BG164" s="23">
        <f t="shared" si="50"/>
        <v>0</v>
      </c>
      <c r="BH164" s="23">
        <f t="shared" si="51"/>
        <v>0</v>
      </c>
      <c r="BI164" s="23">
        <f t="shared" si="52"/>
        <v>0</v>
      </c>
      <c r="BJ164" s="18">
        <f t="shared" si="53"/>
        <v>7.7391019576433101E-3</v>
      </c>
      <c r="BL164" s="23"/>
      <c r="BN164" s="12">
        <f t="shared" si="54"/>
        <v>0</v>
      </c>
      <c r="BO164" s="12">
        <f t="shared" si="55"/>
        <v>1</v>
      </c>
      <c r="BP164" s="12">
        <f t="shared" si="56"/>
        <v>0</v>
      </c>
      <c r="BQ164" s="12">
        <f t="shared" si="45"/>
        <v>1</v>
      </c>
      <c r="BR164" s="12">
        <f t="shared" si="57"/>
        <v>0</v>
      </c>
      <c r="BS164" s="23">
        <f t="shared" si="58"/>
        <v>0</v>
      </c>
      <c r="BT164" s="23">
        <f t="shared" si="59"/>
        <v>0</v>
      </c>
      <c r="BU164" s="23">
        <f t="shared" si="60"/>
        <v>0</v>
      </c>
      <c r="BV164" s="18">
        <f t="shared" si="61"/>
        <v>3.3369207376346193E-3</v>
      </c>
      <c r="BX164" s="18">
        <f t="shared" si="62"/>
        <v>0</v>
      </c>
      <c r="BY164" s="18">
        <f t="shared" si="63"/>
        <v>1.1076022695277927E-2</v>
      </c>
    </row>
    <row r="165" spans="1:77" x14ac:dyDescent="0.3">
      <c r="A165" s="1">
        <v>46261</v>
      </c>
      <c r="B165" s="6">
        <v>27.09</v>
      </c>
      <c r="C165" s="6">
        <v>29.1</v>
      </c>
      <c r="D165" s="7">
        <v>0</v>
      </c>
      <c r="E165" s="7">
        <v>0</v>
      </c>
      <c r="F165" s="6">
        <v>0</v>
      </c>
      <c r="G165" s="6">
        <v>1.0297999999999901</v>
      </c>
      <c r="H165" s="6">
        <v>0</v>
      </c>
      <c r="I165" s="6">
        <v>1.1233</v>
      </c>
      <c r="J165" s="6">
        <v>1.0297999999999901</v>
      </c>
      <c r="K165" s="6">
        <v>1.1233</v>
      </c>
      <c r="L165" s="6">
        <v>28.119799999999898</v>
      </c>
      <c r="M165" s="6">
        <v>30.223299999999998</v>
      </c>
      <c r="N165" s="8">
        <v>1.07419712070874</v>
      </c>
      <c r="O165" s="8">
        <v>1.0748223497963401</v>
      </c>
      <c r="P165" s="8">
        <v>1.07379769587833</v>
      </c>
      <c r="Q165" s="8">
        <v>1.07381551720927</v>
      </c>
      <c r="R165" s="6">
        <v>29.116937455982999</v>
      </c>
      <c r="S165" s="6">
        <v>29.0849616609901</v>
      </c>
      <c r="T165" s="6">
        <v>29.088676646913498</v>
      </c>
      <c r="U165" s="7">
        <v>5.8187383950671903E-4</v>
      </c>
      <c r="V165" s="7">
        <v>-5.1691498680875097E-4</v>
      </c>
      <c r="W165" s="7">
        <v>-3.8919438907587199E-4</v>
      </c>
      <c r="X165" s="8">
        <v>1.07480494171366</v>
      </c>
      <c r="Y165" s="8">
        <v>1.07476747574368</v>
      </c>
      <c r="Z165" s="8">
        <v>1.07442109122959</v>
      </c>
      <c r="AA165" s="8">
        <v>1.07442243416051</v>
      </c>
      <c r="AB165" s="6">
        <v>30.2222464644171</v>
      </c>
      <c r="AC165" s="6">
        <v>30.2082862884054</v>
      </c>
      <c r="AD165" s="6">
        <v>30.211091649677599</v>
      </c>
      <c r="AE165" s="7">
        <v>-3.4858997712410699E-5</v>
      </c>
      <c r="AF165" s="7">
        <v>-4.9688293243883202E-4</v>
      </c>
      <c r="AG165" s="7">
        <v>-4.0401996793952701E-4</v>
      </c>
      <c r="BB165" s="12">
        <f t="shared" si="46"/>
        <v>0</v>
      </c>
      <c r="BC165" s="12">
        <f t="shared" si="47"/>
        <v>0</v>
      </c>
      <c r="BD165" s="12">
        <f t="shared" si="48"/>
        <v>0</v>
      </c>
      <c r="BE165" s="12">
        <f t="shared" si="44"/>
        <v>1</v>
      </c>
      <c r="BF165" s="12">
        <f t="shared" si="49"/>
        <v>0</v>
      </c>
      <c r="BG165" s="23">
        <f t="shared" si="50"/>
        <v>0</v>
      </c>
      <c r="BH165" s="23">
        <f t="shared" si="51"/>
        <v>0</v>
      </c>
      <c r="BI165" s="23">
        <f t="shared" si="52"/>
        <v>0</v>
      </c>
      <c r="BJ165" s="18">
        <f t="shared" si="53"/>
        <v>7.7391019576433101E-3</v>
      </c>
      <c r="BL165" s="23"/>
      <c r="BN165" s="12">
        <f t="shared" si="54"/>
        <v>0</v>
      </c>
      <c r="BO165" s="12">
        <f t="shared" si="55"/>
        <v>1</v>
      </c>
      <c r="BP165" s="12">
        <f t="shared" si="56"/>
        <v>0</v>
      </c>
      <c r="BQ165" s="12">
        <f t="shared" si="45"/>
        <v>1</v>
      </c>
      <c r="BR165" s="12">
        <f t="shared" si="57"/>
        <v>0</v>
      </c>
      <c r="BS165" s="23">
        <f t="shared" si="58"/>
        <v>0</v>
      </c>
      <c r="BT165" s="23">
        <f t="shared" si="59"/>
        <v>0</v>
      </c>
      <c r="BU165" s="23">
        <f t="shared" si="60"/>
        <v>0</v>
      </c>
      <c r="BV165" s="18">
        <f t="shared" si="61"/>
        <v>3.3369207376346193E-3</v>
      </c>
      <c r="BX165" s="18">
        <f t="shared" si="62"/>
        <v>0</v>
      </c>
      <c r="BY165" s="18">
        <f t="shared" si="63"/>
        <v>1.1076022695277927E-2</v>
      </c>
    </row>
    <row r="166" spans="1:77" x14ac:dyDescent="0.3">
      <c r="A166" s="1">
        <v>46262</v>
      </c>
      <c r="B166" s="6">
        <v>27.03</v>
      </c>
      <c r="C166" s="6">
        <v>29.03</v>
      </c>
      <c r="D166" s="7">
        <v>-2.21729580864744E-3</v>
      </c>
      <c r="E166" s="7">
        <v>-2.40839614090829E-3</v>
      </c>
      <c r="F166" s="6">
        <v>0</v>
      </c>
      <c r="G166" s="6">
        <v>1.0297999999999901</v>
      </c>
      <c r="H166" s="6">
        <v>0</v>
      </c>
      <c r="I166" s="6">
        <v>1.1233</v>
      </c>
      <c r="J166" s="6">
        <v>1.0297999999999901</v>
      </c>
      <c r="K166" s="6">
        <v>1.1233</v>
      </c>
      <c r="L166" s="6">
        <v>28.059799999999999</v>
      </c>
      <c r="M166" s="6">
        <v>30.153300000000002</v>
      </c>
      <c r="N166" s="8">
        <v>1.0739918608953001</v>
      </c>
      <c r="O166" s="8">
        <v>1.0748223497963401</v>
      </c>
      <c r="P166" s="8">
        <v>1.07391945307979</v>
      </c>
      <c r="Q166" s="8">
        <v>1.0738004000014401</v>
      </c>
      <c r="R166" s="6">
        <v>29.052448114995201</v>
      </c>
      <c r="S166" s="6">
        <v>29.0247517195914</v>
      </c>
      <c r="T166" s="6">
        <v>29.025233430166701</v>
      </c>
      <c r="U166" s="7">
        <v>7.7297417176751704E-4</v>
      </c>
      <c r="V166" s="7">
        <v>-1.80804508414118E-4</v>
      </c>
      <c r="W166" s="7">
        <v>-1.64208101917758E-4</v>
      </c>
      <c r="X166" s="8">
        <v>1.07460851467223</v>
      </c>
      <c r="Y166" s="8">
        <v>1.07476747574368</v>
      </c>
      <c r="Z166" s="8">
        <v>1.0745384740600299</v>
      </c>
      <c r="AA166" s="8">
        <v>1.0744243109205001</v>
      </c>
      <c r="AB166" s="6">
        <v>30.157760415872499</v>
      </c>
      <c r="AC166" s="6">
        <v>30.148040935684101</v>
      </c>
      <c r="AD166" s="6">
        <v>30.148078618057198</v>
      </c>
      <c r="AE166" s="7">
        <v>1.4791369443344801E-4</v>
      </c>
      <c r="AF166" s="7">
        <v>-1.7442611549150399E-4</v>
      </c>
      <c r="AG166" s="7">
        <v>-1.7317620510233801E-4</v>
      </c>
      <c r="BB166" s="12">
        <f t="shared" si="46"/>
        <v>0</v>
      </c>
      <c r="BC166" s="12">
        <f t="shared" si="47"/>
        <v>0</v>
      </c>
      <c r="BD166" s="12">
        <f t="shared" si="48"/>
        <v>0</v>
      </c>
      <c r="BE166" s="12">
        <f t="shared" si="44"/>
        <v>1</v>
      </c>
      <c r="BF166" s="12">
        <f t="shared" si="49"/>
        <v>0</v>
      </c>
      <c r="BG166" s="23">
        <f t="shared" si="50"/>
        <v>0</v>
      </c>
      <c r="BH166" s="23">
        <f t="shared" si="51"/>
        <v>0</v>
      </c>
      <c r="BI166" s="23">
        <f t="shared" si="52"/>
        <v>0</v>
      </c>
      <c r="BJ166" s="18">
        <f t="shared" si="53"/>
        <v>7.7391019576433101E-3</v>
      </c>
      <c r="BL166" s="23"/>
      <c r="BN166" s="12">
        <f t="shared" si="54"/>
        <v>0</v>
      </c>
      <c r="BO166" s="12">
        <f t="shared" si="55"/>
        <v>1</v>
      </c>
      <c r="BP166" s="12">
        <f t="shared" si="56"/>
        <v>0</v>
      </c>
      <c r="BQ166" s="12">
        <f t="shared" si="45"/>
        <v>1</v>
      </c>
      <c r="BR166" s="12">
        <f t="shared" si="57"/>
        <v>0</v>
      </c>
      <c r="BS166" s="23">
        <f t="shared" si="58"/>
        <v>0</v>
      </c>
      <c r="BT166" s="23">
        <f t="shared" si="59"/>
        <v>0</v>
      </c>
      <c r="BU166" s="23">
        <f t="shared" si="60"/>
        <v>0</v>
      </c>
      <c r="BV166" s="18">
        <f t="shared" si="61"/>
        <v>3.3369207376346193E-3</v>
      </c>
      <c r="BX166" s="18">
        <f t="shared" si="62"/>
        <v>0</v>
      </c>
      <c r="BY166" s="18">
        <f t="shared" si="63"/>
        <v>1.1076022695277927E-2</v>
      </c>
    </row>
    <row r="167" spans="1:77" x14ac:dyDescent="0.3">
      <c r="A167" s="1">
        <v>46265</v>
      </c>
      <c r="B167" s="6">
        <v>27.01</v>
      </c>
      <c r="C167" s="6">
        <v>29.01</v>
      </c>
      <c r="D167" s="7">
        <v>-7.40192483831966E-4</v>
      </c>
      <c r="E167" s="7">
        <v>-6.8917990322581797E-4</v>
      </c>
      <c r="F167" s="6">
        <v>0</v>
      </c>
      <c r="G167" s="6">
        <v>1.0297999999999901</v>
      </c>
      <c r="H167" s="6">
        <v>0</v>
      </c>
      <c r="I167" s="6">
        <v>1.1233</v>
      </c>
      <c r="J167" s="6">
        <v>1.0297999999999901</v>
      </c>
      <c r="K167" s="6">
        <v>1.1233</v>
      </c>
      <c r="L167" s="6">
        <v>28.0398</v>
      </c>
      <c r="M167" s="6">
        <v>30.133299999999998</v>
      </c>
      <c r="N167" s="8">
        <v>1.0740466493891101</v>
      </c>
      <c r="O167" s="8">
        <v>1.0748223497963401</v>
      </c>
      <c r="P167" s="8">
        <v>1.07399621276334</v>
      </c>
      <c r="Q167" s="8">
        <v>1.0738183260697001</v>
      </c>
      <c r="R167" s="6">
        <v>29.0309516679993</v>
      </c>
      <c r="S167" s="6">
        <v>29.006564427685301</v>
      </c>
      <c r="T167" s="6">
        <v>29.0033488040389</v>
      </c>
      <c r="U167" s="7">
        <v>7.2196159116128E-4</v>
      </c>
      <c r="V167" s="7">
        <v>-1.18434186945219E-4</v>
      </c>
      <c r="W167" s="7">
        <v>-2.2929881233696599E-4</v>
      </c>
      <c r="X167" s="8">
        <v>1.07466173082546</v>
      </c>
      <c r="Y167" s="8">
        <v>1.07476747574368</v>
      </c>
      <c r="Z167" s="8">
        <v>1.07461243757245</v>
      </c>
      <c r="AA167" s="8">
        <v>1.0744414210031601</v>
      </c>
      <c r="AB167" s="6">
        <v>30.136265066357598</v>
      </c>
      <c r="AC167" s="6">
        <v>30.129843904948402</v>
      </c>
      <c r="AD167" s="6">
        <v>30.126642793348701</v>
      </c>
      <c r="AE167" s="7">
        <v>9.83934878833086E-5</v>
      </c>
      <c r="AF167" s="7">
        <v>-1.14700124534119E-4</v>
      </c>
      <c r="AG167" s="7">
        <v>-2.20949651450216E-4</v>
      </c>
      <c r="BB167" s="12">
        <f t="shared" si="46"/>
        <v>0</v>
      </c>
      <c r="BC167" s="12">
        <f t="shared" si="47"/>
        <v>0</v>
      </c>
      <c r="BD167" s="12">
        <f t="shared" si="48"/>
        <v>0</v>
      </c>
      <c r="BE167" s="12">
        <f t="shared" si="44"/>
        <v>1</v>
      </c>
      <c r="BF167" s="12">
        <f t="shared" si="49"/>
        <v>0</v>
      </c>
      <c r="BG167" s="23">
        <f t="shared" si="50"/>
        <v>0</v>
      </c>
      <c r="BH167" s="23">
        <f t="shared" si="51"/>
        <v>0</v>
      </c>
      <c r="BI167" s="23">
        <f t="shared" si="52"/>
        <v>0</v>
      </c>
      <c r="BJ167" s="18">
        <f t="shared" si="53"/>
        <v>7.7391019576433101E-3</v>
      </c>
      <c r="BL167" s="23"/>
      <c r="BN167" s="12">
        <f t="shared" si="54"/>
        <v>0</v>
      </c>
      <c r="BO167" s="12">
        <f t="shared" si="55"/>
        <v>1</v>
      </c>
      <c r="BP167" s="12">
        <f t="shared" si="56"/>
        <v>0</v>
      </c>
      <c r="BQ167" s="12">
        <f t="shared" si="45"/>
        <v>1</v>
      </c>
      <c r="BR167" s="12">
        <f t="shared" si="57"/>
        <v>0</v>
      </c>
      <c r="BS167" s="23">
        <f t="shared" si="58"/>
        <v>0</v>
      </c>
      <c r="BT167" s="23">
        <f t="shared" si="59"/>
        <v>0</v>
      </c>
      <c r="BU167" s="23">
        <f t="shared" si="60"/>
        <v>0</v>
      </c>
      <c r="BV167" s="18">
        <f t="shared" si="61"/>
        <v>3.3369207376346193E-3</v>
      </c>
      <c r="BX167" s="18">
        <f t="shared" si="62"/>
        <v>0</v>
      </c>
      <c r="BY167" s="18">
        <f t="shared" si="63"/>
        <v>1.1076022695277927E-2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FALN_ANGL_2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2026-09-04T17:00:57Z</dcterms:modified>
</cp:coreProperties>
</file>