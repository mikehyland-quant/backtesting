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My Trading Data/"/>
    </mc:Choice>
  </mc:AlternateContent>
  <xr:revisionPtr revIDLastSave="30" documentId="8_{AD6C43B2-959A-4D15-9698-D4E8713A090E}" xr6:coauthVersionLast="47" xr6:coauthVersionMax="47" xr10:uidLastSave="{6E9CE5C6-DAB2-45EF-991C-72A10D224FC7}"/>
  <bookViews>
    <workbookView xWindow="-108" yWindow="-108" windowWidth="23256" windowHeight="12456" xr2:uid="{801FAFF3-CC7A-4F4E-AEA0-C58E598816D5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22" i="1" l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Y102" i="1" s="1"/>
  <c r="AZ102" i="1" s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21" i="1"/>
  <c r="AY75" i="1"/>
  <c r="AZ75" i="1" s="1"/>
  <c r="AY85" i="1"/>
  <c r="AZ85" i="1" s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21" i="1"/>
  <c r="AV186" i="1"/>
  <c r="AU186" i="1"/>
  <c r="AK186" i="1"/>
  <c r="AJ186" i="1"/>
  <c r="AV185" i="1"/>
  <c r="AU185" i="1"/>
  <c r="AK185" i="1"/>
  <c r="AJ185" i="1"/>
  <c r="AV184" i="1"/>
  <c r="AU184" i="1"/>
  <c r="AK184" i="1"/>
  <c r="AJ184" i="1"/>
  <c r="AV183" i="1"/>
  <c r="AU183" i="1"/>
  <c r="AK183" i="1"/>
  <c r="AJ183" i="1"/>
  <c r="AV182" i="1"/>
  <c r="AU182" i="1"/>
  <c r="AK182" i="1"/>
  <c r="AJ182" i="1"/>
  <c r="AV181" i="1"/>
  <c r="AU181" i="1"/>
  <c r="AK181" i="1"/>
  <c r="AJ181" i="1"/>
  <c r="AV180" i="1"/>
  <c r="AU180" i="1"/>
  <c r="AK180" i="1"/>
  <c r="AJ180" i="1"/>
  <c r="AY179" i="1"/>
  <c r="BA179" i="1" s="1"/>
  <c r="AV179" i="1"/>
  <c r="AU179" i="1"/>
  <c r="AK179" i="1"/>
  <c r="AJ179" i="1"/>
  <c r="AV178" i="1"/>
  <c r="AU178" i="1"/>
  <c r="AK178" i="1"/>
  <c r="AJ178" i="1"/>
  <c r="AV177" i="1"/>
  <c r="AU177" i="1"/>
  <c r="AK177" i="1"/>
  <c r="AJ177" i="1"/>
  <c r="AV176" i="1"/>
  <c r="AU176" i="1"/>
  <c r="AK176" i="1"/>
  <c r="AJ176" i="1"/>
  <c r="AN177" i="1" s="1"/>
  <c r="AV175" i="1"/>
  <c r="AU175" i="1"/>
  <c r="AK175" i="1"/>
  <c r="AJ175" i="1"/>
  <c r="AV174" i="1"/>
  <c r="AU174" i="1"/>
  <c r="AK174" i="1"/>
  <c r="AJ174" i="1"/>
  <c r="AV173" i="1"/>
  <c r="AU173" i="1"/>
  <c r="AK173" i="1"/>
  <c r="AJ173" i="1"/>
  <c r="AV172" i="1"/>
  <c r="AU172" i="1"/>
  <c r="AK172" i="1"/>
  <c r="AJ172" i="1"/>
  <c r="AV171" i="1"/>
  <c r="AU171" i="1"/>
  <c r="AK171" i="1"/>
  <c r="AJ171" i="1"/>
  <c r="AV170" i="1"/>
  <c r="AU170" i="1"/>
  <c r="AK170" i="1"/>
  <c r="AJ170" i="1"/>
  <c r="AV169" i="1"/>
  <c r="AU169" i="1"/>
  <c r="AK169" i="1"/>
  <c r="AJ169" i="1"/>
  <c r="AV168" i="1"/>
  <c r="AU168" i="1"/>
  <c r="AK168" i="1"/>
  <c r="AJ168" i="1"/>
  <c r="AV167" i="1"/>
  <c r="AU167" i="1"/>
  <c r="AK167" i="1"/>
  <c r="AJ167" i="1"/>
  <c r="AV166" i="1"/>
  <c r="AU166" i="1"/>
  <c r="AK166" i="1"/>
  <c r="AJ166" i="1"/>
  <c r="AV165" i="1"/>
  <c r="AU165" i="1"/>
  <c r="AK165" i="1"/>
  <c r="AJ165" i="1"/>
  <c r="AN166" i="1" s="1"/>
  <c r="AV164" i="1"/>
  <c r="AU164" i="1"/>
  <c r="AK164" i="1"/>
  <c r="AJ164" i="1"/>
  <c r="AV163" i="1"/>
  <c r="AU163" i="1"/>
  <c r="AK163" i="1"/>
  <c r="AJ163" i="1"/>
  <c r="AV162" i="1"/>
  <c r="AU162" i="1"/>
  <c r="AK162" i="1"/>
  <c r="AJ162" i="1"/>
  <c r="AV161" i="1"/>
  <c r="AU161" i="1"/>
  <c r="AK161" i="1"/>
  <c r="AJ161" i="1"/>
  <c r="AV160" i="1"/>
  <c r="AU160" i="1"/>
  <c r="AK160" i="1"/>
  <c r="AJ160" i="1"/>
  <c r="AV159" i="1"/>
  <c r="AU159" i="1"/>
  <c r="AY160" i="1" s="1"/>
  <c r="AK159" i="1"/>
  <c r="AJ159" i="1"/>
  <c r="AV158" i="1"/>
  <c r="AU158" i="1"/>
  <c r="AK158" i="1"/>
  <c r="AJ158" i="1"/>
  <c r="AV157" i="1"/>
  <c r="AU157" i="1"/>
  <c r="AK157" i="1"/>
  <c r="AJ157" i="1"/>
  <c r="AV156" i="1"/>
  <c r="AU156" i="1"/>
  <c r="AK156" i="1"/>
  <c r="AJ156" i="1"/>
  <c r="AV155" i="1"/>
  <c r="AU155" i="1"/>
  <c r="AK155" i="1"/>
  <c r="AJ155" i="1"/>
  <c r="AV154" i="1"/>
  <c r="AU154" i="1"/>
  <c r="AK154" i="1"/>
  <c r="AJ154" i="1"/>
  <c r="AV153" i="1"/>
  <c r="AU153" i="1"/>
  <c r="AK153" i="1"/>
  <c r="AJ153" i="1"/>
  <c r="AV152" i="1"/>
  <c r="AU152" i="1"/>
  <c r="AK152" i="1"/>
  <c r="AJ152" i="1"/>
  <c r="AN153" i="1" s="1"/>
  <c r="AV151" i="1"/>
  <c r="AU151" i="1"/>
  <c r="AK151" i="1"/>
  <c r="AJ151" i="1"/>
  <c r="AN152" i="1" s="1"/>
  <c r="AV150" i="1"/>
  <c r="AU150" i="1"/>
  <c r="AK150" i="1"/>
  <c r="AJ150" i="1"/>
  <c r="AV149" i="1"/>
  <c r="AU149" i="1"/>
  <c r="AK149" i="1"/>
  <c r="AJ149" i="1"/>
  <c r="AV148" i="1"/>
  <c r="AU148" i="1"/>
  <c r="AK148" i="1"/>
  <c r="AJ148" i="1"/>
  <c r="AV147" i="1"/>
  <c r="AU147" i="1"/>
  <c r="AK147" i="1"/>
  <c r="AJ147" i="1"/>
  <c r="AV146" i="1"/>
  <c r="AU146" i="1"/>
  <c r="AK146" i="1"/>
  <c r="AJ146" i="1"/>
  <c r="AV145" i="1"/>
  <c r="AU145" i="1"/>
  <c r="AY146" i="1" s="1"/>
  <c r="AK145" i="1"/>
  <c r="AJ145" i="1"/>
  <c r="AV144" i="1"/>
  <c r="AU144" i="1"/>
  <c r="AK144" i="1"/>
  <c r="AJ144" i="1"/>
  <c r="AV143" i="1"/>
  <c r="AU143" i="1"/>
  <c r="AK143" i="1"/>
  <c r="AJ143" i="1"/>
  <c r="AV142" i="1"/>
  <c r="AU142" i="1"/>
  <c r="AY143" i="1" s="1"/>
  <c r="AK142" i="1"/>
  <c r="AJ142" i="1"/>
  <c r="AV141" i="1"/>
  <c r="AU141" i="1"/>
  <c r="AK141" i="1"/>
  <c r="AJ141" i="1"/>
  <c r="AV140" i="1"/>
  <c r="AU140" i="1"/>
  <c r="AK140" i="1"/>
  <c r="AJ140" i="1"/>
  <c r="AV139" i="1"/>
  <c r="AU139" i="1"/>
  <c r="AK139" i="1"/>
  <c r="AJ139" i="1"/>
  <c r="AV138" i="1"/>
  <c r="AU138" i="1"/>
  <c r="AK138" i="1"/>
  <c r="AJ138" i="1"/>
  <c r="AV137" i="1"/>
  <c r="AU137" i="1"/>
  <c r="AK137" i="1"/>
  <c r="AJ137" i="1"/>
  <c r="AN138" i="1" s="1"/>
  <c r="AV136" i="1"/>
  <c r="AU136" i="1"/>
  <c r="AK136" i="1"/>
  <c r="AJ136" i="1"/>
  <c r="AN137" i="1" s="1"/>
  <c r="AV135" i="1"/>
  <c r="AU135" i="1"/>
  <c r="AK135" i="1"/>
  <c r="AJ135" i="1"/>
  <c r="AN136" i="1" s="1"/>
  <c r="AV134" i="1"/>
  <c r="AU134" i="1"/>
  <c r="AY135" i="1" s="1"/>
  <c r="AZ135" i="1" s="1"/>
  <c r="AK134" i="1"/>
  <c r="AJ134" i="1"/>
  <c r="AN135" i="1" s="1"/>
  <c r="AL135" i="1" s="1"/>
  <c r="AV133" i="1"/>
  <c r="AU133" i="1"/>
  <c r="AK133" i="1"/>
  <c r="AJ133" i="1"/>
  <c r="AV132" i="1"/>
  <c r="AU132" i="1"/>
  <c r="AK132" i="1"/>
  <c r="AJ132" i="1"/>
  <c r="AV131" i="1"/>
  <c r="AU131" i="1"/>
  <c r="AK131" i="1"/>
  <c r="AJ131" i="1"/>
  <c r="AV130" i="1"/>
  <c r="AU130" i="1"/>
  <c r="AK130" i="1"/>
  <c r="AJ130" i="1"/>
  <c r="AV129" i="1"/>
  <c r="AU129" i="1"/>
  <c r="AK129" i="1"/>
  <c r="AJ129" i="1"/>
  <c r="AV128" i="1"/>
  <c r="AU128" i="1"/>
  <c r="AK128" i="1"/>
  <c r="AJ128" i="1"/>
  <c r="AV127" i="1"/>
  <c r="AU127" i="1"/>
  <c r="AK127" i="1"/>
  <c r="AJ127" i="1"/>
  <c r="AV126" i="1"/>
  <c r="AU126" i="1"/>
  <c r="AK126" i="1"/>
  <c r="AJ126" i="1"/>
  <c r="AV125" i="1"/>
  <c r="AU125" i="1"/>
  <c r="AK125" i="1"/>
  <c r="AJ125" i="1"/>
  <c r="AV124" i="1"/>
  <c r="AU124" i="1"/>
  <c r="AK124" i="1"/>
  <c r="AJ124" i="1"/>
  <c r="AV123" i="1"/>
  <c r="AU123" i="1"/>
  <c r="AK123" i="1"/>
  <c r="AJ123" i="1"/>
  <c r="AV122" i="1"/>
  <c r="AU122" i="1"/>
  <c r="AK122" i="1"/>
  <c r="AJ122" i="1"/>
  <c r="AV121" i="1"/>
  <c r="AU121" i="1"/>
  <c r="AK121" i="1"/>
  <c r="AJ121" i="1"/>
  <c r="AV120" i="1"/>
  <c r="AU120" i="1"/>
  <c r="AK120" i="1"/>
  <c r="AJ120" i="1"/>
  <c r="AV119" i="1"/>
  <c r="AU119" i="1"/>
  <c r="AK119" i="1"/>
  <c r="AJ119" i="1"/>
  <c r="AV118" i="1"/>
  <c r="AU118" i="1"/>
  <c r="AK118" i="1"/>
  <c r="AJ118" i="1"/>
  <c r="AV117" i="1"/>
  <c r="AU117" i="1"/>
  <c r="AK117" i="1"/>
  <c r="AJ117" i="1"/>
  <c r="AV116" i="1"/>
  <c r="AU116" i="1"/>
  <c r="AK116" i="1"/>
  <c r="AJ116" i="1"/>
  <c r="AV115" i="1"/>
  <c r="AU115" i="1"/>
  <c r="AK115" i="1"/>
  <c r="AJ115" i="1"/>
  <c r="AV114" i="1"/>
  <c r="AU114" i="1"/>
  <c r="AK114" i="1"/>
  <c r="AJ114" i="1"/>
  <c r="AV113" i="1"/>
  <c r="AU113" i="1"/>
  <c r="AK113" i="1"/>
  <c r="AJ113" i="1"/>
  <c r="AV112" i="1"/>
  <c r="AU112" i="1"/>
  <c r="AK112" i="1"/>
  <c r="AJ112" i="1"/>
  <c r="AV111" i="1"/>
  <c r="AU111" i="1"/>
  <c r="AK111" i="1"/>
  <c r="AJ111" i="1"/>
  <c r="AN112" i="1" s="1"/>
  <c r="AL112" i="1" s="1"/>
  <c r="AV110" i="1"/>
  <c r="AU110" i="1"/>
  <c r="AK110" i="1"/>
  <c r="AJ110" i="1"/>
  <c r="AN111" i="1" s="1"/>
  <c r="AV109" i="1"/>
  <c r="AU109" i="1"/>
  <c r="AK109" i="1"/>
  <c r="AJ109" i="1"/>
  <c r="AV108" i="1"/>
  <c r="AU108" i="1"/>
  <c r="AK108" i="1"/>
  <c r="AJ108" i="1"/>
  <c r="AV107" i="1"/>
  <c r="AU107" i="1"/>
  <c r="AK107" i="1"/>
  <c r="AJ107" i="1"/>
  <c r="AV106" i="1"/>
  <c r="AU106" i="1"/>
  <c r="AY107" i="1" s="1"/>
  <c r="AK106" i="1"/>
  <c r="AJ106" i="1"/>
  <c r="AV105" i="1"/>
  <c r="AU105" i="1"/>
  <c r="AK105" i="1"/>
  <c r="AJ105" i="1"/>
  <c r="AV104" i="1"/>
  <c r="AU104" i="1"/>
  <c r="AK104" i="1"/>
  <c r="AJ104" i="1"/>
  <c r="AV103" i="1"/>
  <c r="AU103" i="1"/>
  <c r="AK103" i="1"/>
  <c r="AJ103" i="1"/>
  <c r="AV102" i="1"/>
  <c r="AU102" i="1"/>
  <c r="AK102" i="1"/>
  <c r="AJ102" i="1"/>
  <c r="AV101" i="1"/>
  <c r="AU101" i="1"/>
  <c r="AK101" i="1"/>
  <c r="AJ101" i="1"/>
  <c r="AV100" i="1"/>
  <c r="AU100" i="1"/>
  <c r="AK100" i="1"/>
  <c r="AJ100" i="1"/>
  <c r="AV99" i="1"/>
  <c r="AU99" i="1"/>
  <c r="AK99" i="1"/>
  <c r="AJ99" i="1"/>
  <c r="AV98" i="1"/>
  <c r="AU98" i="1"/>
  <c r="AK98" i="1"/>
  <c r="AJ98" i="1"/>
  <c r="AV97" i="1"/>
  <c r="AU97" i="1"/>
  <c r="AK97" i="1"/>
  <c r="AJ97" i="1"/>
  <c r="AV96" i="1"/>
  <c r="AU96" i="1"/>
  <c r="AK96" i="1"/>
  <c r="AJ96" i="1"/>
  <c r="AV95" i="1"/>
  <c r="AU95" i="1"/>
  <c r="AK95" i="1"/>
  <c r="AJ95" i="1"/>
  <c r="AN96" i="1" s="1"/>
  <c r="AL96" i="1" s="1"/>
  <c r="AV94" i="1"/>
  <c r="AU94" i="1"/>
  <c r="AK94" i="1"/>
  <c r="AJ94" i="1"/>
  <c r="AV93" i="1"/>
  <c r="AU93" i="1"/>
  <c r="AK93" i="1"/>
  <c r="AJ93" i="1"/>
  <c r="AV92" i="1"/>
  <c r="AU92" i="1"/>
  <c r="AK92" i="1"/>
  <c r="AJ92" i="1"/>
  <c r="AV91" i="1"/>
  <c r="AU91" i="1"/>
  <c r="AK91" i="1"/>
  <c r="AJ91" i="1"/>
  <c r="AV90" i="1"/>
  <c r="AU90" i="1"/>
  <c r="AK90" i="1"/>
  <c r="AJ90" i="1"/>
  <c r="AV89" i="1"/>
  <c r="AU89" i="1"/>
  <c r="AY90" i="1" s="1"/>
  <c r="AK89" i="1"/>
  <c r="AJ89" i="1"/>
  <c r="AV88" i="1"/>
  <c r="AU88" i="1"/>
  <c r="AK88" i="1"/>
  <c r="AJ88" i="1"/>
  <c r="AV87" i="1"/>
  <c r="AU87" i="1"/>
  <c r="AK87" i="1"/>
  <c r="AJ87" i="1"/>
  <c r="AV86" i="1"/>
  <c r="AU86" i="1"/>
  <c r="AK86" i="1"/>
  <c r="AJ86" i="1"/>
  <c r="AV85" i="1"/>
  <c r="AU85" i="1"/>
  <c r="AK85" i="1"/>
  <c r="AJ85" i="1"/>
  <c r="AV84" i="1"/>
  <c r="AU84" i="1"/>
  <c r="AK84" i="1"/>
  <c r="AJ84" i="1"/>
  <c r="AV83" i="1"/>
  <c r="AU83" i="1"/>
  <c r="AY84" i="1" s="1"/>
  <c r="AZ84" i="1" s="1"/>
  <c r="AK83" i="1"/>
  <c r="AJ83" i="1"/>
  <c r="AV82" i="1"/>
  <c r="AU82" i="1"/>
  <c r="AK82" i="1"/>
  <c r="AJ82" i="1"/>
  <c r="AY81" i="1"/>
  <c r="AW81" i="1" s="1"/>
  <c r="AV81" i="1"/>
  <c r="AU81" i="1"/>
  <c r="AK81" i="1"/>
  <c r="AJ81" i="1"/>
  <c r="AV80" i="1"/>
  <c r="AU80" i="1"/>
  <c r="AK80" i="1"/>
  <c r="AJ80" i="1"/>
  <c r="AV79" i="1"/>
  <c r="AU79" i="1"/>
  <c r="AK79" i="1"/>
  <c r="AJ79" i="1"/>
  <c r="AV78" i="1"/>
  <c r="AU78" i="1"/>
  <c r="AY79" i="1" s="1"/>
  <c r="AK78" i="1"/>
  <c r="AJ78" i="1"/>
  <c r="AV77" i="1"/>
  <c r="AU77" i="1"/>
  <c r="AK77" i="1"/>
  <c r="AJ77" i="1"/>
  <c r="AV76" i="1"/>
  <c r="AU76" i="1"/>
  <c r="AK76" i="1"/>
  <c r="AJ76" i="1"/>
  <c r="AV75" i="1"/>
  <c r="AU75" i="1"/>
  <c r="AK75" i="1"/>
  <c r="AJ75" i="1"/>
  <c r="AV74" i="1"/>
  <c r="AU74" i="1"/>
  <c r="AK74" i="1"/>
  <c r="AJ74" i="1"/>
  <c r="AV73" i="1"/>
  <c r="AU73" i="1"/>
  <c r="AK73" i="1"/>
  <c r="AJ73" i="1"/>
  <c r="AV72" i="1"/>
  <c r="AU72" i="1"/>
  <c r="AY73" i="1" s="1"/>
  <c r="AK72" i="1"/>
  <c r="AJ72" i="1"/>
  <c r="AV71" i="1"/>
  <c r="AU71" i="1"/>
  <c r="AK71" i="1"/>
  <c r="AJ71" i="1"/>
  <c r="AV70" i="1"/>
  <c r="AU70" i="1"/>
  <c r="AK70" i="1"/>
  <c r="AJ70" i="1"/>
  <c r="AV69" i="1"/>
  <c r="AU69" i="1"/>
  <c r="AK69" i="1"/>
  <c r="AJ69" i="1"/>
  <c r="AV68" i="1"/>
  <c r="AU68" i="1"/>
  <c r="AY69" i="1" s="1"/>
  <c r="AW69" i="1" s="1"/>
  <c r="AK68" i="1"/>
  <c r="AJ68" i="1"/>
  <c r="AV67" i="1"/>
  <c r="AU67" i="1"/>
  <c r="AK67" i="1"/>
  <c r="AJ67" i="1"/>
  <c r="AV66" i="1"/>
  <c r="AU66" i="1"/>
  <c r="AK66" i="1"/>
  <c r="AJ66" i="1"/>
  <c r="AV65" i="1"/>
  <c r="AU65" i="1"/>
  <c r="AY66" i="1" s="1"/>
  <c r="AK65" i="1"/>
  <c r="AJ65" i="1"/>
  <c r="AV64" i="1"/>
  <c r="AU64" i="1"/>
  <c r="AK64" i="1"/>
  <c r="AJ64" i="1"/>
  <c r="AV63" i="1"/>
  <c r="AU63" i="1"/>
  <c r="AK63" i="1"/>
  <c r="AJ63" i="1"/>
  <c r="AV62" i="1"/>
  <c r="AU62" i="1"/>
  <c r="AK62" i="1"/>
  <c r="AJ62" i="1"/>
  <c r="AV61" i="1"/>
  <c r="AU61" i="1"/>
  <c r="AY62" i="1" s="1"/>
  <c r="AK61" i="1"/>
  <c r="AJ61" i="1"/>
  <c r="AV60" i="1"/>
  <c r="AU60" i="1"/>
  <c r="AK60" i="1"/>
  <c r="AJ60" i="1"/>
  <c r="AV59" i="1"/>
  <c r="AU59" i="1"/>
  <c r="AK59" i="1"/>
  <c r="AJ59" i="1"/>
  <c r="AV58" i="1"/>
  <c r="AU58" i="1"/>
  <c r="AK58" i="1"/>
  <c r="AJ58" i="1"/>
  <c r="AV57" i="1"/>
  <c r="AU57" i="1"/>
  <c r="AK57" i="1"/>
  <c r="AJ57" i="1"/>
  <c r="AV56" i="1"/>
  <c r="AU56" i="1"/>
  <c r="AK56" i="1"/>
  <c r="AJ56" i="1"/>
  <c r="AV55" i="1"/>
  <c r="AU55" i="1"/>
  <c r="AK55" i="1"/>
  <c r="AJ55" i="1"/>
  <c r="AV54" i="1"/>
  <c r="AU54" i="1"/>
  <c r="AY55" i="1" s="1"/>
  <c r="AW55" i="1" s="1"/>
  <c r="AK54" i="1"/>
  <c r="AJ54" i="1"/>
  <c r="AV53" i="1"/>
  <c r="AU53" i="1"/>
  <c r="AK53" i="1"/>
  <c r="AJ53" i="1"/>
  <c r="AV52" i="1"/>
  <c r="AU52" i="1"/>
  <c r="AY53" i="1" s="1"/>
  <c r="AK52" i="1"/>
  <c r="AJ52" i="1"/>
  <c r="AV51" i="1"/>
  <c r="AU51" i="1"/>
  <c r="AK51" i="1"/>
  <c r="AJ51" i="1"/>
  <c r="AV50" i="1"/>
  <c r="AU50" i="1"/>
  <c r="AK50" i="1"/>
  <c r="AJ50" i="1"/>
  <c r="AV49" i="1"/>
  <c r="AU49" i="1"/>
  <c r="AK49" i="1"/>
  <c r="AJ49" i="1"/>
  <c r="AV48" i="1"/>
  <c r="AU48" i="1"/>
  <c r="AK48" i="1"/>
  <c r="AJ48" i="1"/>
  <c r="AV47" i="1"/>
  <c r="AU47" i="1"/>
  <c r="AY48" i="1" s="1"/>
  <c r="AW48" i="1" s="1"/>
  <c r="AK47" i="1"/>
  <c r="AJ47" i="1"/>
  <c r="AV46" i="1"/>
  <c r="AU46" i="1"/>
  <c r="AK46" i="1"/>
  <c r="AJ46" i="1"/>
  <c r="AV45" i="1"/>
  <c r="AU45" i="1"/>
  <c r="AK45" i="1"/>
  <c r="AJ45" i="1"/>
  <c r="AV44" i="1"/>
  <c r="AU44" i="1"/>
  <c r="AK44" i="1"/>
  <c r="AJ44" i="1"/>
  <c r="AV43" i="1"/>
  <c r="AU43" i="1"/>
  <c r="AK43" i="1"/>
  <c r="AJ43" i="1"/>
  <c r="AV42" i="1"/>
  <c r="AU42" i="1"/>
  <c r="AK42" i="1"/>
  <c r="AJ42" i="1"/>
  <c r="AV41" i="1"/>
  <c r="AU41" i="1"/>
  <c r="AK41" i="1"/>
  <c r="AJ41" i="1"/>
  <c r="AY40" i="1"/>
  <c r="AW40" i="1" s="1"/>
  <c r="AV40" i="1"/>
  <c r="AU40" i="1"/>
  <c r="AK40" i="1"/>
  <c r="AJ40" i="1"/>
  <c r="AV39" i="1"/>
  <c r="AU39" i="1"/>
  <c r="AK39" i="1"/>
  <c r="AJ39" i="1"/>
  <c r="AV38" i="1"/>
  <c r="AU38" i="1"/>
  <c r="AK38" i="1"/>
  <c r="AJ38" i="1"/>
  <c r="AV37" i="1"/>
  <c r="AU37" i="1"/>
  <c r="AK37" i="1"/>
  <c r="AJ37" i="1"/>
  <c r="AV36" i="1"/>
  <c r="AU36" i="1"/>
  <c r="AY37" i="1" s="1"/>
  <c r="AW37" i="1" s="1"/>
  <c r="AK36" i="1"/>
  <c r="AJ36" i="1"/>
  <c r="AV35" i="1"/>
  <c r="AU35" i="1"/>
  <c r="AK35" i="1"/>
  <c r="AJ35" i="1"/>
  <c r="AV34" i="1"/>
  <c r="AU34" i="1"/>
  <c r="AK34" i="1"/>
  <c r="AJ34" i="1"/>
  <c r="AV33" i="1"/>
  <c r="AU33" i="1"/>
  <c r="AK33" i="1"/>
  <c r="AJ33" i="1"/>
  <c r="AV32" i="1"/>
  <c r="AU32" i="1"/>
  <c r="AK32" i="1"/>
  <c r="AJ32" i="1"/>
  <c r="AV31" i="1"/>
  <c r="AU31" i="1"/>
  <c r="AK31" i="1"/>
  <c r="AJ31" i="1"/>
  <c r="AV30" i="1"/>
  <c r="AU30" i="1"/>
  <c r="AY31" i="1" s="1"/>
  <c r="AW31" i="1" s="1"/>
  <c r="AK30" i="1"/>
  <c r="AJ30" i="1"/>
  <c r="AV29" i="1"/>
  <c r="AU29" i="1"/>
  <c r="AK29" i="1"/>
  <c r="AJ29" i="1"/>
  <c r="AV28" i="1"/>
  <c r="AU28" i="1"/>
  <c r="AK28" i="1"/>
  <c r="AJ28" i="1"/>
  <c r="AV27" i="1"/>
  <c r="AU27" i="1"/>
  <c r="AK27" i="1"/>
  <c r="AJ27" i="1"/>
  <c r="AV26" i="1"/>
  <c r="AU26" i="1"/>
  <c r="AK26" i="1"/>
  <c r="AJ26" i="1"/>
  <c r="AV25" i="1"/>
  <c r="AU25" i="1"/>
  <c r="AK25" i="1"/>
  <c r="AJ25" i="1"/>
  <c r="AV24" i="1"/>
  <c r="AU24" i="1"/>
  <c r="AK24" i="1"/>
  <c r="AJ24" i="1"/>
  <c r="AV23" i="1"/>
  <c r="AU23" i="1"/>
  <c r="AY24" i="1" s="1"/>
  <c r="AK23" i="1"/>
  <c r="AJ23" i="1"/>
  <c r="AY22" i="1"/>
  <c r="AW22" i="1"/>
  <c r="AV22" i="1"/>
  <c r="AU22" i="1"/>
  <c r="AL22" i="1"/>
  <c r="AK22" i="1"/>
  <c r="AJ22" i="1"/>
  <c r="AN22" i="1"/>
  <c r="BA20" i="1"/>
  <c r="AZ20" i="1"/>
  <c r="AP20" i="1"/>
  <c r="AO20" i="1"/>
  <c r="AT4" i="1"/>
  <c r="AT5" i="1" s="1"/>
  <c r="AT6" i="1" s="1"/>
  <c r="AT7" i="1" s="1"/>
  <c r="AT8" i="1" s="1"/>
  <c r="AT9" i="1" s="1"/>
  <c r="AT3" i="1"/>
  <c r="AI3" i="1"/>
  <c r="AI4" i="1" s="1"/>
  <c r="AI5" i="1" s="1"/>
  <c r="AI6" i="1" s="1"/>
  <c r="AI7" i="1" s="1"/>
  <c r="AI8" i="1" s="1"/>
  <c r="AI9" i="1" s="1"/>
  <c r="AW1" i="1"/>
  <c r="AX1" i="1" s="1"/>
  <c r="AY1" i="1" s="1"/>
  <c r="AZ1" i="1" s="1"/>
  <c r="BA1" i="1" s="1"/>
  <c r="BB1" i="1" s="1"/>
  <c r="AV1" i="1"/>
  <c r="AK1" i="1"/>
  <c r="AL1" i="1" s="1"/>
  <c r="AM1" i="1" s="1"/>
  <c r="AN1" i="1" s="1"/>
  <c r="AO1" i="1" s="1"/>
  <c r="AP1" i="1" s="1"/>
  <c r="AQ1" i="1" s="1"/>
  <c r="AY175" i="1" l="1"/>
  <c r="BA175" i="1" s="1"/>
  <c r="AY88" i="1"/>
  <c r="AY35" i="1"/>
  <c r="BA35" i="1" s="1"/>
  <c r="AY91" i="1"/>
  <c r="AW91" i="1" s="1"/>
  <c r="AY92" i="1" s="1"/>
  <c r="AY157" i="1"/>
  <c r="AY65" i="1"/>
  <c r="AW65" i="1" s="1"/>
  <c r="AY67" i="1"/>
  <c r="BA67" i="1" s="1"/>
  <c r="AY151" i="1"/>
  <c r="BA151" i="1" s="1"/>
  <c r="AY36" i="1"/>
  <c r="BA36" i="1" s="1"/>
  <c r="AY164" i="1"/>
  <c r="AW164" i="1" s="1"/>
  <c r="AY165" i="1" s="1"/>
  <c r="AY162" i="1"/>
  <c r="BA162" i="1" s="1"/>
  <c r="AY158" i="1"/>
  <c r="AW158" i="1" s="1"/>
  <c r="AY159" i="1" s="1"/>
  <c r="AY183" i="1"/>
  <c r="AZ183" i="1" s="1"/>
  <c r="AY57" i="1"/>
  <c r="BA57" i="1" s="1"/>
  <c r="AY87" i="1"/>
  <c r="BA87" i="1" s="1"/>
  <c r="AW179" i="1"/>
  <c r="AY78" i="1"/>
  <c r="AW78" i="1" s="1"/>
  <c r="AY112" i="1"/>
  <c r="BA112" i="1" s="1"/>
  <c r="AY161" i="1"/>
  <c r="BA161" i="1" s="1"/>
  <c r="AY58" i="1"/>
  <c r="AW58" i="1" s="1"/>
  <c r="AY72" i="1"/>
  <c r="AW72" i="1" s="1"/>
  <c r="AY120" i="1"/>
  <c r="AZ120" i="1" s="1"/>
  <c r="AY148" i="1"/>
  <c r="AW148" i="1" s="1"/>
  <c r="AY149" i="1" s="1"/>
  <c r="AY155" i="1"/>
  <c r="AZ155" i="1" s="1"/>
  <c r="BA37" i="1"/>
  <c r="AY182" i="1"/>
  <c r="BA182" i="1" s="1"/>
  <c r="AY32" i="1"/>
  <c r="AW32" i="1" s="1"/>
  <c r="AY117" i="1"/>
  <c r="AZ117" i="1" s="1"/>
  <c r="AY131" i="1"/>
  <c r="AZ131" i="1" s="1"/>
  <c r="AY145" i="1"/>
  <c r="AZ145" i="1" s="1"/>
  <c r="AY169" i="1"/>
  <c r="AW169" i="1" s="1"/>
  <c r="AY42" i="1"/>
  <c r="BA42" i="1" s="1"/>
  <c r="AY70" i="1"/>
  <c r="AY176" i="1"/>
  <c r="BA176" i="1" s="1"/>
  <c r="AY39" i="1"/>
  <c r="AW39" i="1" s="1"/>
  <c r="AY173" i="1"/>
  <c r="AW173" i="1" s="1"/>
  <c r="AY63" i="1"/>
  <c r="AZ63" i="1" s="1"/>
  <c r="AY122" i="1"/>
  <c r="AZ122" i="1" s="1"/>
  <c r="AY136" i="1"/>
  <c r="BA136" i="1" s="1"/>
  <c r="AY30" i="1"/>
  <c r="AZ30" i="1" s="1"/>
  <c r="AY126" i="1"/>
  <c r="AZ126" i="1" s="1"/>
  <c r="AY167" i="1"/>
  <c r="AZ167" i="1" s="1"/>
  <c r="AY186" i="1"/>
  <c r="AW186" i="1" s="1"/>
  <c r="AY83" i="1"/>
  <c r="BA83" i="1" s="1"/>
  <c r="AY181" i="1"/>
  <c r="AY34" i="1"/>
  <c r="BA34" i="1" s="1"/>
  <c r="AY28" i="1"/>
  <c r="AW28" i="1" s="1"/>
  <c r="AZ69" i="1"/>
  <c r="AY38" i="1"/>
  <c r="AZ38" i="1" s="1"/>
  <c r="BA69" i="1"/>
  <c r="AY94" i="1"/>
  <c r="BA94" i="1" s="1"/>
  <c r="AY127" i="1"/>
  <c r="BA127" i="1" s="1"/>
  <c r="AZ37" i="1"/>
  <c r="BB37" i="1" s="1"/>
  <c r="AY46" i="1"/>
  <c r="AW46" i="1" s="1"/>
  <c r="AW85" i="1"/>
  <c r="AY86" i="1" s="1"/>
  <c r="AY97" i="1"/>
  <c r="AW97" i="1" s="1"/>
  <c r="AY105" i="1"/>
  <c r="AZ105" i="1" s="1"/>
  <c r="AY130" i="1"/>
  <c r="BA130" i="1" s="1"/>
  <c r="AN82" i="1"/>
  <c r="AN185" i="1"/>
  <c r="AP185" i="1" s="1"/>
  <c r="AN87" i="1"/>
  <c r="AL87" i="1" s="1"/>
  <c r="AO96" i="1"/>
  <c r="AN64" i="1"/>
  <c r="AO64" i="1" s="1"/>
  <c r="AN134" i="1"/>
  <c r="AP134" i="1" s="1"/>
  <c r="AN178" i="1"/>
  <c r="AO178" i="1" s="1"/>
  <c r="AN75" i="1"/>
  <c r="AO75" i="1" s="1"/>
  <c r="AN129" i="1"/>
  <c r="AP129" i="1" s="1"/>
  <c r="AN162" i="1"/>
  <c r="AO162" i="1" s="1"/>
  <c r="AN168" i="1"/>
  <c r="AP168" i="1" s="1"/>
  <c r="AN141" i="1"/>
  <c r="AO141" i="1" s="1"/>
  <c r="AN49" i="1"/>
  <c r="AP49" i="1" s="1"/>
  <c r="AN52" i="1"/>
  <c r="AL52" i="1" s="1"/>
  <c r="AN108" i="1"/>
  <c r="AO108" i="1" s="1"/>
  <c r="AN133" i="1"/>
  <c r="AP133" i="1" s="1"/>
  <c r="AN37" i="1"/>
  <c r="AP37" i="1" s="1"/>
  <c r="AN71" i="1"/>
  <c r="AL71" i="1" s="1"/>
  <c r="AN93" i="1"/>
  <c r="AP93" i="1" s="1"/>
  <c r="AN61" i="1"/>
  <c r="AP61" i="1" s="1"/>
  <c r="AN68" i="1"/>
  <c r="AP68" i="1" s="1"/>
  <c r="AN38" i="1"/>
  <c r="AO38" i="1" s="1"/>
  <c r="AN40" i="1"/>
  <c r="AP40" i="1" s="1"/>
  <c r="AN89" i="1"/>
  <c r="AO89" i="1" s="1"/>
  <c r="AN63" i="1"/>
  <c r="AL63" i="1" s="1"/>
  <c r="AN94" i="1"/>
  <c r="AP94" i="1" s="1"/>
  <c r="AN103" i="1"/>
  <c r="AO103" i="1" s="1"/>
  <c r="AN140" i="1"/>
  <c r="AL140" i="1" s="1"/>
  <c r="AN54" i="1"/>
  <c r="AO54" i="1" s="1"/>
  <c r="AP96" i="1"/>
  <c r="AO185" i="1"/>
  <c r="AQ185" i="1" s="1"/>
  <c r="AN97" i="1"/>
  <c r="AP97" i="1" s="1"/>
  <c r="BA88" i="1"/>
  <c r="AW88" i="1"/>
  <c r="AY89" i="1" s="1"/>
  <c r="AZ88" i="1"/>
  <c r="AY49" i="1"/>
  <c r="BA49" i="1" s="1"/>
  <c r="BA31" i="1"/>
  <c r="AZ55" i="1"/>
  <c r="AY50" i="1"/>
  <c r="BA55" i="1"/>
  <c r="BB55" i="1" s="1"/>
  <c r="AY111" i="1"/>
  <c r="AY171" i="1"/>
  <c r="AW171" i="1" s="1"/>
  <c r="AY26" i="1"/>
  <c r="BA26" i="1" s="1"/>
  <c r="AY96" i="1"/>
  <c r="BA96" i="1" s="1"/>
  <c r="AY109" i="1"/>
  <c r="BA109" i="1" s="1"/>
  <c r="AY129" i="1"/>
  <c r="AZ129" i="1" s="1"/>
  <c r="AY134" i="1"/>
  <c r="AZ134" i="1" s="1"/>
  <c r="AY132" i="1"/>
  <c r="BA132" i="1" s="1"/>
  <c r="AY139" i="1"/>
  <c r="AZ139" i="1" s="1"/>
  <c r="AY174" i="1"/>
  <c r="AW174" i="1" s="1"/>
  <c r="AY33" i="1"/>
  <c r="AW33" i="1" s="1"/>
  <c r="AW67" i="1"/>
  <c r="AY68" i="1" s="1"/>
  <c r="AZ68" i="1" s="1"/>
  <c r="AY74" i="1"/>
  <c r="AY172" i="1"/>
  <c r="AW172" i="1" s="1"/>
  <c r="AY95" i="1"/>
  <c r="BA95" i="1" s="1"/>
  <c r="AY170" i="1"/>
  <c r="BA170" i="1" s="1"/>
  <c r="AZ181" i="1"/>
  <c r="AY27" i="1"/>
  <c r="AZ27" i="1" s="1"/>
  <c r="AY45" i="1"/>
  <c r="BA45" i="1" s="1"/>
  <c r="AY153" i="1"/>
  <c r="BA153" i="1" s="1"/>
  <c r="AY184" i="1"/>
  <c r="AZ184" i="1" s="1"/>
  <c r="AY106" i="1"/>
  <c r="AW106" i="1" s="1"/>
  <c r="AY59" i="1"/>
  <c r="AZ59" i="1" s="1"/>
  <c r="BA85" i="1"/>
  <c r="BB85" i="1" s="1"/>
  <c r="AZ179" i="1"/>
  <c r="BB179" i="1" s="1"/>
  <c r="AY41" i="1"/>
  <c r="AZ41" i="1" s="1"/>
  <c r="AY113" i="1"/>
  <c r="AW113" i="1" s="1"/>
  <c r="AY114" i="1" s="1"/>
  <c r="AN25" i="1"/>
  <c r="AO25" i="1" s="1"/>
  <c r="AN101" i="1"/>
  <c r="AP101" i="1" s="1"/>
  <c r="AN148" i="1"/>
  <c r="AL148" i="1" s="1"/>
  <c r="AN30" i="1"/>
  <c r="AP30" i="1" s="1"/>
  <c r="AN34" i="1"/>
  <c r="AP34" i="1" s="1"/>
  <c r="AN85" i="1"/>
  <c r="AO85" i="1" s="1"/>
  <c r="AN99" i="1"/>
  <c r="AL99" i="1" s="1"/>
  <c r="AN24" i="1"/>
  <c r="AO24" i="1" s="1"/>
  <c r="AN31" i="1"/>
  <c r="AP31" i="1" s="1"/>
  <c r="AN35" i="1"/>
  <c r="AL35" i="1" s="1"/>
  <c r="AN42" i="1"/>
  <c r="AP42" i="1" s="1"/>
  <c r="AN147" i="1"/>
  <c r="AL147" i="1" s="1"/>
  <c r="AN33" i="1"/>
  <c r="AO33" i="1" s="1"/>
  <c r="AN184" i="1"/>
  <c r="AP184" i="1" s="1"/>
  <c r="AN113" i="1"/>
  <c r="AO113" i="1" s="1"/>
  <c r="AL185" i="1"/>
  <c r="AN120" i="1"/>
  <c r="AP120" i="1" s="1"/>
  <c r="AN32" i="1"/>
  <c r="AP32" i="1" s="1"/>
  <c r="AN125" i="1"/>
  <c r="AP125" i="1" s="1"/>
  <c r="AN50" i="1"/>
  <c r="AL50" i="1" s="1"/>
  <c r="AN173" i="1"/>
  <c r="AL173" i="1" s="1"/>
  <c r="AN174" i="1" s="1"/>
  <c r="AN146" i="1"/>
  <c r="AO146" i="1" s="1"/>
  <c r="AN142" i="1"/>
  <c r="AO142" i="1" s="1"/>
  <c r="AN163" i="1"/>
  <c r="AO163" i="1" s="1"/>
  <c r="AN70" i="1"/>
  <c r="AO70" i="1" s="1"/>
  <c r="AN91" i="1"/>
  <c r="AP91" i="1" s="1"/>
  <c r="AN46" i="1"/>
  <c r="AP46" i="1" s="1"/>
  <c r="AN76" i="1"/>
  <c r="AP76" i="1" s="1"/>
  <c r="AN86" i="1"/>
  <c r="AN122" i="1"/>
  <c r="AN124" i="1"/>
  <c r="AP124" i="1" s="1"/>
  <c r="AN72" i="1"/>
  <c r="AN84" i="1"/>
  <c r="AP84" i="1" s="1"/>
  <c r="AN74" i="1"/>
  <c r="AO74" i="1" s="1"/>
  <c r="AN100" i="1"/>
  <c r="AP100" i="1" s="1"/>
  <c r="AN114" i="1"/>
  <c r="AL114" i="1" s="1"/>
  <c r="AO135" i="1"/>
  <c r="AP135" i="1"/>
  <c r="AN69" i="1"/>
  <c r="AL69" i="1" s="1"/>
  <c r="AP87" i="1"/>
  <c r="AN90" i="1"/>
  <c r="AP90" i="1" s="1"/>
  <c r="AN104" i="1"/>
  <c r="AP104" i="1" s="1"/>
  <c r="AN123" i="1"/>
  <c r="AL123" i="1" s="1"/>
  <c r="AN149" i="1"/>
  <c r="AP149" i="1" s="1"/>
  <c r="AN131" i="1"/>
  <c r="AN53" i="1"/>
  <c r="AO53" i="1" s="1"/>
  <c r="AN77" i="1"/>
  <c r="AP77" i="1" s="1"/>
  <c r="AN119" i="1"/>
  <c r="AO119" i="1" s="1"/>
  <c r="AN127" i="1"/>
  <c r="AL127" i="1" s="1"/>
  <c r="AN128" i="1" s="1"/>
  <c r="AP128" i="1" s="1"/>
  <c r="AN39" i="1"/>
  <c r="AO39" i="1" s="1"/>
  <c r="AN55" i="1"/>
  <c r="AP55" i="1" s="1"/>
  <c r="AN81" i="1"/>
  <c r="AP81" i="1" s="1"/>
  <c r="AN115" i="1"/>
  <c r="AN159" i="1"/>
  <c r="AP152" i="1"/>
  <c r="AL152" i="1"/>
  <c r="AO152" i="1"/>
  <c r="AZ22" i="1"/>
  <c r="BA22" i="1"/>
  <c r="AZ24" i="1"/>
  <c r="AW24" i="1"/>
  <c r="AY25" i="1" s="1"/>
  <c r="BA24" i="1"/>
  <c r="AW35" i="1"/>
  <c r="AZ35" i="1"/>
  <c r="BB35" i="1" s="1"/>
  <c r="AW62" i="1"/>
  <c r="BA62" i="1"/>
  <c r="AL82" i="1"/>
  <c r="AP82" i="1"/>
  <c r="AO82" i="1"/>
  <c r="AZ62" i="1"/>
  <c r="AW36" i="1"/>
  <c r="AN62" i="1"/>
  <c r="AY29" i="1"/>
  <c r="AN44" i="1"/>
  <c r="AY128" i="1"/>
  <c r="AY137" i="1"/>
  <c r="AW143" i="1"/>
  <c r="AY144" i="1" s="1"/>
  <c r="AZ143" i="1"/>
  <c r="BA143" i="1"/>
  <c r="AW157" i="1"/>
  <c r="BA157" i="1"/>
  <c r="AZ157" i="1"/>
  <c r="AZ40" i="1"/>
  <c r="BA40" i="1"/>
  <c r="AW66" i="1"/>
  <c r="AZ66" i="1"/>
  <c r="BA66" i="1"/>
  <c r="AN48" i="1"/>
  <c r="AZ73" i="1"/>
  <c r="AW73" i="1"/>
  <c r="BA73" i="1"/>
  <c r="AP166" i="1"/>
  <c r="AL166" i="1"/>
  <c r="AN167" i="1" s="1"/>
  <c r="AO166" i="1"/>
  <c r="AO22" i="1"/>
  <c r="AP22" i="1"/>
  <c r="AN43" i="1"/>
  <c r="AZ48" i="1"/>
  <c r="BA53" i="1"/>
  <c r="AW53" i="1"/>
  <c r="AY54" i="1" s="1"/>
  <c r="BA79" i="1"/>
  <c r="AZ79" i="1"/>
  <c r="AW79" i="1"/>
  <c r="AW160" i="1"/>
  <c r="BA160" i="1"/>
  <c r="AZ160" i="1"/>
  <c r="AL177" i="1"/>
  <c r="AO177" i="1"/>
  <c r="AP177" i="1"/>
  <c r="BA48" i="1"/>
  <c r="AN51" i="1"/>
  <c r="AZ53" i="1"/>
  <c r="AY82" i="1"/>
  <c r="BA146" i="1"/>
  <c r="AW146" i="1"/>
  <c r="AY147" i="1" s="1"/>
  <c r="AN23" i="1"/>
  <c r="AY52" i="1"/>
  <c r="AN92" i="1"/>
  <c r="AZ146" i="1"/>
  <c r="AW84" i="1"/>
  <c r="BA84" i="1"/>
  <c r="BB84" i="1" s="1"/>
  <c r="AN36" i="1"/>
  <c r="AP111" i="1"/>
  <c r="AL111" i="1"/>
  <c r="AO111" i="1"/>
  <c r="AZ31" i="1"/>
  <c r="AN83" i="1"/>
  <c r="BA102" i="1"/>
  <c r="BB102" i="1" s="1"/>
  <c r="AW102" i="1"/>
  <c r="AY103" i="1" s="1"/>
  <c r="AW75" i="1"/>
  <c r="AY76" i="1" s="1"/>
  <c r="BA75" i="1"/>
  <c r="BB75" i="1" s="1"/>
  <c r="AY80" i="1"/>
  <c r="BA81" i="1"/>
  <c r="AZ81" i="1"/>
  <c r="AN102" i="1"/>
  <c r="AP112" i="1"/>
  <c r="AY77" i="1"/>
  <c r="BA135" i="1"/>
  <c r="BB135" i="1" s="1"/>
  <c r="AW135" i="1"/>
  <c r="AN41" i="1"/>
  <c r="AZ91" i="1"/>
  <c r="AO112" i="1"/>
  <c r="AN59" i="1"/>
  <c r="BA107" i="1"/>
  <c r="AZ107" i="1"/>
  <c r="AW107" i="1"/>
  <c r="AY47" i="1"/>
  <c r="AW90" i="1"/>
  <c r="AZ90" i="1"/>
  <c r="BA90" i="1"/>
  <c r="AY56" i="1"/>
  <c r="AY142" i="1"/>
  <c r="AO137" i="1"/>
  <c r="AP137" i="1"/>
  <c r="AL137" i="1"/>
  <c r="AP136" i="1"/>
  <c r="AL136" i="1"/>
  <c r="AP153" i="1"/>
  <c r="AL153" i="1"/>
  <c r="AN154" i="1" s="1"/>
  <c r="AY60" i="1"/>
  <c r="AN73" i="1"/>
  <c r="AO136" i="1"/>
  <c r="AW151" i="1"/>
  <c r="AO153" i="1"/>
  <c r="AZ162" i="1"/>
  <c r="AY133" i="1"/>
  <c r="AY121" i="1"/>
  <c r="AL134" i="1"/>
  <c r="AN150" i="1"/>
  <c r="AN88" i="1"/>
  <c r="AY23" i="1"/>
  <c r="AY108" i="1"/>
  <c r="AP138" i="1"/>
  <c r="AL138" i="1"/>
  <c r="AN139" i="1" s="1"/>
  <c r="AO138" i="1"/>
  <c r="AY140" i="1"/>
  <c r="AN118" i="1"/>
  <c r="AY154" i="1"/>
  <c r="AZ175" i="1"/>
  <c r="AW175" i="1"/>
  <c r="AY98" i="1"/>
  <c r="AY150" i="1"/>
  <c r="AN179" i="1"/>
  <c r="AY163" i="1"/>
  <c r="AY185" i="1"/>
  <c r="AN132" i="1"/>
  <c r="AY156" i="1"/>
  <c r="AN143" i="1"/>
  <c r="AY168" i="1"/>
  <c r="AY178" i="1"/>
  <c r="AY177" i="1"/>
  <c r="AN165" i="1"/>
  <c r="AN116" i="1"/>
  <c r="AN130" i="1"/>
  <c r="AN144" i="1"/>
  <c r="AN186" i="1"/>
  <c r="AY110" i="1"/>
  <c r="AY124" i="1"/>
  <c r="AY138" i="1"/>
  <c r="AY152" i="1"/>
  <c r="AY180" i="1"/>
  <c r="AW153" i="1" l="1"/>
  <c r="BA91" i="1"/>
  <c r="AZ153" i="1"/>
  <c r="BB153" i="1" s="1"/>
  <c r="AW162" i="1"/>
  <c r="BA183" i="1"/>
  <c r="AW183" i="1"/>
  <c r="AW167" i="1"/>
  <c r="BA46" i="1"/>
  <c r="AZ158" i="1"/>
  <c r="BA158" i="1"/>
  <c r="BA32" i="1"/>
  <c r="AZ46" i="1"/>
  <c r="AW126" i="1"/>
  <c r="BA164" i="1"/>
  <c r="AZ36" i="1"/>
  <c r="BB36" i="1" s="1"/>
  <c r="AW112" i="1"/>
  <c r="AW42" i="1"/>
  <c r="AY43" i="1" s="1"/>
  <c r="BA43" i="1" s="1"/>
  <c r="BA126" i="1"/>
  <c r="BB126" i="1" s="1"/>
  <c r="BA169" i="1"/>
  <c r="AW131" i="1"/>
  <c r="AZ65" i="1"/>
  <c r="BB79" i="1"/>
  <c r="BA186" i="1"/>
  <c r="BB183" i="1"/>
  <c r="AZ112" i="1"/>
  <c r="BB112" i="1" s="1"/>
  <c r="AZ169" i="1"/>
  <c r="AZ151" i="1"/>
  <c r="BB151" i="1" s="1"/>
  <c r="AW117" i="1"/>
  <c r="AY118" i="1" s="1"/>
  <c r="AW118" i="1" s="1"/>
  <c r="AY119" i="1" s="1"/>
  <c r="BA131" i="1"/>
  <c r="BB131" i="1" s="1"/>
  <c r="BA65" i="1"/>
  <c r="AZ67" i="1"/>
  <c r="BB67" i="1" s="1"/>
  <c r="AZ186" i="1"/>
  <c r="AZ42" i="1"/>
  <c r="AZ57" i="1"/>
  <c r="BB57" i="1" s="1"/>
  <c r="AW57" i="1"/>
  <c r="BA117" i="1"/>
  <c r="BB117" i="1" s="1"/>
  <c r="AZ78" i="1"/>
  <c r="AW120" i="1"/>
  <c r="BA167" i="1"/>
  <c r="BB167" i="1" s="1"/>
  <c r="BA78" i="1"/>
  <c r="BA105" i="1"/>
  <c r="BB105" i="1" s="1"/>
  <c r="AZ32" i="1"/>
  <c r="AZ164" i="1"/>
  <c r="AZ72" i="1"/>
  <c r="AZ28" i="1"/>
  <c r="BA72" i="1"/>
  <c r="BA28" i="1"/>
  <c r="AW59" i="1"/>
  <c r="BA122" i="1"/>
  <c r="BB122" i="1" s="1"/>
  <c r="AW184" i="1"/>
  <c r="BA59" i="1"/>
  <c r="BB59" i="1" s="1"/>
  <c r="AW122" i="1"/>
  <c r="AY123" i="1" s="1"/>
  <c r="BA123" i="1" s="1"/>
  <c r="BA155" i="1"/>
  <c r="BB155" i="1" s="1"/>
  <c r="AW155" i="1"/>
  <c r="AZ87" i="1"/>
  <c r="BB87" i="1" s="1"/>
  <c r="BA97" i="1"/>
  <c r="AZ83" i="1"/>
  <c r="AW170" i="1"/>
  <c r="BB160" i="1"/>
  <c r="BA184" i="1"/>
  <c r="AW132" i="1"/>
  <c r="AZ94" i="1"/>
  <c r="AZ49" i="1"/>
  <c r="BB49" i="1" s="1"/>
  <c r="BA173" i="1"/>
  <c r="BB69" i="1"/>
  <c r="AZ70" i="1"/>
  <c r="BA70" i="1"/>
  <c r="AZ45" i="1"/>
  <c r="BB45" i="1" s="1"/>
  <c r="AW176" i="1"/>
  <c r="AZ132" i="1"/>
  <c r="BB132" i="1" s="1"/>
  <c r="AZ176" i="1"/>
  <c r="BB176" i="1" s="1"/>
  <c r="AZ130" i="1"/>
  <c r="BB130" i="1" s="1"/>
  <c r="BA39" i="1"/>
  <c r="BA145" i="1"/>
  <c r="BB145" i="1" s="1"/>
  <c r="AZ161" i="1"/>
  <c r="BB161" i="1" s="1"/>
  <c r="AW130" i="1"/>
  <c r="AZ182" i="1"/>
  <c r="BB182" i="1" s="1"/>
  <c r="AW105" i="1"/>
  <c r="AZ106" i="1"/>
  <c r="AW83" i="1"/>
  <c r="BA139" i="1"/>
  <c r="BB139" i="1" s="1"/>
  <c r="AW94" i="1"/>
  <c r="BB88" i="1"/>
  <c r="AZ136" i="1"/>
  <c r="BB136" i="1" s="1"/>
  <c r="BA148" i="1"/>
  <c r="BA120" i="1"/>
  <c r="BB120" i="1" s="1"/>
  <c r="AW38" i="1"/>
  <c r="AW136" i="1"/>
  <c r="AZ148" i="1"/>
  <c r="AW134" i="1"/>
  <c r="AW49" i="1"/>
  <c r="AZ173" i="1"/>
  <c r="BB173" i="1" s="1"/>
  <c r="AW63" i="1"/>
  <c r="AY64" i="1" s="1"/>
  <c r="BA64" i="1" s="1"/>
  <c r="AW45" i="1"/>
  <c r="BA63" i="1"/>
  <c r="BB63" i="1" s="1"/>
  <c r="AZ58" i="1"/>
  <c r="BA58" i="1"/>
  <c r="AW30" i="1"/>
  <c r="AZ127" i="1"/>
  <c r="BB127" i="1" s="1"/>
  <c r="AZ39" i="1"/>
  <c r="AW70" i="1"/>
  <c r="AY71" i="1" s="1"/>
  <c r="BA71" i="1" s="1"/>
  <c r="AW145" i="1"/>
  <c r="AW161" i="1"/>
  <c r="AW182" i="1"/>
  <c r="AW127" i="1"/>
  <c r="BB175" i="1"/>
  <c r="AZ171" i="1"/>
  <c r="AW87" i="1"/>
  <c r="BA38" i="1"/>
  <c r="BB38" i="1" s="1"/>
  <c r="AW129" i="1"/>
  <c r="BA41" i="1"/>
  <c r="BB41" i="1" s="1"/>
  <c r="AZ34" i="1"/>
  <c r="BB34" i="1" s="1"/>
  <c r="AW34" i="1"/>
  <c r="BA27" i="1"/>
  <c r="BB27" i="1" s="1"/>
  <c r="AW27" i="1"/>
  <c r="BA181" i="1"/>
  <c r="BB181" i="1" s="1"/>
  <c r="AW181" i="1"/>
  <c r="AZ97" i="1"/>
  <c r="BB146" i="1"/>
  <c r="AW139" i="1"/>
  <c r="AW109" i="1"/>
  <c r="BB31" i="1"/>
  <c r="AW68" i="1"/>
  <c r="AZ109" i="1"/>
  <c r="BB109" i="1" s="1"/>
  <c r="AW96" i="1"/>
  <c r="AZ96" i="1"/>
  <c r="BB96" i="1" s="1"/>
  <c r="BA129" i="1"/>
  <c r="BB129" i="1" s="1"/>
  <c r="BA30" i="1"/>
  <c r="BB30" i="1" s="1"/>
  <c r="BB94" i="1"/>
  <c r="BA106" i="1"/>
  <c r="AL38" i="1"/>
  <c r="AP75" i="1"/>
  <c r="AQ75" i="1" s="1"/>
  <c r="AL64" i="1"/>
  <c r="AN65" i="1" s="1"/>
  <c r="AO65" i="1" s="1"/>
  <c r="AO71" i="1"/>
  <c r="AP64" i="1"/>
  <c r="AQ64" i="1" s="1"/>
  <c r="AP71" i="1"/>
  <c r="AO93" i="1"/>
  <c r="AQ93" i="1" s="1"/>
  <c r="AQ96" i="1"/>
  <c r="AO68" i="1"/>
  <c r="AQ68" i="1" s="1"/>
  <c r="AO134" i="1"/>
  <c r="AQ134" i="1" s="1"/>
  <c r="AL68" i="1"/>
  <c r="AP178" i="1"/>
  <c r="AQ178" i="1" s="1"/>
  <c r="AO125" i="1"/>
  <c r="AQ125" i="1" s="1"/>
  <c r="AL178" i="1"/>
  <c r="AO87" i="1"/>
  <c r="AL37" i="1"/>
  <c r="AL133" i="1"/>
  <c r="AO37" i="1"/>
  <c r="AQ37" i="1" s="1"/>
  <c r="BE37" i="1" s="1"/>
  <c r="AP162" i="1"/>
  <c r="AQ162" i="1" s="1"/>
  <c r="AL162" i="1"/>
  <c r="AL108" i="1"/>
  <c r="AN109" i="1" s="1"/>
  <c r="AL109" i="1" s="1"/>
  <c r="AN110" i="1" s="1"/>
  <c r="AP110" i="1" s="1"/>
  <c r="AL129" i="1"/>
  <c r="AP108" i="1"/>
  <c r="AQ108" i="1" s="1"/>
  <c r="AO49" i="1"/>
  <c r="AQ49" i="1" s="1"/>
  <c r="AO168" i="1"/>
  <c r="AQ168" i="1" s="1"/>
  <c r="AL49" i="1"/>
  <c r="AO52" i="1"/>
  <c r="AL168" i="1"/>
  <c r="AN169" i="1" s="1"/>
  <c r="AL169" i="1" s="1"/>
  <c r="AN170" i="1" s="1"/>
  <c r="AL170" i="1" s="1"/>
  <c r="AN171" i="1" s="1"/>
  <c r="AL141" i="1"/>
  <c r="AP141" i="1"/>
  <c r="AQ141" i="1" s="1"/>
  <c r="AO133" i="1"/>
  <c r="AQ133" i="1" s="1"/>
  <c r="AO129" i="1"/>
  <c r="AQ129" i="1" s="1"/>
  <c r="AP52" i="1"/>
  <c r="AL94" i="1"/>
  <c r="AN95" i="1" s="1"/>
  <c r="AP95" i="1" s="1"/>
  <c r="AL75" i="1"/>
  <c r="AO94" i="1"/>
  <c r="AQ94" i="1" s="1"/>
  <c r="AL40" i="1"/>
  <c r="AO40" i="1"/>
  <c r="AQ40" i="1" s="1"/>
  <c r="AP38" i="1"/>
  <c r="AQ38" i="1" s="1"/>
  <c r="AO147" i="1"/>
  <c r="AL61" i="1"/>
  <c r="AO61" i="1"/>
  <c r="AQ61" i="1" s="1"/>
  <c r="AP103" i="1"/>
  <c r="AQ103" i="1" s="1"/>
  <c r="AL103" i="1"/>
  <c r="AL93" i="1"/>
  <c r="AO99" i="1"/>
  <c r="AP99" i="1"/>
  <c r="AL89" i="1"/>
  <c r="AL54" i="1"/>
  <c r="AO173" i="1"/>
  <c r="AP89" i="1"/>
  <c r="AQ89" i="1" s="1"/>
  <c r="AP54" i="1"/>
  <c r="AQ54" i="1" s="1"/>
  <c r="AP173" i="1"/>
  <c r="AP35" i="1"/>
  <c r="AP140" i="1"/>
  <c r="AL97" i="1"/>
  <c r="AN98" i="1" s="1"/>
  <c r="AP98" i="1" s="1"/>
  <c r="AO97" i="1"/>
  <c r="AQ97" i="1" s="1"/>
  <c r="AP70" i="1"/>
  <c r="AQ70" i="1" s="1"/>
  <c r="AL42" i="1"/>
  <c r="AO140" i="1"/>
  <c r="AP148" i="1"/>
  <c r="AL34" i="1"/>
  <c r="AQ87" i="1"/>
  <c r="AO63" i="1"/>
  <c r="AL125" i="1"/>
  <c r="AN126" i="1" s="1"/>
  <c r="AO126" i="1" s="1"/>
  <c r="AO34" i="1"/>
  <c r="AQ34" i="1" s="1"/>
  <c r="AL85" i="1"/>
  <c r="AP63" i="1"/>
  <c r="AP85" i="1"/>
  <c r="AQ85" i="1" s="1"/>
  <c r="BE85" i="1" s="1"/>
  <c r="AO50" i="1"/>
  <c r="AP33" i="1"/>
  <c r="AQ33" i="1" s="1"/>
  <c r="AL33" i="1"/>
  <c r="AP50" i="1"/>
  <c r="AL184" i="1"/>
  <c r="AQ71" i="1"/>
  <c r="AP154" i="1"/>
  <c r="AO154" i="1"/>
  <c r="AL154" i="1"/>
  <c r="AN155" i="1" s="1"/>
  <c r="AP167" i="1"/>
  <c r="AO167" i="1"/>
  <c r="AL167" i="1"/>
  <c r="AP139" i="1"/>
  <c r="AO139" i="1"/>
  <c r="AL139" i="1"/>
  <c r="AO148" i="1"/>
  <c r="AL25" i="1"/>
  <c r="AN26" i="1" s="1"/>
  <c r="AP26" i="1" s="1"/>
  <c r="AL30" i="1"/>
  <c r="AO84" i="1"/>
  <c r="AQ84" i="1" s="1"/>
  <c r="BE84" i="1" s="1"/>
  <c r="AL128" i="1"/>
  <c r="AO101" i="1"/>
  <c r="AQ101" i="1" s="1"/>
  <c r="AL24" i="1"/>
  <c r="AO128" i="1"/>
  <c r="AQ128" i="1" s="1"/>
  <c r="AP24" i="1"/>
  <c r="AQ24" i="1" s="1"/>
  <c r="AP53" i="1"/>
  <c r="AQ53" i="1" s="1"/>
  <c r="AL120" i="1"/>
  <c r="AN121" i="1" s="1"/>
  <c r="AL121" i="1" s="1"/>
  <c r="AL74" i="1"/>
  <c r="AO120" i="1"/>
  <c r="AQ120" i="1" s="1"/>
  <c r="AO31" i="1"/>
  <c r="AQ31" i="1" s="1"/>
  <c r="AP74" i="1"/>
  <c r="AQ74" i="1" s="1"/>
  <c r="AL101" i="1"/>
  <c r="AP123" i="1"/>
  <c r="AP147" i="1"/>
  <c r="BB107" i="1"/>
  <c r="BA68" i="1"/>
  <c r="BB68" i="1" s="1"/>
  <c r="BA74" i="1"/>
  <c r="AZ74" i="1"/>
  <c r="AZ172" i="1"/>
  <c r="BA171" i="1"/>
  <c r="AZ111" i="1"/>
  <c r="BA111" i="1"/>
  <c r="BA172" i="1"/>
  <c r="AW111" i="1"/>
  <c r="AW74" i="1"/>
  <c r="AW26" i="1"/>
  <c r="AZ26" i="1"/>
  <c r="BB26" i="1" s="1"/>
  <c r="AW41" i="1"/>
  <c r="AZ95" i="1"/>
  <c r="BB95" i="1" s="1"/>
  <c r="AW50" i="1"/>
  <c r="AY51" i="1" s="1"/>
  <c r="BA51" i="1" s="1"/>
  <c r="BA50" i="1"/>
  <c r="AZ50" i="1"/>
  <c r="BB50" i="1" s="1"/>
  <c r="AZ113" i="1"/>
  <c r="AZ33" i="1"/>
  <c r="AZ174" i="1"/>
  <c r="AW95" i="1"/>
  <c r="BA33" i="1"/>
  <c r="AZ170" i="1"/>
  <c r="BB170" i="1" s="1"/>
  <c r="BA174" i="1"/>
  <c r="BB42" i="1"/>
  <c r="AZ71" i="1"/>
  <c r="BB71" i="1" s="1"/>
  <c r="BA113" i="1"/>
  <c r="BA134" i="1"/>
  <c r="BB134" i="1" s="1"/>
  <c r="BE134" i="1" s="1"/>
  <c r="AW71" i="1"/>
  <c r="BB81" i="1"/>
  <c r="BB157" i="1"/>
  <c r="AL113" i="1"/>
  <c r="AO35" i="1"/>
  <c r="AQ138" i="1"/>
  <c r="AP113" i="1"/>
  <c r="AQ113" i="1" s="1"/>
  <c r="AL76" i="1"/>
  <c r="AO42" i="1"/>
  <c r="AQ42" i="1" s="1"/>
  <c r="AO184" i="1"/>
  <c r="AQ184" i="1" s="1"/>
  <c r="AL31" i="1"/>
  <c r="AQ82" i="1"/>
  <c r="AP25" i="1"/>
  <c r="AQ25" i="1" s="1"/>
  <c r="AL149" i="1"/>
  <c r="AQ152" i="1"/>
  <c r="AL32" i="1"/>
  <c r="AO46" i="1"/>
  <c r="AQ46" i="1" s="1"/>
  <c r="AO32" i="1"/>
  <c r="AQ32" i="1" s="1"/>
  <c r="AO30" i="1"/>
  <c r="AQ30" i="1" s="1"/>
  <c r="AL46" i="1"/>
  <c r="AN47" i="1" s="1"/>
  <c r="AO47" i="1" s="1"/>
  <c r="AO76" i="1"/>
  <c r="AQ76" i="1" s="1"/>
  <c r="AL142" i="1"/>
  <c r="AP142" i="1"/>
  <c r="AQ142" i="1" s="1"/>
  <c r="AO124" i="1"/>
  <c r="AQ124" i="1" s="1"/>
  <c r="AO123" i="1"/>
  <c r="AQ137" i="1"/>
  <c r="AP163" i="1"/>
  <c r="AQ163" i="1" s="1"/>
  <c r="AO104" i="1"/>
  <c r="AQ104" i="1" s="1"/>
  <c r="AL163" i="1"/>
  <c r="AN164" i="1" s="1"/>
  <c r="AP164" i="1" s="1"/>
  <c r="AL124" i="1"/>
  <c r="AL104" i="1"/>
  <c r="AN105" i="1" s="1"/>
  <c r="AL81" i="1"/>
  <c r="AO81" i="1"/>
  <c r="AQ81" i="1" s="1"/>
  <c r="AL146" i="1"/>
  <c r="AP146" i="1"/>
  <c r="AQ146" i="1" s="1"/>
  <c r="AL90" i="1"/>
  <c r="AO69" i="1"/>
  <c r="AL77" i="1"/>
  <c r="AN78" i="1" s="1"/>
  <c r="AP78" i="1" s="1"/>
  <c r="AL86" i="1"/>
  <c r="AP86" i="1"/>
  <c r="AO86" i="1"/>
  <c r="AP127" i="1"/>
  <c r="AL70" i="1"/>
  <c r="AO115" i="1"/>
  <c r="AP115" i="1"/>
  <c r="AL115" i="1"/>
  <c r="AO127" i="1"/>
  <c r="AQ135" i="1"/>
  <c r="BE135" i="1" s="1"/>
  <c r="AP119" i="1"/>
  <c r="AQ119" i="1" s="1"/>
  <c r="AO90" i="1"/>
  <c r="AQ90" i="1" s="1"/>
  <c r="AL39" i="1"/>
  <c r="AO91" i="1"/>
  <c r="AQ91" i="1" s="1"/>
  <c r="AO55" i="1"/>
  <c r="AQ55" i="1" s="1"/>
  <c r="BE55" i="1" s="1"/>
  <c r="AL55" i="1"/>
  <c r="AN56" i="1" s="1"/>
  <c r="AL119" i="1"/>
  <c r="AP39" i="1"/>
  <c r="AQ39" i="1" s="1"/>
  <c r="AL91" i="1"/>
  <c r="AO131" i="1"/>
  <c r="AP131" i="1"/>
  <c r="AL131" i="1"/>
  <c r="AP114" i="1"/>
  <c r="AO114" i="1"/>
  <c r="AL84" i="1"/>
  <c r="AO72" i="1"/>
  <c r="AP72" i="1"/>
  <c r="AL72" i="1"/>
  <c r="AO77" i="1"/>
  <c r="AQ77" i="1" s="1"/>
  <c r="AL53" i="1"/>
  <c r="AP159" i="1"/>
  <c r="AO159" i="1"/>
  <c r="AL159" i="1"/>
  <c r="AN160" i="1" s="1"/>
  <c r="AO100" i="1"/>
  <c r="AQ100" i="1" s="1"/>
  <c r="AL100" i="1"/>
  <c r="AO149" i="1"/>
  <c r="AQ149" i="1" s="1"/>
  <c r="AP69" i="1"/>
  <c r="AL122" i="1"/>
  <c r="AO122" i="1"/>
  <c r="AP122" i="1"/>
  <c r="BA165" i="1"/>
  <c r="AZ165" i="1"/>
  <c r="AW165" i="1"/>
  <c r="AY166" i="1" s="1"/>
  <c r="BA92" i="1"/>
  <c r="AZ92" i="1"/>
  <c r="AW92" i="1"/>
  <c r="AY93" i="1" s="1"/>
  <c r="AW103" i="1"/>
  <c r="AY104" i="1" s="1"/>
  <c r="BA103" i="1"/>
  <c r="AZ103" i="1"/>
  <c r="BA76" i="1"/>
  <c r="AZ76" i="1"/>
  <c r="AW76" i="1"/>
  <c r="AP118" i="1"/>
  <c r="AL118" i="1"/>
  <c r="AO118" i="1"/>
  <c r="AW185" i="1"/>
  <c r="BA185" i="1"/>
  <c r="AZ185" i="1"/>
  <c r="BB185" i="1" s="1"/>
  <c r="BE185" i="1" s="1"/>
  <c r="BB48" i="1"/>
  <c r="AL48" i="1"/>
  <c r="AO48" i="1"/>
  <c r="AP48" i="1"/>
  <c r="AZ128" i="1"/>
  <c r="AW128" i="1"/>
  <c r="BA128" i="1"/>
  <c r="BA23" i="1"/>
  <c r="AZ23" i="1"/>
  <c r="AW23" i="1"/>
  <c r="BA144" i="1"/>
  <c r="AW144" i="1"/>
  <c r="AZ144" i="1"/>
  <c r="BB66" i="1"/>
  <c r="AO116" i="1"/>
  <c r="AL116" i="1"/>
  <c r="AN117" i="1" s="1"/>
  <c r="AP116" i="1"/>
  <c r="BA163" i="1"/>
  <c r="AW163" i="1"/>
  <c r="AZ163" i="1"/>
  <c r="AP174" i="1"/>
  <c r="AO174" i="1"/>
  <c r="AL174" i="1"/>
  <c r="AN175" i="1" s="1"/>
  <c r="BA133" i="1"/>
  <c r="AZ133" i="1"/>
  <c r="AW133" i="1"/>
  <c r="BB184" i="1"/>
  <c r="BA114" i="1"/>
  <c r="AW114" i="1"/>
  <c r="AY115" i="1" s="1"/>
  <c r="AZ114" i="1"/>
  <c r="BA142" i="1"/>
  <c r="AW142" i="1"/>
  <c r="AZ142" i="1"/>
  <c r="AO83" i="1"/>
  <c r="AP83" i="1"/>
  <c r="AL83" i="1"/>
  <c r="AQ177" i="1"/>
  <c r="BB24" i="1"/>
  <c r="AO92" i="1"/>
  <c r="AL92" i="1"/>
  <c r="AP92" i="1"/>
  <c r="BB83" i="1"/>
  <c r="BA152" i="1"/>
  <c r="AW152" i="1"/>
  <c r="AZ152" i="1"/>
  <c r="AO150" i="1"/>
  <c r="AP150" i="1"/>
  <c r="AL150" i="1"/>
  <c r="AN151" i="1" s="1"/>
  <c r="AZ138" i="1"/>
  <c r="AW138" i="1"/>
  <c r="BA138" i="1"/>
  <c r="BA56" i="1"/>
  <c r="AZ56" i="1"/>
  <c r="AW56" i="1"/>
  <c r="AQ112" i="1"/>
  <c r="AP44" i="1"/>
  <c r="AO44" i="1"/>
  <c r="AL44" i="1"/>
  <c r="AN45" i="1" s="1"/>
  <c r="BA124" i="1"/>
  <c r="AZ124" i="1"/>
  <c r="BB124" i="1" s="1"/>
  <c r="AW124" i="1"/>
  <c r="AY125" i="1" s="1"/>
  <c r="BA154" i="1"/>
  <c r="AZ154" i="1"/>
  <c r="AW154" i="1"/>
  <c r="AZ77" i="1"/>
  <c r="BA77" i="1"/>
  <c r="AW77" i="1"/>
  <c r="BA147" i="1"/>
  <c r="AZ147" i="1"/>
  <c r="AW147" i="1"/>
  <c r="AQ22" i="1"/>
  <c r="BB143" i="1"/>
  <c r="AW29" i="1"/>
  <c r="BA29" i="1"/>
  <c r="AZ29" i="1"/>
  <c r="BA110" i="1"/>
  <c r="AZ110" i="1"/>
  <c r="AW110" i="1"/>
  <c r="AZ156" i="1"/>
  <c r="AW156" i="1"/>
  <c r="BA156" i="1"/>
  <c r="BB162" i="1"/>
  <c r="BB90" i="1"/>
  <c r="AQ111" i="1"/>
  <c r="AQ166" i="1"/>
  <c r="AZ98" i="1"/>
  <c r="AW98" i="1"/>
  <c r="AY99" i="1" s="1"/>
  <c r="BA98" i="1"/>
  <c r="BA121" i="1"/>
  <c r="AZ121" i="1"/>
  <c r="AW121" i="1"/>
  <c r="BA86" i="1"/>
  <c r="AW86" i="1"/>
  <c r="AZ86" i="1"/>
  <c r="AW52" i="1"/>
  <c r="AZ52" i="1"/>
  <c r="BA52" i="1"/>
  <c r="AP51" i="1"/>
  <c r="AL51" i="1"/>
  <c r="AO51" i="1"/>
  <c r="AQ51" i="1" s="1"/>
  <c r="BA137" i="1"/>
  <c r="AZ137" i="1"/>
  <c r="AW137" i="1"/>
  <c r="AO62" i="1"/>
  <c r="AL62" i="1"/>
  <c r="AP62" i="1"/>
  <c r="AW108" i="1"/>
  <c r="AZ108" i="1"/>
  <c r="BA108" i="1"/>
  <c r="AO144" i="1"/>
  <c r="AP144" i="1"/>
  <c r="AL144" i="1"/>
  <c r="AN145" i="1" s="1"/>
  <c r="AP88" i="1"/>
  <c r="AL88" i="1"/>
  <c r="AO88" i="1"/>
  <c r="AQ153" i="1"/>
  <c r="BE75" i="1"/>
  <c r="AO130" i="1"/>
  <c r="AP130" i="1"/>
  <c r="AL130" i="1"/>
  <c r="BA80" i="1"/>
  <c r="AW80" i="1"/>
  <c r="AZ80" i="1"/>
  <c r="AO43" i="1"/>
  <c r="AL43" i="1"/>
  <c r="AP43" i="1"/>
  <c r="BB40" i="1"/>
  <c r="BA25" i="1"/>
  <c r="AZ25" i="1"/>
  <c r="AW25" i="1"/>
  <c r="AP23" i="1"/>
  <c r="AO23" i="1"/>
  <c r="AL23" i="1"/>
  <c r="AO165" i="1"/>
  <c r="AL165" i="1"/>
  <c r="AP165" i="1"/>
  <c r="BA149" i="1"/>
  <c r="AZ149" i="1"/>
  <c r="AW149" i="1"/>
  <c r="AQ136" i="1"/>
  <c r="AZ47" i="1"/>
  <c r="BA47" i="1"/>
  <c r="AW47" i="1"/>
  <c r="AL41" i="1"/>
  <c r="AP41" i="1"/>
  <c r="AO41" i="1"/>
  <c r="AW180" i="1"/>
  <c r="AZ180" i="1"/>
  <c r="BA180" i="1"/>
  <c r="BA177" i="1"/>
  <c r="AW177" i="1"/>
  <c r="AZ177" i="1"/>
  <c r="BA140" i="1"/>
  <c r="AZ140" i="1"/>
  <c r="AW140" i="1"/>
  <c r="AY141" i="1" s="1"/>
  <c r="BB22" i="1"/>
  <c r="AZ159" i="1"/>
  <c r="AW159" i="1"/>
  <c r="BA159" i="1"/>
  <c r="AW178" i="1"/>
  <c r="BA178" i="1"/>
  <c r="AZ178" i="1"/>
  <c r="AO73" i="1"/>
  <c r="AP73" i="1"/>
  <c r="AL73" i="1"/>
  <c r="AO59" i="1"/>
  <c r="AP59" i="1"/>
  <c r="AL59" i="1"/>
  <c r="AN60" i="1" s="1"/>
  <c r="AP102" i="1"/>
  <c r="AL102" i="1"/>
  <c r="AO102" i="1"/>
  <c r="AO36" i="1"/>
  <c r="AP36" i="1"/>
  <c r="AL36" i="1"/>
  <c r="AW82" i="1"/>
  <c r="AZ82" i="1"/>
  <c r="BA82" i="1"/>
  <c r="BA168" i="1"/>
  <c r="AZ168" i="1"/>
  <c r="AW168" i="1"/>
  <c r="AO179" i="1"/>
  <c r="AP179" i="1"/>
  <c r="AL179" i="1"/>
  <c r="AN180" i="1" s="1"/>
  <c r="BA60" i="1"/>
  <c r="AW60" i="1"/>
  <c r="AY61" i="1" s="1"/>
  <c r="AZ60" i="1"/>
  <c r="BB73" i="1"/>
  <c r="BB62" i="1"/>
  <c r="AO143" i="1"/>
  <c r="AP143" i="1"/>
  <c r="AL143" i="1"/>
  <c r="AO186" i="1"/>
  <c r="AL186" i="1"/>
  <c r="AP186" i="1"/>
  <c r="AP132" i="1"/>
  <c r="AL132" i="1"/>
  <c r="AO132" i="1"/>
  <c r="AW150" i="1"/>
  <c r="AZ150" i="1"/>
  <c r="BA150" i="1"/>
  <c r="BB91" i="1"/>
  <c r="AW89" i="1"/>
  <c r="AZ89" i="1"/>
  <c r="BA89" i="1"/>
  <c r="BB53" i="1"/>
  <c r="AW54" i="1"/>
  <c r="BA54" i="1"/>
  <c r="AZ54" i="1"/>
  <c r="BB32" i="1" l="1"/>
  <c r="BE112" i="1"/>
  <c r="BA118" i="1"/>
  <c r="BB46" i="1"/>
  <c r="BB158" i="1"/>
  <c r="BB186" i="1"/>
  <c r="BE46" i="1"/>
  <c r="AZ43" i="1"/>
  <c r="BB43" i="1" s="1"/>
  <c r="AW43" i="1"/>
  <c r="AY44" i="1" s="1"/>
  <c r="BA44" i="1" s="1"/>
  <c r="BB164" i="1"/>
  <c r="BB72" i="1"/>
  <c r="BB65" i="1"/>
  <c r="BE96" i="1"/>
  <c r="BB58" i="1"/>
  <c r="BE30" i="1"/>
  <c r="BE136" i="1"/>
  <c r="BE49" i="1"/>
  <c r="BB28" i="1"/>
  <c r="BB163" i="1"/>
  <c r="BE163" i="1" s="1"/>
  <c r="BE81" i="1"/>
  <c r="AZ118" i="1"/>
  <c r="BB118" i="1" s="1"/>
  <c r="BE32" i="1"/>
  <c r="BB97" i="1"/>
  <c r="BE97" i="1" s="1"/>
  <c r="BB169" i="1"/>
  <c r="BB78" i="1"/>
  <c r="BE87" i="1"/>
  <c r="BB148" i="1"/>
  <c r="BB25" i="1"/>
  <c r="BE25" i="1" s="1"/>
  <c r="BB121" i="1"/>
  <c r="BB110" i="1"/>
  <c r="BB154" i="1"/>
  <c r="BB23" i="1"/>
  <c r="BB106" i="1"/>
  <c r="BB171" i="1"/>
  <c r="BB74" i="1"/>
  <c r="BE74" i="1" s="1"/>
  <c r="BB39" i="1"/>
  <c r="AZ123" i="1"/>
  <c r="BB123" i="1" s="1"/>
  <c r="BB80" i="1"/>
  <c r="AW123" i="1"/>
  <c r="BE146" i="1"/>
  <c r="BB70" i="1"/>
  <c r="BE70" i="1" s="1"/>
  <c r="AW64" i="1"/>
  <c r="BE94" i="1"/>
  <c r="BB174" i="1"/>
  <c r="BE34" i="1"/>
  <c r="BB86" i="1"/>
  <c r="AZ64" i="1"/>
  <c r="BB64" i="1" s="1"/>
  <c r="BE64" i="1" s="1"/>
  <c r="BE40" i="1"/>
  <c r="BB60" i="1"/>
  <c r="BE42" i="1"/>
  <c r="BE153" i="1"/>
  <c r="BB137" i="1"/>
  <c r="BE137" i="1" s="1"/>
  <c r="BE91" i="1"/>
  <c r="BE162" i="1"/>
  <c r="BE129" i="1"/>
  <c r="BB54" i="1"/>
  <c r="BE54" i="1" s="1"/>
  <c r="BB144" i="1"/>
  <c r="BE68" i="1"/>
  <c r="BB33" i="1"/>
  <c r="BE33" i="1" s="1"/>
  <c r="BE31" i="1"/>
  <c r="BB113" i="1"/>
  <c r="BE113" i="1" s="1"/>
  <c r="BE120" i="1"/>
  <c r="BE39" i="1"/>
  <c r="BB178" i="1"/>
  <c r="BE178" i="1" s="1"/>
  <c r="BB92" i="1"/>
  <c r="BE38" i="1"/>
  <c r="AP65" i="1"/>
  <c r="AQ65" i="1" s="1"/>
  <c r="BE65" i="1" s="1"/>
  <c r="AO169" i="1"/>
  <c r="AL65" i="1"/>
  <c r="AN66" i="1" s="1"/>
  <c r="AP66" i="1" s="1"/>
  <c r="AO95" i="1"/>
  <c r="AQ95" i="1" s="1"/>
  <c r="BE95" i="1" s="1"/>
  <c r="AQ167" i="1"/>
  <c r="BE167" i="1" s="1"/>
  <c r="AQ52" i="1"/>
  <c r="AQ173" i="1"/>
  <c r="AP109" i="1"/>
  <c r="AQ147" i="1"/>
  <c r="AO170" i="1"/>
  <c r="AO109" i="1"/>
  <c r="AQ109" i="1" s="1"/>
  <c r="BE109" i="1" s="1"/>
  <c r="AP170" i="1"/>
  <c r="AQ170" i="1" s="1"/>
  <c r="BE170" i="1" s="1"/>
  <c r="AP169" i="1"/>
  <c r="AQ169" i="1" s="1"/>
  <c r="BE169" i="1" s="1"/>
  <c r="AL95" i="1"/>
  <c r="AQ140" i="1"/>
  <c r="AQ35" i="1"/>
  <c r="BE35" i="1" s="1"/>
  <c r="AQ63" i="1"/>
  <c r="BE63" i="1" s="1"/>
  <c r="AO98" i="1"/>
  <c r="AQ98" i="1" s="1"/>
  <c r="AL98" i="1"/>
  <c r="AQ99" i="1"/>
  <c r="AQ154" i="1"/>
  <c r="BE154" i="1" s="1"/>
  <c r="BE173" i="1"/>
  <c r="AO164" i="1"/>
  <c r="AQ164" i="1" s="1"/>
  <c r="AQ123" i="1"/>
  <c r="AQ50" i="1"/>
  <c r="BE50" i="1" s="1"/>
  <c r="AL126" i="1"/>
  <c r="AQ148" i="1"/>
  <c r="AL164" i="1"/>
  <c r="AQ159" i="1"/>
  <c r="BE71" i="1"/>
  <c r="AO78" i="1"/>
  <c r="AQ78" i="1" s="1"/>
  <c r="AO26" i="1"/>
  <c r="AQ26" i="1" s="1"/>
  <c r="BE26" i="1" s="1"/>
  <c r="AP126" i="1"/>
  <c r="AQ126" i="1" s="1"/>
  <c r="BE126" i="1" s="1"/>
  <c r="AL26" i="1"/>
  <c r="AN27" i="1" s="1"/>
  <c r="AO27" i="1" s="1"/>
  <c r="AO110" i="1"/>
  <c r="AQ110" i="1" s="1"/>
  <c r="BE110" i="1" s="1"/>
  <c r="AL110" i="1"/>
  <c r="AQ139" i="1"/>
  <c r="BE139" i="1" s="1"/>
  <c r="AO151" i="1"/>
  <c r="AL151" i="1"/>
  <c r="AP151" i="1"/>
  <c r="AL66" i="1"/>
  <c r="AN67" i="1" s="1"/>
  <c r="AO175" i="1"/>
  <c r="AP175" i="1"/>
  <c r="AL175" i="1"/>
  <c r="AN176" i="1" s="1"/>
  <c r="AP160" i="1"/>
  <c r="AL160" i="1"/>
  <c r="AN161" i="1" s="1"/>
  <c r="AO160" i="1"/>
  <c r="AQ114" i="1"/>
  <c r="AO180" i="1"/>
  <c r="AP180" i="1"/>
  <c r="AL180" i="1"/>
  <c r="AN181" i="1" s="1"/>
  <c r="AO121" i="1"/>
  <c r="AP171" i="1"/>
  <c r="AO171" i="1"/>
  <c r="AL171" i="1"/>
  <c r="AN172" i="1" s="1"/>
  <c r="AL78" i="1"/>
  <c r="AN79" i="1" s="1"/>
  <c r="AP121" i="1"/>
  <c r="AO105" i="1"/>
  <c r="AL105" i="1"/>
  <c r="AN106" i="1" s="1"/>
  <c r="AP105" i="1"/>
  <c r="AL155" i="1"/>
  <c r="AN156" i="1" s="1"/>
  <c r="AO155" i="1"/>
  <c r="AP155" i="1"/>
  <c r="AQ88" i="1"/>
  <c r="BE88" i="1" s="1"/>
  <c r="AP56" i="1"/>
  <c r="AO56" i="1"/>
  <c r="AL56" i="1"/>
  <c r="AN57" i="1" s="1"/>
  <c r="BB168" i="1"/>
  <c r="BE168" i="1" s="1"/>
  <c r="BB140" i="1"/>
  <c r="BB103" i="1"/>
  <c r="BE103" i="1" s="1"/>
  <c r="BE184" i="1"/>
  <c r="BB111" i="1"/>
  <c r="BE111" i="1" s="1"/>
  <c r="BB172" i="1"/>
  <c r="BB147" i="1"/>
  <c r="BB133" i="1"/>
  <c r="BE133" i="1" s="1"/>
  <c r="BB152" i="1"/>
  <c r="BE152" i="1" s="1"/>
  <c r="BB76" i="1"/>
  <c r="BE76" i="1" s="1"/>
  <c r="BE124" i="1"/>
  <c r="BE90" i="1"/>
  <c r="BB52" i="1"/>
  <c r="AZ51" i="1"/>
  <c r="BB51" i="1" s="1"/>
  <c r="BE51" i="1" s="1"/>
  <c r="BB77" i="1"/>
  <c r="BE77" i="1" s="1"/>
  <c r="BB114" i="1"/>
  <c r="BB159" i="1"/>
  <c r="AW51" i="1"/>
  <c r="BB29" i="1"/>
  <c r="BB56" i="1"/>
  <c r="AL47" i="1"/>
  <c r="AP47" i="1"/>
  <c r="AQ47" i="1" s="1"/>
  <c r="AQ127" i="1"/>
  <c r="BE127" i="1" s="1"/>
  <c r="AQ86" i="1"/>
  <c r="BE53" i="1"/>
  <c r="BE24" i="1"/>
  <c r="AQ102" i="1"/>
  <c r="BE102" i="1" s="1"/>
  <c r="AQ44" i="1"/>
  <c r="AQ41" i="1"/>
  <c r="BE41" i="1" s="1"/>
  <c r="AQ92" i="1"/>
  <c r="AQ115" i="1"/>
  <c r="AQ59" i="1"/>
  <c r="BE59" i="1" s="1"/>
  <c r="AQ122" i="1"/>
  <c r="BE122" i="1" s="1"/>
  <c r="AQ48" i="1"/>
  <c r="BE48" i="1" s="1"/>
  <c r="AQ131" i="1"/>
  <c r="BE131" i="1" s="1"/>
  <c r="AQ144" i="1"/>
  <c r="AQ132" i="1"/>
  <c r="BE132" i="1" s="1"/>
  <c r="AQ69" i="1"/>
  <c r="BE69" i="1" s="1"/>
  <c r="AQ72" i="1"/>
  <c r="BB108" i="1"/>
  <c r="BE108" i="1" s="1"/>
  <c r="BB98" i="1"/>
  <c r="BB82" i="1"/>
  <c r="BE82" i="1" s="1"/>
  <c r="AQ73" i="1"/>
  <c r="BE73" i="1" s="1"/>
  <c r="AZ99" i="1"/>
  <c r="BA99" i="1"/>
  <c r="AW99" i="1"/>
  <c r="AY100" i="1" s="1"/>
  <c r="AW61" i="1"/>
  <c r="BA61" i="1"/>
  <c r="AZ61" i="1"/>
  <c r="BA93" i="1"/>
  <c r="AW93" i="1"/>
  <c r="AZ93" i="1"/>
  <c r="BB180" i="1"/>
  <c r="AW115" i="1"/>
  <c r="AY116" i="1" s="1"/>
  <c r="AZ115" i="1"/>
  <c r="BA115" i="1"/>
  <c r="BB150" i="1"/>
  <c r="BC22" i="1"/>
  <c r="AQ130" i="1"/>
  <c r="BE130" i="1" s="1"/>
  <c r="AQ150" i="1"/>
  <c r="BA119" i="1"/>
  <c r="AZ119" i="1"/>
  <c r="AW119" i="1"/>
  <c r="AO117" i="1"/>
  <c r="AP117" i="1"/>
  <c r="AL117" i="1"/>
  <c r="AZ104" i="1"/>
  <c r="AW104" i="1"/>
  <c r="BA104" i="1"/>
  <c r="AW141" i="1"/>
  <c r="BA141" i="1"/>
  <c r="AZ141" i="1"/>
  <c r="BB141" i="1" s="1"/>
  <c r="BE141" i="1" s="1"/>
  <c r="AQ62" i="1"/>
  <c r="BE62" i="1" s="1"/>
  <c r="AQ116" i="1"/>
  <c r="BE22" i="1"/>
  <c r="AR22" i="1"/>
  <c r="AQ36" i="1"/>
  <c r="BE36" i="1" s="1"/>
  <c r="AZ125" i="1"/>
  <c r="AW125" i="1"/>
  <c r="BA125" i="1"/>
  <c r="BB89" i="1"/>
  <c r="BE89" i="1" s="1"/>
  <c r="AQ186" i="1"/>
  <c r="BE186" i="1" s="1"/>
  <c r="BB47" i="1"/>
  <c r="AQ165" i="1"/>
  <c r="AQ43" i="1"/>
  <c r="BB177" i="1"/>
  <c r="BE177" i="1" s="1"/>
  <c r="AL145" i="1"/>
  <c r="AO145" i="1"/>
  <c r="AP145" i="1"/>
  <c r="BB142" i="1"/>
  <c r="BE142" i="1" s="1"/>
  <c r="BB128" i="1"/>
  <c r="BE128" i="1" s="1"/>
  <c r="AQ118" i="1"/>
  <c r="AZ166" i="1"/>
  <c r="AW166" i="1"/>
  <c r="BA166" i="1"/>
  <c r="AQ143" i="1"/>
  <c r="BE143" i="1" s="1"/>
  <c r="AQ179" i="1"/>
  <c r="BE179" i="1" s="1"/>
  <c r="AO60" i="1"/>
  <c r="AP60" i="1"/>
  <c r="AL60" i="1"/>
  <c r="BB156" i="1"/>
  <c r="BB138" i="1"/>
  <c r="BE138" i="1" s="1"/>
  <c r="AQ83" i="1"/>
  <c r="BE83" i="1" s="1"/>
  <c r="AQ174" i="1"/>
  <c r="BB165" i="1"/>
  <c r="BB149" i="1"/>
  <c r="BE149" i="1" s="1"/>
  <c r="AQ23" i="1"/>
  <c r="AL45" i="1"/>
  <c r="AO45" i="1"/>
  <c r="AP45" i="1"/>
  <c r="BE72" i="1" l="1"/>
  <c r="AW44" i="1"/>
  <c r="BE164" i="1"/>
  <c r="AZ44" i="1"/>
  <c r="BB44" i="1" s="1"/>
  <c r="BE44" i="1" s="1"/>
  <c r="BE148" i="1"/>
  <c r="BC23" i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E78" i="1"/>
  <c r="BE23" i="1"/>
  <c r="BE174" i="1"/>
  <c r="BE144" i="1"/>
  <c r="BE86" i="1"/>
  <c r="BB61" i="1"/>
  <c r="BE61" i="1" s="1"/>
  <c r="BB119" i="1"/>
  <c r="BE119" i="1" s="1"/>
  <c r="BE92" i="1"/>
  <c r="BE52" i="1"/>
  <c r="BE118" i="1"/>
  <c r="BE43" i="1"/>
  <c r="BE147" i="1"/>
  <c r="AO66" i="1"/>
  <c r="AQ66" i="1" s="1"/>
  <c r="BE66" i="1" s="1"/>
  <c r="BE140" i="1"/>
  <c r="AP27" i="1"/>
  <c r="BE123" i="1"/>
  <c r="AL27" i="1"/>
  <c r="AN28" i="1" s="1"/>
  <c r="AL28" i="1" s="1"/>
  <c r="AN29" i="1" s="1"/>
  <c r="BE159" i="1"/>
  <c r="AQ121" i="1"/>
  <c r="BE121" i="1" s="1"/>
  <c r="AQ56" i="1"/>
  <c r="BE56" i="1" s="1"/>
  <c r="AQ171" i="1"/>
  <c r="BE171" i="1" s="1"/>
  <c r="AQ175" i="1"/>
  <c r="BE175" i="1" s="1"/>
  <c r="AQ160" i="1"/>
  <c r="BE160" i="1" s="1"/>
  <c r="AQ105" i="1"/>
  <c r="BE105" i="1" s="1"/>
  <c r="AP156" i="1"/>
  <c r="AL156" i="1"/>
  <c r="AN157" i="1" s="1"/>
  <c r="AO156" i="1"/>
  <c r="AQ180" i="1"/>
  <c r="BE180" i="1" s="1"/>
  <c r="AP176" i="1"/>
  <c r="AO176" i="1"/>
  <c r="AL176" i="1"/>
  <c r="AL172" i="1"/>
  <c r="AP172" i="1"/>
  <c r="AO172" i="1"/>
  <c r="AP161" i="1"/>
  <c r="AL161" i="1"/>
  <c r="AO161" i="1"/>
  <c r="AO79" i="1"/>
  <c r="AP79" i="1"/>
  <c r="AL79" i="1"/>
  <c r="AN80" i="1" s="1"/>
  <c r="AO106" i="1"/>
  <c r="AL106" i="1"/>
  <c r="AN107" i="1" s="1"/>
  <c r="AP106" i="1"/>
  <c r="AP57" i="1"/>
  <c r="AO57" i="1"/>
  <c r="AL57" i="1"/>
  <c r="AN58" i="1" s="1"/>
  <c r="AO67" i="1"/>
  <c r="AL67" i="1"/>
  <c r="AP67" i="1"/>
  <c r="BE114" i="1"/>
  <c r="AQ155" i="1"/>
  <c r="BE155" i="1" s="1"/>
  <c r="AO181" i="1"/>
  <c r="AL181" i="1"/>
  <c r="AN182" i="1" s="1"/>
  <c r="AP181" i="1"/>
  <c r="AQ151" i="1"/>
  <c r="BE151" i="1" s="1"/>
  <c r="BE98" i="1"/>
  <c r="BE47" i="1"/>
  <c r="AR23" i="1"/>
  <c r="AR24" i="1" s="1"/>
  <c r="AR25" i="1" s="1"/>
  <c r="AR26" i="1" s="1"/>
  <c r="AQ145" i="1"/>
  <c r="BE145" i="1" s="1"/>
  <c r="AQ27" i="1"/>
  <c r="BE27" i="1" s="1"/>
  <c r="BB104" i="1"/>
  <c r="BE104" i="1" s="1"/>
  <c r="BB166" i="1"/>
  <c r="BE166" i="1" s="1"/>
  <c r="BB115" i="1"/>
  <c r="BE115" i="1" s="1"/>
  <c r="BE165" i="1"/>
  <c r="AQ117" i="1"/>
  <c r="BE117" i="1" s="1"/>
  <c r="BF22" i="1"/>
  <c r="BA100" i="1"/>
  <c r="AZ100" i="1"/>
  <c r="AW100" i="1"/>
  <c r="AY101" i="1" s="1"/>
  <c r="AQ45" i="1"/>
  <c r="BE45" i="1" s="1"/>
  <c r="BB99" i="1"/>
  <c r="BE99" i="1" s="1"/>
  <c r="BA116" i="1"/>
  <c r="AW116" i="1"/>
  <c r="AZ116" i="1"/>
  <c r="AQ60" i="1"/>
  <c r="BE60" i="1" s="1"/>
  <c r="BB125" i="1"/>
  <c r="BE125" i="1" s="1"/>
  <c r="BB93" i="1"/>
  <c r="BE93" i="1" s="1"/>
  <c r="BE150" i="1"/>
  <c r="BF23" i="1" l="1"/>
  <c r="BF24" i="1" s="1"/>
  <c r="BF25" i="1" s="1"/>
  <c r="BF26" i="1" s="1"/>
  <c r="BC61" i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B100" i="1"/>
  <c r="BE100" i="1" s="1"/>
  <c r="AQ181" i="1"/>
  <c r="BE181" i="1" s="1"/>
  <c r="AQ176" i="1"/>
  <c r="BE176" i="1" s="1"/>
  <c r="AO28" i="1"/>
  <c r="AP28" i="1"/>
  <c r="AQ57" i="1"/>
  <c r="BE57" i="1" s="1"/>
  <c r="AQ161" i="1"/>
  <c r="BE161" i="1" s="1"/>
  <c r="AQ67" i="1"/>
  <c r="BE67" i="1" s="1"/>
  <c r="AQ172" i="1"/>
  <c r="BE172" i="1" s="1"/>
  <c r="AP29" i="1"/>
  <c r="AO29" i="1"/>
  <c r="AL29" i="1"/>
  <c r="AO58" i="1"/>
  <c r="AP58" i="1"/>
  <c r="AL58" i="1"/>
  <c r="AQ106" i="1"/>
  <c r="BE106" i="1" s="1"/>
  <c r="BF27" i="1"/>
  <c r="AO182" i="1"/>
  <c r="AL182" i="1"/>
  <c r="AN183" i="1" s="1"/>
  <c r="AP182" i="1"/>
  <c r="AL80" i="1"/>
  <c r="AP80" i="1"/>
  <c r="AO80" i="1"/>
  <c r="AQ156" i="1"/>
  <c r="BE156" i="1" s="1"/>
  <c r="AL107" i="1"/>
  <c r="AP107" i="1"/>
  <c r="AO107" i="1"/>
  <c r="AQ107" i="1" s="1"/>
  <c r="BE107" i="1" s="1"/>
  <c r="AQ79" i="1"/>
  <c r="BE79" i="1" s="1"/>
  <c r="AP157" i="1"/>
  <c r="AO157" i="1"/>
  <c r="AL157" i="1"/>
  <c r="AN158" i="1" s="1"/>
  <c r="AR27" i="1"/>
  <c r="BC93" i="1"/>
  <c r="BC94" i="1" s="1"/>
  <c r="BC95" i="1" s="1"/>
  <c r="BC96" i="1" s="1"/>
  <c r="BC97" i="1" s="1"/>
  <c r="BC98" i="1" s="1"/>
  <c r="BC99" i="1" s="1"/>
  <c r="BB116" i="1"/>
  <c r="BE116" i="1" s="1"/>
  <c r="AW101" i="1"/>
  <c r="BA101" i="1"/>
  <c r="AZ101" i="1"/>
  <c r="BB101" i="1" s="1"/>
  <c r="BE101" i="1" s="1"/>
  <c r="BB14" i="1" l="1"/>
  <c r="BC100" i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77" i="1" s="1"/>
  <c r="BC178" i="1" s="1"/>
  <c r="BC179" i="1" s="1"/>
  <c r="BC180" i="1" s="1"/>
  <c r="BC181" i="1" s="1"/>
  <c r="BC182" i="1" s="1"/>
  <c r="BC183" i="1" s="1"/>
  <c r="BC184" i="1" s="1"/>
  <c r="BC185" i="1" s="1"/>
  <c r="BC186" i="1" s="1"/>
  <c r="BC19" i="1" s="1"/>
  <c r="AQ28" i="1"/>
  <c r="BE28" i="1" s="1"/>
  <c r="AQ157" i="1"/>
  <c r="BE157" i="1" s="1"/>
  <c r="AR28" i="1"/>
  <c r="BF28" i="1"/>
  <c r="AQ80" i="1"/>
  <c r="BE80" i="1" s="1"/>
  <c r="AO183" i="1"/>
  <c r="AP183" i="1"/>
  <c r="AL183" i="1"/>
  <c r="AQ182" i="1"/>
  <c r="BE182" i="1" s="1"/>
  <c r="AL158" i="1"/>
  <c r="AO158" i="1"/>
  <c r="AP158" i="1"/>
  <c r="AQ58" i="1"/>
  <c r="BE58" i="1" s="1"/>
  <c r="AQ29" i="1"/>
  <c r="BB15" i="1"/>
  <c r="BB19" i="1"/>
  <c r="BB16" i="1" l="1"/>
  <c r="AT1" i="1" s="1"/>
  <c r="AR29" i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Q183" i="1"/>
  <c r="BE183" i="1" s="1"/>
  <c r="BE29" i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AQ158" i="1"/>
  <c r="AQ14" i="1" l="1"/>
  <c r="AR158" i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77" i="1" s="1"/>
  <c r="AR178" i="1" s="1"/>
  <c r="AR179" i="1" s="1"/>
  <c r="AR180" i="1" s="1"/>
  <c r="AR181" i="1" s="1"/>
  <c r="AR182" i="1" s="1"/>
  <c r="AR183" i="1" s="1"/>
  <c r="AR184" i="1" s="1"/>
  <c r="AR185" i="1" s="1"/>
  <c r="AR186" i="1" s="1"/>
  <c r="AR19" i="1" s="1"/>
  <c r="BE158" i="1"/>
  <c r="BE14" i="1" s="1"/>
  <c r="AQ19" i="1"/>
  <c r="AQ15" i="1"/>
  <c r="AQ16" i="1" s="1"/>
  <c r="AI1" i="1" s="1"/>
  <c r="BE15" i="1" l="1"/>
  <c r="BE16" i="1" s="1"/>
  <c r="BF158" i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77" i="1" s="1"/>
  <c r="BF178" i="1" s="1"/>
  <c r="BF179" i="1" s="1"/>
  <c r="BF180" i="1" s="1"/>
  <c r="BF181" i="1" s="1"/>
  <c r="BF182" i="1" s="1"/>
  <c r="BF183" i="1" s="1"/>
  <c r="BF184" i="1" s="1"/>
  <c r="BF185" i="1" s="1"/>
  <c r="BF186" i="1" s="1"/>
  <c r="BF18" i="1" s="1"/>
  <c r="BE18" i="1"/>
</calcChain>
</file>

<file path=xl/sharedStrings.xml><?xml version="1.0" encoding="utf-8"?>
<sst xmlns="http://schemas.openxmlformats.org/spreadsheetml/2006/main" count="74" uniqueCount="53">
  <si>
    <t>date</t>
  </si>
  <si>
    <t>XLU</t>
  </si>
  <si>
    <t>IDU</t>
  </si>
  <si>
    <t>XLU log rtn</t>
  </si>
  <si>
    <t>IDU log rtn</t>
  </si>
  <si>
    <t>XLU div</t>
  </si>
  <si>
    <t>XLU div cumsum</t>
  </si>
  <si>
    <t>IDU div</t>
  </si>
  <si>
    <t>IDU div cumsum</t>
  </si>
  <si>
    <t>XLU div adjustment</t>
  </si>
  <si>
    <t>IDU div adjustment</t>
  </si>
  <si>
    <t>XLU*</t>
  </si>
  <si>
    <t>IDU*</t>
  </si>
  <si>
    <t>IDU/XLU</t>
  </si>
  <si>
    <t>IDU/XLU avg</t>
  </si>
  <si>
    <t>IDU/XLU 10 dma</t>
  </si>
  <si>
    <t>IDU/XLU 20 dma</t>
  </si>
  <si>
    <t>XLU x avg</t>
  </si>
  <si>
    <t>XLU x 10 dma</t>
  </si>
  <si>
    <t>XLU x 20 dma</t>
  </si>
  <si>
    <t>log diff XLU x avg / IDU</t>
  </si>
  <si>
    <t>log diff XLU x 10 dma / IDU</t>
  </si>
  <si>
    <t>log diff XLU x 20 dma / IDU</t>
  </si>
  <si>
    <t>IDU*/XLU*</t>
  </si>
  <si>
    <t>IDU*/XLU* avg</t>
  </si>
  <si>
    <t>IDU*/XLU* 10 dma</t>
  </si>
  <si>
    <t>IDU*/XLU* 20 dma</t>
  </si>
  <si>
    <t>XLU* x avg</t>
  </si>
  <si>
    <t>XLU* x 10 dma</t>
  </si>
  <si>
    <t>XLU* x 20 dma</t>
  </si>
  <si>
    <t>log diff XLU* x avg / IDU*</t>
  </si>
  <si>
    <t>log diff XLU* x 10 dma / IDU*</t>
  </si>
  <si>
    <t>log diff XLU* x 20 dma / IDU*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</si>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</sst>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IDU/XLU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Sheet1!$O$2:$O$186</c:f>
              <c:numCache>
                <c:formatCode>_(* #,##0.0000_);_(* \(#,##0.0000\);_(* "-"??_);_(@_)</c:formatCode>
                <c:ptCount val="185"/>
                <c:pt idx="0">
                  <c:v>2.5341745756035601</c:v>
                </c:pt>
                <c:pt idx="1">
                  <c:v>2.5341745756035601</c:v>
                </c:pt>
                <c:pt idx="2">
                  <c:v>2.5341745756035601</c:v>
                </c:pt>
                <c:pt idx="3">
                  <c:v>2.5341745756035601</c:v>
                </c:pt>
                <c:pt idx="4">
                  <c:v>2.5341745756035601</c:v>
                </c:pt>
                <c:pt idx="5">
                  <c:v>2.5341745756035601</c:v>
                </c:pt>
                <c:pt idx="6">
                  <c:v>2.5341745756035601</c:v>
                </c:pt>
                <c:pt idx="7">
                  <c:v>2.5341745756035601</c:v>
                </c:pt>
                <c:pt idx="8">
                  <c:v>2.5341745756035601</c:v>
                </c:pt>
                <c:pt idx="9">
                  <c:v>2.5341745756035601</c:v>
                </c:pt>
                <c:pt idx="10">
                  <c:v>2.5341745756035601</c:v>
                </c:pt>
                <c:pt idx="11">
                  <c:v>2.5341745756035601</c:v>
                </c:pt>
                <c:pt idx="12">
                  <c:v>2.5341745756035601</c:v>
                </c:pt>
                <c:pt idx="13">
                  <c:v>2.5341745756035601</c:v>
                </c:pt>
                <c:pt idx="14">
                  <c:v>2.5341745756035601</c:v>
                </c:pt>
                <c:pt idx="15">
                  <c:v>2.5341745756035601</c:v>
                </c:pt>
                <c:pt idx="16">
                  <c:v>2.5341745756035601</c:v>
                </c:pt>
                <c:pt idx="17">
                  <c:v>2.5341745756035601</c:v>
                </c:pt>
                <c:pt idx="18">
                  <c:v>2.5341745756035601</c:v>
                </c:pt>
                <c:pt idx="19">
                  <c:v>2.5341745756035601</c:v>
                </c:pt>
                <c:pt idx="20">
                  <c:v>2.5341745756035601</c:v>
                </c:pt>
                <c:pt idx="21">
                  <c:v>2.5341745756035601</c:v>
                </c:pt>
                <c:pt idx="22">
                  <c:v>2.5341745756035601</c:v>
                </c:pt>
                <c:pt idx="23">
                  <c:v>2.5341745756035601</c:v>
                </c:pt>
                <c:pt idx="24">
                  <c:v>2.5341745756035601</c:v>
                </c:pt>
                <c:pt idx="25">
                  <c:v>2.5341745756035601</c:v>
                </c:pt>
                <c:pt idx="26">
                  <c:v>2.5341745756035601</c:v>
                </c:pt>
                <c:pt idx="27">
                  <c:v>2.5341745756035601</c:v>
                </c:pt>
                <c:pt idx="28">
                  <c:v>2.5341745756035601</c:v>
                </c:pt>
                <c:pt idx="29">
                  <c:v>2.5341745756035601</c:v>
                </c:pt>
                <c:pt idx="30">
                  <c:v>2.5341745756035601</c:v>
                </c:pt>
                <c:pt idx="31">
                  <c:v>2.5341745756035601</c:v>
                </c:pt>
                <c:pt idx="32">
                  <c:v>2.5341745756035601</c:v>
                </c:pt>
                <c:pt idx="33">
                  <c:v>2.5341745756035601</c:v>
                </c:pt>
                <c:pt idx="34">
                  <c:v>2.5341745756035601</c:v>
                </c:pt>
                <c:pt idx="35">
                  <c:v>2.5341745756035601</c:v>
                </c:pt>
                <c:pt idx="36">
                  <c:v>2.5341745756035601</c:v>
                </c:pt>
                <c:pt idx="37">
                  <c:v>2.5341745756035601</c:v>
                </c:pt>
                <c:pt idx="38">
                  <c:v>2.5341745756035601</c:v>
                </c:pt>
                <c:pt idx="39">
                  <c:v>2.5341745756035601</c:v>
                </c:pt>
                <c:pt idx="40">
                  <c:v>2.5341745756035601</c:v>
                </c:pt>
                <c:pt idx="41">
                  <c:v>2.5341745756035601</c:v>
                </c:pt>
                <c:pt idx="42">
                  <c:v>2.5341745756035601</c:v>
                </c:pt>
                <c:pt idx="43">
                  <c:v>2.5341745756035601</c:v>
                </c:pt>
                <c:pt idx="44">
                  <c:v>2.5341745756035601</c:v>
                </c:pt>
                <c:pt idx="45">
                  <c:v>2.5341745756035601</c:v>
                </c:pt>
                <c:pt idx="46">
                  <c:v>2.5341745756035601</c:v>
                </c:pt>
                <c:pt idx="47">
                  <c:v>2.5341745756035601</c:v>
                </c:pt>
                <c:pt idx="48">
                  <c:v>2.5341745756035601</c:v>
                </c:pt>
                <c:pt idx="49">
                  <c:v>2.5341745756035601</c:v>
                </c:pt>
                <c:pt idx="50">
                  <c:v>2.5341745756035601</c:v>
                </c:pt>
                <c:pt idx="51">
                  <c:v>2.5341745756035601</c:v>
                </c:pt>
                <c:pt idx="52">
                  <c:v>2.5341745756035601</c:v>
                </c:pt>
                <c:pt idx="53">
                  <c:v>2.5341745756035601</c:v>
                </c:pt>
                <c:pt idx="54">
                  <c:v>2.5341745756035601</c:v>
                </c:pt>
                <c:pt idx="55">
                  <c:v>2.5341745756035601</c:v>
                </c:pt>
                <c:pt idx="56">
                  <c:v>2.5341745756035601</c:v>
                </c:pt>
                <c:pt idx="57">
                  <c:v>2.5341745756035601</c:v>
                </c:pt>
                <c:pt idx="58">
                  <c:v>2.5341745756035601</c:v>
                </c:pt>
                <c:pt idx="59">
                  <c:v>2.5341745756035601</c:v>
                </c:pt>
                <c:pt idx="60">
                  <c:v>2.5341745756035601</c:v>
                </c:pt>
                <c:pt idx="61">
                  <c:v>2.5341745756035601</c:v>
                </c:pt>
                <c:pt idx="62">
                  <c:v>2.5341745756035601</c:v>
                </c:pt>
                <c:pt idx="63">
                  <c:v>2.5341745756035601</c:v>
                </c:pt>
                <c:pt idx="64">
                  <c:v>2.5341745756035601</c:v>
                </c:pt>
                <c:pt idx="65">
                  <c:v>2.5341745756035601</c:v>
                </c:pt>
                <c:pt idx="66">
                  <c:v>2.5341745756035601</c:v>
                </c:pt>
                <c:pt idx="67">
                  <c:v>2.5341745756035601</c:v>
                </c:pt>
                <c:pt idx="68">
                  <c:v>2.5341745756035601</c:v>
                </c:pt>
                <c:pt idx="69">
                  <c:v>2.5341745756035601</c:v>
                </c:pt>
                <c:pt idx="70">
                  <c:v>2.5341745756035601</c:v>
                </c:pt>
                <c:pt idx="71">
                  <c:v>2.5341745756035601</c:v>
                </c:pt>
                <c:pt idx="72">
                  <c:v>2.5341745756035601</c:v>
                </c:pt>
                <c:pt idx="73">
                  <c:v>2.5341745756035601</c:v>
                </c:pt>
                <c:pt idx="74">
                  <c:v>2.5341745756035601</c:v>
                </c:pt>
                <c:pt idx="75">
                  <c:v>2.5341745756035601</c:v>
                </c:pt>
                <c:pt idx="76">
                  <c:v>2.5341745756035601</c:v>
                </c:pt>
                <c:pt idx="77">
                  <c:v>2.5341745756035601</c:v>
                </c:pt>
                <c:pt idx="78">
                  <c:v>2.5341745756035601</c:v>
                </c:pt>
                <c:pt idx="79">
                  <c:v>2.5341745756035601</c:v>
                </c:pt>
                <c:pt idx="80">
                  <c:v>2.5341745756035601</c:v>
                </c:pt>
                <c:pt idx="81">
                  <c:v>2.5341745756035601</c:v>
                </c:pt>
                <c:pt idx="82">
                  <c:v>2.5341745756035601</c:v>
                </c:pt>
                <c:pt idx="83">
                  <c:v>2.5341745756035601</c:v>
                </c:pt>
                <c:pt idx="84">
                  <c:v>2.5341745756035601</c:v>
                </c:pt>
                <c:pt idx="85">
                  <c:v>2.5341745756035601</c:v>
                </c:pt>
                <c:pt idx="86">
                  <c:v>2.5341745756035601</c:v>
                </c:pt>
                <c:pt idx="87">
                  <c:v>2.5341745756035601</c:v>
                </c:pt>
                <c:pt idx="88">
                  <c:v>2.5341745756035601</c:v>
                </c:pt>
                <c:pt idx="89">
                  <c:v>2.5341745756035601</c:v>
                </c:pt>
                <c:pt idx="90">
                  <c:v>2.5341745756035601</c:v>
                </c:pt>
                <c:pt idx="91">
                  <c:v>2.5341745756035601</c:v>
                </c:pt>
                <c:pt idx="92">
                  <c:v>2.5341745756035601</c:v>
                </c:pt>
                <c:pt idx="93">
                  <c:v>2.5341745756035601</c:v>
                </c:pt>
                <c:pt idx="94">
                  <c:v>2.5341745756035601</c:v>
                </c:pt>
                <c:pt idx="95">
                  <c:v>2.5341745756035601</c:v>
                </c:pt>
                <c:pt idx="96">
                  <c:v>2.5341745756035601</c:v>
                </c:pt>
                <c:pt idx="97">
                  <c:v>2.5341745756035601</c:v>
                </c:pt>
                <c:pt idx="98">
                  <c:v>2.5341745756035601</c:v>
                </c:pt>
                <c:pt idx="99">
                  <c:v>2.5341745756035601</c:v>
                </c:pt>
                <c:pt idx="100">
                  <c:v>2.5341745756035601</c:v>
                </c:pt>
                <c:pt idx="101">
                  <c:v>2.5341745756035601</c:v>
                </c:pt>
                <c:pt idx="102">
                  <c:v>2.5341745756035601</c:v>
                </c:pt>
                <c:pt idx="103">
                  <c:v>2.5341745756035601</c:v>
                </c:pt>
                <c:pt idx="104">
                  <c:v>2.5341745756035601</c:v>
                </c:pt>
                <c:pt idx="105">
                  <c:v>2.5341745756035601</c:v>
                </c:pt>
                <c:pt idx="106">
                  <c:v>2.5341745756035601</c:v>
                </c:pt>
                <c:pt idx="107">
                  <c:v>2.5341745756035601</c:v>
                </c:pt>
                <c:pt idx="108">
                  <c:v>2.5341745756035601</c:v>
                </c:pt>
                <c:pt idx="109">
                  <c:v>2.5341745756035601</c:v>
                </c:pt>
                <c:pt idx="110">
                  <c:v>2.5341745756035601</c:v>
                </c:pt>
                <c:pt idx="111">
                  <c:v>2.5341745756035601</c:v>
                </c:pt>
                <c:pt idx="112">
                  <c:v>2.5341745756035601</c:v>
                </c:pt>
                <c:pt idx="113">
                  <c:v>2.5341745756035601</c:v>
                </c:pt>
                <c:pt idx="114">
                  <c:v>2.5341745756035601</c:v>
                </c:pt>
                <c:pt idx="115">
                  <c:v>2.5341745756035601</c:v>
                </c:pt>
                <c:pt idx="116">
                  <c:v>2.5341745756035601</c:v>
                </c:pt>
                <c:pt idx="117">
                  <c:v>2.5341745756035601</c:v>
                </c:pt>
                <c:pt idx="118">
                  <c:v>2.5341745756035601</c:v>
                </c:pt>
                <c:pt idx="119">
                  <c:v>2.5341745756035601</c:v>
                </c:pt>
                <c:pt idx="120">
                  <c:v>2.5341745756035601</c:v>
                </c:pt>
                <c:pt idx="121">
                  <c:v>2.5341745756035601</c:v>
                </c:pt>
                <c:pt idx="122">
                  <c:v>2.5341745756035601</c:v>
                </c:pt>
                <c:pt idx="123">
                  <c:v>2.5341745756035601</c:v>
                </c:pt>
                <c:pt idx="124">
                  <c:v>2.5341745756035601</c:v>
                </c:pt>
                <c:pt idx="125">
                  <c:v>2.5341745756035601</c:v>
                </c:pt>
                <c:pt idx="126">
                  <c:v>2.5341745756035601</c:v>
                </c:pt>
                <c:pt idx="127">
                  <c:v>2.5341745756035601</c:v>
                </c:pt>
                <c:pt idx="128">
                  <c:v>2.5341745756035601</c:v>
                </c:pt>
                <c:pt idx="129">
                  <c:v>2.5341745756035601</c:v>
                </c:pt>
                <c:pt idx="130">
                  <c:v>2.5341745756035601</c:v>
                </c:pt>
                <c:pt idx="131">
                  <c:v>2.5341745756035601</c:v>
                </c:pt>
                <c:pt idx="132">
                  <c:v>2.5341745756035601</c:v>
                </c:pt>
                <c:pt idx="133">
                  <c:v>2.5341745756035601</c:v>
                </c:pt>
                <c:pt idx="134">
                  <c:v>2.5341745756035601</c:v>
                </c:pt>
                <c:pt idx="135">
                  <c:v>2.5341745756035601</c:v>
                </c:pt>
                <c:pt idx="136">
                  <c:v>2.5341745756035601</c:v>
                </c:pt>
                <c:pt idx="137">
                  <c:v>2.5341745756035601</c:v>
                </c:pt>
                <c:pt idx="138">
                  <c:v>2.5341745756035601</c:v>
                </c:pt>
                <c:pt idx="139">
                  <c:v>2.5341745756035601</c:v>
                </c:pt>
                <c:pt idx="140">
                  <c:v>2.5341745756035601</c:v>
                </c:pt>
                <c:pt idx="141">
                  <c:v>2.5341745756035601</c:v>
                </c:pt>
                <c:pt idx="142">
                  <c:v>2.5341745756035601</c:v>
                </c:pt>
                <c:pt idx="143">
                  <c:v>2.5341745756035601</c:v>
                </c:pt>
                <c:pt idx="144">
                  <c:v>2.5341745756035601</c:v>
                </c:pt>
                <c:pt idx="145">
                  <c:v>2.5341745756035601</c:v>
                </c:pt>
                <c:pt idx="146">
                  <c:v>2.5341745756035601</c:v>
                </c:pt>
                <c:pt idx="147">
                  <c:v>2.5341745756035601</c:v>
                </c:pt>
                <c:pt idx="148">
                  <c:v>2.5341745756035601</c:v>
                </c:pt>
                <c:pt idx="149">
                  <c:v>2.5341745756035601</c:v>
                </c:pt>
                <c:pt idx="150">
                  <c:v>2.5341745756035601</c:v>
                </c:pt>
                <c:pt idx="151">
                  <c:v>2.5341745756035601</c:v>
                </c:pt>
                <c:pt idx="152">
                  <c:v>2.5341745756035601</c:v>
                </c:pt>
                <c:pt idx="153">
                  <c:v>2.5341745756035601</c:v>
                </c:pt>
                <c:pt idx="154">
                  <c:v>2.5341745756035601</c:v>
                </c:pt>
                <c:pt idx="155">
                  <c:v>2.5341745756035601</c:v>
                </c:pt>
                <c:pt idx="156">
                  <c:v>2.5341745756035601</c:v>
                </c:pt>
                <c:pt idx="157">
                  <c:v>2.5341745756035601</c:v>
                </c:pt>
                <c:pt idx="158">
                  <c:v>2.5341745756035601</c:v>
                </c:pt>
                <c:pt idx="159">
                  <c:v>2.5341745756035601</c:v>
                </c:pt>
                <c:pt idx="160">
                  <c:v>2.5341745756035601</c:v>
                </c:pt>
                <c:pt idx="161">
                  <c:v>2.5341745756035601</c:v>
                </c:pt>
                <c:pt idx="162">
                  <c:v>2.5341745756035601</c:v>
                </c:pt>
                <c:pt idx="163">
                  <c:v>2.5341745756035601</c:v>
                </c:pt>
                <c:pt idx="164">
                  <c:v>2.5341745756035601</c:v>
                </c:pt>
                <c:pt idx="165">
                  <c:v>2.5341745756035601</c:v>
                </c:pt>
                <c:pt idx="166">
                  <c:v>2.5341745756035601</c:v>
                </c:pt>
                <c:pt idx="167">
                  <c:v>2.5341745756035601</c:v>
                </c:pt>
                <c:pt idx="168">
                  <c:v>2.5341745756035601</c:v>
                </c:pt>
                <c:pt idx="169">
                  <c:v>2.5341745756035601</c:v>
                </c:pt>
                <c:pt idx="170">
                  <c:v>2.5341745756035601</c:v>
                </c:pt>
                <c:pt idx="171">
                  <c:v>2.5341745756035601</c:v>
                </c:pt>
                <c:pt idx="172">
                  <c:v>2.5341745756035601</c:v>
                </c:pt>
                <c:pt idx="173">
                  <c:v>2.5341745756035601</c:v>
                </c:pt>
                <c:pt idx="174">
                  <c:v>2.5341745756035601</c:v>
                </c:pt>
                <c:pt idx="175">
                  <c:v>2.5341745756035601</c:v>
                </c:pt>
                <c:pt idx="176">
                  <c:v>2.5341745756035601</c:v>
                </c:pt>
                <c:pt idx="177">
                  <c:v>2.5341745756035601</c:v>
                </c:pt>
                <c:pt idx="178">
                  <c:v>2.5341745756035601</c:v>
                </c:pt>
                <c:pt idx="179">
                  <c:v>2.5341745756035601</c:v>
                </c:pt>
                <c:pt idx="180">
                  <c:v>2.5341745756035601</c:v>
                </c:pt>
                <c:pt idx="181">
                  <c:v>2.5341745756035601</c:v>
                </c:pt>
                <c:pt idx="182">
                  <c:v>2.5341745756035601</c:v>
                </c:pt>
                <c:pt idx="183">
                  <c:v>2.5341745756035601</c:v>
                </c:pt>
                <c:pt idx="184">
                  <c:v>2.5341745756035601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29-4A7E-BE5E-74D6C0D3A257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IDU/XLU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Sheet1!$P$2:$P$186</c:f>
              <c:numCache>
                <c:formatCode>_(* #,##0.0000_);_(* \(#,##0.0000\);_(* "-"??_);_(@_)</c:formatCode>
                <c:ptCount val="185"/>
                <c:pt idx="9">
                  <c:v>2.5381380611469</c:v>
                </c:pt>
                <c:pt idx="10">
                  <c:v>2.5382241743541099</c:v>
                </c:pt>
                <c:pt idx="11">
                  <c:v>2.53803770385053</c:v>
                </c:pt>
                <c:pt idx="12">
                  <c:v>2.5387604766179899</c:v>
                </c:pt>
                <c:pt idx="13">
                  <c:v>2.5398080043455198</c:v>
                </c:pt>
                <c:pt idx="14">
                  <c:v>2.54072935466702</c:v>
                </c:pt>
                <c:pt idx="15">
                  <c:v>2.54155855074471</c:v>
                </c:pt>
                <c:pt idx="16">
                  <c:v>2.5421863676308498</c:v>
                </c:pt>
                <c:pt idx="17">
                  <c:v>2.5430452022077499</c:v>
                </c:pt>
                <c:pt idx="18">
                  <c:v>2.5433320099650798</c:v>
                </c:pt>
                <c:pt idx="19">
                  <c:v>2.5433412404936799</c:v>
                </c:pt>
                <c:pt idx="20">
                  <c:v>2.5439129435191501</c:v>
                </c:pt>
                <c:pt idx="21">
                  <c:v>2.5443515116771298</c:v>
                </c:pt>
                <c:pt idx="22">
                  <c:v>2.5439275331946201</c:v>
                </c:pt>
                <c:pt idx="23">
                  <c:v>2.5433144902855802</c:v>
                </c:pt>
                <c:pt idx="24">
                  <c:v>2.5426824712240799</c:v>
                </c:pt>
                <c:pt idx="25">
                  <c:v>2.5424647444538002</c:v>
                </c:pt>
                <c:pt idx="26">
                  <c:v>2.5423309670015501</c:v>
                </c:pt>
                <c:pt idx="27">
                  <c:v>2.5419772506246199</c:v>
                </c:pt>
                <c:pt idx="28">
                  <c:v>2.5417469277651099</c:v>
                </c:pt>
                <c:pt idx="29">
                  <c:v>2.5411197912121799</c:v>
                </c:pt>
                <c:pt idx="30">
                  <c:v>2.5399739409947801</c:v>
                </c:pt>
                <c:pt idx="31">
                  <c:v>2.5392216705589301</c:v>
                </c:pt>
                <c:pt idx="32">
                  <c:v>2.5384279708617701</c:v>
                </c:pt>
                <c:pt idx="33">
                  <c:v>2.5369507593112202</c:v>
                </c:pt>
                <c:pt idx="34">
                  <c:v>2.5351335721308899</c:v>
                </c:pt>
                <c:pt idx="35">
                  <c:v>2.5326699613532901</c:v>
                </c:pt>
                <c:pt idx="36">
                  <c:v>2.5305672647652999</c:v>
                </c:pt>
                <c:pt idx="37">
                  <c:v>2.52909526435004</c:v>
                </c:pt>
                <c:pt idx="38">
                  <c:v>2.5283406929985301</c:v>
                </c:pt>
                <c:pt idx="39">
                  <c:v>2.5283123233348599</c:v>
                </c:pt>
                <c:pt idx="40">
                  <c:v>2.5285104950595101</c:v>
                </c:pt>
                <c:pt idx="41">
                  <c:v>2.52832807261467</c:v>
                </c:pt>
                <c:pt idx="42">
                  <c:v>2.52860468009683</c:v>
                </c:pt>
                <c:pt idx="43">
                  <c:v>2.5291253536780398</c:v>
                </c:pt>
                <c:pt idx="44">
                  <c:v>2.5300234870669698</c:v>
                </c:pt>
                <c:pt idx="45">
                  <c:v>2.5305689469073802</c:v>
                </c:pt>
                <c:pt idx="46">
                  <c:v>2.53145942071452</c:v>
                </c:pt>
                <c:pt idx="47">
                  <c:v>2.5318007900755202</c:v>
                </c:pt>
                <c:pt idx="48">
                  <c:v>2.5317309052070902</c:v>
                </c:pt>
                <c:pt idx="49">
                  <c:v>2.53088148602024</c:v>
                </c:pt>
                <c:pt idx="50">
                  <c:v>2.5287342175114702</c:v>
                </c:pt>
                <c:pt idx="51">
                  <c:v>2.5270164921958602</c:v>
                </c:pt>
                <c:pt idx="52">
                  <c:v>2.52510955564038</c:v>
                </c:pt>
                <c:pt idx="53">
                  <c:v>2.52386700973228</c:v>
                </c:pt>
                <c:pt idx="54">
                  <c:v>2.5237665875568398</c:v>
                </c:pt>
                <c:pt idx="55">
                  <c:v>2.5241105588353601</c:v>
                </c:pt>
                <c:pt idx="56">
                  <c:v>2.5240407136679099</c:v>
                </c:pt>
                <c:pt idx="57">
                  <c:v>2.5242199156490801</c:v>
                </c:pt>
                <c:pt idx="58">
                  <c:v>2.5244030904016102</c:v>
                </c:pt>
                <c:pt idx="59">
                  <c:v>2.5250826195391101</c:v>
                </c:pt>
                <c:pt idx="60">
                  <c:v>2.5269018944710901</c:v>
                </c:pt>
                <c:pt idx="61">
                  <c:v>2.5283098776789301</c:v>
                </c:pt>
                <c:pt idx="62">
                  <c:v>2.5302588139896298</c:v>
                </c:pt>
                <c:pt idx="63">
                  <c:v>2.5313803859784398</c:v>
                </c:pt>
                <c:pt idx="64">
                  <c:v>2.5315448284661901</c:v>
                </c:pt>
                <c:pt idx="65">
                  <c:v>2.5312735359839298</c:v>
                </c:pt>
                <c:pt idx="66">
                  <c:v>2.5309186793198202</c:v>
                </c:pt>
                <c:pt idx="67">
                  <c:v>2.5300703011008099</c:v>
                </c:pt>
                <c:pt idx="68">
                  <c:v>2.5298462169852902</c:v>
                </c:pt>
                <c:pt idx="69">
                  <c:v>2.52943328807158</c:v>
                </c:pt>
                <c:pt idx="70">
                  <c:v>2.52915314136852</c:v>
                </c:pt>
                <c:pt idx="71">
                  <c:v>2.5286850753465799</c:v>
                </c:pt>
                <c:pt idx="72">
                  <c:v>2.5277022578922899</c:v>
                </c:pt>
                <c:pt idx="73">
                  <c:v>2.5271855360126998</c:v>
                </c:pt>
                <c:pt idx="74">
                  <c:v>2.52639688748192</c:v>
                </c:pt>
                <c:pt idx="75">
                  <c:v>2.5266386671402801</c:v>
                </c:pt>
                <c:pt idx="76">
                  <c:v>2.5272206029397299</c:v>
                </c:pt>
                <c:pt idx="77">
                  <c:v>2.5278029660061101</c:v>
                </c:pt>
                <c:pt idx="78">
                  <c:v>2.52762011254663</c:v>
                </c:pt>
                <c:pt idx="79">
                  <c:v>2.52765437586095</c:v>
                </c:pt>
                <c:pt idx="80">
                  <c:v>2.5278279945038702</c:v>
                </c:pt>
                <c:pt idx="81">
                  <c:v>2.5279088143067998</c:v>
                </c:pt>
                <c:pt idx="82">
                  <c:v>2.5275975679438001</c:v>
                </c:pt>
                <c:pt idx="83">
                  <c:v>2.52741022239463</c:v>
                </c:pt>
                <c:pt idx="84">
                  <c:v>2.5269837595215301</c:v>
                </c:pt>
                <c:pt idx="85">
                  <c:v>2.5261402814595</c:v>
                </c:pt>
                <c:pt idx="86">
                  <c:v>2.5253788972420601</c:v>
                </c:pt>
                <c:pt idx="87">
                  <c:v>2.5246945176153299</c:v>
                </c:pt>
                <c:pt idx="88">
                  <c:v>2.5241454812191599</c:v>
                </c:pt>
                <c:pt idx="89">
                  <c:v>2.5239430781522301</c:v>
                </c:pt>
                <c:pt idx="90">
                  <c:v>2.5234380563088399</c:v>
                </c:pt>
                <c:pt idx="91">
                  <c:v>2.5235358426857801</c:v>
                </c:pt>
                <c:pt idx="92">
                  <c:v>2.5245150711796902</c:v>
                </c:pt>
                <c:pt idx="93">
                  <c:v>2.5253265763504</c:v>
                </c:pt>
                <c:pt idx="94">
                  <c:v>2.52627450270495</c:v>
                </c:pt>
                <c:pt idx="95">
                  <c:v>2.5269403839079998</c:v>
                </c:pt>
                <c:pt idx="96">
                  <c:v>2.5268803366266699</c:v>
                </c:pt>
                <c:pt idx="97">
                  <c:v>2.5269913594209599</c:v>
                </c:pt>
                <c:pt idx="98">
                  <c:v>2.5273468140933901</c:v>
                </c:pt>
                <c:pt idx="99">
                  <c:v>2.5270726553526099</c:v>
                </c:pt>
                <c:pt idx="100">
                  <c:v>2.5269851864185502</c:v>
                </c:pt>
                <c:pt idx="101">
                  <c:v>2.5267657082445298</c:v>
                </c:pt>
                <c:pt idx="102">
                  <c:v>2.5266489109363102</c:v>
                </c:pt>
                <c:pt idx="103">
                  <c:v>2.5260369250329799</c:v>
                </c:pt>
                <c:pt idx="104">
                  <c:v>2.5259798072784601</c:v>
                </c:pt>
                <c:pt idx="105">
                  <c:v>2.52641523693597</c:v>
                </c:pt>
                <c:pt idx="106">
                  <c:v>2.5270482571038202</c:v>
                </c:pt>
                <c:pt idx="107">
                  <c:v>2.5277366529141898</c:v>
                </c:pt>
                <c:pt idx="108">
                  <c:v>2.52891289902088</c:v>
                </c:pt>
                <c:pt idx="109">
                  <c:v>2.53022029620942</c:v>
                </c:pt>
                <c:pt idx="110">
                  <c:v>2.5307502635051602</c:v>
                </c:pt>
                <c:pt idx="111">
                  <c:v>2.5311822757582001</c:v>
                </c:pt>
                <c:pt idx="112">
                  <c:v>2.5293704566061401</c:v>
                </c:pt>
                <c:pt idx="113">
                  <c:v>2.5279019514391501</c:v>
                </c:pt>
                <c:pt idx="114">
                  <c:v>2.5262635766891202</c:v>
                </c:pt>
                <c:pt idx="115">
                  <c:v>2.5242817634032302</c:v>
                </c:pt>
                <c:pt idx="116">
                  <c:v>2.5238428000829201</c:v>
                </c:pt>
                <c:pt idx="117">
                  <c:v>2.5235245451461599</c:v>
                </c:pt>
                <c:pt idx="118">
                  <c:v>2.5230289611551102</c:v>
                </c:pt>
                <c:pt idx="119">
                  <c:v>2.5223742818649302</c:v>
                </c:pt>
                <c:pt idx="120">
                  <c:v>2.5223823895347901</c:v>
                </c:pt>
                <c:pt idx="121">
                  <c:v>2.52217162673948</c:v>
                </c:pt>
                <c:pt idx="122">
                  <c:v>2.52367660211157</c:v>
                </c:pt>
                <c:pt idx="123">
                  <c:v>2.5255052115421699</c:v>
                </c:pt>
                <c:pt idx="124">
                  <c:v>2.5269709059354901</c:v>
                </c:pt>
                <c:pt idx="125">
                  <c:v>2.5289640230161399</c:v>
                </c:pt>
                <c:pt idx="126">
                  <c:v>2.53011142009517</c:v>
                </c:pt>
                <c:pt idx="127">
                  <c:v>2.5310083787356401</c:v>
                </c:pt>
                <c:pt idx="128">
                  <c:v>2.5317121330097501</c:v>
                </c:pt>
                <c:pt idx="129">
                  <c:v>2.5325106782886002</c:v>
                </c:pt>
                <c:pt idx="130">
                  <c:v>2.53348118197564</c:v>
                </c:pt>
                <c:pt idx="131">
                  <c:v>2.53462717662297</c:v>
                </c:pt>
                <c:pt idx="132">
                  <c:v>2.53587294133705</c:v>
                </c:pt>
                <c:pt idx="133">
                  <c:v>2.5371668601270199</c:v>
                </c:pt>
                <c:pt idx="134">
                  <c:v>2.5384562248192202</c:v>
                </c:pt>
                <c:pt idx="135">
                  <c:v>2.53935057401771</c:v>
                </c:pt>
                <c:pt idx="136">
                  <c:v>2.5393936654557399</c:v>
                </c:pt>
                <c:pt idx="137">
                  <c:v>2.5392061820873302</c:v>
                </c:pt>
                <c:pt idx="138">
                  <c:v>2.5387947368995398</c:v>
                </c:pt>
                <c:pt idx="139">
                  <c:v>2.5382281652410801</c:v>
                </c:pt>
                <c:pt idx="140">
                  <c:v>2.5376623400629201</c:v>
                </c:pt>
                <c:pt idx="141">
                  <c:v>2.5373578168779098</c:v>
                </c:pt>
                <c:pt idx="142">
                  <c:v>2.5370627306614399</c:v>
                </c:pt>
                <c:pt idx="143">
                  <c:v>2.5359219756610001</c:v>
                </c:pt>
                <c:pt idx="144">
                  <c:v>2.5350984451627898</c:v>
                </c:pt>
                <c:pt idx="145">
                  <c:v>2.5345447763696498</c:v>
                </c:pt>
                <c:pt idx="146">
                  <c:v>2.5343539688825798</c:v>
                </c:pt>
                <c:pt idx="147">
                  <c:v>2.5344795259178801</c:v>
                </c:pt>
                <c:pt idx="148">
                  <c:v>2.5353545823503501</c:v>
                </c:pt>
                <c:pt idx="149">
                  <c:v>2.5366686859480501</c:v>
                </c:pt>
                <c:pt idx="150">
                  <c:v>2.53798604380763</c:v>
                </c:pt>
                <c:pt idx="151">
                  <c:v>2.5389032721622198</c:v>
                </c:pt>
                <c:pt idx="152">
                  <c:v>2.5394847219636798</c:v>
                </c:pt>
                <c:pt idx="153">
                  <c:v>2.5402343356560801</c:v>
                </c:pt>
                <c:pt idx="154">
                  <c:v>2.5407790578488298</c:v>
                </c:pt>
                <c:pt idx="155">
                  <c:v>2.5409976488167501</c:v>
                </c:pt>
                <c:pt idx="156">
                  <c:v>2.5410391171586202</c:v>
                </c:pt>
                <c:pt idx="157">
                  <c:v>2.5415091071664899</c:v>
                </c:pt>
                <c:pt idx="158">
                  <c:v>2.5413685035902098</c:v>
                </c:pt>
                <c:pt idx="159">
                  <c:v>2.5417357672135101</c:v>
                </c:pt>
                <c:pt idx="160">
                  <c:v>2.5417378003895799</c:v>
                </c:pt>
                <c:pt idx="161">
                  <c:v>2.5414698992988098</c:v>
                </c:pt>
                <c:pt idx="162">
                  <c:v>2.5411003905274399</c:v>
                </c:pt>
                <c:pt idx="163">
                  <c:v>2.5410178725924699</c:v>
                </c:pt>
                <c:pt idx="164">
                  <c:v>2.5413749508820702</c:v>
                </c:pt>
                <c:pt idx="165">
                  <c:v>2.5422759106931099</c:v>
                </c:pt>
                <c:pt idx="166">
                  <c:v>2.5432472416499898</c:v>
                </c:pt>
                <c:pt idx="167">
                  <c:v>2.5435999692328601</c:v>
                </c:pt>
                <c:pt idx="168">
                  <c:v>2.5440423286793399</c:v>
                </c:pt>
                <c:pt idx="169">
                  <c:v>2.54369455174026</c:v>
                </c:pt>
                <c:pt idx="170">
                  <c:v>2.5433826143673599</c:v>
                </c:pt>
                <c:pt idx="171">
                  <c:v>2.5437090324726901</c:v>
                </c:pt>
                <c:pt idx="172">
                  <c:v>2.54430645030875</c:v>
                </c:pt>
                <c:pt idx="173">
                  <c:v>2.5450281285515701</c:v>
                </c:pt>
                <c:pt idx="174">
                  <c:v>2.5457796638611501</c:v>
                </c:pt>
                <c:pt idx="175">
                  <c:v>2.5448319885322701</c:v>
                </c:pt>
                <c:pt idx="176">
                  <c:v>2.5437608283593298</c:v>
                </c:pt>
                <c:pt idx="177">
                  <c:v>2.54264245956734</c:v>
                </c:pt>
                <c:pt idx="178">
                  <c:v>2.5416514291483501</c:v>
                </c:pt>
                <c:pt idx="179">
                  <c:v>2.5422104390047502</c:v>
                </c:pt>
                <c:pt idx="180">
                  <c:v>2.5431595207487399</c:v>
                </c:pt>
                <c:pt idx="181">
                  <c:v>2.54460895582416</c:v>
                </c:pt>
                <c:pt idx="182">
                  <c:v>2.5464215413888698</c:v>
                </c:pt>
                <c:pt idx="183">
                  <c:v>2.5478477706592102</c:v>
                </c:pt>
                <c:pt idx="184">
                  <c:v>2.5488803366761399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29-4A7E-BE5E-74D6C0D3A257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IDU/XLU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Sheet1!$Q$2:$Q$186</c:f>
              <c:numCache>
                <c:formatCode>_(* #,##0.0000_);_(* \(#,##0.0000\);_(* "-"??_);_(@_)</c:formatCode>
                <c:ptCount val="185"/>
                <c:pt idx="19">
                  <c:v>2.54073965082029</c:v>
                </c:pt>
                <c:pt idx="20">
                  <c:v>2.54106855893663</c:v>
                </c:pt>
                <c:pt idx="21">
                  <c:v>2.5411946077638299</c:v>
                </c:pt>
                <c:pt idx="22">
                  <c:v>2.5413440049062999</c:v>
                </c:pt>
                <c:pt idx="23">
                  <c:v>2.54156124731555</c:v>
                </c:pt>
                <c:pt idx="24">
                  <c:v>2.5417059129455501</c:v>
                </c:pt>
                <c:pt idx="25">
                  <c:v>2.5420116475992498</c:v>
                </c:pt>
                <c:pt idx="26">
                  <c:v>2.5422586673162</c:v>
                </c:pt>
                <c:pt idx="27">
                  <c:v>2.54251122641619</c:v>
                </c:pt>
                <c:pt idx="28">
                  <c:v>2.54253946886509</c:v>
                </c:pt>
                <c:pt idx="29">
                  <c:v>2.5422305158529301</c:v>
                </c:pt>
                <c:pt idx="30">
                  <c:v>2.54194344225697</c:v>
                </c:pt>
                <c:pt idx="31">
                  <c:v>2.5417865911180302</c:v>
                </c:pt>
                <c:pt idx="32">
                  <c:v>2.5411777520281902</c:v>
                </c:pt>
                <c:pt idx="33">
                  <c:v>2.5401326247984</c:v>
                </c:pt>
                <c:pt idx="34">
                  <c:v>2.5389080216774902</c:v>
                </c:pt>
                <c:pt idx="35">
                  <c:v>2.5375673529035399</c:v>
                </c:pt>
                <c:pt idx="36">
                  <c:v>2.5364491158834199</c:v>
                </c:pt>
                <c:pt idx="37">
                  <c:v>2.5355362574873301</c:v>
                </c:pt>
                <c:pt idx="38">
                  <c:v>2.5350438103818198</c:v>
                </c:pt>
                <c:pt idx="39">
                  <c:v>2.5347160572735201</c:v>
                </c:pt>
                <c:pt idx="40">
                  <c:v>2.53424221802715</c:v>
                </c:pt>
                <c:pt idx="41">
                  <c:v>2.5337748715867998</c:v>
                </c:pt>
                <c:pt idx="42">
                  <c:v>2.5335163254793001</c:v>
                </c:pt>
                <c:pt idx="43">
                  <c:v>2.5330380564946302</c:v>
                </c:pt>
                <c:pt idx="44">
                  <c:v>2.53257852959893</c:v>
                </c:pt>
                <c:pt idx="45">
                  <c:v>2.5316194541303401</c:v>
                </c:pt>
                <c:pt idx="46">
                  <c:v>2.53101334273991</c:v>
                </c:pt>
                <c:pt idx="47">
                  <c:v>2.5304480272127798</c:v>
                </c:pt>
                <c:pt idx="48">
                  <c:v>2.53003579910281</c:v>
                </c:pt>
                <c:pt idx="49">
                  <c:v>2.5295969046775499</c:v>
                </c:pt>
                <c:pt idx="50">
                  <c:v>2.5286223562854899</c:v>
                </c:pt>
                <c:pt idx="51">
                  <c:v>2.5276722824052702</c:v>
                </c:pt>
                <c:pt idx="52">
                  <c:v>2.5268571178685999</c:v>
                </c:pt>
                <c:pt idx="53">
                  <c:v>2.5264961817051601</c:v>
                </c:pt>
                <c:pt idx="54">
                  <c:v>2.5268950373119101</c:v>
                </c:pt>
                <c:pt idx="55">
                  <c:v>2.5273397528713701</c:v>
                </c:pt>
                <c:pt idx="56">
                  <c:v>2.5277500671912199</c:v>
                </c:pt>
                <c:pt idx="57">
                  <c:v>2.5280103528622999</c:v>
                </c:pt>
                <c:pt idx="58">
                  <c:v>2.5280669978043502</c:v>
                </c:pt>
                <c:pt idx="59">
                  <c:v>2.5279820527796701</c:v>
                </c:pt>
                <c:pt idx="60">
                  <c:v>2.52781805599128</c:v>
                </c:pt>
                <c:pt idx="61">
                  <c:v>2.5276631849374001</c:v>
                </c:pt>
                <c:pt idx="62">
                  <c:v>2.527684184815</c:v>
                </c:pt>
                <c:pt idx="63">
                  <c:v>2.5276236978553599</c:v>
                </c:pt>
                <c:pt idx="64">
                  <c:v>2.5276557080115101</c:v>
                </c:pt>
                <c:pt idx="65">
                  <c:v>2.52769204740965</c:v>
                </c:pt>
                <c:pt idx="66">
                  <c:v>2.5274796964938702</c:v>
                </c:pt>
                <c:pt idx="67">
                  <c:v>2.5271451083749499</c:v>
                </c:pt>
                <c:pt idx="68">
                  <c:v>2.5271246536934502</c:v>
                </c:pt>
                <c:pt idx="69">
                  <c:v>2.5272579538053499</c:v>
                </c:pt>
                <c:pt idx="70">
                  <c:v>2.5280275179198002</c:v>
                </c:pt>
                <c:pt idx="71">
                  <c:v>2.5284974765127499</c:v>
                </c:pt>
                <c:pt idx="72">
                  <c:v>2.5289805359409598</c:v>
                </c:pt>
                <c:pt idx="73">
                  <c:v>2.52928296099557</c:v>
                </c:pt>
                <c:pt idx="74">
                  <c:v>2.5289708579740502</c:v>
                </c:pt>
                <c:pt idx="75">
                  <c:v>2.5289561015621098</c:v>
                </c:pt>
                <c:pt idx="76">
                  <c:v>2.5290696411297802</c:v>
                </c:pt>
                <c:pt idx="77">
                  <c:v>2.5289366335534602</c:v>
                </c:pt>
                <c:pt idx="78">
                  <c:v>2.5287331647659599</c:v>
                </c:pt>
                <c:pt idx="79">
                  <c:v>2.5285438319662599</c:v>
                </c:pt>
                <c:pt idx="80">
                  <c:v>2.5284905679362</c:v>
                </c:pt>
                <c:pt idx="81">
                  <c:v>2.5282969448266899</c:v>
                </c:pt>
                <c:pt idx="82">
                  <c:v>2.5276499129180401</c:v>
                </c:pt>
                <c:pt idx="83">
                  <c:v>2.5272978792036702</c:v>
                </c:pt>
                <c:pt idx="84">
                  <c:v>2.52669032350172</c:v>
                </c:pt>
                <c:pt idx="85">
                  <c:v>2.52638947429989</c:v>
                </c:pt>
                <c:pt idx="86">
                  <c:v>2.5262997500908999</c:v>
                </c:pt>
                <c:pt idx="87">
                  <c:v>2.5262487418107198</c:v>
                </c:pt>
                <c:pt idx="88">
                  <c:v>2.5258827968828999</c:v>
                </c:pt>
                <c:pt idx="89">
                  <c:v>2.52579872700659</c:v>
                </c:pt>
                <c:pt idx="90">
                  <c:v>2.5256330254063601</c:v>
                </c:pt>
                <c:pt idx="91">
                  <c:v>2.5257223284962902</c:v>
                </c:pt>
                <c:pt idx="92">
                  <c:v>2.5260563195617398</c:v>
                </c:pt>
                <c:pt idx="93">
                  <c:v>2.5263683993725099</c:v>
                </c:pt>
                <c:pt idx="94">
                  <c:v>2.5266291311132401</c:v>
                </c:pt>
                <c:pt idx="95">
                  <c:v>2.5265403326837501</c:v>
                </c:pt>
                <c:pt idx="96">
                  <c:v>2.5261296169343699</c:v>
                </c:pt>
                <c:pt idx="97">
                  <c:v>2.52584293851814</c:v>
                </c:pt>
                <c:pt idx="98">
                  <c:v>2.5257461476562799</c:v>
                </c:pt>
                <c:pt idx="99">
                  <c:v>2.5255078667524198</c:v>
                </c:pt>
                <c:pt idx="100">
                  <c:v>2.5252116213637001</c:v>
                </c:pt>
                <c:pt idx="101">
                  <c:v>2.5251507754651601</c:v>
                </c:pt>
                <c:pt idx="102">
                  <c:v>2.525581991058</c:v>
                </c:pt>
                <c:pt idx="103">
                  <c:v>2.5256817506916902</c:v>
                </c:pt>
                <c:pt idx="104">
                  <c:v>2.5261271549917099</c:v>
                </c:pt>
                <c:pt idx="105">
                  <c:v>2.52667781042198</c:v>
                </c:pt>
                <c:pt idx="106">
                  <c:v>2.5269642968652501</c:v>
                </c:pt>
                <c:pt idx="107">
                  <c:v>2.52736400616757</c:v>
                </c:pt>
                <c:pt idx="108">
                  <c:v>2.52812985655713</c:v>
                </c:pt>
                <c:pt idx="109">
                  <c:v>2.5286464757810201</c:v>
                </c:pt>
                <c:pt idx="110">
                  <c:v>2.5288677249618599</c:v>
                </c:pt>
                <c:pt idx="111">
                  <c:v>2.5289739920013701</c:v>
                </c:pt>
                <c:pt idx="112">
                  <c:v>2.5280096837712298</c:v>
                </c:pt>
                <c:pt idx="113">
                  <c:v>2.5269694382360699</c:v>
                </c:pt>
                <c:pt idx="114">
                  <c:v>2.5261216919837901</c:v>
                </c:pt>
                <c:pt idx="115">
                  <c:v>2.5253485001696001</c:v>
                </c:pt>
                <c:pt idx="116">
                  <c:v>2.5254455285933699</c:v>
                </c:pt>
                <c:pt idx="117">
                  <c:v>2.52563059903017</c:v>
                </c:pt>
                <c:pt idx="118">
                  <c:v>2.5259709300879898</c:v>
                </c:pt>
                <c:pt idx="119">
                  <c:v>2.52629728903718</c:v>
                </c:pt>
                <c:pt idx="120">
                  <c:v>2.52656632651997</c:v>
                </c:pt>
                <c:pt idx="121">
                  <c:v>2.5266769512488398</c:v>
                </c:pt>
                <c:pt idx="122">
                  <c:v>2.5265235293588599</c:v>
                </c:pt>
                <c:pt idx="123">
                  <c:v>2.52670358149066</c:v>
                </c:pt>
                <c:pt idx="124">
                  <c:v>2.52661724131231</c:v>
                </c:pt>
                <c:pt idx="125">
                  <c:v>2.5266228932096899</c:v>
                </c:pt>
                <c:pt idx="126">
                  <c:v>2.5269771100890499</c:v>
                </c:pt>
                <c:pt idx="127">
                  <c:v>2.5272664619409002</c:v>
                </c:pt>
                <c:pt idx="128">
                  <c:v>2.5273705470824299</c:v>
                </c:pt>
                <c:pt idx="129">
                  <c:v>2.5274424800767701</c:v>
                </c:pt>
                <c:pt idx="130">
                  <c:v>2.5279317857552099</c:v>
                </c:pt>
                <c:pt idx="131">
                  <c:v>2.5283994016812299</c:v>
                </c:pt>
                <c:pt idx="132">
                  <c:v>2.52977477172431</c:v>
                </c:pt>
                <c:pt idx="133">
                  <c:v>2.53133603583459</c:v>
                </c:pt>
                <c:pt idx="134">
                  <c:v>2.5327135653773598</c:v>
                </c:pt>
                <c:pt idx="135">
                  <c:v>2.5341572985169298</c:v>
                </c:pt>
                <c:pt idx="136">
                  <c:v>2.53475254277545</c:v>
                </c:pt>
                <c:pt idx="137">
                  <c:v>2.5351072804114798</c:v>
                </c:pt>
                <c:pt idx="138">
                  <c:v>2.5352534349546501</c:v>
                </c:pt>
                <c:pt idx="139">
                  <c:v>2.5353694217648401</c:v>
                </c:pt>
                <c:pt idx="140">
                  <c:v>2.5355717610192801</c:v>
                </c:pt>
                <c:pt idx="141">
                  <c:v>2.5359924967504401</c:v>
                </c:pt>
                <c:pt idx="142">
                  <c:v>2.5364678359992499</c:v>
                </c:pt>
                <c:pt idx="143">
                  <c:v>2.5365444178940102</c:v>
                </c:pt>
                <c:pt idx="144">
                  <c:v>2.5367773349910099</c:v>
                </c:pt>
                <c:pt idx="145">
                  <c:v>2.5369476751936801</c:v>
                </c:pt>
                <c:pt idx="146">
                  <c:v>2.5368738171691598</c:v>
                </c:pt>
                <c:pt idx="147">
                  <c:v>2.5368428540025998</c:v>
                </c:pt>
                <c:pt idx="148">
                  <c:v>2.5370746596249401</c:v>
                </c:pt>
                <c:pt idx="149">
                  <c:v>2.5374484255945702</c:v>
                </c:pt>
                <c:pt idx="150">
                  <c:v>2.53782419193527</c:v>
                </c:pt>
                <c:pt idx="151">
                  <c:v>2.5381305445200599</c:v>
                </c:pt>
                <c:pt idx="152">
                  <c:v>2.5382737263125601</c:v>
                </c:pt>
                <c:pt idx="153">
                  <c:v>2.5380781556585399</c:v>
                </c:pt>
                <c:pt idx="154">
                  <c:v>2.5379387515058101</c:v>
                </c:pt>
                <c:pt idx="155">
                  <c:v>2.5377712125932002</c:v>
                </c:pt>
                <c:pt idx="156">
                  <c:v>2.5376965430206</c:v>
                </c:pt>
                <c:pt idx="157">
                  <c:v>2.5379943165421901</c:v>
                </c:pt>
                <c:pt idx="158">
                  <c:v>2.5383615429702799</c:v>
                </c:pt>
                <c:pt idx="159">
                  <c:v>2.5392022265807799</c:v>
                </c:pt>
                <c:pt idx="160">
                  <c:v>2.5398619220985998</c:v>
                </c:pt>
                <c:pt idx="161">
                  <c:v>2.5401865857305101</c:v>
                </c:pt>
                <c:pt idx="162">
                  <c:v>2.5402925562455598</c:v>
                </c:pt>
                <c:pt idx="163">
                  <c:v>2.5406261041242701</c:v>
                </c:pt>
                <c:pt idx="164">
                  <c:v>2.5410770043654498</c:v>
                </c:pt>
                <c:pt idx="165">
                  <c:v>2.54163677975493</c:v>
                </c:pt>
                <c:pt idx="166">
                  <c:v>2.5421431794043099</c:v>
                </c:pt>
                <c:pt idx="167">
                  <c:v>2.5425545381996799</c:v>
                </c:pt>
                <c:pt idx="168">
                  <c:v>2.54270541613477</c:v>
                </c:pt>
                <c:pt idx="169">
                  <c:v>2.5427151594768902</c:v>
                </c:pt>
                <c:pt idx="170">
                  <c:v>2.5425602073784699</c:v>
                </c:pt>
                <c:pt idx="171">
                  <c:v>2.54258946588575</c:v>
                </c:pt>
                <c:pt idx="172">
                  <c:v>2.5427034204180998</c:v>
                </c:pt>
                <c:pt idx="173">
                  <c:v>2.54302300057202</c:v>
                </c:pt>
                <c:pt idx="174">
                  <c:v>2.5435773073716099</c:v>
                </c:pt>
                <c:pt idx="175">
                  <c:v>2.54355394961269</c:v>
                </c:pt>
                <c:pt idx="176">
                  <c:v>2.54350403500466</c:v>
                </c:pt>
                <c:pt idx="177">
                  <c:v>2.5431212144001001</c:v>
                </c:pt>
                <c:pt idx="178">
                  <c:v>2.5428468789138399</c:v>
                </c:pt>
                <c:pt idx="179">
                  <c:v>2.5429524953725098</c:v>
                </c:pt>
                <c:pt idx="180">
                  <c:v>2.5432710675580501</c:v>
                </c:pt>
                <c:pt idx="181">
                  <c:v>2.5441589941484199</c:v>
                </c:pt>
                <c:pt idx="182">
                  <c:v>2.5453639958488101</c:v>
                </c:pt>
                <c:pt idx="183">
                  <c:v>2.5464379496053899</c:v>
                </c:pt>
                <c:pt idx="184">
                  <c:v>2.5473300002686399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29-4A7E-BE5E-74D6C0D3A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XLU* x 10 dma / IDU*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Sheet1!$AF$2:$AF$186</c:f>
              <c:numCache>
                <c:formatCode>0.0000%</c:formatCode>
                <c:ptCount val="185"/>
                <c:pt idx="10">
                  <c:v>3.6155215565868701E-4</c:v>
                </c:pt>
                <c:pt idx="11">
                  <c:v>4.78007859653287E-4</c:v>
                </c:pt>
                <c:pt idx="12">
                  <c:v>-2.4114752143645402E-3</c:v>
                </c:pt>
                <c:pt idx="13">
                  <c:v>-4.1373129022918096E-3</c:v>
                </c:pt>
                <c:pt idx="14">
                  <c:v>-3.7468386140053502E-3</c:v>
                </c:pt>
                <c:pt idx="15">
                  <c:v>-3.1068950394914099E-3</c:v>
                </c:pt>
                <c:pt idx="16">
                  <c:v>-1.08757890236821E-3</c:v>
                </c:pt>
                <c:pt idx="17">
                  <c:v>-1.42486279526209E-3</c:v>
                </c:pt>
                <c:pt idx="18">
                  <c:v>1.7271313919199999E-3</c:v>
                </c:pt>
                <c:pt idx="19">
                  <c:v>1.72067006810973E-3</c:v>
                </c:pt>
                <c:pt idx="20">
                  <c:v>1.58722131164464E-4</c:v>
                </c:pt>
                <c:pt idx="21">
                  <c:v>9.8955188972489399E-4</c:v>
                </c:pt>
                <c:pt idx="22">
                  <c:v>1.74097241445832E-3</c:v>
                </c:pt>
                <c:pt idx="23">
                  <c:v>3.0354557475699098E-4</c:v>
                </c:pt>
                <c:pt idx="24">
                  <c:v>1.1504376211163001E-4</c:v>
                </c:pt>
                <c:pt idx="25">
                  <c:v>-1.4838148246159499E-3</c:v>
                </c:pt>
                <c:pt idx="26">
                  <c:v>-2.0516601968034601E-4</c:v>
                </c:pt>
                <c:pt idx="27">
                  <c:v>2.23869988743985E-5</c:v>
                </c:pt>
                <c:pt idx="28">
                  <c:v>2.2147677803496298E-3</c:v>
                </c:pt>
                <c:pt idx="29">
                  <c:v>3.5703542037344499E-3</c:v>
                </c:pt>
                <c:pt idx="30">
                  <c:v>3.8010957462753601E-3</c:v>
                </c:pt>
                <c:pt idx="31">
                  <c:v>2.4044052632052502E-3</c:v>
                </c:pt>
                <c:pt idx="32">
                  <c:v>2.8525548273162799E-3</c:v>
                </c:pt>
                <c:pt idx="33">
                  <c:v>3.9648790845252099E-3</c:v>
                </c:pt>
                <c:pt idx="34">
                  <c:v>4.7811994153917799E-3</c:v>
                </c:pt>
                <c:pt idx="35">
                  <c:v>5.2646572426325597E-3</c:v>
                </c:pt>
                <c:pt idx="36">
                  <c:v>4.2379043178240403E-3</c:v>
                </c:pt>
                <c:pt idx="37">
                  <c:v>1.19143714026285E-3</c:v>
                </c:pt>
                <c:pt idx="38">
                  <c:v>1.13638674842192E-4</c:v>
                </c:pt>
                <c:pt idx="39">
                  <c:v>-1.6060019408487599E-3</c:v>
                </c:pt>
                <c:pt idx="40">
                  <c:v>-2.0342600789504898E-3</c:v>
                </c:pt>
                <c:pt idx="41">
                  <c:v>-1.39882984508864E-3</c:v>
                </c:pt>
                <c:pt idx="42">
                  <c:v>-2.5386620931206901E-3</c:v>
                </c:pt>
                <c:pt idx="43">
                  <c:v>-1.96965723413212E-3</c:v>
                </c:pt>
                <c:pt idx="44">
                  <c:v>-1.85900242174237E-3</c:v>
                </c:pt>
                <c:pt idx="45">
                  <c:v>1.0862930693661399E-3</c:v>
                </c:pt>
                <c:pt idx="46">
                  <c:v>-1.1666680775384E-4</c:v>
                </c:pt>
                <c:pt idx="47">
                  <c:v>1.9424626361796E-4</c:v>
                </c:pt>
                <c:pt idx="48">
                  <c:v>1.4592203821080501E-3</c:v>
                </c:pt>
                <c:pt idx="49">
                  <c:v>3.0938223720090199E-3</c:v>
                </c:pt>
                <c:pt idx="50">
                  <c:v>2.2561854138808402E-3</c:v>
                </c:pt>
                <c:pt idx="51">
                  <c:v>7.4253014422104302E-4</c:v>
                </c:pt>
                <c:pt idx="52">
                  <c:v>2.4646925106980999E-4</c:v>
                </c:pt>
                <c:pt idx="53">
                  <c:v>-2.3665865767243401E-3</c:v>
                </c:pt>
                <c:pt idx="54">
                  <c:v>-1.4156294392629601E-3</c:v>
                </c:pt>
                <c:pt idx="55">
                  <c:v>-6.2160624722633502E-4</c:v>
                </c:pt>
                <c:pt idx="56">
                  <c:v>-2.6802221385512803E-4</c:v>
                </c:pt>
                <c:pt idx="57">
                  <c:v>-1.32034533509056E-3</c:v>
                </c:pt>
                <c:pt idx="58">
                  <c:v>-1.3587152917300099E-4</c:v>
                </c:pt>
                <c:pt idx="59">
                  <c:v>-3.65714791454479E-4</c:v>
                </c:pt>
                <c:pt idx="60">
                  <c:v>1.10219055404976E-4</c:v>
                </c:pt>
                <c:pt idx="61">
                  <c:v>7.9351579608806305E-4</c:v>
                </c:pt>
                <c:pt idx="62">
                  <c:v>-1.63317443914798E-3</c:v>
                </c:pt>
                <c:pt idx="63">
                  <c:v>-2.8802876905804897E-4</c:v>
                </c:pt>
                <c:pt idx="64">
                  <c:v>-1.2204044979707701E-3</c:v>
                </c:pt>
                <c:pt idx="65">
                  <c:v>1.39989129675665E-3</c:v>
                </c:pt>
                <c:pt idx="66">
                  <c:v>1.8412252641745201E-3</c:v>
                </c:pt>
                <c:pt idx="67">
                  <c:v>2.6280703451783999E-3</c:v>
                </c:pt>
                <c:pt idx="68">
                  <c:v>9.3731657733084903E-4</c:v>
                </c:pt>
                <c:pt idx="69">
                  <c:v>1.2933775465080999E-3</c:v>
                </c:pt>
                <c:pt idx="70">
                  <c:v>8.1232509501915197E-4</c:v>
                </c:pt>
                <c:pt idx="71">
                  <c:v>1.93187718823255E-3</c:v>
                </c:pt>
                <c:pt idx="72">
                  <c:v>1.3211058348957E-3</c:v>
                </c:pt>
                <c:pt idx="73">
                  <c:v>1.9353168298975499E-4</c:v>
                </c:pt>
                <c:pt idx="74">
                  <c:v>2.37621178295376E-4</c:v>
                </c:pt>
                <c:pt idx="75">
                  <c:v>-1.5916452335458099E-3</c:v>
                </c:pt>
                <c:pt idx="76">
                  <c:v>-2.2920681640921699E-3</c:v>
                </c:pt>
                <c:pt idx="77">
                  <c:v>-1.13855064373844E-3</c:v>
                </c:pt>
                <c:pt idx="78">
                  <c:v>7.6442019169070501E-4</c:v>
                </c:pt>
                <c:pt idx="79">
                  <c:v>2.7745107035506098E-4</c:v>
                </c:pt>
                <c:pt idx="80">
                  <c:v>-5.77922618808698E-4</c:v>
                </c:pt>
                <c:pt idx="81">
                  <c:v>1.0876715210829E-3</c:v>
                </c:pt>
                <c:pt idx="82">
                  <c:v>2.2473264249871202E-3</c:v>
                </c:pt>
                <c:pt idx="83">
                  <c:v>8.9370151660519504E-4</c:v>
                </c:pt>
                <c:pt idx="84">
                  <c:v>2.01585336488997E-3</c:v>
                </c:pt>
                <c:pt idx="85">
                  <c:v>1.9795422556513802E-3</c:v>
                </c:pt>
                <c:pt idx="86">
                  <c:v>5.2171693202275702E-4</c:v>
                </c:pt>
                <c:pt idx="87">
                  <c:v>8.4105249643933204E-4</c:v>
                </c:pt>
                <c:pt idx="88">
                  <c:v>1.7099771233978201E-3</c:v>
                </c:pt>
                <c:pt idx="89">
                  <c:v>-2.96851275136679E-4</c:v>
                </c:pt>
                <c:pt idx="90">
                  <c:v>-4.8450831722585002E-5</c:v>
                </c:pt>
                <c:pt idx="91">
                  <c:v>-1.03766807790165E-3</c:v>
                </c:pt>
                <c:pt idx="92">
                  <c:v>-3.35891700232445E-3</c:v>
                </c:pt>
                <c:pt idx="93">
                  <c:v>-3.5348764360034601E-3</c:v>
                </c:pt>
                <c:pt idx="94">
                  <c:v>-2.5600137934198301E-3</c:v>
                </c:pt>
                <c:pt idx="95">
                  <c:v>-9.3799539635792202E-4</c:v>
                </c:pt>
                <c:pt idx="96">
                  <c:v>1.0762520077475699E-3</c:v>
                </c:pt>
                <c:pt idx="97">
                  <c:v>9.9551467085654791E-4</c:v>
                </c:pt>
                <c:pt idx="98">
                  <c:v>1.20998633697659E-3</c:v>
                </c:pt>
                <c:pt idx="99">
                  <c:v>2.0570412772292499E-3</c:v>
                </c:pt>
                <c:pt idx="100">
                  <c:v>1.53733654849427E-3</c:v>
                </c:pt>
                <c:pt idx="101">
                  <c:v>1.23625256799183E-3</c:v>
                </c:pt>
                <c:pt idx="102">
                  <c:v>-1.618452136087E-3</c:v>
                </c:pt>
                <c:pt idx="103">
                  <c:v>-2.7144566991109701E-4</c:v>
                </c:pt>
                <c:pt idx="104">
                  <c:v>-2.0531366736836099E-3</c:v>
                </c:pt>
                <c:pt idx="105">
                  <c:v>-2.7751613802055402E-3</c:v>
                </c:pt>
                <c:pt idx="106">
                  <c:v>-1.6362326854037299E-3</c:v>
                </c:pt>
                <c:pt idx="107">
                  <c:v>-1.66132705072316E-3</c:v>
                </c:pt>
                <c:pt idx="108">
                  <c:v>-3.1446631340068202E-3</c:v>
                </c:pt>
                <c:pt idx="109">
                  <c:v>-2.49376074302101E-3</c:v>
                </c:pt>
                <c:pt idx="110">
                  <c:v>6.8394676997306702E-4</c:v>
                </c:pt>
                <c:pt idx="111">
                  <c:v>1.0148449158211301E-3</c:v>
                </c:pt>
                <c:pt idx="112">
                  <c:v>1.7110913658357999E-3</c:v>
                </c:pt>
                <c:pt idx="113">
                  <c:v>1.6283863920022101E-3</c:v>
                </c:pt>
                <c:pt idx="114">
                  <c:v>6.58741611646037E-4</c:v>
                </c:pt>
                <c:pt idx="115">
                  <c:v>1.26818514739E-3</c:v>
                </c:pt>
                <c:pt idx="116">
                  <c:v>1.4885242365993501E-3</c:v>
                </c:pt>
                <c:pt idx="117">
                  <c:v>5.6131135035833804E-4</c:v>
                </c:pt>
                <c:pt idx="118">
                  <c:v>-6.2197843956587103E-4</c:v>
                </c:pt>
                <c:pt idx="119">
                  <c:v>-2.9409976010860899E-6</c:v>
                </c:pt>
                <c:pt idx="120">
                  <c:v>-2.18750143199405E-4</c:v>
                </c:pt>
                <c:pt idx="121">
                  <c:v>7.71987640470818E-4</c:v>
                </c:pt>
                <c:pt idx="122">
                  <c:v>1.01581100707226E-5</c:v>
                </c:pt>
                <c:pt idx="123">
                  <c:v>-1.19658645126572E-3</c:v>
                </c:pt>
                <c:pt idx="124">
                  <c:v>-4.6081140643322501E-4</c:v>
                </c:pt>
                <c:pt idx="125">
                  <c:v>-1.86934799309709E-3</c:v>
                </c:pt>
                <c:pt idx="126">
                  <c:v>-3.4234972563690698E-3</c:v>
                </c:pt>
                <c:pt idx="127">
                  <c:v>-2.73353793082478E-3</c:v>
                </c:pt>
                <c:pt idx="128">
                  <c:v>-2.6717915684652499E-3</c:v>
                </c:pt>
                <c:pt idx="129">
                  <c:v>-1.9547875543280599E-3</c:v>
                </c:pt>
                <c:pt idx="130">
                  <c:v>-2.2741201610948299E-3</c:v>
                </c:pt>
                <c:pt idx="131">
                  <c:v>-1.59904210901103E-3</c:v>
                </c:pt>
                <c:pt idx="132">
                  <c:v>-2.2150314459382699E-3</c:v>
                </c:pt>
                <c:pt idx="133">
                  <c:v>-3.1506081469878898E-3</c:v>
                </c:pt>
                <c:pt idx="134">
                  <c:v>-2.0586564867395001E-3</c:v>
                </c:pt>
                <c:pt idx="135">
                  <c:v>-1.4171210843694801E-3</c:v>
                </c:pt>
                <c:pt idx="136">
                  <c:v>5.0533484289499899E-4</c:v>
                </c:pt>
                <c:pt idx="137">
                  <c:v>1.6677176064076901E-3</c:v>
                </c:pt>
                <c:pt idx="138">
                  <c:v>2.18451770235554E-3</c:v>
                </c:pt>
                <c:pt idx="139">
                  <c:v>3.0748884654799801E-3</c:v>
                </c:pt>
                <c:pt idx="140">
                  <c:v>2.2126301806008001E-3</c:v>
                </c:pt>
                <c:pt idx="141">
                  <c:v>1.2507535798602599E-3</c:v>
                </c:pt>
                <c:pt idx="142">
                  <c:v>2.4041448491771799E-5</c:v>
                </c:pt>
                <c:pt idx="143">
                  <c:v>1.8128699165063399E-3</c:v>
                </c:pt>
                <c:pt idx="144">
                  <c:v>6.9501263189987201E-4</c:v>
                </c:pt>
                <c:pt idx="145">
                  <c:v>-5.6035046663450397E-4</c:v>
                </c:pt>
                <c:pt idx="146">
                  <c:v>-6.3692322102275496E-4</c:v>
                </c:pt>
                <c:pt idx="147">
                  <c:v>-8.1400033054069296E-4</c:v>
                </c:pt>
                <c:pt idx="148">
                  <c:v>-3.1264541760065699E-3</c:v>
                </c:pt>
                <c:pt idx="149">
                  <c:v>-3.4596655679142202E-3</c:v>
                </c:pt>
                <c:pt idx="150">
                  <c:v>-3.5900391731679099E-3</c:v>
                </c:pt>
                <c:pt idx="151">
                  <c:v>-2.2341473789219998E-3</c:v>
                </c:pt>
                <c:pt idx="152">
                  <c:v>-1.6560529675283401E-3</c:v>
                </c:pt>
                <c:pt idx="153">
                  <c:v>-1.88582457106107E-4</c:v>
                </c:pt>
                <c:pt idx="154">
                  <c:v>2.4686735673374401E-4</c:v>
                </c:pt>
                <c:pt idx="155">
                  <c:v>8.1652439701193104E-4</c:v>
                </c:pt>
                <c:pt idx="156">
                  <c:v>1.74231525529812E-3</c:v>
                </c:pt>
                <c:pt idx="157">
                  <c:v>-3.0914680225137301E-5</c:v>
                </c:pt>
                <c:pt idx="158">
                  <c:v>1.9647072423717299E-4</c:v>
                </c:pt>
                <c:pt idx="159">
                  <c:v>-2.5329758688408398E-3</c:v>
                </c:pt>
                <c:pt idx="160">
                  <c:v>-1.60248424687814E-3</c:v>
                </c:pt>
                <c:pt idx="161">
                  <c:v>2.9676772632618699E-4</c:v>
                </c:pt>
                <c:pt idx="162">
                  <c:v>8.08391766728559E-4</c:v>
                </c:pt>
                <c:pt idx="163">
                  <c:v>7.7236548493663003E-4</c:v>
                </c:pt>
                <c:pt idx="164">
                  <c:v>-8.4977942097457101E-4</c:v>
                </c:pt>
                <c:pt idx="165">
                  <c:v>-2.4915838450192298E-3</c:v>
                </c:pt>
                <c:pt idx="166">
                  <c:v>-1.5767452324359E-3</c:v>
                </c:pt>
                <c:pt idx="167">
                  <c:v>-5.4942516308653297E-4</c:v>
                </c:pt>
                <c:pt idx="168">
                  <c:v>-7.2054916993358404E-4</c:v>
                </c:pt>
                <c:pt idx="169">
                  <c:v>-1.15474968172532E-4</c:v>
                </c:pt>
                <c:pt idx="170">
                  <c:v>3.93914739890853E-4</c:v>
                </c:pt>
                <c:pt idx="171">
                  <c:v>-3.4010853117631598E-4</c:v>
                </c:pt>
                <c:pt idx="172">
                  <c:v>-6.6077392467007003E-4</c:v>
                </c:pt>
                <c:pt idx="173">
                  <c:v>-8.0493357577606601E-4</c:v>
                </c:pt>
                <c:pt idx="174">
                  <c:v>-2.22356021943447E-3</c:v>
                </c:pt>
                <c:pt idx="175">
                  <c:v>-3.1830278295844998E-3</c:v>
                </c:pt>
                <c:pt idx="176">
                  <c:v>-1.89733346111769E-3</c:v>
                </c:pt>
                <c:pt idx="177">
                  <c:v>-8.1934818606842804E-4</c:v>
                </c:pt>
                <c:pt idx="178">
                  <c:v>-1.5450421451047901E-3</c:v>
                </c:pt>
                <c:pt idx="179">
                  <c:v>-7.91400742469137E-4</c:v>
                </c:pt>
                <c:pt idx="180">
                  <c:v>-1.4568947677359499E-3</c:v>
                </c:pt>
                <c:pt idx="181">
                  <c:v>-3.6510431527663999E-3</c:v>
                </c:pt>
                <c:pt idx="182">
                  <c:v>-4.9467384724869602E-3</c:v>
                </c:pt>
                <c:pt idx="183">
                  <c:v>-3.1050250275483399E-3</c:v>
                </c:pt>
                <c:pt idx="184">
                  <c:v>-2.7032651171818001E-3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83-4847-AB6D-F03FB67B4939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XLU* x 20 dma / IDU*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Sheet1!$AG$2:$AG$186</c:f>
              <c:numCache>
                <c:formatCode>0.0000%</c:formatCode>
                <c:ptCount val="185"/>
                <c:pt idx="20">
                  <c:v>-8.6470371751363995E-4</c:v>
                </c:pt>
                <c:pt idx="21">
                  <c:v>-1.29187628918202E-4</c:v>
                </c:pt>
                <c:pt idx="22">
                  <c:v>4.9945213535797998E-4</c:v>
                </c:pt>
                <c:pt idx="23">
                  <c:v>-7.1253724057848905E-4</c:v>
                </c:pt>
                <c:pt idx="24">
                  <c:v>-5.7454753961585505E-4</c:v>
                </c:pt>
                <c:pt idx="25">
                  <c:v>-1.86795475129009E-3</c:v>
                </c:pt>
                <c:pt idx="26">
                  <c:v>-3.83393558096003E-4</c:v>
                </c:pt>
                <c:pt idx="27">
                  <c:v>-6.0517505846659997E-6</c:v>
                </c:pt>
                <c:pt idx="28">
                  <c:v>2.42480888711416E-3</c:v>
                </c:pt>
                <c:pt idx="29">
                  <c:v>3.8821152040305201E-3</c:v>
                </c:pt>
                <c:pt idx="30">
                  <c:v>4.2381007100616899E-3</c:v>
                </c:pt>
                <c:pt idx="31">
                  <c:v>3.1795069471789602E-3</c:v>
                </c:pt>
                <c:pt idx="32">
                  <c:v>3.8621657725742701E-3</c:v>
                </c:pt>
                <c:pt idx="33">
                  <c:v>5.0475542309980697E-3</c:v>
                </c:pt>
                <c:pt idx="34">
                  <c:v>6.0346221634655899E-3</c:v>
                </c:pt>
                <c:pt idx="35">
                  <c:v>6.7524062777996503E-3</c:v>
                </c:pt>
                <c:pt idx="36">
                  <c:v>6.1697243766382403E-3</c:v>
                </c:pt>
                <c:pt idx="37">
                  <c:v>3.5130612749272802E-3</c:v>
                </c:pt>
                <c:pt idx="38">
                  <c:v>2.6571590008589701E-3</c:v>
                </c:pt>
                <c:pt idx="39">
                  <c:v>1.04168215056573E-3</c:v>
                </c:pt>
                <c:pt idx="40">
                  <c:v>4.9534744919714805E-4</c:v>
                </c:pt>
                <c:pt idx="41">
                  <c:v>8.6544247525110205E-4</c:v>
                </c:pt>
                <c:pt idx="42">
                  <c:v>-3.86670664178491E-4</c:v>
                </c:pt>
                <c:pt idx="43">
                  <c:v>-2.91082356434071E-5</c:v>
                </c:pt>
                <c:pt idx="44">
                  <c:v>-3.13140196944128E-4</c:v>
                </c:pt>
                <c:pt idx="45">
                  <c:v>2.0956723334209898E-3</c:v>
                </c:pt>
                <c:pt idx="46">
                  <c:v>2.9837394332408502E-4</c:v>
                </c:pt>
                <c:pt idx="47">
                  <c:v>1.8016979388499999E-5</c:v>
                </c:pt>
                <c:pt idx="48">
                  <c:v>9.2476901720567101E-4</c:v>
                </c:pt>
                <c:pt idx="49">
                  <c:v>2.4240537846085398E-3</c:v>
                </c:pt>
                <c:pt idx="50">
                  <c:v>1.7484937408401499E-3</c:v>
                </c:pt>
                <c:pt idx="51">
                  <c:v>4.3761079325233199E-4</c:v>
                </c:pt>
                <c:pt idx="52">
                  <c:v>-1.7956976649365299E-5</c:v>
                </c:pt>
                <c:pt idx="53">
                  <c:v>-2.4634216944844E-3</c:v>
                </c:pt>
                <c:pt idx="54">
                  <c:v>-1.4391136718724001E-3</c:v>
                </c:pt>
                <c:pt idx="55">
                  <c:v>-4.4769644972088198E-4</c:v>
                </c:pt>
                <c:pt idx="56">
                  <c:v>-5.4315842384956397E-5</c:v>
                </c:pt>
                <c:pt idx="57">
                  <c:v>-9.16861597353354E-4</c:v>
                </c:pt>
                <c:pt idx="58">
                  <c:v>2.9962418210318303E-4</c:v>
                </c:pt>
                <c:pt idx="59">
                  <c:v>1.9753791790811199E-5</c:v>
                </c:pt>
                <c:pt idx="60">
                  <c:v>1.9354613517563401E-4</c:v>
                </c:pt>
                <c:pt idx="61">
                  <c:v>6.1434226626023102E-4</c:v>
                </c:pt>
                <c:pt idx="62">
                  <c:v>-1.9042612190552E-3</c:v>
                </c:pt>
                <c:pt idx="63">
                  <c:v>-7.93078458432965E-4</c:v>
                </c:pt>
                <c:pt idx="64">
                  <c:v>-1.64244494134084E-3</c:v>
                </c:pt>
                <c:pt idx="65">
                  <c:v>9.25541970272712E-4</c:v>
                </c:pt>
                <c:pt idx="66">
                  <c:v>1.48840781619449E-3</c:v>
                </c:pt>
                <c:pt idx="67">
                  <c:v>2.3315276434292299E-3</c:v>
                </c:pt>
                <c:pt idx="68">
                  <c:v>8.4378749308253295E-4</c:v>
                </c:pt>
                <c:pt idx="69">
                  <c:v>1.2803353016969099E-3</c:v>
                </c:pt>
                <c:pt idx="70">
                  <c:v>1.0152093962797E-3</c:v>
                </c:pt>
                <c:pt idx="71">
                  <c:v>2.2890325132203398E-3</c:v>
                </c:pt>
                <c:pt idx="72">
                  <c:v>1.7862031024755299E-3</c:v>
                </c:pt>
                <c:pt idx="73">
                  <c:v>9.7432793623207395E-4</c:v>
                </c:pt>
                <c:pt idx="74">
                  <c:v>1.0672219577337199E-3</c:v>
                </c:pt>
                <c:pt idx="75">
                  <c:v>-5.7333327518318102E-4</c:v>
                </c:pt>
                <c:pt idx="76">
                  <c:v>-1.3752879670371301E-3</c:v>
                </c:pt>
                <c:pt idx="77">
                  <c:v>-4.0716926204696998E-4</c:v>
                </c:pt>
                <c:pt idx="78">
                  <c:v>1.21279905084421E-3</c:v>
                </c:pt>
                <c:pt idx="79">
                  <c:v>7.1770995903040703E-4</c:v>
                </c:pt>
                <c:pt idx="80">
                  <c:v>-2.2609459390447701E-4</c:v>
                </c:pt>
                <c:pt idx="81">
                  <c:v>1.3497489309353299E-3</c:v>
                </c:pt>
                <c:pt idx="82">
                  <c:v>2.4008528197355002E-3</c:v>
                </c:pt>
                <c:pt idx="83">
                  <c:v>9.1441068047636096E-4</c:v>
                </c:pt>
                <c:pt idx="84">
                  <c:v>1.9714024534915799E-3</c:v>
                </c:pt>
                <c:pt idx="85">
                  <c:v>1.8634144582060201E-3</c:v>
                </c:pt>
                <c:pt idx="86">
                  <c:v>6.2035775261661203E-4</c:v>
                </c:pt>
                <c:pt idx="87">
                  <c:v>1.20562551199307E-3</c:v>
                </c:pt>
                <c:pt idx="88">
                  <c:v>2.32539652710903E-3</c:v>
                </c:pt>
                <c:pt idx="89">
                  <c:v>3.91190706649554E-4</c:v>
                </c:pt>
                <c:pt idx="90">
                  <c:v>6.8649721492334095E-4</c:v>
                </c:pt>
                <c:pt idx="91">
                  <c:v>-1.68213399896224E-4</c:v>
                </c:pt>
                <c:pt idx="92">
                  <c:v>-2.4928547519703801E-3</c:v>
                </c:pt>
                <c:pt idx="93">
                  <c:v>-2.9245500746250801E-3</c:v>
                </c:pt>
                <c:pt idx="94">
                  <c:v>-2.14754904964716E-3</c:v>
                </c:pt>
                <c:pt idx="95">
                  <c:v>-7.9762920908492603E-4</c:v>
                </c:pt>
                <c:pt idx="96">
                  <c:v>9.1792500601552195E-4</c:v>
                </c:pt>
                <c:pt idx="97">
                  <c:v>6.9837704210563302E-4</c:v>
                </c:pt>
                <c:pt idx="98">
                  <c:v>7.5542129293366695E-4</c:v>
                </c:pt>
                <c:pt idx="99">
                  <c:v>1.42350197654029E-3</c:v>
                </c:pt>
                <c:pt idx="100">
                  <c:v>9.1793478206157904E-4</c:v>
                </c:pt>
                <c:pt idx="101">
                  <c:v>5.3415595727416599E-4</c:v>
                </c:pt>
                <c:pt idx="102">
                  <c:v>-2.25778686760652E-3</c:v>
                </c:pt>
                <c:pt idx="103">
                  <c:v>-6.9380162112006095E-4</c:v>
                </c:pt>
                <c:pt idx="104">
                  <c:v>-2.1937519235330299E-3</c:v>
                </c:pt>
                <c:pt idx="105">
                  <c:v>-2.7168301871452402E-3</c:v>
                </c:pt>
                <c:pt idx="106">
                  <c:v>-1.53230683888111E-3</c:v>
                </c:pt>
                <c:pt idx="107">
                  <c:v>-1.6945522307900099E-3</c:v>
                </c:pt>
                <c:pt idx="108">
                  <c:v>-3.29209709127878E-3</c:v>
                </c:pt>
                <c:pt idx="109">
                  <c:v>-2.8034446859293502E-3</c:v>
                </c:pt>
                <c:pt idx="110">
                  <c:v>6.1743992112802402E-5</c:v>
                </c:pt>
                <c:pt idx="111">
                  <c:v>2.7070232068315798E-4</c:v>
                </c:pt>
                <c:pt idx="112">
                  <c:v>8.3827883587743804E-4</c:v>
                </c:pt>
                <c:pt idx="113">
                  <c:v>8.1150530544923396E-4</c:v>
                </c:pt>
                <c:pt idx="114">
                  <c:v>-2.6591596855943402E-4</c:v>
                </c:pt>
                <c:pt idx="115">
                  <c:v>3.7527015571329499E-4</c:v>
                </c:pt>
                <c:pt idx="116">
                  <c:v>7.9446699091374198E-4</c:v>
                </c:pt>
                <c:pt idx="117">
                  <c:v>7.9155704434461795E-5</c:v>
                </c:pt>
                <c:pt idx="118">
                  <c:v>-9.0511037137191498E-4</c:v>
                </c:pt>
                <c:pt idx="119">
                  <c:v>4.4485129838006603E-5</c:v>
                </c:pt>
                <c:pt idx="120">
                  <c:v>2.1666069086254201E-4</c:v>
                </c:pt>
                <c:pt idx="121">
                  <c:v>1.31056165207652E-3</c:v>
                </c:pt>
                <c:pt idx="122">
                  <c:v>6.7584088920090196E-4</c:v>
                </c:pt>
                <c:pt idx="123">
                  <c:v>-6.2855173481711501E-4</c:v>
                </c:pt>
                <c:pt idx="124">
                  <c:v>9.4382402878038095E-6</c:v>
                </c:pt>
                <c:pt idx="125">
                  <c:v>-1.45116585179231E-3</c:v>
                </c:pt>
                <c:pt idx="126">
                  <c:v>-3.2333540243265702E-3</c:v>
                </c:pt>
                <c:pt idx="127">
                  <c:v>-2.85696662904995E-3</c:v>
                </c:pt>
                <c:pt idx="128">
                  <c:v>-3.0353000755470199E-3</c:v>
                </c:pt>
                <c:pt idx="129">
                  <c:v>-2.55517224651821E-3</c:v>
                </c:pt>
                <c:pt idx="130">
                  <c:v>-3.1614427664782702E-3</c:v>
                </c:pt>
                <c:pt idx="131">
                  <c:v>-2.6761467695918801E-3</c:v>
                </c:pt>
                <c:pt idx="132">
                  <c:v>-3.55961743410667E-3</c:v>
                </c:pt>
                <c:pt idx="133">
                  <c:v>-4.72205479862302E-3</c:v>
                </c:pt>
                <c:pt idx="134">
                  <c:v>-3.80039432011362E-3</c:v>
                </c:pt>
                <c:pt idx="135">
                  <c:v>-3.4034655207592101E-3</c:v>
                </c:pt>
                <c:pt idx="136">
                  <c:v>-1.5418788187563899E-3</c:v>
                </c:pt>
                <c:pt idx="137">
                  <c:v>-1.6160452349794899E-4</c:v>
                </c:pt>
                <c:pt idx="138">
                  <c:v>5.6896809248271202E-4</c:v>
                </c:pt>
                <c:pt idx="139">
                  <c:v>1.6790394707767301E-3</c:v>
                </c:pt>
                <c:pt idx="140">
                  <c:v>1.0857202395779899E-3</c:v>
                </c:pt>
                <c:pt idx="141">
                  <c:v>4.2659324334834301E-4</c:v>
                </c:pt>
                <c:pt idx="142">
                  <c:v>-5.1419071606388601E-4</c:v>
                </c:pt>
                <c:pt idx="143">
                  <c:v>1.5783607686435199E-3</c:v>
                </c:pt>
                <c:pt idx="144">
                  <c:v>9.4043258654989996E-4</c:v>
                </c:pt>
                <c:pt idx="145">
                  <c:v>1.01688574664222E-4</c:v>
                </c:pt>
                <c:pt idx="146">
                  <c:v>3.1068698516110402E-4</c:v>
                </c:pt>
                <c:pt idx="147">
                  <c:v>1.7978208282074499E-4</c:v>
                </c:pt>
                <c:pt idx="148">
                  <c:v>-2.1944178830009499E-3</c:v>
                </c:pt>
                <c:pt idx="149">
                  <c:v>-2.78145902881035E-3</c:v>
                </c:pt>
                <c:pt idx="150">
                  <c:v>-3.2826991431648199E-3</c:v>
                </c:pt>
                <c:pt idx="151">
                  <c:v>-2.2979211864090098E-3</c:v>
                </c:pt>
                <c:pt idx="152">
                  <c:v>-1.9604541891953399E-3</c:v>
                </c:pt>
                <c:pt idx="153">
                  <c:v>-6.6556287530304995E-4</c:v>
                </c:pt>
                <c:pt idx="154">
                  <c:v>-6.0230454073985395E-4</c:v>
                </c:pt>
                <c:pt idx="155">
                  <c:v>-3.0198887573099097E-4</c:v>
                </c:pt>
                <c:pt idx="156">
                  <c:v>4.7175668268405597E-4</c:v>
                </c:pt>
                <c:pt idx="157">
                  <c:v>-1.34721654915505E-3</c:v>
                </c:pt>
                <c:pt idx="158">
                  <c:v>-1.18744061200404E-3</c:v>
                </c:pt>
                <c:pt idx="159">
                  <c:v>-3.7168816841461698E-3</c:v>
                </c:pt>
                <c:pt idx="160">
                  <c:v>-2.5997571306652298E-3</c:v>
                </c:pt>
                <c:pt idx="161">
                  <c:v>-4.4153457162404399E-4</c:v>
                </c:pt>
                <c:pt idx="162">
                  <c:v>3.0331488899726198E-4</c:v>
                </c:pt>
                <c:pt idx="163">
                  <c:v>4.5440767409752703E-4</c:v>
                </c:pt>
                <c:pt idx="164">
                  <c:v>-1.00396907722174E-3</c:v>
                </c:pt>
                <c:pt idx="165">
                  <c:v>-2.6088290328090602E-3</c:v>
                </c:pt>
                <c:pt idx="166">
                  <c:v>-1.8281779302265599E-3</c:v>
                </c:pt>
                <c:pt idx="167">
                  <c:v>-9.8363460292028395E-4</c:v>
                </c:pt>
                <c:pt idx="168">
                  <c:v>-1.1316381552865099E-3</c:v>
                </c:pt>
                <c:pt idx="169">
                  <c:v>-6.4112028907838104E-4</c:v>
                </c:pt>
                <c:pt idx="170">
                  <c:v>8.8131334206533098E-6</c:v>
                </c:pt>
                <c:pt idx="171">
                  <c:v>-6.6351248001429795E-4</c:v>
                </c:pt>
                <c:pt idx="172">
                  <c:v>-1.1010023561624999E-3</c:v>
                </c:pt>
                <c:pt idx="173">
                  <c:v>-1.43517805512668E-3</c:v>
                </c:pt>
                <c:pt idx="174">
                  <c:v>-3.0117315771777601E-3</c:v>
                </c:pt>
                <c:pt idx="175">
                  <c:v>-4.0485032283270597E-3</c:v>
                </c:pt>
                <c:pt idx="176">
                  <c:v>-2.7070103377450001E-3</c:v>
                </c:pt>
                <c:pt idx="177">
                  <c:v>-1.5352079633055499E-3</c:v>
                </c:pt>
                <c:pt idx="178">
                  <c:v>-2.2766472519265501E-3</c:v>
                </c:pt>
                <c:pt idx="179">
                  <c:v>-1.55048226622794E-3</c:v>
                </c:pt>
                <c:pt idx="180">
                  <c:v>-2.3938688588610998E-3</c:v>
                </c:pt>
                <c:pt idx="181">
                  <c:v>-4.8352458486167899E-3</c:v>
                </c:pt>
                <c:pt idx="182">
                  <c:v>-6.3506774616164403E-3</c:v>
                </c:pt>
                <c:pt idx="183">
                  <c:v>-4.7463471021117701E-3</c:v>
                </c:pt>
                <c:pt idx="184">
                  <c:v>-4.4818311063568404E-3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83-4847-AB6D-F03FB67B4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IDU*/XLU*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Sheet1!$Y$2:$Y$186</c:f>
              <c:numCache>
                <c:formatCode>_(* #,##0.0000_);_(* \(#,##0.0000\);_(* "-"??_);_(@_)</c:formatCode>
                <c:ptCount val="185"/>
                <c:pt idx="0">
                  <c:v>2.5351085643703399</c:v>
                </c:pt>
                <c:pt idx="1">
                  <c:v>2.5351085643703399</c:v>
                </c:pt>
                <c:pt idx="2">
                  <c:v>2.5351085643703399</c:v>
                </c:pt>
                <c:pt idx="3">
                  <c:v>2.5351085643703399</c:v>
                </c:pt>
                <c:pt idx="4">
                  <c:v>2.5351085643703399</c:v>
                </c:pt>
                <c:pt idx="5">
                  <c:v>2.5351085643703399</c:v>
                </c:pt>
                <c:pt idx="6">
                  <c:v>2.5351085643703399</c:v>
                </c:pt>
                <c:pt idx="7">
                  <c:v>2.5351085643703399</c:v>
                </c:pt>
                <c:pt idx="8">
                  <c:v>2.5351085643703399</c:v>
                </c:pt>
                <c:pt idx="9">
                  <c:v>2.5351085643703399</c:v>
                </c:pt>
                <c:pt idx="10">
                  <c:v>2.5351085643703399</c:v>
                </c:pt>
                <c:pt idx="11">
                  <c:v>2.5351085643703399</c:v>
                </c:pt>
                <c:pt idx="12">
                  <c:v>2.5351085643703399</c:v>
                </c:pt>
                <c:pt idx="13">
                  <c:v>2.5351085643703399</c:v>
                </c:pt>
                <c:pt idx="14">
                  <c:v>2.5351085643703399</c:v>
                </c:pt>
                <c:pt idx="15">
                  <c:v>2.5351085643703399</c:v>
                </c:pt>
                <c:pt idx="16">
                  <c:v>2.5351085643703399</c:v>
                </c:pt>
                <c:pt idx="17">
                  <c:v>2.5351085643703399</c:v>
                </c:pt>
                <c:pt idx="18">
                  <c:v>2.5351085643703399</c:v>
                </c:pt>
                <c:pt idx="19">
                  <c:v>2.5351085643703399</c:v>
                </c:pt>
                <c:pt idx="20">
                  <c:v>2.5351085643703399</c:v>
                </c:pt>
                <c:pt idx="21">
                  <c:v>2.5351085643703399</c:v>
                </c:pt>
                <c:pt idx="22">
                  <c:v>2.5351085643703399</c:v>
                </c:pt>
                <c:pt idx="23">
                  <c:v>2.5351085643703399</c:v>
                </c:pt>
                <c:pt idx="24">
                  <c:v>2.5351085643703399</c:v>
                </c:pt>
                <c:pt idx="25">
                  <c:v>2.5351085643703399</c:v>
                </c:pt>
                <c:pt idx="26">
                  <c:v>2.5351085643703399</c:v>
                </c:pt>
                <c:pt idx="27">
                  <c:v>2.5351085643703399</c:v>
                </c:pt>
                <c:pt idx="28">
                  <c:v>2.5351085643703399</c:v>
                </c:pt>
                <c:pt idx="29">
                  <c:v>2.5351085643703399</c:v>
                </c:pt>
                <c:pt idx="30">
                  <c:v>2.5351085643703399</c:v>
                </c:pt>
                <c:pt idx="31">
                  <c:v>2.5351085643703399</c:v>
                </c:pt>
                <c:pt idx="32">
                  <c:v>2.5351085643703399</c:v>
                </c:pt>
                <c:pt idx="33">
                  <c:v>2.5351085643703399</c:v>
                </c:pt>
                <c:pt idx="34">
                  <c:v>2.5351085643703399</c:v>
                </c:pt>
                <c:pt idx="35">
                  <c:v>2.5351085643703399</c:v>
                </c:pt>
                <c:pt idx="36">
                  <c:v>2.5351085643703399</c:v>
                </c:pt>
                <c:pt idx="37">
                  <c:v>2.5351085643703399</c:v>
                </c:pt>
                <c:pt idx="38">
                  <c:v>2.5351085643703399</c:v>
                </c:pt>
                <c:pt idx="39">
                  <c:v>2.5351085643703399</c:v>
                </c:pt>
                <c:pt idx="40">
                  <c:v>2.5351085643703399</c:v>
                </c:pt>
                <c:pt idx="41">
                  <c:v>2.5351085643703399</c:v>
                </c:pt>
                <c:pt idx="42">
                  <c:v>2.5351085643703399</c:v>
                </c:pt>
                <c:pt idx="43">
                  <c:v>2.5351085643703399</c:v>
                </c:pt>
                <c:pt idx="44">
                  <c:v>2.5351085643703399</c:v>
                </c:pt>
                <c:pt idx="45">
                  <c:v>2.5351085643703399</c:v>
                </c:pt>
                <c:pt idx="46">
                  <c:v>2.5351085643703399</c:v>
                </c:pt>
                <c:pt idx="47">
                  <c:v>2.5351085643703399</c:v>
                </c:pt>
                <c:pt idx="48">
                  <c:v>2.5351085643703399</c:v>
                </c:pt>
                <c:pt idx="49">
                  <c:v>2.5351085643703399</c:v>
                </c:pt>
                <c:pt idx="50">
                  <c:v>2.5351085643703399</c:v>
                </c:pt>
                <c:pt idx="51">
                  <c:v>2.5351085643703399</c:v>
                </c:pt>
                <c:pt idx="52">
                  <c:v>2.5351085643703399</c:v>
                </c:pt>
                <c:pt idx="53">
                  <c:v>2.5351085643703399</c:v>
                </c:pt>
                <c:pt idx="54">
                  <c:v>2.5351085643703399</c:v>
                </c:pt>
                <c:pt idx="55">
                  <c:v>2.5351085643703399</c:v>
                </c:pt>
                <c:pt idx="56">
                  <c:v>2.5351085643703399</c:v>
                </c:pt>
                <c:pt idx="57">
                  <c:v>2.5351085643703399</c:v>
                </c:pt>
                <c:pt idx="58">
                  <c:v>2.5351085643703399</c:v>
                </c:pt>
                <c:pt idx="59">
                  <c:v>2.5351085643703399</c:v>
                </c:pt>
                <c:pt idx="60">
                  <c:v>2.5351085643703399</c:v>
                </c:pt>
                <c:pt idx="61">
                  <c:v>2.5351085643703399</c:v>
                </c:pt>
                <c:pt idx="62">
                  <c:v>2.5351085643703399</c:v>
                </c:pt>
                <c:pt idx="63">
                  <c:v>2.5351085643703399</c:v>
                </c:pt>
                <c:pt idx="64">
                  <c:v>2.5351085643703399</c:v>
                </c:pt>
                <c:pt idx="65">
                  <c:v>2.5351085643703399</c:v>
                </c:pt>
                <c:pt idx="66">
                  <c:v>2.5351085643703399</c:v>
                </c:pt>
                <c:pt idx="67">
                  <c:v>2.5351085643703399</c:v>
                </c:pt>
                <c:pt idx="68">
                  <c:v>2.5351085643703399</c:v>
                </c:pt>
                <c:pt idx="69">
                  <c:v>2.5351085643703399</c:v>
                </c:pt>
                <c:pt idx="70">
                  <c:v>2.5351085643703399</c:v>
                </c:pt>
                <c:pt idx="71">
                  <c:v>2.5351085643703399</c:v>
                </c:pt>
                <c:pt idx="72">
                  <c:v>2.5351085643703399</c:v>
                </c:pt>
                <c:pt idx="73">
                  <c:v>2.5351085643703399</c:v>
                </c:pt>
                <c:pt idx="74">
                  <c:v>2.5351085643703399</c:v>
                </c:pt>
                <c:pt idx="75">
                  <c:v>2.5351085643703399</c:v>
                </c:pt>
                <c:pt idx="76">
                  <c:v>2.5351085643703399</c:v>
                </c:pt>
                <c:pt idx="77">
                  <c:v>2.5351085643703399</c:v>
                </c:pt>
                <c:pt idx="78">
                  <c:v>2.5351085643703399</c:v>
                </c:pt>
                <c:pt idx="79">
                  <c:v>2.5351085643703399</c:v>
                </c:pt>
                <c:pt idx="80">
                  <c:v>2.5351085643703399</c:v>
                </c:pt>
                <c:pt idx="81">
                  <c:v>2.5351085643703399</c:v>
                </c:pt>
                <c:pt idx="82">
                  <c:v>2.5351085643703399</c:v>
                </c:pt>
                <c:pt idx="83">
                  <c:v>2.5351085643703399</c:v>
                </c:pt>
                <c:pt idx="84">
                  <c:v>2.5351085643703399</c:v>
                </c:pt>
                <c:pt idx="85">
                  <c:v>2.5351085643703399</c:v>
                </c:pt>
                <c:pt idx="86">
                  <c:v>2.5351085643703399</c:v>
                </c:pt>
                <c:pt idx="87">
                  <c:v>2.5351085643703399</c:v>
                </c:pt>
                <c:pt idx="88">
                  <c:v>2.5351085643703399</c:v>
                </c:pt>
                <c:pt idx="89">
                  <c:v>2.5351085643703399</c:v>
                </c:pt>
                <c:pt idx="90">
                  <c:v>2.5351085643703399</c:v>
                </c:pt>
                <c:pt idx="91">
                  <c:v>2.5351085643703399</c:v>
                </c:pt>
                <c:pt idx="92">
                  <c:v>2.5351085643703399</c:v>
                </c:pt>
                <c:pt idx="93">
                  <c:v>2.5351085643703399</c:v>
                </c:pt>
                <c:pt idx="94">
                  <c:v>2.5351085643703399</c:v>
                </c:pt>
                <c:pt idx="95">
                  <c:v>2.5351085643703399</c:v>
                </c:pt>
                <c:pt idx="96">
                  <c:v>2.5351085643703399</c:v>
                </c:pt>
                <c:pt idx="97">
                  <c:v>2.5351085643703399</c:v>
                </c:pt>
                <c:pt idx="98">
                  <c:v>2.5351085643703399</c:v>
                </c:pt>
                <c:pt idx="99">
                  <c:v>2.5351085643703399</c:v>
                </c:pt>
                <c:pt idx="100">
                  <c:v>2.5351085643703399</c:v>
                </c:pt>
                <c:pt idx="101">
                  <c:v>2.5351085643703399</c:v>
                </c:pt>
                <c:pt idx="102">
                  <c:v>2.5351085643703399</c:v>
                </c:pt>
                <c:pt idx="103">
                  <c:v>2.5351085643703399</c:v>
                </c:pt>
                <c:pt idx="104">
                  <c:v>2.5351085643703399</c:v>
                </c:pt>
                <c:pt idx="105">
                  <c:v>2.5351085643703399</c:v>
                </c:pt>
                <c:pt idx="106">
                  <c:v>2.5351085643703399</c:v>
                </c:pt>
                <c:pt idx="107">
                  <c:v>2.5351085643703399</c:v>
                </c:pt>
                <c:pt idx="108">
                  <c:v>2.5351085643703399</c:v>
                </c:pt>
                <c:pt idx="109">
                  <c:v>2.5351085643703399</c:v>
                </c:pt>
                <c:pt idx="110">
                  <c:v>2.5351085643703399</c:v>
                </c:pt>
                <c:pt idx="111">
                  <c:v>2.5351085643703399</c:v>
                </c:pt>
                <c:pt idx="112">
                  <c:v>2.5351085643703399</c:v>
                </c:pt>
                <c:pt idx="113">
                  <c:v>2.5351085643703399</c:v>
                </c:pt>
                <c:pt idx="114">
                  <c:v>2.5351085643703399</c:v>
                </c:pt>
                <c:pt idx="115">
                  <c:v>2.5351085643703399</c:v>
                </c:pt>
                <c:pt idx="116">
                  <c:v>2.5351085643703399</c:v>
                </c:pt>
                <c:pt idx="117">
                  <c:v>2.5351085643703399</c:v>
                </c:pt>
                <c:pt idx="118">
                  <c:v>2.5351085643703399</c:v>
                </c:pt>
                <c:pt idx="119">
                  <c:v>2.5351085643703399</c:v>
                </c:pt>
                <c:pt idx="120">
                  <c:v>2.5351085643703399</c:v>
                </c:pt>
                <c:pt idx="121">
                  <c:v>2.5351085643703399</c:v>
                </c:pt>
                <c:pt idx="122">
                  <c:v>2.5351085643703399</c:v>
                </c:pt>
                <c:pt idx="123">
                  <c:v>2.5351085643703399</c:v>
                </c:pt>
                <c:pt idx="124">
                  <c:v>2.5351085643703399</c:v>
                </c:pt>
                <c:pt idx="125">
                  <c:v>2.5351085643703399</c:v>
                </c:pt>
                <c:pt idx="126">
                  <c:v>2.5351085643703399</c:v>
                </c:pt>
                <c:pt idx="127">
                  <c:v>2.5351085643703399</c:v>
                </c:pt>
                <c:pt idx="128">
                  <c:v>2.5351085643703399</c:v>
                </c:pt>
                <c:pt idx="129">
                  <c:v>2.5351085643703399</c:v>
                </c:pt>
                <c:pt idx="130">
                  <c:v>2.5351085643703399</c:v>
                </c:pt>
                <c:pt idx="131">
                  <c:v>2.5351085643703399</c:v>
                </c:pt>
                <c:pt idx="132">
                  <c:v>2.5351085643703399</c:v>
                </c:pt>
                <c:pt idx="133">
                  <c:v>2.5351085643703399</c:v>
                </c:pt>
                <c:pt idx="134">
                  <c:v>2.5351085643703399</c:v>
                </c:pt>
                <c:pt idx="135">
                  <c:v>2.5351085643703399</c:v>
                </c:pt>
                <c:pt idx="136">
                  <c:v>2.5351085643703399</c:v>
                </c:pt>
                <c:pt idx="137">
                  <c:v>2.5351085643703399</c:v>
                </c:pt>
                <c:pt idx="138">
                  <c:v>2.5351085643703399</c:v>
                </c:pt>
                <c:pt idx="139">
                  <c:v>2.5351085643703399</c:v>
                </c:pt>
                <c:pt idx="140">
                  <c:v>2.5351085643703399</c:v>
                </c:pt>
                <c:pt idx="141">
                  <c:v>2.5351085643703399</c:v>
                </c:pt>
                <c:pt idx="142">
                  <c:v>2.5351085643703399</c:v>
                </c:pt>
                <c:pt idx="143">
                  <c:v>2.5351085643703399</c:v>
                </c:pt>
                <c:pt idx="144">
                  <c:v>2.5351085643703399</c:v>
                </c:pt>
                <c:pt idx="145">
                  <c:v>2.5351085643703399</c:v>
                </c:pt>
                <c:pt idx="146">
                  <c:v>2.5351085643703399</c:v>
                </c:pt>
                <c:pt idx="147">
                  <c:v>2.5351085643703399</c:v>
                </c:pt>
                <c:pt idx="148">
                  <c:v>2.5351085643703399</c:v>
                </c:pt>
                <c:pt idx="149">
                  <c:v>2.5351085643703399</c:v>
                </c:pt>
                <c:pt idx="150">
                  <c:v>2.5351085643703399</c:v>
                </c:pt>
                <c:pt idx="151">
                  <c:v>2.5351085643703399</c:v>
                </c:pt>
                <c:pt idx="152">
                  <c:v>2.5351085643703399</c:v>
                </c:pt>
                <c:pt idx="153">
                  <c:v>2.5351085643703399</c:v>
                </c:pt>
                <c:pt idx="154">
                  <c:v>2.5351085643703399</c:v>
                </c:pt>
                <c:pt idx="155">
                  <c:v>2.5351085643703399</c:v>
                </c:pt>
                <c:pt idx="156">
                  <c:v>2.5351085643703399</c:v>
                </c:pt>
                <c:pt idx="157">
                  <c:v>2.5351085643703399</c:v>
                </c:pt>
                <c:pt idx="158">
                  <c:v>2.5351085643703399</c:v>
                </c:pt>
                <c:pt idx="159">
                  <c:v>2.5351085643703399</c:v>
                </c:pt>
                <c:pt idx="160">
                  <c:v>2.5351085643703399</c:v>
                </c:pt>
                <c:pt idx="161">
                  <c:v>2.5351085643703399</c:v>
                </c:pt>
                <c:pt idx="162">
                  <c:v>2.5351085643703399</c:v>
                </c:pt>
                <c:pt idx="163">
                  <c:v>2.5351085643703399</c:v>
                </c:pt>
                <c:pt idx="164">
                  <c:v>2.5351085643703399</c:v>
                </c:pt>
                <c:pt idx="165">
                  <c:v>2.5351085643703399</c:v>
                </c:pt>
                <c:pt idx="166">
                  <c:v>2.5351085643703399</c:v>
                </c:pt>
                <c:pt idx="167">
                  <c:v>2.5351085643703399</c:v>
                </c:pt>
                <c:pt idx="168">
                  <c:v>2.5351085643703399</c:v>
                </c:pt>
                <c:pt idx="169">
                  <c:v>2.5351085643703399</c:v>
                </c:pt>
                <c:pt idx="170">
                  <c:v>2.5351085643703399</c:v>
                </c:pt>
                <c:pt idx="171">
                  <c:v>2.5351085643703399</c:v>
                </c:pt>
                <c:pt idx="172">
                  <c:v>2.5351085643703399</c:v>
                </c:pt>
                <c:pt idx="173">
                  <c:v>2.5351085643703399</c:v>
                </c:pt>
                <c:pt idx="174">
                  <c:v>2.5351085643703399</c:v>
                </c:pt>
                <c:pt idx="175">
                  <c:v>2.5351085643703399</c:v>
                </c:pt>
                <c:pt idx="176">
                  <c:v>2.5351085643703399</c:v>
                </c:pt>
                <c:pt idx="177">
                  <c:v>2.5351085643703399</c:v>
                </c:pt>
                <c:pt idx="178">
                  <c:v>2.5351085643703399</c:v>
                </c:pt>
                <c:pt idx="179">
                  <c:v>2.5351085643703399</c:v>
                </c:pt>
                <c:pt idx="180">
                  <c:v>2.5351085643703399</c:v>
                </c:pt>
                <c:pt idx="181">
                  <c:v>2.5351085643703399</c:v>
                </c:pt>
                <c:pt idx="182">
                  <c:v>2.5351085643703399</c:v>
                </c:pt>
                <c:pt idx="183">
                  <c:v>2.5351085643703399</c:v>
                </c:pt>
                <c:pt idx="184">
                  <c:v>2.5351085643703399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69-4F1B-A78E-07759EB96D4E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IDU*/XLU*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Sheet1!$Z$2:$Z$186</c:f>
              <c:numCache>
                <c:formatCode>_(* #,##0.0000_);_(* \(#,##0.0000\);_(* "-"??_);_(@_)</c:formatCode>
                <c:ptCount val="185"/>
                <c:pt idx="9">
                  <c:v>2.5381380611469</c:v>
                </c:pt>
                <c:pt idx="10">
                  <c:v>2.5382241743541099</c:v>
                </c:pt>
                <c:pt idx="11">
                  <c:v>2.53803770385053</c:v>
                </c:pt>
                <c:pt idx="12">
                  <c:v>2.5387604766179899</c:v>
                </c:pt>
                <c:pt idx="13">
                  <c:v>2.5398080043455198</c:v>
                </c:pt>
                <c:pt idx="14">
                  <c:v>2.54072935466702</c:v>
                </c:pt>
                <c:pt idx="15">
                  <c:v>2.54155855074471</c:v>
                </c:pt>
                <c:pt idx="16">
                  <c:v>2.5421863676308498</c:v>
                </c:pt>
                <c:pt idx="17">
                  <c:v>2.5430452022077499</c:v>
                </c:pt>
                <c:pt idx="18">
                  <c:v>2.5433320099650798</c:v>
                </c:pt>
                <c:pt idx="19">
                  <c:v>2.5433412404936799</c:v>
                </c:pt>
                <c:pt idx="20">
                  <c:v>2.5439129435191501</c:v>
                </c:pt>
                <c:pt idx="21">
                  <c:v>2.5443515116771298</c:v>
                </c:pt>
                <c:pt idx="22">
                  <c:v>2.5439275331946201</c:v>
                </c:pt>
                <c:pt idx="23">
                  <c:v>2.5433144902855802</c:v>
                </c:pt>
                <c:pt idx="24">
                  <c:v>2.5426824712240799</c:v>
                </c:pt>
                <c:pt idx="25">
                  <c:v>2.5424647444538002</c:v>
                </c:pt>
                <c:pt idx="26">
                  <c:v>2.5423309670015501</c:v>
                </c:pt>
                <c:pt idx="27">
                  <c:v>2.5419772506246199</c:v>
                </c:pt>
                <c:pt idx="28">
                  <c:v>2.5417469277651099</c:v>
                </c:pt>
                <c:pt idx="29">
                  <c:v>2.5411197912121799</c:v>
                </c:pt>
                <c:pt idx="30">
                  <c:v>2.5399739409947801</c:v>
                </c:pt>
                <c:pt idx="31">
                  <c:v>2.5392216705589301</c:v>
                </c:pt>
                <c:pt idx="32">
                  <c:v>2.5384279708617701</c:v>
                </c:pt>
                <c:pt idx="33">
                  <c:v>2.5369507593112202</c:v>
                </c:pt>
                <c:pt idx="34">
                  <c:v>2.5351335721308899</c:v>
                </c:pt>
                <c:pt idx="35">
                  <c:v>2.5326699613532901</c:v>
                </c:pt>
                <c:pt idx="36">
                  <c:v>2.5305672647652999</c:v>
                </c:pt>
                <c:pt idx="37">
                  <c:v>2.52909526435004</c:v>
                </c:pt>
                <c:pt idx="38">
                  <c:v>2.5283406929985301</c:v>
                </c:pt>
                <c:pt idx="39">
                  <c:v>2.5283123233348599</c:v>
                </c:pt>
                <c:pt idx="40">
                  <c:v>2.5285104950595101</c:v>
                </c:pt>
                <c:pt idx="41">
                  <c:v>2.52832807261467</c:v>
                </c:pt>
                <c:pt idx="42">
                  <c:v>2.52860468009683</c:v>
                </c:pt>
                <c:pt idx="43">
                  <c:v>2.5291253536780398</c:v>
                </c:pt>
                <c:pt idx="44">
                  <c:v>2.5300234870669698</c:v>
                </c:pt>
                <c:pt idx="45">
                  <c:v>2.5305689469073802</c:v>
                </c:pt>
                <c:pt idx="46">
                  <c:v>2.53145942071452</c:v>
                </c:pt>
                <c:pt idx="47">
                  <c:v>2.5318007900755202</c:v>
                </c:pt>
                <c:pt idx="48">
                  <c:v>2.5317309052070902</c:v>
                </c:pt>
                <c:pt idx="49">
                  <c:v>2.53088148602024</c:v>
                </c:pt>
                <c:pt idx="50">
                  <c:v>2.5300531841993501</c:v>
                </c:pt>
                <c:pt idx="51">
                  <c:v>2.5296657156780999</c:v>
                </c:pt>
                <c:pt idx="52">
                  <c:v>2.52909446670319</c:v>
                </c:pt>
                <c:pt idx="53">
                  <c:v>2.5292441469989</c:v>
                </c:pt>
                <c:pt idx="54">
                  <c:v>2.5291437248234598</c:v>
                </c:pt>
                <c:pt idx="55">
                  <c:v>2.5294876961019801</c:v>
                </c:pt>
                <c:pt idx="56">
                  <c:v>2.52941785093453</c:v>
                </c:pt>
                <c:pt idx="57">
                  <c:v>2.5295970529157001</c:v>
                </c:pt>
                <c:pt idx="58">
                  <c:v>2.5297802276682302</c:v>
                </c:pt>
                <c:pt idx="59">
                  <c:v>2.5304597568057301</c:v>
                </c:pt>
                <c:pt idx="60">
                  <c:v>2.5309600650498201</c:v>
                </c:pt>
                <c:pt idx="61">
                  <c:v>2.53103779146331</c:v>
                </c:pt>
                <c:pt idx="62">
                  <c:v>2.5316510401934398</c:v>
                </c:pt>
                <c:pt idx="63">
                  <c:v>2.5313803859784398</c:v>
                </c:pt>
                <c:pt idx="64">
                  <c:v>2.5315448284661901</c:v>
                </c:pt>
                <c:pt idx="65">
                  <c:v>2.5312735359839298</c:v>
                </c:pt>
                <c:pt idx="66">
                  <c:v>2.5309186793198202</c:v>
                </c:pt>
                <c:pt idx="67">
                  <c:v>2.5300703011008099</c:v>
                </c:pt>
                <c:pt idx="68">
                  <c:v>2.5298462169852902</c:v>
                </c:pt>
                <c:pt idx="69">
                  <c:v>2.52943328807158</c:v>
                </c:pt>
                <c:pt idx="70">
                  <c:v>2.52915314136852</c:v>
                </c:pt>
                <c:pt idx="71">
                  <c:v>2.5286850753465799</c:v>
                </c:pt>
                <c:pt idx="72">
                  <c:v>2.5277022578922899</c:v>
                </c:pt>
                <c:pt idx="73">
                  <c:v>2.5271855360126998</c:v>
                </c:pt>
                <c:pt idx="74">
                  <c:v>2.52639688748192</c:v>
                </c:pt>
                <c:pt idx="75">
                  <c:v>2.5266386671402801</c:v>
                </c:pt>
                <c:pt idx="76">
                  <c:v>2.5272206029397299</c:v>
                </c:pt>
                <c:pt idx="77">
                  <c:v>2.5278029660061101</c:v>
                </c:pt>
                <c:pt idx="78">
                  <c:v>2.52762011254663</c:v>
                </c:pt>
                <c:pt idx="79">
                  <c:v>2.52765437586095</c:v>
                </c:pt>
                <c:pt idx="80">
                  <c:v>2.5278279945038702</c:v>
                </c:pt>
                <c:pt idx="81">
                  <c:v>2.5279088143067998</c:v>
                </c:pt>
                <c:pt idx="82">
                  <c:v>2.5275975679438001</c:v>
                </c:pt>
                <c:pt idx="83">
                  <c:v>2.52741022239463</c:v>
                </c:pt>
                <c:pt idx="84">
                  <c:v>2.5269837595215301</c:v>
                </c:pt>
                <c:pt idx="85">
                  <c:v>2.5261402814595</c:v>
                </c:pt>
                <c:pt idx="86">
                  <c:v>2.5253788972420601</c:v>
                </c:pt>
                <c:pt idx="87">
                  <c:v>2.5246945176153299</c:v>
                </c:pt>
                <c:pt idx="88">
                  <c:v>2.5241454812191599</c:v>
                </c:pt>
                <c:pt idx="89">
                  <c:v>2.5239430781522301</c:v>
                </c:pt>
                <c:pt idx="90">
                  <c:v>2.5234380563088399</c:v>
                </c:pt>
                <c:pt idx="91">
                  <c:v>2.5235358426857801</c:v>
                </c:pt>
                <c:pt idx="92">
                  <c:v>2.5245150711796902</c:v>
                </c:pt>
                <c:pt idx="93">
                  <c:v>2.5253265763504</c:v>
                </c:pt>
                <c:pt idx="94">
                  <c:v>2.52627450270495</c:v>
                </c:pt>
                <c:pt idx="95">
                  <c:v>2.5269403839079998</c:v>
                </c:pt>
                <c:pt idx="96">
                  <c:v>2.5268803366266699</c:v>
                </c:pt>
                <c:pt idx="97">
                  <c:v>2.5269913594209599</c:v>
                </c:pt>
                <c:pt idx="98">
                  <c:v>2.5273468140933901</c:v>
                </c:pt>
                <c:pt idx="99">
                  <c:v>2.5270726553526099</c:v>
                </c:pt>
                <c:pt idx="100">
                  <c:v>2.5269851864185502</c:v>
                </c:pt>
                <c:pt idx="101">
                  <c:v>2.5267657082445298</c:v>
                </c:pt>
                <c:pt idx="102">
                  <c:v>2.5266489109363102</c:v>
                </c:pt>
                <c:pt idx="103">
                  <c:v>2.5260369250329799</c:v>
                </c:pt>
                <c:pt idx="104">
                  <c:v>2.5259798072784601</c:v>
                </c:pt>
                <c:pt idx="105">
                  <c:v>2.52641523693597</c:v>
                </c:pt>
                <c:pt idx="106">
                  <c:v>2.5270482571038202</c:v>
                </c:pt>
                <c:pt idx="107">
                  <c:v>2.5277366529141898</c:v>
                </c:pt>
                <c:pt idx="108">
                  <c:v>2.52891289902088</c:v>
                </c:pt>
                <c:pt idx="109">
                  <c:v>2.53022029620942</c:v>
                </c:pt>
                <c:pt idx="110">
                  <c:v>2.5307502635051602</c:v>
                </c:pt>
                <c:pt idx="111">
                  <c:v>2.5311822757582001</c:v>
                </c:pt>
                <c:pt idx="112">
                  <c:v>2.5307819183853102</c:v>
                </c:pt>
                <c:pt idx="113">
                  <c:v>2.5307148513008801</c:v>
                </c:pt>
                <c:pt idx="114">
                  <c:v>2.5304968274280402</c:v>
                </c:pt>
                <c:pt idx="115">
                  <c:v>2.5299258452413498</c:v>
                </c:pt>
                <c:pt idx="116">
                  <c:v>2.5294868819210299</c:v>
                </c:pt>
                <c:pt idx="117">
                  <c:v>2.5291686269842701</c:v>
                </c:pt>
                <c:pt idx="118">
                  <c:v>2.52867304299322</c:v>
                </c:pt>
                <c:pt idx="119">
                  <c:v>2.5280183637030502</c:v>
                </c:pt>
                <c:pt idx="120">
                  <c:v>2.5280264713728999</c:v>
                </c:pt>
                <c:pt idx="121">
                  <c:v>2.5278157085775899</c:v>
                </c:pt>
                <c:pt idx="122">
                  <c:v>2.5279092221705199</c:v>
                </c:pt>
                <c:pt idx="123">
                  <c:v>2.5283363935185599</c:v>
                </c:pt>
                <c:pt idx="124">
                  <c:v>2.5283817370346902</c:v>
                </c:pt>
                <c:pt idx="125">
                  <c:v>2.5289640230161399</c:v>
                </c:pt>
                <c:pt idx="126">
                  <c:v>2.53011142009517</c:v>
                </c:pt>
                <c:pt idx="127">
                  <c:v>2.5310083787356401</c:v>
                </c:pt>
                <c:pt idx="128">
                  <c:v>2.5317121330097501</c:v>
                </c:pt>
                <c:pt idx="129">
                  <c:v>2.5325106782886002</c:v>
                </c:pt>
                <c:pt idx="130">
                  <c:v>2.53348118197564</c:v>
                </c:pt>
                <c:pt idx="131">
                  <c:v>2.53462717662297</c:v>
                </c:pt>
                <c:pt idx="132">
                  <c:v>2.53587294133705</c:v>
                </c:pt>
                <c:pt idx="133">
                  <c:v>2.5371668601270199</c:v>
                </c:pt>
                <c:pt idx="134">
                  <c:v>2.5384562248192202</c:v>
                </c:pt>
                <c:pt idx="135">
                  <c:v>2.53935057401771</c:v>
                </c:pt>
                <c:pt idx="136">
                  <c:v>2.5393936654557399</c:v>
                </c:pt>
                <c:pt idx="137">
                  <c:v>2.5392061820873302</c:v>
                </c:pt>
                <c:pt idx="138">
                  <c:v>2.5387947368995398</c:v>
                </c:pt>
                <c:pt idx="139">
                  <c:v>2.5382281652410801</c:v>
                </c:pt>
                <c:pt idx="140">
                  <c:v>2.5376623400629201</c:v>
                </c:pt>
                <c:pt idx="141">
                  <c:v>2.5373578168779098</c:v>
                </c:pt>
                <c:pt idx="142">
                  <c:v>2.5370627306614399</c:v>
                </c:pt>
                <c:pt idx="143">
                  <c:v>2.5359219756610001</c:v>
                </c:pt>
                <c:pt idx="144">
                  <c:v>2.5350984451627898</c:v>
                </c:pt>
                <c:pt idx="145">
                  <c:v>2.5345447763696498</c:v>
                </c:pt>
                <c:pt idx="146">
                  <c:v>2.5343539688825798</c:v>
                </c:pt>
                <c:pt idx="147">
                  <c:v>2.5344795259178801</c:v>
                </c:pt>
                <c:pt idx="148">
                  <c:v>2.5353545823503501</c:v>
                </c:pt>
                <c:pt idx="149">
                  <c:v>2.5366686859480501</c:v>
                </c:pt>
                <c:pt idx="150">
                  <c:v>2.53798604380763</c:v>
                </c:pt>
                <c:pt idx="151">
                  <c:v>2.5389032721622198</c:v>
                </c:pt>
                <c:pt idx="152">
                  <c:v>2.5394847219636798</c:v>
                </c:pt>
                <c:pt idx="153">
                  <c:v>2.5402343356560801</c:v>
                </c:pt>
                <c:pt idx="154">
                  <c:v>2.5407790578488298</c:v>
                </c:pt>
                <c:pt idx="155">
                  <c:v>2.5409976488167598</c:v>
                </c:pt>
                <c:pt idx="156">
                  <c:v>2.5410391171586202</c:v>
                </c:pt>
                <c:pt idx="157">
                  <c:v>2.5415091071664899</c:v>
                </c:pt>
                <c:pt idx="158">
                  <c:v>2.5413685035902098</c:v>
                </c:pt>
                <c:pt idx="159">
                  <c:v>2.5417357672135101</c:v>
                </c:pt>
                <c:pt idx="160">
                  <c:v>2.5417378003895799</c:v>
                </c:pt>
                <c:pt idx="161">
                  <c:v>2.5414698992988098</c:v>
                </c:pt>
                <c:pt idx="162">
                  <c:v>2.5411003905274399</c:v>
                </c:pt>
                <c:pt idx="163">
                  <c:v>2.5410178725924699</c:v>
                </c:pt>
                <c:pt idx="164">
                  <c:v>2.5413749508820702</c:v>
                </c:pt>
                <c:pt idx="165">
                  <c:v>2.5422759106931099</c:v>
                </c:pt>
                <c:pt idx="166">
                  <c:v>2.5432472416499898</c:v>
                </c:pt>
                <c:pt idx="167">
                  <c:v>2.5435999692328601</c:v>
                </c:pt>
                <c:pt idx="168">
                  <c:v>2.5440423286793399</c:v>
                </c:pt>
                <c:pt idx="169">
                  <c:v>2.54369455174026</c:v>
                </c:pt>
                <c:pt idx="170">
                  <c:v>2.5433826143673599</c:v>
                </c:pt>
                <c:pt idx="171">
                  <c:v>2.5437090324726901</c:v>
                </c:pt>
                <c:pt idx="172">
                  <c:v>2.54430645030875</c:v>
                </c:pt>
                <c:pt idx="173">
                  <c:v>2.5450281285515701</c:v>
                </c:pt>
                <c:pt idx="174">
                  <c:v>2.5457796638611501</c:v>
                </c:pt>
                <c:pt idx="175">
                  <c:v>2.5463977605555002</c:v>
                </c:pt>
                <c:pt idx="176">
                  <c:v>2.5468923724058001</c:v>
                </c:pt>
                <c:pt idx="177">
                  <c:v>2.5473258793633899</c:v>
                </c:pt>
                <c:pt idx="178">
                  <c:v>2.54790900222907</c:v>
                </c:pt>
                <c:pt idx="179">
                  <c:v>2.5484680120854701</c:v>
                </c:pt>
                <c:pt idx="180">
                  <c:v>2.5494170938294598</c:v>
                </c:pt>
                <c:pt idx="181">
                  <c:v>2.55086652890488</c:v>
                </c:pt>
                <c:pt idx="182">
                  <c:v>2.5526791144695902</c:v>
                </c:pt>
                <c:pt idx="183">
                  <c:v>2.5541053437399301</c:v>
                </c:pt>
                <c:pt idx="184">
                  <c:v>2.5551379097568598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69-4F1B-A78E-07759EB96D4E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IDU*/XLU*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Sheet1!$AA$2:$AA$186</c:f>
              <c:numCache>
                <c:formatCode>_(* #,##0.0000_);_(* \(#,##0.0000\);_(* "-"??_);_(@_)</c:formatCode>
                <c:ptCount val="185"/>
                <c:pt idx="19">
                  <c:v>2.54073965082029</c:v>
                </c:pt>
                <c:pt idx="20">
                  <c:v>2.54106855893663</c:v>
                </c:pt>
                <c:pt idx="21">
                  <c:v>2.5411946077638299</c:v>
                </c:pt>
                <c:pt idx="22">
                  <c:v>2.5413440049062999</c:v>
                </c:pt>
                <c:pt idx="23">
                  <c:v>2.54156124731555</c:v>
                </c:pt>
                <c:pt idx="24">
                  <c:v>2.5417059129455501</c:v>
                </c:pt>
                <c:pt idx="25">
                  <c:v>2.5420116475992498</c:v>
                </c:pt>
                <c:pt idx="26">
                  <c:v>2.5422586673162</c:v>
                </c:pt>
                <c:pt idx="27">
                  <c:v>2.54251122641619</c:v>
                </c:pt>
                <c:pt idx="28">
                  <c:v>2.54253946886509</c:v>
                </c:pt>
                <c:pt idx="29">
                  <c:v>2.5422305158529301</c:v>
                </c:pt>
                <c:pt idx="30">
                  <c:v>2.54194344225697</c:v>
                </c:pt>
                <c:pt idx="31">
                  <c:v>2.5417865911180302</c:v>
                </c:pt>
                <c:pt idx="32">
                  <c:v>2.5411777520281902</c:v>
                </c:pt>
                <c:pt idx="33">
                  <c:v>2.5401326247984</c:v>
                </c:pt>
                <c:pt idx="34">
                  <c:v>2.5389080216774902</c:v>
                </c:pt>
                <c:pt idx="35">
                  <c:v>2.5375673529035399</c:v>
                </c:pt>
                <c:pt idx="36">
                  <c:v>2.5364491158834199</c:v>
                </c:pt>
                <c:pt idx="37">
                  <c:v>2.5355362574873301</c:v>
                </c:pt>
                <c:pt idx="38">
                  <c:v>2.5350438103818198</c:v>
                </c:pt>
                <c:pt idx="39">
                  <c:v>2.5347160572735201</c:v>
                </c:pt>
                <c:pt idx="40">
                  <c:v>2.53424221802715</c:v>
                </c:pt>
                <c:pt idx="41">
                  <c:v>2.5337748715867998</c:v>
                </c:pt>
                <c:pt idx="42">
                  <c:v>2.5335163254793001</c:v>
                </c:pt>
                <c:pt idx="43">
                  <c:v>2.5330380564946302</c:v>
                </c:pt>
                <c:pt idx="44">
                  <c:v>2.53257852959893</c:v>
                </c:pt>
                <c:pt idx="45">
                  <c:v>2.5316194541303401</c:v>
                </c:pt>
                <c:pt idx="46">
                  <c:v>2.53101334273991</c:v>
                </c:pt>
                <c:pt idx="47">
                  <c:v>2.5304480272127798</c:v>
                </c:pt>
                <c:pt idx="48">
                  <c:v>2.53003579910281</c:v>
                </c:pt>
                <c:pt idx="49">
                  <c:v>2.5295969046775499</c:v>
                </c:pt>
                <c:pt idx="50">
                  <c:v>2.5292818396294301</c:v>
                </c:pt>
                <c:pt idx="51">
                  <c:v>2.5289968941463798</c:v>
                </c:pt>
                <c:pt idx="52">
                  <c:v>2.5288495734000098</c:v>
                </c:pt>
                <c:pt idx="53">
                  <c:v>2.5291847503384699</c:v>
                </c:pt>
                <c:pt idx="54">
                  <c:v>2.5295836059452199</c:v>
                </c:pt>
                <c:pt idx="55">
                  <c:v>2.5300283215046799</c:v>
                </c:pt>
                <c:pt idx="56">
                  <c:v>2.5304386358245301</c:v>
                </c:pt>
                <c:pt idx="57">
                  <c:v>2.5306989214956102</c:v>
                </c:pt>
                <c:pt idx="58">
                  <c:v>2.53075556643766</c:v>
                </c:pt>
                <c:pt idx="59">
                  <c:v>2.5306706214129799</c:v>
                </c:pt>
                <c:pt idx="60">
                  <c:v>2.5305066246245902</c:v>
                </c:pt>
                <c:pt idx="61">
                  <c:v>2.5303517535707098</c:v>
                </c:pt>
                <c:pt idx="62">
                  <c:v>2.5303727534483098</c:v>
                </c:pt>
                <c:pt idx="63">
                  <c:v>2.5303122664886701</c:v>
                </c:pt>
                <c:pt idx="64">
                  <c:v>2.5303442766448199</c:v>
                </c:pt>
                <c:pt idx="65">
                  <c:v>2.5303806160429598</c:v>
                </c:pt>
                <c:pt idx="66">
                  <c:v>2.53016826512718</c:v>
                </c:pt>
                <c:pt idx="67">
                  <c:v>2.5298336770082601</c:v>
                </c:pt>
                <c:pt idx="68">
                  <c:v>2.52981322232676</c:v>
                </c:pt>
                <c:pt idx="69">
                  <c:v>2.5299465224386499</c:v>
                </c:pt>
                <c:pt idx="70">
                  <c:v>2.5300566032091698</c:v>
                </c:pt>
                <c:pt idx="71">
                  <c:v>2.5298614334049501</c:v>
                </c:pt>
                <c:pt idx="72">
                  <c:v>2.5296766490428602</c:v>
                </c:pt>
                <c:pt idx="73">
                  <c:v>2.52928296099557</c:v>
                </c:pt>
                <c:pt idx="74">
                  <c:v>2.5289708579740502</c:v>
                </c:pt>
                <c:pt idx="75">
                  <c:v>2.5289561015621098</c:v>
                </c:pt>
                <c:pt idx="76">
                  <c:v>2.5290696411297802</c:v>
                </c:pt>
                <c:pt idx="77">
                  <c:v>2.5289366335534602</c:v>
                </c:pt>
                <c:pt idx="78">
                  <c:v>2.5287331647659599</c:v>
                </c:pt>
                <c:pt idx="79">
                  <c:v>2.5285438319662599</c:v>
                </c:pt>
                <c:pt idx="80">
                  <c:v>2.5284905679362</c:v>
                </c:pt>
                <c:pt idx="81">
                  <c:v>2.5282969448266899</c:v>
                </c:pt>
                <c:pt idx="82">
                  <c:v>2.5276499129180401</c:v>
                </c:pt>
                <c:pt idx="83">
                  <c:v>2.5272978792036702</c:v>
                </c:pt>
                <c:pt idx="84">
                  <c:v>2.52669032350172</c:v>
                </c:pt>
                <c:pt idx="85">
                  <c:v>2.52638947429989</c:v>
                </c:pt>
                <c:pt idx="86">
                  <c:v>2.5262997500908999</c:v>
                </c:pt>
                <c:pt idx="87">
                  <c:v>2.5262487418107198</c:v>
                </c:pt>
                <c:pt idx="88">
                  <c:v>2.5258827968828999</c:v>
                </c:pt>
                <c:pt idx="89">
                  <c:v>2.52579872700659</c:v>
                </c:pt>
                <c:pt idx="90">
                  <c:v>2.5256330254063601</c:v>
                </c:pt>
                <c:pt idx="91">
                  <c:v>2.5257223284962902</c:v>
                </c:pt>
                <c:pt idx="92">
                  <c:v>2.5260563195617398</c:v>
                </c:pt>
                <c:pt idx="93">
                  <c:v>2.5263683993725099</c:v>
                </c:pt>
                <c:pt idx="94">
                  <c:v>2.5266291311132401</c:v>
                </c:pt>
                <c:pt idx="95">
                  <c:v>2.5265403326837501</c:v>
                </c:pt>
                <c:pt idx="96">
                  <c:v>2.5261296169343699</c:v>
                </c:pt>
                <c:pt idx="97">
                  <c:v>2.52584293851814</c:v>
                </c:pt>
                <c:pt idx="98">
                  <c:v>2.5257461476562799</c:v>
                </c:pt>
                <c:pt idx="99">
                  <c:v>2.5255078667524198</c:v>
                </c:pt>
                <c:pt idx="100">
                  <c:v>2.5252116213637001</c:v>
                </c:pt>
                <c:pt idx="101">
                  <c:v>2.5251507754651601</c:v>
                </c:pt>
                <c:pt idx="102">
                  <c:v>2.525581991058</c:v>
                </c:pt>
                <c:pt idx="103">
                  <c:v>2.5256817506916902</c:v>
                </c:pt>
                <c:pt idx="104">
                  <c:v>2.5261271549917099</c:v>
                </c:pt>
                <c:pt idx="105">
                  <c:v>2.52667781042198</c:v>
                </c:pt>
                <c:pt idx="106">
                  <c:v>2.5269642968652501</c:v>
                </c:pt>
                <c:pt idx="107">
                  <c:v>2.52736400616757</c:v>
                </c:pt>
                <c:pt idx="108">
                  <c:v>2.52812985655713</c:v>
                </c:pt>
                <c:pt idx="109">
                  <c:v>2.5286464757810201</c:v>
                </c:pt>
                <c:pt idx="110">
                  <c:v>2.5288677249618599</c:v>
                </c:pt>
                <c:pt idx="111">
                  <c:v>2.5289739920013701</c:v>
                </c:pt>
                <c:pt idx="112">
                  <c:v>2.5287154146608102</c:v>
                </c:pt>
                <c:pt idx="113">
                  <c:v>2.5283758881669298</c:v>
                </c:pt>
                <c:pt idx="114">
                  <c:v>2.5282383173532499</c:v>
                </c:pt>
                <c:pt idx="115">
                  <c:v>2.5281705410886599</c:v>
                </c:pt>
                <c:pt idx="116">
                  <c:v>2.5282675695124301</c:v>
                </c:pt>
                <c:pt idx="117">
                  <c:v>2.5284526399492302</c:v>
                </c:pt>
                <c:pt idx="118">
                  <c:v>2.52879297100705</c:v>
                </c:pt>
                <c:pt idx="119">
                  <c:v>2.5291193299562398</c:v>
                </c:pt>
                <c:pt idx="120">
                  <c:v>2.5293883674390298</c:v>
                </c:pt>
                <c:pt idx="121">
                  <c:v>2.5294989921679001</c:v>
                </c:pt>
                <c:pt idx="122">
                  <c:v>2.52934557027791</c:v>
                </c:pt>
                <c:pt idx="123">
                  <c:v>2.5295256224097198</c:v>
                </c:pt>
                <c:pt idx="124">
                  <c:v>2.5294392822313601</c:v>
                </c:pt>
                <c:pt idx="125">
                  <c:v>2.5294449341287399</c:v>
                </c:pt>
                <c:pt idx="126">
                  <c:v>2.5297991510080999</c:v>
                </c:pt>
                <c:pt idx="127">
                  <c:v>2.5300885028599498</c:v>
                </c:pt>
                <c:pt idx="128">
                  <c:v>2.5301925880014902</c:v>
                </c:pt>
                <c:pt idx="129">
                  <c:v>2.5302645209958201</c:v>
                </c:pt>
                <c:pt idx="130">
                  <c:v>2.5307538266742702</c:v>
                </c:pt>
                <c:pt idx="131">
                  <c:v>2.5312214426002799</c:v>
                </c:pt>
                <c:pt idx="132">
                  <c:v>2.5318910817537801</c:v>
                </c:pt>
                <c:pt idx="133">
                  <c:v>2.5327516268227899</c:v>
                </c:pt>
                <c:pt idx="134">
                  <c:v>2.5334189809269598</c:v>
                </c:pt>
                <c:pt idx="135">
                  <c:v>2.5341572985169298</c:v>
                </c:pt>
                <c:pt idx="136">
                  <c:v>2.53475254277545</c:v>
                </c:pt>
                <c:pt idx="137">
                  <c:v>2.5351072804114798</c:v>
                </c:pt>
                <c:pt idx="138">
                  <c:v>2.5352534349546501</c:v>
                </c:pt>
                <c:pt idx="139">
                  <c:v>2.5353694217648401</c:v>
                </c:pt>
                <c:pt idx="140">
                  <c:v>2.5355717610192801</c:v>
                </c:pt>
                <c:pt idx="141">
                  <c:v>2.5359924967504401</c:v>
                </c:pt>
                <c:pt idx="142">
                  <c:v>2.5364678359992499</c:v>
                </c:pt>
                <c:pt idx="143">
                  <c:v>2.5365444178940102</c:v>
                </c:pt>
                <c:pt idx="144">
                  <c:v>2.5367773349910099</c:v>
                </c:pt>
                <c:pt idx="145">
                  <c:v>2.5369476751936801</c:v>
                </c:pt>
                <c:pt idx="146">
                  <c:v>2.5368738171691598</c:v>
                </c:pt>
                <c:pt idx="147">
                  <c:v>2.5368428540025998</c:v>
                </c:pt>
                <c:pt idx="148">
                  <c:v>2.5370746596249401</c:v>
                </c:pt>
                <c:pt idx="149">
                  <c:v>2.5374484255945702</c:v>
                </c:pt>
                <c:pt idx="150">
                  <c:v>2.53782419193527</c:v>
                </c:pt>
                <c:pt idx="151">
                  <c:v>2.5381305445200599</c:v>
                </c:pt>
                <c:pt idx="152">
                  <c:v>2.5382737263125601</c:v>
                </c:pt>
                <c:pt idx="153">
                  <c:v>2.5380781556585399</c:v>
                </c:pt>
                <c:pt idx="154">
                  <c:v>2.5379387515058101</c:v>
                </c:pt>
                <c:pt idx="155">
                  <c:v>2.5377712125932002</c:v>
                </c:pt>
                <c:pt idx="156">
                  <c:v>2.5376965430206</c:v>
                </c:pt>
                <c:pt idx="157">
                  <c:v>2.5379943165421901</c:v>
                </c:pt>
                <c:pt idx="158">
                  <c:v>2.5383615429702799</c:v>
                </c:pt>
                <c:pt idx="159">
                  <c:v>2.5392022265807799</c:v>
                </c:pt>
                <c:pt idx="160">
                  <c:v>2.5398619220985998</c:v>
                </c:pt>
                <c:pt idx="161">
                  <c:v>2.5401865857305101</c:v>
                </c:pt>
                <c:pt idx="162">
                  <c:v>2.5402925562455598</c:v>
                </c:pt>
                <c:pt idx="163">
                  <c:v>2.5406261041242701</c:v>
                </c:pt>
                <c:pt idx="164">
                  <c:v>2.5410770043654498</c:v>
                </c:pt>
                <c:pt idx="165">
                  <c:v>2.54163677975493</c:v>
                </c:pt>
                <c:pt idx="166">
                  <c:v>2.5421431794043099</c:v>
                </c:pt>
                <c:pt idx="167">
                  <c:v>2.5425545381996799</c:v>
                </c:pt>
                <c:pt idx="168">
                  <c:v>2.54270541613477</c:v>
                </c:pt>
                <c:pt idx="169">
                  <c:v>2.5427151594768902</c:v>
                </c:pt>
                <c:pt idx="170">
                  <c:v>2.5425602073784699</c:v>
                </c:pt>
                <c:pt idx="171">
                  <c:v>2.54258946588575</c:v>
                </c:pt>
                <c:pt idx="172">
                  <c:v>2.5427034204180998</c:v>
                </c:pt>
                <c:pt idx="173">
                  <c:v>2.54302300057202</c:v>
                </c:pt>
                <c:pt idx="174">
                  <c:v>2.5435773073716099</c:v>
                </c:pt>
                <c:pt idx="175">
                  <c:v>2.5443368356243101</c:v>
                </c:pt>
                <c:pt idx="176">
                  <c:v>2.5450698070278901</c:v>
                </c:pt>
                <c:pt idx="177">
                  <c:v>2.5454629242981199</c:v>
                </c:pt>
                <c:pt idx="178">
                  <c:v>2.5459756654542001</c:v>
                </c:pt>
                <c:pt idx="179">
                  <c:v>2.5460812819128602</c:v>
                </c:pt>
                <c:pt idx="180">
                  <c:v>2.5463998540984099</c:v>
                </c:pt>
                <c:pt idx="181">
                  <c:v>2.5472877806887801</c:v>
                </c:pt>
                <c:pt idx="182">
                  <c:v>2.5484927823891699</c:v>
                </c:pt>
                <c:pt idx="183">
                  <c:v>2.5495667361457501</c:v>
                </c:pt>
                <c:pt idx="184">
                  <c:v>2.5504587868090001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69-4F1B-A78E-07759EB96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XLU x avg / IDU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Sheet1!$U$2:$U$186</c:f>
              <c:numCache>
                <c:formatCode>0.0000%</c:formatCode>
                <c:ptCount val="185"/>
                <c:pt idx="1">
                  <c:v>-1.8534426200627499E-3</c:v>
                </c:pt>
                <c:pt idx="2">
                  <c:v>-1.08978118406199E-3</c:v>
                </c:pt>
                <c:pt idx="3">
                  <c:v>-1.8277324982916099E-3</c:v>
                </c:pt>
                <c:pt idx="4">
                  <c:v>-2.3467376577954698E-3</c:v>
                </c:pt>
                <c:pt idx="5">
                  <c:v>-2.4313150554108902E-3</c:v>
                </c:pt>
                <c:pt idx="6">
                  <c:v>-1.52653303118207E-3</c:v>
                </c:pt>
                <c:pt idx="7">
                  <c:v>-1.20215198054073E-3</c:v>
                </c:pt>
                <c:pt idx="8">
                  <c:v>-6.3675673052108605E-4</c:v>
                </c:pt>
                <c:pt idx="9">
                  <c:v>-1.8500371961257E-3</c:v>
                </c:pt>
                <c:pt idx="10">
                  <c:v>-1.2012404534938201E-3</c:v>
                </c:pt>
                <c:pt idx="11">
                  <c:v>-1.1187118820522E-3</c:v>
                </c:pt>
                <c:pt idx="12">
                  <c:v>-3.9347273107292703E-3</c:v>
                </c:pt>
                <c:pt idx="13">
                  <c:v>-5.9453006712766997E-3</c:v>
                </c:pt>
                <c:pt idx="14">
                  <c:v>-5.9673551285665902E-3</c:v>
                </c:pt>
                <c:pt idx="15">
                  <c:v>-5.6901095391272598E-3</c:v>
                </c:pt>
                <c:pt idx="16">
                  <c:v>-3.9971015925182899E-3</c:v>
                </c:pt>
                <c:pt idx="17">
                  <c:v>-4.5813754109136403E-3</c:v>
                </c:pt>
                <c:pt idx="18">
                  <c:v>-1.76715722203949E-3</c:v>
                </c:pt>
                <c:pt idx="19">
                  <c:v>-1.88639341317488E-3</c:v>
                </c:pt>
                <c:pt idx="20">
                  <c:v>-3.4519706489384398E-3</c:v>
                </c:pt>
                <c:pt idx="21">
                  <c:v>-2.8458998692664299E-3</c:v>
                </c:pt>
                <c:pt idx="22">
                  <c:v>-2.2668635289333598E-3</c:v>
                </c:pt>
                <c:pt idx="23">
                  <c:v>-3.53764129937116E-3</c:v>
                </c:pt>
                <c:pt idx="24">
                  <c:v>-3.4851312202387901E-3</c:v>
                </c:pt>
                <c:pt idx="25">
                  <c:v>-4.83545679779204E-3</c:v>
                </c:pt>
                <c:pt idx="26">
                  <c:v>-3.47117555737957E-3</c:v>
                </c:pt>
                <c:pt idx="27">
                  <c:v>-3.19100392448082E-3</c:v>
                </c:pt>
                <c:pt idx="28">
                  <c:v>-8.5948272808308E-4</c:v>
                </c:pt>
                <c:pt idx="29">
                  <c:v>5.8671555841223E-4</c:v>
                </c:pt>
                <c:pt idx="30">
                  <c:v>1.06422200382383E-3</c:v>
                </c:pt>
                <c:pt idx="31">
                  <c:v>1.18556554817862E-4</c:v>
                </c:pt>
                <c:pt idx="32">
                  <c:v>8.6292248816613004E-4</c:v>
                </c:pt>
                <c:pt idx="33">
                  <c:v>2.28787158547945E-3</c:v>
                </c:pt>
                <c:pt idx="34">
                  <c:v>3.6863008271466602E-3</c:v>
                </c:pt>
                <c:pt idx="35">
                  <c:v>4.88630323028007E-3</c:v>
                </c:pt>
                <c:pt idx="36">
                  <c:v>4.8318101633740597E-3</c:v>
                </c:pt>
                <c:pt idx="37">
                  <c:v>2.6159170296371401E-3</c:v>
                </c:pt>
                <c:pt idx="38">
                  <c:v>2.11997573287803E-3</c:v>
                </c:pt>
                <c:pt idx="39">
                  <c:v>6.9873587341066901E-4</c:v>
                </c:pt>
                <c:pt idx="40">
                  <c:v>2.8169846315910502E-4</c:v>
                </c:pt>
                <c:pt idx="41">
                  <c:v>8.38750738424832E-4</c:v>
                </c:pt>
                <c:pt idx="42">
                  <c:v>-2.2893269865658701E-4</c:v>
                </c:pt>
                <c:pt idx="43">
                  <c:v>2.3067482564053499E-4</c:v>
                </c:pt>
                <c:pt idx="44">
                  <c:v>1.3543743754746901E-4</c:v>
                </c:pt>
                <c:pt idx="45">
                  <c:v>2.72567976590362E-3</c:v>
                </c:pt>
                <c:pt idx="46">
                  <c:v>1.3071483525893899E-3</c:v>
                </c:pt>
                <c:pt idx="47">
                  <c:v>1.2662365222984001E-3</c:v>
                </c:pt>
                <c:pt idx="48">
                  <c:v>2.39636891932933E-3</c:v>
                </c:pt>
                <c:pt idx="49">
                  <c:v>4.0585741208373702E-3</c:v>
                </c:pt>
                <c:pt idx="50">
                  <c:v>8.7934543306533008E-3</c:v>
                </c:pt>
                <c:pt idx="51">
                  <c:v>7.6457976652715602E-3</c:v>
                </c:pt>
                <c:pt idx="52">
                  <c:v>7.3226688690191501E-3</c:v>
                </c:pt>
                <c:pt idx="53">
                  <c:v>5.1470297743541104E-3</c:v>
                </c:pt>
                <c:pt idx="54">
                  <c:v>5.3184140328560697E-4</c:v>
                </c:pt>
                <c:pt idx="55">
                  <c:v>1.36556980496316E-3</c:v>
                </c:pt>
                <c:pt idx="56">
                  <c:v>1.5831600287728601E-3</c:v>
                </c:pt>
                <c:pt idx="57">
                  <c:v>5.5844966559596E-4</c:v>
                </c:pt>
                <c:pt idx="58">
                  <c:v>1.6720788566423001E-3</c:v>
                </c:pt>
                <c:pt idx="59">
                  <c:v>1.36982559508742E-3</c:v>
                </c:pt>
                <c:pt idx="60">
                  <c:v>1.57718358638613E-3</c:v>
                </c:pt>
                <c:pt idx="61">
                  <c:v>2.0627855049315299E-3</c:v>
                </c:pt>
                <c:pt idx="62">
                  <c:v>-3.9461450763039302E-4</c:v>
                </c:pt>
                <c:pt idx="63">
                  <c:v>7.0826909441098704E-4</c:v>
                </c:pt>
                <c:pt idx="64">
                  <c:v>-1.17192735506172E-4</c:v>
                </c:pt>
                <c:pt idx="65">
                  <c:v>2.4381435819078399E-3</c:v>
                </c:pt>
                <c:pt idx="66">
                  <c:v>2.9866480867552698E-3</c:v>
                </c:pt>
                <c:pt idx="67">
                  <c:v>3.9136919787074696E-3</c:v>
                </c:pt>
                <c:pt idx="68">
                  <c:v>2.55820004614201E-3</c:v>
                </c:pt>
                <c:pt idx="69">
                  <c:v>3.0028332733251801E-3</c:v>
                </c:pt>
                <c:pt idx="70">
                  <c:v>2.6850170748310902E-3</c:v>
                </c:pt>
                <c:pt idx="71">
                  <c:v>3.9153300326668699E-3</c:v>
                </c:pt>
                <c:pt idx="72">
                  <c:v>3.4896440866618301E-3</c:v>
                </c:pt>
                <c:pt idx="73">
                  <c:v>2.75081288575884E-3</c:v>
                </c:pt>
                <c:pt idx="74">
                  <c:v>2.9993468326331499E-3</c:v>
                </c:pt>
                <c:pt idx="75">
                  <c:v>1.4821950638703901E-3</c:v>
                </c:pt>
                <c:pt idx="76">
                  <c:v>6.8607533644542802E-4</c:v>
                </c:pt>
                <c:pt idx="77">
                  <c:v>1.60929922536771E-3</c:v>
                </c:pt>
                <c:pt idx="78">
                  <c:v>3.2818604253069699E-3</c:v>
                </c:pt>
                <c:pt idx="79">
                  <c:v>2.8672308319271202E-3</c:v>
                </c:pt>
                <c:pt idx="80">
                  <c:v>1.9983016713862201E-3</c:v>
                </c:pt>
                <c:pt idx="81">
                  <c:v>3.5952105186489E-3</c:v>
                </c:pt>
                <c:pt idx="82">
                  <c:v>4.7228938995142198E-3</c:v>
                </c:pt>
                <c:pt idx="83">
                  <c:v>3.4924006182565498E-3</c:v>
                </c:pt>
                <c:pt idx="84">
                  <c:v>4.6886752204598299E-3</c:v>
                </c:pt>
                <c:pt idx="85">
                  <c:v>4.82111347094504E-3</c:v>
                </c:pt>
                <c:pt idx="86">
                  <c:v>3.69713234469657E-3</c:v>
                </c:pt>
                <c:pt idx="87">
                  <c:v>4.3179155316067199E-3</c:v>
                </c:pt>
                <c:pt idx="88">
                  <c:v>5.45787765632325E-3</c:v>
                </c:pt>
                <c:pt idx="89">
                  <c:v>3.6685393737170302E-3</c:v>
                </c:pt>
                <c:pt idx="90">
                  <c:v>3.9971297997983797E-3</c:v>
                </c:pt>
                <c:pt idx="91">
                  <c:v>3.20802498088528E-3</c:v>
                </c:pt>
                <c:pt idx="92">
                  <c:v>8.4802555808254597E-4</c:v>
                </c:pt>
                <c:pt idx="93">
                  <c:v>2.8410311733295299E-4</c:v>
                </c:pt>
                <c:pt idx="94">
                  <c:v>9.3756749267090401E-4</c:v>
                </c:pt>
                <c:pt idx="95">
                  <c:v>2.1842884935803501E-3</c:v>
                </c:pt>
                <c:pt idx="96">
                  <c:v>3.9349883455483204E-3</c:v>
                </c:pt>
                <c:pt idx="97">
                  <c:v>3.8780141315087999E-3</c:v>
                </c:pt>
                <c:pt idx="98">
                  <c:v>4.0485500584639504E-3</c:v>
                </c:pt>
                <c:pt idx="99">
                  <c:v>4.7549516981997397E-3</c:v>
                </c:pt>
                <c:pt idx="100">
                  <c:v>4.3437297508029998E-3</c:v>
                </c:pt>
                <c:pt idx="101">
                  <c:v>4.0772591193380401E-3</c:v>
                </c:pt>
                <c:pt idx="102">
                  <c:v>1.30941195087303E-3</c:v>
                </c:pt>
                <c:pt idx="103">
                  <c:v>2.70264352108141E-3</c:v>
                </c:pt>
                <c:pt idx="104">
                  <c:v>1.1631943372790499E-3</c:v>
                </c:pt>
                <c:pt idx="105">
                  <c:v>4.6378149352367101E-4</c:v>
                </c:pt>
                <c:pt idx="106">
                  <c:v>1.4303445459828E-3</c:v>
                </c:pt>
                <c:pt idx="107">
                  <c:v>1.15472094584649E-3</c:v>
                </c:pt>
                <c:pt idx="108">
                  <c:v>-6.0098906704002795E-4</c:v>
                </c:pt>
                <c:pt idx="109">
                  <c:v>-4.1531414172165098E-4</c:v>
                </c:pt>
                <c:pt idx="110">
                  <c:v>2.2455470392246401E-3</c:v>
                </c:pt>
                <c:pt idx="111">
                  <c:v>2.36701211628921E-3</c:v>
                </c:pt>
                <c:pt idx="112">
                  <c:v>8.4940713066133707E-3</c:v>
                </c:pt>
                <c:pt idx="113">
                  <c:v>8.5300792141433292E-3</c:v>
                </c:pt>
                <c:pt idx="114">
                  <c:v>7.6568791953325402E-3</c:v>
                </c:pt>
                <c:pt idx="115">
                  <c:v>8.3185274575487099E-3</c:v>
                </c:pt>
                <c:pt idx="116">
                  <c:v>3.1665049265650002E-3</c:v>
                </c:pt>
                <c:pt idx="117">
                  <c:v>2.4128154688661E-3</c:v>
                </c:pt>
                <c:pt idx="118">
                  <c:v>1.3553515773944099E-3</c:v>
                </c:pt>
                <c:pt idx="119">
                  <c:v>2.1703556094458299E-3</c:v>
                </c:pt>
                <c:pt idx="120">
                  <c:v>2.2134822940887201E-3</c:v>
                </c:pt>
                <c:pt idx="121">
                  <c:v>3.20101295831289E-3</c:v>
                </c:pt>
                <c:pt idx="122">
                  <c:v>2.52255738933378E-3</c:v>
                </c:pt>
                <c:pt idx="123">
                  <c:v>1.2788196789577399E-3</c:v>
                </c:pt>
                <c:pt idx="124">
                  <c:v>1.8456269237577499E-3</c:v>
                </c:pt>
                <c:pt idx="125">
                  <c:v>4.1915636689258701E-4</c:v>
                </c:pt>
                <c:pt idx="126">
                  <c:v>-1.3652662498940199E-3</c:v>
                </c:pt>
                <c:pt idx="127">
                  <c:v>-1.12890644529189E-3</c:v>
                </c:pt>
                <c:pt idx="128">
                  <c:v>-1.4216107521562299E-3</c:v>
                </c:pt>
                <c:pt idx="129">
                  <c:v>-9.8262100999659701E-4</c:v>
                </c:pt>
                <c:pt idx="130">
                  <c:v>-1.61732097527736E-3</c:v>
                </c:pt>
                <c:pt idx="131">
                  <c:v>-1.32538751784795E-3</c:v>
                </c:pt>
                <c:pt idx="132">
                  <c:v>-2.3936144889303399E-3</c:v>
                </c:pt>
                <c:pt idx="133">
                  <c:v>-3.8205686518322699E-3</c:v>
                </c:pt>
                <c:pt idx="134">
                  <c:v>-3.2387327677917302E-3</c:v>
                </c:pt>
                <c:pt idx="135">
                  <c:v>-3.1052590155324399E-3</c:v>
                </c:pt>
                <c:pt idx="136">
                  <c:v>-1.5350611568273E-3</c:v>
                </c:pt>
                <c:pt idx="137">
                  <c:v>-3.8964772116173099E-4</c:v>
                </c:pt>
                <c:pt idx="138">
                  <c:v>2.00985074397799E-4</c:v>
                </c:pt>
                <c:pt idx="139">
                  <c:v>1.25340590220514E-3</c:v>
                </c:pt>
                <c:pt idx="140">
                  <c:v>6.1433812551601498E-4</c:v>
                </c:pt>
                <c:pt idx="141">
                  <c:v>-1.2459230256410799E-4</c:v>
                </c:pt>
                <c:pt idx="142">
                  <c:v>-1.2312957734879799E-3</c:v>
                </c:pt>
                <c:pt idx="143">
                  <c:v>6.7383610849583301E-4</c:v>
                </c:pt>
                <c:pt idx="144">
                  <c:v>5.7160439715813504E-6</c:v>
                </c:pt>
                <c:pt idx="145">
                  <c:v>-9.2484832093109597E-4</c:v>
                </c:pt>
                <c:pt idx="146">
                  <c:v>-7.8299592343208696E-4</c:v>
                </c:pt>
                <c:pt idx="147">
                  <c:v>-8.8478745446461096E-4</c:v>
                </c:pt>
                <c:pt idx="148">
                  <c:v>-3.24678210076851E-3</c:v>
                </c:pt>
                <c:pt idx="149">
                  <c:v>-3.9251947053691597E-3</c:v>
                </c:pt>
                <c:pt idx="150">
                  <c:v>-4.5737455971196703E-3</c:v>
                </c:pt>
                <c:pt idx="151">
                  <c:v>-3.7370449436781202E-3</c:v>
                </c:pt>
                <c:pt idx="152">
                  <c:v>-3.5202853211612302E-3</c:v>
                </c:pt>
                <c:pt idx="153">
                  <c:v>-2.281804720404E-3</c:v>
                </c:pt>
                <c:pt idx="154">
                  <c:v>-2.1414947319487901E-3</c:v>
                </c:pt>
                <c:pt idx="155">
                  <c:v>-1.7862524757500701E-3</c:v>
                </c:pt>
                <c:pt idx="156">
                  <c:v>-9.4649096533994895E-4</c:v>
                </c:pt>
                <c:pt idx="157">
                  <c:v>-2.7360404765675301E-3</c:v>
                </c:pt>
                <c:pt idx="158">
                  <c:v>-2.6935977380552001E-3</c:v>
                </c:pt>
                <c:pt idx="159">
                  <c:v>-5.36771993141868E-3</c:v>
                </c:pt>
                <c:pt idx="160">
                  <c:v>-4.5817319845226903E-3</c:v>
                </c:pt>
                <c:pt idx="161">
                  <c:v>-2.6832799273765499E-3</c:v>
                </c:pt>
                <c:pt idx="162">
                  <c:v>-2.0662495739361998E-3</c:v>
                </c:pt>
                <c:pt idx="163">
                  <c:v>-1.9568735293649998E-3</c:v>
                </c:pt>
                <c:pt idx="164">
                  <c:v>-3.5465446002679799E-3</c:v>
                </c:pt>
                <c:pt idx="165">
                  <c:v>-5.3288648414069901E-3</c:v>
                </c:pt>
                <c:pt idx="166">
                  <c:v>-4.76848008295617E-3</c:v>
                </c:pt>
                <c:pt idx="167">
                  <c:v>-4.1231584588376302E-3</c:v>
                </c:pt>
                <c:pt idx="168">
                  <c:v>-4.4329646665881503E-3</c:v>
                </c:pt>
                <c:pt idx="169">
                  <c:v>-4.0017861208854902E-3</c:v>
                </c:pt>
                <c:pt idx="170">
                  <c:v>-3.3556845710769E-3</c:v>
                </c:pt>
                <c:pt idx="171">
                  <c:v>-3.9670687065059204E-3</c:v>
                </c:pt>
                <c:pt idx="172">
                  <c:v>-4.4160660147491097E-3</c:v>
                </c:pt>
                <c:pt idx="173">
                  <c:v>-4.7950590073922404E-3</c:v>
                </c:pt>
                <c:pt idx="174">
                  <c:v>-6.49728981834521E-3</c:v>
                </c:pt>
                <c:pt idx="175">
                  <c:v>-1.6022223854479101E-3</c:v>
                </c:pt>
                <c:pt idx="176">
                  <c:v>-5.5285429487703401E-4</c:v>
                </c:pt>
                <c:pt idx="177">
                  <c:v>2.8151743247696999E-4</c:v>
                </c:pt>
                <c:pt idx="178">
                  <c:v>-5.3199968358845701E-4</c:v>
                </c:pt>
                <c:pt idx="179">
                  <c:v>-6.1964515852054704E-3</c:v>
                </c:pt>
                <c:pt idx="180">
                  <c:v>-7.0813210048260499E-3</c:v>
                </c:pt>
                <c:pt idx="181">
                  <c:v>-9.6478127186052191E-3</c:v>
                </c:pt>
                <c:pt idx="182">
                  <c:v>-1.1511882356952E-2</c:v>
                </c:pt>
                <c:pt idx="183">
                  <c:v>-1.0380492975941E-2</c:v>
                </c:pt>
                <c:pt idx="184">
                  <c:v>-1.05372956284152E-2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E-4B48-8EEF-C0E53DDBE14A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XLU x 10 dma / IDU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Sheet1!$V$2:$V$186</c:f>
              <c:numCache>
                <c:formatCode>0.0000%</c:formatCode>
                <c:ptCount val="185"/>
                <c:pt idx="10">
                  <c:v>3.6155215565868701E-4</c:v>
                </c:pt>
                <c:pt idx="11">
                  <c:v>4.78007859653287E-4</c:v>
                </c:pt>
                <c:pt idx="12">
                  <c:v>-2.4114752143645402E-3</c:v>
                </c:pt>
                <c:pt idx="13">
                  <c:v>-4.1373129022918096E-3</c:v>
                </c:pt>
                <c:pt idx="14">
                  <c:v>-3.7468386140053502E-3</c:v>
                </c:pt>
                <c:pt idx="15">
                  <c:v>-3.1068950394914099E-3</c:v>
                </c:pt>
                <c:pt idx="16">
                  <c:v>-1.08757890236821E-3</c:v>
                </c:pt>
                <c:pt idx="17">
                  <c:v>-1.42486279526209E-3</c:v>
                </c:pt>
                <c:pt idx="18">
                  <c:v>1.7271313919199999E-3</c:v>
                </c:pt>
                <c:pt idx="19">
                  <c:v>1.72067006810973E-3</c:v>
                </c:pt>
                <c:pt idx="20">
                  <c:v>1.58722131164464E-4</c:v>
                </c:pt>
                <c:pt idx="21">
                  <c:v>9.8955188972489399E-4</c:v>
                </c:pt>
                <c:pt idx="22">
                  <c:v>1.74097241445832E-3</c:v>
                </c:pt>
                <c:pt idx="23">
                  <c:v>3.0354557475699098E-4</c:v>
                </c:pt>
                <c:pt idx="24">
                  <c:v>1.1504376211163001E-4</c:v>
                </c:pt>
                <c:pt idx="25">
                  <c:v>-1.4838148246159499E-3</c:v>
                </c:pt>
                <c:pt idx="26">
                  <c:v>-2.0516601968034601E-4</c:v>
                </c:pt>
                <c:pt idx="27">
                  <c:v>2.23869988743985E-5</c:v>
                </c:pt>
                <c:pt idx="28">
                  <c:v>2.2147677803496298E-3</c:v>
                </c:pt>
                <c:pt idx="29">
                  <c:v>3.5703542037344499E-3</c:v>
                </c:pt>
                <c:pt idx="30">
                  <c:v>3.8010957462753601E-3</c:v>
                </c:pt>
                <c:pt idx="31">
                  <c:v>2.4044052632052502E-3</c:v>
                </c:pt>
                <c:pt idx="32">
                  <c:v>2.8525548273162799E-3</c:v>
                </c:pt>
                <c:pt idx="33">
                  <c:v>3.9648790845252099E-3</c:v>
                </c:pt>
                <c:pt idx="34">
                  <c:v>4.7811994153917799E-3</c:v>
                </c:pt>
                <c:pt idx="35">
                  <c:v>5.2646572426325597E-3</c:v>
                </c:pt>
                <c:pt idx="36">
                  <c:v>4.2379043178240403E-3</c:v>
                </c:pt>
                <c:pt idx="37">
                  <c:v>1.19143714026285E-3</c:v>
                </c:pt>
                <c:pt idx="38">
                  <c:v>1.13638674842192E-4</c:v>
                </c:pt>
                <c:pt idx="39">
                  <c:v>-1.6060019408487599E-3</c:v>
                </c:pt>
                <c:pt idx="40">
                  <c:v>-2.0342600789504898E-3</c:v>
                </c:pt>
                <c:pt idx="41">
                  <c:v>-1.39882984508864E-3</c:v>
                </c:pt>
                <c:pt idx="42">
                  <c:v>-2.5386620931206901E-3</c:v>
                </c:pt>
                <c:pt idx="43">
                  <c:v>-1.96965723413212E-3</c:v>
                </c:pt>
                <c:pt idx="44">
                  <c:v>-1.85900242174237E-3</c:v>
                </c:pt>
                <c:pt idx="45">
                  <c:v>1.0862930693661399E-3</c:v>
                </c:pt>
                <c:pt idx="46">
                  <c:v>-1.1666680775384E-4</c:v>
                </c:pt>
                <c:pt idx="47">
                  <c:v>1.9424626361796E-4</c:v>
                </c:pt>
                <c:pt idx="48">
                  <c:v>1.4592203821080501E-3</c:v>
                </c:pt>
                <c:pt idx="49">
                  <c:v>3.0938223720090199E-3</c:v>
                </c:pt>
                <c:pt idx="50">
                  <c:v>7.4931370163901804E-3</c:v>
                </c:pt>
                <c:pt idx="51">
                  <c:v>5.4966931056897499E-3</c:v>
                </c:pt>
                <c:pt idx="52">
                  <c:v>4.4940508285200497E-3</c:v>
                </c:pt>
                <c:pt idx="53">
                  <c:v>1.5635071143000499E-3</c:v>
                </c:pt>
                <c:pt idx="54">
                  <c:v>-3.5438784048829699E-3</c:v>
                </c:pt>
                <c:pt idx="55">
                  <c:v>-2.7499398070858299E-3</c:v>
                </c:pt>
                <c:pt idx="56">
                  <c:v>-2.3960660450375098E-3</c:v>
                </c:pt>
                <c:pt idx="57">
                  <c:v>-3.4484479908138701E-3</c:v>
                </c:pt>
                <c:pt idx="58">
                  <c:v>-2.2638232651057502E-3</c:v>
                </c:pt>
                <c:pt idx="59">
                  <c:v>-2.4935122839408199E-3</c:v>
                </c:pt>
                <c:pt idx="60">
                  <c:v>-2.0170064306070799E-3</c:v>
                </c:pt>
                <c:pt idx="61">
                  <c:v>-8.1118258518351604E-4</c:v>
                </c:pt>
                <c:pt idx="62">
                  <c:v>-2.7115403578899301E-3</c:v>
                </c:pt>
                <c:pt idx="63">
                  <c:v>-8.3810819718648996E-4</c:v>
                </c:pt>
                <c:pt idx="64">
                  <c:v>-1.2204044979707701E-3</c:v>
                </c:pt>
                <c:pt idx="65">
                  <c:v>1.39989129675665E-3</c:v>
                </c:pt>
                <c:pt idx="66">
                  <c:v>1.8412252641745201E-3</c:v>
                </c:pt>
                <c:pt idx="67">
                  <c:v>2.6280703451783999E-3</c:v>
                </c:pt>
                <c:pt idx="68">
                  <c:v>9.3731657733107097E-4</c:v>
                </c:pt>
                <c:pt idx="69">
                  <c:v>1.2933775465080999E-3</c:v>
                </c:pt>
                <c:pt idx="70">
                  <c:v>8.1232509501915197E-4</c:v>
                </c:pt>
                <c:pt idx="71">
                  <c:v>1.93187718823255E-3</c:v>
                </c:pt>
                <c:pt idx="72">
                  <c:v>1.3211058348957E-3</c:v>
                </c:pt>
                <c:pt idx="73">
                  <c:v>1.9353168298975499E-4</c:v>
                </c:pt>
                <c:pt idx="74">
                  <c:v>2.37621178295376E-4</c:v>
                </c:pt>
                <c:pt idx="75">
                  <c:v>-1.5916452335458099E-3</c:v>
                </c:pt>
                <c:pt idx="76">
                  <c:v>-2.2920681640921699E-3</c:v>
                </c:pt>
                <c:pt idx="77">
                  <c:v>-1.13855064373844E-3</c:v>
                </c:pt>
                <c:pt idx="78">
                  <c:v>7.6442019169070501E-4</c:v>
                </c:pt>
                <c:pt idx="79">
                  <c:v>2.7745107035506098E-4</c:v>
                </c:pt>
                <c:pt idx="80">
                  <c:v>-5.77922618808698E-4</c:v>
                </c:pt>
                <c:pt idx="81">
                  <c:v>1.08767152108268E-3</c:v>
                </c:pt>
                <c:pt idx="82">
                  <c:v>2.2473264249871202E-3</c:v>
                </c:pt>
                <c:pt idx="83">
                  <c:v>8.9370151660519504E-4</c:v>
                </c:pt>
                <c:pt idx="84">
                  <c:v>2.01585336488997E-3</c:v>
                </c:pt>
                <c:pt idx="85">
                  <c:v>1.9795422556511499E-3</c:v>
                </c:pt>
                <c:pt idx="86">
                  <c:v>5.2171693202275702E-4</c:v>
                </c:pt>
                <c:pt idx="87">
                  <c:v>8.4105249643933204E-4</c:v>
                </c:pt>
                <c:pt idx="88">
                  <c:v>1.7099771233978201E-3</c:v>
                </c:pt>
                <c:pt idx="89">
                  <c:v>-2.96851275136679E-4</c:v>
                </c:pt>
                <c:pt idx="90">
                  <c:v>-4.8450831722585002E-5</c:v>
                </c:pt>
                <c:pt idx="91">
                  <c:v>-1.03766807790165E-3</c:v>
                </c:pt>
                <c:pt idx="92">
                  <c:v>-3.35891700232445E-3</c:v>
                </c:pt>
                <c:pt idx="93">
                  <c:v>-3.5348764360034601E-3</c:v>
                </c:pt>
                <c:pt idx="94">
                  <c:v>-2.56001379341972E-3</c:v>
                </c:pt>
                <c:pt idx="95">
                  <c:v>-9.3799539635803304E-4</c:v>
                </c:pt>
                <c:pt idx="96">
                  <c:v>1.0762520077475699E-3</c:v>
                </c:pt>
                <c:pt idx="97">
                  <c:v>9.9551467085654791E-4</c:v>
                </c:pt>
                <c:pt idx="98">
                  <c:v>1.20998633697659E-3</c:v>
                </c:pt>
                <c:pt idx="99">
                  <c:v>2.0570412772292499E-3</c:v>
                </c:pt>
                <c:pt idx="100">
                  <c:v>1.53733654849427E-3</c:v>
                </c:pt>
                <c:pt idx="101">
                  <c:v>1.23625256799183E-3</c:v>
                </c:pt>
                <c:pt idx="102">
                  <c:v>-1.618452136087E-3</c:v>
                </c:pt>
                <c:pt idx="103">
                  <c:v>-2.7144566991143003E-4</c:v>
                </c:pt>
                <c:pt idx="104">
                  <c:v>-2.0531366736836099E-3</c:v>
                </c:pt>
                <c:pt idx="105">
                  <c:v>-2.7751613802055402E-3</c:v>
                </c:pt>
                <c:pt idx="106">
                  <c:v>-1.63623268540362E-3</c:v>
                </c:pt>
                <c:pt idx="107">
                  <c:v>-1.66132705072316E-3</c:v>
                </c:pt>
                <c:pt idx="108">
                  <c:v>-3.1446631340068202E-3</c:v>
                </c:pt>
                <c:pt idx="109">
                  <c:v>-2.49376074302101E-3</c:v>
                </c:pt>
                <c:pt idx="110">
                  <c:v>6.8394676997306702E-4</c:v>
                </c:pt>
                <c:pt idx="111">
                  <c:v>1.0148449158211301E-3</c:v>
                </c:pt>
                <c:pt idx="112">
                  <c:v>7.3125947468219302E-3</c:v>
                </c:pt>
                <c:pt idx="113">
                  <c:v>6.6325467903798003E-3</c:v>
                </c:pt>
                <c:pt idx="114">
                  <c:v>5.1785968772472303E-3</c:v>
                </c:pt>
                <c:pt idx="115">
                  <c:v>5.1919186063090397E-3</c:v>
                </c:pt>
                <c:pt idx="116">
                  <c:v>-7.4489576561609003E-4</c:v>
                </c:pt>
                <c:pt idx="117">
                  <c:v>-1.67249666939646E-3</c:v>
                </c:pt>
                <c:pt idx="118">
                  <c:v>-2.8560678621280199E-3</c:v>
                </c:pt>
                <c:pt idx="119">
                  <c:v>-2.2374687595082599E-3</c:v>
                </c:pt>
                <c:pt idx="120">
                  <c:v>-2.4538572265059501E-3</c:v>
                </c:pt>
                <c:pt idx="121">
                  <c:v>-1.4631122665747E-3</c:v>
                </c:pt>
                <c:pt idx="122">
                  <c:v>-2.22512836231239E-3</c:v>
                </c:pt>
                <c:pt idx="123">
                  <c:v>-2.8723457857277698E-3</c:v>
                </c:pt>
                <c:pt idx="124">
                  <c:v>-1.58121940248988E-3</c:v>
                </c:pt>
                <c:pt idx="125">
                  <c:v>-2.4275013942390801E-3</c:v>
                </c:pt>
                <c:pt idx="126">
                  <c:v>-3.4234972563690698E-3</c:v>
                </c:pt>
                <c:pt idx="127">
                  <c:v>-2.7335379308248901E-3</c:v>
                </c:pt>
                <c:pt idx="128">
                  <c:v>-2.6717915684652499E-3</c:v>
                </c:pt>
                <c:pt idx="129">
                  <c:v>-1.9547875543279498E-3</c:v>
                </c:pt>
                <c:pt idx="130">
                  <c:v>-2.2741201610948299E-3</c:v>
                </c:pt>
                <c:pt idx="131">
                  <c:v>-1.59904210901103E-3</c:v>
                </c:pt>
                <c:pt idx="132">
                  <c:v>-2.2150314459382699E-3</c:v>
                </c:pt>
                <c:pt idx="133">
                  <c:v>-3.1506081469878898E-3</c:v>
                </c:pt>
                <c:pt idx="134">
                  <c:v>-2.05865648673939E-3</c:v>
                </c:pt>
                <c:pt idx="135">
                  <c:v>-1.4171210843694801E-3</c:v>
                </c:pt>
                <c:pt idx="136">
                  <c:v>5.0533484289477695E-4</c:v>
                </c:pt>
                <c:pt idx="137">
                  <c:v>1.6677176064076901E-3</c:v>
                </c:pt>
                <c:pt idx="138">
                  <c:v>2.1845177023553201E-3</c:v>
                </c:pt>
                <c:pt idx="139">
                  <c:v>3.0748884654799801E-3</c:v>
                </c:pt>
                <c:pt idx="140">
                  <c:v>2.2126301806008001E-3</c:v>
                </c:pt>
                <c:pt idx="141">
                  <c:v>1.2507535798602599E-3</c:v>
                </c:pt>
                <c:pt idx="142">
                  <c:v>2.4041448491771799E-5</c:v>
                </c:pt>
                <c:pt idx="143">
                  <c:v>1.8128699165063399E-3</c:v>
                </c:pt>
                <c:pt idx="144">
                  <c:v>6.9501263189987201E-4</c:v>
                </c:pt>
                <c:pt idx="145">
                  <c:v>-5.6035046663450397E-4</c:v>
                </c:pt>
                <c:pt idx="146">
                  <c:v>-6.3692322102275496E-4</c:v>
                </c:pt>
                <c:pt idx="147">
                  <c:v>-8.1400033054069296E-4</c:v>
                </c:pt>
                <c:pt idx="148">
                  <c:v>-3.1264541760065699E-3</c:v>
                </c:pt>
                <c:pt idx="149">
                  <c:v>-3.4596655679142202E-3</c:v>
                </c:pt>
                <c:pt idx="150">
                  <c:v>-3.5900391731679099E-3</c:v>
                </c:pt>
                <c:pt idx="151">
                  <c:v>-2.2341473789222201E-3</c:v>
                </c:pt>
                <c:pt idx="152">
                  <c:v>-1.6560529675282299E-3</c:v>
                </c:pt>
                <c:pt idx="153">
                  <c:v>-1.8858245710621799E-4</c:v>
                </c:pt>
                <c:pt idx="154">
                  <c:v>2.4686735673374401E-4</c:v>
                </c:pt>
                <c:pt idx="155">
                  <c:v>8.1652439701193104E-4</c:v>
                </c:pt>
                <c:pt idx="156">
                  <c:v>1.7423152552976801E-3</c:v>
                </c:pt>
                <c:pt idx="157">
                  <c:v>-3.0914680225137301E-5</c:v>
                </c:pt>
                <c:pt idx="158">
                  <c:v>1.9647072423717299E-4</c:v>
                </c:pt>
                <c:pt idx="159">
                  <c:v>-2.5329758688407301E-3</c:v>
                </c:pt>
                <c:pt idx="160">
                  <c:v>-1.60248424687826E-3</c:v>
                </c:pt>
                <c:pt idx="161">
                  <c:v>2.9676772632618699E-4</c:v>
                </c:pt>
                <c:pt idx="162">
                  <c:v>8.08391766728559E-4</c:v>
                </c:pt>
                <c:pt idx="163">
                  <c:v>7.7236548493685197E-4</c:v>
                </c:pt>
                <c:pt idx="164">
                  <c:v>-8.4977942097445999E-4</c:v>
                </c:pt>
                <c:pt idx="165">
                  <c:v>-2.4915838450192298E-3</c:v>
                </c:pt>
                <c:pt idx="166">
                  <c:v>-1.5767452324357901E-3</c:v>
                </c:pt>
                <c:pt idx="167">
                  <c:v>-5.4942516308653297E-4</c:v>
                </c:pt>
                <c:pt idx="168">
                  <c:v>-7.2054916993358404E-4</c:v>
                </c:pt>
                <c:pt idx="169">
                  <c:v>-1.1547496817264299E-4</c:v>
                </c:pt>
                <c:pt idx="170">
                  <c:v>3.93914739890853E-4</c:v>
                </c:pt>
                <c:pt idx="171">
                  <c:v>-3.4010853117620501E-4</c:v>
                </c:pt>
                <c:pt idx="172">
                  <c:v>-6.6077392467007003E-4</c:v>
                </c:pt>
                <c:pt idx="173">
                  <c:v>-8.0493357577606601E-4</c:v>
                </c:pt>
                <c:pt idx="174">
                  <c:v>-2.2235602194345802E-3</c:v>
                </c:pt>
                <c:pt idx="175">
                  <c:v>2.9667591049812401E-3</c:v>
                </c:pt>
                <c:pt idx="176">
                  <c:v>3.6438044160771602E-3</c:v>
                </c:pt>
                <c:pt idx="177">
                  <c:v>4.0571716625045504E-3</c:v>
                </c:pt>
                <c:pt idx="178">
                  <c:v>2.80390616366229E-3</c:v>
                </c:pt>
                <c:pt idx="179">
                  <c:v>-3.25038568554201E-3</c:v>
                </c:pt>
                <c:pt idx="180">
                  <c:v>-3.9153396656192102E-3</c:v>
                </c:pt>
                <c:pt idx="181">
                  <c:v>-6.1085717099849703E-3</c:v>
                </c:pt>
                <c:pt idx="182">
                  <c:v>-7.4028689141880299E-3</c:v>
                </c:pt>
                <c:pt idx="183">
                  <c:v>-5.5594092981674399E-3</c:v>
                </c:pt>
                <c:pt idx="184">
                  <c:v>-5.1562771610787197E-3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EE-4B48-8EEF-C0E53DDBE14A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XLU x 20 dma / IDU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Sheet1!$W$2:$W$186</c:f>
              <c:numCache>
                <c:formatCode>0.0000%</c:formatCode>
                <c:ptCount val="185"/>
                <c:pt idx="20">
                  <c:v>-8.6470371751363995E-4</c:v>
                </c:pt>
                <c:pt idx="21">
                  <c:v>-1.29187628918202E-4</c:v>
                </c:pt>
                <c:pt idx="22">
                  <c:v>4.9945213535797998E-4</c:v>
                </c:pt>
                <c:pt idx="23">
                  <c:v>-7.1253724057848905E-4</c:v>
                </c:pt>
                <c:pt idx="24">
                  <c:v>-5.7454753961585505E-4</c:v>
                </c:pt>
                <c:pt idx="25">
                  <c:v>-1.86795475129009E-3</c:v>
                </c:pt>
                <c:pt idx="26">
                  <c:v>-3.83393558096003E-4</c:v>
                </c:pt>
                <c:pt idx="27">
                  <c:v>-6.0517505846659997E-6</c:v>
                </c:pt>
                <c:pt idx="28">
                  <c:v>2.42480888711416E-3</c:v>
                </c:pt>
                <c:pt idx="29">
                  <c:v>3.8821152040305201E-3</c:v>
                </c:pt>
                <c:pt idx="30">
                  <c:v>4.2381007100616899E-3</c:v>
                </c:pt>
                <c:pt idx="31">
                  <c:v>3.1795069471789602E-3</c:v>
                </c:pt>
                <c:pt idx="32">
                  <c:v>3.8621657725742701E-3</c:v>
                </c:pt>
                <c:pt idx="33">
                  <c:v>5.0475542309980697E-3</c:v>
                </c:pt>
                <c:pt idx="34">
                  <c:v>6.0346221634655899E-3</c:v>
                </c:pt>
                <c:pt idx="35">
                  <c:v>6.7524062777996503E-3</c:v>
                </c:pt>
                <c:pt idx="36">
                  <c:v>6.1697243766382403E-3</c:v>
                </c:pt>
                <c:pt idx="37">
                  <c:v>3.5130612749272802E-3</c:v>
                </c:pt>
                <c:pt idx="38">
                  <c:v>2.6571590008589701E-3</c:v>
                </c:pt>
                <c:pt idx="39">
                  <c:v>1.04168215056573E-3</c:v>
                </c:pt>
                <c:pt idx="40">
                  <c:v>4.9534744919714805E-4</c:v>
                </c:pt>
                <c:pt idx="41">
                  <c:v>8.6544247525110205E-4</c:v>
                </c:pt>
                <c:pt idx="42">
                  <c:v>-3.86670664178491E-4</c:v>
                </c:pt>
                <c:pt idx="43">
                  <c:v>-2.91082356434071E-5</c:v>
                </c:pt>
                <c:pt idx="44">
                  <c:v>-3.13140196944128E-4</c:v>
                </c:pt>
                <c:pt idx="45">
                  <c:v>2.0956723334209898E-3</c:v>
                </c:pt>
                <c:pt idx="46">
                  <c:v>2.9837394332408502E-4</c:v>
                </c:pt>
                <c:pt idx="47">
                  <c:v>1.8016979388499999E-5</c:v>
                </c:pt>
                <c:pt idx="48">
                  <c:v>9.2476901720567101E-4</c:v>
                </c:pt>
                <c:pt idx="49">
                  <c:v>2.4240537846085398E-3</c:v>
                </c:pt>
                <c:pt idx="50">
                  <c:v>6.9854453433494104E-3</c:v>
                </c:pt>
                <c:pt idx="51">
                  <c:v>5.4524560722249496E-3</c:v>
                </c:pt>
                <c:pt idx="52">
                  <c:v>4.7535288072157204E-3</c:v>
                </c:pt>
                <c:pt idx="53">
                  <c:v>2.2553415664513998E-3</c:v>
                </c:pt>
                <c:pt idx="54">
                  <c:v>-2.5026969647630598E-3</c:v>
                </c:pt>
                <c:pt idx="55">
                  <c:v>-1.51111195143924E-3</c:v>
                </c:pt>
                <c:pt idx="56">
                  <c:v>-1.1175443229089199E-3</c:v>
                </c:pt>
                <c:pt idx="57">
                  <c:v>-1.9799175821565498E-3</c:v>
                </c:pt>
                <c:pt idx="58">
                  <c:v>-7.6332240788100001E-4</c:v>
                </c:pt>
                <c:pt idx="59">
                  <c:v>-1.0431689940142901E-3</c:v>
                </c:pt>
                <c:pt idx="60">
                  <c:v>-8.6941234788929698E-4</c:v>
                </c:pt>
                <c:pt idx="61">
                  <c:v>-4.4868514152630298E-4</c:v>
                </c:pt>
                <c:pt idx="62">
                  <c:v>-2.9673537243980301E-3</c:v>
                </c:pt>
                <c:pt idx="63">
                  <c:v>-1.8561621363477299E-3</c:v>
                </c:pt>
                <c:pt idx="64">
                  <c:v>-2.70555404571897E-3</c:v>
                </c:pt>
                <c:pt idx="65">
                  <c:v>-1.37553678077464E-4</c:v>
                </c:pt>
                <c:pt idx="66">
                  <c:v>4.2532744333239199E-4</c:v>
                </c:pt>
                <c:pt idx="67">
                  <c:v>1.2683580013515001E-3</c:v>
                </c:pt>
                <c:pt idx="68">
                  <c:v>-2.19522835366695E-4</c:v>
                </c:pt>
                <c:pt idx="69">
                  <c:v>2.1701637133121499E-4</c:v>
                </c:pt>
                <c:pt idx="70">
                  <c:v>-4.8053479180613499E-5</c:v>
                </c:pt>
                <c:pt idx="71">
                  <c:v>1.48671869256434E-3</c:v>
                </c:pt>
                <c:pt idx="72">
                  <c:v>1.2469147880087199E-3</c:v>
                </c:pt>
                <c:pt idx="73">
                  <c:v>6.99111379409867E-4</c:v>
                </c:pt>
                <c:pt idx="74">
                  <c:v>1.0672219577337199E-3</c:v>
                </c:pt>
                <c:pt idx="75">
                  <c:v>-5.7333327518318102E-4</c:v>
                </c:pt>
                <c:pt idx="76">
                  <c:v>-1.3752879670371301E-3</c:v>
                </c:pt>
                <c:pt idx="77">
                  <c:v>-4.0716926204696998E-4</c:v>
                </c:pt>
                <c:pt idx="78">
                  <c:v>1.21279905084421E-3</c:v>
                </c:pt>
                <c:pt idx="79">
                  <c:v>7.1770995903040703E-4</c:v>
                </c:pt>
                <c:pt idx="80">
                  <c:v>-2.2609459390447701E-4</c:v>
                </c:pt>
                <c:pt idx="81">
                  <c:v>1.3497489309353299E-3</c:v>
                </c:pt>
                <c:pt idx="82">
                  <c:v>2.4008528197355002E-3</c:v>
                </c:pt>
                <c:pt idx="83">
                  <c:v>9.1441068047636096E-4</c:v>
                </c:pt>
                <c:pt idx="84">
                  <c:v>1.9714024534915799E-3</c:v>
                </c:pt>
                <c:pt idx="85">
                  <c:v>1.8634144582060201E-3</c:v>
                </c:pt>
                <c:pt idx="86">
                  <c:v>6.2035775261661203E-4</c:v>
                </c:pt>
                <c:pt idx="87">
                  <c:v>1.20562551199307E-3</c:v>
                </c:pt>
                <c:pt idx="88">
                  <c:v>2.32539652710903E-3</c:v>
                </c:pt>
                <c:pt idx="89">
                  <c:v>3.91190706649554E-4</c:v>
                </c:pt>
                <c:pt idx="90">
                  <c:v>6.8649721492334095E-4</c:v>
                </c:pt>
                <c:pt idx="91">
                  <c:v>-1.68213399896224E-4</c:v>
                </c:pt>
                <c:pt idx="92">
                  <c:v>-2.4928547519703801E-3</c:v>
                </c:pt>
                <c:pt idx="93">
                  <c:v>-2.9245500746250801E-3</c:v>
                </c:pt>
                <c:pt idx="94">
                  <c:v>-2.14754904964716E-3</c:v>
                </c:pt>
                <c:pt idx="95">
                  <c:v>-7.9762920908492603E-4</c:v>
                </c:pt>
                <c:pt idx="96">
                  <c:v>9.1792500601552195E-4</c:v>
                </c:pt>
                <c:pt idx="97">
                  <c:v>6.9837704210563302E-4</c:v>
                </c:pt>
                <c:pt idx="98">
                  <c:v>7.5542129293344501E-4</c:v>
                </c:pt>
                <c:pt idx="99">
                  <c:v>1.42350197654029E-3</c:v>
                </c:pt>
                <c:pt idx="100">
                  <c:v>9.1793478206157904E-4</c:v>
                </c:pt>
                <c:pt idx="101">
                  <c:v>5.3415595727416599E-4</c:v>
                </c:pt>
                <c:pt idx="102">
                  <c:v>-2.25778686760652E-3</c:v>
                </c:pt>
                <c:pt idx="103">
                  <c:v>-6.9380162112006095E-4</c:v>
                </c:pt>
                <c:pt idx="104">
                  <c:v>-2.1937519235330299E-3</c:v>
                </c:pt>
                <c:pt idx="105">
                  <c:v>-2.7168301871452402E-3</c:v>
                </c:pt>
                <c:pt idx="106">
                  <c:v>-1.53230683888111E-3</c:v>
                </c:pt>
                <c:pt idx="107">
                  <c:v>-1.6945522307900099E-3</c:v>
                </c:pt>
                <c:pt idx="108">
                  <c:v>-3.29209709127878E-3</c:v>
                </c:pt>
                <c:pt idx="109">
                  <c:v>-2.8034446859293502E-3</c:v>
                </c:pt>
                <c:pt idx="110">
                  <c:v>6.1743992113024406E-5</c:v>
                </c:pt>
                <c:pt idx="111">
                  <c:v>2.7070232068315798E-4</c:v>
                </c:pt>
                <c:pt idx="112">
                  <c:v>6.4397822168636596E-3</c:v>
                </c:pt>
                <c:pt idx="113">
                  <c:v>6.09441327856755E-3</c:v>
                </c:pt>
                <c:pt idx="114">
                  <c:v>4.8096406202911097E-3</c:v>
                </c:pt>
                <c:pt idx="115">
                  <c:v>5.1357531724308802E-3</c:v>
                </c:pt>
                <c:pt idx="116">
                  <c:v>-3.2239481938641402E-4</c:v>
                </c:pt>
                <c:pt idx="117">
                  <c:v>-1.0376632196310799E-3</c:v>
                </c:pt>
                <c:pt idx="118">
                  <c:v>-2.0218475040622102E-3</c:v>
                </c:pt>
                <c:pt idx="119">
                  <c:v>-1.0721016257362001E-3</c:v>
                </c:pt>
                <c:pt idx="120">
                  <c:v>-8.9978189928153595E-4</c:v>
                </c:pt>
                <c:pt idx="121">
                  <c:v>1.9423787825269799E-4</c:v>
                </c:pt>
                <c:pt idx="122">
                  <c:v>-4.4043403622759099E-4</c:v>
                </c:pt>
                <c:pt idx="123">
                  <c:v>-1.74489440766574E-3</c:v>
                </c:pt>
                <c:pt idx="124">
                  <c:v>-1.10682492670329E-3</c:v>
                </c:pt>
                <c:pt idx="125">
                  <c:v>-2.5674671427166301E-3</c:v>
                </c:pt>
                <c:pt idx="126">
                  <c:v>-4.3496528195480699E-3</c:v>
                </c:pt>
                <c:pt idx="127">
                  <c:v>-3.9731090353240404E-3</c:v>
                </c:pt>
                <c:pt idx="128">
                  <c:v>-4.1513147636994896E-3</c:v>
                </c:pt>
                <c:pt idx="129">
                  <c:v>-3.6711409992792399E-3</c:v>
                </c:pt>
                <c:pt idx="130">
                  <c:v>-4.2773797756088996E-3</c:v>
                </c:pt>
                <c:pt idx="131">
                  <c:v>-3.7918678987603101E-3</c:v>
                </c:pt>
                <c:pt idx="132">
                  <c:v>-4.6751323307953297E-3</c:v>
                </c:pt>
                <c:pt idx="133">
                  <c:v>-5.5582657276150296E-3</c:v>
                </c:pt>
                <c:pt idx="134">
                  <c:v>-4.3594648257468203E-3</c:v>
                </c:pt>
                <c:pt idx="135">
                  <c:v>-3.6819483862231299E-3</c:v>
                </c:pt>
                <c:pt idx="136">
                  <c:v>-1.54187881875662E-3</c:v>
                </c:pt>
                <c:pt idx="137">
                  <c:v>-1.61604523497616E-4</c:v>
                </c:pt>
                <c:pt idx="138">
                  <c:v>5.6896809248271202E-4</c:v>
                </c:pt>
                <c:pt idx="139">
                  <c:v>1.67903947077651E-3</c:v>
                </c:pt>
                <c:pt idx="140">
                  <c:v>1.0857202395779899E-3</c:v>
                </c:pt>
                <c:pt idx="141">
                  <c:v>4.2659324334834301E-4</c:v>
                </c:pt>
                <c:pt idx="142">
                  <c:v>-5.1419071606388601E-4</c:v>
                </c:pt>
                <c:pt idx="143">
                  <c:v>1.5783607686435199E-3</c:v>
                </c:pt>
                <c:pt idx="144">
                  <c:v>9.40432586550122E-4</c:v>
                </c:pt>
                <c:pt idx="145">
                  <c:v>1.01688574664222E-4</c:v>
                </c:pt>
                <c:pt idx="146">
                  <c:v>3.1068698516110402E-4</c:v>
                </c:pt>
                <c:pt idx="147">
                  <c:v>1.7978208282074499E-4</c:v>
                </c:pt>
                <c:pt idx="148">
                  <c:v>-2.19441788300073E-3</c:v>
                </c:pt>
                <c:pt idx="149">
                  <c:v>-2.7814590288101301E-3</c:v>
                </c:pt>
                <c:pt idx="150">
                  <c:v>-3.2826991431648199E-3</c:v>
                </c:pt>
                <c:pt idx="151">
                  <c:v>-2.2979211864090098E-3</c:v>
                </c:pt>
                <c:pt idx="152">
                  <c:v>-1.9604541891953399E-3</c:v>
                </c:pt>
                <c:pt idx="153">
                  <c:v>-6.6556287530304995E-4</c:v>
                </c:pt>
                <c:pt idx="154">
                  <c:v>-6.0230454073985395E-4</c:v>
                </c:pt>
                <c:pt idx="155">
                  <c:v>-3.0198887573099097E-4</c:v>
                </c:pt>
                <c:pt idx="156">
                  <c:v>4.7175668268405597E-4</c:v>
                </c:pt>
                <c:pt idx="157">
                  <c:v>-1.3472165491552699E-3</c:v>
                </c:pt>
                <c:pt idx="158">
                  <c:v>-1.1874406120039301E-3</c:v>
                </c:pt>
                <c:pt idx="159">
                  <c:v>-3.7168816841461698E-3</c:v>
                </c:pt>
                <c:pt idx="160">
                  <c:v>-2.5997571306653399E-3</c:v>
                </c:pt>
                <c:pt idx="161">
                  <c:v>-4.41534571623822E-4</c:v>
                </c:pt>
                <c:pt idx="162">
                  <c:v>3.0331488899726198E-4</c:v>
                </c:pt>
                <c:pt idx="163">
                  <c:v>4.5440767409752703E-4</c:v>
                </c:pt>
                <c:pt idx="164">
                  <c:v>-1.0039690772219599E-3</c:v>
                </c:pt>
                <c:pt idx="165">
                  <c:v>-2.6088290328090602E-3</c:v>
                </c:pt>
                <c:pt idx="166">
                  <c:v>-1.8281779302265599E-3</c:v>
                </c:pt>
                <c:pt idx="167">
                  <c:v>-9.8363460292028395E-4</c:v>
                </c:pt>
                <c:pt idx="168">
                  <c:v>-1.1316381552865099E-3</c:v>
                </c:pt>
                <c:pt idx="169">
                  <c:v>-6.4112028907838104E-4</c:v>
                </c:pt>
                <c:pt idx="170">
                  <c:v>8.8131334206533098E-6</c:v>
                </c:pt>
                <c:pt idx="171">
                  <c:v>-6.6351248001429795E-4</c:v>
                </c:pt>
                <c:pt idx="172">
                  <c:v>-1.1010023561624999E-3</c:v>
                </c:pt>
                <c:pt idx="173">
                  <c:v>-1.43517805512668E-3</c:v>
                </c:pt>
                <c:pt idx="174">
                  <c:v>-3.0117315771777601E-3</c:v>
                </c:pt>
                <c:pt idx="175">
                  <c:v>2.1012837062392101E-3</c:v>
                </c:pt>
                <c:pt idx="176">
                  <c:v>3.1414687198505101E-3</c:v>
                </c:pt>
                <c:pt idx="177">
                  <c:v>3.9562162918743201E-3</c:v>
                </c:pt>
                <c:pt idx="178">
                  <c:v>2.9921787083036699E-3</c:v>
                </c:pt>
                <c:pt idx="179">
                  <c:v>-2.7801525513794002E-3</c:v>
                </c:pt>
                <c:pt idx="180">
                  <c:v>-3.6234881034973398E-3</c:v>
                </c:pt>
                <c:pt idx="181">
                  <c:v>-6.0647111647988104E-3</c:v>
                </c:pt>
                <c:pt idx="182">
                  <c:v>-7.5797139506810496E-3</c:v>
                </c:pt>
                <c:pt idx="183">
                  <c:v>-5.9748021097977503E-3</c:v>
                </c:pt>
                <c:pt idx="184">
                  <c:v>-5.70976833421974E-3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EE-4B48-8EEF-C0E53DDBE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6.5346437533811939E-4</c:v>
                </c:pt>
                <c:pt idx="75">
                  <c:v>1.9001853762475895E-3</c:v>
                </c:pt>
                <c:pt idx="76">
                  <c:v>1.9001853762475895E-3</c:v>
                </c:pt>
                <c:pt idx="77">
                  <c:v>1.9001853762475895E-3</c:v>
                </c:pt>
                <c:pt idx="78">
                  <c:v>1.9001853762475895E-3</c:v>
                </c:pt>
                <c:pt idx="79">
                  <c:v>1.9001853762475895E-3</c:v>
                </c:pt>
                <c:pt idx="80">
                  <c:v>1.9001853762475895E-3</c:v>
                </c:pt>
                <c:pt idx="81">
                  <c:v>1.9001853762475895E-3</c:v>
                </c:pt>
                <c:pt idx="82">
                  <c:v>1.9001853762475895E-3</c:v>
                </c:pt>
                <c:pt idx="83">
                  <c:v>1.9001853762475895E-3</c:v>
                </c:pt>
                <c:pt idx="84">
                  <c:v>1.9001853762475895E-3</c:v>
                </c:pt>
                <c:pt idx="85">
                  <c:v>1.9001853762475895E-3</c:v>
                </c:pt>
                <c:pt idx="86">
                  <c:v>2.8667484287065591E-3</c:v>
                </c:pt>
                <c:pt idx="87">
                  <c:v>2.5911248285702617E-3</c:v>
                </c:pt>
                <c:pt idx="88">
                  <c:v>8.3541481568366301E-4</c:v>
                </c:pt>
                <c:pt idx="89">
                  <c:v>1.021089741002044E-3</c:v>
                </c:pt>
                <c:pt idx="90">
                  <c:v>3.6819509219482736E-3</c:v>
                </c:pt>
                <c:pt idx="91">
                  <c:v>3.6819509219482736E-3</c:v>
                </c:pt>
                <c:pt idx="92">
                  <c:v>3.6819509219482736E-3</c:v>
                </c:pt>
                <c:pt idx="93">
                  <c:v>3.6819509219482736E-3</c:v>
                </c:pt>
                <c:pt idx="94">
                  <c:v>3.6819509219482736E-3</c:v>
                </c:pt>
                <c:pt idx="95">
                  <c:v>3.6819509219482736E-3</c:v>
                </c:pt>
                <c:pt idx="96">
                  <c:v>3.6819509219482736E-3</c:v>
                </c:pt>
                <c:pt idx="97">
                  <c:v>3.6819509219482736E-3</c:v>
                </c:pt>
                <c:pt idx="98">
                  <c:v>3.6819509219482736E-3</c:v>
                </c:pt>
                <c:pt idx="99">
                  <c:v>3.6819509219482736E-3</c:v>
                </c:pt>
                <c:pt idx="100">
                  <c:v>3.6819509219482736E-3</c:v>
                </c:pt>
                <c:pt idx="101">
                  <c:v>3.6819509219482736E-3</c:v>
                </c:pt>
                <c:pt idx="102">
                  <c:v>3.6819509219482736E-3</c:v>
                </c:pt>
                <c:pt idx="103">
                  <c:v>3.6819509219482736E-3</c:v>
                </c:pt>
                <c:pt idx="104">
                  <c:v>3.6819509219482736E-3</c:v>
                </c:pt>
                <c:pt idx="105">
                  <c:v>3.6819509219482736E-3</c:v>
                </c:pt>
                <c:pt idx="106">
                  <c:v>3.6819509219482736E-3</c:v>
                </c:pt>
                <c:pt idx="107">
                  <c:v>3.9183107265504634E-3</c:v>
                </c:pt>
                <c:pt idx="108">
                  <c:v>3.6256064196860636E-3</c:v>
                </c:pt>
                <c:pt idx="109">
                  <c:v>4.0645961618458433E-3</c:v>
                </c:pt>
                <c:pt idx="110">
                  <c:v>3.4298961965649735E-3</c:v>
                </c:pt>
                <c:pt idx="111">
                  <c:v>3.7218296539943724E-3</c:v>
                </c:pt>
                <c:pt idx="112">
                  <c:v>2.6536026829119823E-3</c:v>
                </c:pt>
                <c:pt idx="113">
                  <c:v>1.2266485200100427E-3</c:v>
                </c:pt>
                <c:pt idx="114">
                  <c:v>1.8084844040506831E-3</c:v>
                </c:pt>
                <c:pt idx="115">
                  <c:v>1.9419581563099027E-3</c:v>
                </c:pt>
                <c:pt idx="116">
                  <c:v>3.5121560150150853E-3</c:v>
                </c:pt>
                <c:pt idx="117">
                  <c:v>4.6575694506806875E-3</c:v>
                </c:pt>
                <c:pt idx="118">
                  <c:v>4.6575694506806875E-3</c:v>
                </c:pt>
                <c:pt idx="119">
                  <c:v>4.6575694506806875E-3</c:v>
                </c:pt>
                <c:pt idx="120">
                  <c:v>4.6575694506806875E-3</c:v>
                </c:pt>
                <c:pt idx="121">
                  <c:v>4.6575694506806875E-3</c:v>
                </c:pt>
                <c:pt idx="122">
                  <c:v>4.6575694506806875E-3</c:v>
                </c:pt>
                <c:pt idx="123">
                  <c:v>4.6575694506806875E-3</c:v>
                </c:pt>
                <c:pt idx="124">
                  <c:v>4.6575694506806875E-3</c:v>
                </c:pt>
                <c:pt idx="125">
                  <c:v>4.6575694506806875E-3</c:v>
                </c:pt>
                <c:pt idx="126">
                  <c:v>4.6575694506806875E-3</c:v>
                </c:pt>
                <c:pt idx="127">
                  <c:v>4.6575694506806875E-3</c:v>
                </c:pt>
                <c:pt idx="128">
                  <c:v>4.6575694506806875E-3</c:v>
                </c:pt>
                <c:pt idx="129">
                  <c:v>4.6575694506806875E-3</c:v>
                </c:pt>
                <c:pt idx="130">
                  <c:v>4.0090185589301865E-3</c:v>
                </c:pt>
                <c:pt idx="131">
                  <c:v>4.8457192123715874E-3</c:v>
                </c:pt>
                <c:pt idx="132">
                  <c:v>5.0624788348886569E-3</c:v>
                </c:pt>
                <c:pt idx="133">
                  <c:v>6.3009594356459265E-3</c:v>
                </c:pt>
                <c:pt idx="134">
                  <c:v>6.3009594356459265E-3</c:v>
                </c:pt>
                <c:pt idx="135">
                  <c:v>6.3009594356459265E-3</c:v>
                </c:pt>
                <c:pt idx="136">
                  <c:v>6.3009594356459265E-3</c:v>
                </c:pt>
                <c:pt idx="137">
                  <c:v>6.3009594356459265E-3</c:v>
                </c:pt>
                <c:pt idx="138">
                  <c:v>6.3009594356459265E-3</c:v>
                </c:pt>
                <c:pt idx="139">
                  <c:v>6.3009594356459265E-3</c:v>
                </c:pt>
                <c:pt idx="140">
                  <c:v>7.0869473825418477E-3</c:v>
                </c:pt>
                <c:pt idx="141">
                  <c:v>8.9853994396880341E-3</c:v>
                </c:pt>
                <c:pt idx="142">
                  <c:v>8.9853994396880341E-3</c:v>
                </c:pt>
                <c:pt idx="143">
                  <c:v>8.9853994396880341E-3</c:v>
                </c:pt>
                <c:pt idx="144">
                  <c:v>8.9853994396880341E-3</c:v>
                </c:pt>
                <c:pt idx="145">
                  <c:v>8.9853994396880341E-3</c:v>
                </c:pt>
                <c:pt idx="146">
                  <c:v>9.5457841981388229E-3</c:v>
                </c:pt>
                <c:pt idx="147">
                  <c:v>1.0191105822257233E-2</c:v>
                </c:pt>
                <c:pt idx="148">
                  <c:v>1.0191105822257233E-2</c:v>
                </c:pt>
                <c:pt idx="149">
                  <c:v>1.0191105822257233E-2</c:v>
                </c:pt>
                <c:pt idx="150">
                  <c:v>1.0191105822257233E-2</c:v>
                </c:pt>
                <c:pt idx="151">
                  <c:v>1.0191105822257233E-2</c:v>
                </c:pt>
                <c:pt idx="152">
                  <c:v>1.0191105822257233E-2</c:v>
                </c:pt>
                <c:pt idx="153">
                  <c:v>1.0191105822257233E-2</c:v>
                </c:pt>
                <c:pt idx="154">
                  <c:v>1.0191105822257233E-2</c:v>
                </c:pt>
                <c:pt idx="155">
                  <c:v>1.0191105822257233E-2</c:v>
                </c:pt>
                <c:pt idx="156">
                  <c:v>1.1240473912828083E-2</c:v>
                </c:pt>
                <c:pt idx="157">
                  <c:v>1.2074845640182252E-2</c:v>
                </c:pt>
                <c:pt idx="158">
                  <c:v>1.1261328524116852E-2</c:v>
                </c:pt>
                <c:pt idx="159">
                  <c:v>1.1261328524116852E-2</c:v>
                </c:pt>
                <c:pt idx="160">
                  <c:v>1.1261328524116852E-2</c:v>
                </c:pt>
                <c:pt idx="161">
                  <c:v>1.1261328524116852E-2</c:v>
                </c:pt>
                <c:pt idx="162">
                  <c:v>9.3972588857700115E-3</c:v>
                </c:pt>
                <c:pt idx="163">
                  <c:v>1.0528648266780792E-2</c:v>
                </c:pt>
                <c:pt idx="164">
                  <c:v>1.0371845614306621E-2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C-462A-9D93-41A125834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-1.4461982864952989E-3</c:v>
                </c:pt>
                <c:pt idx="10">
                  <c:v>-1.9237047319069088E-3</c:v>
                </c:pt>
                <c:pt idx="11">
                  <c:v>-9.7803928290081084E-4</c:v>
                </c:pt>
                <c:pt idx="12">
                  <c:v>-1.7224052162492114E-3</c:v>
                </c:pt>
                <c:pt idx="13">
                  <c:v>-3.1473543135625312E-3</c:v>
                </c:pt>
                <c:pt idx="14">
                  <c:v>-4.5457835552297314E-3</c:v>
                </c:pt>
                <c:pt idx="15">
                  <c:v>-5.7457859583632115E-3</c:v>
                </c:pt>
                <c:pt idx="16">
                  <c:v>-5.6912928914572211E-3</c:v>
                </c:pt>
                <c:pt idx="17">
                  <c:v>-3.4753997577202708E-3</c:v>
                </c:pt>
                <c:pt idx="18">
                  <c:v>-2.9794584609613723E-3</c:v>
                </c:pt>
                <c:pt idx="19">
                  <c:v>-1.5582186014941228E-3</c:v>
                </c:pt>
                <c:pt idx="20">
                  <c:v>-1.1411811912424132E-3</c:v>
                </c:pt>
                <c:pt idx="21">
                  <c:v>-1.6982334665080934E-3</c:v>
                </c:pt>
                <c:pt idx="22">
                  <c:v>-6.305500294267641E-4</c:v>
                </c:pt>
                <c:pt idx="23">
                  <c:v>-6.305500294267641E-4</c:v>
                </c:pt>
                <c:pt idx="24">
                  <c:v>-6.305500294267641E-4</c:v>
                </c:pt>
                <c:pt idx="25">
                  <c:v>-6.305500294267641E-4</c:v>
                </c:pt>
                <c:pt idx="26">
                  <c:v>7.879813838874059E-4</c:v>
                </c:pt>
                <c:pt idx="27">
                  <c:v>8.2889321417827606E-4</c:v>
                </c:pt>
                <c:pt idx="28">
                  <c:v>8.2889321417827606E-4</c:v>
                </c:pt>
                <c:pt idx="29">
                  <c:v>8.2889321417827606E-4</c:v>
                </c:pt>
                <c:pt idx="30">
                  <c:v>8.2889321417827606E-4</c:v>
                </c:pt>
                <c:pt idx="31">
                  <c:v>1.9765498795600452E-3</c:v>
                </c:pt>
                <c:pt idx="32">
                  <c:v>2.299678675812405E-3</c:v>
                </c:pt>
                <c:pt idx="33">
                  <c:v>2.299678675812405E-3</c:v>
                </c:pt>
                <c:pt idx="34">
                  <c:v>2.299678675812405E-3</c:v>
                </c:pt>
                <c:pt idx="35">
                  <c:v>2.299678675812405E-3</c:v>
                </c:pt>
                <c:pt idx="36">
                  <c:v>2.299678675812405E-3</c:v>
                </c:pt>
                <c:pt idx="37">
                  <c:v>2.299678675812405E-3</c:v>
                </c:pt>
                <c:pt idx="38">
                  <c:v>2.299678675812405E-3</c:v>
                </c:pt>
                <c:pt idx="39">
                  <c:v>2.299678675812405E-3</c:v>
                </c:pt>
                <c:pt idx="40">
                  <c:v>2.299678675812405E-3</c:v>
                </c:pt>
                <c:pt idx="41">
                  <c:v>2.299678675812405E-3</c:v>
                </c:pt>
                <c:pt idx="42">
                  <c:v>2.299678675812405E-3</c:v>
                </c:pt>
                <c:pt idx="43">
                  <c:v>2.299678675812405E-3</c:v>
                </c:pt>
                <c:pt idx="44">
                  <c:v>2.299678675812405E-3</c:v>
                </c:pt>
                <c:pt idx="45">
                  <c:v>2.299678675812405E-3</c:v>
                </c:pt>
                <c:pt idx="46">
                  <c:v>2.299678675812405E-3</c:v>
                </c:pt>
                <c:pt idx="47">
                  <c:v>1.3726347838603254E-3</c:v>
                </c:pt>
                <c:pt idx="48">
                  <c:v>2.7281267164259251E-3</c:v>
                </c:pt>
                <c:pt idx="49">
                  <c:v>2.2834934892425451E-3</c:v>
                </c:pt>
                <c:pt idx="50">
                  <c:v>2.6013096877365548E-3</c:v>
                </c:pt>
                <c:pt idx="51">
                  <c:v>1.3709967299009246E-3</c:v>
                </c:pt>
                <c:pt idx="52">
                  <c:v>1.7966826759059249E-3</c:v>
                </c:pt>
                <c:pt idx="53">
                  <c:v>2.5355138768088448E-3</c:v>
                </c:pt>
                <c:pt idx="54">
                  <c:v>2.2869799299346455E-3</c:v>
                </c:pt>
                <c:pt idx="55">
                  <c:v>3.8041316986973986E-3</c:v>
                </c:pt>
                <c:pt idx="56">
                  <c:v>3.8041316986973986E-3</c:v>
                </c:pt>
                <c:pt idx="57">
                  <c:v>3.8041316986973986E-3</c:v>
                </c:pt>
                <c:pt idx="58">
                  <c:v>3.8041316986973986E-3</c:v>
                </c:pt>
                <c:pt idx="59">
                  <c:v>4.2187612920772883E-3</c:v>
                </c:pt>
                <c:pt idx="60">
                  <c:v>5.0876904526181875E-3</c:v>
                </c:pt>
                <c:pt idx="61">
                  <c:v>5.0876904526181875E-3</c:v>
                </c:pt>
                <c:pt idx="62">
                  <c:v>3.9600070717527476E-3</c:v>
                </c:pt>
                <c:pt idx="63">
                  <c:v>5.1905003530105876E-3</c:v>
                </c:pt>
                <c:pt idx="64">
                  <c:v>3.9942257508073379E-3</c:v>
                </c:pt>
                <c:pt idx="65">
                  <c:v>3.8617875003219377E-3</c:v>
                </c:pt>
                <c:pt idx="66">
                  <c:v>4.9857686265706381E-3</c:v>
                </c:pt>
                <c:pt idx="67">
                  <c:v>4.3649854396602484E-3</c:v>
                </c:pt>
                <c:pt idx="68">
                  <c:v>3.2250233149438883E-3</c:v>
                </c:pt>
                <c:pt idx="69">
                  <c:v>5.0143615975502282E-3</c:v>
                </c:pt>
                <c:pt idx="70">
                  <c:v>4.6857711714689276E-3</c:v>
                </c:pt>
                <c:pt idx="71">
                  <c:v>5.4748759903818578E-3</c:v>
                </c:pt>
                <c:pt idx="72">
                  <c:v>5.4748759903818578E-3</c:v>
                </c:pt>
                <c:pt idx="73">
                  <c:v>5.4748759903818578E-3</c:v>
                </c:pt>
                <c:pt idx="74">
                  <c:v>5.4748759903818578E-3</c:v>
                </c:pt>
                <c:pt idx="75">
                  <c:v>5.4748759903818578E-3</c:v>
                </c:pt>
                <c:pt idx="76">
                  <c:v>5.4748759903818578E-3</c:v>
                </c:pt>
                <c:pt idx="77">
                  <c:v>5.4748759903818578E-3</c:v>
                </c:pt>
                <c:pt idx="78">
                  <c:v>5.4748759903818578E-3</c:v>
                </c:pt>
                <c:pt idx="79">
                  <c:v>5.4748759903818578E-3</c:v>
                </c:pt>
                <c:pt idx="80">
                  <c:v>5.8860979377786593E-3</c:v>
                </c:pt>
                <c:pt idx="81">
                  <c:v>6.152568569243809E-3</c:v>
                </c:pt>
                <c:pt idx="82">
                  <c:v>8.9204157377086105E-3</c:v>
                </c:pt>
                <c:pt idx="83">
                  <c:v>8.9204157377086105E-3</c:v>
                </c:pt>
                <c:pt idx="84">
                  <c:v>8.9204157377086105E-3</c:v>
                </c:pt>
                <c:pt idx="85">
                  <c:v>8.9204157377086105E-3</c:v>
                </c:pt>
                <c:pt idx="86">
                  <c:v>8.9204157377086105E-3</c:v>
                </c:pt>
                <c:pt idx="87">
                  <c:v>8.9204157377086105E-3</c:v>
                </c:pt>
                <c:pt idx="88">
                  <c:v>8.9204157377086105E-3</c:v>
                </c:pt>
                <c:pt idx="89">
                  <c:v>8.9204157377086105E-3</c:v>
                </c:pt>
                <c:pt idx="90">
                  <c:v>8.9204157377086105E-3</c:v>
                </c:pt>
                <c:pt idx="91">
                  <c:v>8.9204157377086105E-3</c:v>
                </c:pt>
                <c:pt idx="92">
                  <c:v>8.9204157377086105E-3</c:v>
                </c:pt>
                <c:pt idx="93">
                  <c:v>8.9204157377086105E-3</c:v>
                </c:pt>
                <c:pt idx="94">
                  <c:v>8.9204157377086105E-3</c:v>
                </c:pt>
                <c:pt idx="95">
                  <c:v>8.9204157377086105E-3</c:v>
                </c:pt>
                <c:pt idx="96">
                  <c:v>8.9204157377086105E-3</c:v>
                </c:pt>
                <c:pt idx="97">
                  <c:v>8.9204157377086105E-3</c:v>
                </c:pt>
                <c:pt idx="98">
                  <c:v>8.9204157377086105E-3</c:v>
                </c:pt>
                <c:pt idx="99">
                  <c:v>8.9204157377086105E-3</c:v>
                </c:pt>
                <c:pt idx="100">
                  <c:v>8.9204157377086105E-3</c:v>
                </c:pt>
                <c:pt idx="101">
                  <c:v>8.9204157377086105E-3</c:v>
                </c:pt>
                <c:pt idx="102">
                  <c:v>9.5988713066875106E-3</c:v>
                </c:pt>
                <c:pt idx="103">
                  <c:v>1.084260901706381E-2</c:v>
                </c:pt>
                <c:pt idx="104">
                  <c:v>1.084260901706381E-2</c:v>
                </c:pt>
                <c:pt idx="105">
                  <c:v>1.084260901706381E-2</c:v>
                </c:pt>
                <c:pt idx="106">
                  <c:v>1.084260901706381E-2</c:v>
                </c:pt>
                <c:pt idx="107">
                  <c:v>1.084260901706381E-2</c:v>
                </c:pt>
                <c:pt idx="108">
                  <c:v>1.084260901706381E-2</c:v>
                </c:pt>
                <c:pt idx="109">
                  <c:v>1.084260901706381E-2</c:v>
                </c:pt>
                <c:pt idx="110">
                  <c:v>1.084260901706381E-2</c:v>
                </c:pt>
                <c:pt idx="111">
                  <c:v>1.084260901706381E-2</c:v>
                </c:pt>
                <c:pt idx="112">
                  <c:v>1.084260901706381E-2</c:v>
                </c:pt>
                <c:pt idx="113">
                  <c:v>1.084260901706381E-2</c:v>
                </c:pt>
                <c:pt idx="114">
                  <c:v>1.084260901706381E-2</c:v>
                </c:pt>
                <c:pt idx="115">
                  <c:v>1.084260901706381E-2</c:v>
                </c:pt>
                <c:pt idx="116">
                  <c:v>1.084260901706381E-2</c:v>
                </c:pt>
                <c:pt idx="117">
                  <c:v>1.084260901706381E-2</c:v>
                </c:pt>
                <c:pt idx="118">
                  <c:v>1.084260901706381E-2</c:v>
                </c:pt>
                <c:pt idx="119">
                  <c:v>1.084260901706381E-2</c:v>
                </c:pt>
                <c:pt idx="120">
                  <c:v>1.148167679375311E-2</c:v>
                </c:pt>
                <c:pt idx="121">
                  <c:v>1.2220607221833249E-2</c:v>
                </c:pt>
                <c:pt idx="122">
                  <c:v>1.3327310692757149E-2</c:v>
                </c:pt>
                <c:pt idx="123">
                  <c:v>1.3327310692757149E-2</c:v>
                </c:pt>
                <c:pt idx="124">
                  <c:v>1.3995430757281359E-2</c:v>
                </c:pt>
                <c:pt idx="125">
                  <c:v>1.4925995122183911E-2</c:v>
                </c:pt>
                <c:pt idx="126">
                  <c:v>1.4925995122183911E-2</c:v>
                </c:pt>
                <c:pt idx="127">
                  <c:v>1.4925995122183911E-2</c:v>
                </c:pt>
                <c:pt idx="128">
                  <c:v>1.4925995122183911E-2</c:v>
                </c:pt>
                <c:pt idx="129">
                  <c:v>1.4925995122183911E-2</c:v>
                </c:pt>
                <c:pt idx="130">
                  <c:v>1.4925995122183911E-2</c:v>
                </c:pt>
                <c:pt idx="131">
                  <c:v>1.4925995122183911E-2</c:v>
                </c:pt>
                <c:pt idx="132">
                  <c:v>1.4925995122183911E-2</c:v>
                </c:pt>
                <c:pt idx="133">
                  <c:v>1.4925995122183911E-2</c:v>
                </c:pt>
                <c:pt idx="134">
                  <c:v>1.4925995122183911E-2</c:v>
                </c:pt>
                <c:pt idx="135">
                  <c:v>1.4925995122183911E-2</c:v>
                </c:pt>
                <c:pt idx="136">
                  <c:v>1.4925995122183911E-2</c:v>
                </c:pt>
                <c:pt idx="137">
                  <c:v>1.4925995122183911E-2</c:v>
                </c:pt>
                <c:pt idx="138">
                  <c:v>1.4925995122183911E-2</c:v>
                </c:pt>
                <c:pt idx="139">
                  <c:v>1.4925995122183911E-2</c:v>
                </c:pt>
                <c:pt idx="140">
                  <c:v>1.4925995122183911E-2</c:v>
                </c:pt>
                <c:pt idx="141">
                  <c:v>1.4925995122183911E-2</c:v>
                </c:pt>
                <c:pt idx="142">
                  <c:v>1.4925995122183911E-2</c:v>
                </c:pt>
                <c:pt idx="143">
                  <c:v>1.4925995122183911E-2</c:v>
                </c:pt>
                <c:pt idx="144">
                  <c:v>1.4925995122183911E-2</c:v>
                </c:pt>
                <c:pt idx="145">
                  <c:v>1.4925995122183911E-2</c:v>
                </c:pt>
                <c:pt idx="146">
                  <c:v>1.4925995122183911E-2</c:v>
                </c:pt>
                <c:pt idx="147">
                  <c:v>1.4925995122183911E-2</c:v>
                </c:pt>
                <c:pt idx="148">
                  <c:v>1.4925995122183911E-2</c:v>
                </c:pt>
                <c:pt idx="149">
                  <c:v>1.4925995122183911E-2</c:v>
                </c:pt>
                <c:pt idx="150">
                  <c:v>1.4925995122183911E-2</c:v>
                </c:pt>
                <c:pt idx="151">
                  <c:v>1.4925995122183911E-2</c:v>
                </c:pt>
                <c:pt idx="152">
                  <c:v>1.4925995122183911E-2</c:v>
                </c:pt>
                <c:pt idx="153">
                  <c:v>1.4925995122183911E-2</c:v>
                </c:pt>
                <c:pt idx="154">
                  <c:v>1.4925995122183911E-2</c:v>
                </c:pt>
                <c:pt idx="155">
                  <c:v>1.4925995122183911E-2</c:v>
                </c:pt>
                <c:pt idx="156">
                  <c:v>1.4925995122183911E-2</c:v>
                </c:pt>
                <c:pt idx="157">
                  <c:v>1.4925995122183911E-2</c:v>
                </c:pt>
                <c:pt idx="158">
                  <c:v>1.4925995122183911E-2</c:v>
                </c:pt>
                <c:pt idx="159">
                  <c:v>1.4925995122183911E-2</c:v>
                </c:pt>
                <c:pt idx="160">
                  <c:v>1.4925995122183911E-2</c:v>
                </c:pt>
                <c:pt idx="161">
                  <c:v>1.4925995122183911E-2</c:v>
                </c:pt>
                <c:pt idx="162">
                  <c:v>1.4925995122183911E-2</c:v>
                </c:pt>
                <c:pt idx="163">
                  <c:v>1.4925995122183911E-2</c:v>
                </c:pt>
                <c:pt idx="164">
                  <c:v>1.4925995122183911E-2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D-444F-8A11-2655E0233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-1.4461982864952989E-3</c:v>
                </c:pt>
                <c:pt idx="10">
                  <c:v>-1.9237047319069088E-3</c:v>
                </c:pt>
                <c:pt idx="11">
                  <c:v>-9.7803928290081084E-4</c:v>
                </c:pt>
                <c:pt idx="12">
                  <c:v>-1.7224052162492114E-3</c:v>
                </c:pt>
                <c:pt idx="13">
                  <c:v>-3.1473543135625312E-3</c:v>
                </c:pt>
                <c:pt idx="14">
                  <c:v>-4.5457835552297314E-3</c:v>
                </c:pt>
                <c:pt idx="15">
                  <c:v>-5.7457859583632115E-3</c:v>
                </c:pt>
                <c:pt idx="16">
                  <c:v>-5.6912928914572211E-3</c:v>
                </c:pt>
                <c:pt idx="17">
                  <c:v>-3.4753997577202708E-3</c:v>
                </c:pt>
                <c:pt idx="18">
                  <c:v>-2.9794584609613723E-3</c:v>
                </c:pt>
                <c:pt idx="19">
                  <c:v>-1.5582186014941228E-3</c:v>
                </c:pt>
                <c:pt idx="20">
                  <c:v>-1.1411811912424132E-3</c:v>
                </c:pt>
                <c:pt idx="21">
                  <c:v>-1.6982334665080934E-3</c:v>
                </c:pt>
                <c:pt idx="22">
                  <c:v>-6.305500294267641E-4</c:v>
                </c:pt>
                <c:pt idx="23">
                  <c:v>-6.305500294267641E-4</c:v>
                </c:pt>
                <c:pt idx="24">
                  <c:v>-6.305500294267641E-4</c:v>
                </c:pt>
                <c:pt idx="25">
                  <c:v>-6.305500294267641E-4</c:v>
                </c:pt>
                <c:pt idx="26">
                  <c:v>7.879813838874059E-4</c:v>
                </c:pt>
                <c:pt idx="27">
                  <c:v>8.2889321417827606E-4</c:v>
                </c:pt>
                <c:pt idx="28">
                  <c:v>8.2889321417827606E-4</c:v>
                </c:pt>
                <c:pt idx="29">
                  <c:v>8.2889321417827606E-4</c:v>
                </c:pt>
                <c:pt idx="30">
                  <c:v>8.2889321417827606E-4</c:v>
                </c:pt>
                <c:pt idx="31">
                  <c:v>1.9765498795600452E-3</c:v>
                </c:pt>
                <c:pt idx="32">
                  <c:v>2.299678675812405E-3</c:v>
                </c:pt>
                <c:pt idx="33">
                  <c:v>2.299678675812405E-3</c:v>
                </c:pt>
                <c:pt idx="34">
                  <c:v>2.299678675812405E-3</c:v>
                </c:pt>
                <c:pt idx="35">
                  <c:v>2.299678675812405E-3</c:v>
                </c:pt>
                <c:pt idx="36">
                  <c:v>2.299678675812405E-3</c:v>
                </c:pt>
                <c:pt idx="37">
                  <c:v>2.299678675812405E-3</c:v>
                </c:pt>
                <c:pt idx="38">
                  <c:v>2.299678675812405E-3</c:v>
                </c:pt>
                <c:pt idx="39">
                  <c:v>2.299678675812405E-3</c:v>
                </c:pt>
                <c:pt idx="40">
                  <c:v>2.299678675812405E-3</c:v>
                </c:pt>
                <c:pt idx="41">
                  <c:v>2.299678675812405E-3</c:v>
                </c:pt>
                <c:pt idx="42">
                  <c:v>2.299678675812405E-3</c:v>
                </c:pt>
                <c:pt idx="43">
                  <c:v>2.299678675812405E-3</c:v>
                </c:pt>
                <c:pt idx="44">
                  <c:v>2.299678675812405E-3</c:v>
                </c:pt>
                <c:pt idx="45">
                  <c:v>2.299678675812405E-3</c:v>
                </c:pt>
                <c:pt idx="46">
                  <c:v>2.299678675812405E-3</c:v>
                </c:pt>
                <c:pt idx="47">
                  <c:v>1.3726347838603254E-3</c:v>
                </c:pt>
                <c:pt idx="48">
                  <c:v>2.7281267164259251E-3</c:v>
                </c:pt>
                <c:pt idx="49">
                  <c:v>2.2834934892425451E-3</c:v>
                </c:pt>
                <c:pt idx="50">
                  <c:v>2.6013096877365548E-3</c:v>
                </c:pt>
                <c:pt idx="51">
                  <c:v>1.3709967299009246E-3</c:v>
                </c:pt>
                <c:pt idx="52">
                  <c:v>1.7966826759059249E-3</c:v>
                </c:pt>
                <c:pt idx="53">
                  <c:v>2.5355138768088448E-3</c:v>
                </c:pt>
                <c:pt idx="54">
                  <c:v>2.2869799299346455E-3</c:v>
                </c:pt>
                <c:pt idx="55">
                  <c:v>3.8041316986973986E-3</c:v>
                </c:pt>
                <c:pt idx="56">
                  <c:v>3.8041316986973986E-3</c:v>
                </c:pt>
                <c:pt idx="57">
                  <c:v>3.8041316986973986E-3</c:v>
                </c:pt>
                <c:pt idx="58">
                  <c:v>3.8041316986973986E-3</c:v>
                </c:pt>
                <c:pt idx="59">
                  <c:v>4.2187612920772883E-3</c:v>
                </c:pt>
                <c:pt idx="60">
                  <c:v>5.0876904526181875E-3</c:v>
                </c:pt>
                <c:pt idx="61">
                  <c:v>5.0876904526181875E-3</c:v>
                </c:pt>
                <c:pt idx="62">
                  <c:v>3.9600070717527476E-3</c:v>
                </c:pt>
                <c:pt idx="63">
                  <c:v>5.1905003530105876E-3</c:v>
                </c:pt>
                <c:pt idx="64">
                  <c:v>3.9942257508073379E-3</c:v>
                </c:pt>
                <c:pt idx="65">
                  <c:v>3.8617875003219377E-3</c:v>
                </c:pt>
                <c:pt idx="66">
                  <c:v>4.9857686265706381E-3</c:v>
                </c:pt>
                <c:pt idx="67">
                  <c:v>4.3649854396602484E-3</c:v>
                </c:pt>
                <c:pt idx="68">
                  <c:v>3.2250233149438883E-3</c:v>
                </c:pt>
                <c:pt idx="69">
                  <c:v>5.0143615975502282E-3</c:v>
                </c:pt>
                <c:pt idx="70">
                  <c:v>4.6857711714689276E-3</c:v>
                </c:pt>
                <c:pt idx="71">
                  <c:v>5.4748759903818578E-3</c:v>
                </c:pt>
                <c:pt idx="72">
                  <c:v>5.4748759903818578E-3</c:v>
                </c:pt>
                <c:pt idx="73">
                  <c:v>5.4748759903818578E-3</c:v>
                </c:pt>
                <c:pt idx="74">
                  <c:v>6.1283403657199772E-3</c:v>
                </c:pt>
                <c:pt idx="75">
                  <c:v>7.3750613666294478E-3</c:v>
                </c:pt>
                <c:pt idx="76">
                  <c:v>7.3750613666294478E-3</c:v>
                </c:pt>
                <c:pt idx="77">
                  <c:v>7.3750613666294478E-3</c:v>
                </c:pt>
                <c:pt idx="78">
                  <c:v>7.3750613666294478E-3</c:v>
                </c:pt>
                <c:pt idx="79">
                  <c:v>7.3750613666294478E-3</c:v>
                </c:pt>
                <c:pt idx="80">
                  <c:v>7.7862833140262492E-3</c:v>
                </c:pt>
                <c:pt idx="81">
                  <c:v>8.0527539454913998E-3</c:v>
                </c:pt>
                <c:pt idx="82">
                  <c:v>1.0820601113956201E-2</c:v>
                </c:pt>
                <c:pt idx="83">
                  <c:v>1.0820601113956201E-2</c:v>
                </c:pt>
                <c:pt idx="84">
                  <c:v>1.0820601113956201E-2</c:v>
                </c:pt>
                <c:pt idx="85">
                  <c:v>1.0820601113956201E-2</c:v>
                </c:pt>
                <c:pt idx="86">
                  <c:v>1.1787164166415171E-2</c:v>
                </c:pt>
                <c:pt idx="87">
                  <c:v>1.1511540566278873E-2</c:v>
                </c:pt>
                <c:pt idx="88">
                  <c:v>9.7558305533922748E-3</c:v>
                </c:pt>
                <c:pt idx="89">
                  <c:v>9.941505478710656E-3</c:v>
                </c:pt>
                <c:pt idx="90">
                  <c:v>1.2602366659656885E-2</c:v>
                </c:pt>
                <c:pt idx="91">
                  <c:v>1.2602366659656885E-2</c:v>
                </c:pt>
                <c:pt idx="92">
                  <c:v>1.2602366659656885E-2</c:v>
                </c:pt>
                <c:pt idx="93">
                  <c:v>1.2602366659656885E-2</c:v>
                </c:pt>
                <c:pt idx="94">
                  <c:v>1.2602366659656885E-2</c:v>
                </c:pt>
                <c:pt idx="95">
                  <c:v>1.2602366659656885E-2</c:v>
                </c:pt>
                <c:pt idx="96">
                  <c:v>1.2602366659656885E-2</c:v>
                </c:pt>
                <c:pt idx="97">
                  <c:v>1.2602366659656885E-2</c:v>
                </c:pt>
                <c:pt idx="98">
                  <c:v>1.2602366659656885E-2</c:v>
                </c:pt>
                <c:pt idx="99">
                  <c:v>1.2602366659656885E-2</c:v>
                </c:pt>
                <c:pt idx="100">
                  <c:v>1.2602366659656885E-2</c:v>
                </c:pt>
                <c:pt idx="101">
                  <c:v>1.2602366659656885E-2</c:v>
                </c:pt>
                <c:pt idx="102">
                  <c:v>1.3280822228635785E-2</c:v>
                </c:pt>
                <c:pt idx="103">
                  <c:v>1.4524559939012084E-2</c:v>
                </c:pt>
                <c:pt idx="104">
                  <c:v>1.4524559939012084E-2</c:v>
                </c:pt>
                <c:pt idx="105">
                  <c:v>1.4524559939012084E-2</c:v>
                </c:pt>
                <c:pt idx="106">
                  <c:v>1.4524559939012084E-2</c:v>
                </c:pt>
                <c:pt idx="107">
                  <c:v>1.4760919743614275E-2</c:v>
                </c:pt>
                <c:pt idx="108">
                  <c:v>1.4468215436749875E-2</c:v>
                </c:pt>
                <c:pt idx="109">
                  <c:v>1.4907205178909654E-2</c:v>
                </c:pt>
                <c:pt idx="110">
                  <c:v>1.4272505213628784E-2</c:v>
                </c:pt>
                <c:pt idx="111">
                  <c:v>1.4564438671058184E-2</c:v>
                </c:pt>
                <c:pt idx="112">
                  <c:v>1.3496211699975794E-2</c:v>
                </c:pt>
                <c:pt idx="113">
                  <c:v>1.2069257537073854E-2</c:v>
                </c:pt>
                <c:pt idx="114">
                  <c:v>1.2651093421114494E-2</c:v>
                </c:pt>
                <c:pt idx="115">
                  <c:v>1.2784567173373715E-2</c:v>
                </c:pt>
                <c:pt idx="116">
                  <c:v>1.4354765032078897E-2</c:v>
                </c:pt>
                <c:pt idx="117">
                  <c:v>1.5500178467744499E-2</c:v>
                </c:pt>
                <c:pt idx="118">
                  <c:v>1.5500178467744499E-2</c:v>
                </c:pt>
                <c:pt idx="119">
                  <c:v>1.5500178467744499E-2</c:v>
                </c:pt>
                <c:pt idx="120">
                  <c:v>1.6139246244433799E-2</c:v>
                </c:pt>
                <c:pt idx="121">
                  <c:v>1.6878176672513939E-2</c:v>
                </c:pt>
                <c:pt idx="122">
                  <c:v>1.798488014343784E-2</c:v>
                </c:pt>
                <c:pt idx="123">
                  <c:v>1.798488014343784E-2</c:v>
                </c:pt>
                <c:pt idx="124">
                  <c:v>1.865300020796205E-2</c:v>
                </c:pt>
                <c:pt idx="125">
                  <c:v>1.9583564572864604E-2</c:v>
                </c:pt>
                <c:pt idx="126">
                  <c:v>1.9583564572864604E-2</c:v>
                </c:pt>
                <c:pt idx="127">
                  <c:v>1.9583564572864604E-2</c:v>
                </c:pt>
                <c:pt idx="128">
                  <c:v>1.9583564572864604E-2</c:v>
                </c:pt>
                <c:pt idx="129">
                  <c:v>1.9583564572864604E-2</c:v>
                </c:pt>
                <c:pt idx="130">
                  <c:v>1.8935013681114103E-2</c:v>
                </c:pt>
                <c:pt idx="131">
                  <c:v>1.9771714334555504E-2</c:v>
                </c:pt>
                <c:pt idx="132">
                  <c:v>1.9988473957072574E-2</c:v>
                </c:pt>
                <c:pt idx="133">
                  <c:v>2.1226954557829844E-2</c:v>
                </c:pt>
                <c:pt idx="134">
                  <c:v>2.1226954557829844E-2</c:v>
                </c:pt>
                <c:pt idx="135">
                  <c:v>2.1226954557829844E-2</c:v>
                </c:pt>
                <c:pt idx="136">
                  <c:v>2.1226954557829844E-2</c:v>
                </c:pt>
                <c:pt idx="137">
                  <c:v>2.1226954557829844E-2</c:v>
                </c:pt>
                <c:pt idx="138">
                  <c:v>2.1226954557829844E-2</c:v>
                </c:pt>
                <c:pt idx="139">
                  <c:v>2.1226954557829844E-2</c:v>
                </c:pt>
                <c:pt idx="140">
                  <c:v>2.2012942504725765E-2</c:v>
                </c:pt>
                <c:pt idx="141">
                  <c:v>2.3911394561871951E-2</c:v>
                </c:pt>
                <c:pt idx="142">
                  <c:v>2.3911394561871951E-2</c:v>
                </c:pt>
                <c:pt idx="143">
                  <c:v>2.3911394561871951E-2</c:v>
                </c:pt>
                <c:pt idx="144">
                  <c:v>2.3911394561871951E-2</c:v>
                </c:pt>
                <c:pt idx="145">
                  <c:v>2.3911394561871951E-2</c:v>
                </c:pt>
                <c:pt idx="146">
                  <c:v>2.447177932032274E-2</c:v>
                </c:pt>
                <c:pt idx="147">
                  <c:v>2.511710094444115E-2</c:v>
                </c:pt>
                <c:pt idx="148">
                  <c:v>2.511710094444115E-2</c:v>
                </c:pt>
                <c:pt idx="149">
                  <c:v>2.511710094444115E-2</c:v>
                </c:pt>
                <c:pt idx="150">
                  <c:v>2.511710094444115E-2</c:v>
                </c:pt>
                <c:pt idx="151">
                  <c:v>2.511710094444115E-2</c:v>
                </c:pt>
                <c:pt idx="152">
                  <c:v>2.511710094444115E-2</c:v>
                </c:pt>
                <c:pt idx="153">
                  <c:v>2.511710094444115E-2</c:v>
                </c:pt>
                <c:pt idx="154">
                  <c:v>2.511710094444115E-2</c:v>
                </c:pt>
                <c:pt idx="155">
                  <c:v>2.511710094444115E-2</c:v>
                </c:pt>
                <c:pt idx="156">
                  <c:v>2.6166469035012001E-2</c:v>
                </c:pt>
                <c:pt idx="157">
                  <c:v>2.7000840762366168E-2</c:v>
                </c:pt>
                <c:pt idx="158">
                  <c:v>2.6187323646300768E-2</c:v>
                </c:pt>
                <c:pt idx="159">
                  <c:v>2.6187323646300768E-2</c:v>
                </c:pt>
                <c:pt idx="160">
                  <c:v>2.6187323646300768E-2</c:v>
                </c:pt>
                <c:pt idx="161">
                  <c:v>2.6187323646300768E-2</c:v>
                </c:pt>
                <c:pt idx="162">
                  <c:v>2.4323254007953928E-2</c:v>
                </c:pt>
                <c:pt idx="163">
                  <c:v>2.5454643388964707E-2</c:v>
                </c:pt>
                <c:pt idx="164">
                  <c:v>2.5297840736490537E-2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5-465F-8ACF-17A98B064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9773A10-8F36-47C9-89E9-8D2187588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90FE089-1FFA-471C-920B-A04304743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7F00BEA-2CBC-40C9-BE1E-D3E4FA685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4A7FE7F-EF23-4730-B22C-8DFBD2D31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719A07B-C7CF-4DC6-A525-523E5BF1C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3231A22-E16F-4B23-A2B7-E2611C994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85A9A31-D296-4335-A2AA-40503CDF5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c475311eb7e8809/My%20Trading%20Data/XLE_IYE_1.xlsx" TargetMode="External"/><Relationship Id="rId1" Type="http://schemas.openxmlformats.org/officeDocument/2006/relationships/externalLinkPath" Target="XLE_IYE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IYE/XLE avg</v>
          </cell>
          <cell r="P1" t="str">
            <v>IYE/XLE 10 dma</v>
          </cell>
          <cell r="Q1" t="str">
            <v>IYE/XLE 20 dma</v>
          </cell>
          <cell r="U1" t="str">
            <v>log diff XLE x avg / IYE</v>
          </cell>
          <cell r="V1" t="str">
            <v>log diff XLE x 10 dma / IYE</v>
          </cell>
          <cell r="W1" t="str">
            <v>log diff XLE x 20 dma / IYE</v>
          </cell>
          <cell r="Y1" t="str">
            <v>IYE*/XLE* avg</v>
          </cell>
          <cell r="Z1" t="str">
            <v>IYE*/XLE* 10 dma</v>
          </cell>
          <cell r="AA1" t="str">
            <v>IYE*/XLE* 20 dma</v>
          </cell>
          <cell r="AF1" t="str">
            <v>log diff XLE* x 10 dma / IYE*</v>
          </cell>
          <cell r="AG1" t="str">
            <v>log diff XLE* x 20 dma / IYE*</v>
          </cell>
        </row>
        <row r="2">
          <cell r="O2">
            <v>1.05905106792887</v>
          </cell>
          <cell r="Y2">
            <v>1.0594170994200001</v>
          </cell>
        </row>
        <row r="3">
          <cell r="O3">
            <v>1.05905106792887</v>
          </cell>
          <cell r="U3">
            <v>-1.43065138397508E-3</v>
          </cell>
          <cell r="Y3">
            <v>1.0594170994200001</v>
          </cell>
        </row>
        <row r="4">
          <cell r="O4">
            <v>1.05905106792887</v>
          </cell>
          <cell r="U4">
            <v>-2.1681054498393399E-3</v>
          </cell>
          <cell r="Y4">
            <v>1.0594170994200001</v>
          </cell>
        </row>
        <row r="5">
          <cell r="O5">
            <v>1.05905106792887</v>
          </cell>
          <cell r="U5">
            <v>-1.56850132433061E-3</v>
          </cell>
          <cell r="Y5">
            <v>1.0594170994200001</v>
          </cell>
        </row>
        <row r="6">
          <cell r="O6">
            <v>1.05905106792887</v>
          </cell>
          <cell r="U6">
            <v>1.7907124696672601E-4</v>
          </cell>
          <cell r="Y6">
            <v>1.0594170994200001</v>
          </cell>
        </row>
        <row r="7">
          <cell r="O7">
            <v>1.05905106792887</v>
          </cell>
          <cell r="U7">
            <v>7.2687365036800799E-4</v>
          </cell>
          <cell r="Y7">
            <v>1.0594170994200001</v>
          </cell>
        </row>
        <row r="8">
          <cell r="O8">
            <v>1.05905106792887</v>
          </cell>
          <cell r="U8">
            <v>1.3095714359534499E-4</v>
          </cell>
          <cell r="Y8">
            <v>1.0594170994200001</v>
          </cell>
        </row>
        <row r="9">
          <cell r="O9">
            <v>1.05905106792887</v>
          </cell>
          <cell r="U9">
            <v>1.0849708077285E-4</v>
          </cell>
          <cell r="Y9">
            <v>1.0594170994200001</v>
          </cell>
        </row>
        <row r="10">
          <cell r="O10">
            <v>1.05905106792887</v>
          </cell>
          <cell r="U10">
            <v>1.1400722282467999E-3</v>
          </cell>
          <cell r="Y10">
            <v>1.0594170994200001</v>
          </cell>
        </row>
        <row r="11">
          <cell r="O11">
            <v>1.05905106792887</v>
          </cell>
          <cell r="P11">
            <v>1.0598224470051201</v>
          </cell>
          <cell r="U11">
            <v>-1.7012464102941199E-4</v>
          </cell>
          <cell r="Y11">
            <v>1.0594170994200001</v>
          </cell>
          <cell r="Z11">
            <v>1.0598224470051201</v>
          </cell>
        </row>
        <row r="12">
          <cell r="O12">
            <v>1.05905106792887</v>
          </cell>
          <cell r="P12">
            <v>1.0594668279180799</v>
          </cell>
          <cell r="U12">
            <v>-8.6792491517019197E-4</v>
          </cell>
          <cell r="V12">
            <v>-1.3982188789256E-4</v>
          </cell>
          <cell r="Y12">
            <v>1.0594170994200001</v>
          </cell>
          <cell r="Z12">
            <v>1.0594668279180799</v>
          </cell>
          <cell r="AF12">
            <v>-1.3982188789256E-4</v>
          </cell>
        </row>
        <row r="13">
          <cell r="O13">
            <v>1.05905106792887</v>
          </cell>
          <cell r="P13">
            <v>1.05933446915244</v>
          </cell>
          <cell r="U13">
            <v>-1.8187228122225899E-4</v>
          </cell>
          <cell r="V13">
            <v>2.1062852829257001E-4</v>
          </cell>
          <cell r="Y13">
            <v>1.0594170994200001</v>
          </cell>
          <cell r="Z13">
            <v>1.05933446915244</v>
          </cell>
          <cell r="AF13">
            <v>2.1062852829257001E-4</v>
          </cell>
        </row>
        <row r="14">
          <cell r="O14">
            <v>1.05905106792887</v>
          </cell>
          <cell r="P14">
            <v>1.0591071921349799</v>
          </cell>
          <cell r="U14">
            <v>-2.4413206524408399E-5</v>
          </cell>
          <cell r="V14">
            <v>2.43150199942488E-4</v>
          </cell>
          <cell r="Y14">
            <v>1.0594170994200001</v>
          </cell>
          <cell r="Z14">
            <v>1.0591071921349799</v>
          </cell>
          <cell r="AF14">
            <v>2.43150199942488E-4</v>
          </cell>
        </row>
        <row r="15">
          <cell r="O15">
            <v>1.05905106792887</v>
          </cell>
          <cell r="P15">
            <v>1.05888331765401</v>
          </cell>
          <cell r="U15">
            <v>5.44331878632741E-4</v>
          </cell>
          <cell r="V15">
            <v>5.9732528066115502E-4</v>
          </cell>
          <cell r="Y15">
            <v>1.0594170994200001</v>
          </cell>
          <cell r="Z15">
            <v>1.05888331765401</v>
          </cell>
          <cell r="AF15">
            <v>5.9732528066115502E-4</v>
          </cell>
        </row>
        <row r="16">
          <cell r="O16">
            <v>1.05905106792887</v>
          </cell>
          <cell r="P16">
            <v>1.0588316929339801</v>
          </cell>
          <cell r="U16">
            <v>6.66739482006164E-4</v>
          </cell>
          <cell r="V16">
            <v>5.0833015983181898E-4</v>
          </cell>
          <cell r="Y16">
            <v>1.0594170994200001</v>
          </cell>
          <cell r="Z16">
            <v>1.0588316929339801</v>
          </cell>
          <cell r="AF16">
            <v>5.0833015983181898E-4</v>
          </cell>
        </row>
        <row r="17">
          <cell r="O17">
            <v>1.05905106792887</v>
          </cell>
          <cell r="P17">
            <v>1.0588345008253599</v>
          </cell>
          <cell r="U17">
            <v>7.0034144698672795E-4</v>
          </cell>
          <cell r="V17">
            <v>4.9317700924003899E-4</v>
          </cell>
          <cell r="Y17">
            <v>1.0594170994200001</v>
          </cell>
          <cell r="Z17">
            <v>1.0588345008253599</v>
          </cell>
          <cell r="AF17">
            <v>4.9317700924003899E-4</v>
          </cell>
        </row>
        <row r="18">
          <cell r="O18">
            <v>1.05905106792887</v>
          </cell>
          <cell r="P18">
            <v>1.0587817964812201</v>
          </cell>
          <cell r="U18">
            <v>6.2880252907953997E-4</v>
          </cell>
          <cell r="V18">
            <v>4.2428996478992401E-4</v>
          </cell>
          <cell r="Y18">
            <v>1.0594170994200001</v>
          </cell>
          <cell r="Z18">
            <v>1.0587817964812201</v>
          </cell>
          <cell r="AF18">
            <v>4.2428996478992401E-4</v>
          </cell>
        </row>
        <row r="19">
          <cell r="O19">
            <v>1.05905106792887</v>
          </cell>
          <cell r="P19">
            <v>1.05874232531409</v>
          </cell>
          <cell r="U19">
            <v>4.8131015848299001E-4</v>
          </cell>
          <cell r="V19">
            <v>2.2702054608750199E-4</v>
          </cell>
          <cell r="Y19">
            <v>1.0594170994200001</v>
          </cell>
          <cell r="Z19">
            <v>1.05874232531409</v>
          </cell>
          <cell r="AF19">
            <v>2.2702054608750199E-4</v>
          </cell>
        </row>
        <row r="20">
          <cell r="O20">
            <v>1.05905106792887</v>
          </cell>
          <cell r="P20">
            <v>1.05879831683067</v>
          </cell>
          <cell r="U20">
            <v>6.1091401036531998E-4</v>
          </cell>
          <cell r="V20">
            <v>3.1934390918656499E-4</v>
          </cell>
          <cell r="Y20">
            <v>1.0594170994200001</v>
          </cell>
          <cell r="Z20">
            <v>1.05879831683067</v>
          </cell>
          <cell r="AF20">
            <v>3.1934390918656499E-4</v>
          </cell>
        </row>
        <row r="21">
          <cell r="O21">
            <v>1.05905106792887</v>
          </cell>
          <cell r="P21">
            <v>1.0585950739050101</v>
          </cell>
          <cell r="Q21">
            <v>1.05920876045506</v>
          </cell>
          <cell r="U21">
            <v>1.75049622130028E-3</v>
          </cell>
          <cell r="V21">
            <v>1.51180965442101E-3</v>
          </cell>
          <cell r="Y21">
            <v>1.0594170994200001</v>
          </cell>
          <cell r="Z21">
            <v>1.0585950739050101</v>
          </cell>
          <cell r="AA21">
            <v>1.05920876045506</v>
          </cell>
          <cell r="AF21">
            <v>1.51180965442101E-3</v>
          </cell>
        </row>
        <row r="22">
          <cell r="O22">
            <v>1.05905106792887</v>
          </cell>
          <cell r="P22">
            <v>1.0584521553850701</v>
          </cell>
          <cell r="Q22">
            <v>1.0589594916515801</v>
          </cell>
          <cell r="U22">
            <v>4.8131015848299001E-4</v>
          </cell>
          <cell r="V22">
            <v>5.06489428024264E-5</v>
          </cell>
          <cell r="W22">
            <v>6.3019890609357495E-4</v>
          </cell>
          <cell r="Y22">
            <v>1.0594170994200001</v>
          </cell>
          <cell r="Z22">
            <v>1.0584521553850701</v>
          </cell>
          <cell r="AA22">
            <v>1.0589594916515801</v>
          </cell>
          <cell r="AF22">
            <v>5.06489428024264E-5</v>
          </cell>
          <cell r="AG22">
            <v>6.3019890609357495E-4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1.05905106792887</v>
          </cell>
          <cell r="P23">
            <v>1.0582370947140101</v>
          </cell>
          <cell r="Q23">
            <v>1.05878578193322</v>
          </cell>
          <cell r="U23">
            <v>1.85051449471143E-3</v>
          </cell>
          <cell r="V23">
            <v>1.28483643275847E-3</v>
          </cell>
          <cell r="W23">
            <v>1.7640406318320801E-3</v>
          </cell>
          <cell r="Y23">
            <v>1.0594170994200001</v>
          </cell>
          <cell r="Z23">
            <v>1.0582370947140101</v>
          </cell>
          <cell r="AA23">
            <v>1.05878578193322</v>
          </cell>
          <cell r="AF23">
            <v>1.28483643275847E-3</v>
          </cell>
          <cell r="AG23">
            <v>1.7640406318320801E-3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1.05905106792887</v>
          </cell>
          <cell r="P24">
            <v>1.05800799411557</v>
          </cell>
          <cell r="Q24">
            <v>1.05855759312528</v>
          </cell>
          <cell r="U24">
            <v>2.1411400951326098E-3</v>
          </cell>
          <cell r="V24">
            <v>1.37225726725055E-3</v>
          </cell>
          <cell r="W24">
            <v>1.89061466201886E-3</v>
          </cell>
          <cell r="Y24">
            <v>1.0594170994200001</v>
          </cell>
          <cell r="Z24">
            <v>1.05800799411557</v>
          </cell>
          <cell r="AA24">
            <v>1.05855759312528</v>
          </cell>
          <cell r="AF24">
            <v>1.37225726725055E-3</v>
          </cell>
          <cell r="AG24">
            <v>1.89061466201886E-3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1.05905106792887</v>
          </cell>
          <cell r="P25">
            <v>1.05786823798939</v>
          </cell>
          <cell r="Q25">
            <v>1.0583757778217</v>
          </cell>
          <cell r="U25">
            <v>1.8655582122283801E-3</v>
          </cell>
          <cell r="V25">
            <v>8.80159253449712E-4</v>
          </cell>
          <cell r="W25">
            <v>1.3994902161839999E-3</v>
          </cell>
          <cell r="Y25">
            <v>1.0594170994200001</v>
          </cell>
          <cell r="Z25">
            <v>1.05786823798939</v>
          </cell>
          <cell r="AA25">
            <v>1.0583757778217</v>
          </cell>
          <cell r="AF25">
            <v>8.80159253449712E-4</v>
          </cell>
          <cell r="AG25">
            <v>1.3994902161839999E-3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1.05905106792887</v>
          </cell>
          <cell r="P26">
            <v>1.05764874225234</v>
          </cell>
          <cell r="Q26">
            <v>1.05824021759316</v>
          </cell>
          <cell r="U26">
            <v>2.7428453283021102E-3</v>
          </cell>
          <cell r="V26">
            <v>1.62534400524625E-3</v>
          </cell>
          <cell r="W26">
            <v>2.10500498786569E-3</v>
          </cell>
          <cell r="Y26">
            <v>1.0594170994200001</v>
          </cell>
          <cell r="Z26">
            <v>1.05764874225234</v>
          </cell>
          <cell r="AA26">
            <v>1.05824021759316</v>
          </cell>
          <cell r="AF26">
            <v>1.62534400524625E-3</v>
          </cell>
          <cell r="AG26">
            <v>2.10500498786569E-3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1.05905106792887</v>
          </cell>
          <cell r="P27">
            <v>1.0575038344118799</v>
          </cell>
          <cell r="Q27">
            <v>1.05816916761862</v>
          </cell>
          <cell r="U27">
            <v>2.0705183184428098E-3</v>
          </cell>
          <cell r="V27">
            <v>7.4550673677768904E-4</v>
          </cell>
          <cell r="W27">
            <v>1.3045865065083599E-3</v>
          </cell>
          <cell r="Y27">
            <v>1.0594170994200001</v>
          </cell>
          <cell r="Z27">
            <v>1.0575038344118799</v>
          </cell>
          <cell r="AA27">
            <v>1.05816916761862</v>
          </cell>
          <cell r="AF27">
            <v>7.4550673677768904E-4</v>
          </cell>
          <cell r="AG27">
            <v>1.3045865065083599E-3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1.05905106792887</v>
          </cell>
          <cell r="P28">
            <v>1.05737638631153</v>
          </cell>
          <cell r="Q28">
            <v>1.05807909139638</v>
          </cell>
          <cell r="U28">
            <v>1.8337029721754499E-3</v>
          </cell>
          <cell r="V28">
            <v>3.7167258412520998E-4</v>
          </cell>
          <cell r="W28">
            <v>1.0006291648773E-3</v>
          </cell>
          <cell r="Y28">
            <v>1.0594170994200001</v>
          </cell>
          <cell r="Z28">
            <v>1.05737638631153</v>
          </cell>
          <cell r="AA28">
            <v>1.05807909139638</v>
          </cell>
          <cell r="AF28">
            <v>3.7167258412520998E-4</v>
          </cell>
          <cell r="AG28">
            <v>1.0006291648773E-3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1.05905106792887</v>
          </cell>
          <cell r="P29">
            <v>1.0571424659939399</v>
          </cell>
          <cell r="Q29">
            <v>1.0579423956540199</v>
          </cell>
          <cell r="U29">
            <v>2.6935915943182001E-3</v>
          </cell>
          <cell r="V29">
            <v>1.11103608219066E-3</v>
          </cell>
          <cell r="W29">
            <v>1.77538956832815E-3</v>
          </cell>
          <cell r="Y29">
            <v>1.0594170994200001</v>
          </cell>
          <cell r="Z29">
            <v>1.0571424659939399</v>
          </cell>
          <cell r="AA29">
            <v>1.0579423956540199</v>
          </cell>
          <cell r="AF29">
            <v>1.11103608219066E-3</v>
          </cell>
          <cell r="AG29">
            <v>1.77538956832815E-3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1.05905106792887</v>
          </cell>
          <cell r="P30">
            <v>1.05685965228694</v>
          </cell>
          <cell r="Q30">
            <v>1.0578289845588</v>
          </cell>
          <cell r="U30">
            <v>3.2865667612735701E-3</v>
          </cell>
          <cell r="V30">
            <v>1.48275966911257E-3</v>
          </cell>
          <cell r="W30">
            <v>2.2391640221659198E-3</v>
          </cell>
          <cell r="Y30">
            <v>1.0594170994200001</v>
          </cell>
          <cell r="Z30">
            <v>1.05685965228694</v>
          </cell>
          <cell r="AA30">
            <v>1.0578289845588</v>
          </cell>
          <cell r="AF30">
            <v>1.48275966911257E-3</v>
          </cell>
          <cell r="AG30">
            <v>2.2391640221659198E-3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1.05905106792887</v>
          </cell>
          <cell r="P31">
            <v>1.05676994461178</v>
          </cell>
          <cell r="Q31">
            <v>1.0576825092583899</v>
          </cell>
          <cell r="U31">
            <v>2.59939762885021E-3</v>
          </cell>
          <cell r="V31">
            <v>5.2802816648407495E-4</v>
          </cell>
          <cell r="W31">
            <v>1.4447894549931401E-3</v>
          </cell>
          <cell r="Y31">
            <v>1.0594170994200001</v>
          </cell>
          <cell r="Z31">
            <v>1.05676994461178</v>
          </cell>
          <cell r="AA31">
            <v>1.0576825092583899</v>
          </cell>
          <cell r="AF31">
            <v>5.2802816648407495E-4</v>
          </cell>
          <cell r="AG31">
            <v>1.4447894549931401E-3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1.05905106792887</v>
          </cell>
          <cell r="P32">
            <v>1.05657161271112</v>
          </cell>
          <cell r="Q32">
            <v>1.0575118840480999</v>
          </cell>
          <cell r="U32">
            <v>2.3567013596083302E-3</v>
          </cell>
          <cell r="V32">
            <v>2.0044694356285099E-4</v>
          </cell>
          <cell r="W32">
            <v>1.0636157526855801E-3</v>
          </cell>
          <cell r="Y32">
            <v>1.0594170994200001</v>
          </cell>
          <cell r="Z32">
            <v>1.05657161271112</v>
          </cell>
          <cell r="AA32">
            <v>1.0575118840480999</v>
          </cell>
          <cell r="AF32">
            <v>2.0044694356285099E-4</v>
          </cell>
          <cell r="AG32">
            <v>1.0636157526855801E-3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1.05905106792887</v>
          </cell>
          <cell r="P33">
            <v>1.0565578129442501</v>
          </cell>
          <cell r="Q33">
            <v>1.05739745382913</v>
          </cell>
          <cell r="U33">
            <v>1.9810674971596602E-3</v>
          </cell>
          <cell r="V33">
            <v>-3.6288199406410502E-4</v>
          </cell>
          <cell r="W33">
            <v>5.2664900167891798E-4</v>
          </cell>
          <cell r="Y33">
            <v>1.0594170994200001</v>
          </cell>
          <cell r="Z33">
            <v>1.0565578129442501</v>
          </cell>
          <cell r="AA33">
            <v>1.05739745382913</v>
          </cell>
          <cell r="AF33">
            <v>-3.6288199406410502E-4</v>
          </cell>
          <cell r="AG33">
            <v>5.2664900167891798E-4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1.05905106792887</v>
          </cell>
          <cell r="P34">
            <v>1.0565153212712399</v>
          </cell>
          <cell r="Q34">
            <v>1.05726165769341</v>
          </cell>
          <cell r="U34">
            <v>2.54330497285869E-3</v>
          </cell>
          <cell r="V34">
            <v>1.86294505152093E-4</v>
          </cell>
          <cell r="W34">
            <v>9.8067359370630704E-4</v>
          </cell>
          <cell r="Y34">
            <v>1.0594170994200001</v>
          </cell>
          <cell r="Z34">
            <v>1.0565153212712399</v>
          </cell>
          <cell r="AA34">
            <v>1.05726165769341</v>
          </cell>
          <cell r="AF34">
            <v>1.86294505152093E-4</v>
          </cell>
          <cell r="AG34">
            <v>9.8067359370630704E-4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1.05905106792887</v>
          </cell>
          <cell r="P35">
            <v>1.0566020630848301</v>
          </cell>
          <cell r="Q35">
            <v>1.05723515053711</v>
          </cell>
          <cell r="U35">
            <v>1.04531306232318E-3</v>
          </cell>
          <cell r="V35">
            <v>-1.35191529687878E-3</v>
          </cell>
          <cell r="W35">
            <v>-6.4575143890585E-4</v>
          </cell>
          <cell r="Y35">
            <v>1.0594170994200001</v>
          </cell>
          <cell r="Z35">
            <v>1.0566020630848301</v>
          </cell>
          <cell r="AA35">
            <v>1.05723515053711</v>
          </cell>
          <cell r="AF35">
            <v>-1.35191529687878E-3</v>
          </cell>
          <cell r="AG35">
            <v>-6.4575143890585E-4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1.05905106792887</v>
          </cell>
          <cell r="P36">
            <v>1.0566806026206199</v>
          </cell>
          <cell r="Q36">
            <v>1.05716467243648</v>
          </cell>
          <cell r="U36">
            <v>1.9994818832301401E-3</v>
          </cell>
          <cell r="V36">
            <v>-3.1564804236886501E-4</v>
          </cell>
          <cell r="W36">
            <v>2.8334554817569402E-4</v>
          </cell>
          <cell r="Y36">
            <v>1.0594170994200001</v>
          </cell>
          <cell r="Z36">
            <v>1.0566806026206199</v>
          </cell>
          <cell r="AA36">
            <v>1.05716467243648</v>
          </cell>
          <cell r="AF36">
            <v>-3.1564804236886501E-4</v>
          </cell>
          <cell r="AG36">
            <v>2.8334554817569402E-4</v>
          </cell>
          <cell r="AR36">
            <v>0</v>
          </cell>
          <cell r="BC36">
            <v>0</v>
          </cell>
          <cell r="BF36">
            <v>0</v>
          </cell>
        </row>
        <row r="37">
          <cell r="O37">
            <v>1.05905106792887</v>
          </cell>
          <cell r="P37">
            <v>1.0567658723018101</v>
          </cell>
          <cell r="Q37">
            <v>1.0571348533568401</v>
          </cell>
          <cell r="U37">
            <v>1.2640230730419999E-3</v>
          </cell>
          <cell r="V37">
            <v>-9.7677743406065294E-4</v>
          </cell>
          <cell r="W37">
            <v>-5.1877813767597296E-4</v>
          </cell>
          <cell r="Y37">
            <v>1.0594170994200001</v>
          </cell>
          <cell r="Z37">
            <v>1.0567658723018101</v>
          </cell>
          <cell r="AA37">
            <v>1.0571348533568401</v>
          </cell>
          <cell r="AF37">
            <v>-9.7677743406065294E-4</v>
          </cell>
          <cell r="AG37">
            <v>-5.1877813767597296E-4</v>
          </cell>
          <cell r="AR37">
            <v>0</v>
          </cell>
          <cell r="BC37">
            <v>0</v>
          </cell>
          <cell r="BF37">
            <v>0</v>
          </cell>
        </row>
        <row r="38">
          <cell r="O38">
            <v>1.05905106792887</v>
          </cell>
          <cell r="P38">
            <v>1.0566316040089001</v>
          </cell>
          <cell r="Q38">
            <v>1.0570039951602199</v>
          </cell>
          <cell r="U38">
            <v>3.1046542035282399E-3</v>
          </cell>
          <cell r="V38">
            <v>9.4454623559598802E-4</v>
          </cell>
          <cell r="W38">
            <v>1.29364593957422E-3</v>
          </cell>
          <cell r="Y38">
            <v>1.0594170994200001</v>
          </cell>
          <cell r="Z38">
            <v>1.0566316040089001</v>
          </cell>
          <cell r="AA38">
            <v>1.0570039951602199</v>
          </cell>
          <cell r="AF38">
            <v>9.4454623559598802E-4</v>
          </cell>
          <cell r="AG38">
            <v>1.29364593957422E-3</v>
          </cell>
          <cell r="AR38">
            <v>0</v>
          </cell>
          <cell r="BC38">
            <v>0</v>
          </cell>
          <cell r="BF38">
            <v>0</v>
          </cell>
        </row>
        <row r="39">
          <cell r="O39">
            <v>1.05905106792887</v>
          </cell>
          <cell r="P39">
            <v>1.0566607880999499</v>
          </cell>
          <cell r="Q39">
            <v>1.05690162704695</v>
          </cell>
          <cell r="U39">
            <v>2.4173181846021299E-3</v>
          </cell>
          <cell r="V39">
            <v>1.3014628800263599E-4</v>
          </cell>
          <cell r="W39">
            <v>4.8251654076850501E-4</v>
          </cell>
          <cell r="Y39">
            <v>1.0594170994200001</v>
          </cell>
          <cell r="Z39">
            <v>1.0566607880999499</v>
          </cell>
          <cell r="AA39">
            <v>1.05690162704695</v>
          </cell>
          <cell r="AF39">
            <v>1.3014628800263599E-4</v>
          </cell>
          <cell r="AG39">
            <v>4.8251654076850501E-4</v>
          </cell>
          <cell r="AR39">
            <v>0</v>
          </cell>
          <cell r="BC39">
            <v>0</v>
          </cell>
          <cell r="BF39">
            <v>0</v>
          </cell>
        </row>
        <row r="40">
          <cell r="O40">
            <v>1.05905106792887</v>
          </cell>
          <cell r="P40">
            <v>1.05671833868961</v>
          </cell>
          <cell r="Q40">
            <v>1.0567889954882701</v>
          </cell>
          <cell r="U40">
            <v>2.7415098509554299E-3</v>
          </cell>
          <cell r="V40">
            <v>4.81957503040465E-4</v>
          </cell>
          <cell r="W40">
            <v>7.09856093884698E-4</v>
          </cell>
          <cell r="Y40">
            <v>1.0594170994200001</v>
          </cell>
          <cell r="Z40">
            <v>1.05671833868961</v>
          </cell>
          <cell r="AA40">
            <v>1.0567889954882701</v>
          </cell>
          <cell r="AF40">
            <v>4.81957503040465E-4</v>
          </cell>
          <cell r="AG40">
            <v>7.09856093884698E-4</v>
          </cell>
          <cell r="AR40">
            <v>0</v>
          </cell>
          <cell r="BC40">
            <v>0</v>
          </cell>
          <cell r="BF40">
            <v>0</v>
          </cell>
        </row>
        <row r="41">
          <cell r="O41">
            <v>1.05905106792887</v>
          </cell>
          <cell r="P41">
            <v>1.0567859198573299</v>
          </cell>
          <cell r="Q41">
            <v>1.0567779322345501</v>
          </cell>
          <cell r="U41">
            <v>1.95981184590355E-3</v>
          </cell>
          <cell r="V41">
            <v>-2.4527740171561701E-4</v>
          </cell>
          <cell r="W41">
            <v>-1.78415273966547E-4</v>
          </cell>
          <cell r="Y41">
            <v>1.0594170994200001</v>
          </cell>
          <cell r="Z41">
            <v>1.0567859198573299</v>
          </cell>
          <cell r="AA41">
            <v>1.0567779322345501</v>
          </cell>
          <cell r="AF41">
            <v>-2.4527740171561701E-4</v>
          </cell>
          <cell r="AG41">
            <v>-1.78415273966547E-4</v>
          </cell>
          <cell r="AR41">
            <v>0</v>
          </cell>
          <cell r="BC41">
            <v>0</v>
          </cell>
          <cell r="BF41">
            <v>0</v>
          </cell>
        </row>
        <row r="42">
          <cell r="O42">
            <v>1.05905106792887</v>
          </cell>
          <cell r="P42">
            <v>1.0567564328677499</v>
          </cell>
          <cell r="Q42">
            <v>1.0566640227894299</v>
          </cell>
          <cell r="U42">
            <v>2.6358256589474201E-3</v>
          </cell>
          <cell r="V42">
            <v>4.9468818002777997E-4</v>
          </cell>
          <cell r="W42">
            <v>4.8712974003022898E-4</v>
          </cell>
          <cell r="Y42">
            <v>1.0594170994200001</v>
          </cell>
          <cell r="Z42">
            <v>1.0567564328677499</v>
          </cell>
          <cell r="AA42">
            <v>1.0566640227894299</v>
          </cell>
          <cell r="AF42">
            <v>4.9468818002777997E-4</v>
          </cell>
          <cell r="AG42">
            <v>4.8712974003022898E-4</v>
          </cell>
          <cell r="AR42">
            <v>0</v>
          </cell>
          <cell r="BC42">
            <v>0</v>
          </cell>
          <cell r="BF42">
            <v>0</v>
          </cell>
        </row>
        <row r="43">
          <cell r="O43">
            <v>1.05905106792887</v>
          </cell>
          <cell r="P43">
            <v>1.05672029355245</v>
          </cell>
          <cell r="Q43">
            <v>1.0566390532483501</v>
          </cell>
          <cell r="U43">
            <v>2.3230450827000002E-3</v>
          </cell>
          <cell r="V43">
            <v>1.5400469514392399E-4</v>
          </cell>
          <cell r="W43">
            <v>6.65539674590836E-5</v>
          </cell>
          <cell r="Y43">
            <v>1.0594170994200001</v>
          </cell>
          <cell r="Z43">
            <v>1.05672029355245</v>
          </cell>
          <cell r="AA43">
            <v>1.0566390532483501</v>
          </cell>
          <cell r="AF43">
            <v>1.5400469514392399E-4</v>
          </cell>
          <cell r="AG43">
            <v>6.65539674590836E-5</v>
          </cell>
          <cell r="AR43">
            <v>0</v>
          </cell>
          <cell r="BC43">
            <v>0</v>
          </cell>
          <cell r="BF43">
            <v>0</v>
          </cell>
        </row>
        <row r="44">
          <cell r="O44">
            <v>1.05905106792887</v>
          </cell>
          <cell r="P44">
            <v>1.0567499158958</v>
          </cell>
          <cell r="Q44">
            <v>1.05663261858352</v>
          </cell>
          <cell r="U44">
            <v>2.2629255306584298E-3</v>
          </cell>
          <cell r="V44">
            <v>5.9686218782064199E-5</v>
          </cell>
          <cell r="W44">
            <v>-1.7196403437130199E-5</v>
          </cell>
          <cell r="Y44">
            <v>1.0594170994200001</v>
          </cell>
          <cell r="Z44">
            <v>1.0567499158958</v>
          </cell>
          <cell r="AA44">
            <v>1.05663261858352</v>
          </cell>
          <cell r="AF44">
            <v>5.9686218782064199E-5</v>
          </cell>
          <cell r="AG44">
            <v>-1.7196403437130199E-5</v>
          </cell>
          <cell r="AR44">
            <v>0</v>
          </cell>
          <cell r="BC44">
            <v>0</v>
          </cell>
          <cell r="BF44">
            <v>0</v>
          </cell>
        </row>
        <row r="45">
          <cell r="O45">
            <v>1.05905106792887</v>
          </cell>
          <cell r="P45">
            <v>1.056576809329</v>
          </cell>
          <cell r="Q45">
            <v>1.0565894362069199</v>
          </cell>
          <cell r="U45">
            <v>2.6829067846213502E-3</v>
          </cell>
          <cell r="V45">
            <v>5.0769942060782799E-4</v>
          </cell>
          <cell r="W45">
            <v>3.9669508467890698E-4</v>
          </cell>
          <cell r="Y45">
            <v>1.0594170994200001</v>
          </cell>
          <cell r="Z45">
            <v>1.056576809329</v>
          </cell>
          <cell r="AA45">
            <v>1.0565894362069199</v>
          </cell>
          <cell r="AF45">
            <v>5.0769942060782799E-4</v>
          </cell>
          <cell r="AG45">
            <v>3.9669508467890698E-4</v>
          </cell>
          <cell r="AR45">
            <v>0</v>
          </cell>
          <cell r="BC45">
            <v>0</v>
          </cell>
          <cell r="BF45">
            <v>0</v>
          </cell>
        </row>
        <row r="46">
          <cell r="O46">
            <v>1.05905106792887</v>
          </cell>
          <cell r="P46">
            <v>1.0565295531372101</v>
          </cell>
          <cell r="Q46">
            <v>1.05660507787892</v>
          </cell>
          <cell r="U46">
            <v>2.4466875393799798E-3</v>
          </cell>
          <cell r="V46">
            <v>1.0765641340620499E-4</v>
          </cell>
          <cell r="W46">
            <v>1.19607085001913E-4</v>
          </cell>
          <cell r="Y46">
            <v>1.0594170994200001</v>
          </cell>
          <cell r="Z46">
            <v>1.0565295531372101</v>
          </cell>
          <cell r="AA46">
            <v>1.05660507787892</v>
          </cell>
          <cell r="AF46">
            <v>1.0765641340620499E-4</v>
          </cell>
          <cell r="AG46">
            <v>1.19607085001913E-4</v>
          </cell>
          <cell r="AR46">
            <v>0</v>
          </cell>
          <cell r="BC46">
            <v>0</v>
          </cell>
          <cell r="BF46">
            <v>0</v>
          </cell>
        </row>
        <row r="47">
          <cell r="O47">
            <v>1.05905106792887</v>
          </cell>
          <cell r="P47">
            <v>1.05647765273376</v>
          </cell>
          <cell r="Q47">
            <v>1.0566217625177801</v>
          </cell>
          <cell r="U47">
            <v>1.7548285069425901E-3</v>
          </cell>
          <cell r="V47">
            <v>-6.2892937073513104E-4</v>
          </cell>
          <cell r="W47">
            <v>-5.5744813084627597E-4</v>
          </cell>
          <cell r="Y47">
            <v>1.0594170994200001</v>
          </cell>
          <cell r="Z47">
            <v>1.05647765273376</v>
          </cell>
          <cell r="AA47">
            <v>1.0566217625177801</v>
          </cell>
          <cell r="AF47">
            <v>-6.2892937073513104E-4</v>
          </cell>
          <cell r="AG47">
            <v>-5.5744813084627597E-4</v>
          </cell>
          <cell r="AR47">
            <v>0</v>
          </cell>
          <cell r="BC47">
            <v>0</v>
          </cell>
          <cell r="BF47">
            <v>0</v>
          </cell>
        </row>
        <row r="48">
          <cell r="O48">
            <v>1.05905106792887</v>
          </cell>
          <cell r="P48">
            <v>1.0565694904691201</v>
          </cell>
          <cell r="Q48">
            <v>1.0566005472390101</v>
          </cell>
          <cell r="U48">
            <v>2.23516583458276E-3</v>
          </cell>
          <cell r="V48">
            <v>-1.9771672503477E-4</v>
          </cell>
          <cell r="W48">
            <v>-6.1320128444810901E-5</v>
          </cell>
          <cell r="Y48">
            <v>1.0594170994200001</v>
          </cell>
          <cell r="Z48">
            <v>1.0565694904691201</v>
          </cell>
          <cell r="AA48">
            <v>1.0566005472390101</v>
          </cell>
          <cell r="AF48">
            <v>-1.9771672503477E-4</v>
          </cell>
          <cell r="AG48">
            <v>-6.1320128444810901E-5</v>
          </cell>
          <cell r="AR48">
            <v>0</v>
          </cell>
          <cell r="BC48">
            <v>0</v>
          </cell>
          <cell r="BF48">
            <v>0</v>
          </cell>
        </row>
        <row r="49">
          <cell r="O49">
            <v>1.05905106792887</v>
          </cell>
          <cell r="P49">
            <v>1.05648433053721</v>
          </cell>
          <cell r="Q49">
            <v>1.05657255931858</v>
          </cell>
          <cell r="U49">
            <v>3.2237048244972599E-3</v>
          </cell>
          <cell r="V49">
            <v>8.7774671965303096E-4</v>
          </cell>
          <cell r="W49">
            <v>9.0714025575243298E-4</v>
          </cell>
          <cell r="Y49">
            <v>1.0594170994200001</v>
          </cell>
          <cell r="Z49">
            <v>1.05648433053721</v>
          </cell>
          <cell r="AA49">
            <v>1.05657255931858</v>
          </cell>
          <cell r="AF49">
            <v>8.7774671965303096E-4</v>
          </cell>
          <cell r="AG49">
            <v>9.0714025575243298E-4</v>
          </cell>
          <cell r="AR49">
            <v>0</v>
          </cell>
          <cell r="BC49">
            <v>0</v>
          </cell>
          <cell r="BF49">
            <v>0</v>
          </cell>
        </row>
        <row r="50">
          <cell r="O50">
            <v>1.05905106792887</v>
          </cell>
          <cell r="P50">
            <v>1.05646708629376</v>
          </cell>
          <cell r="Q50">
            <v>1.0565927124916901</v>
          </cell>
          <cell r="U50">
            <v>2.9047974948281899E-3</v>
          </cell>
          <cell r="V50">
            <v>4.7823573369659602E-4</v>
          </cell>
          <cell r="W50">
            <v>5.6174392682300004E-4</v>
          </cell>
          <cell r="Y50">
            <v>1.0594170994200001</v>
          </cell>
          <cell r="Z50">
            <v>1.05646708629376</v>
          </cell>
          <cell r="AA50">
            <v>1.0565927124916901</v>
          </cell>
          <cell r="AF50">
            <v>4.7823573369659602E-4</v>
          </cell>
          <cell r="AG50">
            <v>5.6174392682300004E-4</v>
          </cell>
          <cell r="AR50">
            <v>0</v>
          </cell>
          <cell r="BC50">
            <v>0</v>
          </cell>
          <cell r="BF50">
            <v>0</v>
          </cell>
        </row>
        <row r="51">
          <cell r="O51">
            <v>1.05905106792887</v>
          </cell>
          <cell r="P51">
            <v>1.0563997275696499</v>
          </cell>
          <cell r="Q51">
            <v>1.0565928237134901</v>
          </cell>
          <cell r="U51">
            <v>2.5972917592652698E-3</v>
          </cell>
          <cell r="V51">
            <v>1.5440757509027801E-4</v>
          </cell>
          <cell r="W51">
            <v>2.7331211167223499E-4</v>
          </cell>
          <cell r="Y51">
            <v>1.0594170994200001</v>
          </cell>
          <cell r="Z51">
            <v>1.0563997275696499</v>
          </cell>
          <cell r="AA51">
            <v>1.0565928237134901</v>
          </cell>
          <cell r="AF51">
            <v>1.5440757509027801E-4</v>
          </cell>
          <cell r="AG51">
            <v>2.7331211167223499E-4</v>
          </cell>
          <cell r="AR51">
            <v>0</v>
          </cell>
          <cell r="BC51">
            <v>0</v>
          </cell>
          <cell r="BF51">
            <v>0</v>
          </cell>
        </row>
        <row r="52">
          <cell r="O52">
            <v>1.05905106792887</v>
          </cell>
          <cell r="P52">
            <v>1.0557981826942699</v>
          </cell>
          <cell r="Q52">
            <v>1.0562773077810099</v>
          </cell>
          <cell r="U52">
            <v>8.34713202927795E-3</v>
          </cell>
          <cell r="V52">
            <v>5.8404873433095901E-3</v>
          </cell>
          <cell r="W52">
            <v>6.0232576462737504E-3</v>
          </cell>
          <cell r="Y52">
            <v>1.0594170994200001</v>
          </cell>
          <cell r="Z52">
            <v>1.05632241274042</v>
          </cell>
          <cell r="AA52">
            <v>1.0565394228040901</v>
          </cell>
          <cell r="AF52">
            <v>8.6141450946325198E-4</v>
          </cell>
          <cell r="AG52">
            <v>1.0441848124273399E-3</v>
          </cell>
          <cell r="AR52">
            <v>0</v>
          </cell>
          <cell r="BC52">
            <v>0</v>
          </cell>
          <cell r="BF52">
            <v>0</v>
          </cell>
        </row>
        <row r="53">
          <cell r="O53">
            <v>1.05905106792887</v>
          </cell>
          <cell r="P53">
            <v>1.0553073904850001</v>
          </cell>
          <cell r="Q53">
            <v>1.05601384201872</v>
          </cell>
          <cell r="U53">
            <v>6.9789087954789698E-3</v>
          </cell>
          <cell r="V53">
            <v>3.9026727007557098E-3</v>
          </cell>
          <cell r="W53">
            <v>4.3563734298419296E-3</v>
          </cell>
          <cell r="Y53">
            <v>1.0594170994200001</v>
          </cell>
          <cell r="Z53">
            <v>1.05635656833193</v>
          </cell>
          <cell r="AA53">
            <v>1.0565384309421899</v>
          </cell>
          <cell r="AF53">
            <v>-5.7999849954400303E-4</v>
          </cell>
          <cell r="AG53">
            <v>-3.74580368762627E-4</v>
          </cell>
          <cell r="AR53">
            <v>0</v>
          </cell>
          <cell r="BC53">
            <v>0</v>
          </cell>
          <cell r="BF53">
            <v>0</v>
          </cell>
        </row>
        <row r="54">
          <cell r="O54">
            <v>1.05905106792887</v>
          </cell>
          <cell r="P54">
            <v>1.0548977327954201</v>
          </cell>
          <cell r="Q54">
            <v>1.05582382434561</v>
          </cell>
          <cell r="U54">
            <v>6.1473815688717903E-3</v>
          </cell>
          <cell r="V54">
            <v>2.6061832057012102E-3</v>
          </cell>
          <cell r="W54">
            <v>3.2753864981343202E-3</v>
          </cell>
          <cell r="Y54">
            <v>1.0594170994200001</v>
          </cell>
          <cell r="Z54">
            <v>1.0564636340250999</v>
          </cell>
          <cell r="AA54">
            <v>1.05660677496045</v>
          </cell>
          <cell r="AF54">
            <v>-1.2973110783394599E-3</v>
          </cell>
          <cell r="AG54">
            <v>-1.12516564681653E-3</v>
          </cell>
          <cell r="AR54">
            <v>0</v>
          </cell>
          <cell r="BC54">
            <v>0</v>
          </cell>
          <cell r="BF54">
            <v>0</v>
          </cell>
        </row>
        <row r="55">
          <cell r="O55">
            <v>1.05905106792887</v>
          </cell>
          <cell r="P55">
            <v>1.05452001385824</v>
          </cell>
          <cell r="Q55">
            <v>1.05554841159362</v>
          </cell>
          <cell r="U55">
            <v>6.2654772491789797E-3</v>
          </cell>
          <cell r="V55">
            <v>2.3360154985266101E-3</v>
          </cell>
          <cell r="W55">
            <v>3.2135273678533401E-3</v>
          </cell>
          <cell r="Y55">
            <v>1.0594170994200001</v>
          </cell>
          <cell r="Z55">
            <v>1.0566030740830299</v>
          </cell>
          <cell r="AA55">
            <v>1.0565899417060201</v>
          </cell>
          <cell r="AF55">
            <v>-1.08256260121822E-3</v>
          </cell>
          <cell r="AG55">
            <v>-9.4708113788423897E-4</v>
          </cell>
          <cell r="AR55">
            <v>0</v>
          </cell>
          <cell r="BC55">
            <v>0</v>
          </cell>
          <cell r="BF55">
            <v>0</v>
          </cell>
        </row>
        <row r="56">
          <cell r="O56">
            <v>1.05905106792887</v>
          </cell>
          <cell r="P56">
            <v>1.05472646571857</v>
          </cell>
          <cell r="Q56">
            <v>1.05562800942789</v>
          </cell>
          <cell r="U56">
            <v>4.9441483857310905E-4</v>
          </cell>
          <cell r="V56">
            <v>-3.7931731692610001E-3</v>
          </cell>
          <cell r="W56">
            <v>-2.8184201191658901E-3</v>
          </cell>
          <cell r="Y56">
            <v>1.0594170994200001</v>
          </cell>
          <cell r="Z56">
            <v>1.0568095259433701</v>
          </cell>
          <cell r="AA56">
            <v>1.0566695395402901</v>
          </cell>
          <cell r="AF56">
            <v>-1.81975824835187E-3</v>
          </cell>
          <cell r="AG56">
            <v>-1.83218719063621E-3</v>
          </cell>
          <cell r="AR56">
            <v>0</v>
          </cell>
          <cell r="BC56">
            <v>0</v>
          </cell>
          <cell r="BF56">
            <v>0</v>
          </cell>
        </row>
        <row r="57">
          <cell r="O57">
            <v>1.05905106792887</v>
          </cell>
          <cell r="P57">
            <v>1.0548913279116601</v>
          </cell>
          <cell r="Q57">
            <v>1.0556844903227101</v>
          </cell>
          <cell r="U57">
            <v>1.9661172921668001E-4</v>
          </cell>
          <cell r="V57">
            <v>-3.8952174016975301E-3</v>
          </cell>
          <cell r="W57">
            <v>-3.04081708669794E-3</v>
          </cell>
          <cell r="Y57">
            <v>1.0594170994200001</v>
          </cell>
          <cell r="Z57">
            <v>1.0569743881364499</v>
          </cell>
          <cell r="AA57">
            <v>1.0567260204351101</v>
          </cell>
          <cell r="AF57">
            <v>-1.92218837565107E-3</v>
          </cell>
          <cell r="AG57">
            <v>-2.0546584867285498E-3</v>
          </cell>
          <cell r="AR57">
            <v>0</v>
          </cell>
          <cell r="BC57">
            <v>0</v>
          </cell>
          <cell r="BF57">
            <v>0</v>
          </cell>
        </row>
        <row r="58">
          <cell r="O58">
            <v>1.05905106792887</v>
          </cell>
          <cell r="P58">
            <v>1.05513318900047</v>
          </cell>
          <cell r="Q58">
            <v>1.0558513397347999</v>
          </cell>
          <cell r="U58">
            <v>-5.10818276124437E-5</v>
          </cell>
          <cell r="V58">
            <v>-3.9866151651185297E-3</v>
          </cell>
          <cell r="W58">
            <v>-3.2350075312809401E-3</v>
          </cell>
          <cell r="Y58">
            <v>1.0594170994200001</v>
          </cell>
          <cell r="Z58">
            <v>1.0572162492252699</v>
          </cell>
          <cell r="AA58">
            <v>1.05689286984719</v>
          </cell>
          <cell r="AF58">
            <v>-2.01389418716519E-3</v>
          </cell>
          <cell r="AG58">
            <v>-2.2489016664489301E-3</v>
          </cell>
          <cell r="AR58">
            <v>-2.476935568290501E-4</v>
          </cell>
          <cell r="BC58">
            <v>0</v>
          </cell>
          <cell r="BF58">
            <v>-2.476935568290501E-4</v>
          </cell>
        </row>
        <row r="59">
          <cell r="O59">
            <v>1.05905106792887</v>
          </cell>
          <cell r="P59">
            <v>1.05542069483143</v>
          </cell>
          <cell r="Q59">
            <v>1.0559525126843201</v>
          </cell>
          <cell r="U59">
            <v>5.0389174428088401E-4</v>
          </cell>
          <cell r="V59">
            <v>-3.2023920390749799E-3</v>
          </cell>
          <cell r="W59">
            <v>-2.5219978890931301E-3</v>
          </cell>
          <cell r="Y59">
            <v>1.0594170994200001</v>
          </cell>
          <cell r="Z59">
            <v>1.0575037550562201</v>
          </cell>
          <cell r="AA59">
            <v>1.0569940427967199</v>
          </cell>
          <cell r="AF59">
            <v>-1.2301228090609701E-3</v>
          </cell>
          <cell r="AG59">
            <v>-1.5360477754492001E-3</v>
          </cell>
          <cell r="AR59">
            <v>3.0728001506414963E-4</v>
          </cell>
          <cell r="BC59">
            <v>0</v>
          </cell>
          <cell r="BF59">
            <v>3.0728001506414963E-4</v>
          </cell>
        </row>
        <row r="60">
          <cell r="O60">
            <v>1.05905106792887</v>
          </cell>
          <cell r="P60">
            <v>1.0556411888763799</v>
          </cell>
          <cell r="Q60">
            <v>1.0560541375850701</v>
          </cell>
          <cell r="U60">
            <v>8.1892153527029197E-4</v>
          </cell>
          <cell r="V60">
            <v>-2.6149163892672401E-3</v>
          </cell>
          <cell r="W60">
            <v>-2.1111514819106502E-3</v>
          </cell>
          <cell r="Y60">
            <v>1.0594170994200001</v>
          </cell>
          <cell r="Z60">
            <v>1.05772424910117</v>
          </cell>
          <cell r="AA60">
            <v>1.0570956676974701</v>
          </cell>
          <cell r="AF60">
            <v>-6.4318389332459797E-4</v>
          </cell>
          <cell r="AG60">
            <v>-1.1252957875950199E-3</v>
          </cell>
          <cell r="AR60">
            <v>6.2230980605374776E-4</v>
          </cell>
          <cell r="BC60">
            <v>0</v>
          </cell>
          <cell r="BF60">
            <v>6.2230980605374776E-4</v>
          </cell>
        </row>
        <row r="61">
          <cell r="O61">
            <v>1.05905106792887</v>
          </cell>
          <cell r="P61">
            <v>1.05572415510006</v>
          </cell>
          <cell r="Q61">
            <v>1.05606194133486</v>
          </cell>
          <cell r="U61">
            <v>1.81216114863885E-3</v>
          </cell>
          <cell r="V61">
            <v>-1.41278280887894E-3</v>
          </cell>
          <cell r="W61">
            <v>-1.0216764700232499E-3</v>
          </cell>
          <cell r="Y61">
            <v>1.0594170994200001</v>
          </cell>
          <cell r="Z61">
            <v>1.0578072153248601</v>
          </cell>
          <cell r="AA61">
            <v>1.05710347144725</v>
          </cell>
          <cell r="AF61">
            <v>5.5853825272525405E-4</v>
          </cell>
          <cell r="AG61">
            <v>-3.5915598614236397E-5</v>
          </cell>
          <cell r="AR61">
            <v>1.6155494194223172E-3</v>
          </cell>
          <cell r="BC61">
            <v>0</v>
          </cell>
          <cell r="BF61">
            <v>1.6155494194223172E-3</v>
          </cell>
        </row>
        <row r="62">
          <cell r="O62">
            <v>1.05905106792887</v>
          </cell>
          <cell r="P62">
            <v>1.0564290497989901</v>
          </cell>
          <cell r="Q62">
            <v>1.05611361624663</v>
          </cell>
          <cell r="U62">
            <v>1.65785645098057E-3</v>
          </cell>
          <cell r="V62">
            <v>-1.4884973904665999E-3</v>
          </cell>
          <cell r="W62">
            <v>-1.1685916592526599E-3</v>
          </cell>
          <cell r="Y62">
            <v>1.0594170994200001</v>
          </cell>
          <cell r="Z62">
            <v>1.0579878799776401</v>
          </cell>
          <cell r="AA62">
            <v>1.0571551463590301</v>
          </cell>
          <cell r="AF62">
            <v>4.8266890346059801E-4</v>
          </cell>
          <cell r="AG62">
            <v>-1.82838068515962E-4</v>
          </cell>
          <cell r="AR62">
            <v>1.6155494194223172E-3</v>
          </cell>
          <cell r="BC62">
            <v>0</v>
          </cell>
          <cell r="BF62">
            <v>1.6155494194223172E-3</v>
          </cell>
        </row>
        <row r="63">
          <cell r="O63">
            <v>1.05905106792887</v>
          </cell>
          <cell r="P63">
            <v>1.05717873553744</v>
          </cell>
          <cell r="Q63">
            <v>1.0562430630112201</v>
          </cell>
          <cell r="U63">
            <v>-1.2422360134257699E-4</v>
          </cell>
          <cell r="V63">
            <v>-2.6031119166472498E-3</v>
          </cell>
          <cell r="W63">
            <v>-2.9017412033109698E-3</v>
          </cell>
          <cell r="Y63">
            <v>1.0594170994200001</v>
          </cell>
          <cell r="Z63">
            <v>1.0582126179153</v>
          </cell>
          <cell r="AA63">
            <v>1.0572845931236099</v>
          </cell>
          <cell r="AF63">
            <v>-1.1286340697157799E-3</v>
          </cell>
          <cell r="AG63">
            <v>-1.9160358210549499E-3</v>
          </cell>
          <cell r="AR63">
            <v>1.6155494194223172E-3</v>
          </cell>
          <cell r="BC63">
            <v>0</v>
          </cell>
          <cell r="BF63">
            <v>1.6155494194223172E-3</v>
          </cell>
        </row>
        <row r="64">
          <cell r="O64">
            <v>1.05905106792887</v>
          </cell>
          <cell r="P64">
            <v>1.05796486494024</v>
          </cell>
          <cell r="Q64">
            <v>1.0564312988678299</v>
          </cell>
          <cell r="U64">
            <v>-1.2935981584378199E-3</v>
          </cell>
          <cell r="V64">
            <v>-3.06309679881644E-3</v>
          </cell>
          <cell r="W64">
            <v>-3.9485542952753996E-3</v>
          </cell>
          <cell r="Y64">
            <v>1.0594170994200001</v>
          </cell>
          <cell r="Z64">
            <v>1.0584820239353501</v>
          </cell>
          <cell r="AA64">
            <v>1.05747282898023</v>
          </cell>
          <cell r="AF64">
            <v>-2.0856110409275398E-3</v>
          </cell>
          <cell r="AG64">
            <v>-2.9629696556012801E-3</v>
          </cell>
          <cell r="AR64">
            <v>1.6155494194223172E-3</v>
          </cell>
          <cell r="BC64">
            <v>0</v>
          </cell>
          <cell r="BF64">
            <v>1.6155494194223172E-3</v>
          </cell>
        </row>
        <row r="65">
          <cell r="O65">
            <v>1.05905106792887</v>
          </cell>
          <cell r="P65">
            <v>1.0586528651915601</v>
          </cell>
          <cell r="Q65">
            <v>1.0565864395249001</v>
          </cell>
          <cell r="U65">
            <v>-2.5046265078914102E-4</v>
          </cell>
          <cell r="V65">
            <v>-1.27662694845909E-3</v>
          </cell>
          <cell r="W65">
            <v>-2.7272220333076302E-3</v>
          </cell>
          <cell r="Y65">
            <v>1.0594170994200001</v>
          </cell>
          <cell r="Z65">
            <v>1.0586528651915601</v>
          </cell>
          <cell r="AA65">
            <v>1.0576279696373001</v>
          </cell>
          <cell r="AF65">
            <v>-7.8792202690243095E-4</v>
          </cell>
          <cell r="AG65">
            <v>-1.7418129194737E-3</v>
          </cell>
          <cell r="AR65">
            <v>2.6586849270711574E-3</v>
          </cell>
          <cell r="BC65">
            <v>0</v>
          </cell>
          <cell r="BF65">
            <v>2.6586849270711574E-3</v>
          </cell>
        </row>
        <row r="66">
          <cell r="O66">
            <v>1.05905106792887</v>
          </cell>
          <cell r="P66">
            <v>1.0587342820449599</v>
          </cell>
          <cell r="Q66">
            <v>1.0567303738817699</v>
          </cell>
          <cell r="U66">
            <v>-2.7444144344127301E-4</v>
          </cell>
          <cell r="V66">
            <v>-6.5051171065638302E-4</v>
          </cell>
          <cell r="W66">
            <v>-2.6043580858057598E-3</v>
          </cell>
          <cell r="Y66">
            <v>1.0594170994200001</v>
          </cell>
          <cell r="Z66">
            <v>1.0587342820449599</v>
          </cell>
          <cell r="AA66">
            <v>1.05777190399416</v>
          </cell>
          <cell r="AF66">
            <v>-6.5051171065638302E-4</v>
          </cell>
          <cell r="AG66">
            <v>-1.61909359026735E-3</v>
          </cell>
          <cell r="AR66">
            <v>2.6347061344190684E-3</v>
          </cell>
          <cell r="BC66">
            <v>0</v>
          </cell>
          <cell r="BF66">
            <v>2.6347061344190684E-3</v>
          </cell>
        </row>
        <row r="67">
          <cell r="O67">
            <v>1.05905106792887</v>
          </cell>
          <cell r="P67">
            <v>1.0588965070193499</v>
          </cell>
          <cell r="Q67">
            <v>1.0568939174655001</v>
          </cell>
          <cell r="U67">
            <v>-1.3343125856008799E-3</v>
          </cell>
          <cell r="V67">
            <v>-1.6334797191176499E-3</v>
          </cell>
          <cell r="W67">
            <v>-3.5280126832654499E-3</v>
          </cell>
          <cell r="Y67">
            <v>1.0594170994200001</v>
          </cell>
          <cell r="Z67">
            <v>1.0588965070193499</v>
          </cell>
          <cell r="AA67">
            <v>1.0579354475778999</v>
          </cell>
          <cell r="AF67">
            <v>-1.6334797191176499E-3</v>
          </cell>
          <cell r="AG67">
            <v>-2.5428823218313001E-3</v>
          </cell>
          <cell r="AR67">
            <v>1.5748349922594749E-3</v>
          </cell>
          <cell r="BC67">
            <v>0</v>
          </cell>
          <cell r="BF67">
            <v>1.5748349922594749E-3</v>
          </cell>
        </row>
        <row r="68">
          <cell r="O68">
            <v>1.05905106792887</v>
          </cell>
          <cell r="P68">
            <v>1.0590735534922999</v>
          </cell>
          <cell r="Q68">
            <v>1.05710337124639</v>
          </cell>
          <cell r="U68">
            <v>-1.7213470877501099E-3</v>
          </cell>
          <cell r="V68">
            <v>-1.86730056802345E-3</v>
          </cell>
          <cell r="W68">
            <v>-3.7602953832770402E-3</v>
          </cell>
          <cell r="Y68">
            <v>1.0594170994200001</v>
          </cell>
          <cell r="Z68">
            <v>1.0590735534922999</v>
          </cell>
          <cell r="AA68">
            <v>1.05814490135878</v>
          </cell>
          <cell r="AF68">
            <v>-1.86730056802345E-3</v>
          </cell>
          <cell r="AG68">
            <v>-2.7753173856965001E-3</v>
          </cell>
          <cell r="AR68">
            <v>1.1878004901102746E-3</v>
          </cell>
          <cell r="BC68">
            <v>0</v>
          </cell>
          <cell r="BF68">
            <v>1.1878004901102746E-3</v>
          </cell>
        </row>
        <row r="69">
          <cell r="O69">
            <v>1.05905106792887</v>
          </cell>
          <cell r="P69">
            <v>1.0593686191809599</v>
          </cell>
          <cell r="Q69">
            <v>1.0573946570061901</v>
          </cell>
          <cell r="U69">
            <v>-2.2797673134701802E-3</v>
          </cell>
          <cell r="V69">
            <v>-2.2585357360665899E-3</v>
          </cell>
          <cell r="W69">
            <v>-4.1205566211061501E-3</v>
          </cell>
          <cell r="Y69">
            <v>1.0594170994200001</v>
          </cell>
          <cell r="Z69">
            <v>1.0593686191809599</v>
          </cell>
          <cell r="AA69">
            <v>1.0584361871185901</v>
          </cell>
          <cell r="AF69">
            <v>-2.2585357360665899E-3</v>
          </cell>
          <cell r="AG69">
            <v>-3.1357736903663302E-3</v>
          </cell>
          <cell r="AR69">
            <v>6.2938026439026459E-4</v>
          </cell>
          <cell r="BC69">
            <v>0</v>
          </cell>
          <cell r="BF69">
            <v>6.2938026439026459E-4</v>
          </cell>
        </row>
        <row r="70">
          <cell r="O70">
            <v>1.05905106792887</v>
          </cell>
          <cell r="P70">
            <v>1.0596612186916601</v>
          </cell>
          <cell r="Q70">
            <v>1.05765120378402</v>
          </cell>
          <cell r="U70">
            <v>-1.9423721573199699E-3</v>
          </cell>
          <cell r="V70">
            <v>-1.64257202197271E-3</v>
          </cell>
          <cell r="W70">
            <v>-3.5076485462819402E-3</v>
          </cell>
          <cell r="Y70">
            <v>1.0594170994200001</v>
          </cell>
          <cell r="Z70">
            <v>1.0596612186916601</v>
          </cell>
          <cell r="AA70">
            <v>1.05869273389642</v>
          </cell>
          <cell r="AF70">
            <v>-1.64257202197271E-3</v>
          </cell>
          <cell r="AG70">
            <v>-2.5231367650920501E-3</v>
          </cell>
          <cell r="AR70">
            <v>9.6677542054030485E-4</v>
          </cell>
          <cell r="BC70">
            <v>0</v>
          </cell>
          <cell r="BF70">
            <v>9.6677542054030485E-4</v>
          </cell>
        </row>
        <row r="71">
          <cell r="O71">
            <v>1.05905106792887</v>
          </cell>
          <cell r="P71">
            <v>1.05993534406067</v>
          </cell>
          <cell r="Q71">
            <v>1.0578297495803699</v>
          </cell>
          <cell r="U71">
            <v>-7.7758300456822404E-4</v>
          </cell>
          <cell r="V71">
            <v>-2.0161921419967999E-4</v>
          </cell>
          <cell r="W71">
            <v>-2.10026722676633E-3</v>
          </cell>
          <cell r="Y71">
            <v>1.0594170994200001</v>
          </cell>
          <cell r="Z71">
            <v>1.05993534406067</v>
          </cell>
          <cell r="AA71">
            <v>1.05887127969276</v>
          </cell>
          <cell r="AF71">
            <v>-2.0161921419967999E-4</v>
          </cell>
          <cell r="AG71">
            <v>-1.1159941339686701E-3</v>
          </cell>
          <cell r="AR71">
            <v>2.131564573292105E-3</v>
          </cell>
          <cell r="BC71">
            <v>0</v>
          </cell>
          <cell r="BF71">
            <v>2.131564573292105E-3</v>
          </cell>
        </row>
        <row r="72">
          <cell r="O72">
            <v>1.05905106792887</v>
          </cell>
          <cell r="P72">
            <v>1.0602673602430801</v>
          </cell>
          <cell r="Q72">
            <v>1.05834820502104</v>
          </cell>
          <cell r="U72">
            <v>-1.4774597308856901E-3</v>
          </cell>
          <cell r="V72">
            <v>-6.4283787760013595E-4</v>
          </cell>
          <cell r="W72">
            <v>-2.6313447053395301E-3</v>
          </cell>
          <cell r="Y72">
            <v>1.0594170994200001</v>
          </cell>
          <cell r="Z72">
            <v>1.0602673602430801</v>
          </cell>
          <cell r="AA72">
            <v>1.0591276201103601</v>
          </cell>
          <cell r="AF72">
            <v>-6.4283787760013595E-4</v>
          </cell>
          <cell r="AG72">
            <v>-1.64723766135938E-3</v>
          </cell>
          <cell r="AR72">
            <v>1.4316878469747747E-3</v>
          </cell>
          <cell r="BC72">
            <v>0</v>
          </cell>
          <cell r="BF72">
            <v>1.4316878469747747E-3</v>
          </cell>
        </row>
        <row r="73">
          <cell r="O73">
            <v>1.05905106792887</v>
          </cell>
          <cell r="P73">
            <v>1.06048200587443</v>
          </cell>
          <cell r="Q73">
            <v>1.0588303707059299</v>
          </cell>
          <cell r="U73">
            <v>-2.1486944113942399E-3</v>
          </cell>
          <cell r="V73">
            <v>-1.0008796879671E-3</v>
          </cell>
          <cell r="W73">
            <v>-2.8125870863674801E-3</v>
          </cell>
          <cell r="Y73">
            <v>1.0594170994200001</v>
          </cell>
          <cell r="Z73">
            <v>1.06048200587443</v>
          </cell>
          <cell r="AA73">
            <v>1.05934731189486</v>
          </cell>
          <cell r="AF73">
            <v>-1.0008796879671E-3</v>
          </cell>
          <cell r="AG73">
            <v>-2.0764132748193101E-3</v>
          </cell>
          <cell r="AR73">
            <v>7.604531664659746E-4</v>
          </cell>
          <cell r="BC73">
            <v>0</v>
          </cell>
          <cell r="BF73">
            <v>7.604531664659746E-4</v>
          </cell>
        </row>
        <row r="74">
          <cell r="O74">
            <v>1.05905106792887</v>
          </cell>
          <cell r="P74">
            <v>1.0604194555475099</v>
          </cell>
          <cell r="Q74">
            <v>1.0591921602438701</v>
          </cell>
          <cell r="U74">
            <v>-7.0356149645899903E-4</v>
          </cell>
          <cell r="V74">
            <v>6.46677554439445E-4</v>
          </cell>
          <cell r="W74">
            <v>-9.1197469628475595E-4</v>
          </cell>
          <cell r="Y74">
            <v>1.0594170994200001</v>
          </cell>
          <cell r="Z74">
            <v>1.0604194555475099</v>
          </cell>
          <cell r="AA74">
            <v>1.0594507397414299</v>
          </cell>
          <cell r="AF74">
            <v>6.46677554439445E-4</v>
          </cell>
          <cell r="AG74">
            <v>-4.2387475694604602E-4</v>
          </cell>
          <cell r="AR74">
            <v>2.205586081401274E-3</v>
          </cell>
          <cell r="BC74">
            <v>0</v>
          </cell>
          <cell r="BF74">
            <v>2.205586081401274E-3</v>
          </cell>
        </row>
        <row r="75">
          <cell r="O75">
            <v>1.05905106792887</v>
          </cell>
          <cell r="P75">
            <v>1.0606073044514901</v>
          </cell>
          <cell r="Q75">
            <v>1.0596300848215301</v>
          </cell>
          <cell r="U75">
            <v>-2.0221953669314402E-3</v>
          </cell>
          <cell r="V75">
            <v>-7.30940977111747E-4</v>
          </cell>
          <cell r="W75">
            <v>-1.88897901733528E-3</v>
          </cell>
          <cell r="Y75">
            <v>1.0594170994200001</v>
          </cell>
          <cell r="Z75">
            <v>1.0606073044514901</v>
          </cell>
          <cell r="AA75">
            <v>1.0596300848215301</v>
          </cell>
          <cell r="AF75">
            <v>-7.30940977111747E-4</v>
          </cell>
          <cell r="AG75">
            <v>-1.6448798358821E-3</v>
          </cell>
          <cell r="AR75">
            <v>2.205586081401274E-3</v>
          </cell>
          <cell r="BC75">
            <v>0</v>
          </cell>
          <cell r="BF75">
            <v>2.205586081401274E-3</v>
          </cell>
        </row>
        <row r="76">
          <cell r="O76">
            <v>1.05905106792887</v>
          </cell>
          <cell r="P76">
            <v>1.0607228872872101</v>
          </cell>
          <cell r="Q76">
            <v>1.05972858466609</v>
          </cell>
          <cell r="U76">
            <v>-1.3649283030060201E-3</v>
          </cell>
          <cell r="V76">
            <v>1.0345624661343199E-4</v>
          </cell>
          <cell r="W76">
            <v>-8.1834591016763001E-4</v>
          </cell>
          <cell r="Y76">
            <v>1.0594170994200001</v>
          </cell>
          <cell r="Z76">
            <v>1.0607228872872101</v>
          </cell>
          <cell r="AA76">
            <v>1.05972858466609</v>
          </cell>
          <cell r="AF76">
            <v>1.0345624661343199E-4</v>
          </cell>
          <cell r="AG76">
            <v>-8.1834591016763001E-4</v>
          </cell>
          <cell r="AR76">
            <v>2.205586081401274E-3</v>
          </cell>
          <cell r="BC76">
            <v>0</v>
          </cell>
          <cell r="BF76">
            <v>2.205586081401274E-3</v>
          </cell>
        </row>
        <row r="77">
          <cell r="O77">
            <v>1.05905106792887</v>
          </cell>
          <cell r="P77">
            <v>1.06070750406398</v>
          </cell>
          <cell r="Q77">
            <v>1.0598020055416599</v>
          </cell>
          <cell r="U77">
            <v>-1.18924096690181E-3</v>
          </cell>
          <cell r="V77">
            <v>3.8811561949776599E-4</v>
          </cell>
          <cell r="W77">
            <v>-5.4970607286603695E-4</v>
          </cell>
          <cell r="Y77">
            <v>1.0594170994200001</v>
          </cell>
          <cell r="Z77">
            <v>1.06070750406398</v>
          </cell>
          <cell r="AA77">
            <v>1.0598020055416599</v>
          </cell>
          <cell r="AF77">
            <v>3.8811561949776599E-4</v>
          </cell>
          <cell r="AG77">
            <v>-5.4970607286603695E-4</v>
          </cell>
          <cell r="AR77">
            <v>2.205586081401274E-3</v>
          </cell>
          <cell r="BC77">
            <v>0</v>
          </cell>
          <cell r="BF77">
            <v>2.205586081401274E-3</v>
          </cell>
        </row>
        <row r="78">
          <cell r="O78">
            <v>1.05905106792887</v>
          </cell>
          <cell r="P78">
            <v>1.0605693967830101</v>
          </cell>
          <cell r="Q78">
            <v>1.05982147513765</v>
          </cell>
          <cell r="U78">
            <v>-4.1867549739546902E-4</v>
          </cell>
          <cell r="V78">
            <v>1.1441783994035901E-3</v>
          </cell>
          <cell r="W78">
            <v>2.9013971365462798E-4</v>
          </cell>
          <cell r="Y78">
            <v>1.0594170994200001</v>
          </cell>
          <cell r="Z78">
            <v>1.0605693967830101</v>
          </cell>
          <cell r="AA78">
            <v>1.05982147513765</v>
          </cell>
          <cell r="AF78">
            <v>1.1441783994035901E-3</v>
          </cell>
          <cell r="AG78">
            <v>2.9013971365462798E-4</v>
          </cell>
          <cell r="AR78">
            <v>2.205586081401274E-3</v>
          </cell>
          <cell r="BC78">
            <v>0</v>
          </cell>
          <cell r="BF78">
            <v>2.205586081401274E-3</v>
          </cell>
        </row>
        <row r="79">
          <cell r="O79">
            <v>1.05905106792887</v>
          </cell>
          <cell r="P79">
            <v>1.06047145898602</v>
          </cell>
          <cell r="Q79">
            <v>1.05992003908349</v>
          </cell>
          <cell r="U79">
            <v>-1.3566779030099801E-3</v>
          </cell>
          <cell r="V79">
            <v>7.5964533791006195E-5</v>
          </cell>
          <cell r="W79">
            <v>-6.2949188585170301E-4</v>
          </cell>
          <cell r="Y79">
            <v>1.0594170994200001</v>
          </cell>
          <cell r="Z79">
            <v>1.06047145898602</v>
          </cell>
          <cell r="AA79">
            <v>1.05992003908349</v>
          </cell>
          <cell r="AF79">
            <v>7.5964533791006195E-5</v>
          </cell>
          <cell r="AG79">
            <v>-6.2949188585170301E-4</v>
          </cell>
          <cell r="AR79">
            <v>2.205586081401274E-3</v>
          </cell>
          <cell r="BC79">
            <v>0</v>
          </cell>
          <cell r="BF79">
            <v>2.205586081401274E-3</v>
          </cell>
        </row>
        <row r="80">
          <cell r="O80">
            <v>1.05905106792887</v>
          </cell>
          <cell r="P80">
            <v>1.06050805832904</v>
          </cell>
          <cell r="Q80">
            <v>1.06008463851035</v>
          </cell>
          <cell r="U80">
            <v>-2.2872282783430202E-3</v>
          </cell>
          <cell r="V80">
            <v>-9.4693464924665001E-4</v>
          </cell>
          <cell r="W80">
            <v>-1.4670460677886799E-3</v>
          </cell>
          <cell r="Y80">
            <v>1.0594170994200001</v>
          </cell>
          <cell r="Z80">
            <v>1.06050805832904</v>
          </cell>
          <cell r="AA80">
            <v>1.06008463851035</v>
          </cell>
          <cell r="AF80">
            <v>-9.4693464924665001E-4</v>
          </cell>
          <cell r="AG80">
            <v>-1.4670460677886799E-3</v>
          </cell>
          <cell r="AR80">
            <v>2.205586081401274E-3</v>
          </cell>
          <cell r="BC80">
            <v>0</v>
          </cell>
          <cell r="BF80">
            <v>2.205586081401274E-3</v>
          </cell>
        </row>
        <row r="81">
          <cell r="O81">
            <v>1.05905106792887</v>
          </cell>
          <cell r="P81">
            <v>1.0606027043117201</v>
          </cell>
          <cell r="Q81">
            <v>1.0602690241862001</v>
          </cell>
          <cell r="U81">
            <v>-1.6701765532141401E-3</v>
          </cell>
          <cell r="V81">
            <v>-2.9537118770157298E-4</v>
          </cell>
          <cell r="W81">
            <v>-6.9471220679288804E-4</v>
          </cell>
          <cell r="Y81">
            <v>1.0594170994200001</v>
          </cell>
          <cell r="Z81">
            <v>1.0606027043117201</v>
          </cell>
          <cell r="AA81">
            <v>1.0602690241862001</v>
          </cell>
          <cell r="AF81">
            <v>-2.9537118770157298E-4</v>
          </cell>
          <cell r="AG81">
            <v>-6.9471220679288804E-4</v>
          </cell>
          <cell r="AR81">
            <v>2.205586081401274E-3</v>
          </cell>
          <cell r="BC81">
            <v>0</v>
          </cell>
          <cell r="BF81">
            <v>2.205586081401274E-3</v>
          </cell>
        </row>
        <row r="82">
          <cell r="O82">
            <v>1.05905106792887</v>
          </cell>
          <cell r="P82">
            <v>1.0605549025835901</v>
          </cell>
          <cell r="Q82">
            <v>1.06041113141333</v>
          </cell>
          <cell r="U82">
            <v>-1.0266607469609601E-3</v>
          </cell>
          <cell r="V82">
            <v>4.3738652369766998E-4</v>
          </cell>
          <cell r="W82">
            <v>1.2272333705471699E-4</v>
          </cell>
          <cell r="Y82">
            <v>1.0594170994200001</v>
          </cell>
          <cell r="Z82">
            <v>1.0605549025835901</v>
          </cell>
          <cell r="AA82">
            <v>1.06041113141333</v>
          </cell>
          <cell r="AF82">
            <v>4.3738652369766998E-4</v>
          </cell>
          <cell r="AG82">
            <v>1.2272333705471699E-4</v>
          </cell>
          <cell r="AR82">
            <v>2.205586081401274E-3</v>
          </cell>
          <cell r="BC82">
            <v>0</v>
          </cell>
          <cell r="BF82">
            <v>2.205586081401274E-3</v>
          </cell>
        </row>
        <row r="83">
          <cell r="O83">
            <v>1.05905106792887</v>
          </cell>
          <cell r="P83">
            <v>1.06039014095565</v>
          </cell>
          <cell r="Q83">
            <v>1.06043607341504</v>
          </cell>
          <cell r="U83">
            <v>-5.95079699105072E-4</v>
          </cell>
          <cell r="V83">
            <v>8.2389621242206904E-4</v>
          </cell>
          <cell r="W83">
            <v>6.8832480942086403E-4</v>
          </cell>
          <cell r="Y83">
            <v>1.0594170994200001</v>
          </cell>
          <cell r="Z83">
            <v>1.06039014095565</v>
          </cell>
          <cell r="AA83">
            <v>1.06043607341504</v>
          </cell>
          <cell r="AF83">
            <v>8.2389621242206904E-4</v>
          </cell>
          <cell r="AG83">
            <v>6.8832480942086403E-4</v>
          </cell>
          <cell r="AR83">
            <v>2.205586081401274E-3</v>
          </cell>
          <cell r="BC83">
            <v>0</v>
          </cell>
          <cell r="BF83">
            <v>2.205586081401274E-3</v>
          </cell>
        </row>
        <row r="84">
          <cell r="O84">
            <v>1.05905106792887</v>
          </cell>
          <cell r="P84">
            <v>1.0605617291353699</v>
          </cell>
          <cell r="Q84">
            <v>1.0604905923414401</v>
          </cell>
          <cell r="U84">
            <v>-2.3213195580155999E-3</v>
          </cell>
          <cell r="V84">
            <v>-1.05770988642919E-3</v>
          </cell>
          <cell r="W84">
            <v>-1.0143942586921201E-3</v>
          </cell>
          <cell r="Y84">
            <v>1.0594170994200001</v>
          </cell>
          <cell r="Z84">
            <v>1.0605617291353699</v>
          </cell>
          <cell r="AA84">
            <v>1.0604905923414401</v>
          </cell>
          <cell r="AF84">
            <v>-1.05770988642919E-3</v>
          </cell>
          <cell r="AG84">
            <v>-1.0143942586921201E-3</v>
          </cell>
          <cell r="AR84">
            <v>2.205586081401274E-3</v>
          </cell>
          <cell r="BC84">
            <v>0</v>
          </cell>
          <cell r="BF84">
            <v>2.205586081401274E-3</v>
          </cell>
        </row>
        <row r="85">
          <cell r="O85">
            <v>1.05905106792887</v>
          </cell>
          <cell r="P85">
            <v>1.0605543849335799</v>
          </cell>
          <cell r="Q85">
            <v>1.06058084469253</v>
          </cell>
          <cell r="U85">
            <v>-1.95298606018263E-3</v>
          </cell>
          <cell r="V85">
            <v>-5.2757339578424103E-4</v>
          </cell>
          <cell r="W85">
            <v>-5.9465028326831197E-4</v>
          </cell>
          <cell r="Y85">
            <v>1.0594170994200001</v>
          </cell>
          <cell r="Z85">
            <v>1.0605543849335799</v>
          </cell>
          <cell r="AA85">
            <v>1.06058084469253</v>
          </cell>
          <cell r="AF85">
            <v>-5.2757339578424103E-4</v>
          </cell>
          <cell r="AG85">
            <v>-5.9465028326831197E-4</v>
          </cell>
          <cell r="AR85">
            <v>2.205586081401274E-3</v>
          </cell>
          <cell r="BC85">
            <v>0</v>
          </cell>
          <cell r="BF85">
            <v>2.205586081401274E-3</v>
          </cell>
        </row>
        <row r="86">
          <cell r="O86">
            <v>1.05905106792887</v>
          </cell>
          <cell r="P86">
            <v>1.06062741882834</v>
          </cell>
          <cell r="Q86">
            <v>1.06067515305778</v>
          </cell>
          <cell r="U86">
            <v>-2.0533670047501299E-3</v>
          </cell>
          <cell r="V86">
            <v>-6.34879186893706E-4</v>
          </cell>
          <cell r="W86">
            <v>-6.0993050980176499E-4</v>
          </cell>
          <cell r="Y86">
            <v>1.0594170994200001</v>
          </cell>
          <cell r="Z86">
            <v>1.06062741882834</v>
          </cell>
          <cell r="AA86">
            <v>1.06067515305778</v>
          </cell>
          <cell r="AF86">
            <v>-6.3487918689348298E-4</v>
          </cell>
          <cell r="AG86">
            <v>-6.0993050980176499E-4</v>
          </cell>
          <cell r="AR86">
            <v>2.205586081401274E-3</v>
          </cell>
          <cell r="BC86">
            <v>0</v>
          </cell>
          <cell r="BF86">
            <v>2.205586081401274E-3</v>
          </cell>
        </row>
        <row r="87">
          <cell r="O87">
            <v>1.05905106792887</v>
          </cell>
          <cell r="P87">
            <v>1.06084190445876</v>
          </cell>
          <cell r="Q87">
            <v>1.06077470426137</v>
          </cell>
          <cell r="U87">
            <v>-3.21005305346614E-3</v>
          </cell>
          <cell r="V87">
            <v>-1.7227037220275401E-3</v>
          </cell>
          <cell r="W87">
            <v>-1.67769908188354E-3</v>
          </cell>
          <cell r="Y87">
            <v>1.0594170994200001</v>
          </cell>
          <cell r="Z87">
            <v>1.06084190445876</v>
          </cell>
          <cell r="AA87">
            <v>1.06077470426137</v>
          </cell>
          <cell r="AF87">
            <v>-1.7227037220275401E-3</v>
          </cell>
          <cell r="AG87">
            <v>-1.67769908188354E-3</v>
          </cell>
          <cell r="AR87">
            <v>2.205586081401274E-3</v>
          </cell>
          <cell r="BC87">
            <v>0</v>
          </cell>
          <cell r="BF87">
            <v>2.205586081401274E-3</v>
          </cell>
        </row>
        <row r="88">
          <cell r="O88">
            <v>1.05905106792887</v>
          </cell>
          <cell r="P88">
            <v>1.06105866834845</v>
          </cell>
          <cell r="Q88">
            <v>1.06081403256573</v>
          </cell>
          <cell r="U88">
            <v>-2.46250336948768E-3</v>
          </cell>
          <cell r="V88">
            <v>-7.7294924649753505E-4</v>
          </cell>
          <cell r="W88">
            <v>-8.3629735297468296E-4</v>
          </cell>
          <cell r="Y88">
            <v>1.0594170994200001</v>
          </cell>
          <cell r="Z88">
            <v>1.06105866834845</v>
          </cell>
          <cell r="AA88">
            <v>1.06081403256573</v>
          </cell>
          <cell r="AF88">
            <v>-7.7294924649731203E-4</v>
          </cell>
          <cell r="AG88">
            <v>-8.3629735297468296E-4</v>
          </cell>
          <cell r="AR88">
            <v>2.205586081401274E-3</v>
          </cell>
          <cell r="BC88">
            <v>0</v>
          </cell>
          <cell r="BF88">
            <v>2.205586081401274E-3</v>
          </cell>
        </row>
        <row r="89">
          <cell r="O89">
            <v>1.05905106792887</v>
          </cell>
          <cell r="P89">
            <v>1.06109596087268</v>
          </cell>
          <cell r="Q89">
            <v>1.06078370992935</v>
          </cell>
          <cell r="U89">
            <v>-1.7082701831677299E-3</v>
          </cell>
          <cell r="V89">
            <v>1.8559501190401799E-4</v>
          </cell>
          <cell r="W89">
            <v>-4.4989776427545798E-5</v>
          </cell>
          <cell r="Y89">
            <v>1.0594170994200001</v>
          </cell>
          <cell r="Z89">
            <v>1.06109596087268</v>
          </cell>
          <cell r="AA89">
            <v>1.06078370992935</v>
          </cell>
          <cell r="AF89">
            <v>1.8559501190401799E-4</v>
          </cell>
          <cell r="AG89">
            <v>-4.4989776427545798E-5</v>
          </cell>
          <cell r="AR89">
            <v>2.205586081401274E-3</v>
          </cell>
          <cell r="BC89">
            <v>0</v>
          </cell>
          <cell r="BF89">
            <v>2.205586081401274E-3</v>
          </cell>
        </row>
        <row r="90">
          <cell r="O90">
            <v>1.05905106792887</v>
          </cell>
          <cell r="P90">
            <v>1.06100047293721</v>
          </cell>
          <cell r="Q90">
            <v>1.0607542656331299</v>
          </cell>
          <cell r="U90">
            <v>-1.38724656658228E-3</v>
          </cell>
          <cell r="V90">
            <v>5.4176453512329997E-4</v>
          </cell>
          <cell r="W90">
            <v>2.47449122351121E-4</v>
          </cell>
          <cell r="Y90">
            <v>1.0594170994200001</v>
          </cell>
          <cell r="Z90">
            <v>1.06100047293721</v>
          </cell>
          <cell r="AA90">
            <v>1.0607542656331299</v>
          </cell>
          <cell r="AF90">
            <v>5.4176453512329997E-4</v>
          </cell>
          <cell r="AG90">
            <v>2.47449122351121E-4</v>
          </cell>
          <cell r="AR90">
            <v>2.205586081401274E-3</v>
          </cell>
          <cell r="BC90">
            <v>0</v>
          </cell>
          <cell r="BF90">
            <v>2.205586081401274E-3</v>
          </cell>
        </row>
        <row r="91">
          <cell r="O91">
            <v>1.05905106792887</v>
          </cell>
          <cell r="P91">
            <v>1.06091104265883</v>
          </cell>
          <cell r="Q91">
            <v>1.0607568734852799</v>
          </cell>
          <cell r="U91">
            <v>-8.2679235962827499E-4</v>
          </cell>
          <cell r="V91">
            <v>1.01222477761323E-3</v>
          </cell>
          <cell r="W91">
            <v>7.8014582831977301E-4</v>
          </cell>
          <cell r="Y91">
            <v>1.0594170994200001</v>
          </cell>
          <cell r="Z91">
            <v>1.06091104265883</v>
          </cell>
          <cell r="AA91">
            <v>1.0607568734852799</v>
          </cell>
          <cell r="AF91">
            <v>1.0122247776130099E-3</v>
          </cell>
          <cell r="AG91">
            <v>7.8014582831977301E-4</v>
          </cell>
          <cell r="AR91">
            <v>2.205586081401274E-3</v>
          </cell>
          <cell r="BC91">
            <v>0</v>
          </cell>
          <cell r="BF91">
            <v>2.205586081401274E-3</v>
          </cell>
        </row>
        <row r="92">
          <cell r="O92">
            <v>1.05905106792887</v>
          </cell>
          <cell r="P92">
            <v>1.06091832094685</v>
          </cell>
          <cell r="Q92">
            <v>1.0607366117652199</v>
          </cell>
          <cell r="U92">
            <v>-1.09531248779746E-3</v>
          </cell>
          <cell r="V92">
            <v>6.5941246499090099E-4</v>
          </cell>
          <cell r="W92">
            <v>5.1408418561530399E-4</v>
          </cell>
          <cell r="Y92">
            <v>1.0594170994200001</v>
          </cell>
          <cell r="Z92">
            <v>1.06091832094685</v>
          </cell>
          <cell r="AA92">
            <v>1.0607366117652199</v>
          </cell>
          <cell r="AF92">
            <v>6.5941246499090099E-4</v>
          </cell>
          <cell r="AG92">
            <v>5.1408418561530399E-4</v>
          </cell>
          <cell r="AR92">
            <v>2.205586081401274E-3</v>
          </cell>
          <cell r="BC92">
            <v>0</v>
          </cell>
          <cell r="BF92">
            <v>2.205586081401274E-3</v>
          </cell>
        </row>
        <row r="93">
          <cell r="O93">
            <v>1.05905106792887</v>
          </cell>
          <cell r="P93">
            <v>1.06096016136519</v>
          </cell>
          <cell r="Q93">
            <v>1.06067515116042</v>
          </cell>
          <cell r="U93">
            <v>-9.898413455428981E-4</v>
          </cell>
          <cell r="V93">
            <v>7.7174399681530996E-4</v>
          </cell>
          <cell r="W93">
            <v>6.0045395405259195E-4</v>
          </cell>
          <cell r="Y93">
            <v>1.0594170994200001</v>
          </cell>
          <cell r="Z93">
            <v>1.06096016136519</v>
          </cell>
          <cell r="AA93">
            <v>1.06067515116042</v>
          </cell>
          <cell r="AF93">
            <v>7.7174399681530996E-4</v>
          </cell>
          <cell r="AG93">
            <v>6.0045395405237002E-4</v>
          </cell>
          <cell r="AR93">
            <v>2.205586081401274E-3</v>
          </cell>
          <cell r="BC93">
            <v>0</v>
          </cell>
          <cell r="BF93">
            <v>2.205586081401274E-3</v>
          </cell>
        </row>
        <row r="94">
          <cell r="O94">
            <v>1.05905106792887</v>
          </cell>
          <cell r="P94">
            <v>1.0607308675084</v>
          </cell>
          <cell r="Q94">
            <v>1.0606462983218801</v>
          </cell>
          <cell r="U94">
            <v>-1.5891545846693201E-4</v>
          </cell>
          <cell r="V94">
            <v>1.64210703233781E-3</v>
          </cell>
          <cell r="W94">
            <v>1.3734367242953099E-3</v>
          </cell>
          <cell r="Y94">
            <v>1.0594170994200001</v>
          </cell>
          <cell r="Z94">
            <v>1.0607308675084</v>
          </cell>
          <cell r="AA94">
            <v>1.0606462983218801</v>
          </cell>
          <cell r="AF94">
            <v>1.6421070323375899E-3</v>
          </cell>
          <cell r="AG94">
            <v>1.3734367242953099E-3</v>
          </cell>
          <cell r="AR94">
            <v>2.205586081401274E-3</v>
          </cell>
          <cell r="BC94">
            <v>0</v>
          </cell>
          <cell r="BF94">
            <v>2.205586081401274E-3</v>
          </cell>
        </row>
        <row r="95">
          <cell r="O95">
            <v>1.05905106792887</v>
          </cell>
          <cell r="P95">
            <v>1.06041271883378</v>
          </cell>
          <cell r="Q95">
            <v>1.0604835518836799</v>
          </cell>
          <cell r="U95">
            <v>1.0497483241327301E-3</v>
          </cell>
          <cell r="V95">
            <v>2.6346282620703099E-3</v>
          </cell>
          <cell r="W95">
            <v>2.5548978040271001E-3</v>
          </cell>
          <cell r="Y95">
            <v>1.0594170994200001</v>
          </cell>
          <cell r="Z95">
            <v>1.06041271883378</v>
          </cell>
          <cell r="AA95">
            <v>1.0604835518836799</v>
          </cell>
          <cell r="AF95">
            <v>2.6346282620705302E-3</v>
          </cell>
          <cell r="AG95">
            <v>2.5548978040271001E-3</v>
          </cell>
          <cell r="AR95">
            <v>2.205586081401274E-3</v>
          </cell>
          <cell r="BC95">
            <v>0</v>
          </cell>
          <cell r="BF95">
            <v>2.205586081401274E-3</v>
          </cell>
        </row>
        <row r="96">
          <cell r="O96">
            <v>1.05905106792887</v>
          </cell>
          <cell r="P96">
            <v>1.0598862718152999</v>
          </cell>
          <cell r="Q96">
            <v>1.06025684532182</v>
          </cell>
          <cell r="U96">
            <v>2.9197129885812898E-3</v>
          </cell>
          <cell r="V96">
            <v>4.2046144818253996E-3</v>
          </cell>
          <cell r="W96">
            <v>4.2714098747947604E-3</v>
          </cell>
          <cell r="Y96">
            <v>1.0594170994200001</v>
          </cell>
          <cell r="Z96">
            <v>1.0598862718152999</v>
          </cell>
          <cell r="AA96">
            <v>1.06025684532182</v>
          </cell>
          <cell r="AF96">
            <v>4.2046144818251802E-3</v>
          </cell>
          <cell r="AG96">
            <v>4.2714098747947604E-3</v>
          </cell>
          <cell r="AR96">
            <v>2.205586081401274E-3</v>
          </cell>
          <cell r="BC96">
            <v>0</v>
          </cell>
          <cell r="BF96">
            <v>2.205586081401274E-3</v>
          </cell>
        </row>
        <row r="97">
          <cell r="O97">
            <v>1.05905106792887</v>
          </cell>
          <cell r="P97">
            <v>1.0594600557735201</v>
          </cell>
          <cell r="Q97">
            <v>1.06015098011614</v>
          </cell>
          <cell r="U97">
            <v>8.0962573836477797E-4</v>
          </cell>
          <cell r="V97">
            <v>1.59794912482034E-3</v>
          </cell>
          <cell r="W97">
            <v>1.9475231769695699E-3</v>
          </cell>
          <cell r="Y97">
            <v>1.0594170994200001</v>
          </cell>
          <cell r="Z97">
            <v>1.0594600557735201</v>
          </cell>
          <cell r="AA97">
            <v>1.06015098011614</v>
          </cell>
          <cell r="AF97">
            <v>1.59794912482034E-3</v>
          </cell>
          <cell r="AG97">
            <v>1.9475231769695699E-3</v>
          </cell>
          <cell r="AR97">
            <v>2.205586081401274E-3</v>
          </cell>
          <cell r="BC97">
            <v>2.110087250216601E-3</v>
          </cell>
          <cell r="BF97">
            <v>4.3156733316178746E-3</v>
          </cell>
        </row>
        <row r="98">
          <cell r="O98">
            <v>1.05905106792887</v>
          </cell>
          <cell r="P98">
            <v>1.05929755654997</v>
          </cell>
          <cell r="Q98">
            <v>1.06017811244921</v>
          </cell>
          <cell r="U98">
            <v>-9.3071941390434395E-4</v>
          </cell>
          <cell r="V98">
            <v>-5.4461065558601099E-4</v>
          </cell>
          <cell r="W98">
            <v>1.0732439796201E-4</v>
          </cell>
          <cell r="Y98">
            <v>1.0594170994200001</v>
          </cell>
          <cell r="Z98">
            <v>1.05929755654997</v>
          </cell>
          <cell r="AA98">
            <v>1.06017811244921</v>
          </cell>
          <cell r="AF98">
            <v>-5.4461065558601099E-4</v>
          </cell>
          <cell r="AG98">
            <v>1.0732439796201E-4</v>
          </cell>
          <cell r="AR98">
            <v>2.205586081401274E-3</v>
          </cell>
          <cell r="BC98">
            <v>2.110087250216601E-3</v>
          </cell>
          <cell r="BF98">
            <v>4.3156733316178746E-3</v>
          </cell>
        </row>
        <row r="99">
          <cell r="O99">
            <v>1.05905106792887</v>
          </cell>
          <cell r="P99">
            <v>1.0590779127977099</v>
          </cell>
          <cell r="Q99">
            <v>1.06008693683519</v>
          </cell>
          <cell r="U99">
            <v>3.6430376811304101E-4</v>
          </cell>
          <cell r="V99">
            <v>5.9702147978872599E-4</v>
          </cell>
          <cell r="W99">
            <v>1.4279401478174E-3</v>
          </cell>
          <cell r="Y99">
            <v>1.0594170994200001</v>
          </cell>
          <cell r="Z99">
            <v>1.0590779127977099</v>
          </cell>
          <cell r="AA99">
            <v>1.06008693683519</v>
          </cell>
          <cell r="AF99">
            <v>5.9702147978850405E-4</v>
          </cell>
          <cell r="AG99">
            <v>1.4279401478174E-3</v>
          </cell>
          <cell r="AR99">
            <v>2.205586081401274E-3</v>
          </cell>
          <cell r="BC99">
            <v>2.110087250216601E-3</v>
          </cell>
          <cell r="BF99">
            <v>4.3156733316178746E-3</v>
          </cell>
        </row>
        <row r="100">
          <cell r="O100">
            <v>1.05905106792887</v>
          </cell>
          <cell r="P100">
            <v>1.05914506154164</v>
          </cell>
          <cell r="Q100">
            <v>1.0600727672394299</v>
          </cell>
          <cell r="U100">
            <v>-2.0202135585421898E-3</v>
          </cell>
          <cell r="V100">
            <v>-1.9948658397977099E-3</v>
          </cell>
          <cell r="W100">
            <v>-1.04258115660121E-3</v>
          </cell>
          <cell r="Y100">
            <v>1.0594170994200001</v>
          </cell>
          <cell r="Z100">
            <v>1.05914506154164</v>
          </cell>
          <cell r="AA100">
            <v>1.0600727672394299</v>
          </cell>
          <cell r="AF100">
            <v>-1.9948658397977099E-3</v>
          </cell>
          <cell r="AG100">
            <v>-1.04258115660121E-3</v>
          </cell>
          <cell r="AR100">
            <v>2.205586081401274E-3</v>
          </cell>
          <cell r="BC100">
            <v>2.110087250216601E-3</v>
          </cell>
          <cell r="BF100">
            <v>4.3156733316178746E-3</v>
          </cell>
        </row>
        <row r="101">
          <cell r="O101">
            <v>1.05905106792887</v>
          </cell>
          <cell r="P101">
            <v>1.0591885037004301</v>
          </cell>
          <cell r="Q101">
            <v>1.0600497731796299</v>
          </cell>
          <cell r="U101">
            <v>-1.2365682853818401E-3</v>
          </cell>
          <cell r="V101">
            <v>-1.1478195510052499E-3</v>
          </cell>
          <cell r="W101">
            <v>-2.7230241968632902E-4</v>
          </cell>
          <cell r="Y101">
            <v>1.0594170994200001</v>
          </cell>
          <cell r="Z101">
            <v>1.0591885037004301</v>
          </cell>
          <cell r="AA101">
            <v>1.0600497731796299</v>
          </cell>
          <cell r="AF101">
            <v>-1.1478195510052499E-3</v>
          </cell>
          <cell r="AG101">
            <v>-2.7230241968632902E-4</v>
          </cell>
          <cell r="AR101">
            <v>2.205586081401274E-3</v>
          </cell>
          <cell r="BC101">
            <v>2.110087250216601E-3</v>
          </cell>
          <cell r="BF101">
            <v>4.3156733316178746E-3</v>
          </cell>
        </row>
        <row r="102">
          <cell r="O102">
            <v>1.05905106792887</v>
          </cell>
          <cell r="P102">
            <v>1.05933063531202</v>
          </cell>
          <cell r="Q102">
            <v>1.0601244781294401</v>
          </cell>
          <cell r="U102">
            <v>-2.4350112169436301E-3</v>
          </cell>
          <cell r="V102">
            <v>-2.30524707355895E-3</v>
          </cell>
          <cell r="W102">
            <v>-1.4924366066892199E-3</v>
          </cell>
          <cell r="Y102">
            <v>1.0594170994200001</v>
          </cell>
          <cell r="Z102">
            <v>1.05933063531202</v>
          </cell>
          <cell r="AA102">
            <v>1.0601244781294401</v>
          </cell>
          <cell r="AF102">
            <v>-2.30524707355928E-3</v>
          </cell>
          <cell r="AG102">
            <v>-1.49243660668944E-3</v>
          </cell>
          <cell r="AR102">
            <v>2.205586081401274E-3</v>
          </cell>
          <cell r="BC102">
            <v>2.110087250216601E-3</v>
          </cell>
          <cell r="BF102">
            <v>4.3156733316178746E-3</v>
          </cell>
        </row>
        <row r="103">
          <cell r="O103">
            <v>1.05905106792887</v>
          </cell>
          <cell r="P103">
            <v>1.05962727376545</v>
          </cell>
          <cell r="Q103">
            <v>1.06029371756532</v>
          </cell>
          <cell r="U103">
            <v>-3.7841459491094799E-3</v>
          </cell>
          <cell r="V103">
            <v>-3.5202016520607098E-3</v>
          </cell>
          <cell r="W103">
            <v>-2.7711007633445298E-3</v>
          </cell>
          <cell r="Y103">
            <v>1.0594170994200001</v>
          </cell>
          <cell r="Z103">
            <v>1.05962727376545</v>
          </cell>
          <cell r="AA103">
            <v>1.06029371756532</v>
          </cell>
          <cell r="AF103">
            <v>-3.5202016520607098E-3</v>
          </cell>
          <cell r="AG103">
            <v>-2.7711007633445298E-3</v>
          </cell>
          <cell r="AR103">
            <v>2.205586081401274E-3</v>
          </cell>
          <cell r="BC103">
            <v>2.110087250216601E-3</v>
          </cell>
          <cell r="BF103">
            <v>4.3156733316178746E-3</v>
          </cell>
        </row>
        <row r="104">
          <cell r="O104">
            <v>1.05905106792887</v>
          </cell>
          <cell r="P104">
            <v>1.0599182501617801</v>
          </cell>
          <cell r="Q104">
            <v>1.06032455883509</v>
          </cell>
          <cell r="U104">
            <v>-2.9022325069540801E-3</v>
          </cell>
          <cell r="V104">
            <v>-2.3583029831205399E-3</v>
          </cell>
          <cell r="W104">
            <v>-1.7295589643070599E-3</v>
          </cell>
          <cell r="Y104">
            <v>1.0594170994200001</v>
          </cell>
          <cell r="Z104">
            <v>1.0599182501617801</v>
          </cell>
          <cell r="AA104">
            <v>1.06032455883509</v>
          </cell>
          <cell r="AF104">
            <v>-2.3583029831205399E-3</v>
          </cell>
          <cell r="AG104">
            <v>-1.7295589643070599E-3</v>
          </cell>
          <cell r="AR104">
            <v>3.0874995235566746E-3</v>
          </cell>
          <cell r="BC104">
            <v>2.110087250216601E-3</v>
          </cell>
          <cell r="BF104">
            <v>5.1975867737732752E-3</v>
          </cell>
        </row>
        <row r="105">
          <cell r="O105">
            <v>1.05905106792887</v>
          </cell>
          <cell r="P105">
            <v>1.0603354388696999</v>
          </cell>
          <cell r="Q105">
            <v>1.06037407885174</v>
          </cell>
          <cell r="U105">
            <v>-2.88590327701976E-3</v>
          </cell>
          <cell r="V105">
            <v>-2.0674088571935702E-3</v>
          </cell>
          <cell r="W105">
            <v>-1.6841426797941899E-3</v>
          </cell>
          <cell r="Y105">
            <v>1.0594170994200001</v>
          </cell>
          <cell r="Z105">
            <v>1.0603354388696999</v>
          </cell>
          <cell r="AA105">
            <v>1.06037407885174</v>
          </cell>
          <cell r="AF105">
            <v>-2.0674088571935702E-3</v>
          </cell>
          <cell r="AG105">
            <v>-1.6841426797941899E-3</v>
          </cell>
          <cell r="AR105">
            <v>3.1038287534909744E-3</v>
          </cell>
          <cell r="BC105">
            <v>2.110087250216601E-3</v>
          </cell>
          <cell r="BF105">
            <v>5.2139160037075749E-3</v>
          </cell>
        </row>
        <row r="106">
          <cell r="O106">
            <v>1.05905106792887</v>
          </cell>
          <cell r="P106">
            <v>1.06099015818036</v>
          </cell>
          <cell r="Q106">
            <v>1.06043821499783</v>
          </cell>
          <cell r="U106">
            <v>-3.2613528623855101E-3</v>
          </cell>
          <cell r="V106">
            <v>-2.0493312760161099E-3</v>
          </cell>
          <cell r="W106">
            <v>-2.0128906586436902E-3</v>
          </cell>
          <cell r="Y106">
            <v>1.0594170994200001</v>
          </cell>
          <cell r="Z106">
            <v>1.06099015818036</v>
          </cell>
          <cell r="AA106">
            <v>1.06043821499783</v>
          </cell>
          <cell r="AF106">
            <v>-2.0493312760161099E-3</v>
          </cell>
          <cell r="AG106">
            <v>-2.0128906586436902E-3</v>
          </cell>
          <cell r="AR106">
            <v>2.7283791681251735E-3</v>
          </cell>
          <cell r="BC106">
            <v>2.110087250216601E-3</v>
          </cell>
          <cell r="BF106">
            <v>4.838466418341774E-3</v>
          </cell>
        </row>
        <row r="107">
          <cell r="O107">
            <v>1.05905106792887</v>
          </cell>
          <cell r="P107">
            <v>1.0613835261444999</v>
          </cell>
          <cell r="Q107">
            <v>1.0604217909590099</v>
          </cell>
          <cell r="U107">
            <v>-2.9008341099364299E-3</v>
          </cell>
          <cell r="V107">
            <v>-1.07153874686128E-3</v>
          </cell>
          <cell r="W107">
            <v>-1.59188928234524E-3</v>
          </cell>
          <cell r="Y107">
            <v>1.0594170994200001</v>
          </cell>
          <cell r="Z107">
            <v>1.0613835261444999</v>
          </cell>
          <cell r="AA107">
            <v>1.0604217909590099</v>
          </cell>
          <cell r="AF107">
            <v>-1.07153874686128E-3</v>
          </cell>
          <cell r="AG107">
            <v>-1.59188928234524E-3</v>
          </cell>
          <cell r="AR107">
            <v>3.0888979205741045E-3</v>
          </cell>
          <cell r="BC107">
            <v>2.110087250216601E-3</v>
          </cell>
          <cell r="BF107">
            <v>5.1989851707907051E-3</v>
          </cell>
        </row>
        <row r="108">
          <cell r="O108">
            <v>1.05905106792887</v>
          </cell>
          <cell r="P108">
            <v>1.0613100985755499</v>
          </cell>
          <cell r="Q108">
            <v>1.0603038275627601</v>
          </cell>
          <cell r="U108">
            <v>-2.3779079317724601E-4</v>
          </cell>
          <cell r="V108">
            <v>1.9621913830124302E-3</v>
          </cell>
          <cell r="W108">
            <v>1.0556659411173001E-3</v>
          </cell>
          <cell r="Y108">
            <v>1.0594170994200001</v>
          </cell>
          <cell r="Z108">
            <v>1.0613100985755499</v>
          </cell>
          <cell r="AA108">
            <v>1.0603038275627601</v>
          </cell>
          <cell r="AF108">
            <v>1.9621913830124302E-3</v>
          </cell>
          <cell r="AG108">
            <v>1.0556659411173001E-3</v>
          </cell>
          <cell r="AR108">
            <v>5.7519412373334047E-3</v>
          </cell>
          <cell r="BC108">
            <v>2.110087250216601E-3</v>
          </cell>
          <cell r="BF108">
            <v>7.8620284875500039E-3</v>
          </cell>
        </row>
        <row r="109">
          <cell r="O109">
            <v>1.05905106792887</v>
          </cell>
          <cell r="P109">
            <v>1.0613239024044701</v>
          </cell>
          <cell r="Q109">
            <v>1.0602009076010901</v>
          </cell>
          <cell r="U109">
            <v>2.3392329020259999E-4</v>
          </cell>
          <cell r="V109">
            <v>2.3647220777747399E-3</v>
          </cell>
          <cell r="W109">
            <v>1.4161318787304499E-3</v>
          </cell>
          <cell r="Y109">
            <v>1.0594170994200001</v>
          </cell>
          <cell r="Z109">
            <v>1.0613239024044701</v>
          </cell>
          <cell r="AA109">
            <v>1.0602009076010901</v>
          </cell>
          <cell r="AF109">
            <v>2.3647220777747399E-3</v>
          </cell>
          <cell r="AG109">
            <v>1.4161318787304499E-3</v>
          </cell>
          <cell r="AR109">
            <v>5.7519412373334047E-3</v>
          </cell>
          <cell r="BC109">
            <v>2.110087250216601E-3</v>
          </cell>
          <cell r="BF109">
            <v>7.8620284875500039E-3</v>
          </cell>
        </row>
        <row r="110">
          <cell r="O110">
            <v>1.05905106792887</v>
          </cell>
          <cell r="P110">
            <v>1.0611290054892</v>
          </cell>
          <cell r="Q110">
            <v>1.0601370335154201</v>
          </cell>
          <cell r="U110">
            <v>-1.8194139918277901E-4</v>
          </cell>
          <cell r="V110">
            <v>1.96186370875429E-3</v>
          </cell>
          <cell r="W110">
            <v>9.031959967669E-4</v>
          </cell>
          <cell r="Y110">
            <v>1.0594170994200001</v>
          </cell>
          <cell r="Z110">
            <v>1.0611290054892</v>
          </cell>
          <cell r="AA110">
            <v>1.0601370335154201</v>
          </cell>
          <cell r="AF110">
            <v>1.9618637087540701E-3</v>
          </cell>
          <cell r="AG110">
            <v>9.031959967669E-4</v>
          </cell>
          <cell r="AR110">
            <v>5.7519412373334047E-3</v>
          </cell>
          <cell r="BC110">
            <v>2.110087250216601E-3</v>
          </cell>
          <cell r="BF110">
            <v>7.8620284875500039E-3</v>
          </cell>
        </row>
        <row r="111">
          <cell r="O111">
            <v>1.05905106792887</v>
          </cell>
          <cell r="P111">
            <v>1.0609469360500201</v>
          </cell>
          <cell r="Q111">
            <v>1.06006771987522</v>
          </cell>
          <cell r="U111">
            <v>4.8195822898286598E-4</v>
          </cell>
          <cell r="V111">
            <v>2.44211081385152E-3</v>
          </cell>
          <cell r="W111">
            <v>1.5068466575879E-3</v>
          </cell>
          <cell r="Y111">
            <v>1.0594170994200001</v>
          </cell>
          <cell r="Z111">
            <v>1.0609469360500201</v>
          </cell>
          <cell r="AA111">
            <v>1.06006771987522</v>
          </cell>
          <cell r="AF111">
            <v>2.44211081385152E-3</v>
          </cell>
          <cell r="AG111">
            <v>1.5068466575879E-3</v>
          </cell>
          <cell r="AR111">
            <v>5.7519412373334047E-3</v>
          </cell>
          <cell r="BC111">
            <v>2.110087250216601E-3</v>
          </cell>
          <cell r="BF111">
            <v>7.8620284875500039E-3</v>
          </cell>
        </row>
        <row r="112">
          <cell r="O112">
            <v>1.05905106792887</v>
          </cell>
          <cell r="P112">
            <v>1.0607535228638501</v>
          </cell>
          <cell r="Q112">
            <v>1.0600420790879399</v>
          </cell>
          <cell r="U112">
            <v>-6.1150363108976498E-4</v>
          </cell>
          <cell r="V112">
            <v>1.17705336092924E-3</v>
          </cell>
          <cell r="W112">
            <v>3.48000885786723E-4</v>
          </cell>
          <cell r="Y112">
            <v>1.0594170994200001</v>
          </cell>
          <cell r="Z112">
            <v>1.0607535228638501</v>
          </cell>
          <cell r="AA112">
            <v>1.0600420790879399</v>
          </cell>
          <cell r="AF112">
            <v>1.17705336092924E-3</v>
          </cell>
          <cell r="AG112">
            <v>3.48000885786723E-4</v>
          </cell>
          <cell r="AR112">
            <v>5.7519412373334047E-3</v>
          </cell>
          <cell r="BC112">
            <v>2.110087250216601E-3</v>
          </cell>
          <cell r="BF112">
            <v>7.8620284875500039E-3</v>
          </cell>
        </row>
        <row r="113">
          <cell r="O113">
            <v>1.05905106792887</v>
          </cell>
          <cell r="P113">
            <v>1.06042430741185</v>
          </cell>
          <cell r="Q113">
            <v>1.0600257905886501</v>
          </cell>
          <cell r="U113">
            <v>-6.8249289929621598E-4</v>
          </cell>
          <cell r="V113">
            <v>9.2374506093556997E-4</v>
          </cell>
          <cell r="W113">
            <v>2.5282344836199402E-4</v>
          </cell>
          <cell r="Y113">
            <v>1.0594170994200001</v>
          </cell>
          <cell r="Z113">
            <v>1.06042430741185</v>
          </cell>
          <cell r="AA113">
            <v>1.0600257905886501</v>
          </cell>
          <cell r="AF113">
            <v>9.2374506093556997E-4</v>
          </cell>
          <cell r="AG113">
            <v>2.5282344836199402E-4</v>
          </cell>
          <cell r="AR113">
            <v>5.7519412373334047E-3</v>
          </cell>
          <cell r="BC113">
            <v>2.110087250216601E-3</v>
          </cell>
          <cell r="BF113">
            <v>7.8620284875500039E-3</v>
          </cell>
        </row>
        <row r="114">
          <cell r="O114">
            <v>1.05905106792887</v>
          </cell>
          <cell r="P114">
            <v>1.0597559473821301</v>
          </cell>
          <cell r="Q114">
            <v>1.0598370987719501</v>
          </cell>
          <cell r="U114">
            <v>3.41029335069223E-3</v>
          </cell>
          <cell r="V114">
            <v>4.7061231499985002E-3</v>
          </cell>
          <cell r="W114">
            <v>4.33024368151362E-3</v>
          </cell>
          <cell r="Y114">
            <v>1.0594170994200001</v>
          </cell>
          <cell r="Z114">
            <v>1.0603123650238899</v>
          </cell>
          <cell r="AA114">
            <v>1.06011530759284</v>
          </cell>
          <cell r="AF114">
            <v>-5.5190363430815599E-4</v>
          </cell>
          <cell r="AG114">
            <v>-9.2778310279327005E-4</v>
          </cell>
          <cell r="AR114">
            <v>5.7519412373334047E-3</v>
          </cell>
          <cell r="BC114">
            <v>2.110087250216601E-3</v>
          </cell>
          <cell r="BF114">
            <v>7.8620284875500039E-3</v>
          </cell>
        </row>
        <row r="115">
          <cell r="O115">
            <v>1.05905106792887</v>
          </cell>
          <cell r="P115">
            <v>1.05898190598623</v>
          </cell>
          <cell r="Q115">
            <v>1.05965867242796</v>
          </cell>
          <cell r="U115">
            <v>4.4285403348915398E-3</v>
          </cell>
          <cell r="V115">
            <v>5.0938953900357201E-3</v>
          </cell>
          <cell r="W115">
            <v>5.1704680038349203E-3</v>
          </cell>
          <cell r="Y115">
            <v>1.0594170994200001</v>
          </cell>
          <cell r="Z115">
            <v>1.0600966509401299</v>
          </cell>
          <cell r="AA115">
            <v>1.0602160449049101</v>
          </cell>
          <cell r="AF115">
            <v>3.3741469199413503E-4</v>
          </cell>
          <cell r="AG115">
            <v>1.5154894975132901E-4</v>
          </cell>
          <cell r="AR115">
            <v>5.7519412373334047E-3</v>
          </cell>
          <cell r="BC115">
            <v>2.110087250216601E-3</v>
          </cell>
          <cell r="BF115">
            <v>7.8620284875500039E-3</v>
          </cell>
        </row>
        <row r="116">
          <cell r="O116">
            <v>1.05905106792887</v>
          </cell>
          <cell r="P116">
            <v>1.05829147797819</v>
          </cell>
          <cell r="Q116">
            <v>1.05964081807928</v>
          </cell>
          <cell r="U116">
            <v>3.2579324252100098E-3</v>
          </cell>
          <cell r="V116">
            <v>3.1926247142116202E-3</v>
          </cell>
          <cell r="W116">
            <v>3.8314933091484699E-3</v>
          </cell>
          <cell r="Y116">
            <v>1.0594170994200001</v>
          </cell>
          <cell r="Z116">
            <v>1.0599715969946499</v>
          </cell>
          <cell r="AA116">
            <v>1.0604808775875101</v>
          </cell>
          <cell r="AF116">
            <v>-1.09689731701684E-3</v>
          </cell>
          <cell r="AG116">
            <v>-9.8427811217635902E-4</v>
          </cell>
          <cell r="AR116">
            <v>5.7519412373334047E-3</v>
          </cell>
          <cell r="BC116">
            <v>2.110087250216601E-3</v>
          </cell>
          <cell r="BF116">
            <v>7.8620284875500039E-3</v>
          </cell>
        </row>
        <row r="117">
          <cell r="O117">
            <v>1.05905106792887</v>
          </cell>
          <cell r="P117">
            <v>1.05765803134378</v>
          </cell>
          <cell r="Q117">
            <v>1.0595207787441401</v>
          </cell>
          <cell r="U117">
            <v>3.08096188012909E-3</v>
          </cell>
          <cell r="V117">
            <v>2.3634681663782298E-3</v>
          </cell>
          <cell r="W117">
            <v>3.63767347139739E-3</v>
          </cell>
          <cell r="Y117">
            <v>1.0594170994200001</v>
          </cell>
          <cell r="Z117">
            <v>1.0599129876300999</v>
          </cell>
          <cell r="AA117">
            <v>1.0606482568872999</v>
          </cell>
          <cell r="AF117">
            <v>-1.48004664626213E-3</v>
          </cell>
          <cell r="AG117">
            <v>-9.9969576949843902E-4</v>
          </cell>
          <cell r="AR117">
            <v>5.7519412373334047E-3</v>
          </cell>
          <cell r="BC117">
            <v>2.110087250216601E-3</v>
          </cell>
          <cell r="BF117">
            <v>7.8620284875500039E-3</v>
          </cell>
        </row>
        <row r="118">
          <cell r="O118">
            <v>1.05905106792887</v>
          </cell>
          <cell r="P118">
            <v>1.05814653222981</v>
          </cell>
          <cell r="Q118">
            <v>1.05972831540268</v>
          </cell>
          <cell r="U118">
            <v>-4.8387217857232901E-3</v>
          </cell>
          <cell r="V118">
            <v>-6.1549506304748001E-3</v>
          </cell>
          <cell r="W118">
            <v>-4.3952996533074499E-3</v>
          </cell>
          <cell r="Y118">
            <v>1.0594170994200001</v>
          </cell>
          <cell r="Z118">
            <v>1.0604014885161199</v>
          </cell>
          <cell r="AA118">
            <v>1.06085579354584</v>
          </cell>
          <cell r="AF118">
            <v>-4.0251924136716997E-3</v>
          </cell>
          <cell r="AG118">
            <v>-3.3317257301995399E-3</v>
          </cell>
          <cell r="AR118">
            <v>5.7519412373334047E-3</v>
          </cell>
          <cell r="BC118">
            <v>2.110087250216601E-3</v>
          </cell>
          <cell r="BF118">
            <v>7.8620284875500039E-3</v>
          </cell>
        </row>
        <row r="119">
          <cell r="O119">
            <v>1.05905106792887</v>
          </cell>
          <cell r="P119">
            <v>1.05850931042287</v>
          </cell>
          <cell r="Q119">
            <v>1.05991660641367</v>
          </cell>
          <cell r="U119">
            <v>-3.1865240611983199E-3</v>
          </cell>
          <cell r="V119">
            <v>-4.0409891843725997E-3</v>
          </cell>
          <cell r="W119">
            <v>-2.5472432543358799E-3</v>
          </cell>
          <cell r="Y119">
            <v>1.0594170994200001</v>
          </cell>
          <cell r="Z119">
            <v>1.0607642667091799</v>
          </cell>
          <cell r="AA119">
            <v>1.0610440845568301</v>
          </cell>
          <cell r="AF119">
            <v>-1.9122131398418901E-3</v>
          </cell>
          <cell r="AG119">
            <v>-1.48387751030366E-3</v>
          </cell>
          <cell r="AR119">
            <v>7.4041389618585045E-3</v>
          </cell>
          <cell r="BC119">
            <v>2.110087250216601E-3</v>
          </cell>
          <cell r="BF119">
            <v>9.5142262120751046E-3</v>
          </cell>
        </row>
        <row r="120">
          <cell r="O120">
            <v>1.05905106792887</v>
          </cell>
          <cell r="P120">
            <v>1.05881976628257</v>
          </cell>
          <cell r="Q120">
            <v>1.0599743858858901</v>
          </cell>
          <cell r="U120">
            <v>-3.1085744809862901E-3</v>
          </cell>
          <cell r="V120">
            <v>-3.62025530327735E-3</v>
          </cell>
          <cell r="W120">
            <v>-2.2916308877315599E-3</v>
          </cell>
          <cell r="Y120">
            <v>1.0594170994200001</v>
          </cell>
          <cell r="Z120">
            <v>1.0610747225688899</v>
          </cell>
          <cell r="AA120">
            <v>1.0611018640290399</v>
          </cell>
          <cell r="AF120">
            <v>-1.49220806895637E-3</v>
          </cell>
          <cell r="AG120">
            <v>-1.2284539470557899E-3</v>
          </cell>
          <cell r="AR120">
            <v>7.4820885420704046E-3</v>
          </cell>
          <cell r="BC120">
            <v>2.110087250216601E-3</v>
          </cell>
          <cell r="BF120">
            <v>9.5921757922870048E-3</v>
          </cell>
        </row>
        <row r="121">
          <cell r="O121">
            <v>1.05905106792887</v>
          </cell>
          <cell r="P121">
            <v>1.0592699966647801</v>
          </cell>
          <cell r="Q121">
            <v>1.0601084663574001</v>
          </cell>
          <cell r="U121">
            <v>-3.7623336787919199E-3</v>
          </cell>
          <cell r="V121">
            <v>-3.9807621527893798E-3</v>
          </cell>
          <cell r="W121">
            <v>-2.8908783465450101E-3</v>
          </cell>
          <cell r="Y121">
            <v>1.0594170994200001</v>
          </cell>
          <cell r="Z121">
            <v>1.06152495295109</v>
          </cell>
          <cell r="AA121">
            <v>1.0612359445005599</v>
          </cell>
          <cell r="AF121">
            <v>-1.8533382185762499E-3</v>
          </cell>
          <cell r="AG121">
            <v>-1.8277593291183901E-3</v>
          </cell>
          <cell r="AR121">
            <v>6.8283293442646933E-3</v>
          </cell>
          <cell r="BC121">
            <v>2.110087250216601E-3</v>
          </cell>
          <cell r="BF121">
            <v>8.9384165944812934E-3</v>
          </cell>
        </row>
        <row r="122">
          <cell r="O122">
            <v>1.05905106792887</v>
          </cell>
          <cell r="P122">
            <v>1.0595779690364899</v>
          </cell>
          <cell r="Q122">
            <v>1.0601657459501701</v>
          </cell>
          <cell r="U122">
            <v>-3.51351404431454E-3</v>
          </cell>
          <cell r="V122">
            <v>-3.3068138038823201E-3</v>
          </cell>
          <cell r="W122">
            <v>-2.5155726442736598E-3</v>
          </cell>
          <cell r="Y122">
            <v>1.0594170994200001</v>
          </cell>
          <cell r="Z122">
            <v>1.0618329253228</v>
          </cell>
          <cell r="AA122">
            <v>1.0612932240933299</v>
          </cell>
          <cell r="AF122">
            <v>-1.1802931456912E-3</v>
          </cell>
          <cell r="AG122">
            <v>-1.4525880166474799E-3</v>
          </cell>
          <cell r="AR122">
            <v>7.0771489787420233E-3</v>
          </cell>
          <cell r="BC122">
            <v>2.110087250216601E-3</v>
          </cell>
          <cell r="BF122">
            <v>9.1872362289586243E-3</v>
          </cell>
        </row>
        <row r="123">
          <cell r="O123">
            <v>1.05905106792887</v>
          </cell>
          <cell r="P123">
            <v>1.0599275457714601</v>
          </cell>
          <cell r="Q123">
            <v>1.0601759265916499</v>
          </cell>
          <cell r="U123">
            <v>-3.9756611346643501E-3</v>
          </cell>
          <cell r="V123">
            <v>-3.4782629500032798E-3</v>
          </cell>
          <cell r="W123">
            <v>-2.92368937151976E-3</v>
          </cell>
          <cell r="Y123">
            <v>1.0594170994200001</v>
          </cell>
          <cell r="Z123">
            <v>1.06218250205777</v>
          </cell>
          <cell r="AA123">
            <v>1.06130340473481</v>
          </cell>
          <cell r="AF123">
            <v>-1.35235972062399E-3</v>
          </cell>
          <cell r="AG123">
            <v>-1.8607621452753399E-3</v>
          </cell>
          <cell r="AR123">
            <v>6.6150018883922631E-3</v>
          </cell>
          <cell r="BC123">
            <v>2.110087250216601E-3</v>
          </cell>
          <cell r="BF123">
            <v>8.7250891386088641E-3</v>
          </cell>
        </row>
        <row r="124">
          <cell r="O124">
            <v>1.05905106792887</v>
          </cell>
          <cell r="P124">
            <v>1.0609354296515401</v>
          </cell>
          <cell r="Q124">
            <v>1.0603456885168301</v>
          </cell>
          <cell r="U124">
            <v>-6.0937684789476197E-3</v>
          </cell>
          <cell r="V124">
            <v>-5.2665039781142403E-3</v>
          </cell>
          <cell r="W124">
            <v>-5.0321938846981202E-3</v>
          </cell>
          <cell r="Y124">
            <v>1.0594170994200001</v>
          </cell>
          <cell r="Z124">
            <v>1.0626339682960899</v>
          </cell>
          <cell r="AA124">
            <v>1.0614731666599899</v>
          </cell>
          <cell r="AF124">
            <v>-3.1413011524396E-3</v>
          </cell>
          <cell r="AG124">
            <v>-3.9692768600925197E-3</v>
          </cell>
          <cell r="AR124">
            <v>4.4968945441089831E-3</v>
          </cell>
          <cell r="BC124">
            <v>2.110087250216601E-3</v>
          </cell>
          <cell r="BF124">
            <v>6.6069817943255841E-3</v>
          </cell>
        </row>
        <row r="125">
          <cell r="O125">
            <v>1.05905106792887</v>
          </cell>
          <cell r="P125">
            <v>1.0620879519722599</v>
          </cell>
          <cell r="Q125">
            <v>1.0605349289792401</v>
          </cell>
          <cell r="U125">
            <v>-6.4430445159161902E-3</v>
          </cell>
          <cell r="V125">
            <v>-4.6653329870225196E-3</v>
          </cell>
          <cell r="W125">
            <v>-5.2213565567898702E-3</v>
          </cell>
          <cell r="Y125">
            <v>1.0594170994200001</v>
          </cell>
          <cell r="Z125">
            <v>1.0632281633046701</v>
          </cell>
          <cell r="AA125">
            <v>1.0616624071223999</v>
          </cell>
          <cell r="AF125">
            <v>-3.0656310809670799E-3</v>
          </cell>
          <cell r="AG125">
            <v>-4.1586096153880901E-3</v>
          </cell>
          <cell r="AR125">
            <v>4.1476185071403233E-3</v>
          </cell>
          <cell r="BC125">
            <v>2.110087250216601E-3</v>
          </cell>
          <cell r="BF125">
            <v>6.2577057573569243E-3</v>
          </cell>
        </row>
        <row r="126">
          <cell r="O126">
            <v>1.05905106792887</v>
          </cell>
          <cell r="P126">
            <v>1.0631601602209</v>
          </cell>
          <cell r="Q126">
            <v>1.0607258190995399</v>
          </cell>
          <cell r="U126">
            <v>-6.8481025707918296E-3</v>
          </cell>
          <cell r="V126">
            <v>-3.98465412169799E-3</v>
          </cell>
          <cell r="W126">
            <v>-5.4479600005466399E-3</v>
          </cell>
          <cell r="Y126">
            <v>1.0594170994200001</v>
          </cell>
          <cell r="Z126">
            <v>1.06373499749075</v>
          </cell>
          <cell r="AA126">
            <v>1.0618532972426999</v>
          </cell>
          <cell r="AF126">
            <v>-2.9116735579063201E-3</v>
          </cell>
          <cell r="AG126">
            <v>-4.3854025936023201E-3</v>
          </cell>
          <cell r="AR126">
            <v>3.7425604522647333E-3</v>
          </cell>
          <cell r="BC126">
            <v>2.110087250216601E-3</v>
          </cell>
          <cell r="BF126">
            <v>5.8526477024813343E-3</v>
          </cell>
        </row>
        <row r="127">
          <cell r="O127">
            <v>1.05905106792887</v>
          </cell>
          <cell r="P127">
            <v>1.0642437432129299</v>
          </cell>
          <cell r="Q127">
            <v>1.06095088727836</v>
          </cell>
          <cell r="U127">
            <v>-7.1299414774987999E-3</v>
          </cell>
          <cell r="V127">
            <v>-3.25747357937625E-3</v>
          </cell>
          <cell r="W127">
            <v>-5.5498209191748001E-3</v>
          </cell>
          <cell r="Y127">
            <v>1.0594170994200001</v>
          </cell>
          <cell r="Z127">
            <v>1.0642437432129299</v>
          </cell>
          <cell r="AA127">
            <v>1.06207836542152</v>
          </cell>
          <cell r="AF127">
            <v>-2.7169323291267901E-3</v>
          </cell>
          <cell r="AG127">
            <v>-4.4874546304297103E-3</v>
          </cell>
          <cell r="AR127">
            <v>3.4607215455577634E-3</v>
          </cell>
          <cell r="BC127">
            <v>2.110087250216601E-3</v>
          </cell>
          <cell r="BF127">
            <v>5.5708087957743648E-3</v>
          </cell>
        </row>
        <row r="128">
          <cell r="O128">
            <v>1.05905106792887</v>
          </cell>
          <cell r="P128">
            <v>1.06435862424366</v>
          </cell>
          <cell r="Q128">
            <v>1.0612525782367399</v>
          </cell>
          <cell r="U128">
            <v>-5.9176577799323398E-3</v>
          </cell>
          <cell r="V128">
            <v>-1.0264993698761E-3</v>
          </cell>
          <cell r="W128">
            <v>-4.12537654794627E-3</v>
          </cell>
          <cell r="Y128">
            <v>1.0594170994200001</v>
          </cell>
          <cell r="Z128">
            <v>1.06435862424366</v>
          </cell>
          <cell r="AA128">
            <v>1.06238005637989</v>
          </cell>
          <cell r="AF128">
            <v>-1.0264993698761E-3</v>
          </cell>
          <cell r="AG128">
            <v>-3.06323550799667E-3</v>
          </cell>
          <cell r="AR128">
            <v>4.6730052431243636E-3</v>
          </cell>
          <cell r="BC128">
            <v>2.110087250216601E-3</v>
          </cell>
          <cell r="BF128">
            <v>6.7830924933409645E-3</v>
          </cell>
        </row>
        <row r="129">
          <cell r="O129">
            <v>1.05905106792887</v>
          </cell>
          <cell r="P129">
            <v>1.0644464452832001</v>
          </cell>
          <cell r="Q129">
            <v>1.06147787785303</v>
          </cell>
          <cell r="U129">
            <v>-4.0127871422323798E-3</v>
          </cell>
          <cell r="V129">
            <v>9.8631160707853298E-4</v>
          </cell>
          <cell r="W129">
            <v>-1.9361873090276501E-3</v>
          </cell>
          <cell r="Y129">
            <v>1.0594170994200001</v>
          </cell>
          <cell r="Z129">
            <v>1.0644464452832001</v>
          </cell>
          <cell r="AA129">
            <v>1.0626053559961901</v>
          </cell>
          <cell r="AF129">
            <v>9.8631160707875502E-4</v>
          </cell>
          <cell r="AG129">
            <v>-8.7434805235578903E-4</v>
          </cell>
          <cell r="AR129">
            <v>6.5778758808243618E-3</v>
          </cell>
          <cell r="BC129">
            <v>2.110087250216601E-3</v>
          </cell>
          <cell r="BF129">
            <v>8.6879631310409627E-3</v>
          </cell>
        </row>
        <row r="130">
          <cell r="O130">
            <v>1.05905106792887</v>
          </cell>
          <cell r="P130">
            <v>1.0645961435473099</v>
          </cell>
          <cell r="Q130">
            <v>1.06170795491494</v>
          </cell>
          <cell r="U130">
            <v>-4.5167085845857699E-3</v>
          </cell>
          <cell r="V130">
            <v>5.6489752140094799E-4</v>
          </cell>
          <cell r="W130">
            <v>-2.2278353405028898E-3</v>
          </cell>
          <cell r="Y130">
            <v>1.0594170994200001</v>
          </cell>
          <cell r="Z130">
            <v>1.0645961435473099</v>
          </cell>
          <cell r="AA130">
            <v>1.0628354330581</v>
          </cell>
          <cell r="AF130">
            <v>5.6489752140094799E-4</v>
          </cell>
          <cell r="AG130">
            <v>-1.16622134056126E-3</v>
          </cell>
          <cell r="AR130">
            <v>6.0739544384708615E-3</v>
          </cell>
          <cell r="BC130">
            <v>2.110087250216601E-3</v>
          </cell>
          <cell r="BF130">
            <v>8.1840416886874625E-3</v>
          </cell>
        </row>
        <row r="131">
          <cell r="O131">
            <v>1.05905106792887</v>
          </cell>
          <cell r="P131">
            <v>1.0646825403418101</v>
          </cell>
          <cell r="Q131">
            <v>1.0619762685032901</v>
          </cell>
          <cell r="U131">
            <v>-4.5747344813358102E-3</v>
          </cell>
          <cell r="V131">
            <v>6.4749658457398103E-4</v>
          </cell>
          <cell r="W131">
            <v>-2.0691330929147999E-3</v>
          </cell>
          <cell r="Y131">
            <v>1.0594170994200001</v>
          </cell>
          <cell r="Z131">
            <v>1.0646825403418101</v>
          </cell>
          <cell r="AA131">
            <v>1.0631037466464499</v>
          </cell>
          <cell r="AF131">
            <v>6.4749658457398103E-4</v>
          </cell>
          <cell r="AG131">
            <v>-1.0077490276283699E-3</v>
          </cell>
          <cell r="AR131">
            <v>6.0159285417209114E-3</v>
          </cell>
          <cell r="BC131">
            <v>2.110087250216601E-3</v>
          </cell>
          <cell r="BF131">
            <v>8.1260157919375124E-3</v>
          </cell>
        </row>
        <row r="132">
          <cell r="O132">
            <v>1.05905106792887</v>
          </cell>
          <cell r="P132">
            <v>1.06462604060709</v>
          </cell>
          <cell r="Q132">
            <v>1.06210200482179</v>
          </cell>
          <cell r="U132">
            <v>-2.9817498730702898E-3</v>
          </cell>
          <cell r="V132">
            <v>2.3216324251310598E-3</v>
          </cell>
          <cell r="W132">
            <v>-2.2346158626815701E-4</v>
          </cell>
          <cell r="Y132">
            <v>1.0594170994200001</v>
          </cell>
          <cell r="Z132">
            <v>1.06462604060709</v>
          </cell>
          <cell r="AA132">
            <v>1.06322948296495</v>
          </cell>
          <cell r="AF132">
            <v>2.3216324251310598E-3</v>
          </cell>
          <cell r="AG132">
            <v>8.3765445727925197E-4</v>
          </cell>
          <cell r="AR132">
            <v>7.6089131499863134E-3</v>
          </cell>
          <cell r="BC132">
            <v>2.110087250216601E-3</v>
          </cell>
          <cell r="BF132">
            <v>9.7190004002029144E-3</v>
          </cell>
        </row>
        <row r="133">
          <cell r="O133">
            <v>1.05905106792887</v>
          </cell>
          <cell r="P133">
            <v>1.06453259111652</v>
          </cell>
          <cell r="Q133">
            <v>1.06223006844399</v>
          </cell>
          <cell r="U133">
            <v>-3.0963869024273798E-3</v>
          </cell>
          <cell r="V133">
            <v>2.1539267750596502E-3</v>
          </cell>
          <cell r="W133">
            <v>-2.1970719830097699E-4</v>
          </cell>
          <cell r="Y133">
            <v>1.0594170994200001</v>
          </cell>
          <cell r="Z133">
            <v>1.06453259111652</v>
          </cell>
          <cell r="AA133">
            <v>1.0633575465871401</v>
          </cell>
          <cell r="AF133">
            <v>2.1539267750596502E-3</v>
          </cell>
          <cell r="AG133">
            <v>8.4128329226715098E-4</v>
          </cell>
          <cell r="AR133">
            <v>7.6089131499863134E-3</v>
          </cell>
          <cell r="BC133">
            <v>2.110087250216601E-3</v>
          </cell>
          <cell r="BF133">
            <v>9.7190004002029144E-3</v>
          </cell>
        </row>
        <row r="134">
          <cell r="O134">
            <v>1.05905106792887</v>
          </cell>
          <cell r="P134">
            <v>1.0642102412765599</v>
          </cell>
          <cell r="Q134">
            <v>1.06257283546405</v>
          </cell>
          <cell r="U134">
            <v>-3.0639136186486802E-3</v>
          </cell>
          <cell r="V134">
            <v>2.0986193841224998E-3</v>
          </cell>
          <cell r="W134">
            <v>-6.6665549563225195E-5</v>
          </cell>
          <cell r="Y134">
            <v>1.0594170994200001</v>
          </cell>
          <cell r="Z134">
            <v>1.0642102412765599</v>
          </cell>
          <cell r="AA134">
            <v>1.0634221047863299</v>
          </cell>
          <cell r="AF134">
            <v>2.0986193841224998E-3</v>
          </cell>
          <cell r="AG134">
            <v>9.9419709465347304E-4</v>
          </cell>
          <cell r="AR134">
            <v>7.6089131499863134E-3</v>
          </cell>
          <cell r="BC134">
            <v>2.110087250216601E-3</v>
          </cell>
          <cell r="BF134">
            <v>9.7190004002029144E-3</v>
          </cell>
        </row>
        <row r="135">
          <cell r="O135">
            <v>1.05905106792887</v>
          </cell>
          <cell r="P135">
            <v>1.0637763150574</v>
          </cell>
          <cell r="Q135">
            <v>1.0629321335148301</v>
          </cell>
          <cell r="U135">
            <v>-2.3637381778926401E-3</v>
          </cell>
          <cell r="V135">
            <v>2.4959401657681799E-3</v>
          </cell>
          <cell r="W135">
            <v>9.5614407284557996E-4</v>
          </cell>
          <cell r="Y135">
            <v>1.0594170994200001</v>
          </cell>
          <cell r="Z135">
            <v>1.0637763150574</v>
          </cell>
          <cell r="AA135">
            <v>1.06350223918104</v>
          </cell>
          <cell r="AF135">
            <v>2.4959401657681799E-3</v>
          </cell>
          <cell r="AG135">
            <v>1.7550823500446699E-3</v>
          </cell>
          <cell r="AR135">
            <v>7.6089131499863134E-3</v>
          </cell>
          <cell r="BC135">
            <v>2.110087250216601E-3</v>
          </cell>
          <cell r="BF135">
            <v>9.7190004002029144E-3</v>
          </cell>
        </row>
        <row r="136">
          <cell r="O136">
            <v>1.05905106792887</v>
          </cell>
          <cell r="P136">
            <v>1.0633327906505601</v>
          </cell>
          <cell r="Q136">
            <v>1.06324647543573</v>
          </cell>
          <cell r="U136">
            <v>-2.6800682069656602E-3</v>
          </cell>
          <cell r="V136">
            <v>1.7717821606379801E-3</v>
          </cell>
          <cell r="W136">
            <v>9.7789657893176908E-4</v>
          </cell>
          <cell r="Y136">
            <v>1.0594170994200001</v>
          </cell>
          <cell r="Z136">
            <v>1.0633327906505601</v>
          </cell>
          <cell r="AA136">
            <v>1.06353389407066</v>
          </cell>
          <cell r="AF136">
            <v>1.77178216063775E-3</v>
          </cell>
          <cell r="AG136">
            <v>1.5141046906750201E-3</v>
          </cell>
          <cell r="AR136">
            <v>7.6089131499863134E-3</v>
          </cell>
          <cell r="BC136">
            <v>2.110087250216601E-3</v>
          </cell>
          <cell r="BF136">
            <v>9.7190004002029144E-3</v>
          </cell>
        </row>
        <row r="137">
          <cell r="O137">
            <v>1.05905106792887</v>
          </cell>
          <cell r="P137">
            <v>1.0628659532302001</v>
          </cell>
          <cell r="Q137">
            <v>1.06355484822157</v>
          </cell>
          <cell r="U137">
            <v>-2.7435801700174899E-3</v>
          </cell>
          <cell r="V137">
            <v>1.29124935734999E-3</v>
          </cell>
          <cell r="W137">
            <v>1.2100718378898099E-3</v>
          </cell>
          <cell r="Y137">
            <v>1.0594170994200001</v>
          </cell>
          <cell r="Z137">
            <v>1.0628659532302001</v>
          </cell>
          <cell r="AA137">
            <v>1.06355484822157</v>
          </cell>
          <cell r="AF137">
            <v>1.29124935734999E-3</v>
          </cell>
          <cell r="AG137">
            <v>1.48035704533059E-3</v>
          </cell>
          <cell r="AR137">
            <v>7.6089131499863134E-3</v>
          </cell>
          <cell r="BC137">
            <v>2.110087250216601E-3</v>
          </cell>
          <cell r="BF137">
            <v>9.7190004002029144E-3</v>
          </cell>
        </row>
        <row r="138">
          <cell r="O138">
            <v>1.05905106792887</v>
          </cell>
          <cell r="P138">
            <v>1.0626228765574099</v>
          </cell>
          <cell r="Q138">
            <v>1.06349075040053</v>
          </cell>
          <cell r="U138">
            <v>-3.63336215161974E-3</v>
          </cell>
          <cell r="V138">
            <v>-3.7661307968112997E-5</v>
          </cell>
          <cell r="W138">
            <v>6.10277251507905E-4</v>
          </cell>
          <cell r="Y138">
            <v>1.0594170994200001</v>
          </cell>
          <cell r="Z138">
            <v>1.0626228765574099</v>
          </cell>
          <cell r="AA138">
            <v>1.06349075040053</v>
          </cell>
          <cell r="AF138">
            <v>-3.7661307968002002E-5</v>
          </cell>
          <cell r="AG138">
            <v>6.1027725150768295E-4</v>
          </cell>
          <cell r="AR138">
            <v>7.6089131499863134E-3</v>
          </cell>
          <cell r="BC138">
            <v>2.110087250216601E-3</v>
          </cell>
          <cell r="BF138">
            <v>9.7190004002029144E-3</v>
          </cell>
        </row>
        <row r="139">
          <cell r="O139">
            <v>1.05905106792887</v>
          </cell>
          <cell r="P139">
            <v>1.06260950887317</v>
          </cell>
          <cell r="Q139">
            <v>1.06352797707819</v>
          </cell>
          <cell r="U139">
            <v>-3.8870615051236198E-3</v>
          </cell>
          <cell r="V139">
            <v>-5.2008609201919501E-4</v>
          </cell>
          <cell r="W139">
            <v>2.96308554370186E-4</v>
          </cell>
          <cell r="Y139">
            <v>1.0594170994200001</v>
          </cell>
          <cell r="Z139">
            <v>1.06260950887317</v>
          </cell>
          <cell r="AA139">
            <v>1.06352797707819</v>
          </cell>
          <cell r="AF139">
            <v>-5.2008609201919501E-4</v>
          </cell>
          <cell r="AG139">
            <v>2.9630855437040799E-4</v>
          </cell>
          <cell r="AR139">
            <v>7.6089131499863134E-3</v>
          </cell>
          <cell r="BC139">
            <v>2.110087250216601E-3</v>
          </cell>
          <cell r="BF139">
            <v>9.7190004002029144E-3</v>
          </cell>
        </row>
        <row r="140">
          <cell r="O140">
            <v>1.05905106792887</v>
          </cell>
          <cell r="P140">
            <v>1.06270864221369</v>
          </cell>
          <cell r="Q140">
            <v>1.0636523928805</v>
          </cell>
          <cell r="U140">
            <v>-5.4481144937307997E-3</v>
          </cell>
          <cell r="V140">
            <v>-2.0937190547721E-3</v>
          </cell>
          <cell r="W140">
            <v>-1.2297408142184899E-3</v>
          </cell>
          <cell r="Y140">
            <v>1.0594170994200001</v>
          </cell>
          <cell r="Z140">
            <v>1.06270864221369</v>
          </cell>
          <cell r="AA140">
            <v>1.0636523928805</v>
          </cell>
          <cell r="AF140">
            <v>-2.0937190547721E-3</v>
          </cell>
          <cell r="AG140">
            <v>-1.2297408142182701E-3</v>
          </cell>
          <cell r="AR140">
            <v>7.6089131499863134E-3</v>
          </cell>
          <cell r="BC140">
            <v>2.110087250216601E-3</v>
          </cell>
          <cell r="BF140">
            <v>9.7190004002029144E-3</v>
          </cell>
        </row>
        <row r="141">
          <cell r="O141">
            <v>1.05905106792887</v>
          </cell>
          <cell r="P141">
            <v>1.0625742276193999</v>
          </cell>
          <cell r="Q141">
            <v>1.0636283839806</v>
          </cell>
          <cell r="U141">
            <v>-3.3105302760454802E-3</v>
          </cell>
          <cell r="V141">
            <v>1.37153163619388E-4</v>
          </cell>
          <cell r="W141">
            <v>1.0248206040997E-3</v>
          </cell>
          <cell r="Y141">
            <v>1.0594170994200001</v>
          </cell>
          <cell r="Z141">
            <v>1.0625742276193999</v>
          </cell>
          <cell r="AA141">
            <v>1.0636283839806</v>
          </cell>
          <cell r="AF141">
            <v>1.37153163619388E-4</v>
          </cell>
          <cell r="AG141">
            <v>1.0248206040997E-3</v>
          </cell>
          <cell r="AR141">
            <v>7.6089131499863134E-3</v>
          </cell>
          <cell r="BC141">
            <v>2.110087250216601E-3</v>
          </cell>
          <cell r="BF141">
            <v>9.7190004002029144E-3</v>
          </cell>
        </row>
        <row r="142">
          <cell r="O142">
            <v>1.05905106792887</v>
          </cell>
          <cell r="P142">
            <v>1.06265855585519</v>
          </cell>
          <cell r="Q142">
            <v>1.06364229823114</v>
          </cell>
          <cell r="U142">
            <v>-3.7753264125760899E-3</v>
          </cell>
          <cell r="V142">
            <v>-4.5413398865484702E-4</v>
          </cell>
          <cell r="W142">
            <v>5.3745208299191705E-4</v>
          </cell>
          <cell r="Y142">
            <v>1.0594170994200001</v>
          </cell>
          <cell r="Z142">
            <v>1.06265855585519</v>
          </cell>
          <cell r="AA142">
            <v>1.06364229823114</v>
          </cell>
          <cell r="AF142">
            <v>-4.5413398865484702E-4</v>
          </cell>
          <cell r="AG142">
            <v>5.3745208299191705E-4</v>
          </cell>
          <cell r="AR142">
            <v>7.6089131499863134E-3</v>
          </cell>
          <cell r="BC142">
            <v>2.110087250216601E-3</v>
          </cell>
          <cell r="BF142">
            <v>9.7190004002029144E-3</v>
          </cell>
        </row>
        <row r="143">
          <cell r="O143">
            <v>1.05905106792887</v>
          </cell>
          <cell r="P143">
            <v>1.06255668346195</v>
          </cell>
          <cell r="Q143">
            <v>1.0635446372892301</v>
          </cell>
          <cell r="U143">
            <v>-2.1369792486543001E-3</v>
          </cell>
          <cell r="V143">
            <v>1.2635722332388201E-3</v>
          </cell>
          <cell r="W143">
            <v>2.1888810334972E-3</v>
          </cell>
          <cell r="Y143">
            <v>1.0594170994200001</v>
          </cell>
          <cell r="Z143">
            <v>1.06255668346195</v>
          </cell>
          <cell r="AA143">
            <v>1.0635446372892301</v>
          </cell>
          <cell r="AF143">
            <v>1.2635722332388201E-3</v>
          </cell>
          <cell r="AG143">
            <v>2.1888810334974198E-3</v>
          </cell>
          <cell r="AR143">
            <v>7.6089131499863134E-3</v>
          </cell>
          <cell r="BC143">
            <v>2.110087250216601E-3</v>
          </cell>
          <cell r="BF143">
            <v>9.7190004002029144E-3</v>
          </cell>
        </row>
        <row r="144">
          <cell r="O144">
            <v>1.05905106792887</v>
          </cell>
          <cell r="P144">
            <v>1.06244765208487</v>
          </cell>
          <cell r="Q144">
            <v>1.0633289466807201</v>
          </cell>
          <cell r="U144">
            <v>-2.0370165294746698E-3</v>
          </cell>
          <cell r="V144">
            <v>1.26766476343204E-3</v>
          </cell>
          <cell r="W144">
            <v>2.1970220699240499E-3</v>
          </cell>
          <cell r="Y144">
            <v>1.0594170994200001</v>
          </cell>
          <cell r="Z144">
            <v>1.06244765208487</v>
          </cell>
          <cell r="AA144">
            <v>1.0633289466807201</v>
          </cell>
          <cell r="AF144">
            <v>1.26766476343204E-3</v>
          </cell>
          <cell r="AG144">
            <v>2.1970220699240499E-3</v>
          </cell>
          <cell r="AR144">
            <v>7.6089131499863134E-3</v>
          </cell>
          <cell r="BC144">
            <v>2.110087250216601E-3</v>
          </cell>
          <cell r="BF144">
            <v>9.7190004002029144E-3</v>
          </cell>
        </row>
        <row r="145">
          <cell r="O145">
            <v>1.05905106792887</v>
          </cell>
          <cell r="P145">
            <v>1.0623977517190299</v>
          </cell>
          <cell r="Q145">
            <v>1.0630870333882201</v>
          </cell>
          <cell r="U145">
            <v>-1.8935601147973E-3</v>
          </cell>
          <cell r="V145">
            <v>1.30850362072594E-3</v>
          </cell>
          <cell r="W145">
            <v>2.1376543855291101E-3</v>
          </cell>
          <cell r="Y145">
            <v>1.0594170994200001</v>
          </cell>
          <cell r="Z145">
            <v>1.0623977517190299</v>
          </cell>
          <cell r="AA145">
            <v>1.0630870333882201</v>
          </cell>
          <cell r="AF145">
            <v>1.30850362072594E-3</v>
          </cell>
          <cell r="AG145">
            <v>2.1376543855291101E-3</v>
          </cell>
          <cell r="AR145">
            <v>7.6089131499863134E-3</v>
          </cell>
          <cell r="BC145">
            <v>2.110087250216601E-3</v>
          </cell>
          <cell r="BF145">
            <v>9.7190004002029144E-3</v>
          </cell>
        </row>
        <row r="146">
          <cell r="O146">
            <v>1.05905106792887</v>
          </cell>
          <cell r="P146">
            <v>1.06223697876981</v>
          </cell>
          <cell r="Q146">
            <v>1.0627848847101899</v>
          </cell>
          <cell r="U146">
            <v>-1.1648990873593401E-3</v>
          </cell>
          <cell r="V146">
            <v>1.99019618094224E-3</v>
          </cell>
          <cell r="W146">
            <v>2.6387839273016699E-3</v>
          </cell>
          <cell r="Y146">
            <v>1.0594170994200001</v>
          </cell>
          <cell r="Z146">
            <v>1.06223697876981</v>
          </cell>
          <cell r="AA146">
            <v>1.0627848847101899</v>
          </cell>
          <cell r="AF146">
            <v>1.99019618094224E-3</v>
          </cell>
          <cell r="AG146">
            <v>2.6387839273016699E-3</v>
          </cell>
          <cell r="AR146">
            <v>7.6089131499863134E-3</v>
          </cell>
          <cell r="BC146">
            <v>2.110087250216601E-3</v>
          </cell>
          <cell r="BF146">
            <v>9.7190004002029144E-3</v>
          </cell>
        </row>
        <row r="147">
          <cell r="O147">
            <v>1.05905106792887</v>
          </cell>
          <cell r="P147">
            <v>1.06230048182883</v>
          </cell>
          <cell r="Q147">
            <v>1.06258321752952</v>
          </cell>
          <cell r="U147">
            <v>-3.3413808501377702E-3</v>
          </cell>
          <cell r="V147">
            <v>-3.3762731340305802E-4</v>
          </cell>
          <cell r="W147">
            <v>1.7804357161991101E-4</v>
          </cell>
          <cell r="Y147">
            <v>1.0594170994200001</v>
          </cell>
          <cell r="Z147">
            <v>1.06230048182883</v>
          </cell>
          <cell r="AA147">
            <v>1.06258321752952</v>
          </cell>
          <cell r="AF147">
            <v>-3.3762731340305802E-4</v>
          </cell>
          <cell r="AG147">
            <v>1.7804357161968899E-4</v>
          </cell>
          <cell r="AR147">
            <v>7.6089131499863134E-3</v>
          </cell>
          <cell r="BC147">
            <v>2.110087250216601E-3</v>
          </cell>
          <cell r="BF147">
            <v>9.7190004002029144E-3</v>
          </cell>
        </row>
        <row r="148">
          <cell r="O148">
            <v>1.05905106792887</v>
          </cell>
          <cell r="P148">
            <v>1.0623837728068499</v>
          </cell>
          <cell r="Q148">
            <v>1.06250332468213</v>
          </cell>
          <cell r="U148">
            <v>-4.4166709517162303E-3</v>
          </cell>
          <cell r="V148">
            <v>-1.35313681782876E-3</v>
          </cell>
          <cell r="W148">
            <v>-1.0870180627711599E-3</v>
          </cell>
          <cell r="Y148">
            <v>1.0594170994200001</v>
          </cell>
          <cell r="Z148">
            <v>1.0623837728068499</v>
          </cell>
          <cell r="AA148">
            <v>1.06250332468213</v>
          </cell>
          <cell r="AF148">
            <v>-1.35313681782876E-3</v>
          </cell>
          <cell r="AG148">
            <v>-1.0870180627711599E-3</v>
          </cell>
          <cell r="AR148">
            <v>7.6089131499863134E-3</v>
          </cell>
          <cell r="BC148">
            <v>2.110087250216601E-3</v>
          </cell>
          <cell r="BF148">
            <v>9.7190004002029144E-3</v>
          </cell>
        </row>
        <row r="149">
          <cell r="O149">
            <v>1.05905106792887</v>
          </cell>
          <cell r="P149">
            <v>1.0623478314825201</v>
          </cell>
          <cell r="Q149">
            <v>1.0624786701778499</v>
          </cell>
          <cell r="U149">
            <v>-3.54894804356988E-3</v>
          </cell>
          <cell r="V149">
            <v>-4.0701075129438502E-4</v>
          </cell>
          <cell r="W149">
            <v>-2.9448536061056402E-4</v>
          </cell>
          <cell r="Y149">
            <v>1.0594170994200001</v>
          </cell>
          <cell r="Z149">
            <v>1.0623478314825201</v>
          </cell>
          <cell r="AA149">
            <v>1.0624786701778499</v>
          </cell>
          <cell r="AF149">
            <v>-4.0701075129460701E-4</v>
          </cell>
          <cell r="AG149">
            <v>-2.9448536061056402E-4</v>
          </cell>
          <cell r="AR149">
            <v>7.6089131499863134E-3</v>
          </cell>
          <cell r="BC149">
            <v>2.110087250216601E-3</v>
          </cell>
          <cell r="BF149">
            <v>9.7190004002029144E-3</v>
          </cell>
        </row>
        <row r="150">
          <cell r="O150">
            <v>1.05905106792887</v>
          </cell>
          <cell r="P150">
            <v>1.06231189734791</v>
          </cell>
          <cell r="Q150">
            <v>1.0625102697808</v>
          </cell>
          <cell r="U150">
            <v>-5.1105960646997701E-3</v>
          </cell>
          <cell r="V150">
            <v>-2.0024901742443399E-3</v>
          </cell>
          <cell r="W150">
            <v>-1.8793378176751401E-3</v>
          </cell>
          <cell r="Y150">
            <v>1.0594170994200001</v>
          </cell>
          <cell r="Z150">
            <v>1.06231189734791</v>
          </cell>
          <cell r="AA150">
            <v>1.0625102697808</v>
          </cell>
          <cell r="AF150">
            <v>-2.0024901742443399E-3</v>
          </cell>
          <cell r="AG150">
            <v>-1.8793378176751401E-3</v>
          </cell>
          <cell r="AR150">
            <v>7.6089131499863134E-3</v>
          </cell>
          <cell r="BC150">
            <v>2.110087250216601E-3</v>
          </cell>
          <cell r="BF150">
            <v>9.7190004002029144E-3</v>
          </cell>
        </row>
        <row r="151">
          <cell r="O151">
            <v>1.05905106792887</v>
          </cell>
          <cell r="P151">
            <v>1.06254256403402</v>
          </cell>
          <cell r="Q151">
            <v>1.06255839582671</v>
          </cell>
          <cell r="U151">
            <v>-5.4790294453811103E-3</v>
          </cell>
          <cell r="V151">
            <v>-2.4047493333591301E-3</v>
          </cell>
          <cell r="W151">
            <v>-2.2180302407823998E-3</v>
          </cell>
          <cell r="Y151">
            <v>1.0594170994200001</v>
          </cell>
          <cell r="Z151">
            <v>1.06254256403403</v>
          </cell>
          <cell r="AA151">
            <v>1.06255839582671</v>
          </cell>
          <cell r="AF151">
            <v>-2.4047493333591301E-3</v>
          </cell>
          <cell r="AG151">
            <v>-2.2180302407822901E-3</v>
          </cell>
          <cell r="AR151">
            <v>7.6089131499863134E-3</v>
          </cell>
          <cell r="BC151">
            <v>2.110087250216601E-3</v>
          </cell>
          <cell r="BF151">
            <v>9.7190004002029144E-3</v>
          </cell>
        </row>
        <row r="152">
          <cell r="O152">
            <v>1.05905106792887</v>
          </cell>
          <cell r="P152">
            <v>1.0625678821851201</v>
          </cell>
          <cell r="Q152">
            <v>1.06261321902016</v>
          </cell>
          <cell r="U152">
            <v>-4.0134617082926401E-3</v>
          </cell>
          <cell r="V152">
            <v>-7.2206866810378895E-4</v>
          </cell>
          <cell r="W152">
            <v>-7.0716886523717205E-4</v>
          </cell>
          <cell r="Y152">
            <v>1.0594170994200001</v>
          </cell>
          <cell r="Z152">
            <v>1.0625678821851201</v>
          </cell>
          <cell r="AA152">
            <v>1.06261321902016</v>
          </cell>
          <cell r="AF152">
            <v>-7.2206866810356702E-4</v>
          </cell>
          <cell r="AG152">
            <v>-7.0716886523717205E-4</v>
          </cell>
          <cell r="AR152">
            <v>9.0744808870747116E-3</v>
          </cell>
          <cell r="BC152">
            <v>2.110087250216601E-3</v>
          </cell>
          <cell r="BF152">
            <v>1.1184568137291313E-2</v>
          </cell>
        </row>
        <row r="153">
          <cell r="O153">
            <v>1.05905106792887</v>
          </cell>
          <cell r="P153">
            <v>1.0625744077541099</v>
          </cell>
          <cell r="Q153">
            <v>1.0625655456080301</v>
          </cell>
          <cell r="U153">
            <v>-2.1984629569211799E-3</v>
          </cell>
          <cell r="V153">
            <v>1.11675769292872E-3</v>
          </cell>
          <cell r="W153">
            <v>1.1594240191192E-3</v>
          </cell>
          <cell r="Y153">
            <v>1.0594170994200001</v>
          </cell>
          <cell r="Z153">
            <v>1.0625744077541099</v>
          </cell>
          <cell r="AA153">
            <v>1.0625655456080301</v>
          </cell>
          <cell r="AF153">
            <v>1.11675769292872E-3</v>
          </cell>
          <cell r="AG153">
            <v>1.1594240191192E-3</v>
          </cell>
          <cell r="AR153">
            <v>1.0889479638445911E-2</v>
          </cell>
          <cell r="BC153">
            <v>2.110087250216601E-3</v>
          </cell>
          <cell r="BF153">
            <v>1.2999566888662512E-2</v>
          </cell>
        </row>
        <row r="154">
          <cell r="O154">
            <v>1.05905106792887</v>
          </cell>
          <cell r="P154">
            <v>1.0626306404930499</v>
          </cell>
          <cell r="Q154">
            <v>1.06253914628896</v>
          </cell>
          <cell r="U154">
            <v>-2.56676856064815E-3</v>
          </cell>
          <cell r="V154">
            <v>7.5459338996541599E-4</v>
          </cell>
          <cell r="W154">
            <v>7.4625309589234203E-4</v>
          </cell>
          <cell r="Y154">
            <v>1.0594170994200001</v>
          </cell>
          <cell r="Z154">
            <v>1.0626306404930499</v>
          </cell>
          <cell r="AA154">
            <v>1.06253914628896</v>
          </cell>
          <cell r="AF154">
            <v>7.5459338996541599E-4</v>
          </cell>
          <cell r="AG154">
            <v>7.4625309589256396E-4</v>
          </cell>
          <cell r="AR154">
            <v>1.0889479638445911E-2</v>
          </cell>
          <cell r="BC154">
            <v>2.110087250216601E-3</v>
          </cell>
          <cell r="BF154">
            <v>1.2999566888662512E-2</v>
          </cell>
        </row>
        <row r="155">
          <cell r="O155">
            <v>1.05905106792887</v>
          </cell>
          <cell r="P155">
            <v>1.0626007968577</v>
          </cell>
          <cell r="Q155">
            <v>1.0624992742883701</v>
          </cell>
          <cell r="U155">
            <v>-1.61225764691657E-3</v>
          </cell>
          <cell r="V155">
            <v>1.7620241280754199E-3</v>
          </cell>
          <cell r="W155">
            <v>1.67591881572264E-3</v>
          </cell>
          <cell r="Y155">
            <v>1.0594170994200001</v>
          </cell>
          <cell r="Z155">
            <v>1.0626007968577</v>
          </cell>
          <cell r="AA155">
            <v>1.0624992742883701</v>
          </cell>
          <cell r="AF155">
            <v>1.7620241280752E-3</v>
          </cell>
          <cell r="AG155">
            <v>1.67591881572264E-3</v>
          </cell>
          <cell r="AR155">
            <v>1.0889479638445911E-2</v>
          </cell>
          <cell r="BC155">
            <v>2.110087250216601E-3</v>
          </cell>
          <cell r="BF155">
            <v>1.2999566888662512E-2</v>
          </cell>
        </row>
        <row r="156">
          <cell r="O156">
            <v>1.05905106792887</v>
          </cell>
          <cell r="P156">
            <v>1.0626294291956699</v>
          </cell>
          <cell r="Q156">
            <v>1.06243320398274</v>
          </cell>
          <cell r="U156">
            <v>-1.4349063011286701E-3</v>
          </cell>
          <cell r="V156">
            <v>1.91129040526511E-3</v>
          </cell>
          <cell r="W156">
            <v>1.81574425118904E-3</v>
          </cell>
          <cell r="Y156">
            <v>1.0594170994200001</v>
          </cell>
          <cell r="Z156">
            <v>1.0626294291956699</v>
          </cell>
          <cell r="AA156">
            <v>1.06243320398274</v>
          </cell>
          <cell r="AF156">
            <v>1.91129040526511E-3</v>
          </cell>
          <cell r="AG156">
            <v>1.81574425118904E-3</v>
          </cell>
          <cell r="AR156">
            <v>1.0889479638445911E-2</v>
          </cell>
          <cell r="BC156">
            <v>2.110087250216601E-3</v>
          </cell>
          <cell r="BF156">
            <v>1.2999566888662512E-2</v>
          </cell>
        </row>
        <row r="157">
          <cell r="O157">
            <v>1.05905106792887</v>
          </cell>
          <cell r="P157">
            <v>1.0622503342365099</v>
          </cell>
          <cell r="Q157">
            <v>1.06227540803267</v>
          </cell>
          <cell r="U157">
            <v>2.3262961016344899E-4</v>
          </cell>
          <cell r="V157">
            <v>3.6057714800690399E-3</v>
          </cell>
          <cell r="W157">
            <v>3.4210943694512001E-3</v>
          </cell>
          <cell r="Y157">
            <v>1.0594170994200001</v>
          </cell>
          <cell r="Z157">
            <v>1.0622503342365099</v>
          </cell>
          <cell r="AA157">
            <v>1.06227540803267</v>
          </cell>
          <cell r="AF157">
            <v>3.6057714800690399E-3</v>
          </cell>
          <cell r="AG157">
            <v>3.4210943694509802E-3</v>
          </cell>
          <cell r="AR157">
            <v>1.0889479638445911E-2</v>
          </cell>
          <cell r="BC157">
            <v>2.110087250216601E-3</v>
          </cell>
          <cell r="BF157">
            <v>1.2999566888662512E-2</v>
          </cell>
        </row>
        <row r="158">
          <cell r="O158">
            <v>1.05905106792887</v>
          </cell>
          <cell r="P158">
            <v>1.0615768218523001</v>
          </cell>
          <cell r="Q158">
            <v>1.06198029732958</v>
          </cell>
          <cell r="U158">
            <v>1.93501575468305E-3</v>
          </cell>
          <cell r="V158">
            <v>4.9513421758158298E-3</v>
          </cell>
          <cell r="W158">
            <v>4.9749463107640604E-3</v>
          </cell>
          <cell r="Y158">
            <v>1.0594170994200001</v>
          </cell>
          <cell r="Z158">
            <v>1.0615768218523001</v>
          </cell>
          <cell r="AA158">
            <v>1.06198029732958</v>
          </cell>
          <cell r="AF158">
            <v>4.9513421758158298E-3</v>
          </cell>
          <cell r="AG158">
            <v>4.9749463107642798E-3</v>
          </cell>
          <cell r="AR158">
            <v>1.0889479638445911E-2</v>
          </cell>
          <cell r="BC158">
            <v>2.110087250216601E-3</v>
          </cell>
          <cell r="BF158">
            <v>1.2999566888662512E-2</v>
          </cell>
        </row>
        <row r="159">
          <cell r="O159">
            <v>1.05905106792887</v>
          </cell>
          <cell r="P159">
            <v>1.0611303639009799</v>
          </cell>
          <cell r="Q159">
            <v>1.06173909769175</v>
          </cell>
          <cell r="U159">
            <v>6.60606523607004E-4</v>
          </cell>
          <cell r="V159">
            <v>3.0426888586797302E-3</v>
          </cell>
          <cell r="W159">
            <v>3.4226885097240999E-3</v>
          </cell>
          <cell r="Y159">
            <v>1.0594170994200001</v>
          </cell>
          <cell r="Z159">
            <v>1.0611303639009799</v>
          </cell>
          <cell r="AA159">
            <v>1.06173909769175</v>
          </cell>
          <cell r="AF159">
            <v>3.0426888586799501E-3</v>
          </cell>
          <cell r="AG159">
            <v>3.4226885097240999E-3</v>
          </cell>
          <cell r="AR159">
            <v>1.0889479638445911E-2</v>
          </cell>
          <cell r="BC159">
            <v>3.3844964812924749E-3</v>
          </cell>
          <cell r="BF159">
            <v>1.4273976119738387E-2</v>
          </cell>
        </row>
        <row r="160">
          <cell r="O160">
            <v>1.05905106792887</v>
          </cell>
          <cell r="P160">
            <v>1.0605336138942401</v>
          </cell>
          <cell r="Q160">
            <v>1.06142275562107</v>
          </cell>
          <cell r="U160">
            <v>5.11214601945143E-4</v>
          </cell>
          <cell r="V160">
            <v>2.47264734304417E-3</v>
          </cell>
          <cell r="W160">
            <v>3.0461482751271501E-3</v>
          </cell>
          <cell r="Y160">
            <v>1.0594170994200001</v>
          </cell>
          <cell r="Z160">
            <v>1.0605336138942401</v>
          </cell>
          <cell r="AA160">
            <v>1.06142275562107</v>
          </cell>
          <cell r="AF160">
            <v>2.47264734304417E-3</v>
          </cell>
          <cell r="AG160">
            <v>3.0461482751271501E-3</v>
          </cell>
          <cell r="AR160">
            <v>1.0889479638445911E-2</v>
          </cell>
          <cell r="BC160">
            <v>3.533888402954525E-3</v>
          </cell>
          <cell r="BF160">
            <v>1.4423368041400438E-2</v>
          </cell>
        </row>
        <row r="161">
          <cell r="O161">
            <v>1.05905106792887</v>
          </cell>
          <cell r="P161">
            <v>1.05989203763648</v>
          </cell>
          <cell r="Q161">
            <v>1.0612173008352499</v>
          </cell>
          <cell r="U161">
            <v>5.6412177669187401E-4</v>
          </cell>
          <cell r="V161">
            <v>1.9630243257112E-3</v>
          </cell>
          <cell r="W161">
            <v>2.80106396841892E-3</v>
          </cell>
          <cell r="Y161">
            <v>1.0594170994200001</v>
          </cell>
          <cell r="Z161">
            <v>1.05989203763648</v>
          </cell>
          <cell r="AA161">
            <v>1.0612173008352499</v>
          </cell>
          <cell r="AF161">
            <v>1.9630243257112E-3</v>
          </cell>
          <cell r="AG161">
            <v>2.80106396841892E-3</v>
          </cell>
          <cell r="AR161">
            <v>1.0889479638445911E-2</v>
          </cell>
          <cell r="BC161">
            <v>3.4809812282075052E-3</v>
          </cell>
          <cell r="BF161">
            <v>1.4370460866653417E-2</v>
          </cell>
        </row>
        <row r="162">
          <cell r="O162">
            <v>1.05905106792887</v>
          </cell>
          <cell r="P162">
            <v>1.0594238099316999</v>
          </cell>
          <cell r="Q162">
            <v>1.0609958460584099</v>
          </cell>
          <cell r="U162">
            <v>3.9975389993925E-4</v>
          </cell>
          <cell r="V162">
            <v>1.1935173092112799E-3</v>
          </cell>
          <cell r="W162">
            <v>2.4431118936888E-3</v>
          </cell>
          <cell r="Y162">
            <v>1.0594170994200001</v>
          </cell>
          <cell r="Z162">
            <v>1.0594238099316999</v>
          </cell>
          <cell r="AA162">
            <v>1.0609958460584099</v>
          </cell>
          <cell r="AF162">
            <v>1.1935173092112799E-3</v>
          </cell>
          <cell r="AG162">
            <v>2.4431118936885802E-3</v>
          </cell>
          <cell r="AR162">
            <v>1.0889479638445911E-2</v>
          </cell>
          <cell r="BC162">
            <v>3.6453491049601846E-3</v>
          </cell>
          <cell r="BF162">
            <v>1.4534828743406097E-2</v>
          </cell>
        </row>
        <row r="163">
          <cell r="O163">
            <v>1.05905106792887</v>
          </cell>
          <cell r="P163">
            <v>1.0591992505336201</v>
          </cell>
          <cell r="Q163">
            <v>1.06088682914387</v>
          </cell>
          <cell r="U163">
            <v>-8.0495014073528199E-5</v>
          </cell>
          <cell r="V163">
            <v>2.7140154185955402E-4</v>
          </cell>
          <cell r="W163">
            <v>1.75416124962717E-3</v>
          </cell>
          <cell r="Y163">
            <v>1.0594170994200001</v>
          </cell>
          <cell r="Z163">
            <v>1.0591992505336201</v>
          </cell>
          <cell r="AA163">
            <v>1.06088682914387</v>
          </cell>
          <cell r="AF163">
            <v>2.7140154185955402E-4</v>
          </cell>
          <cell r="AG163">
            <v>1.75416124962717E-3</v>
          </cell>
          <cell r="AR163">
            <v>1.0889479638445911E-2</v>
          </cell>
          <cell r="BC163">
            <v>4.1255980189731844E-3</v>
          </cell>
          <cell r="BF163">
            <v>1.5015077657419097E-2</v>
          </cell>
        </row>
        <row r="164">
          <cell r="O164">
            <v>1.05905106792887</v>
          </cell>
          <cell r="P164">
            <v>1.0588204549898099</v>
          </cell>
          <cell r="Q164">
            <v>1.0607255477414299</v>
          </cell>
          <cell r="U164">
            <v>1.0071863464955601E-3</v>
          </cell>
          <cell r="V164">
            <v>1.1470967279065499E-3</v>
          </cell>
          <cell r="W164">
            <v>2.7390877162350499E-3</v>
          </cell>
          <cell r="Y164">
            <v>1.0594170994200001</v>
          </cell>
          <cell r="Z164">
            <v>1.0588204549898099</v>
          </cell>
          <cell r="AA164">
            <v>1.0607255477414299</v>
          </cell>
          <cell r="AF164">
            <v>1.1470967279065499E-3</v>
          </cell>
          <cell r="AG164">
            <v>2.7390877162350499E-3</v>
          </cell>
          <cell r="AR164">
            <v>1.0889479638445911E-2</v>
          </cell>
          <cell r="BC164">
            <v>4.1255980189731844E-3</v>
          </cell>
          <cell r="BF164">
            <v>1.5015077657419097E-2</v>
          </cell>
        </row>
        <row r="165">
          <cell r="O165">
            <v>1.05905106792887</v>
          </cell>
          <cell r="P165">
            <v>1.05858809877341</v>
          </cell>
          <cell r="Q165">
            <v>1.06059444781556</v>
          </cell>
          <cell r="U165">
            <v>5.8061438202298098E-4</v>
          </cell>
          <cell r="V165">
            <v>3.62836355845681E-4</v>
          </cell>
          <cell r="W165">
            <v>2.1604791172647902E-3</v>
          </cell>
          <cell r="Y165">
            <v>1.0594170994200001</v>
          </cell>
          <cell r="Z165">
            <v>1.05858809877341</v>
          </cell>
          <cell r="AA165">
            <v>1.06059444781556</v>
          </cell>
          <cell r="AF165">
            <v>3.62836355845681E-4</v>
          </cell>
          <cell r="AG165">
            <v>2.1604791172650101E-3</v>
          </cell>
          <cell r="AR165">
            <v>1.0889479638445911E-2</v>
          </cell>
          <cell r="BC165">
            <v>4.1255980189731844E-3</v>
          </cell>
          <cell r="BF165">
            <v>1.5015077657419097E-2</v>
          </cell>
        </row>
        <row r="166">
          <cell r="O166">
            <v>1.05905106792887</v>
          </cell>
          <cell r="P166">
            <v>1.0582265156778701</v>
          </cell>
          <cell r="Q166">
            <v>1.06042797243677</v>
          </cell>
          <cell r="U166">
            <v>1.9802408626658002E-3</v>
          </cell>
          <cell r="V166">
            <v>1.54299057931319E-3</v>
          </cell>
          <cell r="W166">
            <v>3.43650338200968E-3</v>
          </cell>
          <cell r="Y166">
            <v>1.0594170994200001</v>
          </cell>
          <cell r="Z166">
            <v>1.0582265156778701</v>
          </cell>
          <cell r="AA166">
            <v>1.06042797243677</v>
          </cell>
          <cell r="AF166">
            <v>1.54299057931319E-3</v>
          </cell>
          <cell r="AG166">
            <v>3.4365033820094502E-3</v>
          </cell>
          <cell r="AR166">
            <v>1.0889479638445911E-2</v>
          </cell>
          <cell r="BC166">
            <v>4.1255980189731844E-3</v>
          </cell>
          <cell r="BF166">
            <v>1.5015077657419097E-2</v>
          </cell>
        </row>
        <row r="167">
          <cell r="O167">
            <v>1.05905106792887</v>
          </cell>
          <cell r="P167">
            <v>1.05802146482214</v>
          </cell>
          <cell r="Q167">
            <v>1.06013589952932</v>
          </cell>
          <cell r="U167">
            <v>2.1711330946677502E-3</v>
          </cell>
          <cell r="V167">
            <v>1.3922533681066699E-3</v>
          </cell>
          <cell r="W167">
            <v>3.4704190752094998E-3</v>
          </cell>
          <cell r="Y167">
            <v>1.0594170994200001</v>
          </cell>
          <cell r="Z167">
            <v>1.05802146482214</v>
          </cell>
          <cell r="AA167">
            <v>1.06013589952932</v>
          </cell>
          <cell r="AF167">
            <v>1.3922533681066699E-3</v>
          </cell>
          <cell r="AG167">
            <v>3.47041907520927E-3</v>
          </cell>
          <cell r="AR167">
            <v>1.0889479638445911E-2</v>
          </cell>
          <cell r="BC167">
            <v>4.1255980189731844E-3</v>
          </cell>
          <cell r="BF167">
            <v>1.5015077657419097E-2</v>
          </cell>
        </row>
        <row r="168">
          <cell r="O168">
            <v>1.05905106792887</v>
          </cell>
          <cell r="P168">
            <v>1.0581416838926401</v>
          </cell>
          <cell r="Q168">
            <v>1.05985925287247</v>
          </cell>
          <cell r="U168">
            <v>7.9830498953984796E-4</v>
          </cell>
          <cell r="V168">
            <v>-1.7436190966009399E-4</v>
          </cell>
          <cell r="W168">
            <v>1.82212375765118E-3</v>
          </cell>
          <cell r="Y168">
            <v>1.0594170994200001</v>
          </cell>
          <cell r="Z168">
            <v>1.0581416838926401</v>
          </cell>
          <cell r="AA168">
            <v>1.05985925287247</v>
          </cell>
          <cell r="AF168">
            <v>-1.7436190966009399E-4</v>
          </cell>
          <cell r="AG168">
            <v>1.82212375765118E-3</v>
          </cell>
          <cell r="AR168">
            <v>1.0889479638445911E-2</v>
          </cell>
          <cell r="BC168">
            <v>4.1255980189731844E-3</v>
          </cell>
          <cell r="BF168">
            <v>1.5015077657419097E-2</v>
          </cell>
        </row>
        <row r="169">
          <cell r="O169">
            <v>1.05905106792887</v>
          </cell>
          <cell r="P169">
            <v>1.0579900793488</v>
          </cell>
          <cell r="Q169">
            <v>1.0595602216248901</v>
          </cell>
          <cell r="U169">
            <v>2.0940925164026698E-3</v>
          </cell>
          <cell r="V169">
            <v>1.2350454680137399E-3</v>
          </cell>
          <cell r="W169">
            <v>2.8569232741298802E-3</v>
          </cell>
          <cell r="Y169">
            <v>1.0594170994200001</v>
          </cell>
          <cell r="Z169">
            <v>1.0579900793488</v>
          </cell>
          <cell r="AA169">
            <v>1.0595602216248901</v>
          </cell>
          <cell r="AF169">
            <v>1.2350454680137399E-3</v>
          </cell>
          <cell r="AG169">
            <v>2.8569232741301001E-3</v>
          </cell>
          <cell r="AR169">
            <v>1.0889479638445911E-2</v>
          </cell>
          <cell r="BC169">
            <v>4.1255980189731844E-3</v>
          </cell>
          <cell r="BF169">
            <v>1.5015077657419097E-2</v>
          </cell>
        </row>
        <row r="170">
          <cell r="O170">
            <v>1.05905106792887</v>
          </cell>
          <cell r="P170">
            <v>1.0579422558740099</v>
          </cell>
          <cell r="Q170">
            <v>1.0592379348841201</v>
          </cell>
          <cell r="U170">
            <v>9.6311671182677198E-4</v>
          </cell>
          <cell r="V170">
            <v>-3.9214934174114103E-5</v>
          </cell>
          <cell r="W170">
            <v>1.4437652463918E-3</v>
          </cell>
          <cell r="Y170">
            <v>1.0594170994200001</v>
          </cell>
          <cell r="Z170">
            <v>1.0579422558740099</v>
          </cell>
          <cell r="AA170">
            <v>1.0592379348841201</v>
          </cell>
          <cell r="AF170">
            <v>-3.9214934174114103E-5</v>
          </cell>
          <cell r="AG170">
            <v>1.4437652463920199E-3</v>
          </cell>
          <cell r="AR170">
            <v>1.0889479638445911E-2</v>
          </cell>
          <cell r="BC170">
            <v>4.1255980189731844E-3</v>
          </cell>
          <cell r="BF170">
            <v>1.5015077657419097E-2</v>
          </cell>
        </row>
        <row r="171">
          <cell r="O171">
            <v>1.05905106792887</v>
          </cell>
          <cell r="P171">
            <v>1.0578258796687201</v>
          </cell>
          <cell r="Q171">
            <v>1.0588589586526</v>
          </cell>
          <cell r="U171">
            <v>1.6642191953768E-3</v>
          </cell>
          <cell r="V171">
            <v>6.1668433185748598E-4</v>
          </cell>
          <cell r="W171">
            <v>1.8406511699417601E-3</v>
          </cell>
          <cell r="Y171">
            <v>1.0594170994200001</v>
          </cell>
          <cell r="Z171">
            <v>1.0578258796687201</v>
          </cell>
          <cell r="AA171">
            <v>1.0588589586526</v>
          </cell>
          <cell r="AF171">
            <v>6.1668433185726405E-4</v>
          </cell>
          <cell r="AG171">
            <v>1.84065116994154E-3</v>
          </cell>
          <cell r="AR171">
            <v>1.0889479638445911E-2</v>
          </cell>
          <cell r="BC171">
            <v>4.1255980189731844E-3</v>
          </cell>
          <cell r="BF171">
            <v>1.5015077657419097E-2</v>
          </cell>
        </row>
        <row r="172">
          <cell r="O172">
            <v>1.05905106792887</v>
          </cell>
          <cell r="P172">
            <v>1.0575366684043199</v>
          </cell>
          <cell r="Q172">
            <v>1.0584802391680099</v>
          </cell>
          <cell r="U172">
            <v>3.1354372248475698E-3</v>
          </cell>
          <cell r="V172">
            <v>1.9778938935263199E-3</v>
          </cell>
          <cell r="W172">
            <v>2.9540232134969602E-3</v>
          </cell>
          <cell r="Y172">
            <v>1.0594170994200001</v>
          </cell>
          <cell r="Z172">
            <v>1.0575366684043199</v>
          </cell>
          <cell r="AA172">
            <v>1.0584802391680099</v>
          </cell>
          <cell r="AF172">
            <v>1.9778938935263199E-3</v>
          </cell>
          <cell r="AG172">
            <v>2.9540232134969602E-3</v>
          </cell>
          <cell r="AR172">
            <v>1.0889479638445911E-2</v>
          </cell>
          <cell r="BC172">
            <v>4.1255980189731844E-3</v>
          </cell>
          <cell r="BF172">
            <v>1.5015077657419097E-2</v>
          </cell>
        </row>
        <row r="173">
          <cell r="O173">
            <v>1.05905106792887</v>
          </cell>
          <cell r="P173">
            <v>1.0571352091499999</v>
          </cell>
          <cell r="Q173">
            <v>1.0581672298418101</v>
          </cell>
          <cell r="U173">
            <v>3.7171467866265401E-3</v>
          </cell>
          <cell r="V173">
            <v>2.28616449660996E-3</v>
          </cell>
          <cell r="W173">
            <v>3.1780012516544002E-3</v>
          </cell>
          <cell r="Y173">
            <v>1.0594170994200001</v>
          </cell>
          <cell r="Z173">
            <v>1.0571352091499999</v>
          </cell>
          <cell r="AA173">
            <v>1.0581672298418101</v>
          </cell>
          <cell r="AF173">
            <v>2.28616449660996E-3</v>
          </cell>
          <cell r="AG173">
            <v>3.1780012516546201E-3</v>
          </cell>
          <cell r="AR173">
            <v>1.0889479638445911E-2</v>
          </cell>
          <cell r="BC173">
            <v>4.1255980189731844E-3</v>
          </cell>
          <cell r="BF173">
            <v>1.5015077657419097E-2</v>
          </cell>
        </row>
        <row r="174">
          <cell r="O174">
            <v>1.05905106792887</v>
          </cell>
          <cell r="P174">
            <v>1.0570043569124501</v>
          </cell>
          <cell r="Q174">
            <v>1.05791240595113</v>
          </cell>
          <cell r="U174">
            <v>2.2447580587732401E-3</v>
          </cell>
          <cell r="V174">
            <v>4.3408635840300902E-4</v>
          </cell>
          <cell r="W174">
            <v>1.4098529955253599E-3</v>
          </cell>
          <cell r="Y174">
            <v>1.0594170994200001</v>
          </cell>
          <cell r="Z174">
            <v>1.0570043569124501</v>
          </cell>
          <cell r="AA174">
            <v>1.05791240595113</v>
          </cell>
          <cell r="AF174">
            <v>4.3408635840300902E-4</v>
          </cell>
          <cell r="AG174">
            <v>1.4098529955253599E-3</v>
          </cell>
          <cell r="AR174">
            <v>1.0889479638445911E-2</v>
          </cell>
          <cell r="BC174">
            <v>4.1255980189731844E-3</v>
          </cell>
          <cell r="BF174">
            <v>1.5015077657419097E-2</v>
          </cell>
        </row>
        <row r="175">
          <cell r="O175">
            <v>1.05905106792887</v>
          </cell>
          <cell r="P175">
            <v>1.05681009288658</v>
          </cell>
          <cell r="Q175">
            <v>1.0576990958300001</v>
          </cell>
          <cell r="U175">
            <v>2.4176877199304199E-3</v>
          </cell>
          <cell r="V175">
            <v>4.8322831905382599E-4</v>
          </cell>
          <cell r="W175">
            <v>1.3419373807259201E-3</v>
          </cell>
          <cell r="Y175">
            <v>1.0594170994200001</v>
          </cell>
          <cell r="Z175">
            <v>1.05681009288658</v>
          </cell>
          <cell r="AA175">
            <v>1.0576990958300001</v>
          </cell>
          <cell r="AF175">
            <v>4.8322831905382599E-4</v>
          </cell>
          <cell r="AG175">
            <v>1.3419373807259201E-3</v>
          </cell>
          <cell r="AR175">
            <v>1.0889479638445911E-2</v>
          </cell>
          <cell r="BC175">
            <v>4.1255980189731844E-3</v>
          </cell>
          <cell r="BF175">
            <v>1.5015077657419097E-2</v>
          </cell>
        </row>
        <row r="176">
          <cell r="O176">
            <v>1.05905106792887</v>
          </cell>
          <cell r="P176">
            <v>1.0567707801039901</v>
          </cell>
          <cell r="Q176">
            <v>1.0574986478909301</v>
          </cell>
          <cell r="U176">
            <v>2.3522534791685099E-3</v>
          </cell>
          <cell r="V176">
            <v>2.3398984094836299E-4</v>
          </cell>
          <cell r="W176">
            <v>1.07484974407787E-3</v>
          </cell>
          <cell r="Y176">
            <v>1.0594170994200001</v>
          </cell>
          <cell r="Z176">
            <v>1.0567707801039901</v>
          </cell>
          <cell r="AA176">
            <v>1.0574986478909301</v>
          </cell>
          <cell r="AF176">
            <v>2.3398984094836299E-4</v>
          </cell>
          <cell r="AG176">
            <v>1.0748497440780901E-3</v>
          </cell>
          <cell r="AR176">
            <v>1.0889479638445911E-2</v>
          </cell>
          <cell r="BC176">
            <v>4.1255980189731844E-3</v>
          </cell>
          <cell r="BF176">
            <v>1.5015077657419097E-2</v>
          </cell>
        </row>
        <row r="177">
          <cell r="O177">
            <v>1.05905106792887</v>
          </cell>
          <cell r="P177">
            <v>1.05613100182985</v>
          </cell>
          <cell r="Q177">
            <v>1.057076233326</v>
          </cell>
          <cell r="U177">
            <v>8.2437162989376801E-3</v>
          </cell>
          <cell r="V177">
            <v>6.0882524919403597E-3</v>
          </cell>
          <cell r="W177">
            <v>6.7767814051060901E-3</v>
          </cell>
          <cell r="Y177">
            <v>1.0594170994200001</v>
          </cell>
          <cell r="Z177">
            <v>1.05672785151892</v>
          </cell>
          <cell r="AA177">
            <v>1.0573746581705299</v>
          </cell>
          <cell r="AF177">
            <v>4.2198237364775401E-4</v>
          </cell>
          <cell r="AG177">
            <v>1.1105112868134901E-3</v>
          </cell>
          <cell r="AR177">
            <v>1.0889479638445911E-2</v>
          </cell>
          <cell r="BC177">
            <v>4.1255980189731844E-3</v>
          </cell>
          <cell r="BF177">
            <v>1.5015077657419097E-2</v>
          </cell>
        </row>
        <row r="178">
          <cell r="O178">
            <v>1.05905106792887</v>
          </cell>
          <cell r="P178">
            <v>1.0552143571477799</v>
          </cell>
          <cell r="Q178">
            <v>1.05667802052021</v>
          </cell>
          <cell r="U178">
            <v>9.4982924931148894E-3</v>
          </cell>
          <cell r="V178">
            <v>6.73723660497601E-3</v>
          </cell>
          <cell r="W178">
            <v>7.6318308912892499E-3</v>
          </cell>
          <cell r="Y178">
            <v>1.0594170994200001</v>
          </cell>
          <cell r="Z178">
            <v>1.0564257671991699</v>
          </cell>
          <cell r="AA178">
            <v>1.0572837255459</v>
          </cell>
          <cell r="AF178">
            <v>1.46098391846111E-3</v>
          </cell>
          <cell r="AG178">
            <v>2.0728810888478401E-3</v>
          </cell>
          <cell r="AR178">
            <v>1.0889479638445911E-2</v>
          </cell>
          <cell r="BC178">
            <v>4.1255980189731844E-3</v>
          </cell>
          <cell r="BF178">
            <v>1.5015077657419097E-2</v>
          </cell>
        </row>
        <row r="179">
          <cell r="O179">
            <v>1.05905106792887</v>
          </cell>
          <cell r="P179">
            <v>1.0544315378165701</v>
          </cell>
          <cell r="Q179">
            <v>1.05621080858269</v>
          </cell>
          <cell r="U179">
            <v>9.5288624091706998E-3</v>
          </cell>
          <cell r="V179">
            <v>5.8995025879295098E-3</v>
          </cell>
          <cell r="W179">
            <v>7.2856183031561397E-3</v>
          </cell>
          <cell r="Y179">
            <v>1.0594170994200001</v>
          </cell>
          <cell r="Z179">
            <v>1.0562532192699501</v>
          </cell>
          <cell r="AA179">
            <v>1.05712164930938</v>
          </cell>
          <cell r="AF179">
            <v>1.2461158391991901E-3</v>
          </cell>
          <cell r="AG179">
            <v>2.05791935032072E-3</v>
          </cell>
          <cell r="AR179">
            <v>1.0889479638445911E-2</v>
          </cell>
          <cell r="BC179">
            <v>4.1255980189731844E-3</v>
          </cell>
          <cell r="BF179">
            <v>1.5015077657419097E-2</v>
          </cell>
        </row>
        <row r="180">
          <cell r="O180">
            <v>1.05905106792887</v>
          </cell>
          <cell r="P180">
            <v>1.0533865833560601</v>
          </cell>
          <cell r="Q180">
            <v>1.05566441961503</v>
          </cell>
          <cell r="U180">
            <v>1.08886134153804E-2</v>
          </cell>
          <cell r="V180">
            <v>6.51712016880579E-3</v>
          </cell>
          <cell r="W180">
            <v>8.20311987465807E-3</v>
          </cell>
          <cell r="Y180">
            <v>1.0594170994200001</v>
          </cell>
          <cell r="Z180">
            <v>1.0558201494307999</v>
          </cell>
          <cell r="AA180">
            <v>1.0568812026524099</v>
          </cell>
          <cell r="AF180">
            <v>2.4193414869013198E-3</v>
          </cell>
          <cell r="AG180">
            <v>3.2411834622336402E-3</v>
          </cell>
          <cell r="AR180">
            <v>1.0889479638445911E-2</v>
          </cell>
          <cell r="BC180">
            <v>4.1255980189731844E-3</v>
          </cell>
          <cell r="BF180">
            <v>1.5015077657419097E-2</v>
          </cell>
        </row>
        <row r="181">
          <cell r="O181">
            <v>1.05905106792887</v>
          </cell>
          <cell r="P181">
            <v>1.0530690426339</v>
          </cell>
          <cell r="Q181">
            <v>1.0554474611513101</v>
          </cell>
          <cell r="U181">
            <v>4.6720837272953199E-3</v>
          </cell>
          <cell r="V181">
            <v>-6.9091304192474604E-4</v>
          </cell>
          <cell r="W181">
            <v>1.4691458105514101E-3</v>
          </cell>
          <cell r="Y181">
            <v>1.0594170994200001</v>
          </cell>
          <cell r="Z181">
            <v>1.0555026087086401</v>
          </cell>
          <cell r="AA181">
            <v>1.05666424418868</v>
          </cell>
          <cell r="AF181">
            <v>1.61665322626739E-3</v>
          </cell>
          <cell r="AG181">
            <v>2.6211050005479799E-3</v>
          </cell>
          <cell r="AR181">
            <v>1.0889479638445911E-2</v>
          </cell>
          <cell r="BC181">
            <v>4.1255980189731844E-3</v>
          </cell>
          <cell r="BF181">
            <v>1.5015077657419097E-2</v>
          </cell>
        </row>
        <row r="182">
          <cell r="O182">
            <v>1.05905106792887</v>
          </cell>
          <cell r="P182">
            <v>1.0529341279098701</v>
          </cell>
          <cell r="Q182">
            <v>1.0552353981570901</v>
          </cell>
          <cell r="U182">
            <v>4.4141758835252298E-3</v>
          </cell>
          <cell r="V182">
            <v>-1.25031380170687E-3</v>
          </cell>
          <cell r="W182">
            <v>1.00569844377918E-3</v>
          </cell>
          <cell r="Y182">
            <v>1.0594170994200001</v>
          </cell>
          <cell r="Z182">
            <v>1.0553676939846199</v>
          </cell>
          <cell r="AA182">
            <v>1.05645218119447</v>
          </cell>
          <cell r="AF182">
            <v>1.05794748380619E-3</v>
          </cell>
          <cell r="AG182">
            <v>2.1578942948870302E-3</v>
          </cell>
          <cell r="AR182">
            <v>1.0889479638445911E-2</v>
          </cell>
          <cell r="BC182">
            <v>4.1255980189731844E-3</v>
          </cell>
          <cell r="BF182">
            <v>1.5015077657419097E-2</v>
          </cell>
        </row>
        <row r="183">
          <cell r="O183">
            <v>1.05905106792887</v>
          </cell>
          <cell r="P183">
            <v>1.0528572606304301</v>
          </cell>
          <cell r="Q183">
            <v>1.05499623489021</v>
          </cell>
          <cell r="U183">
            <v>4.4459280312836996E-3</v>
          </cell>
          <cell r="V183">
            <v>-1.34668560561191E-3</v>
          </cell>
          <cell r="W183">
            <v>8.3650804444366296E-4</v>
          </cell>
          <cell r="Y183">
            <v>1.0594170994200001</v>
          </cell>
          <cell r="Z183">
            <v>1.0552908267051799</v>
          </cell>
          <cell r="AA183">
            <v>1.0562130179275899</v>
          </cell>
          <cell r="AF183">
            <v>9.6187110127570299E-4</v>
          </cell>
          <cell r="AG183">
            <v>1.9889353106134302E-3</v>
          </cell>
          <cell r="AR183">
            <v>1.0889479638445911E-2</v>
          </cell>
          <cell r="BC183">
            <v>4.1255980189731844E-3</v>
          </cell>
          <cell r="BF183">
            <v>1.5015077657419097E-2</v>
          </cell>
        </row>
        <row r="184">
          <cell r="O184">
            <v>1.05905106792887</v>
          </cell>
          <cell r="P184">
            <v>1.05257300513582</v>
          </cell>
          <cell r="Q184">
            <v>1.05478868102413</v>
          </cell>
          <cell r="U184">
            <v>4.9384731124504002E-3</v>
          </cell>
          <cell r="V184">
            <v>-9.2714612214277799E-4</v>
          </cell>
          <cell r="W184">
            <v>1.10238296849868E-3</v>
          </cell>
          <cell r="Y184">
            <v>1.0594170994200001</v>
          </cell>
          <cell r="Z184">
            <v>1.0550065712105601</v>
          </cell>
          <cell r="AA184">
            <v>1.05600546406151</v>
          </cell>
          <cell r="AF184">
            <v>1.3815789340481E-3</v>
          </cell>
          <cell r="AG184">
            <v>2.2550713346336602E-3</v>
          </cell>
          <cell r="AR184">
            <v>1.0889479638445911E-2</v>
          </cell>
          <cell r="BC184">
            <v>4.1255980189731844E-3</v>
          </cell>
          <cell r="BF184">
            <v>1.5015077657419097E-2</v>
          </cell>
        </row>
        <row r="185">
          <cell r="O185">
            <v>1.05905106792887</v>
          </cell>
          <cell r="P185">
            <v>1.0523072580181201</v>
          </cell>
          <cell r="Q185">
            <v>1.0545586754523499</v>
          </cell>
          <cell r="U185">
            <v>4.9362252534505997E-3</v>
          </cell>
          <cell r="V185">
            <v>-1.19941526939076E-3</v>
          </cell>
          <cell r="W185">
            <v>9.0338153032165603E-4</v>
          </cell>
          <cell r="Y185">
            <v>1.0594170994200001</v>
          </cell>
          <cell r="Z185">
            <v>1.05474082409286</v>
          </cell>
          <cell r="AA185">
            <v>1.0557754584897201</v>
          </cell>
          <cell r="AF185">
            <v>1.1099325565150299E-3</v>
          </cell>
          <cell r="AG185">
            <v>2.0562965836302301E-3</v>
          </cell>
          <cell r="AR185">
            <v>1.0889479638445911E-2</v>
          </cell>
          <cell r="BC185">
            <v>4.1255980189731844E-3</v>
          </cell>
          <cell r="BF185">
            <v>1.5015077657419097E-2</v>
          </cell>
        </row>
        <row r="186">
          <cell r="O186">
            <v>1.05905106792887</v>
          </cell>
          <cell r="P186">
            <v>1.0519166746022499</v>
          </cell>
          <cell r="Q186">
            <v>1.05434372735312</v>
          </cell>
          <cell r="U186">
            <v>6.0558395559719997E-3</v>
          </cell>
          <cell r="V186">
            <v>-3.32306654497924E-4</v>
          </cell>
          <cell r="W186">
            <v>1.8049136170432999E-3</v>
          </cell>
          <cell r="Y186">
            <v>1.0594170994200001</v>
          </cell>
          <cell r="Z186">
            <v>1.05435024067699</v>
          </cell>
          <cell r="AA186">
            <v>1.0555605103904899</v>
          </cell>
          <cell r="AF186">
            <v>1.9776236954419501E-3</v>
          </cell>
          <cell r="AG186">
            <v>2.95807998310942E-3</v>
          </cell>
          <cell r="AR186">
            <v>1.0889479638445911E-2</v>
          </cell>
          <cell r="BC186">
            <v>4.1255980189731844E-3</v>
          </cell>
          <cell r="BF186">
            <v>1.5015077657419097E-2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AFEF-C724-4F15-A814-1590CE2E9C37}">
  <dimension ref="A1:CZ188"/>
  <sheetViews>
    <sheetView tabSelected="1" topLeftCell="A163" workbookViewId="0">
      <selection activeCell="I188" sqref="I188"/>
    </sheetView>
  </sheetViews>
  <sheetFormatPr defaultRowHeight="14.4" x14ac:dyDescent="0.3"/>
  <cols>
    <col min="1" max="1" width="9.44140625" bestFit="1" customWidth="1"/>
    <col min="2" max="3" width="11" style="33" bestFit="1" customWidth="1"/>
    <col min="4" max="4" width="11.33203125" style="15" bestFit="1" customWidth="1"/>
    <col min="5" max="5" width="12" style="15" bestFit="1" customWidth="1"/>
    <col min="6" max="6" width="9.6640625" style="33" bestFit="1" customWidth="1"/>
    <col min="7" max="7" width="18.109375" style="33" bestFit="1" customWidth="1"/>
    <col min="8" max="8" width="10.44140625" style="33" bestFit="1" customWidth="1"/>
    <col min="9" max="9" width="18.88671875" style="33" bestFit="1" customWidth="1"/>
    <col min="10" max="10" width="20.6640625" style="33" bestFit="1" customWidth="1"/>
    <col min="11" max="11" width="21.5546875" style="33" bestFit="1" customWidth="1"/>
    <col min="12" max="13" width="11" style="33" bestFit="1" customWidth="1"/>
    <col min="14" max="14" width="12.109375" style="34" bestFit="1" customWidth="1"/>
    <col min="15" max="15" width="15.6640625" style="34" bestFit="1" customWidth="1"/>
    <col min="16" max="17" width="19.109375" style="34" bestFit="1" customWidth="1"/>
    <col min="18" max="18" width="11.44140625" style="33" bestFit="1" customWidth="1"/>
    <col min="19" max="20" width="14.88671875" style="33" bestFit="1" customWidth="1"/>
    <col min="21" max="21" width="23.5546875" style="15" bestFit="1" customWidth="1"/>
    <col min="22" max="23" width="27" style="15" bestFit="1" customWidth="1"/>
    <col min="24" max="24" width="14.33203125" style="34" bestFit="1" customWidth="1"/>
    <col min="25" max="25" width="17.88671875" style="34" bestFit="1" customWidth="1"/>
    <col min="26" max="27" width="21.109375" style="34" bestFit="1" customWidth="1"/>
    <col min="28" max="28" width="12.44140625" style="33" bestFit="1" customWidth="1"/>
    <col min="29" max="30" width="15.88671875" style="33" bestFit="1" customWidth="1"/>
    <col min="31" max="31" width="25.6640625" style="15" bestFit="1" customWidth="1"/>
    <col min="32" max="33" width="29" style="15" bestFit="1" customWidth="1"/>
    <col min="34" max="34" width="1.6640625" style="9" customWidth="1"/>
    <col min="35" max="35" width="7.6640625" style="15" bestFit="1" customWidth="1"/>
    <col min="36" max="36" width="6.6640625" style="15" bestFit="1" customWidth="1"/>
    <col min="37" max="38" width="6.88671875" style="15" bestFit="1" customWidth="1"/>
    <col min="39" max="39" width="7.88671875" style="15" bestFit="1" customWidth="1"/>
    <col min="40" max="40" width="8.44140625" style="15" bestFit="1" customWidth="1"/>
    <col min="41" max="41" width="11.33203125" style="15" bestFit="1" customWidth="1"/>
    <col min="42" max="42" width="12" style="15" bestFit="1" customWidth="1"/>
    <col min="43" max="43" width="12.6640625" style="15" bestFit="1" customWidth="1"/>
    <col min="44" max="44" width="8.6640625" style="15" bestFit="1" customWidth="1"/>
    <col min="45" max="45" width="1.6640625" style="9" customWidth="1"/>
    <col min="46" max="46" width="7.6640625" style="15" bestFit="1" customWidth="1"/>
    <col min="47" max="47" width="6.109375" style="15" bestFit="1" customWidth="1"/>
    <col min="48" max="48" width="8.109375" style="15" bestFit="1" customWidth="1"/>
    <col min="49" max="49" width="6.109375" style="15" bestFit="1" customWidth="1"/>
    <col min="50" max="50" width="7.88671875" style="15" bestFit="1" customWidth="1"/>
    <col min="51" max="51" width="8.44140625" style="15" bestFit="1" customWidth="1"/>
    <col min="52" max="52" width="11.33203125" style="15" bestFit="1" customWidth="1"/>
    <col min="53" max="54" width="12" style="15" bestFit="1" customWidth="1"/>
    <col min="55" max="55" width="8.6640625" style="15" bestFit="1" customWidth="1"/>
    <col min="56" max="56" width="1.6640625" style="9" customWidth="1"/>
    <col min="57" max="57" width="12.6640625" bestFit="1" customWidth="1"/>
    <col min="58" max="58" width="8.6640625" bestFit="1" customWidth="1"/>
    <col min="59" max="59" width="1.6640625" style="9" customWidth="1"/>
    <col min="60" max="60" width="6.88671875" customWidth="1"/>
    <col min="61" max="61" width="8.6640625" bestFit="1" customWidth="1"/>
    <col min="78" max="78" width="7.33203125" style="12" bestFit="1" customWidth="1"/>
    <col min="79" max="79" width="6.6640625" style="12" bestFit="1" customWidth="1"/>
    <col min="80" max="80" width="5.6640625" bestFit="1" customWidth="1"/>
    <col min="81" max="81" width="4.5546875" bestFit="1" customWidth="1"/>
    <col min="82" max="82" width="4.88671875" bestFit="1" customWidth="1"/>
    <col min="83" max="83" width="7.33203125" bestFit="1" customWidth="1"/>
    <col min="84" max="84" width="7.6640625" bestFit="1" customWidth="1"/>
    <col min="85" max="85" width="10.6640625" bestFit="1" customWidth="1"/>
    <col min="86" max="86" width="9.33203125" bestFit="1" customWidth="1"/>
    <col min="87" max="87" width="6.6640625" bestFit="1" customWidth="1"/>
    <col min="88" max="88" width="7.44140625" bestFit="1" customWidth="1"/>
    <col min="90" max="90" width="7.33203125" style="12" bestFit="1" customWidth="1"/>
    <col min="91" max="91" width="6.109375" style="12" bestFit="1" customWidth="1"/>
    <col min="92" max="92" width="4.5546875" bestFit="1" customWidth="1"/>
    <col min="93" max="93" width="5.6640625" bestFit="1" customWidth="1"/>
    <col min="94" max="94" width="4.88671875" bestFit="1" customWidth="1"/>
    <col min="95" max="95" width="7.33203125" bestFit="1" customWidth="1"/>
    <col min="96" max="96" width="7.6640625" bestFit="1" customWidth="1"/>
    <col min="97" max="97" width="10.6640625" bestFit="1" customWidth="1"/>
    <col min="98" max="98" width="9.33203125" bestFit="1" customWidth="1"/>
    <col min="99" max="99" width="6.6640625" bestFit="1" customWidth="1"/>
    <col min="100" max="100" width="7.44140625" bestFit="1" customWidth="1"/>
    <col min="102" max="102" width="6.6640625" bestFit="1" customWidth="1"/>
    <col min="103" max="103" width="7.44140625" bestFit="1" customWidth="1"/>
  </cols>
  <sheetData>
    <row r="1" spans="1:104" s="7" customFormat="1" x14ac:dyDescent="0.3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2.1428774154402848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>
        <f>BB16</f>
        <v>2.5231119406709368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</row>
    <row r="2" spans="1:104" x14ac:dyDescent="0.3">
      <c r="A2" s="1">
        <v>46024</v>
      </c>
      <c r="B2" s="33">
        <v>43.18</v>
      </c>
      <c r="C2" s="33">
        <v>109.52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43.18</v>
      </c>
      <c r="M2" s="33">
        <v>109.52</v>
      </c>
      <c r="N2" s="34">
        <v>2.5363594256600202</v>
      </c>
      <c r="O2" s="34">
        <v>2.5341745756035601</v>
      </c>
      <c r="X2" s="34">
        <v>2.5363594256600202</v>
      </c>
      <c r="Y2" s="34">
        <v>2.5351085643703399</v>
      </c>
      <c r="AI2" s="4">
        <v>0</v>
      </c>
      <c r="AJ2" s="10">
        <f t="dataTable" ref="AJ2:AQ9" dt2D="1" dtr="1" r1="AI21" r2="AI22"/>
        <v>1.6577642894301818</v>
      </c>
      <c r="AK2" s="10">
        <v>2.2757967240620376</v>
      </c>
      <c r="AL2" s="10">
        <v>1.7329280362434332</v>
      </c>
      <c r="AM2" s="10">
        <v>1.6300106644049028</v>
      </c>
      <c r="AN2" s="10">
        <v>1.8021761844915254</v>
      </c>
      <c r="AO2" s="10">
        <v>1.5563237917914465</v>
      </c>
      <c r="AP2" s="10">
        <v>1.8703596567644398</v>
      </c>
      <c r="AQ2" s="10">
        <v>2.0004759389734996</v>
      </c>
      <c r="AR2"/>
      <c r="AT2" s="4">
        <v>0</v>
      </c>
      <c r="AU2" s="10">
        <f t="dataTable" ref="AU2:BB9" dt2D="1" dtr="1" r1="AT21" r2="AT22"/>
        <v>3.0045087066919178</v>
      </c>
      <c r="AV2" s="11">
        <v>2.7836051485592743</v>
      </c>
      <c r="AW2" s="11">
        <v>3.0202183379651095</v>
      </c>
      <c r="AX2" s="11">
        <v>2.6519916789447029</v>
      </c>
      <c r="AY2" s="11">
        <v>2.1354135201583428</v>
      </c>
      <c r="AZ2" s="11">
        <v>2.2464472870341661</v>
      </c>
      <c r="BA2" s="11">
        <v>2.2464472870341661</v>
      </c>
      <c r="BB2" s="11">
        <v>1.9855683561632902</v>
      </c>
      <c r="BC2"/>
    </row>
    <row r="3" spans="1:104" x14ac:dyDescent="0.3">
      <c r="A3" s="1">
        <v>46027</v>
      </c>
      <c r="B3" s="33">
        <v>42.7</v>
      </c>
      <c r="C3" s="33">
        <v>108.41</v>
      </c>
      <c r="D3" s="15">
        <v>-1.1178504852082299E-2</v>
      </c>
      <c r="E3" s="15">
        <v>-1.0186845306993E-2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42.7</v>
      </c>
      <c r="M3" s="33">
        <v>108.41</v>
      </c>
      <c r="N3" s="34">
        <v>2.5388758782201402</v>
      </c>
      <c r="O3" s="34">
        <v>2.5341745756035601</v>
      </c>
      <c r="R3" s="33">
        <v>108.20925437827201</v>
      </c>
      <c r="U3" s="15">
        <v>-1.8534426200627499E-3</v>
      </c>
      <c r="X3" s="34">
        <v>2.5388758782201402</v>
      </c>
      <c r="Y3" s="34">
        <v>2.5351085643703399</v>
      </c>
      <c r="AB3" s="33">
        <v>108.249135698613</v>
      </c>
      <c r="AE3" s="15">
        <v>-1.48495313089439E-3</v>
      </c>
      <c r="AI3" s="4">
        <f t="shared" ref="AI3:AI9" si="2">AI2-AK$12</f>
        <v>-2.0000000000000001E-4</v>
      </c>
      <c r="AJ3" s="10">
        <v>1.6577642894301818</v>
      </c>
      <c r="AK3" s="10">
        <v>2.0587654352938682</v>
      </c>
      <c r="AL3" s="10">
        <v>1.4791908550510537</v>
      </c>
      <c r="AM3" s="10">
        <v>1.3683468587015404</v>
      </c>
      <c r="AN3" s="10">
        <v>1.5438892187999542</v>
      </c>
      <c r="AO3" s="11">
        <v>1.2227213253574554</v>
      </c>
      <c r="AP3" s="10">
        <v>1.5445785472374287</v>
      </c>
      <c r="AQ3" s="10">
        <v>1.6639033386044892</v>
      </c>
      <c r="AR3"/>
      <c r="AT3" s="4">
        <f>AT2+AV$12</f>
        <v>2.0000000000000001E-4</v>
      </c>
      <c r="AU3" s="10">
        <v>3.0045087066919178</v>
      </c>
      <c r="AV3" s="11">
        <v>2.7212132936316062</v>
      </c>
      <c r="AW3" s="11">
        <v>2.8457746328714157</v>
      </c>
      <c r="AX3" s="11">
        <v>2.4574050654243189</v>
      </c>
      <c r="AY3" s="11">
        <v>2.0625234636608796</v>
      </c>
      <c r="AZ3" s="11">
        <v>2.5231119406709368</v>
      </c>
      <c r="BA3" s="11">
        <v>2.5231119406709368</v>
      </c>
      <c r="BB3" s="11">
        <v>2.2552219143374028</v>
      </c>
      <c r="BC3"/>
    </row>
    <row r="4" spans="1:104" x14ac:dyDescent="0.3">
      <c r="A4" s="1">
        <v>46028</v>
      </c>
      <c r="B4" s="33">
        <v>42.91</v>
      </c>
      <c r="C4" s="33">
        <v>108.86</v>
      </c>
      <c r="D4" s="15">
        <v>4.9059787688544004E-3</v>
      </c>
      <c r="E4" s="15">
        <v>4.1423173328536001E-3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42.91</v>
      </c>
      <c r="M4" s="33">
        <v>108.86</v>
      </c>
      <c r="N4" s="34">
        <v>2.5369377767420098</v>
      </c>
      <c r="O4" s="34">
        <v>2.5341745756035601</v>
      </c>
      <c r="R4" s="33">
        <v>108.741431039148</v>
      </c>
      <c r="U4" s="15">
        <v>-1.08978118406199E-3</v>
      </c>
      <c r="X4" s="34">
        <v>2.5369377767420098</v>
      </c>
      <c r="Y4" s="34">
        <v>2.5351085643703399</v>
      </c>
      <c r="AB4" s="33">
        <v>108.781508497131</v>
      </c>
      <c r="AE4" s="15">
        <v>-7.2129169489365097E-4</v>
      </c>
      <c r="AG4"/>
      <c r="AI4" s="4">
        <f t="shared" si="2"/>
        <v>-4.0000000000000002E-4</v>
      </c>
      <c r="AJ4" s="10">
        <v>1.6577642894301818</v>
      </c>
      <c r="AK4" s="11">
        <v>2.0587654352938682</v>
      </c>
      <c r="AL4" s="11">
        <v>1.3410715110148934</v>
      </c>
      <c r="AM4" s="11">
        <v>1.2268902473044949</v>
      </c>
      <c r="AN4" s="10">
        <v>1.4009929150459268</v>
      </c>
      <c r="AO4" s="11">
        <v>1.0772637229030222</v>
      </c>
      <c r="AP4" s="11">
        <v>1.3971042810325744</v>
      </c>
      <c r="AQ4" s="11">
        <v>1.5064657210500891</v>
      </c>
      <c r="AR4"/>
      <c r="AT4" s="4">
        <f t="shared" ref="AT4:AT9" si="3">AT3+AV$12</f>
        <v>4.0000000000000002E-4</v>
      </c>
      <c r="AU4" s="10">
        <v>3.0045087066919178</v>
      </c>
      <c r="AV4" s="11">
        <v>2.7212132936316062</v>
      </c>
      <c r="AW4" s="11">
        <v>2.8912722289328756</v>
      </c>
      <c r="AX4" s="11">
        <v>2.5049961329160553</v>
      </c>
      <c r="AY4" s="11">
        <v>1.992636235474111</v>
      </c>
      <c r="AZ4" s="11">
        <v>2.4532452725653329</v>
      </c>
      <c r="BA4" s="11">
        <v>2.4532452725653329</v>
      </c>
      <c r="BB4" s="11">
        <v>2.1817741839940754</v>
      </c>
      <c r="BC4"/>
      <c r="BE4" s="8"/>
      <c r="BF4" s="8"/>
    </row>
    <row r="5" spans="1:104" x14ac:dyDescent="0.3">
      <c r="A5" s="1">
        <v>46029</v>
      </c>
      <c r="B5" s="33">
        <v>41.87</v>
      </c>
      <c r="C5" s="33">
        <v>106.3</v>
      </c>
      <c r="D5" s="15">
        <v>-2.4535318972381301E-2</v>
      </c>
      <c r="E5" s="15">
        <v>-2.37973676581517E-2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41.87</v>
      </c>
      <c r="M5" s="33">
        <v>106.3</v>
      </c>
      <c r="N5" s="34">
        <v>2.5388106042512502</v>
      </c>
      <c r="O5" s="34">
        <v>2.5341745756035601</v>
      </c>
      <c r="R5" s="33">
        <v>106.105889480521</v>
      </c>
      <c r="U5" s="15">
        <v>-1.8277324982916099E-3</v>
      </c>
      <c r="X5" s="34">
        <v>2.5388106042512502</v>
      </c>
      <c r="Y5" s="34">
        <v>2.5351085643703399</v>
      </c>
      <c r="AB5" s="33">
        <v>106.144995590186</v>
      </c>
      <c r="AE5" s="15">
        <v>-1.4592430091232499E-3</v>
      </c>
      <c r="AG5" s="29"/>
      <c r="AI5" s="4">
        <f t="shared" si="2"/>
        <v>-6.0000000000000006E-4</v>
      </c>
      <c r="AJ5" s="10">
        <v>1.6577642894301818</v>
      </c>
      <c r="AK5" s="11">
        <v>2.0587654352938682</v>
      </c>
      <c r="AL5" s="11">
        <v>1.3410715110148934</v>
      </c>
      <c r="AM5" s="11">
        <v>1.1067552271835428</v>
      </c>
      <c r="AN5" s="11">
        <v>1.0871421706601279</v>
      </c>
      <c r="AO5" s="11">
        <v>0.7544555583340774</v>
      </c>
      <c r="AP5" s="10">
        <v>1.0731392281982965</v>
      </c>
      <c r="AQ5" s="11">
        <v>1.3867638665630475</v>
      </c>
      <c r="AR5"/>
      <c r="AT5" s="4">
        <f t="shared" si="3"/>
        <v>6.0000000000000006E-4</v>
      </c>
      <c r="AU5" s="10">
        <v>3.0045087066919178</v>
      </c>
      <c r="AV5" s="11">
        <v>2.7212132936316062</v>
      </c>
      <c r="AW5" s="11">
        <v>2.8912722289328756</v>
      </c>
      <c r="AX5" s="11">
        <v>2.0904174689563177</v>
      </c>
      <c r="AY5" s="11">
        <v>1.5221001864055861</v>
      </c>
      <c r="AZ5" s="11">
        <v>1.8313650184910872</v>
      </c>
      <c r="BA5" s="11">
        <v>1.8313650184910872</v>
      </c>
      <c r="BB5" s="11">
        <v>1.5119516431386548</v>
      </c>
      <c r="BC5"/>
    </row>
    <row r="6" spans="1:104" x14ac:dyDescent="0.3">
      <c r="A6" s="1">
        <v>46030</v>
      </c>
      <c r="B6" s="33">
        <v>41.99</v>
      </c>
      <c r="C6" s="33">
        <v>106.66</v>
      </c>
      <c r="D6" s="15">
        <v>2.8619146650500299E-3</v>
      </c>
      <c r="E6" s="15">
        <v>3.3809198245538402E-3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41.99</v>
      </c>
      <c r="M6" s="33">
        <v>106.66</v>
      </c>
      <c r="N6" s="34">
        <v>2.5401286020481</v>
      </c>
      <c r="O6" s="34">
        <v>2.5341745756035601</v>
      </c>
      <c r="R6" s="33">
        <v>106.40999042959299</v>
      </c>
      <c r="U6" s="15">
        <v>-2.3467376577954698E-3</v>
      </c>
      <c r="X6" s="34">
        <v>2.5401286020481</v>
      </c>
      <c r="Y6" s="34">
        <v>2.5351085643703399</v>
      </c>
      <c r="AB6" s="33">
        <v>106.44920861791</v>
      </c>
      <c r="AE6" s="15">
        <v>-1.9782481686272499E-3</v>
      </c>
      <c r="AG6" s="29"/>
      <c r="AI6" s="4">
        <f t="shared" si="2"/>
        <v>-8.0000000000000004E-4</v>
      </c>
      <c r="AJ6" s="10">
        <v>1.6577642894301818</v>
      </c>
      <c r="AK6" s="11">
        <v>2.0587654352938682</v>
      </c>
      <c r="AL6" s="11">
        <v>1.3410715110148934</v>
      </c>
      <c r="AM6" s="11">
        <v>1.1067552271835428</v>
      </c>
      <c r="AN6" s="11">
        <v>1.058950083880686</v>
      </c>
      <c r="AO6" s="11">
        <v>0.71210837364996571</v>
      </c>
      <c r="AP6" s="11">
        <v>1.0449983681990713</v>
      </c>
      <c r="AQ6" s="11">
        <v>1.3759513614149259</v>
      </c>
      <c r="AR6"/>
      <c r="AT6" s="4">
        <f t="shared" si="3"/>
        <v>8.0000000000000004E-4</v>
      </c>
      <c r="AU6" s="10">
        <v>3.0045087066919178</v>
      </c>
      <c r="AV6" s="11">
        <v>2.7212132936316062</v>
      </c>
      <c r="AW6" s="11">
        <v>2.8912722289328756</v>
      </c>
      <c r="AX6" s="11">
        <v>2.0904174689563177</v>
      </c>
      <c r="AY6" s="11">
        <v>1.4616085551343032</v>
      </c>
      <c r="AZ6" s="11">
        <v>1.5981069539184811</v>
      </c>
      <c r="BA6" s="11">
        <v>1.5981069539184811</v>
      </c>
      <c r="BB6" s="11">
        <v>1.9069939205353563</v>
      </c>
      <c r="BC6"/>
    </row>
    <row r="7" spans="1:104" x14ac:dyDescent="0.3">
      <c r="A7" s="1">
        <v>46031</v>
      </c>
      <c r="B7" s="33">
        <v>42.51</v>
      </c>
      <c r="C7" s="33">
        <v>107.99</v>
      </c>
      <c r="D7" s="15">
        <v>1.23078476745967E-2</v>
      </c>
      <c r="E7" s="15">
        <v>1.23924250722122E-2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42.51</v>
      </c>
      <c r="M7" s="33">
        <v>107.99</v>
      </c>
      <c r="N7" s="34">
        <v>2.54034344860032</v>
      </c>
      <c r="O7" s="34">
        <v>2.5341745756035601</v>
      </c>
      <c r="R7" s="33">
        <v>107.727761208907</v>
      </c>
      <c r="U7" s="15">
        <v>-2.4313150554108902E-3</v>
      </c>
      <c r="X7" s="34">
        <v>2.54034344860032</v>
      </c>
      <c r="Y7" s="34">
        <v>2.5351085643703399</v>
      </c>
      <c r="AB7" s="33">
        <v>107.767465071383</v>
      </c>
      <c r="AE7" s="15">
        <v>-2.06282556624261E-3</v>
      </c>
      <c r="AG7"/>
      <c r="AI7" s="4">
        <f t="shared" si="2"/>
        <v>-1E-3</v>
      </c>
      <c r="AJ7" s="10">
        <v>1.6577642894301818</v>
      </c>
      <c r="AK7" s="11">
        <v>2.0587654352938682</v>
      </c>
      <c r="AL7" s="11">
        <v>1.3410715110148934</v>
      </c>
      <c r="AM7" s="11">
        <v>1.1067552271835428</v>
      </c>
      <c r="AN7" s="11">
        <v>1.058950083880686</v>
      </c>
      <c r="AO7" s="11">
        <v>0.75687697408602028</v>
      </c>
      <c r="AP7" s="11">
        <v>1.0292356108350134</v>
      </c>
      <c r="AQ7" s="11">
        <v>1.3600153519113329</v>
      </c>
      <c r="AR7"/>
      <c r="AT7" s="4">
        <f t="shared" si="3"/>
        <v>1E-3</v>
      </c>
      <c r="AU7" s="10">
        <v>3.0045087066919178</v>
      </c>
      <c r="AV7" s="11">
        <v>2.7212132936316062</v>
      </c>
      <c r="AW7" s="11">
        <v>2.8912722289328756</v>
      </c>
      <c r="AX7" s="11">
        <v>2.0904174689563177</v>
      </c>
      <c r="AY7" s="11">
        <v>1.4616085551343032</v>
      </c>
      <c r="AZ7" s="11">
        <v>1.7939220093456991</v>
      </c>
      <c r="BA7" s="11">
        <v>1.5333287268238993</v>
      </c>
      <c r="BB7" s="11">
        <v>2.1226525340866766</v>
      </c>
      <c r="BC7"/>
    </row>
    <row r="8" spans="1:104" x14ac:dyDescent="0.3">
      <c r="A8" s="1">
        <v>46034</v>
      </c>
      <c r="B8" s="33">
        <v>42.58</v>
      </c>
      <c r="C8" s="33">
        <v>108.07</v>
      </c>
      <c r="D8" s="15">
        <v>1.64531709463467E-3</v>
      </c>
      <c r="E8" s="15">
        <v>7.4053507040589797E-4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42.58</v>
      </c>
      <c r="M8" s="33">
        <v>108.07</v>
      </c>
      <c r="N8" s="34">
        <v>2.53804603100046</v>
      </c>
      <c r="O8" s="34">
        <v>2.5341745756035601</v>
      </c>
      <c r="R8" s="33">
        <v>107.905153429199</v>
      </c>
      <c r="U8" s="15">
        <v>-1.52653303118207E-3</v>
      </c>
      <c r="X8" s="34">
        <v>2.53804603100046</v>
      </c>
      <c r="Y8" s="34">
        <v>2.5351085643703399</v>
      </c>
      <c r="AB8" s="33">
        <v>107.944922670889</v>
      </c>
      <c r="AE8" s="15">
        <v>-1.1580435420137901E-3</v>
      </c>
      <c r="AG8"/>
      <c r="AI8" s="4">
        <f t="shared" si="2"/>
        <v>-1.2000000000000001E-3</v>
      </c>
      <c r="AJ8" s="10">
        <v>1.6577642894301818</v>
      </c>
      <c r="AK8" s="11">
        <v>2.0587654352938682</v>
      </c>
      <c r="AL8" s="11">
        <v>1.3410715110148934</v>
      </c>
      <c r="AM8" s="11">
        <v>1.1067552271835428</v>
      </c>
      <c r="AN8" s="11">
        <v>1.058950083880686</v>
      </c>
      <c r="AO8" s="11">
        <v>0.75687697408602028</v>
      </c>
      <c r="AP8" s="11">
        <v>1.5013493047392039</v>
      </c>
      <c r="AQ8" s="11">
        <v>1.3600153519113329</v>
      </c>
      <c r="AR8"/>
      <c r="AT8" s="4">
        <f t="shared" si="3"/>
        <v>1.2000000000000001E-3</v>
      </c>
      <c r="AU8" s="10">
        <v>3.0045087066919178</v>
      </c>
      <c r="AV8" s="11">
        <v>2.7212132936316062</v>
      </c>
      <c r="AW8" s="11">
        <v>2.8912722289328756</v>
      </c>
      <c r="AX8" s="11">
        <v>2.0904174689563177</v>
      </c>
      <c r="AY8" s="11">
        <v>1.4616085551343032</v>
      </c>
      <c r="AZ8" s="11">
        <v>1.7939220093456991</v>
      </c>
      <c r="BA8" s="11">
        <v>1.6002684129770313</v>
      </c>
      <c r="BB8" s="11">
        <v>1.8825699757108103</v>
      </c>
      <c r="BC8"/>
    </row>
    <row r="9" spans="1:104" x14ac:dyDescent="0.3">
      <c r="A9" s="1">
        <v>46035</v>
      </c>
      <c r="B9" s="33">
        <v>42.85</v>
      </c>
      <c r="C9" s="33">
        <v>108.72</v>
      </c>
      <c r="D9" s="15">
        <v>6.3209855784553898E-3</v>
      </c>
      <c r="E9" s="15">
        <v>5.9966045278140798E-3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42.85</v>
      </c>
      <c r="M9" s="33">
        <v>108.72</v>
      </c>
      <c r="N9" s="34">
        <v>2.5372228704784101</v>
      </c>
      <c r="O9" s="34">
        <v>2.5341745756035601</v>
      </c>
      <c r="R9" s="33">
        <v>108.589380564612</v>
      </c>
      <c r="U9" s="15">
        <v>-1.20215198054073E-3</v>
      </c>
      <c r="X9" s="34">
        <v>2.5372228704784101</v>
      </c>
      <c r="Y9" s="34">
        <v>2.5351085643703399</v>
      </c>
      <c r="AB9" s="33">
        <v>108.62940198326901</v>
      </c>
      <c r="AE9" s="15">
        <v>-8.3366249137236401E-4</v>
      </c>
      <c r="AF9"/>
      <c r="AI9" s="4">
        <f t="shared" si="2"/>
        <v>-1.4000000000000002E-3</v>
      </c>
      <c r="AJ9" s="10">
        <v>1.6577642894301818</v>
      </c>
      <c r="AK9" s="11">
        <v>2.0587654352938682</v>
      </c>
      <c r="AL9" s="11">
        <v>1.3410715110148934</v>
      </c>
      <c r="AM9" s="11">
        <v>1.1067552271835428</v>
      </c>
      <c r="AN9" s="11">
        <v>1.058950083880686</v>
      </c>
      <c r="AO9" s="11">
        <v>0.75687697408602028</v>
      </c>
      <c r="AP9" s="11">
        <v>1.5013493047392039</v>
      </c>
      <c r="AQ9" s="11">
        <v>1.3600153519113329</v>
      </c>
      <c r="AR9"/>
      <c r="AT9" s="4">
        <f t="shared" si="3"/>
        <v>1.4000000000000002E-3</v>
      </c>
      <c r="AU9" s="10">
        <v>3.0045087066919178</v>
      </c>
      <c r="AV9" s="10">
        <v>2.7212132936316062</v>
      </c>
      <c r="AW9" s="10">
        <v>2.8912722289328756</v>
      </c>
      <c r="AX9" s="10">
        <v>2.0904174689563177</v>
      </c>
      <c r="AY9" s="10">
        <v>1.4616085551343032</v>
      </c>
      <c r="AZ9" s="10">
        <v>1.7939220093456991</v>
      </c>
      <c r="BA9" s="10">
        <v>1.6002684129770313</v>
      </c>
      <c r="BB9" s="10">
        <v>1.8825699757108103</v>
      </c>
      <c r="BC9"/>
    </row>
    <row r="10" spans="1:104" x14ac:dyDescent="0.3">
      <c r="A10" s="1">
        <v>46036</v>
      </c>
      <c r="B10" s="33">
        <v>43.17</v>
      </c>
      <c r="C10" s="33">
        <v>109.47</v>
      </c>
      <c r="D10" s="15">
        <v>7.4401645235974197E-3</v>
      </c>
      <c r="E10" s="15">
        <v>6.8747692735776399E-3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43.17</v>
      </c>
      <c r="M10" s="33">
        <v>109.47</v>
      </c>
      <c r="N10" s="34">
        <v>2.5357887421820702</v>
      </c>
      <c r="O10" s="34">
        <v>2.5341745756035601</v>
      </c>
      <c r="R10" s="33">
        <v>109.400316428805</v>
      </c>
      <c r="U10" s="15">
        <v>-6.3675673052108605E-4</v>
      </c>
      <c r="X10" s="34">
        <v>2.5357887421820702</v>
      </c>
      <c r="Y10" s="34">
        <v>2.5351085643703399</v>
      </c>
      <c r="AB10" s="33">
        <v>109.440636723867</v>
      </c>
      <c r="AE10" s="15">
        <v>-2.6826724135277098E-4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04" x14ac:dyDescent="0.3">
      <c r="A11" s="1">
        <v>46037</v>
      </c>
      <c r="B11" s="33">
        <v>43.61</v>
      </c>
      <c r="C11" s="33">
        <v>110.72</v>
      </c>
      <c r="D11" s="15">
        <v>1.01406722872888E-2</v>
      </c>
      <c r="E11" s="15">
        <v>1.13539527528935E-2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43.61</v>
      </c>
      <c r="M11" s="33">
        <v>110.72</v>
      </c>
      <c r="N11" s="34">
        <v>2.5388672322861701</v>
      </c>
      <c r="O11" s="34">
        <v>2.5341745756035601</v>
      </c>
      <c r="P11" s="34">
        <v>2.5381380611469</v>
      </c>
      <c r="R11" s="33">
        <v>110.515353242071</v>
      </c>
      <c r="U11" s="15">
        <v>-1.8500371961257E-3</v>
      </c>
      <c r="X11" s="34">
        <v>2.5388672322861701</v>
      </c>
      <c r="Y11" s="34">
        <v>2.5351085643703399</v>
      </c>
      <c r="Z11" s="34">
        <v>2.5381380611469</v>
      </c>
      <c r="AB11" s="33">
        <v>110.55608449219</v>
      </c>
      <c r="AE11" s="15">
        <v>-1.48154770695744E-3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04" x14ac:dyDescent="0.3">
      <c r="A12" s="1">
        <v>46038</v>
      </c>
      <c r="B12" s="33">
        <v>43.39</v>
      </c>
      <c r="C12" s="33">
        <v>110.09</v>
      </c>
      <c r="D12" s="15">
        <v>-5.0574820444156702E-3</v>
      </c>
      <c r="E12" s="15">
        <v>-5.7062787870476297E-3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43.39</v>
      </c>
      <c r="M12" s="33">
        <v>110.09</v>
      </c>
      <c r="N12" s="34">
        <v>2.5372205577321898</v>
      </c>
      <c r="O12" s="34">
        <v>2.5341745756035601</v>
      </c>
      <c r="P12" s="34">
        <v>2.5382241743541099</v>
      </c>
      <c r="R12" s="33">
        <v>109.95783483543801</v>
      </c>
      <c r="S12" s="33">
        <v>110.129810473163</v>
      </c>
      <c r="U12" s="15">
        <v>-1.2012404534938201E-3</v>
      </c>
      <c r="V12" s="15">
        <v>3.6155215565868701E-4</v>
      </c>
      <c r="X12" s="34">
        <v>2.5372205577321898</v>
      </c>
      <c r="Y12" s="34">
        <v>2.5351085643703399</v>
      </c>
      <c r="Z12" s="34">
        <v>2.5382241743541099</v>
      </c>
      <c r="AB12" s="33">
        <v>109.998360608029</v>
      </c>
      <c r="AC12" s="33">
        <v>110.129810473163</v>
      </c>
      <c r="AE12" s="15">
        <v>-8.3275096432542804E-4</v>
      </c>
      <c r="AF12" s="15">
        <v>3.6155215565868701E-4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04" x14ac:dyDescent="0.3">
      <c r="A13" s="1">
        <v>46042</v>
      </c>
      <c r="B13" s="33">
        <v>42.96</v>
      </c>
      <c r="C13" s="33">
        <v>108.99</v>
      </c>
      <c r="D13" s="15">
        <v>-9.9595496096500993E-3</v>
      </c>
      <c r="E13" s="15">
        <v>-1.0042078181091501E-2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42.96</v>
      </c>
      <c r="M13" s="33">
        <v>108.99</v>
      </c>
      <c r="N13" s="34">
        <v>2.5370111731843501</v>
      </c>
      <c r="O13" s="34">
        <v>2.5341745756035601</v>
      </c>
      <c r="P13" s="34">
        <v>2.53803770385053</v>
      </c>
      <c r="R13" s="33">
        <v>108.86813976792899</v>
      </c>
      <c r="S13" s="33">
        <v>109.042110530252</v>
      </c>
      <c r="U13" s="15">
        <v>-1.1187118820522E-3</v>
      </c>
      <c r="V13" s="15">
        <v>4.78007859653287E-4</v>
      </c>
      <c r="X13" s="34">
        <v>2.5370111731843501</v>
      </c>
      <c r="Y13" s="34">
        <v>2.5351085643703399</v>
      </c>
      <c r="Z13" s="34">
        <v>2.53803770385053</v>
      </c>
      <c r="AB13" s="33">
        <v>108.908263925349</v>
      </c>
      <c r="AC13" s="33">
        <v>109.042110530252</v>
      </c>
      <c r="AE13" s="15">
        <v>-7.5022239288397301E-4</v>
      </c>
      <c r="AF13" s="15">
        <v>4.78007859653287E-4</v>
      </c>
    </row>
    <row r="14" spans="1:104" x14ac:dyDescent="0.3">
      <c r="A14" s="1">
        <v>46043</v>
      </c>
      <c r="B14" s="33">
        <v>43.02</v>
      </c>
      <c r="C14" s="33">
        <v>109.45</v>
      </c>
      <c r="D14" s="15">
        <v>1.3956736389747499E-3</v>
      </c>
      <c r="E14" s="15">
        <v>4.2116890676518201E-3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43.02</v>
      </c>
      <c r="M14" s="33">
        <v>109.45</v>
      </c>
      <c r="N14" s="34">
        <v>2.5441655044165499</v>
      </c>
      <c r="O14" s="34">
        <v>2.5341745756035601</v>
      </c>
      <c r="P14" s="34">
        <v>2.5387604766179899</v>
      </c>
      <c r="R14" s="33">
        <v>109.02019024246501</v>
      </c>
      <c r="S14" s="33">
        <v>109.18638201965</v>
      </c>
      <c r="U14" s="15">
        <v>-3.9347273107292703E-3</v>
      </c>
      <c r="V14" s="15">
        <v>-2.4114752143645402E-3</v>
      </c>
      <c r="X14" s="34">
        <v>2.5441655044165499</v>
      </c>
      <c r="Y14" s="34">
        <v>2.5351085643703399</v>
      </c>
      <c r="Z14" s="34">
        <v>2.5387604766179899</v>
      </c>
      <c r="AB14" s="33">
        <v>109.06037043921199</v>
      </c>
      <c r="AC14" s="33">
        <v>109.18638201965</v>
      </c>
      <c r="AE14" s="15">
        <v>-3.56623782156088E-3</v>
      </c>
      <c r="AF14" s="15">
        <v>-2.4114752143645402E-3</v>
      </c>
      <c r="AQ14" s="20">
        <f>AVERAGE(AQ22:AQ186)</f>
        <v>6.2859670389737093E-5</v>
      </c>
      <c r="AR14" s="21" t="s">
        <v>41</v>
      </c>
      <c r="BB14" s="20">
        <f>AVERAGE(BB22:BB186)</f>
        <v>9.0460576498084308E-5</v>
      </c>
      <c r="BC14" s="21" t="s">
        <v>41</v>
      </c>
      <c r="BD14" s="22"/>
      <c r="BE14" s="20">
        <f>AVERAGE(BE22:BE176)</f>
        <v>1.6204581254478161E-4</v>
      </c>
      <c r="BF14" s="21" t="s">
        <v>41</v>
      </c>
    </row>
    <row r="15" spans="1:104" x14ac:dyDescent="0.3">
      <c r="A15" s="1">
        <v>46044</v>
      </c>
      <c r="B15" s="33">
        <v>42.71</v>
      </c>
      <c r="C15" s="33">
        <v>108.88</v>
      </c>
      <c r="D15" s="15">
        <v>-7.2320389862089397E-3</v>
      </c>
      <c r="E15" s="15">
        <v>-5.2214656256613897E-3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42.71</v>
      </c>
      <c r="M15" s="33">
        <v>108.88</v>
      </c>
      <c r="N15" s="34">
        <v>2.5492858815265702</v>
      </c>
      <c r="O15" s="34">
        <v>2.5341745756035601</v>
      </c>
      <c r="P15" s="34">
        <v>2.5398080043455198</v>
      </c>
      <c r="R15" s="33">
        <v>108.234596124028</v>
      </c>
      <c r="S15" s="33">
        <v>108.430459956354</v>
      </c>
      <c r="U15" s="15">
        <v>-5.9453006712766997E-3</v>
      </c>
      <c r="V15" s="15">
        <v>-4.1373129022918096E-3</v>
      </c>
      <c r="X15" s="34">
        <v>2.5492858815265702</v>
      </c>
      <c r="Y15" s="34">
        <v>2.5351085643703399</v>
      </c>
      <c r="Z15" s="34">
        <v>2.5398080043455198</v>
      </c>
      <c r="AB15" s="33">
        <v>108.27448678425699</v>
      </c>
      <c r="AC15" s="33">
        <v>108.430459956354</v>
      </c>
      <c r="AE15" s="15">
        <v>-5.5768111821084699E-3</v>
      </c>
      <c r="AF15" s="15">
        <v>-4.1373129022918096E-3</v>
      </c>
      <c r="AQ15" s="20">
        <f>STDEV(AQ22:AQ186)</f>
        <v>4.656665495143985E-4</v>
      </c>
      <c r="AR15" s="21" t="s">
        <v>42</v>
      </c>
      <c r="BB15" s="20">
        <f>STDEV(BB22:BB186)</f>
        <v>5.6914523294393786E-4</v>
      </c>
      <c r="BC15" s="21" t="s">
        <v>42</v>
      </c>
      <c r="BD15" s="22"/>
      <c r="BE15" s="20">
        <f>STDEV(BE22:BE176)</f>
        <v>7.1795193546004589E-4</v>
      </c>
      <c r="BF15" s="21" t="s">
        <v>42</v>
      </c>
    </row>
    <row r="16" spans="1:104" x14ac:dyDescent="0.3">
      <c r="A16" s="1">
        <v>46045</v>
      </c>
      <c r="B16" s="33">
        <v>42.56</v>
      </c>
      <c r="C16" s="33">
        <v>108.5</v>
      </c>
      <c r="D16" s="15">
        <v>-3.5182398199861001E-3</v>
      </c>
      <c r="E16" s="15">
        <v>-3.4961853626962998E-3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42.56</v>
      </c>
      <c r="M16" s="33">
        <v>108.5</v>
      </c>
      <c r="N16" s="34">
        <v>2.54934210526315</v>
      </c>
      <c r="O16" s="34">
        <v>2.5341745756035601</v>
      </c>
      <c r="P16" s="34">
        <v>2.54072935466702</v>
      </c>
      <c r="R16" s="33">
        <v>107.854469937687</v>
      </c>
      <c r="S16" s="33">
        <v>108.09422866494501</v>
      </c>
      <c r="U16" s="15">
        <v>-5.9673551285665902E-3</v>
      </c>
      <c r="V16" s="15">
        <v>-3.7468386140053502E-3</v>
      </c>
      <c r="X16" s="34">
        <v>2.54934210526315</v>
      </c>
      <c r="Y16" s="34">
        <v>2.5351085643703399</v>
      </c>
      <c r="Z16" s="34">
        <v>2.54072935466702</v>
      </c>
      <c r="AB16" s="33">
        <v>107.894220499601</v>
      </c>
      <c r="AC16" s="33">
        <v>108.09422866494501</v>
      </c>
      <c r="AE16" s="15">
        <v>-5.5988656393982303E-3</v>
      </c>
      <c r="AF16" s="15">
        <v>-3.7468386140053502E-3</v>
      </c>
      <c r="AQ16" s="23">
        <f>SQRT(252)*AQ14/AQ15</f>
        <v>2.1428774154402848</v>
      </c>
      <c r="AR16" s="21" t="s">
        <v>43</v>
      </c>
      <c r="BB16" s="23">
        <f>SQRT(252)*BB14/BB15</f>
        <v>2.5231119406709368</v>
      </c>
      <c r="BC16" s="21" t="s">
        <v>43</v>
      </c>
      <c r="BD16" s="22"/>
      <c r="BE16" s="23">
        <f>SQRT(252)*BE14/BE15</f>
        <v>3.5829662111140741</v>
      </c>
      <c r="BF16" s="21" t="s">
        <v>43</v>
      </c>
    </row>
    <row r="17" spans="1:60" x14ac:dyDescent="0.3">
      <c r="A17" s="1">
        <v>46048</v>
      </c>
      <c r="B17" s="33">
        <v>42.87</v>
      </c>
      <c r="C17" s="33">
        <v>109.26</v>
      </c>
      <c r="D17" s="15">
        <v>7.2574355764966998E-3</v>
      </c>
      <c r="E17" s="15">
        <v>6.9801899870573503E-3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42.87</v>
      </c>
      <c r="M17" s="33">
        <v>109.26</v>
      </c>
      <c r="N17" s="34">
        <v>2.5486354093771801</v>
      </c>
      <c r="O17" s="34">
        <v>2.5341745756035601</v>
      </c>
      <c r="P17" s="34">
        <v>2.54155855074471</v>
      </c>
      <c r="R17" s="33">
        <v>108.640064056124</v>
      </c>
      <c r="S17" s="33">
        <v>108.92106743457499</v>
      </c>
      <c r="U17" s="15">
        <v>-5.6901095391272598E-3</v>
      </c>
      <c r="V17" s="15">
        <v>-3.1068950394914099E-3</v>
      </c>
      <c r="X17" s="34">
        <v>2.5486354093771801</v>
      </c>
      <c r="Y17" s="34">
        <v>2.5351085643703399</v>
      </c>
      <c r="Z17" s="34">
        <v>2.54155855074471</v>
      </c>
      <c r="AB17" s="33">
        <v>108.68010415455601</v>
      </c>
      <c r="AC17" s="33">
        <v>108.92106743457499</v>
      </c>
      <c r="AE17" s="15">
        <v>-5.3216200499588704E-3</v>
      </c>
      <c r="AF17" s="15">
        <v>-3.1068950394914099E-3</v>
      </c>
    </row>
    <row r="18" spans="1:60" x14ac:dyDescent="0.3">
      <c r="A18" s="1">
        <v>46049</v>
      </c>
      <c r="B18" s="33">
        <v>43.43</v>
      </c>
      <c r="C18" s="33">
        <v>110.5</v>
      </c>
      <c r="D18" s="15">
        <v>1.2978165936844701E-2</v>
      </c>
      <c r="E18" s="15">
        <v>1.12851579902358E-2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43.43</v>
      </c>
      <c r="M18" s="33">
        <v>110.5</v>
      </c>
      <c r="N18" s="34">
        <v>2.54432419986184</v>
      </c>
      <c r="O18" s="34">
        <v>2.5341745756035601</v>
      </c>
      <c r="P18" s="34">
        <v>2.5421863676308498</v>
      </c>
      <c r="R18" s="33">
        <v>110.059201818462</v>
      </c>
      <c r="S18" s="33">
        <v>110.379887858842</v>
      </c>
      <c r="U18" s="15">
        <v>-3.9971015925182899E-3</v>
      </c>
      <c r="V18" s="15">
        <v>-1.08757890236821E-3</v>
      </c>
      <c r="X18" s="34">
        <v>2.54432419986184</v>
      </c>
      <c r="Y18" s="34">
        <v>2.5351085643703399</v>
      </c>
      <c r="Z18" s="34">
        <v>2.5421863676308498</v>
      </c>
      <c r="AB18" s="33">
        <v>110.099764950604</v>
      </c>
      <c r="AC18" s="33">
        <v>110.379887858842</v>
      </c>
      <c r="AE18" s="15">
        <v>-3.6286121033499599E-3</v>
      </c>
      <c r="AF18" s="15">
        <v>-1.08757890236821E-3</v>
      </c>
      <c r="BE18" s="24">
        <f>SUM(BE22:BE186)</f>
        <v>2.5297840736490537E-2</v>
      </c>
      <c r="BF18" s="20">
        <f>BF186</f>
        <v>2.5297840736490537E-2</v>
      </c>
    </row>
    <row r="19" spans="1:60" x14ac:dyDescent="0.3">
      <c r="A19" s="1">
        <v>46050</v>
      </c>
      <c r="B19" s="33">
        <v>43.33</v>
      </c>
      <c r="C19" s="33">
        <v>110.31</v>
      </c>
      <c r="D19" s="15">
        <v>-2.3052107949124399E-3</v>
      </c>
      <c r="E19" s="15">
        <v>-1.72093697651719E-3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43.33</v>
      </c>
      <c r="M19" s="33">
        <v>110.31</v>
      </c>
      <c r="N19" s="34">
        <v>2.5458112162474</v>
      </c>
      <c r="O19" s="34">
        <v>2.5341745756035601</v>
      </c>
      <c r="P19" s="34">
        <v>2.5430452022077499</v>
      </c>
      <c r="R19" s="33">
        <v>109.805784360902</v>
      </c>
      <c r="S19" s="33">
        <v>110.152935309444</v>
      </c>
      <c r="U19" s="15">
        <v>-4.5813754109136403E-3</v>
      </c>
      <c r="V19" s="15">
        <v>-1.42486279526209E-3</v>
      </c>
      <c r="X19" s="34">
        <v>2.5458112162474</v>
      </c>
      <c r="Y19" s="34">
        <v>2.5351085643703399</v>
      </c>
      <c r="Z19" s="34">
        <v>2.5430452022077499</v>
      </c>
      <c r="AB19" s="33">
        <v>109.84625409416699</v>
      </c>
      <c r="AC19" s="33">
        <v>110.152935309444</v>
      </c>
      <c r="AE19" s="15">
        <v>-4.2128859217453896E-3</v>
      </c>
      <c r="AF19" s="15">
        <v>-1.42486279526209E-3</v>
      </c>
      <c r="AI19" s="12"/>
      <c r="AJ19"/>
      <c r="AK19"/>
      <c r="AL19"/>
      <c r="AM19"/>
      <c r="AN19"/>
      <c r="AO19"/>
      <c r="AP19"/>
      <c r="AQ19" s="24">
        <f>SUM(AQ22:AQ186)</f>
        <v>1.0371845614306621E-2</v>
      </c>
      <c r="AR19" s="24">
        <f>AR186</f>
        <v>1.0371845614306621E-2</v>
      </c>
      <c r="AU19"/>
      <c r="AV19"/>
      <c r="AW19"/>
      <c r="AX19"/>
      <c r="AY19"/>
      <c r="AZ19"/>
      <c r="BA19"/>
      <c r="BB19" s="24">
        <f>SUM(BB22:BB186)</f>
        <v>1.4925995122183911E-2</v>
      </c>
      <c r="BC19" s="24">
        <f>BC186</f>
        <v>1.4925995122183911E-2</v>
      </c>
      <c r="BE19" s="7" t="s">
        <v>44</v>
      </c>
      <c r="BF19" s="7" t="s">
        <v>44</v>
      </c>
      <c r="BH19" s="7"/>
    </row>
    <row r="20" spans="1:60" x14ac:dyDescent="0.3">
      <c r="A20" s="1">
        <v>46051</v>
      </c>
      <c r="B20" s="33">
        <v>43.33</v>
      </c>
      <c r="C20" s="33">
        <v>110</v>
      </c>
      <c r="D20" s="15">
        <v>0</v>
      </c>
      <c r="E20" s="15">
        <v>-2.8142181888741401E-3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43.33</v>
      </c>
      <c r="M20" s="33">
        <v>110</v>
      </c>
      <c r="N20" s="34">
        <v>2.5386568197553601</v>
      </c>
      <c r="O20" s="34">
        <v>2.5341745756035601</v>
      </c>
      <c r="P20" s="34">
        <v>2.5433320099650798</v>
      </c>
      <c r="R20" s="33">
        <v>109.805784360902</v>
      </c>
      <c r="S20" s="33">
        <v>110.190148611661</v>
      </c>
      <c r="U20" s="15">
        <v>-1.76715722203949E-3</v>
      </c>
      <c r="V20" s="15">
        <v>1.7271313919199999E-3</v>
      </c>
      <c r="X20" s="34">
        <v>2.5386568197553601</v>
      </c>
      <c r="Y20" s="34">
        <v>2.5351085643703399</v>
      </c>
      <c r="Z20" s="34">
        <v>2.5433320099650798</v>
      </c>
      <c r="AB20" s="33">
        <v>109.84625409416699</v>
      </c>
      <c r="AC20" s="33">
        <v>110.190148611661</v>
      </c>
      <c r="AE20" s="15">
        <v>-1.39866773287131E-3</v>
      </c>
      <c r="AF20" s="15">
        <v>1.7271313919199999E-3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XLU log rtn</v>
      </c>
      <c r="AP20" s="7" t="str">
        <f>E1</f>
        <v>IDU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XLU log rtn</v>
      </c>
      <c r="BA20" s="24" t="str">
        <f>E1</f>
        <v>IDU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60" x14ac:dyDescent="0.3">
      <c r="A21" s="1">
        <v>46052</v>
      </c>
      <c r="B21" s="33">
        <v>43.25</v>
      </c>
      <c r="C21" s="33">
        <v>109.81</v>
      </c>
      <c r="D21" s="15">
        <v>-1.8480023739296499E-3</v>
      </c>
      <c r="E21" s="15">
        <v>-1.7287661827942999E-3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43.25</v>
      </c>
      <c r="M21" s="33">
        <v>109.81</v>
      </c>
      <c r="N21" s="34">
        <v>2.53895953757225</v>
      </c>
      <c r="O21" s="34">
        <v>2.5341745756035601</v>
      </c>
      <c r="P21" s="34">
        <v>2.5433412404936799</v>
      </c>
      <c r="Q21" s="34">
        <v>2.54073965082029</v>
      </c>
      <c r="R21" s="33">
        <v>109.60305039485399</v>
      </c>
      <c r="S21" s="33">
        <v>109.99910943098899</v>
      </c>
      <c r="U21" s="15">
        <v>-1.88639341317488E-3</v>
      </c>
      <c r="V21" s="15">
        <v>1.72067006810973E-3</v>
      </c>
      <c r="X21" s="34">
        <v>2.53895953757225</v>
      </c>
      <c r="Y21" s="34">
        <v>2.5351085643703399</v>
      </c>
      <c r="Z21" s="34">
        <v>2.5433412404936799</v>
      </c>
      <c r="AA21" s="34">
        <v>2.54073965082029</v>
      </c>
      <c r="AB21" s="33">
        <v>109.643445409017</v>
      </c>
      <c r="AC21" s="33">
        <v>109.99910943098899</v>
      </c>
      <c r="AE21" s="15">
        <v>-1.51790392400663E-3</v>
      </c>
      <c r="AF21" s="15">
        <v>1.72067006810973E-3</v>
      </c>
      <c r="AI21" s="26">
        <v>-2.5000000000000001E-3</v>
      </c>
      <c r="AJ21"/>
      <c r="AK21"/>
      <c r="AL21"/>
      <c r="AM21">
        <f>IF(F22+H22&gt;0,0,1)</f>
        <v>1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>IF(F22+H22&gt;0,0,1)</f>
        <v>1</v>
      </c>
      <c r="AY21" s="27">
        <v>0</v>
      </c>
      <c r="AZ21"/>
      <c r="BA21"/>
      <c r="BB21"/>
      <c r="BC21"/>
    </row>
    <row r="22" spans="1:60" x14ac:dyDescent="0.3">
      <c r="A22" s="1">
        <v>46055</v>
      </c>
      <c r="B22" s="33">
        <v>42.62</v>
      </c>
      <c r="C22" s="33">
        <v>108.38</v>
      </c>
      <c r="D22" s="15">
        <v>-1.46736067074172E-2</v>
      </c>
      <c r="E22" s="15">
        <v>-1.31080294716538E-2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42.62</v>
      </c>
      <c r="M22" s="33">
        <v>108.38</v>
      </c>
      <c r="N22" s="34">
        <v>2.5429375879868599</v>
      </c>
      <c r="O22" s="34">
        <v>2.5341745756035601</v>
      </c>
      <c r="P22" s="34">
        <v>2.5439129435191501</v>
      </c>
      <c r="Q22" s="34">
        <v>2.54106855893663</v>
      </c>
      <c r="R22" s="33">
        <v>108.006520412223</v>
      </c>
      <c r="S22" s="33">
        <v>108.39720366984101</v>
      </c>
      <c r="T22" s="33">
        <v>108.28632391796</v>
      </c>
      <c r="U22" s="15">
        <v>-3.4519706489384398E-3</v>
      </c>
      <c r="V22" s="15">
        <v>1.58722131164464E-4</v>
      </c>
      <c r="W22" s="15">
        <v>-8.6470371751363995E-4</v>
      </c>
      <c r="X22" s="34">
        <v>2.5429375879868599</v>
      </c>
      <c r="Y22" s="34">
        <v>2.5351085643703399</v>
      </c>
      <c r="Z22" s="34">
        <v>2.5439129435191501</v>
      </c>
      <c r="AA22" s="34">
        <v>2.54106855893663</v>
      </c>
      <c r="AB22" s="33">
        <v>108.04632701346399</v>
      </c>
      <c r="AC22" s="33">
        <v>108.39720366984101</v>
      </c>
      <c r="AD22" s="33">
        <v>108.28632391796</v>
      </c>
      <c r="AE22" s="15">
        <v>-3.0834811597700998E-3</v>
      </c>
      <c r="AF22" s="15">
        <v>1.58722131164464E-4</v>
      </c>
      <c r="AG22" s="15">
        <v>-8.6470371751363995E-4</v>
      </c>
      <c r="AI22" s="26">
        <v>-1E-3</v>
      </c>
      <c r="AJ22">
        <f t="shared" ref="AJ22:AJ85" si="4">IF($AG22&lt;AI$21,1,0)</f>
        <v>0</v>
      </c>
      <c r="AK22">
        <f t="shared" ref="AK22:AK85" si="5">IF($AG22&gt;AI$22,1,0)</f>
        <v>1</v>
      </c>
      <c r="AL22">
        <f>AN21</f>
        <v>0</v>
      </c>
      <c r="AM22">
        <f t="shared" ref="AM22:AM85" si="6">IF(F23+H23&gt;0,0,1)</f>
        <v>1</v>
      </c>
      <c r="AN22">
        <f>IF(AJ21,1,IF(AK21,0,AL21))*AM21</f>
        <v>0</v>
      </c>
      <c r="AO22" s="28">
        <f t="shared" ref="AO22:AO85" si="7">AN22*D22</f>
        <v>0</v>
      </c>
      <c r="AP22" s="28">
        <f t="shared" ref="AP22:AP85" si="8">-AN22*$E22</f>
        <v>0</v>
      </c>
      <c r="AQ22" s="28">
        <f>AO22+AP22</f>
        <v>0</v>
      </c>
      <c r="AR22" s="29">
        <f>AR21+AQ22</f>
        <v>0</v>
      </c>
      <c r="AT22" s="26">
        <v>2.0000000000000001E-4</v>
      </c>
      <c r="AU22">
        <f t="shared" ref="AU22:AU85" si="9">IF($AG22&gt;AT$21,1,0)</f>
        <v>0</v>
      </c>
      <c r="AV22">
        <f t="shared" ref="AV22:AV85" si="10">IF($AG22&lt;AT$22,1,0)</f>
        <v>1</v>
      </c>
      <c r="AW22">
        <f>AY21</f>
        <v>0</v>
      </c>
      <c r="AX22">
        <f t="shared" ref="AX22:AX85" si="11">IF(F23+H23&gt;0,0,1)</f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60" x14ac:dyDescent="0.3">
      <c r="A23" s="1">
        <v>46056</v>
      </c>
      <c r="B23" s="33">
        <v>43.24</v>
      </c>
      <c r="C23" s="33">
        <v>109.89</v>
      </c>
      <c r="D23" s="15">
        <v>1.4442366100536499E-2</v>
      </c>
      <c r="E23" s="15">
        <v>1.3836295320864399E-2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43.24</v>
      </c>
      <c r="M23" s="33">
        <v>109.89</v>
      </c>
      <c r="N23" s="34">
        <v>2.5413968547641002</v>
      </c>
      <c r="O23" s="34">
        <v>2.5341745756035601</v>
      </c>
      <c r="P23" s="34">
        <v>2.5443515116771298</v>
      </c>
      <c r="Q23" s="34">
        <v>2.5411946077638299</v>
      </c>
      <c r="R23" s="33">
        <v>109.577708649098</v>
      </c>
      <c r="S23" s="33">
        <v>109.998795677768</v>
      </c>
      <c r="T23" s="33">
        <v>109.87580448842</v>
      </c>
      <c r="U23" s="15">
        <v>-2.8458998692664299E-3</v>
      </c>
      <c r="V23" s="15">
        <v>9.8955188972489399E-4</v>
      </c>
      <c r="W23" s="15">
        <v>-1.29187628918202E-4</v>
      </c>
      <c r="X23" s="34">
        <v>2.5413968547641002</v>
      </c>
      <c r="Y23" s="34">
        <v>2.5351085643703399</v>
      </c>
      <c r="Z23" s="34">
        <v>2.5443515116771298</v>
      </c>
      <c r="AA23" s="34">
        <v>2.5411946077638299</v>
      </c>
      <c r="AB23" s="33">
        <v>109.618094323373</v>
      </c>
      <c r="AC23" s="33">
        <v>109.998795677768</v>
      </c>
      <c r="AD23" s="33">
        <v>109.87580448842</v>
      </c>
      <c r="AE23" s="15">
        <v>-2.47741038009805E-3</v>
      </c>
      <c r="AF23" s="15">
        <v>9.8955188972489399E-4</v>
      </c>
      <c r="AG23" s="15">
        <v>-1.29187628918202E-4</v>
      </c>
      <c r="AI23" s="12"/>
      <c r="AJ23">
        <f t="shared" si="4"/>
        <v>0</v>
      </c>
      <c r="AK23">
        <f t="shared" si="5"/>
        <v>1</v>
      </c>
      <c r="AL23">
        <f t="shared" ref="AL23:AL86" si="14">AN23</f>
        <v>0</v>
      </c>
      <c r="AM23">
        <f t="shared" si="6"/>
        <v>1</v>
      </c>
      <c r="AN23">
        <f t="shared" ref="AN23:AN86" si="15">IF(AJ22,1,IF(AK22,0,AL22))*AM22</f>
        <v>0</v>
      </c>
      <c r="AO23" s="28">
        <f t="shared" si="7"/>
        <v>0</v>
      </c>
      <c r="AP23" s="28">
        <f t="shared" si="8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9"/>
        <v>0</v>
      </c>
      <c r="AV23">
        <f t="shared" si="10"/>
        <v>1</v>
      </c>
      <c r="AW23">
        <f t="shared" ref="AW23:AW86" si="18">AY23</f>
        <v>0</v>
      </c>
      <c r="AX23">
        <f t="shared" si="11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60" x14ac:dyDescent="0.3">
      <c r="A24" s="1">
        <v>46057</v>
      </c>
      <c r="B24" s="33">
        <v>43.08</v>
      </c>
      <c r="C24" s="33">
        <v>109.42</v>
      </c>
      <c r="D24" s="15">
        <v>-3.7071404828197901E-3</v>
      </c>
      <c r="E24" s="15">
        <v>-4.2861768231528298E-3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43.08</v>
      </c>
      <c r="M24" s="33">
        <v>109.42</v>
      </c>
      <c r="N24" s="34">
        <v>2.5399257195914502</v>
      </c>
      <c r="O24" s="34">
        <v>2.5341745756035601</v>
      </c>
      <c r="P24" s="34">
        <v>2.5439275331946201</v>
      </c>
      <c r="Q24" s="34">
        <v>2.5413440049062999</v>
      </c>
      <c r="R24" s="33">
        <v>109.172240717001</v>
      </c>
      <c r="S24" s="33">
        <v>109.61066312305</v>
      </c>
      <c r="T24" s="33">
        <v>109.474663702466</v>
      </c>
      <c r="U24" s="15">
        <v>-2.2668635289333598E-3</v>
      </c>
      <c r="V24" s="15">
        <v>1.74097241445832E-3</v>
      </c>
      <c r="W24" s="15">
        <v>4.9945213535797998E-4</v>
      </c>
      <c r="X24" s="34">
        <v>2.5399257195914502</v>
      </c>
      <c r="Y24" s="34">
        <v>2.5351085643703399</v>
      </c>
      <c r="Z24" s="34">
        <v>2.5439275331946201</v>
      </c>
      <c r="AA24" s="34">
        <v>2.5413440049062999</v>
      </c>
      <c r="AB24" s="33">
        <v>109.212476953074</v>
      </c>
      <c r="AC24" s="33">
        <v>109.61066312305</v>
      </c>
      <c r="AD24" s="33">
        <v>109.474663702466</v>
      </c>
      <c r="AE24" s="15">
        <v>-1.89837403976511E-3</v>
      </c>
      <c r="AF24" s="15">
        <v>1.74097241445832E-3</v>
      </c>
      <c r="AG24" s="15">
        <v>4.9945213535797998E-4</v>
      </c>
      <c r="AI24" s="12"/>
      <c r="AJ24">
        <f t="shared" si="4"/>
        <v>0</v>
      </c>
      <c r="AK24">
        <f t="shared" si="5"/>
        <v>1</v>
      </c>
      <c r="AL24">
        <f t="shared" si="14"/>
        <v>0</v>
      </c>
      <c r="AM24">
        <f t="shared" si="6"/>
        <v>1</v>
      </c>
      <c r="AN24">
        <f t="shared" si="15"/>
        <v>0</v>
      </c>
      <c r="AO24" s="28">
        <f t="shared" si="7"/>
        <v>0</v>
      </c>
      <c r="AP24" s="28">
        <f t="shared" si="8"/>
        <v>0</v>
      </c>
      <c r="AQ24" s="28">
        <f t="shared" si="16"/>
        <v>0</v>
      </c>
      <c r="AR24" s="29">
        <f t="shared" si="17"/>
        <v>0</v>
      </c>
      <c r="AT24" s="12"/>
      <c r="AU24">
        <f t="shared" si="9"/>
        <v>0</v>
      </c>
      <c r="AV24">
        <f t="shared" si="10"/>
        <v>0</v>
      </c>
      <c r="AW24">
        <f t="shared" si="18"/>
        <v>0</v>
      </c>
      <c r="AX24">
        <f t="shared" si="11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60" x14ac:dyDescent="0.3">
      <c r="A25" s="1">
        <v>46058</v>
      </c>
      <c r="B25" s="33">
        <v>43.1</v>
      </c>
      <c r="C25" s="33">
        <v>109.61</v>
      </c>
      <c r="D25" s="15">
        <v>4.6414482151435502E-4</v>
      </c>
      <c r="E25" s="15">
        <v>1.73492259195219E-3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43.1</v>
      </c>
      <c r="M25" s="33">
        <v>109.61</v>
      </c>
      <c r="N25" s="34">
        <v>2.5431554524361899</v>
      </c>
      <c r="O25" s="34">
        <v>2.5341745756035601</v>
      </c>
      <c r="P25" s="34">
        <v>2.5433144902855802</v>
      </c>
      <c r="Q25" s="34">
        <v>2.54156124731555</v>
      </c>
      <c r="R25" s="33">
        <v>109.22292420851301</v>
      </c>
      <c r="S25" s="33">
        <v>109.643276680688</v>
      </c>
      <c r="T25" s="33">
        <v>109.531926611461</v>
      </c>
      <c r="U25" s="15">
        <v>-3.53764129937116E-3</v>
      </c>
      <c r="V25" s="15">
        <v>3.0354557475699098E-4</v>
      </c>
      <c r="W25" s="15">
        <v>-7.1253724057848905E-4</v>
      </c>
      <c r="X25" s="34">
        <v>2.5431554524361899</v>
      </c>
      <c r="Y25" s="34">
        <v>2.5351085643703399</v>
      </c>
      <c r="Z25" s="34">
        <v>2.5433144902855802</v>
      </c>
      <c r="AA25" s="34">
        <v>2.54156124731555</v>
      </c>
      <c r="AB25" s="33">
        <v>109.263179124361</v>
      </c>
      <c r="AC25" s="33">
        <v>109.643276680688</v>
      </c>
      <c r="AD25" s="33">
        <v>109.531926611461</v>
      </c>
      <c r="AE25" s="15">
        <v>-3.1691518102029302E-3</v>
      </c>
      <c r="AF25" s="15">
        <v>3.0354557475699098E-4</v>
      </c>
      <c r="AG25" s="15">
        <v>-7.1253724057848905E-4</v>
      </c>
      <c r="AI25" s="12"/>
      <c r="AJ25">
        <f t="shared" si="4"/>
        <v>0</v>
      </c>
      <c r="AK25">
        <f t="shared" si="5"/>
        <v>1</v>
      </c>
      <c r="AL25">
        <f t="shared" si="14"/>
        <v>0</v>
      </c>
      <c r="AM25">
        <f t="shared" si="6"/>
        <v>1</v>
      </c>
      <c r="AN25">
        <f t="shared" si="15"/>
        <v>0</v>
      </c>
      <c r="AO25" s="28">
        <f t="shared" si="7"/>
        <v>0</v>
      </c>
      <c r="AP25" s="28">
        <f t="shared" si="8"/>
        <v>0</v>
      </c>
      <c r="AQ25" s="28">
        <f t="shared" si="16"/>
        <v>0</v>
      </c>
      <c r="AR25" s="29">
        <f t="shared" si="17"/>
        <v>0</v>
      </c>
      <c r="AT25" s="12"/>
      <c r="AU25">
        <f t="shared" si="9"/>
        <v>0</v>
      </c>
      <c r="AV25">
        <f t="shared" si="10"/>
        <v>1</v>
      </c>
      <c r="AW25">
        <f t="shared" si="18"/>
        <v>0</v>
      </c>
      <c r="AX25">
        <f t="shared" si="11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</row>
    <row r="26" spans="1:60" x14ac:dyDescent="0.3">
      <c r="A26" s="1">
        <v>46059</v>
      </c>
      <c r="B26" s="33">
        <v>43.35</v>
      </c>
      <c r="C26" s="33">
        <v>110.24</v>
      </c>
      <c r="D26" s="15">
        <v>5.7837061168487603E-3</v>
      </c>
      <c r="E26" s="15">
        <v>5.7311960377163396E-3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43.35</v>
      </c>
      <c r="M26" s="33">
        <v>110.24</v>
      </c>
      <c r="N26" s="34">
        <v>2.54302191464821</v>
      </c>
      <c r="O26" s="34">
        <v>2.5341745756035601</v>
      </c>
      <c r="P26" s="34">
        <v>2.5426824712240799</v>
      </c>
      <c r="Q26" s="34">
        <v>2.5417059129455501</v>
      </c>
      <c r="R26" s="33">
        <v>109.856467852414</v>
      </c>
      <c r="S26" s="33">
        <v>110.25268315388</v>
      </c>
      <c r="T26" s="33">
        <v>110.176680071129</v>
      </c>
      <c r="U26" s="15">
        <v>-3.4851312202387901E-3</v>
      </c>
      <c r="V26" s="15">
        <v>1.1504376211163001E-4</v>
      </c>
      <c r="W26" s="15">
        <v>-5.7454753961585505E-4</v>
      </c>
      <c r="X26" s="34">
        <v>2.54302191464821</v>
      </c>
      <c r="Y26" s="34">
        <v>2.5351085643703399</v>
      </c>
      <c r="Z26" s="34">
        <v>2.5426824712240799</v>
      </c>
      <c r="AA26" s="34">
        <v>2.5417059129455501</v>
      </c>
      <c r="AB26" s="33">
        <v>109.89695626545399</v>
      </c>
      <c r="AC26" s="33">
        <v>110.25268315388</v>
      </c>
      <c r="AD26" s="33">
        <v>110.176680071129</v>
      </c>
      <c r="AE26" s="15">
        <v>-3.1166417310706102E-3</v>
      </c>
      <c r="AF26" s="15">
        <v>1.1504376211163001E-4</v>
      </c>
      <c r="AG26" s="15">
        <v>-5.7454753961585505E-4</v>
      </c>
      <c r="AI26" s="12"/>
      <c r="AJ26">
        <f t="shared" si="4"/>
        <v>0</v>
      </c>
      <c r="AK26">
        <f t="shared" si="5"/>
        <v>1</v>
      </c>
      <c r="AL26">
        <f t="shared" si="14"/>
        <v>0</v>
      </c>
      <c r="AM26">
        <f t="shared" si="6"/>
        <v>1</v>
      </c>
      <c r="AN26">
        <f t="shared" si="15"/>
        <v>0</v>
      </c>
      <c r="AO26" s="28">
        <f t="shared" si="7"/>
        <v>0</v>
      </c>
      <c r="AP26" s="28">
        <f t="shared" si="8"/>
        <v>0</v>
      </c>
      <c r="AQ26" s="28">
        <f t="shared" si="16"/>
        <v>0</v>
      </c>
      <c r="AR26" s="29">
        <f t="shared" si="17"/>
        <v>0</v>
      </c>
      <c r="AT26" s="12"/>
      <c r="AU26">
        <f t="shared" si="9"/>
        <v>0</v>
      </c>
      <c r="AV26">
        <f t="shared" si="10"/>
        <v>1</v>
      </c>
      <c r="AW26">
        <f t="shared" si="18"/>
        <v>0</v>
      </c>
      <c r="AX26">
        <f t="shared" si="11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</row>
    <row r="27" spans="1:60" x14ac:dyDescent="0.3">
      <c r="A27" s="1">
        <v>46062</v>
      </c>
      <c r="B27" s="33">
        <v>43.48</v>
      </c>
      <c r="C27" s="33">
        <v>110.72</v>
      </c>
      <c r="D27" s="15">
        <v>2.9943590264577299E-3</v>
      </c>
      <c r="E27" s="15">
        <v>4.3446846040111099E-3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43.48</v>
      </c>
      <c r="M27" s="33">
        <v>110.72</v>
      </c>
      <c r="N27" s="34">
        <v>2.5464581416743299</v>
      </c>
      <c r="O27" s="34">
        <v>2.5341745756035601</v>
      </c>
      <c r="P27" s="34">
        <v>2.5424647444538002</v>
      </c>
      <c r="Q27" s="34">
        <v>2.5420116475992498</v>
      </c>
      <c r="R27" s="33">
        <v>110.185910547242</v>
      </c>
      <c r="S27" s="33">
        <v>110.555833848823</v>
      </c>
      <c r="T27" s="33">
        <v>110.51337309487199</v>
      </c>
      <c r="U27" s="15">
        <v>-4.83545679779204E-3</v>
      </c>
      <c r="V27" s="15">
        <v>-1.4838148246159499E-3</v>
      </c>
      <c r="W27" s="15">
        <v>-1.86795475129009E-3</v>
      </c>
      <c r="X27" s="34">
        <v>2.5464581416743299</v>
      </c>
      <c r="Y27" s="34">
        <v>2.5351085643703399</v>
      </c>
      <c r="Z27" s="34">
        <v>2.5424647444538002</v>
      </c>
      <c r="AA27" s="34">
        <v>2.5420116475992498</v>
      </c>
      <c r="AB27" s="33">
        <v>110.226520378822</v>
      </c>
      <c r="AC27" s="33">
        <v>110.555833848823</v>
      </c>
      <c r="AD27" s="33">
        <v>110.51337309487199</v>
      </c>
      <c r="AE27" s="15">
        <v>-4.4669673086238804E-3</v>
      </c>
      <c r="AF27" s="15">
        <v>-1.4838148246159499E-3</v>
      </c>
      <c r="AG27" s="15">
        <v>-1.86795475129009E-3</v>
      </c>
      <c r="AI27" s="12"/>
      <c r="AJ27">
        <f t="shared" si="4"/>
        <v>0</v>
      </c>
      <c r="AK27">
        <f t="shared" si="5"/>
        <v>0</v>
      </c>
      <c r="AL27">
        <f t="shared" si="14"/>
        <v>0</v>
      </c>
      <c r="AM27">
        <f t="shared" si="6"/>
        <v>1</v>
      </c>
      <c r="AN27">
        <f t="shared" si="15"/>
        <v>0</v>
      </c>
      <c r="AO27" s="28">
        <f t="shared" si="7"/>
        <v>0</v>
      </c>
      <c r="AP27" s="28">
        <f t="shared" si="8"/>
        <v>0</v>
      </c>
      <c r="AQ27" s="28">
        <f t="shared" si="16"/>
        <v>0</v>
      </c>
      <c r="AR27" s="29">
        <f t="shared" si="17"/>
        <v>0</v>
      </c>
      <c r="AT27" s="12"/>
      <c r="AU27">
        <f t="shared" si="9"/>
        <v>0</v>
      </c>
      <c r="AV27">
        <f t="shared" si="10"/>
        <v>1</v>
      </c>
      <c r="AW27">
        <f t="shared" si="18"/>
        <v>0</v>
      </c>
      <c r="AX27">
        <f t="shared" si="11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</row>
    <row r="28" spans="1:60" x14ac:dyDescent="0.3">
      <c r="A28" s="1">
        <v>46063</v>
      </c>
      <c r="B28" s="33">
        <v>44.2</v>
      </c>
      <c r="C28" s="33">
        <v>112.4</v>
      </c>
      <c r="D28" s="15">
        <v>1.6423726830643699E-2</v>
      </c>
      <c r="E28" s="15">
        <v>1.5059445590231301E-2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44.2</v>
      </c>
      <c r="M28" s="33">
        <v>112.4</v>
      </c>
      <c r="N28" s="34">
        <v>2.5429864253393601</v>
      </c>
      <c r="O28" s="34">
        <v>2.5341745756035601</v>
      </c>
      <c r="P28" s="34">
        <v>2.5423309670015501</v>
      </c>
      <c r="Q28" s="34">
        <v>2.5422586673162</v>
      </c>
      <c r="R28" s="33">
        <v>112.010516241677</v>
      </c>
      <c r="S28" s="33">
        <v>112.376941704858</v>
      </c>
      <c r="T28" s="33">
        <v>112.356914823887</v>
      </c>
      <c r="U28" s="15">
        <v>-3.47117555737957E-3</v>
      </c>
      <c r="V28" s="15">
        <v>-2.0516601968034601E-4</v>
      </c>
      <c r="W28" s="15">
        <v>-3.83393558096003E-4</v>
      </c>
      <c r="X28" s="34">
        <v>2.5429864253393601</v>
      </c>
      <c r="Y28" s="34">
        <v>2.5351085643703399</v>
      </c>
      <c r="Z28" s="34">
        <v>2.5423309670015501</v>
      </c>
      <c r="AA28" s="34">
        <v>2.5422586673162</v>
      </c>
      <c r="AB28" s="33">
        <v>112.05179854516901</v>
      </c>
      <c r="AC28" s="33">
        <v>112.376941704858</v>
      </c>
      <c r="AD28" s="33">
        <v>112.356914823887</v>
      </c>
      <c r="AE28" s="15">
        <v>-3.10268606821123E-3</v>
      </c>
      <c r="AF28" s="15">
        <v>-2.0516601968034601E-4</v>
      </c>
      <c r="AG28" s="15">
        <v>-3.83393558096003E-4</v>
      </c>
      <c r="AI28" s="12"/>
      <c r="AJ28">
        <f t="shared" si="4"/>
        <v>0</v>
      </c>
      <c r="AK28">
        <f t="shared" si="5"/>
        <v>1</v>
      </c>
      <c r="AL28">
        <f t="shared" si="14"/>
        <v>0</v>
      </c>
      <c r="AM28">
        <f t="shared" si="6"/>
        <v>1</v>
      </c>
      <c r="AN28">
        <f t="shared" si="15"/>
        <v>0</v>
      </c>
      <c r="AO28" s="28">
        <f t="shared" si="7"/>
        <v>0</v>
      </c>
      <c r="AP28" s="28">
        <f t="shared" si="8"/>
        <v>0</v>
      </c>
      <c r="AQ28" s="28">
        <f t="shared" si="16"/>
        <v>0</v>
      </c>
      <c r="AR28" s="29">
        <f t="shared" si="17"/>
        <v>0</v>
      </c>
      <c r="AT28" s="12"/>
      <c r="AU28">
        <f t="shared" si="9"/>
        <v>0</v>
      </c>
      <c r="AV28">
        <f t="shared" si="10"/>
        <v>1</v>
      </c>
      <c r="AW28">
        <f t="shared" si="18"/>
        <v>0</v>
      </c>
      <c r="AX28">
        <f t="shared" si="11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</row>
    <row r="29" spans="1:60" x14ac:dyDescent="0.3">
      <c r="A29" s="1">
        <v>46064</v>
      </c>
      <c r="B29" s="33">
        <v>44.59</v>
      </c>
      <c r="C29" s="33">
        <v>113.36</v>
      </c>
      <c r="D29" s="15">
        <v>8.7848295557328097E-3</v>
      </c>
      <c r="E29" s="15">
        <v>8.5046579228341308E-3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44.59</v>
      </c>
      <c r="M29" s="33">
        <v>113.36</v>
      </c>
      <c r="N29" s="34">
        <v>2.5422740524781302</v>
      </c>
      <c r="O29" s="34">
        <v>2.5341745756035601</v>
      </c>
      <c r="P29" s="34">
        <v>2.5419772506246199</v>
      </c>
      <c r="Q29" s="34">
        <v>2.54251122641619</v>
      </c>
      <c r="R29" s="33">
        <v>112.998844326162</v>
      </c>
      <c r="S29" s="33">
        <v>113.36253781859899</v>
      </c>
      <c r="T29" s="33">
        <v>113.35931397562899</v>
      </c>
      <c r="U29" s="15">
        <v>-3.19100392448082E-3</v>
      </c>
      <c r="V29" s="15">
        <v>2.23869988743985E-5</v>
      </c>
      <c r="W29" s="15">
        <v>-6.0517505846659997E-6</v>
      </c>
      <c r="X29" s="34">
        <v>2.5422740524781302</v>
      </c>
      <c r="Y29" s="34">
        <v>2.5351085643703399</v>
      </c>
      <c r="Z29" s="34">
        <v>2.5419772506246199</v>
      </c>
      <c r="AA29" s="34">
        <v>2.54251122641619</v>
      </c>
      <c r="AB29" s="33">
        <v>113.040490885273</v>
      </c>
      <c r="AC29" s="33">
        <v>113.36253781859899</v>
      </c>
      <c r="AD29" s="33">
        <v>113.35931397562899</v>
      </c>
      <c r="AE29" s="15">
        <v>-2.8225144353126999E-3</v>
      </c>
      <c r="AF29" s="15">
        <v>2.23869988743985E-5</v>
      </c>
      <c r="AG29" s="15">
        <v>-6.0517505846659997E-6</v>
      </c>
      <c r="AI29" s="12"/>
      <c r="AJ29">
        <f t="shared" si="4"/>
        <v>0</v>
      </c>
      <c r="AK29">
        <f t="shared" si="5"/>
        <v>1</v>
      </c>
      <c r="AL29">
        <f t="shared" si="14"/>
        <v>0</v>
      </c>
      <c r="AM29">
        <f t="shared" si="6"/>
        <v>1</v>
      </c>
      <c r="AN29">
        <f t="shared" si="15"/>
        <v>0</v>
      </c>
      <c r="AO29" s="28">
        <f t="shared" si="7"/>
        <v>0</v>
      </c>
      <c r="AP29" s="28">
        <f t="shared" si="8"/>
        <v>0</v>
      </c>
      <c r="AQ29" s="28">
        <f t="shared" si="16"/>
        <v>0</v>
      </c>
      <c r="AR29" s="29">
        <f t="shared" si="17"/>
        <v>0</v>
      </c>
      <c r="AT29" s="12"/>
      <c r="AU29">
        <f t="shared" si="9"/>
        <v>0</v>
      </c>
      <c r="AV29">
        <f t="shared" si="10"/>
        <v>1</v>
      </c>
      <c r="AW29">
        <f t="shared" si="18"/>
        <v>0</v>
      </c>
      <c r="AX29">
        <f t="shared" si="11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</row>
    <row r="30" spans="1:60" x14ac:dyDescent="0.3">
      <c r="A30" s="1">
        <v>46065</v>
      </c>
      <c r="B30" s="33">
        <v>45.25</v>
      </c>
      <c r="C30" s="33">
        <v>114.77</v>
      </c>
      <c r="D30" s="15">
        <v>1.4693051506549801E-2</v>
      </c>
      <c r="E30" s="15">
        <v>1.23615303101519E-2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45.25</v>
      </c>
      <c r="M30" s="33">
        <v>114.77</v>
      </c>
      <c r="N30" s="34">
        <v>2.53635359116022</v>
      </c>
      <c r="O30" s="34">
        <v>2.5341745756035601</v>
      </c>
      <c r="P30" s="34">
        <v>2.5417469277651099</v>
      </c>
      <c r="Q30" s="34">
        <v>2.54253946886509</v>
      </c>
      <c r="R30" s="33">
        <v>114.671399546061</v>
      </c>
      <c r="S30" s="33">
        <v>115.024470590764</v>
      </c>
      <c r="T30" s="33">
        <v>115.048632995332</v>
      </c>
      <c r="U30" s="15">
        <v>-8.5948272808308E-4</v>
      </c>
      <c r="V30" s="15">
        <v>2.2147677803496298E-3</v>
      </c>
      <c r="W30" s="15">
        <v>2.42480888711416E-3</v>
      </c>
      <c r="X30" s="34">
        <v>2.53635359116022</v>
      </c>
      <c r="Y30" s="34">
        <v>2.5351085643703399</v>
      </c>
      <c r="Z30" s="34">
        <v>2.5417469277651099</v>
      </c>
      <c r="AA30" s="34">
        <v>2.54253946886509</v>
      </c>
      <c r="AB30" s="33">
        <v>114.713662537758</v>
      </c>
      <c r="AC30" s="33">
        <v>115.024470590764</v>
      </c>
      <c r="AD30" s="33">
        <v>115.048632995332</v>
      </c>
      <c r="AE30" s="15">
        <v>-4.9099323891474899E-4</v>
      </c>
      <c r="AF30" s="15">
        <v>2.2147677803496298E-3</v>
      </c>
      <c r="AG30" s="15">
        <v>2.42480888711416E-3</v>
      </c>
      <c r="AI30" s="12"/>
      <c r="AJ30">
        <f t="shared" si="4"/>
        <v>0</v>
      </c>
      <c r="AK30">
        <f t="shared" si="5"/>
        <v>1</v>
      </c>
      <c r="AL30">
        <f t="shared" si="14"/>
        <v>0</v>
      </c>
      <c r="AM30">
        <f t="shared" si="6"/>
        <v>1</v>
      </c>
      <c r="AN30">
        <f t="shared" si="15"/>
        <v>0</v>
      </c>
      <c r="AO30" s="28">
        <f t="shared" si="7"/>
        <v>0</v>
      </c>
      <c r="AP30" s="28">
        <f t="shared" si="8"/>
        <v>0</v>
      </c>
      <c r="AQ30" s="28">
        <f t="shared" si="16"/>
        <v>0</v>
      </c>
      <c r="AR30" s="29">
        <f t="shared" si="17"/>
        <v>0</v>
      </c>
      <c r="AT30" s="12"/>
      <c r="AU30">
        <f t="shared" si="9"/>
        <v>1</v>
      </c>
      <c r="AV30">
        <f t="shared" si="10"/>
        <v>0</v>
      </c>
      <c r="AW30">
        <f t="shared" si="18"/>
        <v>0</v>
      </c>
      <c r="AX30">
        <f t="shared" si="11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</row>
    <row r="31" spans="1:60" x14ac:dyDescent="0.3">
      <c r="A31" s="1">
        <v>46066</v>
      </c>
      <c r="B31" s="33">
        <v>46.5</v>
      </c>
      <c r="C31" s="33">
        <v>117.77</v>
      </c>
      <c r="D31" s="15">
        <v>2.7249642447375499E-2</v>
      </c>
      <c r="E31" s="15">
        <v>2.58034441608802E-2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46.5</v>
      </c>
      <c r="M31" s="33">
        <v>117.77</v>
      </c>
      <c r="N31" s="34">
        <v>2.5326881720430099</v>
      </c>
      <c r="O31" s="34">
        <v>2.5341745756035601</v>
      </c>
      <c r="P31" s="34">
        <v>2.5411197912121799</v>
      </c>
      <c r="Q31" s="34">
        <v>2.5422305158529301</v>
      </c>
      <c r="R31" s="33">
        <v>117.83911776556501</v>
      </c>
      <c r="S31" s="33">
        <v>118.19123214107699</v>
      </c>
      <c r="T31" s="33">
        <v>118.228085302227</v>
      </c>
      <c r="U31" s="15">
        <v>5.8671555841223E-4</v>
      </c>
      <c r="V31" s="15">
        <v>3.5703542037344499E-3</v>
      </c>
      <c r="W31" s="15">
        <v>3.8821152040305201E-3</v>
      </c>
      <c r="X31" s="34">
        <v>2.5326881720430099</v>
      </c>
      <c r="Y31" s="34">
        <v>2.5351085643703399</v>
      </c>
      <c r="Z31" s="34">
        <v>2.5411197912121799</v>
      </c>
      <c r="AA31" s="34">
        <v>2.5422305158529301</v>
      </c>
      <c r="AB31" s="33">
        <v>117.882548243221</v>
      </c>
      <c r="AC31" s="33">
        <v>118.19123214107699</v>
      </c>
      <c r="AD31" s="33">
        <v>118.228085302227</v>
      </c>
      <c r="AE31" s="15">
        <v>9.5520504758062096E-4</v>
      </c>
      <c r="AF31" s="15">
        <v>3.5703542037344499E-3</v>
      </c>
      <c r="AG31" s="15">
        <v>3.8821152040305201E-3</v>
      </c>
      <c r="AI31" s="12"/>
      <c r="AJ31">
        <f t="shared" si="4"/>
        <v>0</v>
      </c>
      <c r="AK31">
        <f t="shared" si="5"/>
        <v>1</v>
      </c>
      <c r="AL31">
        <f t="shared" si="14"/>
        <v>0</v>
      </c>
      <c r="AM31">
        <f t="shared" si="6"/>
        <v>1</v>
      </c>
      <c r="AN31">
        <f t="shared" si="15"/>
        <v>0</v>
      </c>
      <c r="AO31" s="28">
        <f t="shared" si="7"/>
        <v>0</v>
      </c>
      <c r="AP31" s="28">
        <f t="shared" si="8"/>
        <v>0</v>
      </c>
      <c r="AQ31" s="28">
        <f t="shared" si="16"/>
        <v>0</v>
      </c>
      <c r="AR31" s="29">
        <f t="shared" si="17"/>
        <v>0</v>
      </c>
      <c r="AT31" s="12"/>
      <c r="AU31">
        <f t="shared" si="9"/>
        <v>1</v>
      </c>
      <c r="AV31">
        <f t="shared" si="10"/>
        <v>0</v>
      </c>
      <c r="AW31">
        <f t="shared" si="18"/>
        <v>1</v>
      </c>
      <c r="AX31">
        <f t="shared" si="11"/>
        <v>1</v>
      </c>
      <c r="AY31">
        <f t="shared" si="19"/>
        <v>1</v>
      </c>
      <c r="AZ31" s="28">
        <f t="shared" si="12"/>
        <v>-2.7249642447375499E-2</v>
      </c>
      <c r="BA31" s="28">
        <f t="shared" si="13"/>
        <v>2.58034441608802E-2</v>
      </c>
      <c r="BB31" s="28">
        <f t="shared" si="20"/>
        <v>-1.4461982864952989E-3</v>
      </c>
      <c r="BC31" s="29">
        <f t="shared" si="21"/>
        <v>-1.4461982864952989E-3</v>
      </c>
      <c r="BE31" s="29">
        <f t="shared" si="22"/>
        <v>-1.4461982864952989E-3</v>
      </c>
      <c r="BF31" s="29">
        <f t="shared" si="23"/>
        <v>-1.4461982864952989E-3</v>
      </c>
      <c r="BH31" s="29"/>
    </row>
    <row r="32" spans="1:60" x14ac:dyDescent="0.3">
      <c r="A32" s="1">
        <v>46070</v>
      </c>
      <c r="B32" s="33">
        <v>46.38</v>
      </c>
      <c r="C32" s="33">
        <v>117.41</v>
      </c>
      <c r="D32" s="15">
        <v>-2.5839807659250101E-3</v>
      </c>
      <c r="E32" s="15">
        <v>-3.06148721133662E-3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46.38</v>
      </c>
      <c r="M32" s="33">
        <v>117.41</v>
      </c>
      <c r="N32" s="34">
        <v>2.5314790858128502</v>
      </c>
      <c r="O32" s="34">
        <v>2.5341745756035601</v>
      </c>
      <c r="P32" s="34">
        <v>2.5399739409947801</v>
      </c>
      <c r="Q32" s="34">
        <v>2.54194344225697</v>
      </c>
      <c r="R32" s="33">
        <v>117.535016816493</v>
      </c>
      <c r="S32" s="33">
        <v>117.857135916421</v>
      </c>
      <c r="T32" s="33">
        <v>117.908651325259</v>
      </c>
      <c r="U32" s="15">
        <v>1.06422200382383E-3</v>
      </c>
      <c r="V32" s="15">
        <v>3.8010957462753601E-3</v>
      </c>
      <c r="W32" s="15">
        <v>4.2381007100616899E-3</v>
      </c>
      <c r="X32" s="34">
        <v>2.5314790858128502</v>
      </c>
      <c r="Y32" s="34">
        <v>2.5351085643703399</v>
      </c>
      <c r="Z32" s="34">
        <v>2.5399739409947801</v>
      </c>
      <c r="AA32" s="34">
        <v>2.54194344225697</v>
      </c>
      <c r="AB32" s="33">
        <v>117.578335215496</v>
      </c>
      <c r="AC32" s="33">
        <v>117.857135916421</v>
      </c>
      <c r="AD32" s="33">
        <v>117.908651325259</v>
      </c>
      <c r="AE32" s="15">
        <v>1.4327114929921299E-3</v>
      </c>
      <c r="AF32" s="15">
        <v>3.8010957462753601E-3</v>
      </c>
      <c r="AG32" s="15">
        <v>4.2381007100616899E-3</v>
      </c>
      <c r="AI32" s="12"/>
      <c r="AJ32">
        <f t="shared" si="4"/>
        <v>0</v>
      </c>
      <c r="AK32">
        <f t="shared" si="5"/>
        <v>1</v>
      </c>
      <c r="AL32">
        <f t="shared" si="14"/>
        <v>0</v>
      </c>
      <c r="AM32">
        <f t="shared" si="6"/>
        <v>1</v>
      </c>
      <c r="AN32">
        <f t="shared" si="15"/>
        <v>0</v>
      </c>
      <c r="AO32" s="28">
        <f t="shared" si="7"/>
        <v>0</v>
      </c>
      <c r="AP32" s="28">
        <f t="shared" si="8"/>
        <v>0</v>
      </c>
      <c r="AQ32" s="28">
        <f t="shared" si="16"/>
        <v>0</v>
      </c>
      <c r="AR32" s="29">
        <f t="shared" si="17"/>
        <v>0</v>
      </c>
      <c r="AT32" s="12"/>
      <c r="AU32">
        <f t="shared" si="9"/>
        <v>1</v>
      </c>
      <c r="AV32">
        <f t="shared" si="10"/>
        <v>0</v>
      </c>
      <c r="AW32">
        <f t="shared" si="18"/>
        <v>1</v>
      </c>
      <c r="AX32">
        <f t="shared" si="11"/>
        <v>1</v>
      </c>
      <c r="AY32">
        <f t="shared" si="19"/>
        <v>1</v>
      </c>
      <c r="AZ32" s="28">
        <f t="shared" si="12"/>
        <v>2.5839807659250101E-3</v>
      </c>
      <c r="BA32" s="28">
        <f t="shared" si="13"/>
        <v>-3.06148721133662E-3</v>
      </c>
      <c r="BB32" s="28">
        <f t="shared" si="20"/>
        <v>-4.7750644541160988E-4</v>
      </c>
      <c r="BC32" s="29">
        <f t="shared" si="21"/>
        <v>-1.9237047319069088E-3</v>
      </c>
      <c r="BE32" s="29">
        <f t="shared" si="22"/>
        <v>-4.7750644541160988E-4</v>
      </c>
      <c r="BF32" s="29">
        <f t="shared" si="23"/>
        <v>-1.9237047319069088E-3</v>
      </c>
      <c r="BH32" s="29"/>
    </row>
    <row r="33" spans="1:60" x14ac:dyDescent="0.3">
      <c r="A33" s="1">
        <v>46071</v>
      </c>
      <c r="B33" s="33">
        <v>45.61</v>
      </c>
      <c r="C33" s="33">
        <v>115.57</v>
      </c>
      <c r="D33" s="15">
        <v>-1.6741341103776598E-2</v>
      </c>
      <c r="E33" s="15">
        <v>-1.57956756547705E-2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45.61</v>
      </c>
      <c r="M33" s="33">
        <v>115.57</v>
      </c>
      <c r="N33" s="34">
        <v>2.5338741504056101</v>
      </c>
      <c r="O33" s="34">
        <v>2.5341745756035601</v>
      </c>
      <c r="P33" s="34">
        <v>2.5392216705589301</v>
      </c>
      <c r="Q33" s="34">
        <v>2.5417865911180302</v>
      </c>
      <c r="R33" s="33">
        <v>115.583702393278</v>
      </c>
      <c r="S33" s="33">
        <v>115.84821144877201</v>
      </c>
      <c r="T33" s="33">
        <v>115.93804040134</v>
      </c>
      <c r="U33" s="15">
        <v>1.18556554817862E-4</v>
      </c>
      <c r="V33" s="15">
        <v>2.4044052632052502E-3</v>
      </c>
      <c r="W33" s="15">
        <v>3.1795069471789602E-3</v>
      </c>
      <c r="X33" s="34">
        <v>2.5338741504056101</v>
      </c>
      <c r="Y33" s="34">
        <v>2.5351085643703399</v>
      </c>
      <c r="Z33" s="34">
        <v>2.5392216705589301</v>
      </c>
      <c r="AA33" s="34">
        <v>2.5417865911180302</v>
      </c>
      <c r="AB33" s="33">
        <v>115.626301620931</v>
      </c>
      <c r="AC33" s="33">
        <v>115.84821144877201</v>
      </c>
      <c r="AD33" s="33">
        <v>115.93804040134</v>
      </c>
      <c r="AE33" s="15">
        <v>4.8704604398623402E-4</v>
      </c>
      <c r="AF33" s="15">
        <v>2.4044052632052502E-3</v>
      </c>
      <c r="AG33" s="15">
        <v>3.1795069471789602E-3</v>
      </c>
      <c r="AI33" s="12"/>
      <c r="AJ33">
        <f t="shared" si="4"/>
        <v>0</v>
      </c>
      <c r="AK33">
        <f t="shared" si="5"/>
        <v>1</v>
      </c>
      <c r="AL33">
        <f t="shared" si="14"/>
        <v>0</v>
      </c>
      <c r="AM33">
        <f t="shared" si="6"/>
        <v>1</v>
      </c>
      <c r="AN33">
        <f t="shared" si="15"/>
        <v>0</v>
      </c>
      <c r="AO33" s="28">
        <f t="shared" si="7"/>
        <v>0</v>
      </c>
      <c r="AP33" s="28">
        <f t="shared" si="8"/>
        <v>0</v>
      </c>
      <c r="AQ33" s="28">
        <f t="shared" si="16"/>
        <v>0</v>
      </c>
      <c r="AR33" s="29">
        <f t="shared" si="17"/>
        <v>0</v>
      </c>
      <c r="AT33" s="12"/>
      <c r="AU33">
        <f t="shared" si="9"/>
        <v>1</v>
      </c>
      <c r="AV33">
        <f t="shared" si="10"/>
        <v>0</v>
      </c>
      <c r="AW33">
        <f t="shared" si="18"/>
        <v>1</v>
      </c>
      <c r="AX33">
        <f t="shared" si="11"/>
        <v>1</v>
      </c>
      <c r="AY33">
        <f t="shared" si="19"/>
        <v>1</v>
      </c>
      <c r="AZ33" s="28">
        <f t="shared" si="12"/>
        <v>1.6741341103776598E-2</v>
      </c>
      <c r="BA33" s="28">
        <f t="shared" si="13"/>
        <v>-1.57956756547705E-2</v>
      </c>
      <c r="BB33" s="28">
        <f t="shared" si="20"/>
        <v>9.4566544900609797E-4</v>
      </c>
      <c r="BC33" s="29">
        <f t="shared" si="21"/>
        <v>-9.7803928290081084E-4</v>
      </c>
      <c r="BE33" s="29">
        <f t="shared" si="22"/>
        <v>9.4566544900609797E-4</v>
      </c>
      <c r="BF33" s="29">
        <f t="shared" si="23"/>
        <v>-9.7803928290081084E-4</v>
      </c>
      <c r="BH33" s="29"/>
    </row>
    <row r="34" spans="1:60" x14ac:dyDescent="0.3">
      <c r="A34" s="1">
        <v>46072</v>
      </c>
      <c r="B34" s="33">
        <v>46.11</v>
      </c>
      <c r="C34" s="33">
        <v>116.75</v>
      </c>
      <c r="D34" s="15">
        <v>1.0902855495005101E-2</v>
      </c>
      <c r="E34" s="15">
        <v>1.01584895616567E-2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46.11</v>
      </c>
      <c r="M34" s="33">
        <v>116.75</v>
      </c>
      <c r="N34" s="34">
        <v>2.5319887226198201</v>
      </c>
      <c r="O34" s="34">
        <v>2.5341745756035601</v>
      </c>
      <c r="P34" s="34">
        <v>2.5384279708617701</v>
      </c>
      <c r="Q34" s="34">
        <v>2.5411777520281902</v>
      </c>
      <c r="R34" s="33">
        <v>116.85078968108</v>
      </c>
      <c r="S34" s="33">
        <v>117.08351122947199</v>
      </c>
      <c r="T34" s="33">
        <v>117.20177971645199</v>
      </c>
      <c r="U34" s="15">
        <v>8.6292248816613004E-4</v>
      </c>
      <c r="V34" s="15">
        <v>2.8525548273162799E-3</v>
      </c>
      <c r="W34" s="15">
        <v>3.8621657725742701E-3</v>
      </c>
      <c r="X34" s="34">
        <v>2.5319887226198201</v>
      </c>
      <c r="Y34" s="34">
        <v>2.5351085643703399</v>
      </c>
      <c r="Z34" s="34">
        <v>2.5384279708617701</v>
      </c>
      <c r="AA34" s="34">
        <v>2.5411777520281902</v>
      </c>
      <c r="AB34" s="33">
        <v>116.89385590311601</v>
      </c>
      <c r="AC34" s="33">
        <v>117.08351122947199</v>
      </c>
      <c r="AD34" s="33">
        <v>117.20177971645199</v>
      </c>
      <c r="AE34" s="15">
        <v>1.2314119773345299E-3</v>
      </c>
      <c r="AF34" s="15">
        <v>2.8525548273162799E-3</v>
      </c>
      <c r="AG34" s="15">
        <v>3.8621657725742701E-3</v>
      </c>
      <c r="AI34" s="12"/>
      <c r="AJ34">
        <f t="shared" si="4"/>
        <v>0</v>
      </c>
      <c r="AK34">
        <f t="shared" si="5"/>
        <v>1</v>
      </c>
      <c r="AL34">
        <f t="shared" si="14"/>
        <v>0</v>
      </c>
      <c r="AM34">
        <f t="shared" si="6"/>
        <v>1</v>
      </c>
      <c r="AN34">
        <f t="shared" si="15"/>
        <v>0</v>
      </c>
      <c r="AO34" s="28">
        <f t="shared" si="7"/>
        <v>0</v>
      </c>
      <c r="AP34" s="28">
        <f t="shared" si="8"/>
        <v>0</v>
      </c>
      <c r="AQ34" s="28">
        <f t="shared" si="16"/>
        <v>0</v>
      </c>
      <c r="AR34" s="29">
        <f t="shared" si="17"/>
        <v>0</v>
      </c>
      <c r="AT34" s="12"/>
      <c r="AU34">
        <f t="shared" si="9"/>
        <v>1</v>
      </c>
      <c r="AV34">
        <f t="shared" si="10"/>
        <v>0</v>
      </c>
      <c r="AW34">
        <f t="shared" si="18"/>
        <v>1</v>
      </c>
      <c r="AX34">
        <f t="shared" si="11"/>
        <v>1</v>
      </c>
      <c r="AY34">
        <f t="shared" si="19"/>
        <v>1</v>
      </c>
      <c r="AZ34" s="28">
        <f t="shared" si="12"/>
        <v>-1.0902855495005101E-2</v>
      </c>
      <c r="BA34" s="28">
        <f t="shared" si="13"/>
        <v>1.01584895616567E-2</v>
      </c>
      <c r="BB34" s="28">
        <f t="shared" si="20"/>
        <v>-7.4436593334840061E-4</v>
      </c>
      <c r="BC34" s="29">
        <f t="shared" si="21"/>
        <v>-1.7224052162492114E-3</v>
      </c>
      <c r="BE34" s="29">
        <f t="shared" si="22"/>
        <v>-7.4436593334840061E-4</v>
      </c>
      <c r="BF34" s="29">
        <f t="shared" si="23"/>
        <v>-1.7224052162492114E-3</v>
      </c>
      <c r="BH34" s="29"/>
    </row>
    <row r="35" spans="1:60" x14ac:dyDescent="0.3">
      <c r="A35" s="1">
        <v>46073</v>
      </c>
      <c r="B35" s="33">
        <v>46.33</v>
      </c>
      <c r="C35" s="33">
        <v>117.14</v>
      </c>
      <c r="D35" s="15">
        <v>4.7598532099427798E-3</v>
      </c>
      <c r="E35" s="15">
        <v>3.3349041126294601E-3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46.33</v>
      </c>
      <c r="M35" s="33">
        <v>117.14</v>
      </c>
      <c r="N35" s="34">
        <v>2.5283833369307098</v>
      </c>
      <c r="O35" s="34">
        <v>2.5341745756035601</v>
      </c>
      <c r="P35" s="34">
        <v>2.5369507593112202</v>
      </c>
      <c r="Q35" s="34">
        <v>2.5401326247984</v>
      </c>
      <c r="R35" s="33">
        <v>117.408308087713</v>
      </c>
      <c r="S35" s="33">
        <v>117.605367890026</v>
      </c>
      <c r="T35" s="33">
        <v>117.73276525146601</v>
      </c>
      <c r="U35" s="15">
        <v>2.28787158547945E-3</v>
      </c>
      <c r="V35" s="15">
        <v>3.9648790845252099E-3</v>
      </c>
      <c r="W35" s="15">
        <v>5.0475542309980697E-3</v>
      </c>
      <c r="X35" s="34">
        <v>2.5283833369307098</v>
      </c>
      <c r="Y35" s="34">
        <v>2.5351085643703399</v>
      </c>
      <c r="Z35" s="34">
        <v>2.5369507593112202</v>
      </c>
      <c r="AA35" s="34">
        <v>2.5401326247984</v>
      </c>
      <c r="AB35" s="33">
        <v>117.45157978727801</v>
      </c>
      <c r="AC35" s="33">
        <v>117.605367890026</v>
      </c>
      <c r="AD35" s="33">
        <v>117.73276525146601</v>
      </c>
      <c r="AE35" s="15">
        <v>2.6563610746477501E-3</v>
      </c>
      <c r="AF35" s="15">
        <v>3.9648790845252099E-3</v>
      </c>
      <c r="AG35" s="15">
        <v>5.0475542309980697E-3</v>
      </c>
      <c r="AI35" s="12"/>
      <c r="AJ35">
        <f t="shared" si="4"/>
        <v>0</v>
      </c>
      <c r="AK35">
        <f t="shared" si="5"/>
        <v>1</v>
      </c>
      <c r="AL35">
        <f t="shared" si="14"/>
        <v>0</v>
      </c>
      <c r="AM35">
        <f t="shared" si="6"/>
        <v>1</v>
      </c>
      <c r="AN35">
        <f t="shared" si="15"/>
        <v>0</v>
      </c>
      <c r="AO35" s="28">
        <f t="shared" si="7"/>
        <v>0</v>
      </c>
      <c r="AP35" s="28">
        <f t="shared" si="8"/>
        <v>0</v>
      </c>
      <c r="AQ35" s="28">
        <f t="shared" si="16"/>
        <v>0</v>
      </c>
      <c r="AR35" s="29">
        <f t="shared" si="17"/>
        <v>0</v>
      </c>
      <c r="AT35" s="12"/>
      <c r="AU35">
        <f t="shared" si="9"/>
        <v>1</v>
      </c>
      <c r="AV35">
        <f t="shared" si="10"/>
        <v>0</v>
      </c>
      <c r="AW35">
        <f t="shared" si="18"/>
        <v>1</v>
      </c>
      <c r="AX35">
        <f t="shared" si="11"/>
        <v>1</v>
      </c>
      <c r="AY35">
        <f t="shared" si="19"/>
        <v>1</v>
      </c>
      <c r="AZ35" s="28">
        <f t="shared" si="12"/>
        <v>-4.7598532099427798E-3</v>
      </c>
      <c r="BA35" s="28">
        <f t="shared" si="13"/>
        <v>3.3349041126294601E-3</v>
      </c>
      <c r="BB35" s="28">
        <f t="shared" si="20"/>
        <v>-1.4249490973133197E-3</v>
      </c>
      <c r="BC35" s="29">
        <f t="shared" si="21"/>
        <v>-3.1473543135625312E-3</v>
      </c>
      <c r="BE35" s="29">
        <f t="shared" si="22"/>
        <v>-1.4249490973133197E-3</v>
      </c>
      <c r="BF35" s="29">
        <f t="shared" si="23"/>
        <v>-3.1473543135625312E-3</v>
      </c>
      <c r="BH35" s="29"/>
    </row>
    <row r="36" spans="1:60" x14ac:dyDescent="0.3">
      <c r="A36" s="1">
        <v>46076</v>
      </c>
      <c r="B36" s="33">
        <v>46.68</v>
      </c>
      <c r="C36" s="33">
        <v>117.86</v>
      </c>
      <c r="D36" s="15">
        <v>7.5261079897981798E-3</v>
      </c>
      <c r="E36" s="15">
        <v>6.12767874813098E-3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46.68</v>
      </c>
      <c r="M36" s="33">
        <v>117.86</v>
      </c>
      <c r="N36" s="34">
        <v>2.5248500428448999</v>
      </c>
      <c r="O36" s="34">
        <v>2.5341745756035601</v>
      </c>
      <c r="P36" s="34">
        <v>2.5351335721308899</v>
      </c>
      <c r="Q36" s="34">
        <v>2.5389080216774902</v>
      </c>
      <c r="R36" s="33">
        <v>118.29526918917399</v>
      </c>
      <c r="S36" s="33">
        <v>118.424861444648</v>
      </c>
      <c r="T36" s="33">
        <v>118.573390925589</v>
      </c>
      <c r="U36" s="15">
        <v>3.6863008271466602E-3</v>
      </c>
      <c r="V36" s="15">
        <v>4.7811994153917799E-3</v>
      </c>
      <c r="W36" s="15">
        <v>6.0346221634655899E-3</v>
      </c>
      <c r="X36" s="34">
        <v>2.5248500428448999</v>
      </c>
      <c r="Y36" s="34">
        <v>2.5351085643703399</v>
      </c>
      <c r="Z36" s="34">
        <v>2.5351335721308899</v>
      </c>
      <c r="AA36" s="34">
        <v>2.5389080216774902</v>
      </c>
      <c r="AB36" s="33">
        <v>118.33886778480699</v>
      </c>
      <c r="AC36" s="33">
        <v>118.424861444648</v>
      </c>
      <c r="AD36" s="33">
        <v>118.573390925589</v>
      </c>
      <c r="AE36" s="15">
        <v>4.0547903163148302E-3</v>
      </c>
      <c r="AF36" s="15">
        <v>4.7811994153917799E-3</v>
      </c>
      <c r="AG36" s="15">
        <v>6.0346221634655899E-3</v>
      </c>
      <c r="AI36" s="12"/>
      <c r="AJ36">
        <f t="shared" si="4"/>
        <v>0</v>
      </c>
      <c r="AK36">
        <f t="shared" si="5"/>
        <v>1</v>
      </c>
      <c r="AL36">
        <f t="shared" si="14"/>
        <v>0</v>
      </c>
      <c r="AM36">
        <f t="shared" si="6"/>
        <v>1</v>
      </c>
      <c r="AN36">
        <f t="shared" si="15"/>
        <v>0</v>
      </c>
      <c r="AO36" s="28">
        <f t="shared" si="7"/>
        <v>0</v>
      </c>
      <c r="AP36" s="28">
        <f t="shared" si="8"/>
        <v>0</v>
      </c>
      <c r="AQ36" s="28">
        <f t="shared" si="16"/>
        <v>0</v>
      </c>
      <c r="AR36" s="29">
        <f t="shared" si="17"/>
        <v>0</v>
      </c>
      <c r="AT36" s="12"/>
      <c r="AU36">
        <f t="shared" si="9"/>
        <v>1</v>
      </c>
      <c r="AV36">
        <f t="shared" si="10"/>
        <v>0</v>
      </c>
      <c r="AW36">
        <f t="shared" si="18"/>
        <v>1</v>
      </c>
      <c r="AX36">
        <f t="shared" si="11"/>
        <v>1</v>
      </c>
      <c r="AY36">
        <f t="shared" si="19"/>
        <v>1</v>
      </c>
      <c r="AZ36" s="28">
        <f t="shared" si="12"/>
        <v>-7.5261079897981798E-3</v>
      </c>
      <c r="BA36" s="28">
        <f t="shared" si="13"/>
        <v>6.12767874813098E-3</v>
      </c>
      <c r="BB36" s="28">
        <f t="shared" si="20"/>
        <v>-1.3984292416671998E-3</v>
      </c>
      <c r="BC36" s="29">
        <f t="shared" si="21"/>
        <v>-4.5457835552297314E-3</v>
      </c>
      <c r="BE36" s="29">
        <f t="shared" si="22"/>
        <v>-1.3984292416671998E-3</v>
      </c>
      <c r="BF36" s="29">
        <f t="shared" si="23"/>
        <v>-4.5457835552297314E-3</v>
      </c>
      <c r="BH36" s="29"/>
    </row>
    <row r="37" spans="1:60" x14ac:dyDescent="0.3">
      <c r="A37" s="1">
        <v>46077</v>
      </c>
      <c r="B37" s="33">
        <v>47.2</v>
      </c>
      <c r="C37" s="33">
        <v>119.03</v>
      </c>
      <c r="D37" s="15">
        <v>1.10780851731546E-2</v>
      </c>
      <c r="E37" s="15">
        <v>9.8780827700211196E-3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47.2</v>
      </c>
      <c r="M37" s="33">
        <v>119.03</v>
      </c>
      <c r="N37" s="34">
        <v>2.5218220338983</v>
      </c>
      <c r="O37" s="34">
        <v>2.5341745756035601</v>
      </c>
      <c r="P37" s="34">
        <v>2.5326699613532901</v>
      </c>
      <c r="Q37" s="34">
        <v>2.5375673529035399</v>
      </c>
      <c r="R37" s="33">
        <v>119.613039968488</v>
      </c>
      <c r="S37" s="33">
        <v>119.65830460457801</v>
      </c>
      <c r="T37" s="33">
        <v>119.83645862317699</v>
      </c>
      <c r="U37" s="15">
        <v>4.88630323028007E-3</v>
      </c>
      <c r="V37" s="15">
        <v>5.2646572426325597E-3</v>
      </c>
      <c r="W37" s="15">
        <v>6.7524062777996503E-3</v>
      </c>
      <c r="X37" s="34">
        <v>2.5218220338983</v>
      </c>
      <c r="Y37" s="34">
        <v>2.5351085643703399</v>
      </c>
      <c r="Z37" s="34">
        <v>2.5326699613532901</v>
      </c>
      <c r="AA37" s="34">
        <v>2.5375673529035399</v>
      </c>
      <c r="AB37" s="33">
        <v>119.65712423828001</v>
      </c>
      <c r="AC37" s="33">
        <v>119.65830460457801</v>
      </c>
      <c r="AD37" s="33">
        <v>119.83645862317699</v>
      </c>
      <c r="AE37" s="15">
        <v>5.2547927194483398E-3</v>
      </c>
      <c r="AF37" s="15">
        <v>5.2646572426325597E-3</v>
      </c>
      <c r="AG37" s="15">
        <v>6.7524062777996503E-3</v>
      </c>
      <c r="AI37" s="12"/>
      <c r="AJ37">
        <f t="shared" si="4"/>
        <v>0</v>
      </c>
      <c r="AK37">
        <f t="shared" si="5"/>
        <v>1</v>
      </c>
      <c r="AL37">
        <f t="shared" si="14"/>
        <v>0</v>
      </c>
      <c r="AM37">
        <f t="shared" si="6"/>
        <v>1</v>
      </c>
      <c r="AN37">
        <f t="shared" si="15"/>
        <v>0</v>
      </c>
      <c r="AO37" s="28">
        <f t="shared" si="7"/>
        <v>0</v>
      </c>
      <c r="AP37" s="28">
        <f t="shared" si="8"/>
        <v>0</v>
      </c>
      <c r="AQ37" s="28">
        <f t="shared" si="16"/>
        <v>0</v>
      </c>
      <c r="AR37" s="29">
        <f t="shared" si="17"/>
        <v>0</v>
      </c>
      <c r="AT37" s="12"/>
      <c r="AU37">
        <f t="shared" si="9"/>
        <v>1</v>
      </c>
      <c r="AV37">
        <f t="shared" si="10"/>
        <v>0</v>
      </c>
      <c r="AW37">
        <f t="shared" si="18"/>
        <v>1</v>
      </c>
      <c r="AX37">
        <f t="shared" si="11"/>
        <v>1</v>
      </c>
      <c r="AY37">
        <f t="shared" si="19"/>
        <v>1</v>
      </c>
      <c r="AZ37" s="28">
        <f t="shared" si="12"/>
        <v>-1.10780851731546E-2</v>
      </c>
      <c r="BA37" s="28">
        <f t="shared" si="13"/>
        <v>9.8780827700211196E-3</v>
      </c>
      <c r="BB37" s="28">
        <f t="shared" si="20"/>
        <v>-1.2000024031334801E-3</v>
      </c>
      <c r="BC37" s="29">
        <f t="shared" si="21"/>
        <v>-5.7457859583632115E-3</v>
      </c>
      <c r="BE37" s="29">
        <f t="shared" si="22"/>
        <v>-1.2000024031334801E-3</v>
      </c>
      <c r="BF37" s="29">
        <f t="shared" si="23"/>
        <v>-5.7457859583632115E-3</v>
      </c>
      <c r="BH37" s="29"/>
    </row>
    <row r="38" spans="1:60" x14ac:dyDescent="0.3">
      <c r="A38" s="1">
        <v>46078</v>
      </c>
      <c r="B38" s="33">
        <v>47.36</v>
      </c>
      <c r="C38" s="33">
        <v>119.44</v>
      </c>
      <c r="D38" s="15">
        <v>3.3840979842404899E-3</v>
      </c>
      <c r="E38" s="15">
        <v>3.4385910511464798E-3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47.36</v>
      </c>
      <c r="M38" s="33">
        <v>119.44</v>
      </c>
      <c r="N38" s="34">
        <v>2.5219594594594499</v>
      </c>
      <c r="O38" s="34">
        <v>2.5341745756035601</v>
      </c>
      <c r="P38" s="34">
        <v>2.5305672647652999</v>
      </c>
      <c r="Q38" s="34">
        <v>2.5364491158834199</v>
      </c>
      <c r="R38" s="33">
        <v>120.018507900584</v>
      </c>
      <c r="S38" s="33">
        <v>119.94724936969099</v>
      </c>
      <c r="T38" s="33">
        <v>120.179189833512</v>
      </c>
      <c r="U38" s="15">
        <v>4.8318101633740597E-3</v>
      </c>
      <c r="V38" s="15">
        <v>4.2379043178240403E-3</v>
      </c>
      <c r="W38" s="15">
        <v>6.1697243766382403E-3</v>
      </c>
      <c r="X38" s="34">
        <v>2.5219594594594499</v>
      </c>
      <c r="Y38" s="34">
        <v>2.5351085643703399</v>
      </c>
      <c r="Z38" s="34">
        <v>2.5305672647652999</v>
      </c>
      <c r="AA38" s="34">
        <v>2.5364491158834199</v>
      </c>
      <c r="AB38" s="33">
        <v>120.062741608579</v>
      </c>
      <c r="AC38" s="33">
        <v>119.94724936969099</v>
      </c>
      <c r="AD38" s="33">
        <v>120.179189833512</v>
      </c>
      <c r="AE38" s="15">
        <v>5.2002996525423902E-3</v>
      </c>
      <c r="AF38" s="15">
        <v>4.2379043178240403E-3</v>
      </c>
      <c r="AG38" s="15">
        <v>6.1697243766382403E-3</v>
      </c>
      <c r="AI38" s="12"/>
      <c r="AJ38">
        <f t="shared" si="4"/>
        <v>0</v>
      </c>
      <c r="AK38">
        <f t="shared" si="5"/>
        <v>1</v>
      </c>
      <c r="AL38">
        <f t="shared" si="14"/>
        <v>0</v>
      </c>
      <c r="AM38">
        <f t="shared" si="6"/>
        <v>1</v>
      </c>
      <c r="AN38">
        <f t="shared" si="15"/>
        <v>0</v>
      </c>
      <c r="AO38" s="28">
        <f t="shared" si="7"/>
        <v>0</v>
      </c>
      <c r="AP38" s="28">
        <f t="shared" si="8"/>
        <v>0</v>
      </c>
      <c r="AQ38" s="28">
        <f t="shared" si="16"/>
        <v>0</v>
      </c>
      <c r="AR38" s="29">
        <f t="shared" si="17"/>
        <v>0</v>
      </c>
      <c r="AT38" s="12"/>
      <c r="AU38">
        <f t="shared" si="9"/>
        <v>1</v>
      </c>
      <c r="AV38">
        <f t="shared" si="10"/>
        <v>0</v>
      </c>
      <c r="AW38">
        <f t="shared" si="18"/>
        <v>1</v>
      </c>
      <c r="AX38">
        <f t="shared" si="11"/>
        <v>1</v>
      </c>
      <c r="AY38">
        <f t="shared" si="19"/>
        <v>1</v>
      </c>
      <c r="AZ38" s="28">
        <f t="shared" si="12"/>
        <v>-3.3840979842404899E-3</v>
      </c>
      <c r="BA38" s="28">
        <f t="shared" si="13"/>
        <v>3.4385910511464798E-3</v>
      </c>
      <c r="BB38" s="28">
        <f t="shared" si="20"/>
        <v>5.4493066905989939E-5</v>
      </c>
      <c r="BC38" s="29">
        <f t="shared" si="21"/>
        <v>-5.6912928914572211E-3</v>
      </c>
      <c r="BE38" s="29">
        <f t="shared" si="22"/>
        <v>5.4493066905989939E-5</v>
      </c>
      <c r="BF38" s="29">
        <f t="shared" si="23"/>
        <v>-5.6912928914572211E-3</v>
      </c>
      <c r="BH38" s="29"/>
    </row>
    <row r="39" spans="1:60" x14ac:dyDescent="0.3">
      <c r="A39" s="1">
        <v>46079</v>
      </c>
      <c r="B39" s="33">
        <v>47.18</v>
      </c>
      <c r="C39" s="33">
        <v>119.25</v>
      </c>
      <c r="D39" s="15">
        <v>-3.8079165962212501E-3</v>
      </c>
      <c r="E39" s="15">
        <v>-1.5920234624842999E-3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47.18</v>
      </c>
      <c r="M39" s="33">
        <v>119.25</v>
      </c>
      <c r="N39" s="34">
        <v>2.5275540483255599</v>
      </c>
      <c r="O39" s="34">
        <v>2.5341745756035601</v>
      </c>
      <c r="P39" s="34">
        <v>2.52909526435004</v>
      </c>
      <c r="Q39" s="34">
        <v>2.5355362574873301</v>
      </c>
      <c r="R39" s="33">
        <v>119.56235647697601</v>
      </c>
      <c r="S39" s="33">
        <v>119.39216355162699</v>
      </c>
      <c r="T39" s="33">
        <v>119.66966928738</v>
      </c>
      <c r="U39" s="15">
        <v>2.6159170296371401E-3</v>
      </c>
      <c r="V39" s="15">
        <v>1.19143714026285E-3</v>
      </c>
      <c r="W39" s="15">
        <v>3.5130612749272802E-3</v>
      </c>
      <c r="X39" s="34">
        <v>2.5275540483255599</v>
      </c>
      <c r="Y39" s="34">
        <v>2.5351085643703399</v>
      </c>
      <c r="Z39" s="34">
        <v>2.52909526435004</v>
      </c>
      <c r="AA39" s="34">
        <v>2.5355362574873301</v>
      </c>
      <c r="AB39" s="33">
        <v>119.606422066992</v>
      </c>
      <c r="AC39" s="33">
        <v>119.39216355162699</v>
      </c>
      <c r="AD39" s="33">
        <v>119.66966928738</v>
      </c>
      <c r="AE39" s="15">
        <v>2.9844065188052698E-3</v>
      </c>
      <c r="AF39" s="15">
        <v>1.19143714026285E-3</v>
      </c>
      <c r="AG39" s="15">
        <v>3.5130612749272802E-3</v>
      </c>
      <c r="AI39" s="12"/>
      <c r="AJ39">
        <f t="shared" si="4"/>
        <v>0</v>
      </c>
      <c r="AK39">
        <f t="shared" si="5"/>
        <v>1</v>
      </c>
      <c r="AL39">
        <f t="shared" si="14"/>
        <v>0</v>
      </c>
      <c r="AM39">
        <f t="shared" si="6"/>
        <v>1</v>
      </c>
      <c r="AN39">
        <f t="shared" si="15"/>
        <v>0</v>
      </c>
      <c r="AO39" s="28">
        <f t="shared" si="7"/>
        <v>0</v>
      </c>
      <c r="AP39" s="28">
        <f t="shared" si="8"/>
        <v>0</v>
      </c>
      <c r="AQ39" s="28">
        <f t="shared" si="16"/>
        <v>0</v>
      </c>
      <c r="AR39" s="29">
        <f t="shared" si="17"/>
        <v>0</v>
      </c>
      <c r="AT39" s="12"/>
      <c r="AU39">
        <f t="shared" si="9"/>
        <v>1</v>
      </c>
      <c r="AV39">
        <f t="shared" si="10"/>
        <v>0</v>
      </c>
      <c r="AW39">
        <f t="shared" si="18"/>
        <v>1</v>
      </c>
      <c r="AX39">
        <f t="shared" si="11"/>
        <v>1</v>
      </c>
      <c r="AY39">
        <f t="shared" si="19"/>
        <v>1</v>
      </c>
      <c r="AZ39" s="28">
        <f t="shared" si="12"/>
        <v>3.8079165962212501E-3</v>
      </c>
      <c r="BA39" s="28">
        <f t="shared" si="13"/>
        <v>-1.5920234624842999E-3</v>
      </c>
      <c r="BB39" s="28">
        <f t="shared" si="20"/>
        <v>2.2158931337369504E-3</v>
      </c>
      <c r="BC39" s="29">
        <f t="shared" si="21"/>
        <v>-3.4753997577202708E-3</v>
      </c>
      <c r="BE39" s="29">
        <f t="shared" si="22"/>
        <v>2.2158931337369504E-3</v>
      </c>
      <c r="BF39" s="29">
        <f t="shared" si="23"/>
        <v>-3.4753997577202708E-3</v>
      </c>
      <c r="BH39" s="29"/>
    </row>
    <row r="40" spans="1:60" x14ac:dyDescent="0.3">
      <c r="A40" s="1">
        <v>46080</v>
      </c>
      <c r="B40" s="33">
        <v>47.73</v>
      </c>
      <c r="C40" s="33">
        <v>120.7</v>
      </c>
      <c r="D40" s="15">
        <v>1.1590057038276201E-2</v>
      </c>
      <c r="E40" s="15">
        <v>1.2085998335035099E-2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47.73</v>
      </c>
      <c r="M40" s="33">
        <v>120.7</v>
      </c>
      <c r="N40" s="34">
        <v>2.5288078776450802</v>
      </c>
      <c r="O40" s="34">
        <v>2.5341745756035601</v>
      </c>
      <c r="P40" s="34">
        <v>2.5283406929985301</v>
      </c>
      <c r="Q40" s="34">
        <v>2.5350438103818198</v>
      </c>
      <c r="R40" s="33">
        <v>120.95615249355799</v>
      </c>
      <c r="S40" s="33">
        <v>120.713716967427</v>
      </c>
      <c r="T40" s="33">
        <v>121.02114556987</v>
      </c>
      <c r="U40" s="15">
        <v>2.11997573287803E-3</v>
      </c>
      <c r="V40" s="15">
        <v>1.13638674842192E-4</v>
      </c>
      <c r="W40" s="15">
        <v>2.6571590008589701E-3</v>
      </c>
      <c r="X40" s="34">
        <v>2.5288078776450802</v>
      </c>
      <c r="Y40" s="34">
        <v>2.5351085643703399</v>
      </c>
      <c r="Z40" s="34">
        <v>2.5283406929985301</v>
      </c>
      <c r="AA40" s="34">
        <v>2.5350438103818198</v>
      </c>
      <c r="AB40" s="33">
        <v>121.000731777396</v>
      </c>
      <c r="AC40" s="33">
        <v>120.713716967427</v>
      </c>
      <c r="AD40" s="33">
        <v>121.02114556987</v>
      </c>
      <c r="AE40" s="15">
        <v>2.4884652220461801E-3</v>
      </c>
      <c r="AF40" s="15">
        <v>1.13638674842192E-4</v>
      </c>
      <c r="AG40" s="15">
        <v>2.6571590008589701E-3</v>
      </c>
      <c r="AI40" s="12"/>
      <c r="AJ40">
        <f t="shared" si="4"/>
        <v>0</v>
      </c>
      <c r="AK40">
        <f t="shared" si="5"/>
        <v>1</v>
      </c>
      <c r="AL40">
        <f t="shared" si="14"/>
        <v>0</v>
      </c>
      <c r="AM40">
        <f t="shared" si="6"/>
        <v>1</v>
      </c>
      <c r="AN40">
        <f t="shared" si="15"/>
        <v>0</v>
      </c>
      <c r="AO40" s="28">
        <f t="shared" si="7"/>
        <v>0</v>
      </c>
      <c r="AP40" s="28">
        <f t="shared" si="8"/>
        <v>0</v>
      </c>
      <c r="AQ40" s="28">
        <f t="shared" si="16"/>
        <v>0</v>
      </c>
      <c r="AR40" s="29">
        <f t="shared" si="17"/>
        <v>0</v>
      </c>
      <c r="AT40" s="12"/>
      <c r="AU40">
        <f t="shared" si="9"/>
        <v>1</v>
      </c>
      <c r="AV40">
        <f t="shared" si="10"/>
        <v>0</v>
      </c>
      <c r="AW40">
        <f t="shared" si="18"/>
        <v>1</v>
      </c>
      <c r="AX40">
        <f t="shared" si="11"/>
        <v>1</v>
      </c>
      <c r="AY40">
        <f t="shared" si="19"/>
        <v>1</v>
      </c>
      <c r="AZ40" s="28">
        <f t="shared" si="12"/>
        <v>-1.1590057038276201E-2</v>
      </c>
      <c r="BA40" s="28">
        <f t="shared" si="13"/>
        <v>1.2085998335035099E-2</v>
      </c>
      <c r="BB40" s="28">
        <f t="shared" si="20"/>
        <v>4.9594129675889845E-4</v>
      </c>
      <c r="BC40" s="29">
        <f t="shared" si="21"/>
        <v>-2.9794584609613723E-3</v>
      </c>
      <c r="BE40" s="29">
        <f t="shared" si="22"/>
        <v>4.9594129675889845E-4</v>
      </c>
      <c r="BF40" s="29">
        <f t="shared" si="23"/>
        <v>-2.9794584609613723E-3</v>
      </c>
      <c r="BH40" s="29"/>
    </row>
    <row r="41" spans="1:60" x14ac:dyDescent="0.3">
      <c r="A41" s="1">
        <v>46083</v>
      </c>
      <c r="B41" s="33">
        <v>47.37</v>
      </c>
      <c r="C41" s="33">
        <v>119.96</v>
      </c>
      <c r="D41" s="15">
        <v>-7.5710140821447997E-3</v>
      </c>
      <c r="E41" s="15">
        <v>-6.1497742226775502E-3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47.37</v>
      </c>
      <c r="M41" s="33">
        <v>119.96</v>
      </c>
      <c r="N41" s="34">
        <v>2.5324044754063699</v>
      </c>
      <c r="O41" s="34">
        <v>2.5341745756035601</v>
      </c>
      <c r="P41" s="34">
        <v>2.5283123233348599</v>
      </c>
      <c r="Q41" s="34">
        <v>2.5347160572735201</v>
      </c>
      <c r="R41" s="33">
        <v>120.04384964634001</v>
      </c>
      <c r="S41" s="33">
        <v>119.76749862734</v>
      </c>
      <c r="T41" s="33">
        <v>120.085025297786</v>
      </c>
      <c r="U41" s="15">
        <v>6.9873587341066901E-4</v>
      </c>
      <c r="V41" s="15">
        <v>-1.6060019408487599E-3</v>
      </c>
      <c r="W41" s="15">
        <v>1.04168215056573E-3</v>
      </c>
      <c r="X41" s="34">
        <v>2.5324044754063699</v>
      </c>
      <c r="Y41" s="34">
        <v>2.5351085643703399</v>
      </c>
      <c r="Z41" s="34">
        <v>2.5283123233348599</v>
      </c>
      <c r="AA41" s="34">
        <v>2.5347160572735201</v>
      </c>
      <c r="AB41" s="33">
        <v>120.08809269422299</v>
      </c>
      <c r="AC41" s="33">
        <v>119.76749862734</v>
      </c>
      <c r="AD41" s="33">
        <v>120.085025297786</v>
      </c>
      <c r="AE41" s="15">
        <v>1.0672253625791E-3</v>
      </c>
      <c r="AF41" s="15">
        <v>-1.6060019408487599E-3</v>
      </c>
      <c r="AG41" s="15">
        <v>1.04168215056573E-3</v>
      </c>
      <c r="AI41" s="12"/>
      <c r="AJ41">
        <f t="shared" si="4"/>
        <v>0</v>
      </c>
      <c r="AK41">
        <f t="shared" si="5"/>
        <v>1</v>
      </c>
      <c r="AL41">
        <f t="shared" si="14"/>
        <v>0</v>
      </c>
      <c r="AM41">
        <f t="shared" si="6"/>
        <v>1</v>
      </c>
      <c r="AN41">
        <f t="shared" si="15"/>
        <v>0</v>
      </c>
      <c r="AO41" s="28">
        <f t="shared" si="7"/>
        <v>0</v>
      </c>
      <c r="AP41" s="28">
        <f t="shared" si="8"/>
        <v>0</v>
      </c>
      <c r="AQ41" s="28">
        <f t="shared" si="16"/>
        <v>0</v>
      </c>
      <c r="AR41" s="29">
        <f t="shared" si="17"/>
        <v>0</v>
      </c>
      <c r="AT41" s="12"/>
      <c r="AU41">
        <f t="shared" si="9"/>
        <v>1</v>
      </c>
      <c r="AV41">
        <f t="shared" si="10"/>
        <v>0</v>
      </c>
      <c r="AW41">
        <f t="shared" si="18"/>
        <v>1</v>
      </c>
      <c r="AX41">
        <f t="shared" si="11"/>
        <v>1</v>
      </c>
      <c r="AY41">
        <f t="shared" si="19"/>
        <v>1</v>
      </c>
      <c r="AZ41" s="28">
        <f t="shared" si="12"/>
        <v>7.5710140821447997E-3</v>
      </c>
      <c r="BA41" s="28">
        <f t="shared" si="13"/>
        <v>-6.1497742226775502E-3</v>
      </c>
      <c r="BB41" s="28">
        <f t="shared" si="20"/>
        <v>1.4212398594672495E-3</v>
      </c>
      <c r="BC41" s="29">
        <f t="shared" si="21"/>
        <v>-1.5582186014941228E-3</v>
      </c>
      <c r="BE41" s="29">
        <f t="shared" si="22"/>
        <v>1.4212398594672495E-3</v>
      </c>
      <c r="BF41" s="29">
        <f t="shared" si="23"/>
        <v>-1.5582186014941228E-3</v>
      </c>
      <c r="BH41" s="29"/>
    </row>
    <row r="42" spans="1:60" x14ac:dyDescent="0.3">
      <c r="A42" s="1">
        <v>46084</v>
      </c>
      <c r="B42" s="33">
        <v>47.07</v>
      </c>
      <c r="C42" s="33">
        <v>119.25</v>
      </c>
      <c r="D42" s="15">
        <v>-6.3532615226094399E-3</v>
      </c>
      <c r="E42" s="15">
        <v>-5.9362241123577303E-3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47.07</v>
      </c>
      <c r="M42" s="33">
        <v>119.25</v>
      </c>
      <c r="N42" s="34">
        <v>2.53346080305927</v>
      </c>
      <c r="O42" s="34">
        <v>2.5341745756035601</v>
      </c>
      <c r="P42" s="34">
        <v>2.5285104950595101</v>
      </c>
      <c r="Q42" s="34">
        <v>2.53424221802715</v>
      </c>
      <c r="R42" s="33">
        <v>119.283597273659</v>
      </c>
      <c r="S42" s="33">
        <v>119.007661059372</v>
      </c>
      <c r="T42" s="33">
        <v>119.30908481586501</v>
      </c>
      <c r="U42" s="15">
        <v>2.8169846315910502E-4</v>
      </c>
      <c r="V42" s="15">
        <v>-2.0342600789504898E-3</v>
      </c>
      <c r="W42" s="15">
        <v>4.9534744919714805E-4</v>
      </c>
      <c r="X42" s="34">
        <v>2.53346080305927</v>
      </c>
      <c r="Y42" s="34">
        <v>2.5351085643703399</v>
      </c>
      <c r="Z42" s="34">
        <v>2.5285104950595101</v>
      </c>
      <c r="AA42" s="34">
        <v>2.53424221802715</v>
      </c>
      <c r="AB42" s="33">
        <v>119.327560124912</v>
      </c>
      <c r="AC42" s="33">
        <v>119.007661059372</v>
      </c>
      <c r="AD42" s="33">
        <v>119.30908481586501</v>
      </c>
      <c r="AE42" s="15">
        <v>6.5018795232728202E-4</v>
      </c>
      <c r="AF42" s="15">
        <v>-2.0342600789504898E-3</v>
      </c>
      <c r="AG42" s="15">
        <v>4.9534744919714805E-4</v>
      </c>
      <c r="AI42" s="12"/>
      <c r="AJ42">
        <f t="shared" si="4"/>
        <v>0</v>
      </c>
      <c r="AK42">
        <f t="shared" si="5"/>
        <v>1</v>
      </c>
      <c r="AL42">
        <f t="shared" si="14"/>
        <v>0</v>
      </c>
      <c r="AM42">
        <f t="shared" si="6"/>
        <v>1</v>
      </c>
      <c r="AN42">
        <f t="shared" si="15"/>
        <v>0</v>
      </c>
      <c r="AO42" s="28">
        <f t="shared" si="7"/>
        <v>0</v>
      </c>
      <c r="AP42" s="28">
        <f t="shared" si="8"/>
        <v>0</v>
      </c>
      <c r="AQ42" s="28">
        <f t="shared" si="16"/>
        <v>0</v>
      </c>
      <c r="AR42" s="29">
        <f t="shared" si="17"/>
        <v>0</v>
      </c>
      <c r="AT42" s="12"/>
      <c r="AU42">
        <f t="shared" si="9"/>
        <v>0</v>
      </c>
      <c r="AV42">
        <f t="shared" si="10"/>
        <v>0</v>
      </c>
      <c r="AW42">
        <f t="shared" si="18"/>
        <v>1</v>
      </c>
      <c r="AX42">
        <f t="shared" si="11"/>
        <v>1</v>
      </c>
      <c r="AY42">
        <f t="shared" si="19"/>
        <v>1</v>
      </c>
      <c r="AZ42" s="28">
        <f t="shared" si="12"/>
        <v>6.3532615226094399E-3</v>
      </c>
      <c r="BA42" s="28">
        <f t="shared" si="13"/>
        <v>-5.9362241123577303E-3</v>
      </c>
      <c r="BB42" s="28">
        <f t="shared" si="20"/>
        <v>4.1703741025170965E-4</v>
      </c>
      <c r="BC42" s="29">
        <f t="shared" si="21"/>
        <v>-1.1411811912424132E-3</v>
      </c>
      <c r="BE42" s="29">
        <f t="shared" si="22"/>
        <v>4.1703741025170965E-4</v>
      </c>
      <c r="BF42" s="29">
        <f t="shared" si="23"/>
        <v>-1.1411811912424132E-3</v>
      </c>
      <c r="BH42" s="29"/>
    </row>
    <row r="43" spans="1:60" x14ac:dyDescent="0.3">
      <c r="A43" s="1">
        <v>46085</v>
      </c>
      <c r="B43" s="33">
        <v>47.27</v>
      </c>
      <c r="C43" s="33">
        <v>119.69</v>
      </c>
      <c r="D43" s="15">
        <v>4.2399893920941102E-3</v>
      </c>
      <c r="E43" s="15">
        <v>3.68293711682843E-3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47.27</v>
      </c>
      <c r="M43" s="33">
        <v>119.69</v>
      </c>
      <c r="N43" s="34">
        <v>2.53204992595726</v>
      </c>
      <c r="O43" s="34">
        <v>2.5341745756035601</v>
      </c>
      <c r="P43" s="34">
        <v>2.52832807261467</v>
      </c>
      <c r="Q43" s="34">
        <v>2.5337748715867998</v>
      </c>
      <c r="R43" s="33">
        <v>119.79043218878</v>
      </c>
      <c r="S43" s="33">
        <v>119.522691101463</v>
      </c>
      <c r="T43" s="33">
        <v>119.793629646143</v>
      </c>
      <c r="U43" s="15">
        <v>8.38750738424832E-4</v>
      </c>
      <c r="V43" s="15">
        <v>-1.39882984508864E-3</v>
      </c>
      <c r="W43" s="15">
        <v>8.6544247525110205E-4</v>
      </c>
      <c r="X43" s="34">
        <v>2.53204992595726</v>
      </c>
      <c r="Y43" s="34">
        <v>2.5351085643703399</v>
      </c>
      <c r="Z43" s="34">
        <v>2.52832807261467</v>
      </c>
      <c r="AA43" s="34">
        <v>2.5337748715867998</v>
      </c>
      <c r="AB43" s="33">
        <v>119.834581837786</v>
      </c>
      <c r="AC43" s="33">
        <v>119.522691101463</v>
      </c>
      <c r="AD43" s="33">
        <v>119.793629646143</v>
      </c>
      <c r="AE43" s="15">
        <v>1.2072402275928799E-3</v>
      </c>
      <c r="AF43" s="15">
        <v>-1.39882984508864E-3</v>
      </c>
      <c r="AG43" s="15">
        <v>8.6544247525110205E-4</v>
      </c>
      <c r="AI43" s="12"/>
      <c r="AJ43">
        <f t="shared" si="4"/>
        <v>0</v>
      </c>
      <c r="AK43">
        <f t="shared" si="5"/>
        <v>1</v>
      </c>
      <c r="AL43">
        <f t="shared" si="14"/>
        <v>0</v>
      </c>
      <c r="AM43">
        <f t="shared" si="6"/>
        <v>1</v>
      </c>
      <c r="AN43">
        <f t="shared" si="15"/>
        <v>0</v>
      </c>
      <c r="AO43" s="28">
        <f t="shared" si="7"/>
        <v>0</v>
      </c>
      <c r="AP43" s="28">
        <f t="shared" si="8"/>
        <v>0</v>
      </c>
      <c r="AQ43" s="28">
        <f t="shared" si="16"/>
        <v>0</v>
      </c>
      <c r="AR43" s="29">
        <f t="shared" si="17"/>
        <v>0</v>
      </c>
      <c r="AT43" s="12"/>
      <c r="AU43">
        <f t="shared" si="9"/>
        <v>0</v>
      </c>
      <c r="AV43">
        <f t="shared" si="10"/>
        <v>0</v>
      </c>
      <c r="AW43">
        <f t="shared" si="18"/>
        <v>1</v>
      </c>
      <c r="AX43">
        <f t="shared" si="11"/>
        <v>1</v>
      </c>
      <c r="AY43">
        <f t="shared" si="19"/>
        <v>1</v>
      </c>
      <c r="AZ43" s="28">
        <f t="shared" si="12"/>
        <v>-4.2399893920941102E-3</v>
      </c>
      <c r="BA43" s="28">
        <f t="shared" si="13"/>
        <v>3.68293711682843E-3</v>
      </c>
      <c r="BB43" s="28">
        <f t="shared" si="20"/>
        <v>-5.570522752656802E-4</v>
      </c>
      <c r="BC43" s="29">
        <f t="shared" si="21"/>
        <v>-1.6982334665080934E-3</v>
      </c>
      <c r="BE43" s="29">
        <f t="shared" si="22"/>
        <v>-5.570522752656802E-4</v>
      </c>
      <c r="BF43" s="29">
        <f t="shared" si="23"/>
        <v>-1.6982334665080934E-3</v>
      </c>
      <c r="BH43" s="29"/>
    </row>
    <row r="44" spans="1:60" x14ac:dyDescent="0.3">
      <c r="A44" s="1">
        <v>46086</v>
      </c>
      <c r="B44" s="33">
        <v>46.9</v>
      </c>
      <c r="C44" s="33">
        <v>118.88</v>
      </c>
      <c r="D44" s="15">
        <v>-7.8581693529114292E-3</v>
      </c>
      <c r="E44" s="15">
        <v>-6.7904859158300999E-3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46.9</v>
      </c>
      <c r="M44" s="33">
        <v>118.88</v>
      </c>
      <c r="N44" s="34">
        <v>2.53475479744136</v>
      </c>
      <c r="O44" s="34">
        <v>2.5341745756035601</v>
      </c>
      <c r="P44" s="34">
        <v>2.52860468009683</v>
      </c>
      <c r="Q44" s="34">
        <v>2.5335163254793001</v>
      </c>
      <c r="R44" s="33">
        <v>118.852787595807</v>
      </c>
      <c r="S44" s="33">
        <v>118.578586605628</v>
      </c>
      <c r="T44" s="33">
        <v>118.834041477421</v>
      </c>
      <c r="U44" s="15">
        <v>-2.2893269865658701E-4</v>
      </c>
      <c r="V44" s="15">
        <v>-2.5386620931206901E-3</v>
      </c>
      <c r="W44" s="15">
        <v>-3.86670664178491E-4</v>
      </c>
      <c r="X44" s="34">
        <v>2.53475479744136</v>
      </c>
      <c r="Y44" s="34">
        <v>2.5351085643703399</v>
      </c>
      <c r="Z44" s="34">
        <v>2.52860468009683</v>
      </c>
      <c r="AA44" s="34">
        <v>2.5335163254793001</v>
      </c>
      <c r="AB44" s="33">
        <v>118.89659166896899</v>
      </c>
      <c r="AC44" s="33">
        <v>118.578586605628</v>
      </c>
      <c r="AD44" s="33">
        <v>118.834041477421</v>
      </c>
      <c r="AE44" s="15">
        <v>1.3955679051168201E-4</v>
      </c>
      <c r="AF44" s="15">
        <v>-2.5386620931206901E-3</v>
      </c>
      <c r="AG44" s="15">
        <v>-3.86670664178491E-4</v>
      </c>
      <c r="AI44" s="12"/>
      <c r="AJ44">
        <f t="shared" si="4"/>
        <v>0</v>
      </c>
      <c r="AK44">
        <f t="shared" si="5"/>
        <v>1</v>
      </c>
      <c r="AL44">
        <f t="shared" si="14"/>
        <v>0</v>
      </c>
      <c r="AM44">
        <f t="shared" si="6"/>
        <v>1</v>
      </c>
      <c r="AN44">
        <f t="shared" si="15"/>
        <v>0</v>
      </c>
      <c r="AO44" s="28">
        <f t="shared" si="7"/>
        <v>0</v>
      </c>
      <c r="AP44" s="28">
        <f t="shared" si="8"/>
        <v>0</v>
      </c>
      <c r="AQ44" s="28">
        <f t="shared" si="16"/>
        <v>0</v>
      </c>
      <c r="AR44" s="29">
        <f t="shared" si="17"/>
        <v>0</v>
      </c>
      <c r="AT44" s="12"/>
      <c r="AU44">
        <f t="shared" si="9"/>
        <v>0</v>
      </c>
      <c r="AV44">
        <f t="shared" si="10"/>
        <v>1</v>
      </c>
      <c r="AW44">
        <f t="shared" si="18"/>
        <v>1</v>
      </c>
      <c r="AX44">
        <f t="shared" si="11"/>
        <v>1</v>
      </c>
      <c r="AY44">
        <f t="shared" si="19"/>
        <v>1</v>
      </c>
      <c r="AZ44" s="28">
        <f t="shared" si="12"/>
        <v>7.8581693529114292E-3</v>
      </c>
      <c r="BA44" s="28">
        <f t="shared" si="13"/>
        <v>-6.7904859158300999E-3</v>
      </c>
      <c r="BB44" s="28">
        <f t="shared" si="20"/>
        <v>1.0676834370813293E-3</v>
      </c>
      <c r="BC44" s="29">
        <f t="shared" si="21"/>
        <v>-6.305500294267641E-4</v>
      </c>
      <c r="BE44" s="29">
        <f t="shared" si="22"/>
        <v>1.0676834370813293E-3</v>
      </c>
      <c r="BF44" s="29">
        <f t="shared" si="23"/>
        <v>-6.305500294267641E-4</v>
      </c>
      <c r="BH44" s="29"/>
    </row>
    <row r="45" spans="1:60" x14ac:dyDescent="0.3">
      <c r="A45" s="1">
        <v>46087</v>
      </c>
      <c r="B45" s="33">
        <v>46.74</v>
      </c>
      <c r="C45" s="33">
        <v>118.42</v>
      </c>
      <c r="D45" s="15">
        <v>-3.4173463415216902E-3</v>
      </c>
      <c r="E45" s="15">
        <v>-3.8769538658189398E-3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46.74</v>
      </c>
      <c r="M45" s="33">
        <v>118.42</v>
      </c>
      <c r="N45" s="34">
        <v>2.5335900727428302</v>
      </c>
      <c r="O45" s="34">
        <v>2.5341745756035601</v>
      </c>
      <c r="P45" s="34">
        <v>2.5291253536780398</v>
      </c>
      <c r="Q45" s="34">
        <v>2.5330380564946302</v>
      </c>
      <c r="R45" s="33">
        <v>118.44731966371</v>
      </c>
      <c r="S45" s="33">
        <v>118.186982747725</v>
      </c>
      <c r="T45" s="33">
        <v>118.416553052902</v>
      </c>
      <c r="U45" s="15">
        <v>2.3067482564053499E-4</v>
      </c>
      <c r="V45" s="15">
        <v>-1.96965723413212E-3</v>
      </c>
      <c r="W45" s="15">
        <v>-2.91082356434071E-5</v>
      </c>
      <c r="X45" s="34">
        <v>2.5335900727428302</v>
      </c>
      <c r="Y45" s="34">
        <v>2.5351085643703399</v>
      </c>
      <c r="Z45" s="34">
        <v>2.5291253536780398</v>
      </c>
      <c r="AA45" s="34">
        <v>2.5330380564946302</v>
      </c>
      <c r="AB45" s="33">
        <v>118.490974298669</v>
      </c>
      <c r="AC45" s="33">
        <v>118.186982747725</v>
      </c>
      <c r="AD45" s="33">
        <v>118.416553052902</v>
      </c>
      <c r="AE45" s="15">
        <v>5.99164314808913E-4</v>
      </c>
      <c r="AF45" s="15">
        <v>-1.96965723413212E-3</v>
      </c>
      <c r="AG45" s="15">
        <v>-2.91082356434071E-5</v>
      </c>
      <c r="AI45" s="12"/>
      <c r="AJ45">
        <f t="shared" si="4"/>
        <v>0</v>
      </c>
      <c r="AK45">
        <f t="shared" si="5"/>
        <v>1</v>
      </c>
      <c r="AL45">
        <f t="shared" si="14"/>
        <v>0</v>
      </c>
      <c r="AM45">
        <f t="shared" si="6"/>
        <v>1</v>
      </c>
      <c r="AN45">
        <f t="shared" si="15"/>
        <v>0</v>
      </c>
      <c r="AO45" s="28">
        <f t="shared" si="7"/>
        <v>0</v>
      </c>
      <c r="AP45" s="28">
        <f t="shared" si="8"/>
        <v>0</v>
      </c>
      <c r="AQ45" s="28">
        <f t="shared" si="16"/>
        <v>0</v>
      </c>
      <c r="AR45" s="29">
        <f t="shared" si="17"/>
        <v>0</v>
      </c>
      <c r="AT45" s="12"/>
      <c r="AU45">
        <f t="shared" si="9"/>
        <v>0</v>
      </c>
      <c r="AV45">
        <f t="shared" si="10"/>
        <v>1</v>
      </c>
      <c r="AW45">
        <f t="shared" si="18"/>
        <v>0</v>
      </c>
      <c r="AX45">
        <f t="shared" si="11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-6.305500294267641E-4</v>
      </c>
      <c r="BE45" s="29">
        <f t="shared" si="22"/>
        <v>0</v>
      </c>
      <c r="BF45" s="29">
        <f t="shared" si="23"/>
        <v>-6.305500294267641E-4</v>
      </c>
      <c r="BH45" s="29"/>
    </row>
    <row r="46" spans="1:60" x14ac:dyDescent="0.3">
      <c r="A46" s="1">
        <v>46090</v>
      </c>
      <c r="B46" s="33">
        <v>46.85</v>
      </c>
      <c r="C46" s="33">
        <v>118.71</v>
      </c>
      <c r="D46" s="15">
        <v>2.3506795737192701E-3</v>
      </c>
      <c r="E46" s="15">
        <v>2.44591696181254E-3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46.85</v>
      </c>
      <c r="M46" s="33">
        <v>118.71</v>
      </c>
      <c r="N46" s="34">
        <v>2.5338313767342502</v>
      </c>
      <c r="O46" s="34">
        <v>2.5341745756035601</v>
      </c>
      <c r="P46" s="34">
        <v>2.5300234870669698</v>
      </c>
      <c r="Q46" s="34">
        <v>2.53257852959893</v>
      </c>
      <c r="R46" s="33">
        <v>118.726078867026</v>
      </c>
      <c r="S46" s="33">
        <v>118.489522819816</v>
      </c>
      <c r="T46" s="33">
        <v>118.672832946773</v>
      </c>
      <c r="U46" s="15">
        <v>1.3543743754746901E-4</v>
      </c>
      <c r="V46" s="15">
        <v>-1.85900242174237E-3</v>
      </c>
      <c r="W46" s="15">
        <v>-3.13140196944128E-4</v>
      </c>
      <c r="X46" s="34">
        <v>2.5338313767342502</v>
      </c>
      <c r="Y46" s="34">
        <v>2.5351085643703399</v>
      </c>
      <c r="Z46" s="34">
        <v>2.5300234870669698</v>
      </c>
      <c r="AA46" s="34">
        <v>2.53257852959893</v>
      </c>
      <c r="AB46" s="33">
        <v>118.76983624075</v>
      </c>
      <c r="AC46" s="33">
        <v>118.489522819816</v>
      </c>
      <c r="AD46" s="33">
        <v>118.672832946773</v>
      </c>
      <c r="AE46" s="15">
        <v>5.0392692671577305E-4</v>
      </c>
      <c r="AF46" s="15">
        <v>-1.85900242174237E-3</v>
      </c>
      <c r="AG46" s="15">
        <v>-3.13140196944128E-4</v>
      </c>
      <c r="AI46" s="12"/>
      <c r="AJ46">
        <f t="shared" si="4"/>
        <v>0</v>
      </c>
      <c r="AK46">
        <f t="shared" si="5"/>
        <v>1</v>
      </c>
      <c r="AL46">
        <f t="shared" si="14"/>
        <v>0</v>
      </c>
      <c r="AM46">
        <f t="shared" si="6"/>
        <v>1</v>
      </c>
      <c r="AN46">
        <f t="shared" si="15"/>
        <v>0</v>
      </c>
      <c r="AO46" s="28">
        <f t="shared" si="7"/>
        <v>0</v>
      </c>
      <c r="AP46" s="28">
        <f t="shared" si="8"/>
        <v>0</v>
      </c>
      <c r="AQ46" s="28">
        <f t="shared" si="16"/>
        <v>0</v>
      </c>
      <c r="AR46" s="29">
        <f t="shared" si="17"/>
        <v>0</v>
      </c>
      <c r="AT46" s="12"/>
      <c r="AU46">
        <f t="shared" si="9"/>
        <v>0</v>
      </c>
      <c r="AV46">
        <f t="shared" si="10"/>
        <v>1</v>
      </c>
      <c r="AW46">
        <f t="shared" si="18"/>
        <v>0</v>
      </c>
      <c r="AX46">
        <f t="shared" si="11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-6.305500294267641E-4</v>
      </c>
      <c r="BE46" s="29">
        <f t="shared" si="22"/>
        <v>0</v>
      </c>
      <c r="BF46" s="29">
        <f t="shared" si="23"/>
        <v>-6.305500294267641E-4</v>
      </c>
      <c r="BH46" s="29"/>
    </row>
    <row r="47" spans="1:60" x14ac:dyDescent="0.3">
      <c r="A47" s="1">
        <v>46091</v>
      </c>
      <c r="B47" s="33">
        <v>46.56</v>
      </c>
      <c r="C47" s="33">
        <v>117.67</v>
      </c>
      <c r="D47" s="15">
        <v>-6.20920526124884E-3</v>
      </c>
      <c r="E47" s="15">
        <v>-8.7994475896050299E-3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46.56</v>
      </c>
      <c r="M47" s="33">
        <v>117.67</v>
      </c>
      <c r="N47" s="34">
        <v>2.5272766323023999</v>
      </c>
      <c r="O47" s="34">
        <v>2.5341745756035601</v>
      </c>
      <c r="P47" s="34">
        <v>2.5305689469073802</v>
      </c>
      <c r="Q47" s="34">
        <v>2.5316194541303401</v>
      </c>
      <c r="R47" s="33">
        <v>117.991168240101</v>
      </c>
      <c r="S47" s="33">
        <v>117.79789355783799</v>
      </c>
      <c r="T47" s="33">
        <v>117.916856338126</v>
      </c>
      <c r="U47" s="15">
        <v>2.72567976590362E-3</v>
      </c>
      <c r="V47" s="15">
        <v>1.0862930693661399E-3</v>
      </c>
      <c r="W47" s="15">
        <v>2.0956723334209898E-3</v>
      </c>
      <c r="X47" s="34">
        <v>2.5272766323023999</v>
      </c>
      <c r="Y47" s="34">
        <v>2.5351085643703399</v>
      </c>
      <c r="Z47" s="34">
        <v>2.5305689469073802</v>
      </c>
      <c r="AA47" s="34">
        <v>2.5316194541303401</v>
      </c>
      <c r="AB47" s="33">
        <v>118.034654757083</v>
      </c>
      <c r="AC47" s="33">
        <v>117.79789355783799</v>
      </c>
      <c r="AD47" s="33">
        <v>117.916856338126</v>
      </c>
      <c r="AE47" s="15">
        <v>3.09416925507178E-3</v>
      </c>
      <c r="AF47" s="15">
        <v>1.0862930693661399E-3</v>
      </c>
      <c r="AG47" s="15">
        <v>2.0956723334209898E-3</v>
      </c>
      <c r="AI47" s="12"/>
      <c r="AJ47">
        <f t="shared" si="4"/>
        <v>0</v>
      </c>
      <c r="AK47">
        <f t="shared" si="5"/>
        <v>1</v>
      </c>
      <c r="AL47">
        <f t="shared" si="14"/>
        <v>0</v>
      </c>
      <c r="AM47">
        <f t="shared" si="6"/>
        <v>1</v>
      </c>
      <c r="AN47">
        <f t="shared" si="15"/>
        <v>0</v>
      </c>
      <c r="AO47" s="28">
        <f t="shared" si="7"/>
        <v>0</v>
      </c>
      <c r="AP47" s="28">
        <f t="shared" si="8"/>
        <v>0</v>
      </c>
      <c r="AQ47" s="28">
        <f t="shared" si="16"/>
        <v>0</v>
      </c>
      <c r="AR47" s="29">
        <f t="shared" si="17"/>
        <v>0</v>
      </c>
      <c r="AT47" s="12"/>
      <c r="AU47">
        <f t="shared" si="9"/>
        <v>1</v>
      </c>
      <c r="AV47">
        <f t="shared" si="10"/>
        <v>0</v>
      </c>
      <c r="AW47">
        <f t="shared" si="18"/>
        <v>0</v>
      </c>
      <c r="AX47">
        <f t="shared" si="11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-6.305500294267641E-4</v>
      </c>
      <c r="BE47" s="29">
        <f t="shared" si="22"/>
        <v>0</v>
      </c>
      <c r="BF47" s="29">
        <f t="shared" si="23"/>
        <v>-6.305500294267641E-4</v>
      </c>
      <c r="BH47" s="29"/>
    </row>
    <row r="48" spans="1:60" x14ac:dyDescent="0.3">
      <c r="A48" s="1">
        <v>46092</v>
      </c>
      <c r="B48" s="33">
        <v>46.17</v>
      </c>
      <c r="C48" s="33">
        <v>116.85</v>
      </c>
      <c r="D48" s="15">
        <v>-8.4115669042848003E-3</v>
      </c>
      <c r="E48" s="15">
        <v>-6.9930354909706303E-3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46.17</v>
      </c>
      <c r="M48" s="33">
        <v>116.85</v>
      </c>
      <c r="N48" s="34">
        <v>2.5308641975308599</v>
      </c>
      <c r="O48" s="34">
        <v>2.5341745756035601</v>
      </c>
      <c r="P48" s="34">
        <v>2.53145942071452</v>
      </c>
      <c r="Q48" s="34">
        <v>2.53101334273991</v>
      </c>
      <c r="R48" s="33">
        <v>117.002840155616</v>
      </c>
      <c r="S48" s="33">
        <v>116.836368278714</v>
      </c>
      <c r="T48" s="33">
        <v>116.884870197197</v>
      </c>
      <c r="U48" s="15">
        <v>1.3071483525893899E-3</v>
      </c>
      <c r="V48" s="15">
        <v>-1.1666680775384E-4</v>
      </c>
      <c r="W48" s="15">
        <v>2.9837394332408502E-4</v>
      </c>
      <c r="X48" s="34">
        <v>2.5308641975308599</v>
      </c>
      <c r="Y48" s="34">
        <v>2.5351085643703399</v>
      </c>
      <c r="Z48" s="34">
        <v>2.53145942071452</v>
      </c>
      <c r="AA48" s="34">
        <v>2.53101334273991</v>
      </c>
      <c r="AB48" s="33">
        <v>117.045962416978</v>
      </c>
      <c r="AC48" s="33">
        <v>116.836368278714</v>
      </c>
      <c r="AD48" s="33">
        <v>116.884870197197</v>
      </c>
      <c r="AE48" s="15">
        <v>1.6756378417576601E-3</v>
      </c>
      <c r="AF48" s="15">
        <v>-1.1666680775384E-4</v>
      </c>
      <c r="AG48" s="15">
        <v>2.9837394332408502E-4</v>
      </c>
      <c r="AI48" s="12"/>
      <c r="AJ48">
        <f t="shared" si="4"/>
        <v>0</v>
      </c>
      <c r="AK48">
        <f t="shared" si="5"/>
        <v>1</v>
      </c>
      <c r="AL48">
        <f t="shared" si="14"/>
        <v>0</v>
      </c>
      <c r="AM48">
        <f t="shared" si="6"/>
        <v>1</v>
      </c>
      <c r="AN48">
        <f t="shared" si="15"/>
        <v>0</v>
      </c>
      <c r="AO48" s="28">
        <f t="shared" si="7"/>
        <v>0</v>
      </c>
      <c r="AP48" s="28">
        <f t="shared" si="8"/>
        <v>0</v>
      </c>
      <c r="AQ48" s="28">
        <f t="shared" si="16"/>
        <v>0</v>
      </c>
      <c r="AR48" s="29">
        <f t="shared" si="17"/>
        <v>0</v>
      </c>
      <c r="AT48" s="12"/>
      <c r="AU48">
        <f t="shared" si="9"/>
        <v>0</v>
      </c>
      <c r="AV48">
        <f t="shared" si="10"/>
        <v>0</v>
      </c>
      <c r="AW48">
        <f t="shared" si="18"/>
        <v>1</v>
      </c>
      <c r="AX48">
        <f t="shared" si="11"/>
        <v>1</v>
      </c>
      <c r="AY48">
        <f t="shared" si="19"/>
        <v>1</v>
      </c>
      <c r="AZ48" s="28">
        <f t="shared" si="12"/>
        <v>8.4115669042848003E-3</v>
      </c>
      <c r="BA48" s="28">
        <f t="shared" si="13"/>
        <v>-6.9930354909706303E-3</v>
      </c>
      <c r="BB48" s="28">
        <f t="shared" si="20"/>
        <v>1.41853141331417E-3</v>
      </c>
      <c r="BC48" s="29">
        <f t="shared" si="21"/>
        <v>7.879813838874059E-4</v>
      </c>
      <c r="BE48" s="29">
        <f t="shared" si="22"/>
        <v>1.41853141331417E-3</v>
      </c>
      <c r="BF48" s="29">
        <f t="shared" si="23"/>
        <v>7.879813838874059E-4</v>
      </c>
      <c r="BH48" s="29"/>
    </row>
    <row r="49" spans="1:60" x14ac:dyDescent="0.3">
      <c r="A49" s="1">
        <v>46093</v>
      </c>
      <c r="B49" s="33">
        <v>46.5</v>
      </c>
      <c r="C49" s="33">
        <v>117.69</v>
      </c>
      <c r="D49" s="15">
        <v>7.1220760744131299E-3</v>
      </c>
      <c r="E49" s="15">
        <v>7.1629879047040001E-3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46.5</v>
      </c>
      <c r="M49" s="33">
        <v>117.69</v>
      </c>
      <c r="N49" s="34">
        <v>2.5309677419354801</v>
      </c>
      <c r="O49" s="34">
        <v>2.5341745756035601</v>
      </c>
      <c r="P49" s="34">
        <v>2.5318007900755202</v>
      </c>
      <c r="Q49" s="34">
        <v>2.5304480272127798</v>
      </c>
      <c r="R49" s="33">
        <v>117.83911776556501</v>
      </c>
      <c r="S49" s="33">
        <v>117.712863063225</v>
      </c>
      <c r="T49" s="33">
        <v>117.692120437406</v>
      </c>
      <c r="U49" s="15">
        <v>1.2662365222984001E-3</v>
      </c>
      <c r="V49" s="15">
        <v>1.9424626361796E-4</v>
      </c>
      <c r="W49" s="15">
        <v>1.8016979388499999E-5</v>
      </c>
      <c r="X49" s="34">
        <v>2.5309677419354801</v>
      </c>
      <c r="Y49" s="34">
        <v>2.5351085643703399</v>
      </c>
      <c r="Z49" s="34">
        <v>2.5318007900755202</v>
      </c>
      <c r="AA49" s="34">
        <v>2.5304480272127798</v>
      </c>
      <c r="AB49" s="33">
        <v>117.882548243221</v>
      </c>
      <c r="AC49" s="33">
        <v>117.712863063225</v>
      </c>
      <c r="AD49" s="33">
        <v>117.692120437406</v>
      </c>
      <c r="AE49" s="15">
        <v>1.6347260114667099E-3</v>
      </c>
      <c r="AF49" s="15">
        <v>1.9424626361796E-4</v>
      </c>
      <c r="AG49" s="15">
        <v>1.8016979388499999E-5</v>
      </c>
      <c r="AI49" s="12"/>
      <c r="AJ49">
        <f t="shared" si="4"/>
        <v>0</v>
      </c>
      <c r="AK49">
        <f t="shared" si="5"/>
        <v>1</v>
      </c>
      <c r="AL49">
        <f t="shared" si="14"/>
        <v>0</v>
      </c>
      <c r="AM49">
        <f t="shared" si="6"/>
        <v>1</v>
      </c>
      <c r="AN49">
        <f t="shared" si="15"/>
        <v>0</v>
      </c>
      <c r="AO49" s="28">
        <f t="shared" si="7"/>
        <v>0</v>
      </c>
      <c r="AP49" s="28">
        <f t="shared" si="8"/>
        <v>0</v>
      </c>
      <c r="AQ49" s="28">
        <f t="shared" si="16"/>
        <v>0</v>
      </c>
      <c r="AR49" s="29">
        <f t="shared" si="17"/>
        <v>0</v>
      </c>
      <c r="AT49" s="12"/>
      <c r="AU49">
        <f t="shared" si="9"/>
        <v>0</v>
      </c>
      <c r="AV49">
        <f t="shared" si="10"/>
        <v>1</v>
      </c>
      <c r="AW49">
        <f t="shared" si="18"/>
        <v>1</v>
      </c>
      <c r="AX49">
        <f t="shared" si="11"/>
        <v>1</v>
      </c>
      <c r="AY49">
        <f t="shared" si="19"/>
        <v>1</v>
      </c>
      <c r="AZ49" s="28">
        <f t="shared" si="12"/>
        <v>-7.1220760744131299E-3</v>
      </c>
      <c r="BA49" s="28">
        <f t="shared" si="13"/>
        <v>7.1629879047040001E-3</v>
      </c>
      <c r="BB49" s="28">
        <f t="shared" si="20"/>
        <v>4.0911830290870158E-5</v>
      </c>
      <c r="BC49" s="29">
        <f t="shared" si="21"/>
        <v>8.2889321417827606E-4</v>
      </c>
      <c r="BE49" s="29">
        <f t="shared" si="22"/>
        <v>4.0911830290870158E-5</v>
      </c>
      <c r="BF49" s="29">
        <f t="shared" si="23"/>
        <v>8.2889321417827606E-4</v>
      </c>
      <c r="BH49" s="29"/>
    </row>
    <row r="50" spans="1:60" x14ac:dyDescent="0.3">
      <c r="A50" s="1">
        <v>46094</v>
      </c>
      <c r="B50" s="33">
        <v>46.96</v>
      </c>
      <c r="C50" s="33">
        <v>118.72</v>
      </c>
      <c r="D50" s="15">
        <v>9.8438629265304792E-3</v>
      </c>
      <c r="E50" s="15">
        <v>8.71373052949935E-3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46.96</v>
      </c>
      <c r="M50" s="33">
        <v>118.72</v>
      </c>
      <c r="N50" s="34">
        <v>2.5281090289608099</v>
      </c>
      <c r="O50" s="34">
        <v>2.5341745756035601</v>
      </c>
      <c r="P50" s="34">
        <v>2.5317309052070902</v>
      </c>
      <c r="Q50" s="34">
        <v>2.53003579910281</v>
      </c>
      <c r="R50" s="33">
        <v>119.004838070343</v>
      </c>
      <c r="S50" s="33">
        <v>118.893365101946</v>
      </c>
      <c r="T50" s="33">
        <v>118.82983935791199</v>
      </c>
      <c r="U50" s="15">
        <v>2.39636891932933E-3</v>
      </c>
      <c r="V50" s="15">
        <v>1.4592203821080501E-3</v>
      </c>
      <c r="W50" s="15">
        <v>9.2476901720567101E-4</v>
      </c>
      <c r="X50" s="34">
        <v>2.5281090289608099</v>
      </c>
      <c r="Y50" s="34">
        <v>2.5351085643703399</v>
      </c>
      <c r="Z50" s="34">
        <v>2.5317309052070902</v>
      </c>
      <c r="AA50" s="34">
        <v>2.53003579910281</v>
      </c>
      <c r="AB50" s="33">
        <v>119.048698182831</v>
      </c>
      <c r="AC50" s="33">
        <v>118.893365101946</v>
      </c>
      <c r="AD50" s="33">
        <v>118.82983935791199</v>
      </c>
      <c r="AE50" s="15">
        <v>2.76485840849781E-3</v>
      </c>
      <c r="AF50" s="15">
        <v>1.4592203821080501E-3</v>
      </c>
      <c r="AG50" s="15">
        <v>9.2476901720567101E-4</v>
      </c>
      <c r="AI50" s="12"/>
      <c r="AJ50">
        <f t="shared" si="4"/>
        <v>0</v>
      </c>
      <c r="AK50">
        <f t="shared" si="5"/>
        <v>1</v>
      </c>
      <c r="AL50">
        <f t="shared" si="14"/>
        <v>0</v>
      </c>
      <c r="AM50">
        <f t="shared" si="6"/>
        <v>1</v>
      </c>
      <c r="AN50">
        <f t="shared" si="15"/>
        <v>0</v>
      </c>
      <c r="AO50" s="28">
        <f t="shared" si="7"/>
        <v>0</v>
      </c>
      <c r="AP50" s="28">
        <f t="shared" si="8"/>
        <v>0</v>
      </c>
      <c r="AQ50" s="28">
        <f t="shared" si="16"/>
        <v>0</v>
      </c>
      <c r="AR50" s="29">
        <f t="shared" si="17"/>
        <v>0</v>
      </c>
      <c r="AT50" s="12"/>
      <c r="AU50">
        <f t="shared" si="9"/>
        <v>0</v>
      </c>
      <c r="AV50">
        <f t="shared" si="10"/>
        <v>0</v>
      </c>
      <c r="AW50">
        <f t="shared" si="18"/>
        <v>0</v>
      </c>
      <c r="AX50">
        <f t="shared" si="11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8.2889321417827606E-4</v>
      </c>
      <c r="BE50" s="29">
        <f t="shared" si="22"/>
        <v>0</v>
      </c>
      <c r="BF50" s="29">
        <f t="shared" si="23"/>
        <v>8.2889321417827606E-4</v>
      </c>
      <c r="BH50" s="29"/>
    </row>
    <row r="51" spans="1:60" x14ac:dyDescent="0.3">
      <c r="A51" s="1">
        <v>46097</v>
      </c>
      <c r="B51" s="33">
        <v>47.26</v>
      </c>
      <c r="C51" s="33">
        <v>119.28</v>
      </c>
      <c r="D51" s="15">
        <v>6.3680962389206898E-3</v>
      </c>
      <c r="E51" s="15">
        <v>4.7058910374127103E-3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47.26</v>
      </c>
      <c r="M51" s="33">
        <v>119.28</v>
      </c>
      <c r="N51" s="34">
        <v>2.5239102835378699</v>
      </c>
      <c r="O51" s="34">
        <v>2.5341745756035601</v>
      </c>
      <c r="P51" s="34">
        <v>2.53088148602024</v>
      </c>
      <c r="Q51" s="34">
        <v>2.5295969046775499</v>
      </c>
      <c r="R51" s="33">
        <v>119.76509044302399</v>
      </c>
      <c r="S51" s="33">
        <v>119.64960258008701</v>
      </c>
      <c r="T51" s="33">
        <v>119.569491865598</v>
      </c>
      <c r="U51" s="15">
        <v>4.0585741208373702E-3</v>
      </c>
      <c r="V51" s="15">
        <v>3.0938223720090199E-3</v>
      </c>
      <c r="W51" s="15">
        <v>2.4240537846085398E-3</v>
      </c>
      <c r="X51" s="34">
        <v>2.5239102835378699</v>
      </c>
      <c r="Y51" s="34">
        <v>2.5351085643703399</v>
      </c>
      <c r="Z51" s="34">
        <v>2.53088148602024</v>
      </c>
      <c r="AA51" s="34">
        <v>2.5295969046775499</v>
      </c>
      <c r="AB51" s="33">
        <v>119.809230752142</v>
      </c>
      <c r="AC51" s="33">
        <v>119.64960258008701</v>
      </c>
      <c r="AD51" s="33">
        <v>119.569491865598</v>
      </c>
      <c r="AE51" s="15">
        <v>4.4270636100058004E-3</v>
      </c>
      <c r="AF51" s="15">
        <v>3.0938223720090199E-3</v>
      </c>
      <c r="AG51" s="15">
        <v>2.4240537846085398E-3</v>
      </c>
      <c r="AI51" s="12"/>
      <c r="AJ51">
        <f t="shared" si="4"/>
        <v>0</v>
      </c>
      <c r="AK51">
        <f t="shared" si="5"/>
        <v>1</v>
      </c>
      <c r="AL51">
        <f t="shared" si="14"/>
        <v>0</v>
      </c>
      <c r="AM51">
        <f t="shared" si="6"/>
        <v>0</v>
      </c>
      <c r="AN51">
        <f t="shared" si="15"/>
        <v>0</v>
      </c>
      <c r="AO51" s="28">
        <f t="shared" si="7"/>
        <v>0</v>
      </c>
      <c r="AP51" s="28">
        <f t="shared" si="8"/>
        <v>0</v>
      </c>
      <c r="AQ51" s="28">
        <f t="shared" si="16"/>
        <v>0</v>
      </c>
      <c r="AR51" s="29">
        <f t="shared" si="17"/>
        <v>0</v>
      </c>
      <c r="AT51" s="12"/>
      <c r="AU51">
        <f t="shared" si="9"/>
        <v>1</v>
      </c>
      <c r="AV51">
        <f t="shared" si="10"/>
        <v>0</v>
      </c>
      <c r="AW51">
        <f t="shared" si="18"/>
        <v>0</v>
      </c>
      <c r="AX51">
        <f t="shared" si="11"/>
        <v>0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8.2889321417827606E-4</v>
      </c>
      <c r="BE51" s="29">
        <f t="shared" si="22"/>
        <v>0</v>
      </c>
      <c r="BF51" s="29">
        <f t="shared" si="23"/>
        <v>8.2889321417827606E-4</v>
      </c>
      <c r="BH51" s="29"/>
    </row>
    <row r="52" spans="1:60" x14ac:dyDescent="0.3">
      <c r="A52" s="1">
        <v>46098</v>
      </c>
      <c r="B52" s="33">
        <v>47.13</v>
      </c>
      <c r="C52" s="33">
        <v>118.39</v>
      </c>
      <c r="D52" s="15">
        <v>-2.7545308231221701E-3</v>
      </c>
      <c r="E52" s="15">
        <v>-7.4894110329380703E-3</v>
      </c>
      <c r="F52" s="33">
        <v>0</v>
      </c>
      <c r="G52" s="33">
        <v>0</v>
      </c>
      <c r="H52" s="33">
        <v>0.62162899999999999</v>
      </c>
      <c r="I52" s="33">
        <v>0.62162899999999999</v>
      </c>
      <c r="J52" s="33">
        <v>0</v>
      </c>
      <c r="K52" s="33">
        <v>0.62162899999999999</v>
      </c>
      <c r="L52" s="33">
        <v>47.13</v>
      </c>
      <c r="M52" s="33">
        <v>119.011629</v>
      </c>
      <c r="N52" s="34">
        <v>2.5119881179715602</v>
      </c>
      <c r="O52" s="34">
        <v>2.5341745756035601</v>
      </c>
      <c r="P52" s="34">
        <v>2.5287342175114702</v>
      </c>
      <c r="Q52" s="34">
        <v>2.5286223562854899</v>
      </c>
      <c r="R52" s="33">
        <v>119.435647748195</v>
      </c>
      <c r="S52" s="33">
        <v>119.280444436134</v>
      </c>
      <c r="T52" s="33">
        <v>119.219902117453</v>
      </c>
      <c r="U52" s="15">
        <v>8.7934543306533008E-3</v>
      </c>
      <c r="V52" s="15">
        <v>7.4931370163901804E-3</v>
      </c>
      <c r="W52" s="15">
        <v>6.9854453433494104E-3</v>
      </c>
      <c r="X52" s="34">
        <v>2.5251777848504098</v>
      </c>
      <c r="Y52" s="34">
        <v>2.5351085643703399</v>
      </c>
      <c r="Z52" s="34">
        <v>2.5300531841993501</v>
      </c>
      <c r="AA52" s="34">
        <v>2.5292818396294301</v>
      </c>
      <c r="AB52" s="33">
        <v>119.47966663877401</v>
      </c>
      <c r="AC52" s="33">
        <v>119.280444436134</v>
      </c>
      <c r="AD52" s="33">
        <v>119.219902117453</v>
      </c>
      <c r="AE52" s="15">
        <v>3.9249922173124601E-3</v>
      </c>
      <c r="AF52" s="15">
        <v>2.2561854138808402E-3</v>
      </c>
      <c r="AG52" s="15">
        <v>1.7484937408401499E-3</v>
      </c>
      <c r="AI52" s="12"/>
      <c r="AJ52">
        <f t="shared" si="4"/>
        <v>0</v>
      </c>
      <c r="AK52">
        <f t="shared" si="5"/>
        <v>1</v>
      </c>
      <c r="AL52">
        <f t="shared" si="14"/>
        <v>0</v>
      </c>
      <c r="AM52">
        <f t="shared" si="6"/>
        <v>1</v>
      </c>
      <c r="AN52">
        <f t="shared" si="15"/>
        <v>0</v>
      </c>
      <c r="AO52" s="28">
        <f t="shared" si="7"/>
        <v>0</v>
      </c>
      <c r="AP52" s="28">
        <f t="shared" si="8"/>
        <v>0</v>
      </c>
      <c r="AQ52" s="28">
        <f t="shared" si="16"/>
        <v>0</v>
      </c>
      <c r="AR52" s="29">
        <f t="shared" si="17"/>
        <v>0</v>
      </c>
      <c r="AT52" s="12"/>
      <c r="AU52">
        <f t="shared" si="9"/>
        <v>1</v>
      </c>
      <c r="AV52">
        <f t="shared" si="10"/>
        <v>0</v>
      </c>
      <c r="AW52">
        <f t="shared" si="18"/>
        <v>0</v>
      </c>
      <c r="AX52">
        <f t="shared" si="11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8.2889321417827606E-4</v>
      </c>
      <c r="BE52" s="29">
        <f t="shared" si="22"/>
        <v>0</v>
      </c>
      <c r="BF52" s="29">
        <f t="shared" si="23"/>
        <v>8.2889321417827606E-4</v>
      </c>
      <c r="BH52" s="29"/>
    </row>
    <row r="53" spans="1:60" x14ac:dyDescent="0.3">
      <c r="A53" s="1">
        <v>46099</v>
      </c>
      <c r="B53" s="33">
        <v>46.73</v>
      </c>
      <c r="C53" s="33">
        <v>117.52</v>
      </c>
      <c r="D53" s="15">
        <v>-8.5233842233047794E-3</v>
      </c>
      <c r="E53" s="15">
        <v>-7.3757275579230102E-3</v>
      </c>
      <c r="F53" s="33">
        <v>0</v>
      </c>
      <c r="G53" s="33">
        <v>0</v>
      </c>
      <c r="H53" s="33">
        <v>0</v>
      </c>
      <c r="I53" s="33">
        <v>0.62162899999999999</v>
      </c>
      <c r="J53" s="33">
        <v>0</v>
      </c>
      <c r="K53" s="33">
        <v>0.62162899999999999</v>
      </c>
      <c r="L53" s="33">
        <v>46.73</v>
      </c>
      <c r="M53" s="33">
        <v>118.14162899999999</v>
      </c>
      <c r="N53" s="34">
        <v>2.5148726728011899</v>
      </c>
      <c r="O53" s="34">
        <v>2.5341745756035601</v>
      </c>
      <c r="P53" s="34">
        <v>2.5270164921958602</v>
      </c>
      <c r="Q53" s="34">
        <v>2.5276722824052702</v>
      </c>
      <c r="R53" s="33">
        <v>118.421977917954</v>
      </c>
      <c r="S53" s="33">
        <v>118.167749984311</v>
      </c>
      <c r="T53" s="33">
        <v>118.16252270922099</v>
      </c>
      <c r="U53" s="15">
        <v>7.6457976652715602E-3</v>
      </c>
      <c r="V53" s="15">
        <v>5.4966931056897499E-3</v>
      </c>
      <c r="W53" s="15">
        <v>5.4524560722249496E-3</v>
      </c>
      <c r="X53" s="34">
        <v>2.5281752407446998</v>
      </c>
      <c r="Y53" s="34">
        <v>2.5351085643703399</v>
      </c>
      <c r="Z53" s="34">
        <v>2.5296657156780999</v>
      </c>
      <c r="AA53" s="34">
        <v>2.5289968941463798</v>
      </c>
      <c r="AB53" s="33">
        <v>118.46562321302601</v>
      </c>
      <c r="AC53" s="33">
        <v>118.229385297636</v>
      </c>
      <c r="AD53" s="33">
        <v>118.193340365883</v>
      </c>
      <c r="AE53" s="15">
        <v>2.7386685107949598E-3</v>
      </c>
      <c r="AF53" s="15">
        <v>7.4253014422104302E-4</v>
      </c>
      <c r="AG53" s="15">
        <v>4.3761079325233199E-4</v>
      </c>
      <c r="AI53" s="12"/>
      <c r="AJ53">
        <f t="shared" si="4"/>
        <v>0</v>
      </c>
      <c r="AK53">
        <f t="shared" si="5"/>
        <v>1</v>
      </c>
      <c r="AL53">
        <f t="shared" si="14"/>
        <v>0</v>
      </c>
      <c r="AM53">
        <f t="shared" si="6"/>
        <v>1</v>
      </c>
      <c r="AN53">
        <f t="shared" si="15"/>
        <v>0</v>
      </c>
      <c r="AO53" s="28">
        <f t="shared" si="7"/>
        <v>0</v>
      </c>
      <c r="AP53" s="28">
        <f t="shared" si="8"/>
        <v>0</v>
      </c>
      <c r="AQ53" s="28">
        <f t="shared" si="16"/>
        <v>0</v>
      </c>
      <c r="AR53" s="29">
        <f t="shared" si="17"/>
        <v>0</v>
      </c>
      <c r="AT53" s="12"/>
      <c r="AU53">
        <f t="shared" si="9"/>
        <v>0</v>
      </c>
      <c r="AV53">
        <f t="shared" si="10"/>
        <v>0</v>
      </c>
      <c r="AW53">
        <f t="shared" si="18"/>
        <v>1</v>
      </c>
      <c r="AX53">
        <f t="shared" si="11"/>
        <v>1</v>
      </c>
      <c r="AY53">
        <f t="shared" si="19"/>
        <v>1</v>
      </c>
      <c r="AZ53" s="28">
        <f t="shared" si="12"/>
        <v>8.5233842233047794E-3</v>
      </c>
      <c r="BA53" s="28">
        <f t="shared" si="13"/>
        <v>-7.3757275579230102E-3</v>
      </c>
      <c r="BB53" s="28">
        <f t="shared" si="20"/>
        <v>1.1476566653817692E-3</v>
      </c>
      <c r="BC53" s="29">
        <f t="shared" si="21"/>
        <v>1.9765498795600452E-3</v>
      </c>
      <c r="BE53" s="29">
        <f t="shared" si="22"/>
        <v>1.1476566653817692E-3</v>
      </c>
      <c r="BF53" s="29">
        <f t="shared" si="23"/>
        <v>1.9765498795600452E-3</v>
      </c>
      <c r="BH53" s="29"/>
    </row>
    <row r="54" spans="1:60" x14ac:dyDescent="0.3">
      <c r="A54" s="1">
        <v>46100</v>
      </c>
      <c r="B54" s="33">
        <v>46.54</v>
      </c>
      <c r="C54" s="33">
        <v>117.08</v>
      </c>
      <c r="D54" s="15">
        <v>-4.07419883818908E-3</v>
      </c>
      <c r="E54" s="15">
        <v>-3.7510700419367202E-3</v>
      </c>
      <c r="F54" s="33">
        <v>0</v>
      </c>
      <c r="G54" s="33">
        <v>0</v>
      </c>
      <c r="H54" s="33">
        <v>0</v>
      </c>
      <c r="I54" s="33">
        <v>0.62162899999999999</v>
      </c>
      <c r="J54" s="33">
        <v>0</v>
      </c>
      <c r="K54" s="33">
        <v>0.62162899999999999</v>
      </c>
      <c r="L54" s="33">
        <v>46.54</v>
      </c>
      <c r="M54" s="33">
        <v>117.701629</v>
      </c>
      <c r="N54" s="34">
        <v>2.5156854318865398</v>
      </c>
      <c r="O54" s="34">
        <v>2.5341745756035601</v>
      </c>
      <c r="P54" s="34">
        <v>2.52510955564038</v>
      </c>
      <c r="Q54" s="34">
        <v>2.5268571178685999</v>
      </c>
      <c r="R54" s="33">
        <v>117.940484748589</v>
      </c>
      <c r="S54" s="33">
        <v>117.607347546795</v>
      </c>
      <c r="T54" s="33">
        <v>117.637868023141</v>
      </c>
      <c r="U54" s="15">
        <v>7.3226688690191501E-3</v>
      </c>
      <c r="V54" s="15">
        <v>4.4940508285200497E-3</v>
      </c>
      <c r="W54" s="15">
        <v>4.7535288072157204E-3</v>
      </c>
      <c r="X54" s="34">
        <v>2.5290423076923001</v>
      </c>
      <c r="Y54" s="34">
        <v>2.5351085643703399</v>
      </c>
      <c r="Z54" s="34">
        <v>2.52909446670319</v>
      </c>
      <c r="AA54" s="34">
        <v>2.5288495734000098</v>
      </c>
      <c r="AB54" s="33">
        <v>117.983952585795</v>
      </c>
      <c r="AC54" s="33">
        <v>117.730642407658</v>
      </c>
      <c r="AD54" s="33">
        <v>117.699515453572</v>
      </c>
      <c r="AE54" s="15">
        <v>2.3957657395395999E-3</v>
      </c>
      <c r="AF54" s="15">
        <v>2.4646925106980999E-4</v>
      </c>
      <c r="AG54" s="15">
        <v>-1.7956976649365299E-5</v>
      </c>
      <c r="AI54" s="12"/>
      <c r="AJ54">
        <f t="shared" si="4"/>
        <v>0</v>
      </c>
      <c r="AK54">
        <f t="shared" si="5"/>
        <v>1</v>
      </c>
      <c r="AL54">
        <f t="shared" si="14"/>
        <v>0</v>
      </c>
      <c r="AM54">
        <f t="shared" si="6"/>
        <v>1</v>
      </c>
      <c r="AN54">
        <f t="shared" si="15"/>
        <v>0</v>
      </c>
      <c r="AO54" s="28">
        <f t="shared" si="7"/>
        <v>0</v>
      </c>
      <c r="AP54" s="28">
        <f t="shared" si="8"/>
        <v>0</v>
      </c>
      <c r="AQ54" s="28">
        <f t="shared" si="16"/>
        <v>0</v>
      </c>
      <c r="AR54" s="29">
        <f t="shared" si="17"/>
        <v>0</v>
      </c>
      <c r="AT54" s="12"/>
      <c r="AU54">
        <f t="shared" si="9"/>
        <v>0</v>
      </c>
      <c r="AV54">
        <f t="shared" si="10"/>
        <v>1</v>
      </c>
      <c r="AW54">
        <f t="shared" si="18"/>
        <v>1</v>
      </c>
      <c r="AX54">
        <f t="shared" si="11"/>
        <v>1</v>
      </c>
      <c r="AY54">
        <f t="shared" si="19"/>
        <v>1</v>
      </c>
      <c r="AZ54" s="28">
        <f t="shared" si="12"/>
        <v>4.07419883818908E-3</v>
      </c>
      <c r="BA54" s="28">
        <f t="shared" si="13"/>
        <v>-3.7510700419367202E-3</v>
      </c>
      <c r="BB54" s="28">
        <f t="shared" si="20"/>
        <v>3.2312879625235984E-4</v>
      </c>
      <c r="BC54" s="29">
        <f t="shared" si="21"/>
        <v>2.299678675812405E-3</v>
      </c>
      <c r="BE54" s="29">
        <f t="shared" si="22"/>
        <v>3.2312879625235984E-4</v>
      </c>
      <c r="BF54" s="29">
        <f t="shared" si="23"/>
        <v>2.299678675812405E-3</v>
      </c>
      <c r="BH54" s="29"/>
    </row>
    <row r="55" spans="1:60" x14ac:dyDescent="0.3">
      <c r="A55" s="1">
        <v>46101</v>
      </c>
      <c r="B55" s="33">
        <v>44.65</v>
      </c>
      <c r="C55" s="33">
        <v>112.57</v>
      </c>
      <c r="D55" s="15">
        <v>-4.1457850551637497E-2</v>
      </c>
      <c r="E55" s="15">
        <v>-3.9282211456972499E-2</v>
      </c>
      <c r="F55" s="33">
        <v>0</v>
      </c>
      <c r="G55" s="33">
        <v>0</v>
      </c>
      <c r="H55" s="33">
        <v>0</v>
      </c>
      <c r="I55" s="33">
        <v>0.62162899999999999</v>
      </c>
      <c r="J55" s="33">
        <v>0</v>
      </c>
      <c r="K55" s="33">
        <v>0.62162899999999999</v>
      </c>
      <c r="L55" s="33">
        <v>44.65</v>
      </c>
      <c r="M55" s="33">
        <v>113.191628999999</v>
      </c>
      <c r="N55" s="34">
        <v>2.52116461366181</v>
      </c>
      <c r="O55" s="34">
        <v>2.5341745756035601</v>
      </c>
      <c r="P55" s="34">
        <v>2.52386700973228</v>
      </c>
      <c r="Q55" s="34">
        <v>2.5264961817051601</v>
      </c>
      <c r="R55" s="33">
        <v>113.15089480069901</v>
      </c>
      <c r="S55" s="33">
        <v>112.746141659343</v>
      </c>
      <c r="T55" s="33">
        <v>112.824170312833</v>
      </c>
      <c r="U55" s="15">
        <v>5.1470297743541104E-3</v>
      </c>
      <c r="V55" s="15">
        <v>1.5635071143000499E-3</v>
      </c>
      <c r="W55" s="15">
        <v>2.2553415664513998E-3</v>
      </c>
      <c r="X55" s="34">
        <v>2.5350868756998799</v>
      </c>
      <c r="Y55" s="34">
        <v>2.5351085643703399</v>
      </c>
      <c r="Z55" s="34">
        <v>2.5292441469989</v>
      </c>
      <c r="AA55" s="34">
        <v>2.5291847503384699</v>
      </c>
      <c r="AB55" s="33">
        <v>113.192597399135</v>
      </c>
      <c r="AC55" s="33">
        <v>112.924067938297</v>
      </c>
      <c r="AD55" s="33">
        <v>112.91313345231001</v>
      </c>
      <c r="AE55" s="15">
        <v>8.5553587478696494E-6</v>
      </c>
      <c r="AF55" s="15">
        <v>-2.3665865767243401E-3</v>
      </c>
      <c r="AG55" s="15">
        <v>-2.4634216944844E-3</v>
      </c>
      <c r="AI55" s="12"/>
      <c r="AJ55">
        <f t="shared" si="4"/>
        <v>0</v>
      </c>
      <c r="AK55">
        <f t="shared" si="5"/>
        <v>0</v>
      </c>
      <c r="AL55">
        <f t="shared" si="14"/>
        <v>0</v>
      </c>
      <c r="AM55">
        <f t="shared" si="6"/>
        <v>0</v>
      </c>
      <c r="AN55">
        <f t="shared" si="15"/>
        <v>0</v>
      </c>
      <c r="AO55" s="28">
        <f t="shared" si="7"/>
        <v>0</v>
      </c>
      <c r="AP55" s="28">
        <f t="shared" si="8"/>
        <v>0</v>
      </c>
      <c r="AQ55" s="28">
        <f t="shared" si="16"/>
        <v>0</v>
      </c>
      <c r="AR55" s="29">
        <f t="shared" si="17"/>
        <v>0</v>
      </c>
      <c r="AT55" s="12"/>
      <c r="AU55">
        <f t="shared" si="9"/>
        <v>0</v>
      </c>
      <c r="AV55">
        <f t="shared" si="10"/>
        <v>1</v>
      </c>
      <c r="AW55">
        <f t="shared" si="18"/>
        <v>0</v>
      </c>
      <c r="AX55">
        <f t="shared" si="11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2.299678675812405E-3</v>
      </c>
      <c r="BE55" s="29">
        <f t="shared" si="22"/>
        <v>0</v>
      </c>
      <c r="BF55" s="29">
        <f t="shared" si="23"/>
        <v>2.299678675812405E-3</v>
      </c>
      <c r="BH55" s="29"/>
    </row>
    <row r="56" spans="1:60" x14ac:dyDescent="0.3">
      <c r="A56" s="1">
        <v>46104</v>
      </c>
      <c r="B56" s="33">
        <v>44.78</v>
      </c>
      <c r="C56" s="33">
        <v>113.42</v>
      </c>
      <c r="D56" s="15">
        <v>2.90730384810081E-3</v>
      </c>
      <c r="E56" s="15">
        <v>7.5224922191694599E-3</v>
      </c>
      <c r="F56" s="33">
        <v>0.30993999999999999</v>
      </c>
      <c r="G56" s="33">
        <v>0.30993999999999999</v>
      </c>
      <c r="H56" s="33">
        <v>0</v>
      </c>
      <c r="I56" s="33">
        <v>0.62162899999999999</v>
      </c>
      <c r="J56" s="33">
        <v>0</v>
      </c>
      <c r="K56" s="33">
        <v>0</v>
      </c>
      <c r="L56" s="33">
        <v>44.78</v>
      </c>
      <c r="M56" s="33">
        <v>113.42</v>
      </c>
      <c r="N56" s="34">
        <v>2.5328271549799002</v>
      </c>
      <c r="O56" s="34">
        <v>2.5341745756035601</v>
      </c>
      <c r="P56" s="34">
        <v>2.5237665875568398</v>
      </c>
      <c r="Q56" s="34">
        <v>2.5268950373119101</v>
      </c>
      <c r="R56" s="33">
        <v>113.480337495527</v>
      </c>
      <c r="S56" s="33">
        <v>113.018764695811</v>
      </c>
      <c r="T56" s="33">
        <v>113.136499016757</v>
      </c>
      <c r="U56" s="15">
        <v>5.3184140328560697E-4</v>
      </c>
      <c r="V56" s="15">
        <v>-3.5438784048829699E-3</v>
      </c>
      <c r="W56" s="15">
        <v>-2.5026969647630598E-3</v>
      </c>
      <c r="X56" s="34">
        <v>2.5328271549799002</v>
      </c>
      <c r="Y56" s="34">
        <v>2.5351085643703399</v>
      </c>
      <c r="Z56" s="34">
        <v>2.5291437248234598</v>
      </c>
      <c r="AA56" s="34">
        <v>2.5295836059452199</v>
      </c>
      <c r="AB56" s="33">
        <v>113.522161512504</v>
      </c>
      <c r="AC56" s="33">
        <v>113.25955290261</v>
      </c>
      <c r="AD56" s="33">
        <v>113.25689312015599</v>
      </c>
      <c r="AE56" s="15">
        <v>9.0033089245367495E-4</v>
      </c>
      <c r="AF56" s="15">
        <v>-1.4156294392629601E-3</v>
      </c>
      <c r="AG56" s="15">
        <v>-1.4391136718724001E-3</v>
      </c>
      <c r="AI56" s="12"/>
      <c r="AJ56">
        <f t="shared" si="4"/>
        <v>0</v>
      </c>
      <c r="AK56">
        <f t="shared" si="5"/>
        <v>0</v>
      </c>
      <c r="AL56">
        <f t="shared" si="14"/>
        <v>0</v>
      </c>
      <c r="AM56">
        <f t="shared" si="6"/>
        <v>1</v>
      </c>
      <c r="AN56">
        <f t="shared" si="15"/>
        <v>0</v>
      </c>
      <c r="AO56" s="28">
        <f t="shared" si="7"/>
        <v>0</v>
      </c>
      <c r="AP56" s="28">
        <f t="shared" si="8"/>
        <v>0</v>
      </c>
      <c r="AQ56" s="28">
        <f t="shared" si="16"/>
        <v>0</v>
      </c>
      <c r="AR56" s="29">
        <f t="shared" si="17"/>
        <v>0</v>
      </c>
      <c r="AT56" s="12"/>
      <c r="AU56">
        <f t="shared" si="9"/>
        <v>0</v>
      </c>
      <c r="AV56">
        <f t="shared" si="10"/>
        <v>1</v>
      </c>
      <c r="AW56">
        <f t="shared" si="18"/>
        <v>0</v>
      </c>
      <c r="AX56">
        <f t="shared" si="11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2.299678675812405E-3</v>
      </c>
      <c r="BE56" s="29">
        <f t="shared" si="22"/>
        <v>0</v>
      </c>
      <c r="BF56" s="29">
        <f t="shared" si="23"/>
        <v>2.299678675812405E-3</v>
      </c>
      <c r="BH56" s="29"/>
    </row>
    <row r="57" spans="1:60" x14ac:dyDescent="0.3">
      <c r="A57" s="1">
        <v>46105</v>
      </c>
      <c r="B57" s="33">
        <v>45.09</v>
      </c>
      <c r="C57" s="33">
        <v>114.11</v>
      </c>
      <c r="D57" s="15">
        <v>6.8988812623840701E-3</v>
      </c>
      <c r="E57" s="15">
        <v>6.0651528607063602E-3</v>
      </c>
      <c r="F57" s="33">
        <v>0</v>
      </c>
      <c r="G57" s="33">
        <v>0.30993999999999999</v>
      </c>
      <c r="H57" s="33">
        <v>0</v>
      </c>
      <c r="I57" s="33">
        <v>0.62162899999999999</v>
      </c>
      <c r="J57" s="33">
        <v>0</v>
      </c>
      <c r="K57" s="33">
        <v>0</v>
      </c>
      <c r="L57" s="33">
        <v>45.09</v>
      </c>
      <c r="M57" s="33">
        <v>114.11</v>
      </c>
      <c r="N57" s="34">
        <v>2.5307163450875998</v>
      </c>
      <c r="O57" s="34">
        <v>2.5341745756035601</v>
      </c>
      <c r="P57" s="34">
        <v>2.5241105588353601</v>
      </c>
      <c r="Q57" s="34">
        <v>2.5273397528713701</v>
      </c>
      <c r="R57" s="33">
        <v>114.265931613964</v>
      </c>
      <c r="S57" s="33">
        <v>113.796635432938</v>
      </c>
      <c r="T57" s="33">
        <v>113.937697232394</v>
      </c>
      <c r="U57" s="15">
        <v>1.36556980496316E-3</v>
      </c>
      <c r="V57" s="15">
        <v>-2.7499398070858299E-3</v>
      </c>
      <c r="W57" s="15">
        <v>-1.51111195143924E-3</v>
      </c>
      <c r="X57" s="34">
        <v>2.5307163450875998</v>
      </c>
      <c r="Y57" s="34">
        <v>2.5351085643703399</v>
      </c>
      <c r="Z57" s="34">
        <v>2.5294876961019801</v>
      </c>
      <c r="AA57" s="34">
        <v>2.5300283215046799</v>
      </c>
      <c r="AB57" s="33">
        <v>114.308045167458</v>
      </c>
      <c r="AC57" s="33">
        <v>114.03909055229001</v>
      </c>
      <c r="AD57" s="33">
        <v>114.05892479207</v>
      </c>
      <c r="AE57" s="15">
        <v>1.7340592941316E-3</v>
      </c>
      <c r="AF57" s="15">
        <v>-6.2160624722633502E-4</v>
      </c>
      <c r="AG57" s="15">
        <v>-4.4769644972088198E-4</v>
      </c>
      <c r="AI57" s="12"/>
      <c r="AJ57">
        <f t="shared" si="4"/>
        <v>0</v>
      </c>
      <c r="AK57">
        <f t="shared" si="5"/>
        <v>1</v>
      </c>
      <c r="AL57">
        <f t="shared" si="14"/>
        <v>0</v>
      </c>
      <c r="AM57">
        <f t="shared" si="6"/>
        <v>1</v>
      </c>
      <c r="AN57">
        <f t="shared" si="15"/>
        <v>0</v>
      </c>
      <c r="AO57" s="28">
        <f t="shared" si="7"/>
        <v>0</v>
      </c>
      <c r="AP57" s="28">
        <f t="shared" si="8"/>
        <v>0</v>
      </c>
      <c r="AQ57" s="28">
        <f t="shared" si="16"/>
        <v>0</v>
      </c>
      <c r="AR57" s="29">
        <f t="shared" si="17"/>
        <v>0</v>
      </c>
      <c r="AT57" s="12"/>
      <c r="AU57">
        <f t="shared" si="9"/>
        <v>0</v>
      </c>
      <c r="AV57">
        <f t="shared" si="10"/>
        <v>1</v>
      </c>
      <c r="AW57">
        <f t="shared" si="18"/>
        <v>0</v>
      </c>
      <c r="AX57">
        <f t="shared" si="11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2.299678675812405E-3</v>
      </c>
      <c r="BE57" s="29">
        <f t="shared" si="22"/>
        <v>0</v>
      </c>
      <c r="BF57" s="29">
        <f t="shared" si="23"/>
        <v>2.299678675812405E-3</v>
      </c>
      <c r="BH57" s="29"/>
    </row>
    <row r="58" spans="1:60" x14ac:dyDescent="0.3">
      <c r="A58" s="1">
        <v>46106</v>
      </c>
      <c r="B58" s="33">
        <v>45.25</v>
      </c>
      <c r="C58" s="33">
        <v>114.49</v>
      </c>
      <c r="D58" s="15">
        <v>3.5421777129423298E-3</v>
      </c>
      <c r="E58" s="15">
        <v>3.3245874891327E-3</v>
      </c>
      <c r="F58" s="33">
        <v>0</v>
      </c>
      <c r="G58" s="33">
        <v>0.30993999999999999</v>
      </c>
      <c r="H58" s="33">
        <v>0</v>
      </c>
      <c r="I58" s="33">
        <v>0.62162899999999999</v>
      </c>
      <c r="J58" s="33">
        <v>0</v>
      </c>
      <c r="K58" s="33">
        <v>0</v>
      </c>
      <c r="L58" s="33">
        <v>45.25</v>
      </c>
      <c r="M58" s="33">
        <v>114.49</v>
      </c>
      <c r="N58" s="34">
        <v>2.5301657458563498</v>
      </c>
      <c r="O58" s="34">
        <v>2.5341745756035601</v>
      </c>
      <c r="P58" s="34">
        <v>2.5240407136679099</v>
      </c>
      <c r="Q58" s="34">
        <v>2.5277500671912199</v>
      </c>
      <c r="R58" s="33">
        <v>114.671399546061</v>
      </c>
      <c r="S58" s="33">
        <v>114.2160027873</v>
      </c>
      <c r="T58" s="33">
        <v>114.36212381742899</v>
      </c>
      <c r="U58" s="15">
        <v>1.5831600287728601E-3</v>
      </c>
      <c r="V58" s="15">
        <v>-2.3960660450375098E-3</v>
      </c>
      <c r="W58" s="15">
        <v>-1.1175443229089199E-3</v>
      </c>
      <c r="X58" s="34">
        <v>2.5301657458563498</v>
      </c>
      <c r="Y58" s="34">
        <v>2.5351085643703399</v>
      </c>
      <c r="Z58" s="34">
        <v>2.52941785093453</v>
      </c>
      <c r="AA58" s="34">
        <v>2.5304386358245301</v>
      </c>
      <c r="AB58" s="33">
        <v>114.713662537758</v>
      </c>
      <c r="AC58" s="33">
        <v>114.459318248614</v>
      </c>
      <c r="AD58" s="33">
        <v>114.48378154808699</v>
      </c>
      <c r="AE58" s="15">
        <v>1.9516495179412599E-3</v>
      </c>
      <c r="AF58" s="15">
        <v>-2.6802221385512803E-4</v>
      </c>
      <c r="AG58" s="15">
        <v>-5.4315842384956397E-5</v>
      </c>
      <c r="AI58" s="12"/>
      <c r="AJ58">
        <f t="shared" si="4"/>
        <v>0</v>
      </c>
      <c r="AK58">
        <f t="shared" si="5"/>
        <v>1</v>
      </c>
      <c r="AL58">
        <f t="shared" si="14"/>
        <v>0</v>
      </c>
      <c r="AM58">
        <f t="shared" si="6"/>
        <v>1</v>
      </c>
      <c r="AN58">
        <f t="shared" si="15"/>
        <v>0</v>
      </c>
      <c r="AO58" s="28">
        <f t="shared" si="7"/>
        <v>0</v>
      </c>
      <c r="AP58" s="28">
        <f t="shared" si="8"/>
        <v>0</v>
      </c>
      <c r="AQ58" s="28">
        <f t="shared" si="16"/>
        <v>0</v>
      </c>
      <c r="AR58" s="29">
        <f t="shared" si="17"/>
        <v>0</v>
      </c>
      <c r="AT58" s="12"/>
      <c r="AU58">
        <f t="shared" si="9"/>
        <v>0</v>
      </c>
      <c r="AV58">
        <f t="shared" si="10"/>
        <v>1</v>
      </c>
      <c r="AW58">
        <f t="shared" si="18"/>
        <v>0</v>
      </c>
      <c r="AX58">
        <f t="shared" si="11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2.299678675812405E-3</v>
      </c>
      <c r="BE58" s="29">
        <f t="shared" si="22"/>
        <v>0</v>
      </c>
      <c r="BF58" s="29">
        <f t="shared" si="23"/>
        <v>2.299678675812405E-3</v>
      </c>
      <c r="BH58" s="29"/>
    </row>
    <row r="59" spans="1:60" x14ac:dyDescent="0.3">
      <c r="A59" s="1">
        <v>46107</v>
      </c>
      <c r="B59" s="33">
        <v>45.33</v>
      </c>
      <c r="C59" s="33">
        <v>114.81</v>
      </c>
      <c r="D59" s="15">
        <v>1.7663948068227899E-3</v>
      </c>
      <c r="E59" s="15">
        <v>2.7911051699995998E-3</v>
      </c>
      <c r="F59" s="33">
        <v>0</v>
      </c>
      <c r="G59" s="33">
        <v>0.30993999999999999</v>
      </c>
      <c r="H59" s="33">
        <v>0</v>
      </c>
      <c r="I59" s="33">
        <v>0.62162899999999999</v>
      </c>
      <c r="J59" s="33">
        <v>0</v>
      </c>
      <c r="K59" s="33">
        <v>0</v>
      </c>
      <c r="L59" s="33">
        <v>45.33</v>
      </c>
      <c r="M59" s="33">
        <v>114.81</v>
      </c>
      <c r="N59" s="34">
        <v>2.53275976174718</v>
      </c>
      <c r="O59" s="34">
        <v>2.5341745756035601</v>
      </c>
      <c r="P59" s="34">
        <v>2.5242199156490801</v>
      </c>
      <c r="Q59" s="34">
        <v>2.5280103528622999</v>
      </c>
      <c r="R59" s="33">
        <v>114.874133512109</v>
      </c>
      <c r="S59" s="33">
        <v>114.414765550566</v>
      </c>
      <c r="T59" s="33">
        <v>114.58291054577801</v>
      </c>
      <c r="U59" s="15">
        <v>5.5844966559596E-4</v>
      </c>
      <c r="V59" s="15">
        <v>-3.4484479908138701E-3</v>
      </c>
      <c r="W59" s="15">
        <v>-1.9799175821565498E-3</v>
      </c>
      <c r="X59" s="34">
        <v>2.53275976174718</v>
      </c>
      <c r="Y59" s="34">
        <v>2.5351085643703399</v>
      </c>
      <c r="Z59" s="34">
        <v>2.5295970529157001</v>
      </c>
      <c r="AA59" s="34">
        <v>2.5306989214956102</v>
      </c>
      <c r="AB59" s="33">
        <v>114.91647122290701</v>
      </c>
      <c r="AC59" s="33">
        <v>114.658511182862</v>
      </c>
      <c r="AD59" s="33">
        <v>114.704783361926</v>
      </c>
      <c r="AE59" s="15">
        <v>9.2693915476422205E-4</v>
      </c>
      <c r="AF59" s="15">
        <v>-1.32034533509056E-3</v>
      </c>
      <c r="AG59" s="15">
        <v>-9.16861597353354E-4</v>
      </c>
      <c r="AI59" s="12"/>
      <c r="AJ59">
        <f t="shared" si="4"/>
        <v>0</v>
      </c>
      <c r="AK59">
        <f t="shared" si="5"/>
        <v>1</v>
      </c>
      <c r="AL59">
        <f t="shared" si="14"/>
        <v>0</v>
      </c>
      <c r="AM59">
        <f t="shared" si="6"/>
        <v>1</v>
      </c>
      <c r="AN59">
        <f t="shared" si="15"/>
        <v>0</v>
      </c>
      <c r="AO59" s="28">
        <f t="shared" si="7"/>
        <v>0</v>
      </c>
      <c r="AP59" s="28">
        <f t="shared" si="8"/>
        <v>0</v>
      </c>
      <c r="AQ59" s="28">
        <f t="shared" si="16"/>
        <v>0</v>
      </c>
      <c r="AR59" s="29">
        <f t="shared" si="17"/>
        <v>0</v>
      </c>
      <c r="AT59" s="12"/>
      <c r="AU59">
        <f t="shared" si="9"/>
        <v>0</v>
      </c>
      <c r="AV59">
        <f t="shared" si="10"/>
        <v>1</v>
      </c>
      <c r="AW59">
        <f t="shared" si="18"/>
        <v>0</v>
      </c>
      <c r="AX59">
        <f t="shared" si="11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2.299678675812405E-3</v>
      </c>
      <c r="BE59" s="29">
        <f t="shared" si="22"/>
        <v>0</v>
      </c>
      <c r="BF59" s="29">
        <f t="shared" si="23"/>
        <v>2.299678675812405E-3</v>
      </c>
      <c r="BH59" s="29"/>
    </row>
    <row r="60" spans="1:60" x14ac:dyDescent="0.3">
      <c r="A60" s="1">
        <v>46108</v>
      </c>
      <c r="B60" s="33">
        <v>45.59</v>
      </c>
      <c r="C60" s="33">
        <v>115.34</v>
      </c>
      <c r="D60" s="15">
        <v>5.7193292725923398E-3</v>
      </c>
      <c r="E60" s="15">
        <v>4.6057000815460398E-3</v>
      </c>
      <c r="F60" s="33">
        <v>0</v>
      </c>
      <c r="G60" s="33">
        <v>0.30993999999999999</v>
      </c>
      <c r="H60" s="33">
        <v>0</v>
      </c>
      <c r="I60" s="33">
        <v>0.62162899999999999</v>
      </c>
      <c r="J60" s="33">
        <v>0</v>
      </c>
      <c r="K60" s="33">
        <v>0</v>
      </c>
      <c r="L60" s="33">
        <v>45.59</v>
      </c>
      <c r="M60" s="33">
        <v>115.34</v>
      </c>
      <c r="N60" s="34">
        <v>2.52994077648607</v>
      </c>
      <c r="O60" s="34">
        <v>2.5341745756035601</v>
      </c>
      <c r="P60" s="34">
        <v>2.5244030904016102</v>
      </c>
      <c r="Q60" s="34">
        <v>2.5280669978043502</v>
      </c>
      <c r="R60" s="33">
        <v>115.533018901766</v>
      </c>
      <c r="S60" s="33">
        <v>115.079185954441</v>
      </c>
      <c r="T60" s="33">
        <v>115.251991986992</v>
      </c>
      <c r="U60" s="15">
        <v>1.6720788566423001E-3</v>
      </c>
      <c r="V60" s="15">
        <v>-2.2638232651057502E-3</v>
      </c>
      <c r="W60" s="15">
        <v>-7.6332240788100001E-4</v>
      </c>
      <c r="X60" s="34">
        <v>2.52994077648607</v>
      </c>
      <c r="Y60" s="34">
        <v>2.5351085643703399</v>
      </c>
      <c r="Z60" s="34">
        <v>2.5297802276682302</v>
      </c>
      <c r="AA60" s="34">
        <v>2.53075556643766</v>
      </c>
      <c r="AB60" s="33">
        <v>115.57559944964299</v>
      </c>
      <c r="AC60" s="33">
        <v>115.324329642427</v>
      </c>
      <c r="AD60" s="33">
        <v>115.374563830985</v>
      </c>
      <c r="AE60" s="15">
        <v>2.0405683458105299E-3</v>
      </c>
      <c r="AF60" s="15">
        <v>-1.3587152917300099E-4</v>
      </c>
      <c r="AG60" s="15">
        <v>2.9962418210318303E-4</v>
      </c>
      <c r="AI60" s="12"/>
      <c r="AJ60">
        <f t="shared" si="4"/>
        <v>0</v>
      </c>
      <c r="AK60">
        <f t="shared" si="5"/>
        <v>1</v>
      </c>
      <c r="AL60">
        <f t="shared" si="14"/>
        <v>0</v>
      </c>
      <c r="AM60">
        <f t="shared" si="6"/>
        <v>1</v>
      </c>
      <c r="AN60">
        <f t="shared" si="15"/>
        <v>0</v>
      </c>
      <c r="AO60" s="28">
        <f t="shared" si="7"/>
        <v>0</v>
      </c>
      <c r="AP60" s="28">
        <f t="shared" si="8"/>
        <v>0</v>
      </c>
      <c r="AQ60" s="28">
        <f t="shared" si="16"/>
        <v>0</v>
      </c>
      <c r="AR60" s="29">
        <f t="shared" si="17"/>
        <v>0</v>
      </c>
      <c r="AT60" s="12"/>
      <c r="AU60">
        <f t="shared" si="9"/>
        <v>0</v>
      </c>
      <c r="AV60">
        <f t="shared" si="10"/>
        <v>0</v>
      </c>
      <c r="AW60">
        <f t="shared" si="18"/>
        <v>0</v>
      </c>
      <c r="AX60">
        <f t="shared" si="11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2.299678675812405E-3</v>
      </c>
      <c r="BE60" s="29">
        <f t="shared" si="22"/>
        <v>0</v>
      </c>
      <c r="BF60" s="29">
        <f t="shared" si="23"/>
        <v>2.299678675812405E-3</v>
      </c>
      <c r="BH60" s="29"/>
    </row>
    <row r="61" spans="1:60" x14ac:dyDescent="0.3">
      <c r="A61" s="1">
        <v>46111</v>
      </c>
      <c r="B61" s="33">
        <v>45.92</v>
      </c>
      <c r="C61" s="33">
        <v>116.21</v>
      </c>
      <c r="D61" s="15">
        <v>7.2123577859608597E-3</v>
      </c>
      <c r="E61" s="15">
        <v>7.5146110475157899E-3</v>
      </c>
      <c r="F61" s="33">
        <v>0</v>
      </c>
      <c r="G61" s="33">
        <v>0.30993999999999999</v>
      </c>
      <c r="H61" s="33">
        <v>0</v>
      </c>
      <c r="I61" s="33">
        <v>0.62162899999999999</v>
      </c>
      <c r="J61" s="33">
        <v>0</v>
      </c>
      <c r="K61" s="33">
        <v>0</v>
      </c>
      <c r="L61" s="33">
        <v>45.92</v>
      </c>
      <c r="M61" s="33">
        <v>116.21</v>
      </c>
      <c r="N61" s="34">
        <v>2.5307055749128899</v>
      </c>
      <c r="O61" s="34">
        <v>2.5341745756035601</v>
      </c>
      <c r="P61" s="34">
        <v>2.5250826195391101</v>
      </c>
      <c r="Q61" s="34">
        <v>2.5279820527796701</v>
      </c>
      <c r="R61" s="33">
        <v>116.36929651171501</v>
      </c>
      <c r="S61" s="33">
        <v>115.920589911242</v>
      </c>
      <c r="T61" s="33">
        <v>116.08883653917501</v>
      </c>
      <c r="U61" s="15">
        <v>1.36982559508742E-3</v>
      </c>
      <c r="V61" s="15">
        <v>-2.4935122839408199E-3</v>
      </c>
      <c r="W61" s="15">
        <v>-1.0431689940142901E-3</v>
      </c>
      <c r="X61" s="34">
        <v>2.5307055749128899</v>
      </c>
      <c r="Y61" s="34">
        <v>2.5351085643703399</v>
      </c>
      <c r="Z61" s="34">
        <v>2.5304597568057301</v>
      </c>
      <c r="AA61" s="34">
        <v>2.5306706214129799</v>
      </c>
      <c r="AB61" s="33">
        <v>116.412185275886</v>
      </c>
      <c r="AC61" s="33">
        <v>116.167508054525</v>
      </c>
      <c r="AD61" s="33">
        <v>116.21229561081699</v>
      </c>
      <c r="AE61" s="15">
        <v>1.7383150842558599E-3</v>
      </c>
      <c r="AF61" s="15">
        <v>-3.65714791454479E-4</v>
      </c>
      <c r="AG61" s="15">
        <v>1.9753791790811199E-5</v>
      </c>
      <c r="AI61" s="12"/>
      <c r="AJ61">
        <f t="shared" si="4"/>
        <v>0</v>
      </c>
      <c r="AK61">
        <f t="shared" si="5"/>
        <v>1</v>
      </c>
      <c r="AL61">
        <f t="shared" si="14"/>
        <v>0</v>
      </c>
      <c r="AM61">
        <f t="shared" si="6"/>
        <v>1</v>
      </c>
      <c r="AN61">
        <f t="shared" si="15"/>
        <v>0</v>
      </c>
      <c r="AO61" s="28">
        <f t="shared" si="7"/>
        <v>0</v>
      </c>
      <c r="AP61" s="28">
        <f t="shared" si="8"/>
        <v>0</v>
      </c>
      <c r="AQ61" s="28">
        <f t="shared" si="16"/>
        <v>0</v>
      </c>
      <c r="AR61" s="29">
        <f t="shared" si="17"/>
        <v>0</v>
      </c>
      <c r="AT61" s="12"/>
      <c r="AU61">
        <f t="shared" si="9"/>
        <v>0</v>
      </c>
      <c r="AV61">
        <f t="shared" si="10"/>
        <v>1</v>
      </c>
      <c r="AW61">
        <f t="shared" si="18"/>
        <v>0</v>
      </c>
      <c r="AX61">
        <f t="shared" si="11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2.299678675812405E-3</v>
      </c>
      <c r="BE61" s="29">
        <f t="shared" si="22"/>
        <v>0</v>
      </c>
      <c r="BF61" s="29">
        <f t="shared" si="23"/>
        <v>2.299678675812405E-3</v>
      </c>
      <c r="BH61" s="29"/>
    </row>
    <row r="62" spans="1:60" x14ac:dyDescent="0.3">
      <c r="A62" s="1">
        <v>46112</v>
      </c>
      <c r="B62" s="33">
        <v>45.89</v>
      </c>
      <c r="C62" s="33">
        <v>116.11</v>
      </c>
      <c r="D62" s="15">
        <v>-6.5352360456885097E-4</v>
      </c>
      <c r="E62" s="15">
        <v>-8.60881595867543E-4</v>
      </c>
      <c r="F62" s="33">
        <v>0</v>
      </c>
      <c r="G62" s="33">
        <v>0.30993999999999999</v>
      </c>
      <c r="H62" s="33">
        <v>0</v>
      </c>
      <c r="I62" s="33">
        <v>0.62162899999999999</v>
      </c>
      <c r="J62" s="33">
        <v>0</v>
      </c>
      <c r="K62" s="33">
        <v>0</v>
      </c>
      <c r="L62" s="33">
        <v>45.89</v>
      </c>
      <c r="M62" s="33">
        <v>116.11</v>
      </c>
      <c r="N62" s="34">
        <v>2.5301808672913402</v>
      </c>
      <c r="O62" s="34">
        <v>2.5341745756035601</v>
      </c>
      <c r="P62" s="34">
        <v>2.5269018944710901</v>
      </c>
      <c r="Q62" s="34">
        <v>2.52781805599128</v>
      </c>
      <c r="R62" s="33">
        <v>116.29327127444699</v>
      </c>
      <c r="S62" s="33">
        <v>115.87604141064899</v>
      </c>
      <c r="T62" s="33">
        <v>116.009096402059</v>
      </c>
      <c r="U62" s="15">
        <v>1.57718358638613E-3</v>
      </c>
      <c r="V62" s="15">
        <v>-2.0170064306070799E-3</v>
      </c>
      <c r="W62" s="15">
        <v>-8.6941234788929698E-4</v>
      </c>
      <c r="X62" s="34">
        <v>2.5301808672913402</v>
      </c>
      <c r="Y62" s="34">
        <v>2.5351085643703399</v>
      </c>
      <c r="Z62" s="34">
        <v>2.5309600650498201</v>
      </c>
      <c r="AA62" s="34">
        <v>2.5305066246245902</v>
      </c>
      <c r="AB62" s="33">
        <v>116.336132018955</v>
      </c>
      <c r="AC62" s="33">
        <v>116.122798239815</v>
      </c>
      <c r="AD62" s="33">
        <v>116.132474816642</v>
      </c>
      <c r="AE62" s="15">
        <v>1.94567307555438E-3</v>
      </c>
      <c r="AF62" s="15">
        <v>1.10219055404976E-4</v>
      </c>
      <c r="AG62" s="15">
        <v>1.9354613517563401E-4</v>
      </c>
      <c r="AI62" s="12"/>
      <c r="AJ62">
        <f t="shared" si="4"/>
        <v>0</v>
      </c>
      <c r="AK62">
        <f t="shared" si="5"/>
        <v>1</v>
      </c>
      <c r="AL62">
        <f t="shared" si="14"/>
        <v>0</v>
      </c>
      <c r="AM62">
        <f t="shared" si="6"/>
        <v>1</v>
      </c>
      <c r="AN62">
        <f t="shared" si="15"/>
        <v>0</v>
      </c>
      <c r="AO62" s="28">
        <f t="shared" si="7"/>
        <v>0</v>
      </c>
      <c r="AP62" s="28">
        <f t="shared" si="8"/>
        <v>0</v>
      </c>
      <c r="AQ62" s="28">
        <f t="shared" si="16"/>
        <v>0</v>
      </c>
      <c r="AR62" s="29">
        <f t="shared" si="17"/>
        <v>0</v>
      </c>
      <c r="AT62" s="12"/>
      <c r="AU62">
        <f t="shared" si="9"/>
        <v>0</v>
      </c>
      <c r="AV62">
        <f t="shared" si="10"/>
        <v>1</v>
      </c>
      <c r="AW62">
        <f t="shared" si="18"/>
        <v>0</v>
      </c>
      <c r="AX62">
        <f t="shared" si="11"/>
        <v>1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2.299678675812405E-3</v>
      </c>
      <c r="BE62" s="29">
        <f t="shared" si="22"/>
        <v>0</v>
      </c>
      <c r="BF62" s="29">
        <f t="shared" si="23"/>
        <v>2.299678675812405E-3</v>
      </c>
      <c r="BH62" s="29"/>
    </row>
    <row r="63" spans="1:60" x14ac:dyDescent="0.3">
      <c r="A63" s="1">
        <v>46113</v>
      </c>
      <c r="B63" s="33">
        <v>46.11</v>
      </c>
      <c r="C63" s="33">
        <v>116.61</v>
      </c>
      <c r="D63" s="15">
        <v>4.7826178118720603E-3</v>
      </c>
      <c r="E63" s="15">
        <v>4.2970158933267498E-3</v>
      </c>
      <c r="F63" s="33">
        <v>0</v>
      </c>
      <c r="G63" s="33">
        <v>0.30993999999999999</v>
      </c>
      <c r="H63" s="33">
        <v>0</v>
      </c>
      <c r="I63" s="33">
        <v>0.62162899999999999</v>
      </c>
      <c r="J63" s="33">
        <v>0</v>
      </c>
      <c r="K63" s="33">
        <v>0</v>
      </c>
      <c r="L63" s="33">
        <v>46.11</v>
      </c>
      <c r="M63" s="33">
        <v>116.61</v>
      </c>
      <c r="N63" s="34">
        <v>2.52895250487963</v>
      </c>
      <c r="O63" s="34">
        <v>2.5341745756035601</v>
      </c>
      <c r="P63" s="34">
        <v>2.5283098776789301</v>
      </c>
      <c r="Q63" s="34">
        <v>2.5276631849374001</v>
      </c>
      <c r="R63" s="33">
        <v>116.85078968108</v>
      </c>
      <c r="S63" s="33">
        <v>116.51544635406199</v>
      </c>
      <c r="T63" s="33">
        <v>116.55769056175799</v>
      </c>
      <c r="U63" s="15">
        <v>2.0627855049315299E-3</v>
      </c>
      <c r="V63" s="15">
        <v>-8.1118258518351604E-4</v>
      </c>
      <c r="W63" s="15">
        <v>-4.4868514152630298E-4</v>
      </c>
      <c r="X63" s="34">
        <v>2.52895250487963</v>
      </c>
      <c r="Y63" s="34">
        <v>2.5351085643703399</v>
      </c>
      <c r="Z63" s="34">
        <v>2.53103779146331</v>
      </c>
      <c r="AA63" s="34">
        <v>2.5303517535707098</v>
      </c>
      <c r="AB63" s="33">
        <v>116.89385590311601</v>
      </c>
      <c r="AC63" s="33">
        <v>116.70256859944701</v>
      </c>
      <c r="AD63" s="33">
        <v>116.68166046143899</v>
      </c>
      <c r="AE63" s="15">
        <v>2.4312749940997801E-3</v>
      </c>
      <c r="AF63" s="15">
        <v>7.9351579608806305E-4</v>
      </c>
      <c r="AG63" s="15">
        <v>6.1434226626023102E-4</v>
      </c>
      <c r="AI63" s="12"/>
      <c r="AJ63">
        <f t="shared" si="4"/>
        <v>0</v>
      </c>
      <c r="AK63">
        <f t="shared" si="5"/>
        <v>1</v>
      </c>
      <c r="AL63">
        <f t="shared" si="14"/>
        <v>0</v>
      </c>
      <c r="AM63">
        <f t="shared" si="6"/>
        <v>1</v>
      </c>
      <c r="AN63">
        <f t="shared" si="15"/>
        <v>0</v>
      </c>
      <c r="AO63" s="28">
        <f t="shared" si="7"/>
        <v>0</v>
      </c>
      <c r="AP63" s="28">
        <f t="shared" si="8"/>
        <v>0</v>
      </c>
      <c r="AQ63" s="28">
        <f t="shared" si="16"/>
        <v>0</v>
      </c>
      <c r="AR63" s="29">
        <f t="shared" si="17"/>
        <v>0</v>
      </c>
      <c r="AT63" s="12"/>
      <c r="AU63">
        <f t="shared" si="9"/>
        <v>0</v>
      </c>
      <c r="AV63">
        <f t="shared" si="10"/>
        <v>0</v>
      </c>
      <c r="AW63">
        <f t="shared" si="18"/>
        <v>0</v>
      </c>
      <c r="AX63">
        <f t="shared" si="11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2.299678675812405E-3</v>
      </c>
      <c r="BE63" s="29">
        <f t="shared" si="22"/>
        <v>0</v>
      </c>
      <c r="BF63" s="29">
        <f t="shared" si="23"/>
        <v>2.299678675812405E-3</v>
      </c>
      <c r="BH63" s="29"/>
    </row>
    <row r="64" spans="1:60" x14ac:dyDescent="0.3">
      <c r="A64" s="1">
        <v>46114</v>
      </c>
      <c r="B64" s="33">
        <v>46.34</v>
      </c>
      <c r="C64" s="33">
        <v>117.48</v>
      </c>
      <c r="D64" s="15">
        <v>4.9756727856159902E-3</v>
      </c>
      <c r="E64" s="15">
        <v>7.4330727981777997E-3</v>
      </c>
      <c r="F64" s="33">
        <v>0</v>
      </c>
      <c r="G64" s="33">
        <v>0.30993999999999999</v>
      </c>
      <c r="H64" s="33">
        <v>0</v>
      </c>
      <c r="I64" s="33">
        <v>0.62162899999999999</v>
      </c>
      <c r="J64" s="33">
        <v>0</v>
      </c>
      <c r="K64" s="33">
        <v>0</v>
      </c>
      <c r="L64" s="33">
        <v>46.34</v>
      </c>
      <c r="M64" s="33">
        <v>117.48</v>
      </c>
      <c r="N64" s="34">
        <v>2.5351747949935199</v>
      </c>
      <c r="O64" s="34">
        <v>2.5341745756035601</v>
      </c>
      <c r="P64" s="34">
        <v>2.5302588139896298</v>
      </c>
      <c r="Q64" s="34">
        <v>2.527684184815</v>
      </c>
      <c r="R64" s="33">
        <v>117.433649833469</v>
      </c>
      <c r="S64" s="33">
        <v>117.16187973164099</v>
      </c>
      <c r="T64" s="33">
        <v>117.131911989999</v>
      </c>
      <c r="U64" s="15">
        <v>-3.9461450763039302E-4</v>
      </c>
      <c r="V64" s="15">
        <v>-2.7115403578899301E-3</v>
      </c>
      <c r="W64" s="15">
        <v>-2.9673537243980301E-3</v>
      </c>
      <c r="X64" s="34">
        <v>2.5351747949935199</v>
      </c>
      <c r="Y64" s="34">
        <v>2.5351085643703399</v>
      </c>
      <c r="Z64" s="34">
        <v>2.5316510401934398</v>
      </c>
      <c r="AA64" s="34">
        <v>2.5303727534483098</v>
      </c>
      <c r="AB64" s="33">
        <v>117.476930872921</v>
      </c>
      <c r="AC64" s="33">
        <v>117.28829125641001</v>
      </c>
      <c r="AD64" s="33">
        <v>117.256500260466</v>
      </c>
      <c r="AE64" s="15">
        <v>-2.6125018462185399E-5</v>
      </c>
      <c r="AF64" s="15">
        <v>-1.63317443914798E-3</v>
      </c>
      <c r="AG64" s="15">
        <v>-1.9042612190552E-3</v>
      </c>
      <c r="AI64" s="12"/>
      <c r="AJ64">
        <f t="shared" si="4"/>
        <v>0</v>
      </c>
      <c r="AK64">
        <f t="shared" si="5"/>
        <v>0</v>
      </c>
      <c r="AL64">
        <f t="shared" si="14"/>
        <v>0</v>
      </c>
      <c r="AM64">
        <f t="shared" si="6"/>
        <v>1</v>
      </c>
      <c r="AN64">
        <f t="shared" si="15"/>
        <v>0</v>
      </c>
      <c r="AO64" s="28">
        <f t="shared" si="7"/>
        <v>0</v>
      </c>
      <c r="AP64" s="28">
        <f t="shared" si="8"/>
        <v>0</v>
      </c>
      <c r="AQ64" s="28">
        <f t="shared" si="16"/>
        <v>0</v>
      </c>
      <c r="AR64" s="29">
        <f t="shared" si="17"/>
        <v>0</v>
      </c>
      <c r="AT64" s="12"/>
      <c r="AU64">
        <f t="shared" si="9"/>
        <v>0</v>
      </c>
      <c r="AV64">
        <f t="shared" si="10"/>
        <v>1</v>
      </c>
      <c r="AW64">
        <f t="shared" si="18"/>
        <v>0</v>
      </c>
      <c r="AX64">
        <f t="shared" si="11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2.299678675812405E-3</v>
      </c>
      <c r="BE64" s="29">
        <f t="shared" si="22"/>
        <v>0</v>
      </c>
      <c r="BF64" s="29">
        <f t="shared" si="23"/>
        <v>2.299678675812405E-3</v>
      </c>
      <c r="BH64" s="29"/>
    </row>
    <row r="65" spans="1:60" x14ac:dyDescent="0.3">
      <c r="A65" s="1">
        <v>46118</v>
      </c>
      <c r="B65" s="33">
        <v>46.17</v>
      </c>
      <c r="C65" s="33">
        <v>116.92</v>
      </c>
      <c r="D65" s="15">
        <v>-3.6752824853325998E-3</v>
      </c>
      <c r="E65" s="15">
        <v>-4.7781660873741699E-3</v>
      </c>
      <c r="F65" s="33">
        <v>0</v>
      </c>
      <c r="G65" s="33">
        <v>0.30993999999999999</v>
      </c>
      <c r="H65" s="33">
        <v>0</v>
      </c>
      <c r="I65" s="33">
        <v>0.62162899999999999</v>
      </c>
      <c r="J65" s="33">
        <v>0</v>
      </c>
      <c r="K65" s="33">
        <v>0</v>
      </c>
      <c r="L65" s="33">
        <v>46.17</v>
      </c>
      <c r="M65" s="33">
        <v>116.92</v>
      </c>
      <c r="N65" s="34">
        <v>2.53238033354992</v>
      </c>
      <c r="O65" s="34">
        <v>2.5341745756035601</v>
      </c>
      <c r="P65" s="34">
        <v>2.5313803859784398</v>
      </c>
      <c r="Q65" s="34">
        <v>2.5276236978553599</v>
      </c>
      <c r="R65" s="33">
        <v>117.002840155616</v>
      </c>
      <c r="S65" s="33">
        <v>116.822049441901</v>
      </c>
      <c r="T65" s="33">
        <v>116.70317881290801</v>
      </c>
      <c r="U65" s="15">
        <v>7.0826909441098704E-4</v>
      </c>
      <c r="V65" s="15">
        <v>-8.3810819718648996E-4</v>
      </c>
      <c r="W65" s="15">
        <v>-1.8561621363477299E-3</v>
      </c>
      <c r="X65" s="34">
        <v>2.53238033354992</v>
      </c>
      <c r="Y65" s="34">
        <v>2.5351085643703399</v>
      </c>
      <c r="Z65" s="34">
        <v>2.5313803859784398</v>
      </c>
      <c r="AA65" s="34">
        <v>2.5303122664886701</v>
      </c>
      <c r="AB65" s="33">
        <v>117.045962416978</v>
      </c>
      <c r="AC65" s="33">
        <v>116.886328525731</v>
      </c>
      <c r="AD65" s="33">
        <v>116.82731002670801</v>
      </c>
      <c r="AE65" s="15">
        <v>1.07675858357942E-3</v>
      </c>
      <c r="AF65" s="15">
        <v>-2.8802876905804897E-4</v>
      </c>
      <c r="AG65" s="15">
        <v>-7.93078458432965E-4</v>
      </c>
      <c r="AI65" s="12"/>
      <c r="AJ65">
        <f t="shared" si="4"/>
        <v>0</v>
      </c>
      <c r="AK65">
        <f t="shared" si="5"/>
        <v>1</v>
      </c>
      <c r="AL65">
        <f t="shared" si="14"/>
        <v>0</v>
      </c>
      <c r="AM65">
        <f t="shared" si="6"/>
        <v>1</v>
      </c>
      <c r="AN65">
        <f t="shared" si="15"/>
        <v>0</v>
      </c>
      <c r="AO65" s="28">
        <f t="shared" si="7"/>
        <v>0</v>
      </c>
      <c r="AP65" s="28">
        <f t="shared" si="8"/>
        <v>0</v>
      </c>
      <c r="AQ65" s="28">
        <f t="shared" si="16"/>
        <v>0</v>
      </c>
      <c r="AR65" s="29">
        <f t="shared" si="17"/>
        <v>0</v>
      </c>
      <c r="AT65" s="12"/>
      <c r="AU65">
        <f t="shared" si="9"/>
        <v>0</v>
      </c>
      <c r="AV65">
        <f t="shared" si="10"/>
        <v>1</v>
      </c>
      <c r="AW65">
        <f t="shared" si="18"/>
        <v>0</v>
      </c>
      <c r="AX65">
        <f t="shared" si="11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2.299678675812405E-3</v>
      </c>
      <c r="BE65" s="29">
        <f t="shared" si="22"/>
        <v>0</v>
      </c>
      <c r="BF65" s="29">
        <f t="shared" si="23"/>
        <v>2.299678675812405E-3</v>
      </c>
      <c r="BH65" s="29"/>
    </row>
    <row r="66" spans="1:60" x14ac:dyDescent="0.3">
      <c r="A66" s="1">
        <v>46119</v>
      </c>
      <c r="B66" s="33">
        <v>46.27</v>
      </c>
      <c r="C66" s="33">
        <v>117.27</v>
      </c>
      <c r="D66" s="15">
        <v>2.1635664000107099E-3</v>
      </c>
      <c r="E66" s="15">
        <v>2.9890282299280002E-3</v>
      </c>
      <c r="F66" s="33">
        <v>0</v>
      </c>
      <c r="G66" s="33">
        <v>0.30993999999999999</v>
      </c>
      <c r="H66" s="33">
        <v>0</v>
      </c>
      <c r="I66" s="33">
        <v>0.62162899999999999</v>
      </c>
      <c r="J66" s="33">
        <v>0</v>
      </c>
      <c r="K66" s="33">
        <v>0</v>
      </c>
      <c r="L66" s="33">
        <v>46.27</v>
      </c>
      <c r="M66" s="33">
        <v>117.27</v>
      </c>
      <c r="N66" s="34">
        <v>2.5344715798573501</v>
      </c>
      <c r="O66" s="34">
        <v>2.5341745756035601</v>
      </c>
      <c r="P66" s="34">
        <v>2.5315448284661901</v>
      </c>
      <c r="Q66" s="34">
        <v>2.5276557080115101</v>
      </c>
      <c r="R66" s="33">
        <v>117.256257613176</v>
      </c>
      <c r="S66" s="33">
        <v>117.12697045922199</v>
      </c>
      <c r="T66" s="33">
        <v>116.953148499767</v>
      </c>
      <c r="U66" s="15">
        <v>-1.17192735506172E-4</v>
      </c>
      <c r="V66" s="15">
        <v>-1.2204044979707701E-3</v>
      </c>
      <c r="W66" s="15">
        <v>-2.70555404571897E-3</v>
      </c>
      <c r="X66" s="34">
        <v>2.5344715798573501</v>
      </c>
      <c r="Y66" s="34">
        <v>2.5351085643703399</v>
      </c>
      <c r="Z66" s="34">
        <v>2.5315448284661901</v>
      </c>
      <c r="AA66" s="34">
        <v>2.5303442766448199</v>
      </c>
      <c r="AB66" s="33">
        <v>117.299473273415</v>
      </c>
      <c r="AC66" s="33">
        <v>117.12697045922199</v>
      </c>
      <c r="AD66" s="33">
        <v>117.07754857043</v>
      </c>
      <c r="AE66" s="15">
        <v>2.5129675366229601E-4</v>
      </c>
      <c r="AF66" s="15">
        <v>-1.2204044979707701E-3</v>
      </c>
      <c r="AG66" s="15">
        <v>-1.64244494134084E-3</v>
      </c>
      <c r="AI66" s="12"/>
      <c r="AJ66">
        <f t="shared" si="4"/>
        <v>0</v>
      </c>
      <c r="AK66">
        <f t="shared" si="5"/>
        <v>0</v>
      </c>
      <c r="AL66">
        <f t="shared" si="14"/>
        <v>0</v>
      </c>
      <c r="AM66">
        <f t="shared" si="6"/>
        <v>1</v>
      </c>
      <c r="AN66">
        <f t="shared" si="15"/>
        <v>0</v>
      </c>
      <c r="AO66" s="28">
        <f t="shared" si="7"/>
        <v>0</v>
      </c>
      <c r="AP66" s="28">
        <f t="shared" si="8"/>
        <v>0</v>
      </c>
      <c r="AQ66" s="28">
        <f t="shared" si="16"/>
        <v>0</v>
      </c>
      <c r="AR66" s="29">
        <f t="shared" si="17"/>
        <v>0</v>
      </c>
      <c r="AT66" s="12"/>
      <c r="AU66">
        <f t="shared" si="9"/>
        <v>0</v>
      </c>
      <c r="AV66">
        <f t="shared" si="10"/>
        <v>1</v>
      </c>
      <c r="AW66">
        <f t="shared" si="18"/>
        <v>0</v>
      </c>
      <c r="AX66">
        <f t="shared" si="11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2.299678675812405E-3</v>
      </c>
      <c r="BE66" s="29">
        <f t="shared" si="22"/>
        <v>0</v>
      </c>
      <c r="BF66" s="29">
        <f t="shared" si="23"/>
        <v>2.299678675812405E-3</v>
      </c>
      <c r="BH66" s="29"/>
    </row>
    <row r="67" spans="1:60" x14ac:dyDescent="0.3">
      <c r="A67" s="1">
        <v>46120</v>
      </c>
      <c r="B67" s="33">
        <v>46.78</v>
      </c>
      <c r="C67" s="33">
        <v>118.26</v>
      </c>
      <c r="D67" s="15">
        <v>1.09619582371246E-2</v>
      </c>
      <c r="E67" s="15">
        <v>8.4066219197107602E-3</v>
      </c>
      <c r="F67" s="33">
        <v>0</v>
      </c>
      <c r="G67" s="33">
        <v>0.30993999999999999</v>
      </c>
      <c r="H67" s="33">
        <v>0</v>
      </c>
      <c r="I67" s="33">
        <v>0.62162899999999999</v>
      </c>
      <c r="J67" s="33">
        <v>0</v>
      </c>
      <c r="K67" s="33">
        <v>0</v>
      </c>
      <c r="L67" s="33">
        <v>46.78</v>
      </c>
      <c r="M67" s="33">
        <v>118.26</v>
      </c>
      <c r="N67" s="34">
        <v>2.5280034202650699</v>
      </c>
      <c r="O67" s="34">
        <v>2.5341745756035601</v>
      </c>
      <c r="P67" s="34">
        <v>2.5312735359839298</v>
      </c>
      <c r="Q67" s="34">
        <v>2.52769204740965</v>
      </c>
      <c r="R67" s="33">
        <v>118.548686646734</v>
      </c>
      <c r="S67" s="33">
        <v>118.42566707564799</v>
      </c>
      <c r="T67" s="33">
        <v>118.24373402077801</v>
      </c>
      <c r="U67" s="15">
        <v>2.4381435819078399E-3</v>
      </c>
      <c r="V67" s="15">
        <v>1.39989129675665E-3</v>
      </c>
      <c r="W67" s="15">
        <v>-1.37553678077464E-4</v>
      </c>
      <c r="X67" s="34">
        <v>2.5280034202650699</v>
      </c>
      <c r="Y67" s="34">
        <v>2.5351085643703399</v>
      </c>
      <c r="Z67" s="34">
        <v>2.5312735359839298</v>
      </c>
      <c r="AA67" s="34">
        <v>2.5303806160429598</v>
      </c>
      <c r="AB67" s="33">
        <v>118.592378641244</v>
      </c>
      <c r="AC67" s="33">
        <v>118.42566707564799</v>
      </c>
      <c r="AD67" s="33">
        <v>118.369505261445</v>
      </c>
      <c r="AE67" s="15">
        <v>2.80663307107613E-3</v>
      </c>
      <c r="AF67" s="15">
        <v>1.39989129675665E-3</v>
      </c>
      <c r="AG67" s="15">
        <v>9.25541970272712E-4</v>
      </c>
      <c r="AI67" s="12"/>
      <c r="AJ67">
        <f t="shared" si="4"/>
        <v>0</v>
      </c>
      <c r="AK67">
        <f t="shared" si="5"/>
        <v>1</v>
      </c>
      <c r="AL67">
        <f t="shared" si="14"/>
        <v>0</v>
      </c>
      <c r="AM67">
        <f t="shared" si="6"/>
        <v>1</v>
      </c>
      <c r="AN67">
        <f t="shared" si="15"/>
        <v>0</v>
      </c>
      <c r="AO67" s="28">
        <f t="shared" si="7"/>
        <v>0</v>
      </c>
      <c r="AP67" s="28">
        <f t="shared" si="8"/>
        <v>0</v>
      </c>
      <c r="AQ67" s="28">
        <f t="shared" si="16"/>
        <v>0</v>
      </c>
      <c r="AR67" s="29">
        <f t="shared" si="17"/>
        <v>0</v>
      </c>
      <c r="AT67" s="12"/>
      <c r="AU67">
        <f t="shared" si="9"/>
        <v>0</v>
      </c>
      <c r="AV67">
        <f t="shared" si="10"/>
        <v>0</v>
      </c>
      <c r="AW67">
        <f t="shared" si="18"/>
        <v>0</v>
      </c>
      <c r="AX67">
        <f t="shared" si="11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2.299678675812405E-3</v>
      </c>
      <c r="BE67" s="29">
        <f t="shared" si="22"/>
        <v>0</v>
      </c>
      <c r="BF67" s="29">
        <f t="shared" si="23"/>
        <v>2.299678675812405E-3</v>
      </c>
      <c r="BH67" s="29"/>
    </row>
    <row r="68" spans="1:60" x14ac:dyDescent="0.3">
      <c r="A68" s="1">
        <v>46121</v>
      </c>
      <c r="B68" s="33">
        <v>47.15</v>
      </c>
      <c r="C68" s="33">
        <v>119.13</v>
      </c>
      <c r="D68" s="15">
        <v>7.8782479234335307E-3</v>
      </c>
      <c r="E68" s="15">
        <v>7.3297434185859199E-3</v>
      </c>
      <c r="F68" s="33">
        <v>0</v>
      </c>
      <c r="G68" s="33">
        <v>0.30993999999999999</v>
      </c>
      <c r="H68" s="33">
        <v>0</v>
      </c>
      <c r="I68" s="33">
        <v>0.62162899999999999</v>
      </c>
      <c r="J68" s="33">
        <v>0</v>
      </c>
      <c r="K68" s="33">
        <v>0</v>
      </c>
      <c r="L68" s="33">
        <v>47.15</v>
      </c>
      <c r="M68" s="33">
        <v>119.13</v>
      </c>
      <c r="N68" s="34">
        <v>2.5266171792152701</v>
      </c>
      <c r="O68" s="34">
        <v>2.5341745756035601</v>
      </c>
      <c r="P68" s="34">
        <v>2.5309186793198202</v>
      </c>
      <c r="Q68" s="34">
        <v>2.5274796964938702</v>
      </c>
      <c r="R68" s="33">
        <v>119.48633123970799</v>
      </c>
      <c r="S68" s="33">
        <v>119.349547221642</v>
      </c>
      <c r="T68" s="33">
        <v>119.180680035365</v>
      </c>
      <c r="U68" s="15">
        <v>2.9866480867552698E-3</v>
      </c>
      <c r="V68" s="15">
        <v>1.8412252641745201E-3</v>
      </c>
      <c r="W68" s="15">
        <v>4.2532744333239199E-4</v>
      </c>
      <c r="X68" s="34">
        <v>2.5266171792152701</v>
      </c>
      <c r="Y68" s="34">
        <v>2.5351085643703399</v>
      </c>
      <c r="Z68" s="34">
        <v>2.5309186793198202</v>
      </c>
      <c r="AA68" s="34">
        <v>2.53016826512718</v>
      </c>
      <c r="AB68" s="33">
        <v>119.53036881006101</v>
      </c>
      <c r="AC68" s="33">
        <v>119.349547221642</v>
      </c>
      <c r="AD68" s="33">
        <v>119.307446046425</v>
      </c>
      <c r="AE68" s="15">
        <v>3.35513757592369E-3</v>
      </c>
      <c r="AF68" s="15">
        <v>1.8412252641745201E-3</v>
      </c>
      <c r="AG68" s="15">
        <v>1.48840781619449E-3</v>
      </c>
      <c r="AI68" s="12"/>
      <c r="AJ68">
        <f t="shared" si="4"/>
        <v>0</v>
      </c>
      <c r="AK68">
        <f t="shared" si="5"/>
        <v>1</v>
      </c>
      <c r="AL68">
        <f t="shared" si="14"/>
        <v>0</v>
      </c>
      <c r="AM68">
        <f t="shared" si="6"/>
        <v>1</v>
      </c>
      <c r="AN68">
        <f t="shared" si="15"/>
        <v>0</v>
      </c>
      <c r="AO68" s="28">
        <f t="shared" si="7"/>
        <v>0</v>
      </c>
      <c r="AP68" s="28">
        <f t="shared" si="8"/>
        <v>0</v>
      </c>
      <c r="AQ68" s="28">
        <f t="shared" si="16"/>
        <v>0</v>
      </c>
      <c r="AR68" s="29">
        <f t="shared" si="17"/>
        <v>0</v>
      </c>
      <c r="AT68" s="12"/>
      <c r="AU68">
        <f t="shared" si="9"/>
        <v>1</v>
      </c>
      <c r="AV68">
        <f t="shared" si="10"/>
        <v>0</v>
      </c>
      <c r="AW68">
        <f t="shared" si="18"/>
        <v>0</v>
      </c>
      <c r="AX68">
        <f t="shared" si="11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2.299678675812405E-3</v>
      </c>
      <c r="BE68" s="29">
        <f t="shared" si="22"/>
        <v>0</v>
      </c>
      <c r="BF68" s="29">
        <f t="shared" si="23"/>
        <v>2.299678675812405E-3</v>
      </c>
      <c r="BH68" s="29"/>
    </row>
    <row r="69" spans="1:60" x14ac:dyDescent="0.3">
      <c r="A69" s="1">
        <v>46122</v>
      </c>
      <c r="B69" s="33">
        <v>46.96</v>
      </c>
      <c r="C69" s="33">
        <v>118.54</v>
      </c>
      <c r="D69" s="15">
        <v>-4.0378335596254703E-3</v>
      </c>
      <c r="E69" s="15">
        <v>-4.96487745157755E-3</v>
      </c>
      <c r="F69" s="33">
        <v>0</v>
      </c>
      <c r="G69" s="33">
        <v>0.30993999999999999</v>
      </c>
      <c r="H69" s="33">
        <v>0</v>
      </c>
      <c r="I69" s="33">
        <v>0.62162899999999999</v>
      </c>
      <c r="J69" s="33">
        <v>0</v>
      </c>
      <c r="K69" s="33">
        <v>0</v>
      </c>
      <c r="L69" s="33">
        <v>46.96</v>
      </c>
      <c r="M69" s="33">
        <v>118.54</v>
      </c>
      <c r="N69" s="34">
        <v>2.5242759795570699</v>
      </c>
      <c r="O69" s="34">
        <v>2.5341745756035601</v>
      </c>
      <c r="P69" s="34">
        <v>2.5300703011008099</v>
      </c>
      <c r="Q69" s="34">
        <v>2.5271451083749499</v>
      </c>
      <c r="R69" s="33">
        <v>119.004838070343</v>
      </c>
      <c r="S69" s="33">
        <v>118.851941180859</v>
      </c>
      <c r="T69" s="33">
        <v>118.690446547352</v>
      </c>
      <c r="U69" s="15">
        <v>3.9136919787074696E-3</v>
      </c>
      <c r="V69" s="15">
        <v>2.6280703451783999E-3</v>
      </c>
      <c r="W69" s="15">
        <v>1.2683580013515001E-3</v>
      </c>
      <c r="X69" s="34">
        <v>2.5242759795570699</v>
      </c>
      <c r="Y69" s="34">
        <v>2.5351085643703399</v>
      </c>
      <c r="Z69" s="34">
        <v>2.5300703011008099</v>
      </c>
      <c r="AA69" s="34">
        <v>2.5298336770082601</v>
      </c>
      <c r="AB69" s="33">
        <v>119.048698182831</v>
      </c>
      <c r="AC69" s="33">
        <v>118.851941180859</v>
      </c>
      <c r="AD69" s="33">
        <v>118.816701730372</v>
      </c>
      <c r="AE69" s="15">
        <v>4.2821814678758001E-3</v>
      </c>
      <c r="AF69" s="15">
        <v>2.6280703451783999E-3</v>
      </c>
      <c r="AG69" s="15">
        <v>2.3315276434292299E-3</v>
      </c>
      <c r="AI69" s="12"/>
      <c r="AJ69">
        <f t="shared" si="4"/>
        <v>0</v>
      </c>
      <c r="AK69">
        <f t="shared" si="5"/>
        <v>1</v>
      </c>
      <c r="AL69">
        <f t="shared" si="14"/>
        <v>0</v>
      </c>
      <c r="AM69">
        <f t="shared" si="6"/>
        <v>1</v>
      </c>
      <c r="AN69">
        <f t="shared" si="15"/>
        <v>0</v>
      </c>
      <c r="AO69" s="28">
        <f t="shared" si="7"/>
        <v>0</v>
      </c>
      <c r="AP69" s="28">
        <f t="shared" si="8"/>
        <v>0</v>
      </c>
      <c r="AQ69" s="28">
        <f t="shared" si="16"/>
        <v>0</v>
      </c>
      <c r="AR69" s="29">
        <f t="shared" si="17"/>
        <v>0</v>
      </c>
      <c r="AT69" s="12"/>
      <c r="AU69">
        <f t="shared" si="9"/>
        <v>1</v>
      </c>
      <c r="AV69">
        <f t="shared" si="10"/>
        <v>0</v>
      </c>
      <c r="AW69">
        <f t="shared" si="18"/>
        <v>1</v>
      </c>
      <c r="AX69">
        <f t="shared" si="11"/>
        <v>1</v>
      </c>
      <c r="AY69">
        <f t="shared" si="19"/>
        <v>1</v>
      </c>
      <c r="AZ69" s="28">
        <f t="shared" si="12"/>
        <v>4.0378335596254703E-3</v>
      </c>
      <c r="BA69" s="28">
        <f t="shared" si="13"/>
        <v>-4.96487745157755E-3</v>
      </c>
      <c r="BB69" s="28">
        <f t="shared" si="20"/>
        <v>-9.2704389195207969E-4</v>
      </c>
      <c r="BC69" s="29">
        <f t="shared" si="21"/>
        <v>1.3726347838603254E-3</v>
      </c>
      <c r="BE69" s="29">
        <f t="shared" si="22"/>
        <v>-9.2704389195207969E-4</v>
      </c>
      <c r="BF69" s="29">
        <f t="shared" si="23"/>
        <v>1.3726347838603254E-3</v>
      </c>
      <c r="BH69" s="29"/>
    </row>
    <row r="70" spans="1:60" x14ac:dyDescent="0.3">
      <c r="A70" s="1">
        <v>46125</v>
      </c>
      <c r="B70" s="33">
        <v>46.39</v>
      </c>
      <c r="C70" s="33">
        <v>117.26</v>
      </c>
      <c r="D70" s="15">
        <v>-1.22122567561887E-2</v>
      </c>
      <c r="E70" s="15">
        <v>-1.08567648236231E-2</v>
      </c>
      <c r="F70" s="33">
        <v>0</v>
      </c>
      <c r="G70" s="33">
        <v>0.30993999999999999</v>
      </c>
      <c r="H70" s="33">
        <v>0</v>
      </c>
      <c r="I70" s="33">
        <v>0.62162899999999999</v>
      </c>
      <c r="J70" s="33">
        <v>0</v>
      </c>
      <c r="K70" s="33">
        <v>0</v>
      </c>
      <c r="L70" s="33">
        <v>46.39</v>
      </c>
      <c r="M70" s="33">
        <v>117.26</v>
      </c>
      <c r="N70" s="34">
        <v>2.5276999353308902</v>
      </c>
      <c r="O70" s="34">
        <v>2.5341745756035601</v>
      </c>
      <c r="P70" s="34">
        <v>2.5298462169852902</v>
      </c>
      <c r="Q70" s="34">
        <v>2.5271246536934502</v>
      </c>
      <c r="R70" s="33">
        <v>117.56035856224899</v>
      </c>
      <c r="S70" s="33">
        <v>117.36996126806601</v>
      </c>
      <c r="T70" s="33">
        <v>117.234261577514</v>
      </c>
      <c r="U70" s="15">
        <v>2.55820004614201E-3</v>
      </c>
      <c r="V70" s="15">
        <v>9.3731657733107097E-4</v>
      </c>
      <c r="W70" s="15">
        <v>-2.19522835366695E-4</v>
      </c>
      <c r="X70" s="34">
        <v>2.5276999353308902</v>
      </c>
      <c r="Y70" s="34">
        <v>2.5351085643703399</v>
      </c>
      <c r="Z70" s="34">
        <v>2.5298462169852902</v>
      </c>
      <c r="AA70" s="34">
        <v>2.52981322232676</v>
      </c>
      <c r="AB70" s="33">
        <v>117.60368630114</v>
      </c>
      <c r="AC70" s="33">
        <v>117.36996126806601</v>
      </c>
      <c r="AD70" s="33">
        <v>117.358984276413</v>
      </c>
      <c r="AE70" s="15">
        <v>2.9266895353103001E-3</v>
      </c>
      <c r="AF70" s="15">
        <v>9.3731657733084903E-4</v>
      </c>
      <c r="AG70" s="15">
        <v>8.4378749308253295E-4</v>
      </c>
      <c r="AI70" s="12"/>
      <c r="AJ70">
        <f t="shared" si="4"/>
        <v>0</v>
      </c>
      <c r="AK70">
        <f t="shared" si="5"/>
        <v>1</v>
      </c>
      <c r="AL70">
        <f t="shared" si="14"/>
        <v>0</v>
      </c>
      <c r="AM70">
        <f t="shared" si="6"/>
        <v>1</v>
      </c>
      <c r="AN70">
        <f t="shared" si="15"/>
        <v>0</v>
      </c>
      <c r="AO70" s="28">
        <f t="shared" si="7"/>
        <v>0</v>
      </c>
      <c r="AP70" s="28">
        <f t="shared" si="8"/>
        <v>0</v>
      </c>
      <c r="AQ70" s="28">
        <f t="shared" si="16"/>
        <v>0</v>
      </c>
      <c r="AR70" s="29">
        <f t="shared" si="17"/>
        <v>0</v>
      </c>
      <c r="AT70" s="12"/>
      <c r="AU70">
        <f t="shared" si="9"/>
        <v>0</v>
      </c>
      <c r="AV70">
        <f t="shared" si="10"/>
        <v>0</v>
      </c>
      <c r="AW70">
        <f t="shared" si="18"/>
        <v>1</v>
      </c>
      <c r="AX70">
        <f t="shared" si="11"/>
        <v>1</v>
      </c>
      <c r="AY70">
        <f t="shared" si="19"/>
        <v>1</v>
      </c>
      <c r="AZ70" s="28">
        <f t="shared" si="12"/>
        <v>1.22122567561887E-2</v>
      </c>
      <c r="BA70" s="28">
        <f t="shared" si="13"/>
        <v>-1.08567648236231E-2</v>
      </c>
      <c r="BB70" s="28">
        <f t="shared" si="20"/>
        <v>1.3554919325655997E-3</v>
      </c>
      <c r="BC70" s="29">
        <f t="shared" si="21"/>
        <v>2.7281267164259251E-3</v>
      </c>
      <c r="BE70" s="29">
        <f t="shared" si="22"/>
        <v>1.3554919325655997E-3</v>
      </c>
      <c r="BF70" s="29">
        <f t="shared" si="23"/>
        <v>2.7281267164259251E-3</v>
      </c>
      <c r="BH70" s="29"/>
    </row>
    <row r="71" spans="1:60" x14ac:dyDescent="0.3">
      <c r="A71" s="1">
        <v>46126</v>
      </c>
      <c r="B71" s="33">
        <v>46.47</v>
      </c>
      <c r="C71" s="33">
        <v>117.41</v>
      </c>
      <c r="D71" s="15">
        <v>1.72302433323467E-3</v>
      </c>
      <c r="E71" s="15">
        <v>1.27839110605129E-3</v>
      </c>
      <c r="F71" s="33">
        <v>0</v>
      </c>
      <c r="G71" s="33">
        <v>0.30993999999999999</v>
      </c>
      <c r="H71" s="33">
        <v>0</v>
      </c>
      <c r="I71" s="33">
        <v>0.62162899999999999</v>
      </c>
      <c r="J71" s="33">
        <v>0</v>
      </c>
      <c r="K71" s="33">
        <v>0</v>
      </c>
      <c r="L71" s="33">
        <v>46.47</v>
      </c>
      <c r="M71" s="33">
        <v>117.41</v>
      </c>
      <c r="N71" s="34">
        <v>2.5265762857757599</v>
      </c>
      <c r="O71" s="34">
        <v>2.5341745756035601</v>
      </c>
      <c r="P71" s="34">
        <v>2.52943328807158</v>
      </c>
      <c r="Q71" s="34">
        <v>2.5272579538053499</v>
      </c>
      <c r="R71" s="33">
        <v>117.76309252829699</v>
      </c>
      <c r="S71" s="33">
        <v>117.561953703306</v>
      </c>
      <c r="T71" s="33">
        <v>117.435482657134</v>
      </c>
      <c r="U71" s="15">
        <v>3.0028332733251801E-3</v>
      </c>
      <c r="V71" s="15">
        <v>1.2933775465080999E-3</v>
      </c>
      <c r="W71" s="15">
        <v>2.1701637133121499E-4</v>
      </c>
      <c r="X71" s="34">
        <v>2.5265762857757599</v>
      </c>
      <c r="Y71" s="34">
        <v>2.5351085643703399</v>
      </c>
      <c r="Z71" s="34">
        <v>2.52943328807158</v>
      </c>
      <c r="AA71" s="34">
        <v>2.5299465224386499</v>
      </c>
      <c r="AB71" s="33">
        <v>117.806494986289</v>
      </c>
      <c r="AC71" s="33">
        <v>117.561953703306</v>
      </c>
      <c r="AD71" s="33">
        <v>117.560420441524</v>
      </c>
      <c r="AE71" s="15">
        <v>3.3713227624935001E-3</v>
      </c>
      <c r="AF71" s="15">
        <v>1.2933775465080999E-3</v>
      </c>
      <c r="AG71" s="15">
        <v>1.2803353016969099E-3</v>
      </c>
      <c r="AI71" s="12"/>
      <c r="AJ71">
        <f t="shared" si="4"/>
        <v>0</v>
      </c>
      <c r="AK71">
        <f t="shared" si="5"/>
        <v>1</v>
      </c>
      <c r="AL71">
        <f t="shared" si="14"/>
        <v>0</v>
      </c>
      <c r="AM71">
        <f t="shared" si="6"/>
        <v>1</v>
      </c>
      <c r="AN71">
        <f t="shared" si="15"/>
        <v>0</v>
      </c>
      <c r="AO71" s="28">
        <f t="shared" si="7"/>
        <v>0</v>
      </c>
      <c r="AP71" s="28">
        <f t="shared" si="8"/>
        <v>0</v>
      </c>
      <c r="AQ71" s="28">
        <f t="shared" si="16"/>
        <v>0</v>
      </c>
      <c r="AR71" s="29">
        <f t="shared" si="17"/>
        <v>0</v>
      </c>
      <c r="AT71" s="12"/>
      <c r="AU71">
        <f t="shared" si="9"/>
        <v>1</v>
      </c>
      <c r="AV71">
        <f t="shared" si="10"/>
        <v>0</v>
      </c>
      <c r="AW71">
        <f t="shared" si="18"/>
        <v>1</v>
      </c>
      <c r="AX71">
        <f t="shared" si="11"/>
        <v>1</v>
      </c>
      <c r="AY71">
        <f t="shared" si="19"/>
        <v>1</v>
      </c>
      <c r="AZ71" s="28">
        <f t="shared" si="12"/>
        <v>-1.72302433323467E-3</v>
      </c>
      <c r="BA71" s="28">
        <f t="shared" si="13"/>
        <v>1.27839110605129E-3</v>
      </c>
      <c r="BB71" s="28">
        <f t="shared" si="20"/>
        <v>-4.4463322718338001E-4</v>
      </c>
      <c r="BC71" s="29">
        <f t="shared" si="21"/>
        <v>2.2834934892425451E-3</v>
      </c>
      <c r="BE71" s="29">
        <f t="shared" si="22"/>
        <v>-4.4463322718338001E-4</v>
      </c>
      <c r="BF71" s="29">
        <f t="shared" si="23"/>
        <v>2.2834934892425451E-3</v>
      </c>
      <c r="BH71" s="29"/>
    </row>
    <row r="72" spans="1:60" x14ac:dyDescent="0.3">
      <c r="A72" s="1">
        <v>46127</v>
      </c>
      <c r="B72" s="33">
        <v>46.02</v>
      </c>
      <c r="C72" s="33">
        <v>116.31</v>
      </c>
      <c r="D72" s="15">
        <v>-9.7308584896670398E-3</v>
      </c>
      <c r="E72" s="15">
        <v>-9.4130422911730301E-3</v>
      </c>
      <c r="F72" s="33">
        <v>0</v>
      </c>
      <c r="G72" s="33">
        <v>0.30993999999999999</v>
      </c>
      <c r="H72" s="33">
        <v>0</v>
      </c>
      <c r="I72" s="33">
        <v>0.62162899999999999</v>
      </c>
      <c r="J72" s="33">
        <v>0</v>
      </c>
      <c r="K72" s="33">
        <v>0</v>
      </c>
      <c r="L72" s="33">
        <v>46.02</v>
      </c>
      <c r="M72" s="33">
        <v>116.31</v>
      </c>
      <c r="N72" s="34">
        <v>2.5273794002607501</v>
      </c>
      <c r="O72" s="34">
        <v>2.5341745756035601</v>
      </c>
      <c r="P72" s="34">
        <v>2.52915314136852</v>
      </c>
      <c r="Q72" s="34">
        <v>2.5280275179198002</v>
      </c>
      <c r="R72" s="33">
        <v>116.622713969275</v>
      </c>
      <c r="S72" s="33">
        <v>116.404519917054</v>
      </c>
      <c r="T72" s="33">
        <v>116.304411034122</v>
      </c>
      <c r="U72" s="15">
        <v>2.6850170748310902E-3</v>
      </c>
      <c r="V72" s="15">
        <v>8.1232509501915197E-4</v>
      </c>
      <c r="W72" s="15">
        <v>-4.8053479180613499E-5</v>
      </c>
      <c r="X72" s="34">
        <v>2.5273794002607501</v>
      </c>
      <c r="Y72" s="34">
        <v>2.5351085643703399</v>
      </c>
      <c r="Z72" s="34">
        <v>2.52915314136852</v>
      </c>
      <c r="AA72" s="34">
        <v>2.5300566032091698</v>
      </c>
      <c r="AB72" s="33">
        <v>116.66569613232301</v>
      </c>
      <c r="AC72" s="33">
        <v>116.404519917054</v>
      </c>
      <c r="AD72" s="33">
        <v>116.428138962627</v>
      </c>
      <c r="AE72" s="15">
        <v>3.05350656399948E-3</v>
      </c>
      <c r="AF72" s="15">
        <v>8.1232509501915197E-4</v>
      </c>
      <c r="AG72" s="15">
        <v>1.0152093962797E-3</v>
      </c>
      <c r="AI72" s="12"/>
      <c r="AJ72">
        <f t="shared" si="4"/>
        <v>0</v>
      </c>
      <c r="AK72">
        <f t="shared" si="5"/>
        <v>1</v>
      </c>
      <c r="AL72">
        <f t="shared" si="14"/>
        <v>0</v>
      </c>
      <c r="AM72">
        <f t="shared" si="6"/>
        <v>1</v>
      </c>
      <c r="AN72">
        <f t="shared" si="15"/>
        <v>0</v>
      </c>
      <c r="AO72" s="28">
        <f t="shared" si="7"/>
        <v>0</v>
      </c>
      <c r="AP72" s="28">
        <f t="shared" si="8"/>
        <v>0</v>
      </c>
      <c r="AQ72" s="28">
        <f t="shared" si="16"/>
        <v>0</v>
      </c>
      <c r="AR72" s="29">
        <f t="shared" si="17"/>
        <v>0</v>
      </c>
      <c r="AT72" s="12"/>
      <c r="AU72">
        <f t="shared" si="9"/>
        <v>1</v>
      </c>
      <c r="AV72">
        <f t="shared" si="10"/>
        <v>0</v>
      </c>
      <c r="AW72">
        <f t="shared" si="18"/>
        <v>1</v>
      </c>
      <c r="AX72">
        <f t="shared" si="11"/>
        <v>1</v>
      </c>
      <c r="AY72">
        <f t="shared" si="19"/>
        <v>1</v>
      </c>
      <c r="AZ72" s="28">
        <f t="shared" si="12"/>
        <v>9.7308584896670398E-3</v>
      </c>
      <c r="BA72" s="28">
        <f t="shared" si="13"/>
        <v>-9.4130422911730301E-3</v>
      </c>
      <c r="BB72" s="28">
        <f t="shared" si="20"/>
        <v>3.178161984940097E-4</v>
      </c>
      <c r="BC72" s="29">
        <f t="shared" si="21"/>
        <v>2.6013096877365548E-3</v>
      </c>
      <c r="BE72" s="29">
        <f t="shared" si="22"/>
        <v>3.178161984940097E-4</v>
      </c>
      <c r="BF72" s="29">
        <f t="shared" si="23"/>
        <v>2.6013096877365548E-3</v>
      </c>
      <c r="BH72" s="29"/>
    </row>
    <row r="73" spans="1:60" x14ac:dyDescent="0.3">
      <c r="A73" s="1">
        <v>46128</v>
      </c>
      <c r="B73" s="33">
        <v>46.35</v>
      </c>
      <c r="C73" s="33">
        <v>117</v>
      </c>
      <c r="D73" s="15">
        <v>7.1452074046442302E-3</v>
      </c>
      <c r="E73" s="15">
        <v>5.9148944468086001E-3</v>
      </c>
      <c r="F73" s="33">
        <v>0</v>
      </c>
      <c r="G73" s="33">
        <v>0.30993999999999999</v>
      </c>
      <c r="H73" s="33">
        <v>0</v>
      </c>
      <c r="I73" s="33">
        <v>0.62162899999999999</v>
      </c>
      <c r="J73" s="33">
        <v>0</v>
      </c>
      <c r="K73" s="33">
        <v>0</v>
      </c>
      <c r="L73" s="33">
        <v>46.35</v>
      </c>
      <c r="M73" s="33">
        <v>117</v>
      </c>
      <c r="N73" s="34">
        <v>2.5242718446601899</v>
      </c>
      <c r="O73" s="34">
        <v>2.5341745756035601</v>
      </c>
      <c r="P73" s="34">
        <v>2.5286850753465799</v>
      </c>
      <c r="Q73" s="34">
        <v>2.5284974765127499</v>
      </c>
      <c r="R73" s="33">
        <v>117.458991579225</v>
      </c>
      <c r="S73" s="33">
        <v>117.226248102431</v>
      </c>
      <c r="T73" s="33">
        <v>117.17407545558299</v>
      </c>
      <c r="U73" s="15">
        <v>3.9153300326668699E-3</v>
      </c>
      <c r="V73" s="15">
        <v>1.93187718823255E-3</v>
      </c>
      <c r="W73" s="15">
        <v>1.48671869256434E-3</v>
      </c>
      <c r="X73" s="34">
        <v>2.5242718446601899</v>
      </c>
      <c r="Y73" s="34">
        <v>2.5351085643703399</v>
      </c>
      <c r="Z73" s="34">
        <v>2.5286850753465799</v>
      </c>
      <c r="AA73" s="34">
        <v>2.5298614334049501</v>
      </c>
      <c r="AB73" s="33">
        <v>117.50228195856501</v>
      </c>
      <c r="AC73" s="33">
        <v>117.226248102431</v>
      </c>
      <c r="AD73" s="33">
        <v>117.268123558745</v>
      </c>
      <c r="AE73" s="15">
        <v>4.2838195218351596E-3</v>
      </c>
      <c r="AF73" s="15">
        <v>1.93187718823255E-3</v>
      </c>
      <c r="AG73" s="15">
        <v>2.2890325132203398E-3</v>
      </c>
      <c r="AI73" s="12"/>
      <c r="AJ73">
        <f t="shared" si="4"/>
        <v>0</v>
      </c>
      <c r="AK73">
        <f t="shared" si="5"/>
        <v>1</v>
      </c>
      <c r="AL73">
        <f t="shared" si="14"/>
        <v>0</v>
      </c>
      <c r="AM73">
        <f t="shared" si="6"/>
        <v>1</v>
      </c>
      <c r="AN73">
        <f t="shared" si="15"/>
        <v>0</v>
      </c>
      <c r="AO73" s="28">
        <f t="shared" si="7"/>
        <v>0</v>
      </c>
      <c r="AP73" s="28">
        <f t="shared" si="8"/>
        <v>0</v>
      </c>
      <c r="AQ73" s="28">
        <f t="shared" si="16"/>
        <v>0</v>
      </c>
      <c r="AR73" s="29">
        <f t="shared" si="17"/>
        <v>0</v>
      </c>
      <c r="AT73" s="12"/>
      <c r="AU73">
        <f t="shared" si="9"/>
        <v>1</v>
      </c>
      <c r="AV73">
        <f t="shared" si="10"/>
        <v>0</v>
      </c>
      <c r="AW73">
        <f t="shared" si="18"/>
        <v>1</v>
      </c>
      <c r="AX73">
        <f t="shared" si="11"/>
        <v>1</v>
      </c>
      <c r="AY73">
        <f t="shared" si="19"/>
        <v>1</v>
      </c>
      <c r="AZ73" s="28">
        <f t="shared" si="12"/>
        <v>-7.1452074046442302E-3</v>
      </c>
      <c r="BA73" s="28">
        <f t="shared" si="13"/>
        <v>5.9148944468086001E-3</v>
      </c>
      <c r="BB73" s="28">
        <f t="shared" si="20"/>
        <v>-1.2303129578356302E-3</v>
      </c>
      <c r="BC73" s="29">
        <f t="shared" si="21"/>
        <v>1.3709967299009246E-3</v>
      </c>
      <c r="BE73" s="29">
        <f t="shared" si="22"/>
        <v>-1.2303129578356302E-3</v>
      </c>
      <c r="BF73" s="29">
        <f t="shared" si="23"/>
        <v>1.3709967299009246E-3</v>
      </c>
      <c r="BH73" s="29"/>
    </row>
    <row r="74" spans="1:60" x14ac:dyDescent="0.3">
      <c r="A74" s="1">
        <v>46129</v>
      </c>
      <c r="B74" s="33">
        <v>46.16</v>
      </c>
      <c r="C74" s="33">
        <v>116.57</v>
      </c>
      <c r="D74" s="15">
        <v>-4.1076698120201703E-3</v>
      </c>
      <c r="E74" s="15">
        <v>-3.6819838660151699E-3</v>
      </c>
      <c r="F74" s="33">
        <v>0</v>
      </c>
      <c r="G74" s="33">
        <v>0.30993999999999999</v>
      </c>
      <c r="H74" s="33">
        <v>0</v>
      </c>
      <c r="I74" s="33">
        <v>0.62162899999999999</v>
      </c>
      <c r="J74" s="33">
        <v>0</v>
      </c>
      <c r="K74" s="33">
        <v>0</v>
      </c>
      <c r="L74" s="33">
        <v>46.16</v>
      </c>
      <c r="M74" s="33">
        <v>116.57</v>
      </c>
      <c r="N74" s="34">
        <v>2.5253466204506001</v>
      </c>
      <c r="O74" s="34">
        <v>2.5341745756035601</v>
      </c>
      <c r="P74" s="34">
        <v>2.5277022578922899</v>
      </c>
      <c r="Q74" s="34">
        <v>2.5289805359409598</v>
      </c>
      <c r="R74" s="33">
        <v>116.97749840986</v>
      </c>
      <c r="S74" s="33">
        <v>116.724103077998</v>
      </c>
      <c r="T74" s="33">
        <v>116.715443515828</v>
      </c>
      <c r="U74" s="15">
        <v>3.4896440866618301E-3</v>
      </c>
      <c r="V74" s="15">
        <v>1.3211058348957E-3</v>
      </c>
      <c r="W74" s="15">
        <v>1.2469147880087199E-3</v>
      </c>
      <c r="X74" s="34">
        <v>2.5253466204506001</v>
      </c>
      <c r="Y74" s="34">
        <v>2.5351085643703399</v>
      </c>
      <c r="Z74" s="34">
        <v>2.5277022578922899</v>
      </c>
      <c r="AA74" s="34">
        <v>2.5296766490428602</v>
      </c>
      <c r="AB74" s="33">
        <v>117.020611331335</v>
      </c>
      <c r="AC74" s="33">
        <v>116.724103077998</v>
      </c>
      <c r="AD74" s="33">
        <v>116.778403765972</v>
      </c>
      <c r="AE74" s="15">
        <v>3.8581335758301502E-3</v>
      </c>
      <c r="AF74" s="15">
        <v>1.3211058348957E-3</v>
      </c>
      <c r="AG74" s="15">
        <v>1.7862031024755299E-3</v>
      </c>
      <c r="AI74" s="12"/>
      <c r="AJ74">
        <f t="shared" si="4"/>
        <v>0</v>
      </c>
      <c r="AK74">
        <f t="shared" si="5"/>
        <v>1</v>
      </c>
      <c r="AL74">
        <f t="shared" si="14"/>
        <v>0</v>
      </c>
      <c r="AM74">
        <f t="shared" si="6"/>
        <v>1</v>
      </c>
      <c r="AN74">
        <f t="shared" si="15"/>
        <v>0</v>
      </c>
      <c r="AO74" s="28">
        <f t="shared" si="7"/>
        <v>0</v>
      </c>
      <c r="AP74" s="28">
        <f t="shared" si="8"/>
        <v>0</v>
      </c>
      <c r="AQ74" s="28">
        <f t="shared" si="16"/>
        <v>0</v>
      </c>
      <c r="AR74" s="29">
        <f t="shared" si="17"/>
        <v>0</v>
      </c>
      <c r="AT74" s="12"/>
      <c r="AU74">
        <f t="shared" si="9"/>
        <v>1</v>
      </c>
      <c r="AV74">
        <f t="shared" si="10"/>
        <v>0</v>
      </c>
      <c r="AW74">
        <f t="shared" si="18"/>
        <v>1</v>
      </c>
      <c r="AX74">
        <f t="shared" si="11"/>
        <v>1</v>
      </c>
      <c r="AY74">
        <f t="shared" si="19"/>
        <v>1</v>
      </c>
      <c r="AZ74" s="28">
        <f t="shared" si="12"/>
        <v>4.1076698120201703E-3</v>
      </c>
      <c r="BA74" s="28">
        <f t="shared" si="13"/>
        <v>-3.6819838660151699E-3</v>
      </c>
      <c r="BB74" s="28">
        <f t="shared" si="20"/>
        <v>4.2568594600500033E-4</v>
      </c>
      <c r="BC74" s="29">
        <f t="shared" si="21"/>
        <v>1.7966826759059249E-3</v>
      </c>
      <c r="BE74" s="29">
        <f t="shared" si="22"/>
        <v>4.2568594600500033E-4</v>
      </c>
      <c r="BF74" s="29">
        <f t="shared" si="23"/>
        <v>1.7966826759059249E-3</v>
      </c>
      <c r="BH74" s="29"/>
    </row>
    <row r="75" spans="1:60" x14ac:dyDescent="0.3">
      <c r="A75" s="1">
        <v>46132</v>
      </c>
      <c r="B75" s="33">
        <v>45.75</v>
      </c>
      <c r="C75" s="33">
        <v>115.62</v>
      </c>
      <c r="D75" s="15">
        <v>-8.9218304783137796E-3</v>
      </c>
      <c r="E75" s="15">
        <v>-8.1829992774108597E-3</v>
      </c>
      <c r="F75" s="33">
        <v>0</v>
      </c>
      <c r="G75" s="33">
        <v>0.30993999999999999</v>
      </c>
      <c r="H75" s="33">
        <v>0</v>
      </c>
      <c r="I75" s="33">
        <v>0.62162899999999999</v>
      </c>
      <c r="J75" s="33">
        <v>0</v>
      </c>
      <c r="K75" s="33">
        <v>0</v>
      </c>
      <c r="L75" s="33">
        <v>45.75</v>
      </c>
      <c r="M75" s="33">
        <v>115.62</v>
      </c>
      <c r="N75" s="34">
        <v>2.5272131147540899</v>
      </c>
      <c r="O75" s="34">
        <v>2.5341745756035601</v>
      </c>
      <c r="P75" s="34">
        <v>2.5271855360126998</v>
      </c>
      <c r="Q75" s="34">
        <v>2.52928296099557</v>
      </c>
      <c r="R75" s="33">
        <v>115.938486833863</v>
      </c>
      <c r="S75" s="33">
        <v>115.642378298572</v>
      </c>
      <c r="T75" s="33">
        <v>115.700859519299</v>
      </c>
      <c r="U75" s="15">
        <v>2.75081288575884E-3</v>
      </c>
      <c r="V75" s="15">
        <v>1.9353168298975499E-4</v>
      </c>
      <c r="W75" s="15">
        <v>6.99111379409867E-4</v>
      </c>
      <c r="X75" s="34">
        <v>2.5272131147540899</v>
      </c>
      <c r="Y75" s="34">
        <v>2.5351085643703399</v>
      </c>
      <c r="Z75" s="34">
        <v>2.5271855360126998</v>
      </c>
      <c r="AA75" s="34">
        <v>2.52928296099557</v>
      </c>
      <c r="AB75" s="33">
        <v>115.981216819943</v>
      </c>
      <c r="AC75" s="33">
        <v>115.642378298572</v>
      </c>
      <c r="AD75" s="33">
        <v>115.73270669371099</v>
      </c>
      <c r="AE75" s="15">
        <v>3.1193023749270998E-3</v>
      </c>
      <c r="AF75" s="15">
        <v>1.9353168298975499E-4</v>
      </c>
      <c r="AG75" s="15">
        <v>9.7432793623207395E-4</v>
      </c>
      <c r="AI75" s="12"/>
      <c r="AJ75">
        <f t="shared" si="4"/>
        <v>0</v>
      </c>
      <c r="AK75">
        <f t="shared" si="5"/>
        <v>1</v>
      </c>
      <c r="AL75">
        <f t="shared" si="14"/>
        <v>0</v>
      </c>
      <c r="AM75">
        <f t="shared" si="6"/>
        <v>1</v>
      </c>
      <c r="AN75">
        <f t="shared" si="15"/>
        <v>0</v>
      </c>
      <c r="AO75" s="28">
        <f t="shared" si="7"/>
        <v>0</v>
      </c>
      <c r="AP75" s="28">
        <f t="shared" si="8"/>
        <v>0</v>
      </c>
      <c r="AQ75" s="28">
        <f t="shared" si="16"/>
        <v>0</v>
      </c>
      <c r="AR75" s="29">
        <f t="shared" si="17"/>
        <v>0</v>
      </c>
      <c r="AT75" s="12"/>
      <c r="AU75">
        <f t="shared" si="9"/>
        <v>0</v>
      </c>
      <c r="AV75">
        <f t="shared" si="10"/>
        <v>0</v>
      </c>
      <c r="AW75">
        <f t="shared" si="18"/>
        <v>1</v>
      </c>
      <c r="AX75">
        <f t="shared" si="11"/>
        <v>1</v>
      </c>
      <c r="AY75">
        <f t="shared" si="19"/>
        <v>1</v>
      </c>
      <c r="AZ75" s="28">
        <f t="shared" si="12"/>
        <v>8.9218304783137796E-3</v>
      </c>
      <c r="BA75" s="28">
        <f t="shared" si="13"/>
        <v>-8.1829992774108597E-3</v>
      </c>
      <c r="BB75" s="28">
        <f t="shared" si="20"/>
        <v>7.3883120090291986E-4</v>
      </c>
      <c r="BC75" s="29">
        <f t="shared" si="21"/>
        <v>2.5355138768088448E-3</v>
      </c>
      <c r="BE75" s="29">
        <f t="shared" si="22"/>
        <v>7.3883120090291986E-4</v>
      </c>
      <c r="BF75" s="29">
        <f t="shared" si="23"/>
        <v>2.5355138768088448E-3</v>
      </c>
      <c r="BH75" s="29"/>
    </row>
    <row r="76" spans="1:60" x14ac:dyDescent="0.3">
      <c r="A76" s="1">
        <v>46133</v>
      </c>
      <c r="B76" s="33">
        <v>44.95</v>
      </c>
      <c r="C76" s="33">
        <v>113.57</v>
      </c>
      <c r="D76" s="15">
        <v>-1.7641030803900899E-2</v>
      </c>
      <c r="E76" s="15">
        <v>-1.7889564750775099E-2</v>
      </c>
      <c r="F76" s="33">
        <v>0</v>
      </c>
      <c r="G76" s="33">
        <v>0.30993999999999999</v>
      </c>
      <c r="H76" s="33">
        <v>0</v>
      </c>
      <c r="I76" s="33">
        <v>0.62162899999999999</v>
      </c>
      <c r="J76" s="33">
        <v>0</v>
      </c>
      <c r="K76" s="33">
        <v>0</v>
      </c>
      <c r="L76" s="33">
        <v>44.95</v>
      </c>
      <c r="M76" s="33">
        <v>113.57</v>
      </c>
      <c r="N76" s="34">
        <v>2.5265850945494899</v>
      </c>
      <c r="O76" s="34">
        <v>2.5341745756035601</v>
      </c>
      <c r="P76" s="34">
        <v>2.52639688748192</v>
      </c>
      <c r="Q76" s="34">
        <v>2.5289708579740502</v>
      </c>
      <c r="R76" s="33">
        <v>113.91114717338</v>
      </c>
      <c r="S76" s="33">
        <v>113.596989843771</v>
      </c>
      <c r="T76" s="33">
        <v>113.691269096751</v>
      </c>
      <c r="U76" s="15">
        <v>2.9993468326331499E-3</v>
      </c>
      <c r="V76" s="15">
        <v>2.37621178295376E-4</v>
      </c>
      <c r="W76" s="15">
        <v>1.0672219577337199E-3</v>
      </c>
      <c r="X76" s="34">
        <v>2.5265850945494899</v>
      </c>
      <c r="Y76" s="34">
        <v>2.5351085643703399</v>
      </c>
      <c r="Z76" s="34">
        <v>2.52639688748192</v>
      </c>
      <c r="AA76" s="34">
        <v>2.5289708579740502</v>
      </c>
      <c r="AB76" s="33">
        <v>113.95312996844601</v>
      </c>
      <c r="AC76" s="33">
        <v>113.596989843771</v>
      </c>
      <c r="AD76" s="33">
        <v>113.691269096751</v>
      </c>
      <c r="AE76" s="15">
        <v>3.3678363218015198E-3</v>
      </c>
      <c r="AF76" s="15">
        <v>2.37621178295376E-4</v>
      </c>
      <c r="AG76" s="15">
        <v>1.0672219577337199E-3</v>
      </c>
      <c r="AI76" s="12"/>
      <c r="AJ76">
        <f t="shared" si="4"/>
        <v>0</v>
      </c>
      <c r="AK76">
        <f t="shared" si="5"/>
        <v>1</v>
      </c>
      <c r="AL76">
        <f t="shared" si="14"/>
        <v>0</v>
      </c>
      <c r="AM76">
        <f t="shared" si="6"/>
        <v>1</v>
      </c>
      <c r="AN76">
        <f t="shared" si="15"/>
        <v>0</v>
      </c>
      <c r="AO76" s="28">
        <f t="shared" si="7"/>
        <v>0</v>
      </c>
      <c r="AP76" s="28">
        <f t="shared" si="8"/>
        <v>0</v>
      </c>
      <c r="AQ76" s="28">
        <f t="shared" si="16"/>
        <v>0</v>
      </c>
      <c r="AR76" s="29">
        <f t="shared" si="17"/>
        <v>0</v>
      </c>
      <c r="AT76" s="12"/>
      <c r="AU76">
        <f t="shared" si="9"/>
        <v>1</v>
      </c>
      <c r="AV76">
        <f t="shared" si="10"/>
        <v>0</v>
      </c>
      <c r="AW76">
        <f t="shared" si="18"/>
        <v>1</v>
      </c>
      <c r="AX76">
        <f t="shared" si="11"/>
        <v>1</v>
      </c>
      <c r="AY76">
        <f t="shared" si="19"/>
        <v>1</v>
      </c>
      <c r="AZ76" s="28">
        <f t="shared" si="12"/>
        <v>1.7641030803900899E-2</v>
      </c>
      <c r="BA76" s="28">
        <f t="shared" si="13"/>
        <v>-1.7889564750775099E-2</v>
      </c>
      <c r="BB76" s="28">
        <f t="shared" si="20"/>
        <v>-2.4853394687419927E-4</v>
      </c>
      <c r="BC76" s="29">
        <f t="shared" si="21"/>
        <v>2.2869799299346455E-3</v>
      </c>
      <c r="BE76" s="29">
        <f t="shared" si="22"/>
        <v>-2.4853394687419927E-4</v>
      </c>
      <c r="BF76" s="29">
        <f t="shared" si="23"/>
        <v>2.2869799299346455E-3</v>
      </c>
      <c r="BH76" s="29"/>
    </row>
    <row r="77" spans="1:60" x14ac:dyDescent="0.3">
      <c r="A77" s="1">
        <v>46134</v>
      </c>
      <c r="B77" s="33">
        <v>44.87</v>
      </c>
      <c r="C77" s="33">
        <v>113.54</v>
      </c>
      <c r="D77" s="15">
        <v>-1.7813409297374001E-3</v>
      </c>
      <c r="E77" s="15">
        <v>-2.6418916097464698E-4</v>
      </c>
      <c r="F77" s="33">
        <v>0</v>
      </c>
      <c r="G77" s="33">
        <v>0.30993999999999999</v>
      </c>
      <c r="H77" s="33">
        <v>0</v>
      </c>
      <c r="I77" s="33">
        <v>0.62162899999999999</v>
      </c>
      <c r="J77" s="33">
        <v>0</v>
      </c>
      <c r="K77" s="33">
        <v>0</v>
      </c>
      <c r="L77" s="33">
        <v>44.87</v>
      </c>
      <c r="M77" s="33">
        <v>113.54</v>
      </c>
      <c r="N77" s="34">
        <v>2.5304212168486702</v>
      </c>
      <c r="O77" s="34">
        <v>2.5341745756035601</v>
      </c>
      <c r="P77" s="34">
        <v>2.5266386671402801</v>
      </c>
      <c r="Q77" s="34">
        <v>2.5289561015621098</v>
      </c>
      <c r="R77" s="33">
        <v>113.70841320733101</v>
      </c>
      <c r="S77" s="33">
        <v>113.35942834131301</v>
      </c>
      <c r="T77" s="33">
        <v>113.474922397295</v>
      </c>
      <c r="U77" s="15">
        <v>1.4821950638703901E-3</v>
      </c>
      <c r="V77" s="15">
        <v>-1.5916452335458099E-3</v>
      </c>
      <c r="W77" s="15">
        <v>-5.7333327518318102E-4</v>
      </c>
      <c r="X77" s="34">
        <v>2.5304212168486702</v>
      </c>
      <c r="Y77" s="34">
        <v>2.5351085643703399</v>
      </c>
      <c r="Z77" s="34">
        <v>2.5266386671402801</v>
      </c>
      <c r="AA77" s="34">
        <v>2.5289561015621098</v>
      </c>
      <c r="AB77" s="33">
        <v>113.750321283297</v>
      </c>
      <c r="AC77" s="33">
        <v>113.35942834131301</v>
      </c>
      <c r="AD77" s="33">
        <v>113.474922397295</v>
      </c>
      <c r="AE77" s="15">
        <v>1.85068455303874E-3</v>
      </c>
      <c r="AF77" s="15">
        <v>-1.5916452335458099E-3</v>
      </c>
      <c r="AG77" s="15">
        <v>-5.7333327518318102E-4</v>
      </c>
      <c r="AI77" s="12"/>
      <c r="AJ77">
        <f t="shared" si="4"/>
        <v>0</v>
      </c>
      <c r="AK77">
        <f t="shared" si="5"/>
        <v>1</v>
      </c>
      <c r="AL77">
        <f t="shared" si="14"/>
        <v>0</v>
      </c>
      <c r="AM77">
        <f t="shared" si="6"/>
        <v>1</v>
      </c>
      <c r="AN77">
        <f t="shared" si="15"/>
        <v>0</v>
      </c>
      <c r="AO77" s="28">
        <f t="shared" si="7"/>
        <v>0</v>
      </c>
      <c r="AP77" s="28">
        <f t="shared" si="8"/>
        <v>0</v>
      </c>
      <c r="AQ77" s="28">
        <f t="shared" si="16"/>
        <v>0</v>
      </c>
      <c r="AR77" s="29">
        <f t="shared" si="17"/>
        <v>0</v>
      </c>
      <c r="AT77" s="12"/>
      <c r="AU77">
        <f t="shared" si="9"/>
        <v>0</v>
      </c>
      <c r="AV77">
        <f t="shared" si="10"/>
        <v>1</v>
      </c>
      <c r="AW77">
        <f t="shared" si="18"/>
        <v>1</v>
      </c>
      <c r="AX77">
        <f t="shared" si="11"/>
        <v>1</v>
      </c>
      <c r="AY77">
        <f t="shared" si="19"/>
        <v>1</v>
      </c>
      <c r="AZ77" s="28">
        <f t="shared" si="12"/>
        <v>1.7813409297374001E-3</v>
      </c>
      <c r="BA77" s="28">
        <f t="shared" si="13"/>
        <v>-2.6418916097464698E-4</v>
      </c>
      <c r="BB77" s="28">
        <f t="shared" si="20"/>
        <v>1.5171517687627531E-3</v>
      </c>
      <c r="BC77" s="29">
        <f t="shared" si="21"/>
        <v>3.8041316986973986E-3</v>
      </c>
      <c r="BE77" s="29">
        <f t="shared" si="22"/>
        <v>1.5171517687627531E-3</v>
      </c>
      <c r="BF77" s="29">
        <f t="shared" si="23"/>
        <v>3.8041316986973986E-3</v>
      </c>
      <c r="BH77" s="29"/>
    </row>
    <row r="78" spans="1:60" x14ac:dyDescent="0.3">
      <c r="A78" s="1">
        <v>46135</v>
      </c>
      <c r="B78" s="33">
        <v>46.09</v>
      </c>
      <c r="C78" s="33">
        <v>116.72</v>
      </c>
      <c r="D78" s="15">
        <v>2.68265867445249E-2</v>
      </c>
      <c r="E78" s="15">
        <v>2.76227064719499E-2</v>
      </c>
      <c r="F78" s="33">
        <v>0</v>
      </c>
      <c r="G78" s="33">
        <v>0.30993999999999999</v>
      </c>
      <c r="H78" s="33">
        <v>0</v>
      </c>
      <c r="I78" s="33">
        <v>0.62162899999999999</v>
      </c>
      <c r="J78" s="33">
        <v>0</v>
      </c>
      <c r="K78" s="33">
        <v>0</v>
      </c>
      <c r="L78" s="33">
        <v>46.09</v>
      </c>
      <c r="M78" s="33">
        <v>116.72</v>
      </c>
      <c r="N78" s="34">
        <v>2.5324365372097999</v>
      </c>
      <c r="O78" s="34">
        <v>2.5341745756035601</v>
      </c>
      <c r="P78" s="34">
        <v>2.5272206029397299</v>
      </c>
      <c r="Q78" s="34">
        <v>2.5290696411297802</v>
      </c>
      <c r="R78" s="33">
        <v>116.800106189568</v>
      </c>
      <c r="S78" s="33">
        <v>116.45277616849501</v>
      </c>
      <c r="T78" s="33">
        <v>116.559586720997</v>
      </c>
      <c r="U78" s="15">
        <v>6.8607533644542802E-4</v>
      </c>
      <c r="V78" s="15">
        <v>-2.2920681640921699E-3</v>
      </c>
      <c r="W78" s="15">
        <v>-1.3752879670371301E-3</v>
      </c>
      <c r="X78" s="34">
        <v>2.5324365372097999</v>
      </c>
      <c r="Y78" s="34">
        <v>2.5351085643703399</v>
      </c>
      <c r="Z78" s="34">
        <v>2.5272206029397299</v>
      </c>
      <c r="AA78" s="34">
        <v>2.5290696411297802</v>
      </c>
      <c r="AB78" s="33">
        <v>116.84315373182901</v>
      </c>
      <c r="AC78" s="33">
        <v>116.45277616849501</v>
      </c>
      <c r="AD78" s="33">
        <v>116.559586720997</v>
      </c>
      <c r="AE78" s="15">
        <v>1.0545648256138399E-3</v>
      </c>
      <c r="AF78" s="15">
        <v>-2.2920681640921699E-3</v>
      </c>
      <c r="AG78" s="15">
        <v>-1.3752879670371301E-3</v>
      </c>
      <c r="AI78" s="12"/>
      <c r="AJ78">
        <f t="shared" si="4"/>
        <v>0</v>
      </c>
      <c r="AK78">
        <f t="shared" si="5"/>
        <v>0</v>
      </c>
      <c r="AL78">
        <f t="shared" si="14"/>
        <v>0</v>
      </c>
      <c r="AM78">
        <f t="shared" si="6"/>
        <v>1</v>
      </c>
      <c r="AN78">
        <f t="shared" si="15"/>
        <v>0</v>
      </c>
      <c r="AO78" s="28">
        <f t="shared" si="7"/>
        <v>0</v>
      </c>
      <c r="AP78" s="28">
        <f t="shared" si="8"/>
        <v>0</v>
      </c>
      <c r="AQ78" s="28">
        <f t="shared" si="16"/>
        <v>0</v>
      </c>
      <c r="AR78" s="29">
        <f t="shared" si="17"/>
        <v>0</v>
      </c>
      <c r="AT78" s="12"/>
      <c r="AU78">
        <f t="shared" si="9"/>
        <v>0</v>
      </c>
      <c r="AV78">
        <f t="shared" si="10"/>
        <v>1</v>
      </c>
      <c r="AW78">
        <f t="shared" si="18"/>
        <v>0</v>
      </c>
      <c r="AX78">
        <f t="shared" si="11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3.8041316986973986E-3</v>
      </c>
      <c r="BE78" s="29">
        <f t="shared" si="22"/>
        <v>0</v>
      </c>
      <c r="BF78" s="29">
        <f t="shared" si="23"/>
        <v>3.8041316986973986E-3</v>
      </c>
      <c r="BH78" s="29"/>
    </row>
    <row r="79" spans="1:60" x14ac:dyDescent="0.3">
      <c r="A79" s="1">
        <v>46136</v>
      </c>
      <c r="B79" s="33">
        <v>46.18</v>
      </c>
      <c r="C79" s="33">
        <v>116.84</v>
      </c>
      <c r="D79" s="15">
        <v>1.95079719393226E-3</v>
      </c>
      <c r="E79" s="15">
        <v>1.0275733050100499E-3</v>
      </c>
      <c r="F79" s="33">
        <v>0</v>
      </c>
      <c r="G79" s="33">
        <v>0.30993999999999999</v>
      </c>
      <c r="H79" s="33">
        <v>0</v>
      </c>
      <c r="I79" s="33">
        <v>0.62162899999999999</v>
      </c>
      <c r="J79" s="33">
        <v>0</v>
      </c>
      <c r="K79" s="33">
        <v>0</v>
      </c>
      <c r="L79" s="33">
        <v>46.18</v>
      </c>
      <c r="M79" s="33">
        <v>116.84</v>
      </c>
      <c r="N79" s="34">
        <v>2.5300996102208702</v>
      </c>
      <c r="O79" s="34">
        <v>2.5341745756035601</v>
      </c>
      <c r="P79" s="34">
        <v>2.5278029660061101</v>
      </c>
      <c r="Q79" s="34">
        <v>2.5289366335534602</v>
      </c>
      <c r="R79" s="33">
        <v>117.02818190137199</v>
      </c>
      <c r="S79" s="33">
        <v>116.70704744375701</v>
      </c>
      <c r="T79" s="33">
        <v>116.792436027373</v>
      </c>
      <c r="U79" s="15">
        <v>1.60929922536771E-3</v>
      </c>
      <c r="V79" s="15">
        <v>-1.13855064373844E-3</v>
      </c>
      <c r="W79" s="15">
        <v>-4.0716926204696998E-4</v>
      </c>
      <c r="X79" s="34">
        <v>2.5300996102208702</v>
      </c>
      <c r="Y79" s="34">
        <v>2.5351085643703399</v>
      </c>
      <c r="Z79" s="34">
        <v>2.5278029660061101</v>
      </c>
      <c r="AA79" s="34">
        <v>2.5289366335534602</v>
      </c>
      <c r="AB79" s="33">
        <v>117.071313502622</v>
      </c>
      <c r="AC79" s="33">
        <v>116.70704744375701</v>
      </c>
      <c r="AD79" s="33">
        <v>116.792436027373</v>
      </c>
      <c r="AE79" s="15">
        <v>1.9777887145361302E-3</v>
      </c>
      <c r="AF79" s="15">
        <v>-1.13855064373844E-3</v>
      </c>
      <c r="AG79" s="15">
        <v>-4.0716926204696998E-4</v>
      </c>
      <c r="AI79" s="12"/>
      <c r="AJ79">
        <f t="shared" si="4"/>
        <v>0</v>
      </c>
      <c r="AK79">
        <f t="shared" si="5"/>
        <v>1</v>
      </c>
      <c r="AL79">
        <f t="shared" si="14"/>
        <v>0</v>
      </c>
      <c r="AM79">
        <f t="shared" si="6"/>
        <v>1</v>
      </c>
      <c r="AN79">
        <f t="shared" si="15"/>
        <v>0</v>
      </c>
      <c r="AO79" s="28">
        <f t="shared" si="7"/>
        <v>0</v>
      </c>
      <c r="AP79" s="28">
        <f t="shared" si="8"/>
        <v>0</v>
      </c>
      <c r="AQ79" s="28">
        <f t="shared" si="16"/>
        <v>0</v>
      </c>
      <c r="AR79" s="29">
        <f t="shared" si="17"/>
        <v>0</v>
      </c>
      <c r="AT79" s="12"/>
      <c r="AU79">
        <f t="shared" si="9"/>
        <v>0</v>
      </c>
      <c r="AV79">
        <f t="shared" si="10"/>
        <v>1</v>
      </c>
      <c r="AW79">
        <f t="shared" si="18"/>
        <v>0</v>
      </c>
      <c r="AX79">
        <f t="shared" si="11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3.8041316986973986E-3</v>
      </c>
      <c r="BE79" s="29">
        <f t="shared" si="22"/>
        <v>0</v>
      </c>
      <c r="BF79" s="29">
        <f t="shared" si="23"/>
        <v>3.8041316986973986E-3</v>
      </c>
      <c r="BH79" s="29"/>
    </row>
    <row r="80" spans="1:60" x14ac:dyDescent="0.3">
      <c r="A80" s="1">
        <v>46139</v>
      </c>
      <c r="B80" s="33">
        <v>46.19</v>
      </c>
      <c r="C80" s="33">
        <v>116.67</v>
      </c>
      <c r="D80" s="15">
        <v>2.1652051616457001E-4</v>
      </c>
      <c r="E80" s="15">
        <v>-1.45604068377456E-3</v>
      </c>
      <c r="F80" s="33">
        <v>0</v>
      </c>
      <c r="G80" s="33">
        <v>0.30993999999999999</v>
      </c>
      <c r="H80" s="33">
        <v>0</v>
      </c>
      <c r="I80" s="33">
        <v>0.62162899999999999</v>
      </c>
      <c r="J80" s="33">
        <v>0</v>
      </c>
      <c r="K80" s="33">
        <v>0</v>
      </c>
      <c r="L80" s="33">
        <v>46.19</v>
      </c>
      <c r="M80" s="33">
        <v>116.67</v>
      </c>
      <c r="N80" s="34">
        <v>2.5258714007360901</v>
      </c>
      <c r="O80" s="34">
        <v>2.5341745756035601</v>
      </c>
      <c r="P80" s="34">
        <v>2.52762011254663</v>
      </c>
      <c r="Q80" s="34">
        <v>2.5287331647659599</v>
      </c>
      <c r="R80" s="33">
        <v>117.053523647128</v>
      </c>
      <c r="S80" s="33">
        <v>116.759218999822</v>
      </c>
      <c r="T80" s="33">
        <v>116.811583103834</v>
      </c>
      <c r="U80" s="15">
        <v>3.2818604253069699E-3</v>
      </c>
      <c r="V80" s="15">
        <v>7.6442019169070501E-4</v>
      </c>
      <c r="W80" s="15">
        <v>1.21279905084421E-3</v>
      </c>
      <c r="X80" s="34">
        <v>2.5258714007360901</v>
      </c>
      <c r="Y80" s="34">
        <v>2.5351085643703399</v>
      </c>
      <c r="Z80" s="34">
        <v>2.52762011254663</v>
      </c>
      <c r="AA80" s="34">
        <v>2.5287331647659599</v>
      </c>
      <c r="AB80" s="33">
        <v>117.09666458826599</v>
      </c>
      <c r="AC80" s="33">
        <v>116.759218999822</v>
      </c>
      <c r="AD80" s="33">
        <v>116.811583103834</v>
      </c>
      <c r="AE80" s="15">
        <v>3.6503499144752301E-3</v>
      </c>
      <c r="AF80" s="15">
        <v>7.6442019169070501E-4</v>
      </c>
      <c r="AG80" s="15">
        <v>1.21279905084421E-3</v>
      </c>
      <c r="AI80" s="12"/>
      <c r="AJ80">
        <f t="shared" si="4"/>
        <v>0</v>
      </c>
      <c r="AK80">
        <f t="shared" si="5"/>
        <v>1</v>
      </c>
      <c r="AL80">
        <f t="shared" si="14"/>
        <v>0</v>
      </c>
      <c r="AM80">
        <f t="shared" si="6"/>
        <v>1</v>
      </c>
      <c r="AN80">
        <f t="shared" si="15"/>
        <v>0</v>
      </c>
      <c r="AO80" s="28">
        <f t="shared" si="7"/>
        <v>0</v>
      </c>
      <c r="AP80" s="28">
        <f t="shared" si="8"/>
        <v>0</v>
      </c>
      <c r="AQ80" s="28">
        <f t="shared" si="16"/>
        <v>0</v>
      </c>
      <c r="AR80" s="29">
        <f t="shared" si="17"/>
        <v>0</v>
      </c>
      <c r="AT80" s="12"/>
      <c r="AU80">
        <f t="shared" si="9"/>
        <v>1</v>
      </c>
      <c r="AV80">
        <f t="shared" si="10"/>
        <v>0</v>
      </c>
      <c r="AW80">
        <f t="shared" si="18"/>
        <v>0</v>
      </c>
      <c r="AX80">
        <f t="shared" si="11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3.8041316986973986E-3</v>
      </c>
      <c r="BE80" s="29">
        <f t="shared" si="22"/>
        <v>0</v>
      </c>
      <c r="BF80" s="29">
        <f t="shared" si="23"/>
        <v>3.8041316986973986E-3</v>
      </c>
      <c r="BH80" s="29"/>
    </row>
    <row r="81" spans="1:60" x14ac:dyDescent="0.3">
      <c r="A81" s="1">
        <v>46140</v>
      </c>
      <c r="B81" s="33">
        <v>46.25</v>
      </c>
      <c r="C81" s="33">
        <v>116.87</v>
      </c>
      <c r="D81" s="15">
        <v>1.2981395159202701E-3</v>
      </c>
      <c r="E81" s="15">
        <v>1.7127691093001599E-3</v>
      </c>
      <c r="F81" s="33">
        <v>0</v>
      </c>
      <c r="G81" s="33">
        <v>0.30993999999999999</v>
      </c>
      <c r="H81" s="33">
        <v>0</v>
      </c>
      <c r="I81" s="33">
        <v>0.62162899999999999</v>
      </c>
      <c r="J81" s="33">
        <v>0</v>
      </c>
      <c r="K81" s="33">
        <v>0</v>
      </c>
      <c r="L81" s="33">
        <v>46.25</v>
      </c>
      <c r="M81" s="33">
        <v>116.87</v>
      </c>
      <c r="N81" s="34">
        <v>2.5269189189189101</v>
      </c>
      <c r="O81" s="34">
        <v>2.5341745756035601</v>
      </c>
      <c r="P81" s="34">
        <v>2.52765437586095</v>
      </c>
      <c r="Q81" s="34">
        <v>2.5285438319662599</v>
      </c>
      <c r="R81" s="33">
        <v>117.205574121664</v>
      </c>
      <c r="S81" s="33">
        <v>116.90243020528099</v>
      </c>
      <c r="T81" s="33">
        <v>116.95390887042601</v>
      </c>
      <c r="U81" s="15">
        <v>2.8672308319271202E-3</v>
      </c>
      <c r="V81" s="15">
        <v>2.7745107035506098E-4</v>
      </c>
      <c r="W81" s="15">
        <v>7.1770995903040703E-4</v>
      </c>
      <c r="X81" s="34">
        <v>2.5269189189189101</v>
      </c>
      <c r="Y81" s="34">
        <v>2.5351085643703399</v>
      </c>
      <c r="Z81" s="34">
        <v>2.52765437586095</v>
      </c>
      <c r="AA81" s="34">
        <v>2.5285438319662599</v>
      </c>
      <c r="AB81" s="33">
        <v>117.248771102128</v>
      </c>
      <c r="AC81" s="33">
        <v>116.90243020528099</v>
      </c>
      <c r="AD81" s="33">
        <v>116.95390887042601</v>
      </c>
      <c r="AE81" s="15">
        <v>3.23572032109537E-3</v>
      </c>
      <c r="AF81" s="15">
        <v>2.7745107035506098E-4</v>
      </c>
      <c r="AG81" s="15">
        <v>7.1770995903040703E-4</v>
      </c>
      <c r="AI81" s="12"/>
      <c r="AJ81">
        <f t="shared" si="4"/>
        <v>0</v>
      </c>
      <c r="AK81">
        <f t="shared" si="5"/>
        <v>1</v>
      </c>
      <c r="AL81">
        <f t="shared" si="14"/>
        <v>0</v>
      </c>
      <c r="AM81">
        <f t="shared" si="6"/>
        <v>1</v>
      </c>
      <c r="AN81">
        <f t="shared" si="15"/>
        <v>0</v>
      </c>
      <c r="AO81" s="28">
        <f t="shared" si="7"/>
        <v>0</v>
      </c>
      <c r="AP81" s="28">
        <f t="shared" si="8"/>
        <v>0</v>
      </c>
      <c r="AQ81" s="28">
        <f t="shared" si="16"/>
        <v>0</v>
      </c>
      <c r="AR81" s="29">
        <f t="shared" si="17"/>
        <v>0</v>
      </c>
      <c r="AT81" s="12"/>
      <c r="AU81">
        <f t="shared" si="9"/>
        <v>0</v>
      </c>
      <c r="AV81">
        <f t="shared" si="10"/>
        <v>0</v>
      </c>
      <c r="AW81">
        <f t="shared" si="18"/>
        <v>1</v>
      </c>
      <c r="AX81">
        <f t="shared" si="11"/>
        <v>1</v>
      </c>
      <c r="AY81">
        <f t="shared" si="19"/>
        <v>1</v>
      </c>
      <c r="AZ81" s="28">
        <f t="shared" si="12"/>
        <v>-1.2981395159202701E-3</v>
      </c>
      <c r="BA81" s="28">
        <f t="shared" si="13"/>
        <v>1.7127691093001599E-3</v>
      </c>
      <c r="BB81" s="28">
        <f t="shared" si="20"/>
        <v>4.1462959337988984E-4</v>
      </c>
      <c r="BC81" s="29">
        <f t="shared" si="21"/>
        <v>4.2187612920772883E-3</v>
      </c>
      <c r="BE81" s="29">
        <f t="shared" si="22"/>
        <v>4.1462959337988984E-4</v>
      </c>
      <c r="BF81" s="29">
        <f t="shared" si="23"/>
        <v>4.2187612920772883E-3</v>
      </c>
      <c r="BH81" s="29"/>
    </row>
    <row r="82" spans="1:60" x14ac:dyDescent="0.3">
      <c r="A82" s="1">
        <v>46141</v>
      </c>
      <c r="B82" s="33">
        <v>45.68</v>
      </c>
      <c r="C82" s="33">
        <v>115.53</v>
      </c>
      <c r="D82" s="15">
        <v>-1.2400898610679299E-2</v>
      </c>
      <c r="E82" s="15">
        <v>-1.15319694501384E-2</v>
      </c>
      <c r="F82" s="33">
        <v>0</v>
      </c>
      <c r="G82" s="33">
        <v>0.30993999999999999</v>
      </c>
      <c r="H82" s="33">
        <v>0</v>
      </c>
      <c r="I82" s="33">
        <v>0.62162899999999999</v>
      </c>
      <c r="J82" s="33">
        <v>0</v>
      </c>
      <c r="K82" s="33">
        <v>0</v>
      </c>
      <c r="L82" s="33">
        <v>45.68</v>
      </c>
      <c r="M82" s="33">
        <v>115.53</v>
      </c>
      <c r="N82" s="34">
        <v>2.5291155866900099</v>
      </c>
      <c r="O82" s="34">
        <v>2.5341745756035601</v>
      </c>
      <c r="P82" s="34">
        <v>2.5278279945038702</v>
      </c>
      <c r="Q82" s="34">
        <v>2.5284905679362</v>
      </c>
      <c r="R82" s="33">
        <v>115.76109461356999</v>
      </c>
      <c r="S82" s="33">
        <v>115.46325188932801</v>
      </c>
      <c r="T82" s="33">
        <v>115.503882244219</v>
      </c>
      <c r="U82" s="15">
        <v>1.9983016713862201E-3</v>
      </c>
      <c r="V82" s="15">
        <v>-5.77922618808698E-4</v>
      </c>
      <c r="W82" s="15">
        <v>-2.2609459390447701E-4</v>
      </c>
      <c r="X82" s="34">
        <v>2.5291155866900099</v>
      </c>
      <c r="Y82" s="34">
        <v>2.5351085643703399</v>
      </c>
      <c r="Z82" s="34">
        <v>2.5278279945038702</v>
      </c>
      <c r="AA82" s="34">
        <v>2.5284905679362</v>
      </c>
      <c r="AB82" s="33">
        <v>115.803759220437</v>
      </c>
      <c r="AC82" s="33">
        <v>115.46325188932801</v>
      </c>
      <c r="AD82" s="33">
        <v>115.503882244219</v>
      </c>
      <c r="AE82" s="15">
        <v>2.36679116055446E-3</v>
      </c>
      <c r="AF82" s="15">
        <v>-5.77922618808698E-4</v>
      </c>
      <c r="AG82" s="15">
        <v>-2.2609459390447701E-4</v>
      </c>
      <c r="AI82" s="12"/>
      <c r="AJ82">
        <f t="shared" si="4"/>
        <v>0</v>
      </c>
      <c r="AK82">
        <f t="shared" si="5"/>
        <v>1</v>
      </c>
      <c r="AL82">
        <f t="shared" si="14"/>
        <v>0</v>
      </c>
      <c r="AM82">
        <f t="shared" si="6"/>
        <v>1</v>
      </c>
      <c r="AN82">
        <f t="shared" si="15"/>
        <v>0</v>
      </c>
      <c r="AO82" s="28">
        <f t="shared" si="7"/>
        <v>0</v>
      </c>
      <c r="AP82" s="28">
        <f t="shared" si="8"/>
        <v>0</v>
      </c>
      <c r="AQ82" s="28">
        <f t="shared" si="16"/>
        <v>0</v>
      </c>
      <c r="AR82" s="29">
        <f t="shared" si="17"/>
        <v>0</v>
      </c>
      <c r="AT82" s="12"/>
      <c r="AU82">
        <f t="shared" si="9"/>
        <v>0</v>
      </c>
      <c r="AV82">
        <f t="shared" si="10"/>
        <v>1</v>
      </c>
      <c r="AW82">
        <f t="shared" si="18"/>
        <v>1</v>
      </c>
      <c r="AX82">
        <f t="shared" si="11"/>
        <v>1</v>
      </c>
      <c r="AY82">
        <f t="shared" si="19"/>
        <v>1</v>
      </c>
      <c r="AZ82" s="28">
        <f t="shared" si="12"/>
        <v>1.2400898610679299E-2</v>
      </c>
      <c r="BA82" s="28">
        <f t="shared" si="13"/>
        <v>-1.15319694501384E-2</v>
      </c>
      <c r="BB82" s="28">
        <f t="shared" si="20"/>
        <v>8.6892916054089921E-4</v>
      </c>
      <c r="BC82" s="29">
        <f t="shared" si="21"/>
        <v>5.0876904526181875E-3</v>
      </c>
      <c r="BE82" s="29">
        <f t="shared" si="22"/>
        <v>8.6892916054089921E-4</v>
      </c>
      <c r="BF82" s="29">
        <f t="shared" si="23"/>
        <v>5.0876904526181875E-3</v>
      </c>
      <c r="BH82" s="29"/>
    </row>
    <row r="83" spans="1:60" x14ac:dyDescent="0.3">
      <c r="A83" s="1">
        <v>46142</v>
      </c>
      <c r="B83" s="33">
        <v>46.85</v>
      </c>
      <c r="C83" s="33">
        <v>118.3</v>
      </c>
      <c r="D83" s="15">
        <v>2.5290443336676401E-2</v>
      </c>
      <c r="E83" s="15">
        <v>2.3693534489413699E-2</v>
      </c>
      <c r="F83" s="33">
        <v>0</v>
      </c>
      <c r="G83" s="33">
        <v>0.30993999999999999</v>
      </c>
      <c r="H83" s="33">
        <v>0</v>
      </c>
      <c r="I83" s="33">
        <v>0.62162899999999999</v>
      </c>
      <c r="J83" s="33">
        <v>0</v>
      </c>
      <c r="K83" s="33">
        <v>0</v>
      </c>
      <c r="L83" s="33">
        <v>46.85</v>
      </c>
      <c r="M83" s="33">
        <v>118.3</v>
      </c>
      <c r="N83" s="34">
        <v>2.5250800426894302</v>
      </c>
      <c r="O83" s="34">
        <v>2.5341745756035601</v>
      </c>
      <c r="P83" s="34">
        <v>2.5279088143067998</v>
      </c>
      <c r="Q83" s="34">
        <v>2.5282969448266899</v>
      </c>
      <c r="R83" s="33">
        <v>118.726078867026</v>
      </c>
      <c r="S83" s="33">
        <v>118.428741542506</v>
      </c>
      <c r="T83" s="33">
        <v>118.45978310781101</v>
      </c>
      <c r="U83" s="15">
        <v>3.5952105186489E-3</v>
      </c>
      <c r="V83" s="15">
        <v>1.08767152108268E-3</v>
      </c>
      <c r="W83" s="15">
        <v>1.3497489309353299E-3</v>
      </c>
      <c r="X83" s="34">
        <v>2.5250800426894302</v>
      </c>
      <c r="Y83" s="34">
        <v>2.5351085643703399</v>
      </c>
      <c r="Z83" s="34">
        <v>2.5279088143067998</v>
      </c>
      <c r="AA83" s="34">
        <v>2.5282969448266899</v>
      </c>
      <c r="AB83" s="33">
        <v>118.76983624075</v>
      </c>
      <c r="AC83" s="33">
        <v>118.428741542506</v>
      </c>
      <c r="AD83" s="33">
        <v>118.45978310781101</v>
      </c>
      <c r="AE83" s="15">
        <v>3.9637000078171104E-3</v>
      </c>
      <c r="AF83" s="15">
        <v>1.0876715210829E-3</v>
      </c>
      <c r="AG83" s="15">
        <v>1.3497489309353299E-3</v>
      </c>
      <c r="AI83" s="12"/>
      <c r="AJ83">
        <f t="shared" si="4"/>
        <v>0</v>
      </c>
      <c r="AK83">
        <f t="shared" si="5"/>
        <v>1</v>
      </c>
      <c r="AL83">
        <f t="shared" si="14"/>
        <v>0</v>
      </c>
      <c r="AM83">
        <f t="shared" si="6"/>
        <v>1</v>
      </c>
      <c r="AN83">
        <f t="shared" si="15"/>
        <v>0</v>
      </c>
      <c r="AO83" s="28">
        <f t="shared" si="7"/>
        <v>0</v>
      </c>
      <c r="AP83" s="28">
        <f t="shared" si="8"/>
        <v>0</v>
      </c>
      <c r="AQ83" s="28">
        <f t="shared" si="16"/>
        <v>0</v>
      </c>
      <c r="AR83" s="29">
        <f t="shared" si="17"/>
        <v>0</v>
      </c>
      <c r="AT83" s="12"/>
      <c r="AU83">
        <f t="shared" si="9"/>
        <v>1</v>
      </c>
      <c r="AV83">
        <f t="shared" si="10"/>
        <v>0</v>
      </c>
      <c r="AW83">
        <f t="shared" si="18"/>
        <v>0</v>
      </c>
      <c r="AX83">
        <f t="shared" si="11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5.0876904526181875E-3</v>
      </c>
      <c r="BE83" s="29">
        <f t="shared" si="22"/>
        <v>0</v>
      </c>
      <c r="BF83" s="29">
        <f t="shared" si="23"/>
        <v>5.0876904526181875E-3</v>
      </c>
      <c r="BH83" s="29"/>
    </row>
    <row r="84" spans="1:60" x14ac:dyDescent="0.3">
      <c r="A84" s="1">
        <v>46143</v>
      </c>
      <c r="B84" s="33">
        <v>46.55</v>
      </c>
      <c r="C84" s="33">
        <v>117.41</v>
      </c>
      <c r="D84" s="15">
        <v>-6.4240049613552104E-3</v>
      </c>
      <c r="E84" s="15">
        <v>-7.5516883422206502E-3</v>
      </c>
      <c r="F84" s="33">
        <v>0</v>
      </c>
      <c r="G84" s="33">
        <v>0.30993999999999999</v>
      </c>
      <c r="H84" s="33">
        <v>0</v>
      </c>
      <c r="I84" s="33">
        <v>0.62162899999999999</v>
      </c>
      <c r="J84" s="33">
        <v>0</v>
      </c>
      <c r="K84" s="33">
        <v>0</v>
      </c>
      <c r="L84" s="33">
        <v>46.55</v>
      </c>
      <c r="M84" s="33">
        <v>117.41</v>
      </c>
      <c r="N84" s="34">
        <v>2.5222341568206201</v>
      </c>
      <c r="O84" s="34">
        <v>2.5341745756035601</v>
      </c>
      <c r="P84" s="34">
        <v>2.5275975679438001</v>
      </c>
      <c r="Q84" s="34">
        <v>2.5276499129180401</v>
      </c>
      <c r="R84" s="33">
        <v>117.965826494345</v>
      </c>
      <c r="S84" s="33">
        <v>117.674155305981</v>
      </c>
      <c r="T84" s="33">
        <v>117.69222278168201</v>
      </c>
      <c r="U84" s="15">
        <v>4.7228938995142198E-3</v>
      </c>
      <c r="V84" s="15">
        <v>2.2473264249871202E-3</v>
      </c>
      <c r="W84" s="15">
        <v>2.4008528197355002E-3</v>
      </c>
      <c r="X84" s="34">
        <v>2.5222341568206201</v>
      </c>
      <c r="Y84" s="34">
        <v>2.5351085643703399</v>
      </c>
      <c r="Z84" s="34">
        <v>2.5275975679438001</v>
      </c>
      <c r="AA84" s="34">
        <v>2.5276499129180401</v>
      </c>
      <c r="AB84" s="33">
        <v>118.009303671439</v>
      </c>
      <c r="AC84" s="33">
        <v>117.674155305981</v>
      </c>
      <c r="AD84" s="33">
        <v>117.69222278168201</v>
      </c>
      <c r="AE84" s="15">
        <v>5.0913833886825398E-3</v>
      </c>
      <c r="AF84" s="15">
        <v>2.2473264249871202E-3</v>
      </c>
      <c r="AG84" s="15">
        <v>2.4008528197355002E-3</v>
      </c>
      <c r="AI84" s="12"/>
      <c r="AJ84">
        <f t="shared" si="4"/>
        <v>0</v>
      </c>
      <c r="AK84">
        <f t="shared" si="5"/>
        <v>1</v>
      </c>
      <c r="AL84">
        <f t="shared" si="14"/>
        <v>0</v>
      </c>
      <c r="AM84">
        <f t="shared" si="6"/>
        <v>1</v>
      </c>
      <c r="AN84">
        <f t="shared" si="15"/>
        <v>0</v>
      </c>
      <c r="AO84" s="28">
        <f t="shared" si="7"/>
        <v>0</v>
      </c>
      <c r="AP84" s="28">
        <f t="shared" si="8"/>
        <v>0</v>
      </c>
      <c r="AQ84" s="28">
        <f t="shared" si="16"/>
        <v>0</v>
      </c>
      <c r="AR84" s="29">
        <f t="shared" si="17"/>
        <v>0</v>
      </c>
      <c r="AT84" s="12"/>
      <c r="AU84">
        <f t="shared" si="9"/>
        <v>1</v>
      </c>
      <c r="AV84">
        <f t="shared" si="10"/>
        <v>0</v>
      </c>
      <c r="AW84">
        <f t="shared" si="18"/>
        <v>1</v>
      </c>
      <c r="AX84">
        <f t="shared" si="11"/>
        <v>1</v>
      </c>
      <c r="AY84">
        <f t="shared" si="19"/>
        <v>1</v>
      </c>
      <c r="AZ84" s="28">
        <f t="shared" si="12"/>
        <v>6.4240049613552104E-3</v>
      </c>
      <c r="BA84" s="28">
        <f t="shared" si="13"/>
        <v>-7.5516883422206502E-3</v>
      </c>
      <c r="BB84" s="28">
        <f t="shared" si="20"/>
        <v>-1.1276833808654399E-3</v>
      </c>
      <c r="BC84" s="29">
        <f t="shared" si="21"/>
        <v>3.9600070717527476E-3</v>
      </c>
      <c r="BE84" s="29">
        <f t="shared" si="22"/>
        <v>-1.1276833808654399E-3</v>
      </c>
      <c r="BF84" s="29">
        <f t="shared" si="23"/>
        <v>3.9600070717527476E-3</v>
      </c>
      <c r="BH84" s="29"/>
    </row>
    <row r="85" spans="1:60" x14ac:dyDescent="0.3">
      <c r="A85" s="1">
        <v>46146</v>
      </c>
      <c r="B85" s="33">
        <v>46.37</v>
      </c>
      <c r="C85" s="33">
        <v>117.1</v>
      </c>
      <c r="D85" s="15">
        <v>-3.8743053197066498E-3</v>
      </c>
      <c r="E85" s="15">
        <v>-2.6438120384488098E-3</v>
      </c>
      <c r="F85" s="33">
        <v>0</v>
      </c>
      <c r="G85" s="33">
        <v>0.30993999999999999</v>
      </c>
      <c r="H85" s="33">
        <v>0</v>
      </c>
      <c r="I85" s="33">
        <v>0.62162899999999999</v>
      </c>
      <c r="J85" s="33">
        <v>0</v>
      </c>
      <c r="K85" s="33">
        <v>0</v>
      </c>
      <c r="L85" s="33">
        <v>46.37</v>
      </c>
      <c r="M85" s="33">
        <v>117.1</v>
      </c>
      <c r="N85" s="34">
        <v>2.5253396592624502</v>
      </c>
      <c r="O85" s="34">
        <v>2.5341745756035601</v>
      </c>
      <c r="P85" s="34">
        <v>2.52741022239463</v>
      </c>
      <c r="Q85" s="34">
        <v>2.5272978792036702</v>
      </c>
      <c r="R85" s="33">
        <v>117.509675070737</v>
      </c>
      <c r="S85" s="33">
        <v>117.20469922555399</v>
      </c>
      <c r="T85" s="33">
        <v>117.207126462009</v>
      </c>
      <c r="U85" s="15">
        <v>3.4924006182565498E-3</v>
      </c>
      <c r="V85" s="15">
        <v>8.9370151660519504E-4</v>
      </c>
      <c r="W85" s="15">
        <v>9.1441068047636096E-4</v>
      </c>
      <c r="X85" s="34">
        <v>2.5253396592624502</v>
      </c>
      <c r="Y85" s="34">
        <v>2.5351085643703399</v>
      </c>
      <c r="Z85" s="34">
        <v>2.52741022239463</v>
      </c>
      <c r="AA85" s="34">
        <v>2.5272978792036702</v>
      </c>
      <c r="AB85" s="33">
        <v>117.55298412985201</v>
      </c>
      <c r="AC85" s="33">
        <v>117.20469922555399</v>
      </c>
      <c r="AD85" s="33">
        <v>117.207126462009</v>
      </c>
      <c r="AE85" s="15">
        <v>3.8608901074248499E-3</v>
      </c>
      <c r="AF85" s="15">
        <v>8.9370151660519504E-4</v>
      </c>
      <c r="AG85" s="15">
        <v>9.1441068047636096E-4</v>
      </c>
      <c r="AI85" s="12"/>
      <c r="AJ85">
        <f t="shared" si="4"/>
        <v>0</v>
      </c>
      <c r="AK85">
        <f t="shared" si="5"/>
        <v>1</v>
      </c>
      <c r="AL85">
        <f t="shared" si="14"/>
        <v>0</v>
      </c>
      <c r="AM85">
        <f t="shared" si="6"/>
        <v>1</v>
      </c>
      <c r="AN85">
        <f t="shared" si="15"/>
        <v>0</v>
      </c>
      <c r="AO85" s="28">
        <f t="shared" si="7"/>
        <v>0</v>
      </c>
      <c r="AP85" s="28">
        <f t="shared" si="8"/>
        <v>0</v>
      </c>
      <c r="AQ85" s="28">
        <f t="shared" si="16"/>
        <v>0</v>
      </c>
      <c r="AR85" s="29">
        <f t="shared" si="17"/>
        <v>0</v>
      </c>
      <c r="AT85" s="12"/>
      <c r="AU85">
        <f t="shared" si="9"/>
        <v>0</v>
      </c>
      <c r="AV85">
        <f t="shared" si="10"/>
        <v>0</v>
      </c>
      <c r="AW85">
        <f t="shared" si="18"/>
        <v>1</v>
      </c>
      <c r="AX85">
        <f t="shared" si="11"/>
        <v>1</v>
      </c>
      <c r="AY85">
        <f t="shared" si="19"/>
        <v>1</v>
      </c>
      <c r="AZ85" s="28">
        <f t="shared" si="12"/>
        <v>3.8743053197066498E-3</v>
      </c>
      <c r="BA85" s="28">
        <f t="shared" si="13"/>
        <v>-2.6438120384488098E-3</v>
      </c>
      <c r="BB85" s="28">
        <f t="shared" si="20"/>
        <v>1.23049328125784E-3</v>
      </c>
      <c r="BC85" s="29">
        <f t="shared" si="21"/>
        <v>5.1905003530105876E-3</v>
      </c>
      <c r="BE85" s="29">
        <f t="shared" si="22"/>
        <v>1.23049328125784E-3</v>
      </c>
      <c r="BF85" s="29">
        <f t="shared" si="23"/>
        <v>5.1905003530105876E-3</v>
      </c>
      <c r="BH85" s="29"/>
    </row>
    <row r="86" spans="1:60" x14ac:dyDescent="0.3">
      <c r="A86" s="1">
        <v>46147</v>
      </c>
      <c r="B86" s="33">
        <v>46.37</v>
      </c>
      <c r="C86" s="33">
        <v>116.96</v>
      </c>
      <c r="D86" s="15">
        <v>0</v>
      </c>
      <c r="E86" s="15">
        <v>-1.1962746022032499E-3</v>
      </c>
      <c r="F86" s="33">
        <v>0</v>
      </c>
      <c r="G86" s="33">
        <v>0.30993999999999999</v>
      </c>
      <c r="H86" s="33">
        <v>0</v>
      </c>
      <c r="I86" s="33">
        <v>0.62162899999999999</v>
      </c>
      <c r="J86" s="33">
        <v>0</v>
      </c>
      <c r="K86" s="33">
        <v>0</v>
      </c>
      <c r="L86" s="33">
        <v>46.37</v>
      </c>
      <c r="M86" s="33">
        <v>116.96</v>
      </c>
      <c r="N86" s="34">
        <v>2.5223204658184102</v>
      </c>
      <c r="O86" s="34">
        <v>2.5341745756035601</v>
      </c>
      <c r="P86" s="34">
        <v>2.5269837595215301</v>
      </c>
      <c r="Q86" s="34">
        <v>2.52669032350172</v>
      </c>
      <c r="R86" s="33">
        <v>117.509675070737</v>
      </c>
      <c r="S86" s="33">
        <v>117.196012012439</v>
      </c>
      <c r="T86" s="33">
        <v>117.190802658674</v>
      </c>
      <c r="U86" s="15">
        <v>4.6886752204598299E-3</v>
      </c>
      <c r="V86" s="15">
        <v>2.01585336488997E-3</v>
      </c>
      <c r="W86" s="15">
        <v>1.9714024534915799E-3</v>
      </c>
      <c r="X86" s="34">
        <v>2.5223204658184102</v>
      </c>
      <c r="Y86" s="34">
        <v>2.5351085643703399</v>
      </c>
      <c r="Z86" s="34">
        <v>2.5269837595215301</v>
      </c>
      <c r="AA86" s="34">
        <v>2.52669032350172</v>
      </c>
      <c r="AB86" s="33">
        <v>117.55298412985201</v>
      </c>
      <c r="AC86" s="33">
        <v>117.196012012439</v>
      </c>
      <c r="AD86" s="33">
        <v>117.190802658674</v>
      </c>
      <c r="AE86" s="15">
        <v>5.0571647096280502E-3</v>
      </c>
      <c r="AF86" s="15">
        <v>2.01585336488997E-3</v>
      </c>
      <c r="AG86" s="15">
        <v>1.9714024534915799E-3</v>
      </c>
      <c r="AI86" s="12"/>
      <c r="AJ86">
        <f t="shared" ref="AJ86:AJ149" si="24">IF($AG86&lt;AI$21,1,0)</f>
        <v>0</v>
      </c>
      <c r="AK86">
        <f t="shared" ref="AK86:AK149" si="25">IF($AG86&gt;AI$22,1,0)</f>
        <v>1</v>
      </c>
      <c r="AL86">
        <f t="shared" si="14"/>
        <v>0</v>
      </c>
      <c r="AM86">
        <f t="shared" ref="AM86:AM149" si="26">IF(F87+H87&gt;0,0,1)</f>
        <v>1</v>
      </c>
      <c r="AN86">
        <f t="shared" si="15"/>
        <v>0</v>
      </c>
      <c r="AO86" s="28">
        <f t="shared" ref="AO86:AO149" si="27">AN86*D86</f>
        <v>0</v>
      </c>
      <c r="AP86" s="28">
        <f t="shared" ref="AP86:AP149" si="28">-AN86*$E86</f>
        <v>0</v>
      </c>
      <c r="AQ86" s="28">
        <f t="shared" si="16"/>
        <v>0</v>
      </c>
      <c r="AR86" s="29">
        <f t="shared" si="17"/>
        <v>0</v>
      </c>
      <c r="AT86" s="12"/>
      <c r="AU86">
        <f t="shared" ref="AU86:AU149" si="29">IF($AG86&gt;AT$21,1,0)</f>
        <v>1</v>
      </c>
      <c r="AV86">
        <f t="shared" ref="AV86:AV149" si="30">IF($AG86&lt;AT$22,1,0)</f>
        <v>0</v>
      </c>
      <c r="AW86">
        <f t="shared" si="18"/>
        <v>1</v>
      </c>
      <c r="AX86">
        <f t="shared" ref="AX86:AX149" si="31">IF(F87+H87&gt;0,0,1)</f>
        <v>1</v>
      </c>
      <c r="AY86">
        <f t="shared" si="19"/>
        <v>1</v>
      </c>
      <c r="AZ86" s="28">
        <f t="shared" ref="AZ86:AZ149" si="32">-AY86*D86</f>
        <v>0</v>
      </c>
      <c r="BA86" s="28">
        <f t="shared" ref="BA86:BA149" si="33">AY86*$E86</f>
        <v>-1.1962746022032499E-3</v>
      </c>
      <c r="BB86" s="28">
        <f t="shared" si="20"/>
        <v>-1.1962746022032499E-3</v>
      </c>
      <c r="BC86" s="29">
        <f t="shared" si="21"/>
        <v>3.9942257508073379E-3</v>
      </c>
      <c r="BE86" s="29">
        <f t="shared" si="22"/>
        <v>-1.1962746022032499E-3</v>
      </c>
      <c r="BF86" s="29">
        <f t="shared" si="23"/>
        <v>3.9942257508073379E-3</v>
      </c>
      <c r="BH86" s="29"/>
    </row>
    <row r="87" spans="1:60" x14ac:dyDescent="0.3">
      <c r="A87" s="1">
        <v>46148</v>
      </c>
      <c r="B87" s="33">
        <v>45.71</v>
      </c>
      <c r="C87" s="33">
        <v>115.28</v>
      </c>
      <c r="D87" s="15">
        <v>-1.43356060597163E-2</v>
      </c>
      <c r="E87" s="15">
        <v>-1.44680443102017E-2</v>
      </c>
      <c r="F87" s="33">
        <v>0</v>
      </c>
      <c r="G87" s="33">
        <v>0.30993999999999999</v>
      </c>
      <c r="H87" s="33">
        <v>0</v>
      </c>
      <c r="I87" s="33">
        <v>0.62162899999999999</v>
      </c>
      <c r="J87" s="33">
        <v>0</v>
      </c>
      <c r="K87" s="33">
        <v>0</v>
      </c>
      <c r="L87" s="33">
        <v>45.71</v>
      </c>
      <c r="M87" s="33">
        <v>115.28</v>
      </c>
      <c r="N87" s="34">
        <v>2.5219864362283899</v>
      </c>
      <c r="O87" s="34">
        <v>2.5341745756035601</v>
      </c>
      <c r="P87" s="34">
        <v>2.5261402814595</v>
      </c>
      <c r="Q87" s="34">
        <v>2.52638947429989</v>
      </c>
      <c r="R87" s="33">
        <v>115.83711985083799</v>
      </c>
      <c r="S87" s="33">
        <v>115.50842764772899</v>
      </c>
      <c r="T87" s="33">
        <v>115.49501468726299</v>
      </c>
      <c r="U87" s="15">
        <v>4.82111347094504E-3</v>
      </c>
      <c r="V87" s="15">
        <v>1.9795422556511499E-3</v>
      </c>
      <c r="W87" s="15">
        <v>1.8634144582060201E-3</v>
      </c>
      <c r="X87" s="34">
        <v>2.5219864362283899</v>
      </c>
      <c r="Y87" s="34">
        <v>2.5351085643703399</v>
      </c>
      <c r="Z87" s="34">
        <v>2.5261402814595</v>
      </c>
      <c r="AA87" s="34">
        <v>2.52638947429989</v>
      </c>
      <c r="AB87" s="33">
        <v>115.87981247736801</v>
      </c>
      <c r="AC87" s="33">
        <v>115.50842764772899</v>
      </c>
      <c r="AD87" s="33">
        <v>115.49501468726299</v>
      </c>
      <c r="AE87" s="15">
        <v>5.18960296011323E-3</v>
      </c>
      <c r="AF87" s="15">
        <v>1.9795422556513802E-3</v>
      </c>
      <c r="AG87" s="15">
        <v>1.8634144582060201E-3</v>
      </c>
      <c r="AI87" s="12"/>
      <c r="AJ87">
        <f t="shared" si="24"/>
        <v>0</v>
      </c>
      <c r="AK87">
        <f t="shared" si="25"/>
        <v>1</v>
      </c>
      <c r="AL87">
        <f t="shared" ref="AL87:AL150" si="34">AN87</f>
        <v>0</v>
      </c>
      <c r="AM87">
        <f t="shared" si="26"/>
        <v>1</v>
      </c>
      <c r="AN87">
        <f t="shared" ref="AN87:AN150" si="35">IF(AJ86,1,IF(AK86,0,AL86))*AM86</f>
        <v>0</v>
      </c>
      <c r="AO87" s="28">
        <f t="shared" si="27"/>
        <v>0</v>
      </c>
      <c r="AP87" s="28">
        <f t="shared" si="28"/>
        <v>0</v>
      </c>
      <c r="AQ87" s="28">
        <f t="shared" ref="AQ87:AQ150" si="36">AO87+AP87</f>
        <v>0</v>
      </c>
      <c r="AR87" s="29">
        <f t="shared" ref="AR87:AR150" si="37">AR86+AQ87</f>
        <v>0</v>
      </c>
      <c r="AT87" s="12"/>
      <c r="AU87">
        <f t="shared" si="29"/>
        <v>1</v>
      </c>
      <c r="AV87">
        <f t="shared" si="30"/>
        <v>0</v>
      </c>
      <c r="AW87">
        <f t="shared" ref="AW87:AW150" si="38">AY87</f>
        <v>1</v>
      </c>
      <c r="AX87">
        <f t="shared" si="31"/>
        <v>1</v>
      </c>
      <c r="AY87">
        <f t="shared" ref="AY87:AY150" si="39">IF(AU86,1,IF(AV86,0,AW86))*AX86</f>
        <v>1</v>
      </c>
      <c r="AZ87" s="28">
        <f t="shared" si="32"/>
        <v>1.43356060597163E-2</v>
      </c>
      <c r="BA87" s="28">
        <f t="shared" si="33"/>
        <v>-1.44680443102017E-2</v>
      </c>
      <c r="BB87" s="28">
        <f t="shared" ref="BB87:BB150" si="40">AZ87+BA87</f>
        <v>-1.3243825048540013E-4</v>
      </c>
      <c r="BC87" s="29">
        <f t="shared" ref="BC87:BC150" si="41">BC86+BB87</f>
        <v>3.8617875003219377E-3</v>
      </c>
      <c r="BE87" s="29">
        <f t="shared" ref="BE87:BE150" si="42">AQ87+BB87</f>
        <v>-1.3243825048540013E-4</v>
      </c>
      <c r="BF87" s="29">
        <f t="shared" ref="BF87:BF150" si="43">BF86+BE87</f>
        <v>3.8617875003219377E-3</v>
      </c>
      <c r="BH87" s="29"/>
    </row>
    <row r="88" spans="1:60" x14ac:dyDescent="0.3">
      <c r="A88" s="1">
        <v>46149</v>
      </c>
      <c r="B88" s="33">
        <v>45.12</v>
      </c>
      <c r="C88" s="33">
        <v>113.92</v>
      </c>
      <c r="D88" s="15">
        <v>-1.29914851538496E-2</v>
      </c>
      <c r="E88" s="15">
        <v>-1.18675040276009E-2</v>
      </c>
      <c r="F88" s="33">
        <v>0</v>
      </c>
      <c r="G88" s="33">
        <v>0.30993999999999999</v>
      </c>
      <c r="H88" s="33">
        <v>0</v>
      </c>
      <c r="I88" s="33">
        <v>0.62162899999999999</v>
      </c>
      <c r="J88" s="33">
        <v>0</v>
      </c>
      <c r="K88" s="33">
        <v>0</v>
      </c>
      <c r="L88" s="33">
        <v>45.12</v>
      </c>
      <c r="M88" s="33">
        <v>113.92</v>
      </c>
      <c r="N88" s="34">
        <v>2.5248226950354602</v>
      </c>
      <c r="O88" s="34">
        <v>2.5341745756035601</v>
      </c>
      <c r="P88" s="34">
        <v>2.5253788972420601</v>
      </c>
      <c r="Q88" s="34">
        <v>2.5262997500908999</v>
      </c>
      <c r="R88" s="33">
        <v>114.341956851232</v>
      </c>
      <c r="S88" s="33">
        <v>113.979449499452</v>
      </c>
      <c r="T88" s="33">
        <v>113.99069308041101</v>
      </c>
      <c r="U88" s="15">
        <v>3.69713234469657E-3</v>
      </c>
      <c r="V88" s="15">
        <v>5.2171693202275702E-4</v>
      </c>
      <c r="W88" s="15">
        <v>6.2035775261661203E-4</v>
      </c>
      <c r="X88" s="34">
        <v>2.5248226950354602</v>
      </c>
      <c r="Y88" s="34">
        <v>2.5351085643703399</v>
      </c>
      <c r="Z88" s="34">
        <v>2.5253788972420601</v>
      </c>
      <c r="AA88" s="34">
        <v>2.5262997500908999</v>
      </c>
      <c r="AB88" s="33">
        <v>114.38409842438899</v>
      </c>
      <c r="AC88" s="33">
        <v>113.979449499452</v>
      </c>
      <c r="AD88" s="33">
        <v>113.99069308041101</v>
      </c>
      <c r="AE88" s="15">
        <v>4.0656218338648801E-3</v>
      </c>
      <c r="AF88" s="15">
        <v>5.2171693202275702E-4</v>
      </c>
      <c r="AG88" s="15">
        <v>6.2035775261661203E-4</v>
      </c>
      <c r="AI88" s="12"/>
      <c r="AJ88">
        <f t="shared" si="24"/>
        <v>0</v>
      </c>
      <c r="AK88">
        <f t="shared" si="25"/>
        <v>1</v>
      </c>
      <c r="AL88">
        <f t="shared" si="34"/>
        <v>0</v>
      </c>
      <c r="AM88">
        <f t="shared" si="26"/>
        <v>1</v>
      </c>
      <c r="AN88">
        <f t="shared" si="35"/>
        <v>0</v>
      </c>
      <c r="AO88" s="28">
        <f t="shared" si="27"/>
        <v>0</v>
      </c>
      <c r="AP88" s="28">
        <f t="shared" si="28"/>
        <v>0</v>
      </c>
      <c r="AQ88" s="28">
        <f t="shared" si="36"/>
        <v>0</v>
      </c>
      <c r="AR88" s="29">
        <f t="shared" si="37"/>
        <v>0</v>
      </c>
      <c r="AT88" s="12"/>
      <c r="AU88">
        <f t="shared" si="29"/>
        <v>0</v>
      </c>
      <c r="AV88">
        <f t="shared" si="30"/>
        <v>0</v>
      </c>
      <c r="AW88">
        <f t="shared" si="38"/>
        <v>1</v>
      </c>
      <c r="AX88">
        <f t="shared" si="31"/>
        <v>1</v>
      </c>
      <c r="AY88">
        <f t="shared" si="39"/>
        <v>1</v>
      </c>
      <c r="AZ88" s="28">
        <f t="shared" si="32"/>
        <v>1.29914851538496E-2</v>
      </c>
      <c r="BA88" s="28">
        <f t="shared" si="33"/>
        <v>-1.18675040276009E-2</v>
      </c>
      <c r="BB88" s="28">
        <f t="shared" si="40"/>
        <v>1.1239811262487003E-3</v>
      </c>
      <c r="BC88" s="29">
        <f t="shared" si="41"/>
        <v>4.9857686265706381E-3</v>
      </c>
      <c r="BE88" s="29">
        <f t="shared" si="42"/>
        <v>1.1239811262487003E-3</v>
      </c>
      <c r="BF88" s="29">
        <f t="shared" si="43"/>
        <v>4.9857686265706381E-3</v>
      </c>
      <c r="BH88" s="29"/>
    </row>
    <row r="89" spans="1:60" x14ac:dyDescent="0.3">
      <c r="A89" s="1">
        <v>46150</v>
      </c>
      <c r="B89" s="33">
        <v>44.72</v>
      </c>
      <c r="C89" s="33">
        <v>112.84</v>
      </c>
      <c r="D89" s="15">
        <v>-8.90477834295972E-3</v>
      </c>
      <c r="E89" s="15">
        <v>-9.5255615298701097E-3</v>
      </c>
      <c r="F89" s="33">
        <v>0</v>
      </c>
      <c r="G89" s="33">
        <v>0.30993999999999999</v>
      </c>
      <c r="H89" s="33">
        <v>0</v>
      </c>
      <c r="I89" s="33">
        <v>0.62162899999999999</v>
      </c>
      <c r="J89" s="33">
        <v>0</v>
      </c>
      <c r="K89" s="33">
        <v>0</v>
      </c>
      <c r="L89" s="33">
        <v>44.72</v>
      </c>
      <c r="M89" s="33">
        <v>112.84</v>
      </c>
      <c r="N89" s="34">
        <v>2.52325581395348</v>
      </c>
      <c r="O89" s="34">
        <v>2.5341745756035601</v>
      </c>
      <c r="P89" s="34">
        <v>2.5246945176153299</v>
      </c>
      <c r="Q89" s="34">
        <v>2.5262487418107198</v>
      </c>
      <c r="R89" s="33">
        <v>113.328287020991</v>
      </c>
      <c r="S89" s="33">
        <v>112.93494428466499</v>
      </c>
      <c r="T89" s="33">
        <v>112.976124824065</v>
      </c>
      <c r="U89" s="15">
        <v>4.3179155316067199E-3</v>
      </c>
      <c r="V89" s="15">
        <v>8.4105249643933204E-4</v>
      </c>
      <c r="W89" s="15">
        <v>1.20562551199307E-3</v>
      </c>
      <c r="X89" s="34">
        <v>2.52325581395348</v>
      </c>
      <c r="Y89" s="34">
        <v>2.5351085643703399</v>
      </c>
      <c r="Z89" s="34">
        <v>2.5246945176153299</v>
      </c>
      <c r="AA89" s="34">
        <v>2.5262487418107198</v>
      </c>
      <c r="AB89" s="33">
        <v>113.370054998641</v>
      </c>
      <c r="AC89" s="33">
        <v>112.93494428466499</v>
      </c>
      <c r="AD89" s="33">
        <v>112.976124824065</v>
      </c>
      <c r="AE89" s="15">
        <v>4.68640502077517E-3</v>
      </c>
      <c r="AF89" s="15">
        <v>8.4105249643933204E-4</v>
      </c>
      <c r="AG89" s="15">
        <v>1.20562551199307E-3</v>
      </c>
      <c r="AI89" s="12"/>
      <c r="AJ89">
        <f t="shared" si="24"/>
        <v>0</v>
      </c>
      <c r="AK89">
        <f t="shared" si="25"/>
        <v>1</v>
      </c>
      <c r="AL89">
        <f t="shared" si="34"/>
        <v>0</v>
      </c>
      <c r="AM89">
        <f t="shared" si="26"/>
        <v>1</v>
      </c>
      <c r="AN89">
        <f t="shared" si="35"/>
        <v>0</v>
      </c>
      <c r="AO89" s="28">
        <f t="shared" si="27"/>
        <v>0</v>
      </c>
      <c r="AP89" s="28">
        <f t="shared" si="28"/>
        <v>0</v>
      </c>
      <c r="AQ89" s="28">
        <f t="shared" si="36"/>
        <v>0</v>
      </c>
      <c r="AR89" s="29">
        <f t="shared" si="37"/>
        <v>0</v>
      </c>
      <c r="AT89" s="12"/>
      <c r="AU89">
        <f t="shared" si="29"/>
        <v>1</v>
      </c>
      <c r="AV89">
        <f t="shared" si="30"/>
        <v>0</v>
      </c>
      <c r="AW89">
        <f t="shared" si="38"/>
        <v>1</v>
      </c>
      <c r="AX89">
        <f t="shared" si="31"/>
        <v>1</v>
      </c>
      <c r="AY89">
        <f t="shared" si="39"/>
        <v>1</v>
      </c>
      <c r="AZ89" s="28">
        <f t="shared" si="32"/>
        <v>8.90477834295972E-3</v>
      </c>
      <c r="BA89" s="28">
        <f t="shared" si="33"/>
        <v>-9.5255615298701097E-3</v>
      </c>
      <c r="BB89" s="28">
        <f t="shared" si="40"/>
        <v>-6.2078318691038969E-4</v>
      </c>
      <c r="BC89" s="29">
        <f t="shared" si="41"/>
        <v>4.3649854396602484E-3</v>
      </c>
      <c r="BE89" s="29">
        <f t="shared" si="42"/>
        <v>-6.2078318691038969E-4</v>
      </c>
      <c r="BF89" s="29">
        <f t="shared" si="43"/>
        <v>4.3649854396602484E-3</v>
      </c>
      <c r="BH89" s="29"/>
    </row>
    <row r="90" spans="1:60" x14ac:dyDescent="0.3">
      <c r="A90" s="1">
        <v>46153</v>
      </c>
      <c r="B90" s="33">
        <v>45.14</v>
      </c>
      <c r="C90" s="33">
        <v>113.77</v>
      </c>
      <c r="D90" s="15">
        <v>9.3479425425459402E-3</v>
      </c>
      <c r="E90" s="15">
        <v>8.2079804178295801E-3</v>
      </c>
      <c r="F90" s="33">
        <v>0</v>
      </c>
      <c r="G90" s="33">
        <v>0.30993999999999999</v>
      </c>
      <c r="H90" s="33">
        <v>0</v>
      </c>
      <c r="I90" s="33">
        <v>0.62162899999999999</v>
      </c>
      <c r="J90" s="33">
        <v>0</v>
      </c>
      <c r="K90" s="33">
        <v>0</v>
      </c>
      <c r="L90" s="33">
        <v>45.14</v>
      </c>
      <c r="M90" s="33">
        <v>113.77</v>
      </c>
      <c r="N90" s="34">
        <v>2.5203810367744701</v>
      </c>
      <c r="O90" s="34">
        <v>2.5341745756035601</v>
      </c>
      <c r="P90" s="34">
        <v>2.5241454812191599</v>
      </c>
      <c r="Q90" s="34">
        <v>2.5258827968828999</v>
      </c>
      <c r="R90" s="33">
        <v>114.392640342744</v>
      </c>
      <c r="S90" s="33">
        <v>113.96471052515599</v>
      </c>
      <c r="T90" s="33">
        <v>114.034868205336</v>
      </c>
      <c r="U90" s="15">
        <v>5.45787765632325E-3</v>
      </c>
      <c r="V90" s="15">
        <v>1.7099771233978201E-3</v>
      </c>
      <c r="W90" s="15">
        <v>2.32539652710903E-3</v>
      </c>
      <c r="X90" s="34">
        <v>2.5203810367744701</v>
      </c>
      <c r="Y90" s="34">
        <v>2.5351085643703399</v>
      </c>
      <c r="Z90" s="34">
        <v>2.5241454812191599</v>
      </c>
      <c r="AA90" s="34">
        <v>2.5258827968828999</v>
      </c>
      <c r="AB90" s="33">
        <v>114.434800595677</v>
      </c>
      <c r="AC90" s="33">
        <v>113.96471052515599</v>
      </c>
      <c r="AD90" s="33">
        <v>114.034868205336</v>
      </c>
      <c r="AE90" s="15">
        <v>5.8263671454914599E-3</v>
      </c>
      <c r="AF90" s="15">
        <v>1.7099771233978201E-3</v>
      </c>
      <c r="AG90" s="15">
        <v>2.32539652710903E-3</v>
      </c>
      <c r="AI90" s="12"/>
      <c r="AJ90">
        <f t="shared" si="24"/>
        <v>0</v>
      </c>
      <c r="AK90">
        <f t="shared" si="25"/>
        <v>1</v>
      </c>
      <c r="AL90">
        <f t="shared" si="34"/>
        <v>0</v>
      </c>
      <c r="AM90">
        <f t="shared" si="26"/>
        <v>1</v>
      </c>
      <c r="AN90">
        <f t="shared" si="35"/>
        <v>0</v>
      </c>
      <c r="AO90" s="28">
        <f t="shared" si="27"/>
        <v>0</v>
      </c>
      <c r="AP90" s="28">
        <f t="shared" si="28"/>
        <v>0</v>
      </c>
      <c r="AQ90" s="28">
        <f t="shared" si="36"/>
        <v>0</v>
      </c>
      <c r="AR90" s="29">
        <f t="shared" si="37"/>
        <v>0</v>
      </c>
      <c r="AT90" s="12"/>
      <c r="AU90">
        <f t="shared" si="29"/>
        <v>1</v>
      </c>
      <c r="AV90">
        <f t="shared" si="30"/>
        <v>0</v>
      </c>
      <c r="AW90">
        <f t="shared" si="38"/>
        <v>1</v>
      </c>
      <c r="AX90">
        <f t="shared" si="31"/>
        <v>1</v>
      </c>
      <c r="AY90">
        <f t="shared" si="39"/>
        <v>1</v>
      </c>
      <c r="AZ90" s="28">
        <f t="shared" si="32"/>
        <v>-9.3479425425459402E-3</v>
      </c>
      <c r="BA90" s="28">
        <f t="shared" si="33"/>
        <v>8.2079804178295801E-3</v>
      </c>
      <c r="BB90" s="28">
        <f t="shared" si="40"/>
        <v>-1.1399621247163601E-3</v>
      </c>
      <c r="BC90" s="29">
        <f t="shared" si="41"/>
        <v>3.2250233149438883E-3</v>
      </c>
      <c r="BE90" s="29">
        <f t="shared" si="42"/>
        <v>-1.1399621247163601E-3</v>
      </c>
      <c r="BF90" s="29">
        <f t="shared" si="43"/>
        <v>3.2250233149438883E-3</v>
      </c>
      <c r="BH90" s="29"/>
    </row>
    <row r="91" spans="1:60" x14ac:dyDescent="0.3">
      <c r="A91" s="1">
        <v>46154</v>
      </c>
      <c r="B91" s="33">
        <v>45.19</v>
      </c>
      <c r="C91" s="33">
        <v>114.1</v>
      </c>
      <c r="D91" s="15">
        <v>1.10705203379855E-3</v>
      </c>
      <c r="E91" s="15">
        <v>2.8963903164048901E-3</v>
      </c>
      <c r="F91" s="33">
        <v>0</v>
      </c>
      <c r="G91" s="33">
        <v>0.30993999999999999</v>
      </c>
      <c r="H91" s="33">
        <v>0</v>
      </c>
      <c r="I91" s="33">
        <v>0.62162899999999999</v>
      </c>
      <c r="J91" s="33">
        <v>0</v>
      </c>
      <c r="K91" s="33">
        <v>0</v>
      </c>
      <c r="L91" s="33">
        <v>45.19</v>
      </c>
      <c r="M91" s="33">
        <v>114.1</v>
      </c>
      <c r="N91" s="34">
        <v>2.5248948882496101</v>
      </c>
      <c r="O91" s="34">
        <v>2.5341745756035601</v>
      </c>
      <c r="P91" s="34">
        <v>2.5239430781522301</v>
      </c>
      <c r="Q91" s="34">
        <v>2.52579872700659</v>
      </c>
      <c r="R91" s="33">
        <v>114.519349071525</v>
      </c>
      <c r="S91" s="33">
        <v>114.066134296294</v>
      </c>
      <c r="T91" s="33">
        <v>114.14464359113801</v>
      </c>
      <c r="U91" s="15">
        <v>3.6685393737170302E-3</v>
      </c>
      <c r="V91" s="15">
        <v>-2.96851275136679E-4</v>
      </c>
      <c r="W91" s="15">
        <v>3.91190706649554E-4</v>
      </c>
      <c r="X91" s="34">
        <v>2.5248948882496101</v>
      </c>
      <c r="Y91" s="34">
        <v>2.5351085643703399</v>
      </c>
      <c r="Z91" s="34">
        <v>2.5239430781522301</v>
      </c>
      <c r="AA91" s="34">
        <v>2.52579872700659</v>
      </c>
      <c r="AB91" s="33">
        <v>114.56155602389499</v>
      </c>
      <c r="AC91" s="33">
        <v>114.066134296294</v>
      </c>
      <c r="AD91" s="33">
        <v>114.14464359113801</v>
      </c>
      <c r="AE91" s="15">
        <v>4.0370288628853402E-3</v>
      </c>
      <c r="AF91" s="15">
        <v>-2.96851275136679E-4</v>
      </c>
      <c r="AG91" s="15">
        <v>3.91190706649554E-4</v>
      </c>
      <c r="AI91" s="12"/>
      <c r="AJ91">
        <f t="shared" si="24"/>
        <v>0</v>
      </c>
      <c r="AK91">
        <f t="shared" si="25"/>
        <v>1</v>
      </c>
      <c r="AL91">
        <f t="shared" si="34"/>
        <v>0</v>
      </c>
      <c r="AM91">
        <f t="shared" si="26"/>
        <v>1</v>
      </c>
      <c r="AN91">
        <f t="shared" si="35"/>
        <v>0</v>
      </c>
      <c r="AO91" s="28">
        <f t="shared" si="27"/>
        <v>0</v>
      </c>
      <c r="AP91" s="28">
        <f t="shared" si="28"/>
        <v>0</v>
      </c>
      <c r="AQ91" s="28">
        <f t="shared" si="36"/>
        <v>0</v>
      </c>
      <c r="AR91" s="29">
        <f t="shared" si="37"/>
        <v>0</v>
      </c>
      <c r="AT91" s="12"/>
      <c r="AU91">
        <f t="shared" si="29"/>
        <v>0</v>
      </c>
      <c r="AV91">
        <f t="shared" si="30"/>
        <v>0</v>
      </c>
      <c r="AW91">
        <f t="shared" si="38"/>
        <v>1</v>
      </c>
      <c r="AX91">
        <f t="shared" si="31"/>
        <v>1</v>
      </c>
      <c r="AY91">
        <f t="shared" si="39"/>
        <v>1</v>
      </c>
      <c r="AZ91" s="28">
        <f t="shared" si="32"/>
        <v>-1.10705203379855E-3</v>
      </c>
      <c r="BA91" s="28">
        <f t="shared" si="33"/>
        <v>2.8963903164048901E-3</v>
      </c>
      <c r="BB91" s="28">
        <f t="shared" si="40"/>
        <v>1.7893382826063401E-3</v>
      </c>
      <c r="BC91" s="29">
        <f t="shared" si="41"/>
        <v>5.0143615975502282E-3</v>
      </c>
      <c r="BE91" s="29">
        <f t="shared" si="42"/>
        <v>1.7893382826063401E-3</v>
      </c>
      <c r="BF91" s="29">
        <f t="shared" si="43"/>
        <v>5.0143615975502282E-3</v>
      </c>
      <c r="BH91" s="29"/>
    </row>
    <row r="92" spans="1:60" x14ac:dyDescent="0.3">
      <c r="A92" s="1">
        <v>46155</v>
      </c>
      <c r="B92" s="33">
        <v>44.67</v>
      </c>
      <c r="C92" s="33">
        <v>112.75</v>
      </c>
      <c r="D92" s="15">
        <v>-1.15736880591608E-2</v>
      </c>
      <c r="E92" s="15">
        <v>-1.19022784852421E-2</v>
      </c>
      <c r="F92" s="33">
        <v>0</v>
      </c>
      <c r="G92" s="33">
        <v>0.30993999999999999</v>
      </c>
      <c r="H92" s="33">
        <v>0</v>
      </c>
      <c r="I92" s="33">
        <v>0.62162899999999999</v>
      </c>
      <c r="J92" s="33">
        <v>0</v>
      </c>
      <c r="K92" s="33">
        <v>0</v>
      </c>
      <c r="L92" s="33">
        <v>44.67</v>
      </c>
      <c r="M92" s="33">
        <v>112.75</v>
      </c>
      <c r="N92" s="34">
        <v>2.5240653682561001</v>
      </c>
      <c r="O92" s="34">
        <v>2.5341745756035601</v>
      </c>
      <c r="P92" s="34">
        <v>2.5234380563088399</v>
      </c>
      <c r="Q92" s="34">
        <v>2.5256330254063601</v>
      </c>
      <c r="R92" s="33">
        <v>113.201578292211</v>
      </c>
      <c r="S92" s="33">
        <v>112.74453730106001</v>
      </c>
      <c r="T92" s="33">
        <v>112.82742913538399</v>
      </c>
      <c r="U92" s="15">
        <v>3.9971297997983797E-3</v>
      </c>
      <c r="V92" s="15">
        <v>-4.8450831722585002E-5</v>
      </c>
      <c r="W92" s="15">
        <v>6.8649721492334095E-4</v>
      </c>
      <c r="X92" s="34">
        <v>2.5240653682561001</v>
      </c>
      <c r="Y92" s="34">
        <v>2.5351085643703399</v>
      </c>
      <c r="Z92" s="34">
        <v>2.5234380563088399</v>
      </c>
      <c r="AA92" s="34">
        <v>2.5256330254063601</v>
      </c>
      <c r="AB92" s="33">
        <v>113.24329957042301</v>
      </c>
      <c r="AC92" s="33">
        <v>112.74453730106001</v>
      </c>
      <c r="AD92" s="33">
        <v>112.82742913538399</v>
      </c>
      <c r="AE92" s="15">
        <v>4.3656192889665003E-3</v>
      </c>
      <c r="AF92" s="15">
        <v>-4.8450831722585002E-5</v>
      </c>
      <c r="AG92" s="15">
        <v>6.8649721492334095E-4</v>
      </c>
      <c r="AI92" s="12"/>
      <c r="AJ92">
        <f t="shared" si="24"/>
        <v>0</v>
      </c>
      <c r="AK92">
        <f t="shared" si="25"/>
        <v>1</v>
      </c>
      <c r="AL92">
        <f t="shared" si="34"/>
        <v>0</v>
      </c>
      <c r="AM92">
        <f t="shared" si="26"/>
        <v>1</v>
      </c>
      <c r="AN92">
        <f t="shared" si="35"/>
        <v>0</v>
      </c>
      <c r="AO92" s="28">
        <f t="shared" si="27"/>
        <v>0</v>
      </c>
      <c r="AP92" s="28">
        <f t="shared" si="28"/>
        <v>0</v>
      </c>
      <c r="AQ92" s="28">
        <f t="shared" si="36"/>
        <v>0</v>
      </c>
      <c r="AR92" s="29">
        <f t="shared" si="37"/>
        <v>0</v>
      </c>
      <c r="AT92" s="12"/>
      <c r="AU92">
        <f t="shared" si="29"/>
        <v>0</v>
      </c>
      <c r="AV92">
        <f t="shared" si="30"/>
        <v>0</v>
      </c>
      <c r="AW92">
        <f t="shared" si="38"/>
        <v>1</v>
      </c>
      <c r="AX92">
        <f t="shared" si="31"/>
        <v>1</v>
      </c>
      <c r="AY92">
        <f t="shared" si="39"/>
        <v>1</v>
      </c>
      <c r="AZ92" s="28">
        <f t="shared" si="32"/>
        <v>1.15736880591608E-2</v>
      </c>
      <c r="BA92" s="28">
        <f t="shared" si="33"/>
        <v>-1.19022784852421E-2</v>
      </c>
      <c r="BB92" s="28">
        <f t="shared" si="40"/>
        <v>-3.2859042608130058E-4</v>
      </c>
      <c r="BC92" s="29">
        <f t="shared" si="41"/>
        <v>4.6857711714689276E-3</v>
      </c>
      <c r="BE92" s="29">
        <f t="shared" si="42"/>
        <v>-3.2859042608130058E-4</v>
      </c>
      <c r="BF92" s="29">
        <f t="shared" si="43"/>
        <v>4.6857711714689276E-3</v>
      </c>
      <c r="BH92" s="29"/>
    </row>
    <row r="93" spans="1:60" x14ac:dyDescent="0.3">
      <c r="A93" s="1">
        <v>46156</v>
      </c>
      <c r="B93" s="33">
        <v>44.9</v>
      </c>
      <c r="C93" s="33">
        <v>113.42</v>
      </c>
      <c r="D93" s="15">
        <v>5.1356593841812102E-3</v>
      </c>
      <c r="E93" s="15">
        <v>5.9247642030941404E-3</v>
      </c>
      <c r="F93" s="33">
        <v>0</v>
      </c>
      <c r="G93" s="33">
        <v>0.30993999999999999</v>
      </c>
      <c r="H93" s="33">
        <v>0</v>
      </c>
      <c r="I93" s="33">
        <v>0.62162899999999999</v>
      </c>
      <c r="J93" s="33">
        <v>0</v>
      </c>
      <c r="K93" s="33">
        <v>0</v>
      </c>
      <c r="L93" s="33">
        <v>44.9</v>
      </c>
      <c r="M93" s="33">
        <v>113.42</v>
      </c>
      <c r="N93" s="34">
        <v>2.52605790645879</v>
      </c>
      <c r="O93" s="34">
        <v>2.5341745756035601</v>
      </c>
      <c r="P93" s="34">
        <v>2.5235358426857801</v>
      </c>
      <c r="Q93" s="34">
        <v>2.5257223284962902</v>
      </c>
      <c r="R93" s="33">
        <v>113.784438444599</v>
      </c>
      <c r="S93" s="33">
        <v>113.302368728267</v>
      </c>
      <c r="T93" s="33">
        <v>113.400922840745</v>
      </c>
      <c r="U93" s="15">
        <v>3.20802498088528E-3</v>
      </c>
      <c r="V93" s="15">
        <v>-1.03766807790165E-3</v>
      </c>
      <c r="W93" s="15">
        <v>-1.68213399896224E-4</v>
      </c>
      <c r="X93" s="34">
        <v>2.52605790645879</v>
      </c>
      <c r="Y93" s="34">
        <v>2.5351085643703399</v>
      </c>
      <c r="Z93" s="34">
        <v>2.5235358426857801</v>
      </c>
      <c r="AA93" s="34">
        <v>2.5257223284962902</v>
      </c>
      <c r="AB93" s="33">
        <v>113.826374540228</v>
      </c>
      <c r="AC93" s="33">
        <v>113.302368728267</v>
      </c>
      <c r="AD93" s="33">
        <v>113.400922840745</v>
      </c>
      <c r="AE93" s="15">
        <v>3.5765144700535402E-3</v>
      </c>
      <c r="AF93" s="15">
        <v>-1.03766807790165E-3</v>
      </c>
      <c r="AG93" s="15">
        <v>-1.68213399896224E-4</v>
      </c>
      <c r="AI93" s="12"/>
      <c r="AJ93">
        <f t="shared" si="24"/>
        <v>0</v>
      </c>
      <c r="AK93">
        <f t="shared" si="25"/>
        <v>1</v>
      </c>
      <c r="AL93">
        <f t="shared" si="34"/>
        <v>0</v>
      </c>
      <c r="AM93">
        <f t="shared" si="26"/>
        <v>1</v>
      </c>
      <c r="AN93">
        <f t="shared" si="35"/>
        <v>0</v>
      </c>
      <c r="AO93" s="28">
        <f t="shared" si="27"/>
        <v>0</v>
      </c>
      <c r="AP93" s="28">
        <f t="shared" si="28"/>
        <v>0</v>
      </c>
      <c r="AQ93" s="28">
        <f t="shared" si="36"/>
        <v>0</v>
      </c>
      <c r="AR93" s="29">
        <f t="shared" si="37"/>
        <v>0</v>
      </c>
      <c r="AT93" s="12"/>
      <c r="AU93">
        <f t="shared" si="29"/>
        <v>0</v>
      </c>
      <c r="AV93">
        <f t="shared" si="30"/>
        <v>1</v>
      </c>
      <c r="AW93">
        <f t="shared" si="38"/>
        <v>1</v>
      </c>
      <c r="AX93">
        <f t="shared" si="31"/>
        <v>1</v>
      </c>
      <c r="AY93">
        <f t="shared" si="39"/>
        <v>1</v>
      </c>
      <c r="AZ93" s="28">
        <f t="shared" si="32"/>
        <v>-5.1356593841812102E-3</v>
      </c>
      <c r="BA93" s="28">
        <f t="shared" si="33"/>
        <v>5.9247642030941404E-3</v>
      </c>
      <c r="BB93" s="28">
        <f t="shared" si="40"/>
        <v>7.891048189129302E-4</v>
      </c>
      <c r="BC93" s="29">
        <f t="shared" si="41"/>
        <v>5.4748759903818578E-3</v>
      </c>
      <c r="BE93" s="29">
        <f t="shared" si="42"/>
        <v>7.891048189129302E-4</v>
      </c>
      <c r="BF93" s="29">
        <f t="shared" si="43"/>
        <v>5.4748759903818578E-3</v>
      </c>
      <c r="BH93" s="29"/>
    </row>
    <row r="94" spans="1:60" x14ac:dyDescent="0.3">
      <c r="A94" s="1">
        <v>46157</v>
      </c>
      <c r="B94" s="33">
        <v>43.87</v>
      </c>
      <c r="C94" s="33">
        <v>111.08</v>
      </c>
      <c r="D94" s="15">
        <v>-2.3207079570085901E-2</v>
      </c>
      <c r="E94" s="15">
        <v>-2.0847080147283099E-2</v>
      </c>
      <c r="F94" s="33">
        <v>0</v>
      </c>
      <c r="G94" s="33">
        <v>0.30993999999999999</v>
      </c>
      <c r="H94" s="33">
        <v>0</v>
      </c>
      <c r="I94" s="33">
        <v>0.62162899999999999</v>
      </c>
      <c r="J94" s="33">
        <v>0</v>
      </c>
      <c r="K94" s="33">
        <v>0</v>
      </c>
      <c r="L94" s="33">
        <v>43.87</v>
      </c>
      <c r="M94" s="33">
        <v>111.08</v>
      </c>
      <c r="N94" s="34">
        <v>2.53202644175974</v>
      </c>
      <c r="O94" s="34">
        <v>2.5341745756035601</v>
      </c>
      <c r="P94" s="34">
        <v>2.5245150711796902</v>
      </c>
      <c r="Q94" s="34">
        <v>2.5260563195617398</v>
      </c>
      <c r="R94" s="33">
        <v>111.174238631728</v>
      </c>
      <c r="S94" s="33">
        <v>110.707517418625</v>
      </c>
      <c r="T94" s="33">
        <v>110.803438551132</v>
      </c>
      <c r="U94" s="15">
        <v>8.4802555808254597E-4</v>
      </c>
      <c r="V94" s="15">
        <v>-3.35891700232445E-3</v>
      </c>
      <c r="W94" s="15">
        <v>-2.4928547519703801E-3</v>
      </c>
      <c r="X94" s="34">
        <v>2.53202644175974</v>
      </c>
      <c r="Y94" s="34">
        <v>2.5351085643703399</v>
      </c>
      <c r="Z94" s="34">
        <v>2.5245150711796902</v>
      </c>
      <c r="AA94" s="34">
        <v>2.5260563195617398</v>
      </c>
      <c r="AB94" s="33">
        <v>111.215212718926</v>
      </c>
      <c r="AC94" s="33">
        <v>110.707517418625</v>
      </c>
      <c r="AD94" s="33">
        <v>110.803438551132</v>
      </c>
      <c r="AE94" s="15">
        <v>1.2165150472506501E-3</v>
      </c>
      <c r="AF94" s="15">
        <v>-3.35891700232445E-3</v>
      </c>
      <c r="AG94" s="15">
        <v>-2.4928547519703801E-3</v>
      </c>
      <c r="AI94" s="12"/>
      <c r="AJ94">
        <f t="shared" si="24"/>
        <v>0</v>
      </c>
      <c r="AK94">
        <f t="shared" si="25"/>
        <v>0</v>
      </c>
      <c r="AL94">
        <f t="shared" si="34"/>
        <v>0</v>
      </c>
      <c r="AM94">
        <f t="shared" si="26"/>
        <v>1</v>
      </c>
      <c r="AN94">
        <f t="shared" si="35"/>
        <v>0</v>
      </c>
      <c r="AO94" s="28">
        <f t="shared" si="27"/>
        <v>0</v>
      </c>
      <c r="AP94" s="28">
        <f t="shared" si="28"/>
        <v>0</v>
      </c>
      <c r="AQ94" s="28">
        <f t="shared" si="36"/>
        <v>0</v>
      </c>
      <c r="AR94" s="29">
        <f t="shared" si="37"/>
        <v>0</v>
      </c>
      <c r="AT94" s="12"/>
      <c r="AU94">
        <f t="shared" si="29"/>
        <v>0</v>
      </c>
      <c r="AV94">
        <f t="shared" si="30"/>
        <v>1</v>
      </c>
      <c r="AW94">
        <f t="shared" si="38"/>
        <v>0</v>
      </c>
      <c r="AX94">
        <f t="shared" si="31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5.4748759903818578E-3</v>
      </c>
      <c r="BE94" s="29">
        <f t="shared" si="42"/>
        <v>0</v>
      </c>
      <c r="BF94" s="29">
        <f t="shared" si="43"/>
        <v>5.4748759903818578E-3</v>
      </c>
      <c r="BH94" s="29"/>
    </row>
    <row r="95" spans="1:60" x14ac:dyDescent="0.3">
      <c r="A95" s="1">
        <v>46160</v>
      </c>
      <c r="B95" s="33">
        <v>43.94</v>
      </c>
      <c r="C95" s="33">
        <v>111.32</v>
      </c>
      <c r="D95" s="15">
        <v>1.59435177834148E-3</v>
      </c>
      <c r="E95" s="15">
        <v>2.15827421909121E-3</v>
      </c>
      <c r="F95" s="33">
        <v>0</v>
      </c>
      <c r="G95" s="33">
        <v>0.30993999999999999</v>
      </c>
      <c r="H95" s="33">
        <v>0</v>
      </c>
      <c r="I95" s="33">
        <v>0.62162899999999999</v>
      </c>
      <c r="J95" s="33">
        <v>0</v>
      </c>
      <c r="K95" s="33">
        <v>0</v>
      </c>
      <c r="L95" s="33">
        <v>43.94</v>
      </c>
      <c r="M95" s="33">
        <v>111.32</v>
      </c>
      <c r="N95" s="34">
        <v>2.5334547109695</v>
      </c>
      <c r="O95" s="34">
        <v>2.5341745756035601</v>
      </c>
      <c r="P95" s="34">
        <v>2.5253265763504</v>
      </c>
      <c r="Q95" s="34">
        <v>2.5263683993725099</v>
      </c>
      <c r="R95" s="33">
        <v>111.35163085201999</v>
      </c>
      <c r="S95" s="33">
        <v>110.927192227635</v>
      </c>
      <c r="T95" s="33">
        <v>110.99491468154299</v>
      </c>
      <c r="U95" s="15">
        <v>2.8410311733295299E-4</v>
      </c>
      <c r="V95" s="15">
        <v>-3.5348764360034601E-3</v>
      </c>
      <c r="W95" s="15">
        <v>-2.9245500746250801E-3</v>
      </c>
      <c r="X95" s="34">
        <v>2.5334547109695</v>
      </c>
      <c r="Y95" s="34">
        <v>2.5351085643703399</v>
      </c>
      <c r="Z95" s="34">
        <v>2.5253265763504</v>
      </c>
      <c r="AA95" s="34">
        <v>2.5263683993725099</v>
      </c>
      <c r="AB95" s="33">
        <v>111.392670318432</v>
      </c>
      <c r="AC95" s="33">
        <v>110.927192227635</v>
      </c>
      <c r="AD95" s="33">
        <v>110.99491468154299</v>
      </c>
      <c r="AE95" s="15">
        <v>6.5259260650106705E-4</v>
      </c>
      <c r="AF95" s="15">
        <v>-3.5348764360034601E-3</v>
      </c>
      <c r="AG95" s="15">
        <v>-2.9245500746250801E-3</v>
      </c>
      <c r="AI95" s="12"/>
      <c r="AJ95">
        <f t="shared" si="24"/>
        <v>1</v>
      </c>
      <c r="AK95">
        <f t="shared" si="25"/>
        <v>0</v>
      </c>
      <c r="AL95">
        <f t="shared" si="34"/>
        <v>0</v>
      </c>
      <c r="AM95">
        <f t="shared" si="26"/>
        <v>1</v>
      </c>
      <c r="AN95">
        <f t="shared" si="35"/>
        <v>0</v>
      </c>
      <c r="AO95" s="28">
        <f t="shared" si="27"/>
        <v>0</v>
      </c>
      <c r="AP95" s="28">
        <f t="shared" si="28"/>
        <v>0</v>
      </c>
      <c r="AQ95" s="28">
        <f t="shared" si="36"/>
        <v>0</v>
      </c>
      <c r="AR95" s="29">
        <f t="shared" si="37"/>
        <v>0</v>
      </c>
      <c r="AT95" s="12"/>
      <c r="AU95">
        <f t="shared" si="29"/>
        <v>0</v>
      </c>
      <c r="AV95">
        <f t="shared" si="30"/>
        <v>1</v>
      </c>
      <c r="AW95">
        <f t="shared" si="38"/>
        <v>0</v>
      </c>
      <c r="AX95">
        <f t="shared" si="31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5.4748759903818578E-3</v>
      </c>
      <c r="BE95" s="29">
        <f t="shared" si="42"/>
        <v>0</v>
      </c>
      <c r="BF95" s="29">
        <f t="shared" si="43"/>
        <v>5.4748759903818578E-3</v>
      </c>
      <c r="BH95" s="29"/>
    </row>
    <row r="96" spans="1:60" x14ac:dyDescent="0.3">
      <c r="A96" s="1">
        <v>46161</v>
      </c>
      <c r="B96" s="33">
        <v>44.34</v>
      </c>
      <c r="C96" s="33">
        <v>112.26</v>
      </c>
      <c r="D96" s="15">
        <v>9.0621372317014302E-3</v>
      </c>
      <c r="E96" s="15">
        <v>8.4086728563633108E-3</v>
      </c>
      <c r="F96" s="33">
        <v>0</v>
      </c>
      <c r="G96" s="33">
        <v>0.30993999999999999</v>
      </c>
      <c r="H96" s="33">
        <v>0</v>
      </c>
      <c r="I96" s="33">
        <v>0.62162899999999999</v>
      </c>
      <c r="J96" s="33">
        <v>0</v>
      </c>
      <c r="K96" s="33">
        <v>0</v>
      </c>
      <c r="L96" s="33">
        <v>44.34</v>
      </c>
      <c r="M96" s="33">
        <v>112.26</v>
      </c>
      <c r="N96" s="34">
        <v>2.5317997293640002</v>
      </c>
      <c r="O96" s="34">
        <v>2.5341745756035601</v>
      </c>
      <c r="P96" s="34">
        <v>2.52627450270495</v>
      </c>
      <c r="Q96" s="34">
        <v>2.5266291311132401</v>
      </c>
      <c r="R96" s="33">
        <v>112.365300682262</v>
      </c>
      <c r="S96" s="33">
        <v>111.972980395376</v>
      </c>
      <c r="T96" s="33">
        <v>112.019174828177</v>
      </c>
      <c r="U96" s="15">
        <v>9.3756749267090401E-4</v>
      </c>
      <c r="V96" s="15">
        <v>-2.56001379341972E-3</v>
      </c>
      <c r="W96" s="15">
        <v>-2.14754904964716E-3</v>
      </c>
      <c r="X96" s="34">
        <v>2.5317997293640002</v>
      </c>
      <c r="Y96" s="34">
        <v>2.5351085643703399</v>
      </c>
      <c r="Z96" s="34">
        <v>2.52627450270495</v>
      </c>
      <c r="AA96" s="34">
        <v>2.5266291311132401</v>
      </c>
      <c r="AB96" s="33">
        <v>112.406713744181</v>
      </c>
      <c r="AC96" s="33">
        <v>111.972980395376</v>
      </c>
      <c r="AD96" s="33">
        <v>112.019174828177</v>
      </c>
      <c r="AE96" s="15">
        <v>1.3060569818392001E-3</v>
      </c>
      <c r="AF96" s="15">
        <v>-2.5600137934198301E-3</v>
      </c>
      <c r="AG96" s="15">
        <v>-2.14754904964716E-3</v>
      </c>
      <c r="AI96" s="12"/>
      <c r="AJ96">
        <f t="shared" si="24"/>
        <v>0</v>
      </c>
      <c r="AK96">
        <f t="shared" si="25"/>
        <v>0</v>
      </c>
      <c r="AL96">
        <f t="shared" si="34"/>
        <v>1</v>
      </c>
      <c r="AM96">
        <f t="shared" si="26"/>
        <v>1</v>
      </c>
      <c r="AN96">
        <f t="shared" si="35"/>
        <v>1</v>
      </c>
      <c r="AO96" s="28">
        <f t="shared" si="27"/>
        <v>9.0621372317014302E-3</v>
      </c>
      <c r="AP96" s="28">
        <f t="shared" si="28"/>
        <v>-8.4086728563633108E-3</v>
      </c>
      <c r="AQ96" s="28">
        <f t="shared" si="36"/>
        <v>6.5346437533811939E-4</v>
      </c>
      <c r="AR96" s="29">
        <f t="shared" si="37"/>
        <v>6.5346437533811939E-4</v>
      </c>
      <c r="AT96" s="12"/>
      <c r="AU96">
        <f t="shared" si="29"/>
        <v>0</v>
      </c>
      <c r="AV96">
        <f t="shared" si="30"/>
        <v>1</v>
      </c>
      <c r="AW96">
        <f t="shared" si="38"/>
        <v>0</v>
      </c>
      <c r="AX96">
        <f t="shared" si="31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5.4748759903818578E-3</v>
      </c>
      <c r="BE96" s="29">
        <f t="shared" si="42"/>
        <v>6.5346437533811939E-4</v>
      </c>
      <c r="BF96" s="29">
        <f t="shared" si="43"/>
        <v>6.1283403657199772E-3</v>
      </c>
      <c r="BH96" s="29"/>
    </row>
    <row r="97" spans="1:60" x14ac:dyDescent="0.3">
      <c r="A97" s="1">
        <v>46162</v>
      </c>
      <c r="B97" s="33">
        <v>44.51</v>
      </c>
      <c r="C97" s="33">
        <v>112.55</v>
      </c>
      <c r="D97" s="15">
        <v>3.82667883959736E-3</v>
      </c>
      <c r="E97" s="15">
        <v>2.5799578386878899E-3</v>
      </c>
      <c r="F97" s="33">
        <v>0</v>
      </c>
      <c r="G97" s="33">
        <v>0.30993999999999999</v>
      </c>
      <c r="H97" s="33">
        <v>0</v>
      </c>
      <c r="I97" s="33">
        <v>0.62162899999999999</v>
      </c>
      <c r="J97" s="33">
        <v>0</v>
      </c>
      <c r="K97" s="33">
        <v>0</v>
      </c>
      <c r="L97" s="33">
        <v>44.51</v>
      </c>
      <c r="M97" s="33">
        <v>112.55</v>
      </c>
      <c r="N97" s="34">
        <v>2.52864524825881</v>
      </c>
      <c r="O97" s="34">
        <v>2.5341745756035601</v>
      </c>
      <c r="P97" s="34">
        <v>2.5269403839079998</v>
      </c>
      <c r="Q97" s="34">
        <v>2.5265403326837501</v>
      </c>
      <c r="R97" s="33">
        <v>112.796110360114</v>
      </c>
      <c r="S97" s="33">
        <v>112.444478115397</v>
      </c>
      <c r="T97" s="33">
        <v>112.46026262585001</v>
      </c>
      <c r="U97" s="15">
        <v>2.1842884935803501E-3</v>
      </c>
      <c r="V97" s="15">
        <v>-9.3799539635803304E-4</v>
      </c>
      <c r="W97" s="15">
        <v>-7.9762920908492603E-4</v>
      </c>
      <c r="X97" s="34">
        <v>2.52864524825881</v>
      </c>
      <c r="Y97" s="34">
        <v>2.5351085643703399</v>
      </c>
      <c r="Z97" s="34">
        <v>2.5269403839079998</v>
      </c>
      <c r="AA97" s="34">
        <v>2.5265403326837501</v>
      </c>
      <c r="AB97" s="33">
        <v>112.83768220012399</v>
      </c>
      <c r="AC97" s="33">
        <v>112.444478115397</v>
      </c>
      <c r="AD97" s="33">
        <v>112.46026262585001</v>
      </c>
      <c r="AE97" s="15">
        <v>2.5527779827487999E-3</v>
      </c>
      <c r="AF97" s="15">
        <v>-9.3799539635792202E-4</v>
      </c>
      <c r="AG97" s="15">
        <v>-7.9762920908492603E-4</v>
      </c>
      <c r="AI97" s="12"/>
      <c r="AJ97">
        <f t="shared" si="24"/>
        <v>0</v>
      </c>
      <c r="AK97">
        <f t="shared" si="25"/>
        <v>1</v>
      </c>
      <c r="AL97">
        <f t="shared" si="34"/>
        <v>1</v>
      </c>
      <c r="AM97">
        <f t="shared" si="26"/>
        <v>1</v>
      </c>
      <c r="AN97">
        <f t="shared" si="35"/>
        <v>1</v>
      </c>
      <c r="AO97" s="28">
        <f t="shared" si="27"/>
        <v>3.82667883959736E-3</v>
      </c>
      <c r="AP97" s="28">
        <f t="shared" si="28"/>
        <v>-2.5799578386878899E-3</v>
      </c>
      <c r="AQ97" s="28">
        <f t="shared" si="36"/>
        <v>1.2467210009094701E-3</v>
      </c>
      <c r="AR97" s="29">
        <f t="shared" si="37"/>
        <v>1.9001853762475895E-3</v>
      </c>
      <c r="AT97" s="12"/>
      <c r="AU97">
        <f t="shared" si="29"/>
        <v>0</v>
      </c>
      <c r="AV97">
        <f t="shared" si="30"/>
        <v>1</v>
      </c>
      <c r="AW97">
        <f t="shared" si="38"/>
        <v>0</v>
      </c>
      <c r="AX97">
        <f t="shared" si="31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5.4748759903818578E-3</v>
      </c>
      <c r="BE97" s="29">
        <f t="shared" si="42"/>
        <v>1.2467210009094701E-3</v>
      </c>
      <c r="BF97" s="29">
        <f t="shared" si="43"/>
        <v>7.3750613666294478E-3</v>
      </c>
      <c r="BH97" s="29"/>
    </row>
    <row r="98" spans="1:60" x14ac:dyDescent="0.3">
      <c r="A98" s="1">
        <v>46163</v>
      </c>
      <c r="B98" s="33">
        <v>45</v>
      </c>
      <c r="C98" s="33">
        <v>113.59</v>
      </c>
      <c r="D98" s="15">
        <v>1.09486067425568E-2</v>
      </c>
      <c r="E98" s="15">
        <v>9.1979068905889902E-3</v>
      </c>
      <c r="F98" s="33">
        <v>0</v>
      </c>
      <c r="G98" s="33">
        <v>0.30993999999999999</v>
      </c>
      <c r="H98" s="33">
        <v>0</v>
      </c>
      <c r="I98" s="33">
        <v>0.62162899999999999</v>
      </c>
      <c r="J98" s="33">
        <v>0</v>
      </c>
      <c r="K98" s="33">
        <v>0</v>
      </c>
      <c r="L98" s="33">
        <v>45</v>
      </c>
      <c r="M98" s="33">
        <v>113.59</v>
      </c>
      <c r="N98" s="34">
        <v>2.5242222222222201</v>
      </c>
      <c r="O98" s="34">
        <v>2.5341745756035601</v>
      </c>
      <c r="P98" s="34">
        <v>2.5268803366266699</v>
      </c>
      <c r="Q98" s="34">
        <v>2.5261296169343699</v>
      </c>
      <c r="R98" s="33">
        <v>114.03785590216</v>
      </c>
      <c r="S98" s="33">
        <v>113.71231727586</v>
      </c>
      <c r="T98" s="33">
        <v>113.694314970768</v>
      </c>
      <c r="U98" s="15">
        <v>3.9349883455483204E-3</v>
      </c>
      <c r="V98" s="15">
        <v>1.0762520077475699E-3</v>
      </c>
      <c r="W98" s="15">
        <v>9.1792500601552195E-4</v>
      </c>
      <c r="X98" s="34">
        <v>2.5242222222222201</v>
      </c>
      <c r="Y98" s="34">
        <v>2.5351085643703399</v>
      </c>
      <c r="Z98" s="34">
        <v>2.5268803366266699</v>
      </c>
      <c r="AA98" s="34">
        <v>2.5261296169343699</v>
      </c>
      <c r="AB98" s="33">
        <v>114.07988539666501</v>
      </c>
      <c r="AC98" s="33">
        <v>113.71231727586</v>
      </c>
      <c r="AD98" s="33">
        <v>113.694314970768</v>
      </c>
      <c r="AE98" s="15">
        <v>4.3034778347163603E-3</v>
      </c>
      <c r="AF98" s="15">
        <v>1.0762520077475699E-3</v>
      </c>
      <c r="AG98" s="15">
        <v>9.1792500601552195E-4</v>
      </c>
      <c r="AI98" s="12"/>
      <c r="AJ98">
        <f t="shared" si="24"/>
        <v>0</v>
      </c>
      <c r="AK98">
        <f t="shared" si="25"/>
        <v>1</v>
      </c>
      <c r="AL98">
        <f t="shared" si="34"/>
        <v>0</v>
      </c>
      <c r="AM98">
        <f t="shared" si="26"/>
        <v>1</v>
      </c>
      <c r="AN98">
        <f t="shared" si="35"/>
        <v>0</v>
      </c>
      <c r="AO98" s="28">
        <f t="shared" si="27"/>
        <v>0</v>
      </c>
      <c r="AP98" s="28">
        <f t="shared" si="28"/>
        <v>0</v>
      </c>
      <c r="AQ98" s="28">
        <f t="shared" si="36"/>
        <v>0</v>
      </c>
      <c r="AR98" s="29">
        <f t="shared" si="37"/>
        <v>1.9001853762475895E-3</v>
      </c>
      <c r="AT98" s="12"/>
      <c r="AU98">
        <f t="shared" si="29"/>
        <v>0</v>
      </c>
      <c r="AV98">
        <f t="shared" si="30"/>
        <v>0</v>
      </c>
      <c r="AW98">
        <f t="shared" si="38"/>
        <v>0</v>
      </c>
      <c r="AX98">
        <f t="shared" si="31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5.4748759903818578E-3</v>
      </c>
      <c r="BE98" s="29">
        <f t="shared" si="42"/>
        <v>0</v>
      </c>
      <c r="BF98" s="29">
        <f t="shared" si="43"/>
        <v>7.3750613666294478E-3</v>
      </c>
      <c r="BH98" s="29"/>
    </row>
    <row r="99" spans="1:60" x14ac:dyDescent="0.3">
      <c r="A99" s="1">
        <v>46164</v>
      </c>
      <c r="B99" s="33">
        <v>45.35</v>
      </c>
      <c r="C99" s="33">
        <v>114.48</v>
      </c>
      <c r="D99" s="15">
        <v>7.74768679082595E-3</v>
      </c>
      <c r="E99" s="15">
        <v>7.80466100486515E-3</v>
      </c>
      <c r="F99" s="33">
        <v>0</v>
      </c>
      <c r="G99" s="33">
        <v>0.30993999999999999</v>
      </c>
      <c r="H99" s="33">
        <v>0</v>
      </c>
      <c r="I99" s="33">
        <v>0.62162899999999999</v>
      </c>
      <c r="J99" s="33">
        <v>0</v>
      </c>
      <c r="K99" s="33">
        <v>0</v>
      </c>
      <c r="L99" s="33">
        <v>45.35</v>
      </c>
      <c r="M99" s="33">
        <v>114.48</v>
      </c>
      <c r="N99" s="34">
        <v>2.5243660418963598</v>
      </c>
      <c r="O99" s="34">
        <v>2.5341745756035601</v>
      </c>
      <c r="P99" s="34">
        <v>2.5269913594209599</v>
      </c>
      <c r="Q99" s="34">
        <v>2.52584293851814</v>
      </c>
      <c r="R99" s="33">
        <v>114.924817003621</v>
      </c>
      <c r="S99" s="33">
        <v>114.59402326601899</v>
      </c>
      <c r="T99" s="33">
        <v>114.559978127973</v>
      </c>
      <c r="U99" s="15">
        <v>3.8780141315087999E-3</v>
      </c>
      <c r="V99" s="15">
        <v>9.9551467085654791E-4</v>
      </c>
      <c r="W99" s="15">
        <v>6.9837704210563302E-4</v>
      </c>
      <c r="X99" s="34">
        <v>2.5243660418963598</v>
      </c>
      <c r="Y99" s="34">
        <v>2.5351085643703399</v>
      </c>
      <c r="Z99" s="34">
        <v>2.5269913594209599</v>
      </c>
      <c r="AA99" s="34">
        <v>2.52584293851814</v>
      </c>
      <c r="AB99" s="33">
        <v>114.967173394195</v>
      </c>
      <c r="AC99" s="33">
        <v>114.59402326601899</v>
      </c>
      <c r="AD99" s="33">
        <v>114.559978127973</v>
      </c>
      <c r="AE99" s="15">
        <v>4.2465036206770397E-3</v>
      </c>
      <c r="AF99" s="15">
        <v>9.9551467085654791E-4</v>
      </c>
      <c r="AG99" s="15">
        <v>6.9837704210563302E-4</v>
      </c>
      <c r="AI99" s="12"/>
      <c r="AJ99">
        <f t="shared" si="24"/>
        <v>0</v>
      </c>
      <c r="AK99">
        <f t="shared" si="25"/>
        <v>1</v>
      </c>
      <c r="AL99">
        <f t="shared" si="34"/>
        <v>0</v>
      </c>
      <c r="AM99">
        <f t="shared" si="26"/>
        <v>1</v>
      </c>
      <c r="AN99">
        <f t="shared" si="35"/>
        <v>0</v>
      </c>
      <c r="AO99" s="28">
        <f t="shared" si="27"/>
        <v>0</v>
      </c>
      <c r="AP99" s="28">
        <f t="shared" si="28"/>
        <v>0</v>
      </c>
      <c r="AQ99" s="28">
        <f t="shared" si="36"/>
        <v>0</v>
      </c>
      <c r="AR99" s="29">
        <f t="shared" si="37"/>
        <v>1.9001853762475895E-3</v>
      </c>
      <c r="AT99" s="12"/>
      <c r="AU99">
        <f t="shared" si="29"/>
        <v>0</v>
      </c>
      <c r="AV99">
        <f t="shared" si="30"/>
        <v>0</v>
      </c>
      <c r="AW99">
        <f t="shared" si="38"/>
        <v>0</v>
      </c>
      <c r="AX99">
        <f t="shared" si="31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5.4748759903818578E-3</v>
      </c>
      <c r="BE99" s="29">
        <f t="shared" si="42"/>
        <v>0</v>
      </c>
      <c r="BF99" s="29">
        <f t="shared" si="43"/>
        <v>7.3750613666294478E-3</v>
      </c>
      <c r="BH99" s="29"/>
    </row>
    <row r="100" spans="1:60" x14ac:dyDescent="0.3">
      <c r="A100" s="1">
        <v>46168</v>
      </c>
      <c r="B100" s="33">
        <v>45.33</v>
      </c>
      <c r="C100" s="33">
        <v>114.41</v>
      </c>
      <c r="D100" s="15">
        <v>-4.4111160838773402E-4</v>
      </c>
      <c r="E100" s="15">
        <v>-6.11647535342967E-4</v>
      </c>
      <c r="F100" s="33">
        <v>0</v>
      </c>
      <c r="G100" s="33">
        <v>0.30993999999999999</v>
      </c>
      <c r="H100" s="33">
        <v>0</v>
      </c>
      <c r="I100" s="33">
        <v>0.62162899999999999</v>
      </c>
      <c r="J100" s="33">
        <v>0</v>
      </c>
      <c r="K100" s="33">
        <v>0</v>
      </c>
      <c r="L100" s="33">
        <v>45.33</v>
      </c>
      <c r="M100" s="33">
        <v>114.41</v>
      </c>
      <c r="N100" s="34">
        <v>2.5239355834987802</v>
      </c>
      <c r="O100" s="34">
        <v>2.5341745756035601</v>
      </c>
      <c r="P100" s="34">
        <v>2.5273468140933901</v>
      </c>
      <c r="Q100" s="34">
        <v>2.5257461476562799</v>
      </c>
      <c r="R100" s="33">
        <v>114.874133512109</v>
      </c>
      <c r="S100" s="33">
        <v>114.548518322552</v>
      </c>
      <c r="T100" s="33">
        <v>114.496460403027</v>
      </c>
      <c r="U100" s="15">
        <v>4.0485500584639504E-3</v>
      </c>
      <c r="V100" s="15">
        <v>1.20998633697659E-3</v>
      </c>
      <c r="W100" s="15">
        <v>7.5542129293344501E-4</v>
      </c>
      <c r="X100" s="34">
        <v>2.5239355834987802</v>
      </c>
      <c r="Y100" s="34">
        <v>2.5351085643703399</v>
      </c>
      <c r="Z100" s="34">
        <v>2.5273468140933901</v>
      </c>
      <c r="AA100" s="34">
        <v>2.5257461476562799</v>
      </c>
      <c r="AB100" s="33">
        <v>114.91647122290701</v>
      </c>
      <c r="AC100" s="33">
        <v>114.548518322552</v>
      </c>
      <c r="AD100" s="33">
        <v>114.496460403027</v>
      </c>
      <c r="AE100" s="15">
        <v>4.4170395476323902E-3</v>
      </c>
      <c r="AF100" s="15">
        <v>1.20998633697659E-3</v>
      </c>
      <c r="AG100" s="15">
        <v>7.5542129293366695E-4</v>
      </c>
      <c r="AI100" s="12"/>
      <c r="AJ100">
        <f t="shared" si="24"/>
        <v>0</v>
      </c>
      <c r="AK100">
        <f t="shared" si="25"/>
        <v>1</v>
      </c>
      <c r="AL100">
        <f t="shared" si="34"/>
        <v>0</v>
      </c>
      <c r="AM100">
        <f t="shared" si="26"/>
        <v>1</v>
      </c>
      <c r="AN100">
        <f t="shared" si="35"/>
        <v>0</v>
      </c>
      <c r="AO100" s="28">
        <f t="shared" si="27"/>
        <v>0</v>
      </c>
      <c r="AP100" s="28">
        <f t="shared" si="28"/>
        <v>0</v>
      </c>
      <c r="AQ100" s="28">
        <f t="shared" si="36"/>
        <v>0</v>
      </c>
      <c r="AR100" s="29">
        <f t="shared" si="37"/>
        <v>1.9001853762475895E-3</v>
      </c>
      <c r="AT100" s="12"/>
      <c r="AU100">
        <f t="shared" si="29"/>
        <v>0</v>
      </c>
      <c r="AV100">
        <f t="shared" si="30"/>
        <v>0</v>
      </c>
      <c r="AW100">
        <f t="shared" si="38"/>
        <v>0</v>
      </c>
      <c r="AX100">
        <f t="shared" si="31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5.4748759903818578E-3</v>
      </c>
      <c r="BE100" s="29">
        <f t="shared" si="42"/>
        <v>0</v>
      </c>
      <c r="BF100" s="29">
        <f t="shared" si="43"/>
        <v>7.3750613666294478E-3</v>
      </c>
      <c r="BH100" s="29"/>
    </row>
    <row r="101" spans="1:60" x14ac:dyDescent="0.3">
      <c r="A101" s="1">
        <v>46169</v>
      </c>
      <c r="B101" s="33">
        <v>45.14</v>
      </c>
      <c r="C101" s="33">
        <v>113.85</v>
      </c>
      <c r="D101" s="15">
        <v>-4.2002935633682001E-3</v>
      </c>
      <c r="E101" s="15">
        <v>-4.9066952031038696E-3</v>
      </c>
      <c r="F101" s="33">
        <v>0</v>
      </c>
      <c r="G101" s="33">
        <v>0.30993999999999999</v>
      </c>
      <c r="H101" s="33">
        <v>0</v>
      </c>
      <c r="I101" s="33">
        <v>0.62162899999999999</v>
      </c>
      <c r="J101" s="33">
        <v>0</v>
      </c>
      <c r="K101" s="33">
        <v>0</v>
      </c>
      <c r="L101" s="33">
        <v>45.14</v>
      </c>
      <c r="M101" s="33">
        <v>113.85</v>
      </c>
      <c r="N101" s="34">
        <v>2.5221533008418202</v>
      </c>
      <c r="O101" s="34">
        <v>2.5341745756035601</v>
      </c>
      <c r="P101" s="34">
        <v>2.5270726553526099</v>
      </c>
      <c r="Q101" s="34">
        <v>2.5255078667524198</v>
      </c>
      <c r="R101" s="33">
        <v>114.392640342744</v>
      </c>
      <c r="S101" s="33">
        <v>114.08443518817499</v>
      </c>
      <c r="T101" s="33">
        <v>114.01218110520399</v>
      </c>
      <c r="U101" s="15">
        <v>4.7549516981997397E-3</v>
      </c>
      <c r="V101" s="15">
        <v>2.0570412772292499E-3</v>
      </c>
      <c r="W101" s="15">
        <v>1.42350197654029E-3</v>
      </c>
      <c r="X101" s="34">
        <v>2.5221533008418202</v>
      </c>
      <c r="Y101" s="34">
        <v>2.5351085643703399</v>
      </c>
      <c r="Z101" s="34">
        <v>2.5270726553526099</v>
      </c>
      <c r="AA101" s="34">
        <v>2.5255078667524198</v>
      </c>
      <c r="AB101" s="33">
        <v>114.434800595677</v>
      </c>
      <c r="AC101" s="33">
        <v>114.08443518817499</v>
      </c>
      <c r="AD101" s="33">
        <v>114.01218110520399</v>
      </c>
      <c r="AE101" s="15">
        <v>5.1234411873681898E-3</v>
      </c>
      <c r="AF101" s="15">
        <v>2.0570412772292499E-3</v>
      </c>
      <c r="AG101" s="15">
        <v>1.42350197654029E-3</v>
      </c>
      <c r="AI101" s="12"/>
      <c r="AJ101">
        <f t="shared" si="24"/>
        <v>0</v>
      </c>
      <c r="AK101">
        <f t="shared" si="25"/>
        <v>1</v>
      </c>
      <c r="AL101">
        <f t="shared" si="34"/>
        <v>0</v>
      </c>
      <c r="AM101">
        <f t="shared" si="26"/>
        <v>1</v>
      </c>
      <c r="AN101">
        <f t="shared" si="35"/>
        <v>0</v>
      </c>
      <c r="AO101" s="28">
        <f t="shared" si="27"/>
        <v>0</v>
      </c>
      <c r="AP101" s="28">
        <f t="shared" si="28"/>
        <v>0</v>
      </c>
      <c r="AQ101" s="28">
        <f t="shared" si="36"/>
        <v>0</v>
      </c>
      <c r="AR101" s="29">
        <f t="shared" si="37"/>
        <v>1.9001853762475895E-3</v>
      </c>
      <c r="AT101" s="12"/>
      <c r="AU101">
        <f t="shared" si="29"/>
        <v>1</v>
      </c>
      <c r="AV101">
        <f t="shared" si="30"/>
        <v>0</v>
      </c>
      <c r="AW101">
        <f t="shared" si="38"/>
        <v>0</v>
      </c>
      <c r="AX101">
        <f t="shared" si="31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5.4748759903818578E-3</v>
      </c>
      <c r="BE101" s="29">
        <f t="shared" si="42"/>
        <v>0</v>
      </c>
      <c r="BF101" s="29">
        <f t="shared" si="43"/>
        <v>7.3750613666294478E-3</v>
      </c>
      <c r="BH101" s="29"/>
    </row>
    <row r="102" spans="1:60" x14ac:dyDescent="0.3">
      <c r="A102" s="1">
        <v>46170</v>
      </c>
      <c r="B102" s="33">
        <v>44.63</v>
      </c>
      <c r="C102" s="33">
        <v>112.61</v>
      </c>
      <c r="D102" s="15">
        <v>-1.1362492748211101E-2</v>
      </c>
      <c r="E102" s="15">
        <v>-1.0951270800814299E-2</v>
      </c>
      <c r="F102" s="33">
        <v>0</v>
      </c>
      <c r="G102" s="33">
        <v>0.30993999999999999</v>
      </c>
      <c r="H102" s="33">
        <v>0</v>
      </c>
      <c r="I102" s="33">
        <v>0.62162899999999999</v>
      </c>
      <c r="J102" s="33">
        <v>0</v>
      </c>
      <c r="K102" s="33">
        <v>0</v>
      </c>
      <c r="L102" s="33">
        <v>44.63</v>
      </c>
      <c r="M102" s="33">
        <v>112.61</v>
      </c>
      <c r="N102" s="34">
        <v>2.5231906789155198</v>
      </c>
      <c r="O102" s="34">
        <v>2.5341745756035601</v>
      </c>
      <c r="P102" s="34">
        <v>2.5269851864185502</v>
      </c>
      <c r="Q102" s="34">
        <v>2.5252116213637001</v>
      </c>
      <c r="R102" s="33">
        <v>113.100211309187</v>
      </c>
      <c r="S102" s="33">
        <v>112.783252608387</v>
      </c>
      <c r="T102" s="33">
        <v>112.71341609316001</v>
      </c>
      <c r="U102" s="15">
        <v>4.3437297508029998E-3</v>
      </c>
      <c r="V102" s="15">
        <v>1.53733654849427E-3</v>
      </c>
      <c r="W102" s="15">
        <v>9.1793478206157904E-4</v>
      </c>
      <c r="X102" s="34">
        <v>2.5231906789155198</v>
      </c>
      <c r="Y102" s="34">
        <v>2.5351085643703399</v>
      </c>
      <c r="Z102" s="34">
        <v>2.5269851864185502</v>
      </c>
      <c r="AA102" s="34">
        <v>2.5252116213637001</v>
      </c>
      <c r="AB102" s="33">
        <v>113.141895227848</v>
      </c>
      <c r="AC102" s="33">
        <v>112.783252608387</v>
      </c>
      <c r="AD102" s="33">
        <v>112.71341609316001</v>
      </c>
      <c r="AE102" s="15">
        <v>4.7122192399714196E-3</v>
      </c>
      <c r="AF102" s="15">
        <v>1.53733654849427E-3</v>
      </c>
      <c r="AG102" s="15">
        <v>9.1793478206157904E-4</v>
      </c>
      <c r="AI102" s="12"/>
      <c r="AJ102">
        <f t="shared" si="24"/>
        <v>0</v>
      </c>
      <c r="AK102">
        <f t="shared" si="25"/>
        <v>1</v>
      </c>
      <c r="AL102">
        <f t="shared" si="34"/>
        <v>0</v>
      </c>
      <c r="AM102">
        <f t="shared" si="26"/>
        <v>1</v>
      </c>
      <c r="AN102">
        <f t="shared" si="35"/>
        <v>0</v>
      </c>
      <c r="AO102" s="28">
        <f t="shared" si="27"/>
        <v>0</v>
      </c>
      <c r="AP102" s="28">
        <f t="shared" si="28"/>
        <v>0</v>
      </c>
      <c r="AQ102" s="28">
        <f t="shared" si="36"/>
        <v>0</v>
      </c>
      <c r="AR102" s="29">
        <f t="shared" si="37"/>
        <v>1.9001853762475895E-3</v>
      </c>
      <c r="AT102" s="12"/>
      <c r="AU102">
        <f t="shared" si="29"/>
        <v>0</v>
      </c>
      <c r="AV102">
        <f t="shared" si="30"/>
        <v>0</v>
      </c>
      <c r="AW102">
        <f t="shared" si="38"/>
        <v>1</v>
      </c>
      <c r="AX102">
        <f t="shared" si="31"/>
        <v>1</v>
      </c>
      <c r="AY102">
        <f t="shared" si="39"/>
        <v>1</v>
      </c>
      <c r="AZ102" s="28">
        <f t="shared" si="32"/>
        <v>1.1362492748211101E-2</v>
      </c>
      <c r="BA102" s="28">
        <f t="shared" si="33"/>
        <v>-1.0951270800814299E-2</v>
      </c>
      <c r="BB102" s="28">
        <f t="shared" si="40"/>
        <v>4.1122194739680144E-4</v>
      </c>
      <c r="BC102" s="29">
        <f t="shared" si="41"/>
        <v>5.8860979377786593E-3</v>
      </c>
      <c r="BE102" s="29">
        <f t="shared" si="42"/>
        <v>4.1122194739680144E-4</v>
      </c>
      <c r="BF102" s="29">
        <f t="shared" si="43"/>
        <v>7.7862833140262492E-3</v>
      </c>
      <c r="BH102" s="29"/>
    </row>
    <row r="103" spans="1:60" x14ac:dyDescent="0.3">
      <c r="A103" s="1">
        <v>46171</v>
      </c>
      <c r="B103" s="33">
        <v>44.42</v>
      </c>
      <c r="C103" s="33">
        <v>112.11</v>
      </c>
      <c r="D103" s="15">
        <v>-4.7164601748971597E-3</v>
      </c>
      <c r="E103" s="15">
        <v>-4.44998954343201E-3</v>
      </c>
      <c r="F103" s="33">
        <v>0</v>
      </c>
      <c r="G103" s="33">
        <v>0.30993999999999999</v>
      </c>
      <c r="H103" s="33">
        <v>0</v>
      </c>
      <c r="I103" s="33">
        <v>0.62162899999999999</v>
      </c>
      <c r="J103" s="33">
        <v>0</v>
      </c>
      <c r="K103" s="33">
        <v>0</v>
      </c>
      <c r="L103" s="33">
        <v>44.42</v>
      </c>
      <c r="M103" s="33">
        <v>112.11</v>
      </c>
      <c r="N103" s="34">
        <v>2.5238631247185901</v>
      </c>
      <c r="O103" s="34">
        <v>2.5341745756035601</v>
      </c>
      <c r="P103" s="34">
        <v>2.5267657082445298</v>
      </c>
      <c r="Q103" s="34">
        <v>2.5251507754651601</v>
      </c>
      <c r="R103" s="33">
        <v>112.56803464831</v>
      </c>
      <c r="S103" s="33">
        <v>112.24868198071201</v>
      </c>
      <c r="T103" s="33">
        <v>112.16990022097499</v>
      </c>
      <c r="U103" s="15">
        <v>4.0772591193380401E-3</v>
      </c>
      <c r="V103" s="15">
        <v>1.23625256799183E-3</v>
      </c>
      <c r="W103" s="15">
        <v>5.3415595727416599E-4</v>
      </c>
      <c r="X103" s="34">
        <v>2.5238631247185901</v>
      </c>
      <c r="Y103" s="34">
        <v>2.5351085643703399</v>
      </c>
      <c r="Z103" s="34">
        <v>2.5267657082445298</v>
      </c>
      <c r="AA103" s="34">
        <v>2.5251507754651601</v>
      </c>
      <c r="AB103" s="33">
        <v>112.60952242933</v>
      </c>
      <c r="AC103" s="33">
        <v>112.24868198071201</v>
      </c>
      <c r="AD103" s="33">
        <v>112.16990022097499</v>
      </c>
      <c r="AE103" s="15">
        <v>4.4457486085061598E-3</v>
      </c>
      <c r="AF103" s="15">
        <v>1.23625256799183E-3</v>
      </c>
      <c r="AG103" s="15">
        <v>5.3415595727416599E-4</v>
      </c>
      <c r="AI103" s="12"/>
      <c r="AJ103">
        <f t="shared" si="24"/>
        <v>0</v>
      </c>
      <c r="AK103">
        <f t="shared" si="25"/>
        <v>1</v>
      </c>
      <c r="AL103">
        <f t="shared" si="34"/>
        <v>0</v>
      </c>
      <c r="AM103">
        <f t="shared" si="26"/>
        <v>1</v>
      </c>
      <c r="AN103">
        <f t="shared" si="35"/>
        <v>0</v>
      </c>
      <c r="AO103" s="28">
        <f t="shared" si="27"/>
        <v>0</v>
      </c>
      <c r="AP103" s="28">
        <f t="shared" si="28"/>
        <v>0</v>
      </c>
      <c r="AQ103" s="28">
        <f t="shared" si="36"/>
        <v>0</v>
      </c>
      <c r="AR103" s="29">
        <f t="shared" si="37"/>
        <v>1.9001853762475895E-3</v>
      </c>
      <c r="AT103" s="12"/>
      <c r="AU103">
        <f t="shared" si="29"/>
        <v>0</v>
      </c>
      <c r="AV103">
        <f t="shared" si="30"/>
        <v>0</v>
      </c>
      <c r="AW103">
        <f t="shared" si="38"/>
        <v>1</v>
      </c>
      <c r="AX103">
        <f t="shared" si="31"/>
        <v>1</v>
      </c>
      <c r="AY103">
        <f t="shared" si="39"/>
        <v>1</v>
      </c>
      <c r="AZ103" s="28">
        <f t="shared" si="32"/>
        <v>4.7164601748971597E-3</v>
      </c>
      <c r="BA103" s="28">
        <f t="shared" si="33"/>
        <v>-4.44998954343201E-3</v>
      </c>
      <c r="BB103" s="28">
        <f t="shared" si="40"/>
        <v>2.6647063146514969E-4</v>
      </c>
      <c r="BC103" s="29">
        <f t="shared" si="41"/>
        <v>6.152568569243809E-3</v>
      </c>
      <c r="BE103" s="29">
        <f t="shared" si="42"/>
        <v>2.6647063146514969E-4</v>
      </c>
      <c r="BF103" s="29">
        <f t="shared" si="43"/>
        <v>8.0527539454913998E-3</v>
      </c>
      <c r="BH103" s="29"/>
    </row>
    <row r="104" spans="1:60" x14ac:dyDescent="0.3">
      <c r="A104" s="1">
        <v>46174</v>
      </c>
      <c r="B104" s="33">
        <v>43.1</v>
      </c>
      <c r="C104" s="33">
        <v>109.08</v>
      </c>
      <c r="D104" s="15">
        <v>-3.0166821356579301E-2</v>
      </c>
      <c r="E104" s="15">
        <v>-2.7398974188114499E-2</v>
      </c>
      <c r="F104" s="33">
        <v>0</v>
      </c>
      <c r="G104" s="33">
        <v>0.30993999999999999</v>
      </c>
      <c r="H104" s="33">
        <v>0</v>
      </c>
      <c r="I104" s="33">
        <v>0.62162899999999999</v>
      </c>
      <c r="J104" s="33">
        <v>0</v>
      </c>
      <c r="K104" s="33">
        <v>0</v>
      </c>
      <c r="L104" s="33">
        <v>43.1</v>
      </c>
      <c r="M104" s="33">
        <v>109.08</v>
      </c>
      <c r="N104" s="34">
        <v>2.53085846867749</v>
      </c>
      <c r="O104" s="34">
        <v>2.5341745756035601</v>
      </c>
      <c r="P104" s="34">
        <v>2.5266489109363102</v>
      </c>
      <c r="Q104" s="34">
        <v>2.525581991058</v>
      </c>
      <c r="R104" s="33">
        <v>109.22292420851301</v>
      </c>
      <c r="S104" s="33">
        <v>108.903602025339</v>
      </c>
      <c r="T104" s="33">
        <v>108.83399842254801</v>
      </c>
      <c r="U104" s="15">
        <v>1.30941195087303E-3</v>
      </c>
      <c r="V104" s="15">
        <v>-1.618452136087E-3</v>
      </c>
      <c r="W104" s="15">
        <v>-2.25778686760652E-3</v>
      </c>
      <c r="X104" s="34">
        <v>2.53085846867749</v>
      </c>
      <c r="Y104" s="34">
        <v>2.5351085643703399</v>
      </c>
      <c r="Z104" s="34">
        <v>2.5266489109363102</v>
      </c>
      <c r="AA104" s="34">
        <v>2.525581991058</v>
      </c>
      <c r="AB104" s="33">
        <v>109.263179124361</v>
      </c>
      <c r="AC104" s="33">
        <v>108.903602025339</v>
      </c>
      <c r="AD104" s="33">
        <v>108.83399842254801</v>
      </c>
      <c r="AE104" s="15">
        <v>1.67790144004126E-3</v>
      </c>
      <c r="AF104" s="15">
        <v>-1.618452136087E-3</v>
      </c>
      <c r="AG104" s="15">
        <v>-2.25778686760652E-3</v>
      </c>
      <c r="AI104" s="12"/>
      <c r="AJ104">
        <f t="shared" si="24"/>
        <v>0</v>
      </c>
      <c r="AK104">
        <f t="shared" si="25"/>
        <v>0</v>
      </c>
      <c r="AL104">
        <f t="shared" si="34"/>
        <v>0</v>
      </c>
      <c r="AM104">
        <f t="shared" si="26"/>
        <v>1</v>
      </c>
      <c r="AN104">
        <f t="shared" si="35"/>
        <v>0</v>
      </c>
      <c r="AO104" s="28">
        <f t="shared" si="27"/>
        <v>0</v>
      </c>
      <c r="AP104" s="28">
        <f t="shared" si="28"/>
        <v>0</v>
      </c>
      <c r="AQ104" s="28">
        <f t="shared" si="36"/>
        <v>0</v>
      </c>
      <c r="AR104" s="29">
        <f t="shared" si="37"/>
        <v>1.9001853762475895E-3</v>
      </c>
      <c r="AT104" s="12"/>
      <c r="AU104">
        <f t="shared" si="29"/>
        <v>0</v>
      </c>
      <c r="AV104">
        <f t="shared" si="30"/>
        <v>1</v>
      </c>
      <c r="AW104">
        <f t="shared" si="38"/>
        <v>1</v>
      </c>
      <c r="AX104">
        <f t="shared" si="31"/>
        <v>1</v>
      </c>
      <c r="AY104">
        <f t="shared" si="39"/>
        <v>1</v>
      </c>
      <c r="AZ104" s="28">
        <f t="shared" si="32"/>
        <v>3.0166821356579301E-2</v>
      </c>
      <c r="BA104" s="28">
        <f t="shared" si="33"/>
        <v>-2.7398974188114499E-2</v>
      </c>
      <c r="BB104" s="28">
        <f t="shared" si="40"/>
        <v>2.7678471684648015E-3</v>
      </c>
      <c r="BC104" s="29">
        <f t="shared" si="41"/>
        <v>8.9204157377086105E-3</v>
      </c>
      <c r="BE104" s="29">
        <f t="shared" si="42"/>
        <v>2.7678471684648015E-3</v>
      </c>
      <c r="BF104" s="29">
        <f t="shared" si="43"/>
        <v>1.0820601113956201E-2</v>
      </c>
      <c r="BH104" s="29"/>
    </row>
    <row r="105" spans="1:60" x14ac:dyDescent="0.3">
      <c r="A105" s="1">
        <v>46175</v>
      </c>
      <c r="B105" s="33">
        <v>43.9</v>
      </c>
      <c r="C105" s="33">
        <v>110.95</v>
      </c>
      <c r="D105" s="15">
        <v>1.8391322971423402E-2</v>
      </c>
      <c r="E105" s="15">
        <v>1.69980914012152E-2</v>
      </c>
      <c r="F105" s="33">
        <v>0</v>
      </c>
      <c r="G105" s="33">
        <v>0.30993999999999999</v>
      </c>
      <c r="H105" s="33">
        <v>0</v>
      </c>
      <c r="I105" s="33">
        <v>0.62162899999999999</v>
      </c>
      <c r="J105" s="33">
        <v>0</v>
      </c>
      <c r="K105" s="33">
        <v>0</v>
      </c>
      <c r="L105" s="33">
        <v>43.9</v>
      </c>
      <c r="M105" s="33">
        <v>110.95</v>
      </c>
      <c r="N105" s="34">
        <v>2.5273348519362102</v>
      </c>
      <c r="O105" s="34">
        <v>2.5341745756035601</v>
      </c>
      <c r="P105" s="34">
        <v>2.5260369250329799</v>
      </c>
      <c r="Q105" s="34">
        <v>2.5256817506916902</v>
      </c>
      <c r="R105" s="33">
        <v>111.250263868996</v>
      </c>
      <c r="S105" s="33">
        <v>110.91988719010401</v>
      </c>
      <c r="T105" s="33">
        <v>110.873049407446</v>
      </c>
      <c r="U105" s="15">
        <v>2.70264352108141E-3</v>
      </c>
      <c r="V105" s="15">
        <v>-2.7144566991143003E-4</v>
      </c>
      <c r="W105" s="15">
        <v>-6.9380162112006095E-4</v>
      </c>
      <c r="X105" s="34">
        <v>2.5273348519362102</v>
      </c>
      <c r="Y105" s="34">
        <v>2.5351085643703399</v>
      </c>
      <c r="Z105" s="34">
        <v>2.5260369250329799</v>
      </c>
      <c r="AA105" s="34">
        <v>2.5256817506916902</v>
      </c>
      <c r="AB105" s="33">
        <v>111.291265975858</v>
      </c>
      <c r="AC105" s="33">
        <v>110.91988719010401</v>
      </c>
      <c r="AD105" s="33">
        <v>110.873049407446</v>
      </c>
      <c r="AE105" s="15">
        <v>3.0711330102496498E-3</v>
      </c>
      <c r="AF105" s="15">
        <v>-2.7144566991109701E-4</v>
      </c>
      <c r="AG105" s="15">
        <v>-6.9380162112006095E-4</v>
      </c>
      <c r="AI105" s="12"/>
      <c r="AJ105">
        <f t="shared" si="24"/>
        <v>0</v>
      </c>
      <c r="AK105">
        <f t="shared" si="25"/>
        <v>1</v>
      </c>
      <c r="AL105">
        <f t="shared" si="34"/>
        <v>0</v>
      </c>
      <c r="AM105">
        <f t="shared" si="26"/>
        <v>1</v>
      </c>
      <c r="AN105">
        <f t="shared" si="35"/>
        <v>0</v>
      </c>
      <c r="AO105" s="28">
        <f t="shared" si="27"/>
        <v>0</v>
      </c>
      <c r="AP105" s="28">
        <f t="shared" si="28"/>
        <v>0</v>
      </c>
      <c r="AQ105" s="28">
        <f t="shared" si="36"/>
        <v>0</v>
      </c>
      <c r="AR105" s="29">
        <f t="shared" si="37"/>
        <v>1.9001853762475895E-3</v>
      </c>
      <c r="AT105" s="12"/>
      <c r="AU105">
        <f t="shared" si="29"/>
        <v>0</v>
      </c>
      <c r="AV105">
        <f t="shared" si="30"/>
        <v>1</v>
      </c>
      <c r="AW105">
        <f t="shared" si="38"/>
        <v>0</v>
      </c>
      <c r="AX105">
        <f t="shared" si="31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8.9204157377086105E-3</v>
      </c>
      <c r="BE105" s="29">
        <f t="shared" si="42"/>
        <v>0</v>
      </c>
      <c r="BF105" s="29">
        <f t="shared" si="43"/>
        <v>1.0820601113956201E-2</v>
      </c>
      <c r="BH105" s="29"/>
    </row>
    <row r="106" spans="1:60" x14ac:dyDescent="0.3">
      <c r="A106" s="1">
        <v>46176</v>
      </c>
      <c r="B106" s="33">
        <v>43.71</v>
      </c>
      <c r="C106" s="33">
        <v>110.64</v>
      </c>
      <c r="D106" s="15">
        <v>-4.3374112059024698E-3</v>
      </c>
      <c r="E106" s="15">
        <v>-2.7979620221001999E-3</v>
      </c>
      <c r="F106" s="33">
        <v>0</v>
      </c>
      <c r="G106" s="33">
        <v>0.30993999999999999</v>
      </c>
      <c r="H106" s="33">
        <v>0</v>
      </c>
      <c r="I106" s="33">
        <v>0.62162899999999999</v>
      </c>
      <c r="J106" s="33">
        <v>0</v>
      </c>
      <c r="K106" s="33">
        <v>0</v>
      </c>
      <c r="L106" s="33">
        <v>43.71</v>
      </c>
      <c r="M106" s="33">
        <v>110.64</v>
      </c>
      <c r="N106" s="34">
        <v>2.5312285518188</v>
      </c>
      <c r="O106" s="34">
        <v>2.5341745756035601</v>
      </c>
      <c r="P106" s="34">
        <v>2.5259798072784601</v>
      </c>
      <c r="Q106" s="34">
        <v>2.5261271549917099</v>
      </c>
      <c r="R106" s="33">
        <v>110.76877069963101</v>
      </c>
      <c r="S106" s="33">
        <v>110.41307399319101</v>
      </c>
      <c r="T106" s="33">
        <v>110.397549322733</v>
      </c>
      <c r="U106" s="15">
        <v>1.1631943372790499E-3</v>
      </c>
      <c r="V106" s="15">
        <v>-2.0531366736836099E-3</v>
      </c>
      <c r="W106" s="15">
        <v>-2.1937519235330299E-3</v>
      </c>
      <c r="X106" s="34">
        <v>2.5312285518188</v>
      </c>
      <c r="Y106" s="34">
        <v>2.5351085643703399</v>
      </c>
      <c r="Z106" s="34">
        <v>2.5259798072784601</v>
      </c>
      <c r="AA106" s="34">
        <v>2.5261271549917099</v>
      </c>
      <c r="AB106" s="33">
        <v>110.809595348627</v>
      </c>
      <c r="AC106" s="33">
        <v>110.41307399319101</v>
      </c>
      <c r="AD106" s="33">
        <v>110.397549322733</v>
      </c>
      <c r="AE106" s="15">
        <v>1.53168382644737E-3</v>
      </c>
      <c r="AF106" s="15">
        <v>-2.0531366736836099E-3</v>
      </c>
      <c r="AG106" s="15">
        <v>-2.1937519235330299E-3</v>
      </c>
      <c r="AI106" s="12"/>
      <c r="AJ106">
        <f t="shared" si="24"/>
        <v>0</v>
      </c>
      <c r="AK106">
        <f t="shared" si="25"/>
        <v>0</v>
      </c>
      <c r="AL106">
        <f t="shared" si="34"/>
        <v>0</v>
      </c>
      <c r="AM106">
        <f t="shared" si="26"/>
        <v>1</v>
      </c>
      <c r="AN106">
        <f t="shared" si="35"/>
        <v>0</v>
      </c>
      <c r="AO106" s="28">
        <f t="shared" si="27"/>
        <v>0</v>
      </c>
      <c r="AP106" s="28">
        <f t="shared" si="28"/>
        <v>0</v>
      </c>
      <c r="AQ106" s="28">
        <f t="shared" si="36"/>
        <v>0</v>
      </c>
      <c r="AR106" s="29">
        <f t="shared" si="37"/>
        <v>1.9001853762475895E-3</v>
      </c>
      <c r="AT106" s="12"/>
      <c r="AU106">
        <f t="shared" si="29"/>
        <v>0</v>
      </c>
      <c r="AV106">
        <f t="shared" si="30"/>
        <v>1</v>
      </c>
      <c r="AW106">
        <f t="shared" si="38"/>
        <v>0</v>
      </c>
      <c r="AX106">
        <f t="shared" si="31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8.9204157377086105E-3</v>
      </c>
      <c r="BE106" s="29">
        <f t="shared" si="42"/>
        <v>0</v>
      </c>
      <c r="BF106" s="29">
        <f t="shared" si="43"/>
        <v>1.0820601113956201E-2</v>
      </c>
      <c r="BH106" s="29"/>
    </row>
    <row r="107" spans="1:60" x14ac:dyDescent="0.3">
      <c r="A107" s="1">
        <v>46177</v>
      </c>
      <c r="B107" s="33">
        <v>43.94</v>
      </c>
      <c r="C107" s="33">
        <v>111.3</v>
      </c>
      <c r="D107" s="15">
        <v>5.2481580812408397E-3</v>
      </c>
      <c r="E107" s="15">
        <v>5.9475709249962698E-3</v>
      </c>
      <c r="F107" s="33">
        <v>0</v>
      </c>
      <c r="G107" s="33">
        <v>0.30993999999999999</v>
      </c>
      <c r="H107" s="33">
        <v>0</v>
      </c>
      <c r="I107" s="33">
        <v>0.62162899999999999</v>
      </c>
      <c r="J107" s="33">
        <v>0</v>
      </c>
      <c r="K107" s="33">
        <v>0</v>
      </c>
      <c r="L107" s="33">
        <v>43.94</v>
      </c>
      <c r="M107" s="33">
        <v>111.3</v>
      </c>
      <c r="N107" s="34">
        <v>2.53299954483386</v>
      </c>
      <c r="O107" s="34">
        <v>2.5341745756035601</v>
      </c>
      <c r="P107" s="34">
        <v>2.52641523693597</v>
      </c>
      <c r="Q107" s="34">
        <v>2.52667781042198</v>
      </c>
      <c r="R107" s="33">
        <v>111.35163085201999</v>
      </c>
      <c r="S107" s="33">
        <v>110.99155273181501</v>
      </c>
      <c r="T107" s="33">
        <v>110.99802719033499</v>
      </c>
      <c r="U107" s="15">
        <v>4.6378149352367101E-4</v>
      </c>
      <c r="V107" s="15">
        <v>-2.7751613802055402E-3</v>
      </c>
      <c r="W107" s="15">
        <v>-2.7168301871452402E-3</v>
      </c>
      <c r="X107" s="34">
        <v>2.53299954483386</v>
      </c>
      <c r="Y107" s="34">
        <v>2.5351085643703399</v>
      </c>
      <c r="Z107" s="34">
        <v>2.52641523693597</v>
      </c>
      <c r="AA107" s="34">
        <v>2.52667781042198</v>
      </c>
      <c r="AB107" s="33">
        <v>111.392670318432</v>
      </c>
      <c r="AC107" s="33">
        <v>110.99155273181501</v>
      </c>
      <c r="AD107" s="33">
        <v>110.99802719033499</v>
      </c>
      <c r="AE107" s="15">
        <v>8.3227098269195697E-4</v>
      </c>
      <c r="AF107" s="15">
        <v>-2.7751613802055402E-3</v>
      </c>
      <c r="AG107" s="15">
        <v>-2.7168301871452402E-3</v>
      </c>
      <c r="AI107" s="12"/>
      <c r="AJ107">
        <f t="shared" si="24"/>
        <v>1</v>
      </c>
      <c r="AK107">
        <f t="shared" si="25"/>
        <v>0</v>
      </c>
      <c r="AL107">
        <f t="shared" si="34"/>
        <v>0</v>
      </c>
      <c r="AM107">
        <f t="shared" si="26"/>
        <v>1</v>
      </c>
      <c r="AN107">
        <f t="shared" si="35"/>
        <v>0</v>
      </c>
      <c r="AO107" s="28">
        <f t="shared" si="27"/>
        <v>0</v>
      </c>
      <c r="AP107" s="28">
        <f t="shared" si="28"/>
        <v>0</v>
      </c>
      <c r="AQ107" s="28">
        <f t="shared" si="36"/>
        <v>0</v>
      </c>
      <c r="AR107" s="29">
        <f t="shared" si="37"/>
        <v>1.9001853762475895E-3</v>
      </c>
      <c r="AT107" s="12"/>
      <c r="AU107">
        <f t="shared" si="29"/>
        <v>0</v>
      </c>
      <c r="AV107">
        <f t="shared" si="30"/>
        <v>1</v>
      </c>
      <c r="AW107">
        <f t="shared" si="38"/>
        <v>0</v>
      </c>
      <c r="AX107">
        <f t="shared" si="31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8.9204157377086105E-3</v>
      </c>
      <c r="BE107" s="29">
        <f t="shared" si="42"/>
        <v>0</v>
      </c>
      <c r="BF107" s="29">
        <f t="shared" si="43"/>
        <v>1.0820601113956201E-2</v>
      </c>
      <c r="BH107" s="29"/>
    </row>
    <row r="108" spans="1:60" x14ac:dyDescent="0.3">
      <c r="A108" s="1">
        <v>46178</v>
      </c>
      <c r="B108" s="33">
        <v>44.35</v>
      </c>
      <c r="C108" s="33">
        <v>112.23</v>
      </c>
      <c r="D108" s="15">
        <v>9.2876417991243302E-3</v>
      </c>
      <c r="E108" s="15">
        <v>8.3210787466653606E-3</v>
      </c>
      <c r="F108" s="33">
        <v>0</v>
      </c>
      <c r="G108" s="33">
        <v>0.30993999999999999</v>
      </c>
      <c r="H108" s="33">
        <v>0</v>
      </c>
      <c r="I108" s="33">
        <v>0.62162899999999999</v>
      </c>
      <c r="J108" s="33">
        <v>0</v>
      </c>
      <c r="K108" s="33">
        <v>0</v>
      </c>
      <c r="L108" s="33">
        <v>44.35</v>
      </c>
      <c r="M108" s="33">
        <v>112.23</v>
      </c>
      <c r="N108" s="34">
        <v>2.5305524239007799</v>
      </c>
      <c r="O108" s="34">
        <v>2.5341745756035601</v>
      </c>
      <c r="P108" s="34">
        <v>2.5270482571038202</v>
      </c>
      <c r="Q108" s="34">
        <v>2.5269642968652501</v>
      </c>
      <c r="R108" s="33">
        <v>112.390642428018</v>
      </c>
      <c r="S108" s="33">
        <v>112.04651575811</v>
      </c>
      <c r="T108" s="33">
        <v>112.058160892215</v>
      </c>
      <c r="U108" s="15">
        <v>1.4303445459828E-3</v>
      </c>
      <c r="V108" s="15">
        <v>-1.63623268540362E-3</v>
      </c>
      <c r="W108" s="15">
        <v>-1.53230683888111E-3</v>
      </c>
      <c r="X108" s="34">
        <v>2.5305524239007799</v>
      </c>
      <c r="Y108" s="34">
        <v>2.5351085643703399</v>
      </c>
      <c r="Z108" s="34">
        <v>2.5270482571038202</v>
      </c>
      <c r="AA108" s="34">
        <v>2.5269642968652501</v>
      </c>
      <c r="AB108" s="33">
        <v>112.432064829824</v>
      </c>
      <c r="AC108" s="33">
        <v>112.04651575811</v>
      </c>
      <c r="AD108" s="33">
        <v>112.058160892215</v>
      </c>
      <c r="AE108" s="15">
        <v>1.7988340351509501E-3</v>
      </c>
      <c r="AF108" s="15">
        <v>-1.6362326854037299E-3</v>
      </c>
      <c r="AG108" s="15">
        <v>-1.53230683888111E-3</v>
      </c>
      <c r="AI108" s="12"/>
      <c r="AJ108">
        <f t="shared" si="24"/>
        <v>0</v>
      </c>
      <c r="AK108">
        <f t="shared" si="25"/>
        <v>0</v>
      </c>
      <c r="AL108">
        <f t="shared" si="34"/>
        <v>1</v>
      </c>
      <c r="AM108">
        <f t="shared" si="26"/>
        <v>1</v>
      </c>
      <c r="AN108">
        <f t="shared" si="35"/>
        <v>1</v>
      </c>
      <c r="AO108" s="28">
        <f t="shared" si="27"/>
        <v>9.2876417991243302E-3</v>
      </c>
      <c r="AP108" s="28">
        <f t="shared" si="28"/>
        <v>-8.3210787466653606E-3</v>
      </c>
      <c r="AQ108" s="28">
        <f t="shared" si="36"/>
        <v>9.665630524589696E-4</v>
      </c>
      <c r="AR108" s="29">
        <f t="shared" si="37"/>
        <v>2.8667484287065591E-3</v>
      </c>
      <c r="AT108" s="12"/>
      <c r="AU108">
        <f t="shared" si="29"/>
        <v>0</v>
      </c>
      <c r="AV108">
        <f t="shared" si="30"/>
        <v>1</v>
      </c>
      <c r="AW108">
        <f t="shared" si="38"/>
        <v>0</v>
      </c>
      <c r="AX108">
        <f t="shared" si="31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8.9204157377086105E-3</v>
      </c>
      <c r="BE108" s="29">
        <f t="shared" si="42"/>
        <v>9.665630524589696E-4</v>
      </c>
      <c r="BF108" s="29">
        <f t="shared" si="43"/>
        <v>1.1787164166415171E-2</v>
      </c>
      <c r="BH108" s="29"/>
    </row>
    <row r="109" spans="1:60" x14ac:dyDescent="0.3">
      <c r="A109" s="1">
        <v>46181</v>
      </c>
      <c r="B109" s="33">
        <v>43.52</v>
      </c>
      <c r="C109" s="33">
        <v>110.16</v>
      </c>
      <c r="D109" s="15">
        <v>-1.8892106207901299E-2</v>
      </c>
      <c r="E109" s="15">
        <v>-1.8616482607765002E-2</v>
      </c>
      <c r="F109" s="33">
        <v>0</v>
      </c>
      <c r="G109" s="33">
        <v>0.30993999999999999</v>
      </c>
      <c r="H109" s="33">
        <v>0</v>
      </c>
      <c r="I109" s="33">
        <v>0.62162899999999999</v>
      </c>
      <c r="J109" s="33">
        <v>0</v>
      </c>
      <c r="K109" s="33">
        <v>0</v>
      </c>
      <c r="L109" s="33">
        <v>43.52</v>
      </c>
      <c r="M109" s="33">
        <v>110.16</v>
      </c>
      <c r="N109" s="34">
        <v>2.5312499999999898</v>
      </c>
      <c r="O109" s="34">
        <v>2.5341745756035601</v>
      </c>
      <c r="P109" s="34">
        <v>2.5277366529141898</v>
      </c>
      <c r="Q109" s="34">
        <v>2.52736400616757</v>
      </c>
      <c r="R109" s="33">
        <v>110.287277530267</v>
      </c>
      <c r="S109" s="33">
        <v>109.977140149158</v>
      </c>
      <c r="T109" s="33">
        <v>109.97348619957501</v>
      </c>
      <c r="U109" s="15">
        <v>1.15472094584649E-3</v>
      </c>
      <c r="V109" s="15">
        <v>-1.66132705072316E-3</v>
      </c>
      <c r="W109" s="15">
        <v>-1.6945522307900099E-3</v>
      </c>
      <c r="X109" s="34">
        <v>2.5312499999999898</v>
      </c>
      <c r="Y109" s="34">
        <v>2.5351085643703399</v>
      </c>
      <c r="Z109" s="34">
        <v>2.5277366529141898</v>
      </c>
      <c r="AA109" s="34">
        <v>2.52736400616757</v>
      </c>
      <c r="AB109" s="33">
        <v>110.327924721397</v>
      </c>
      <c r="AC109" s="33">
        <v>109.977140149158</v>
      </c>
      <c r="AD109" s="33">
        <v>109.97348619957501</v>
      </c>
      <c r="AE109" s="15">
        <v>1.52321043501493E-3</v>
      </c>
      <c r="AF109" s="15">
        <v>-1.66132705072316E-3</v>
      </c>
      <c r="AG109" s="15">
        <v>-1.6945522307900099E-3</v>
      </c>
      <c r="AI109" s="12"/>
      <c r="AJ109">
        <f t="shared" si="24"/>
        <v>0</v>
      </c>
      <c r="AK109">
        <f t="shared" si="25"/>
        <v>0</v>
      </c>
      <c r="AL109">
        <f t="shared" si="34"/>
        <v>1</v>
      </c>
      <c r="AM109">
        <f t="shared" si="26"/>
        <v>1</v>
      </c>
      <c r="AN109">
        <f t="shared" si="35"/>
        <v>1</v>
      </c>
      <c r="AO109" s="28">
        <f t="shared" si="27"/>
        <v>-1.8892106207901299E-2</v>
      </c>
      <c r="AP109" s="28">
        <f t="shared" si="28"/>
        <v>1.8616482607765002E-2</v>
      </c>
      <c r="AQ109" s="28">
        <f t="shared" si="36"/>
        <v>-2.7562360013629744E-4</v>
      </c>
      <c r="AR109" s="29">
        <f t="shared" si="37"/>
        <v>2.5911248285702617E-3</v>
      </c>
      <c r="AT109" s="12"/>
      <c r="AU109">
        <f t="shared" si="29"/>
        <v>0</v>
      </c>
      <c r="AV109">
        <f t="shared" si="30"/>
        <v>1</v>
      </c>
      <c r="AW109">
        <f t="shared" si="38"/>
        <v>0</v>
      </c>
      <c r="AX109">
        <f t="shared" si="31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8.9204157377086105E-3</v>
      </c>
      <c r="BE109" s="29">
        <f t="shared" si="42"/>
        <v>-2.7562360013629744E-4</v>
      </c>
      <c r="BF109" s="29">
        <f t="shared" si="43"/>
        <v>1.1511540566278873E-2</v>
      </c>
      <c r="BH109" s="29"/>
    </row>
    <row r="110" spans="1:60" x14ac:dyDescent="0.3">
      <c r="A110" s="1">
        <v>46182</v>
      </c>
      <c r="B110" s="33">
        <v>43.98</v>
      </c>
      <c r="C110" s="33">
        <v>111.52</v>
      </c>
      <c r="D110" s="15">
        <v>1.0514382578927801E-2</v>
      </c>
      <c r="E110" s="15">
        <v>1.2270092591814399E-2</v>
      </c>
      <c r="F110" s="33">
        <v>0</v>
      </c>
      <c r="G110" s="33">
        <v>0.30993999999999999</v>
      </c>
      <c r="H110" s="33">
        <v>0</v>
      </c>
      <c r="I110" s="33">
        <v>0.62162899999999999</v>
      </c>
      <c r="J110" s="33">
        <v>0</v>
      </c>
      <c r="K110" s="33">
        <v>0</v>
      </c>
      <c r="L110" s="33">
        <v>43.98</v>
      </c>
      <c r="M110" s="33">
        <v>111.52</v>
      </c>
      <c r="N110" s="34">
        <v>2.5356980445657098</v>
      </c>
      <c r="O110" s="34">
        <v>2.5341745756035601</v>
      </c>
      <c r="P110" s="34">
        <v>2.52891289902088</v>
      </c>
      <c r="Q110" s="34">
        <v>2.52812985655713</v>
      </c>
      <c r="R110" s="33">
        <v>111.452997835044</v>
      </c>
      <c r="S110" s="33">
        <v>111.169857995166</v>
      </c>
      <c r="T110" s="33">
        <v>111.15346899124999</v>
      </c>
      <c r="U110" s="15">
        <v>-6.0098906704002795E-4</v>
      </c>
      <c r="V110" s="15">
        <v>-3.1446631340068202E-3</v>
      </c>
      <c r="W110" s="15">
        <v>-3.29209709127878E-3</v>
      </c>
      <c r="X110" s="34">
        <v>2.5356980445657098</v>
      </c>
      <c r="Y110" s="34">
        <v>2.5351085643703399</v>
      </c>
      <c r="Z110" s="34">
        <v>2.52891289902088</v>
      </c>
      <c r="AA110" s="34">
        <v>2.52812985655713</v>
      </c>
      <c r="AB110" s="33">
        <v>111.49407466100701</v>
      </c>
      <c r="AC110" s="33">
        <v>111.169857995166</v>
      </c>
      <c r="AD110" s="33">
        <v>111.15346899124999</v>
      </c>
      <c r="AE110" s="15">
        <v>-2.3249957787167499E-4</v>
      </c>
      <c r="AF110" s="15">
        <v>-3.1446631340068202E-3</v>
      </c>
      <c r="AG110" s="15">
        <v>-3.29209709127878E-3</v>
      </c>
      <c r="AI110" s="12"/>
      <c r="AJ110">
        <f t="shared" si="24"/>
        <v>1</v>
      </c>
      <c r="AK110">
        <f t="shared" si="25"/>
        <v>0</v>
      </c>
      <c r="AL110">
        <f t="shared" si="34"/>
        <v>1</v>
      </c>
      <c r="AM110">
        <f t="shared" si="26"/>
        <v>1</v>
      </c>
      <c r="AN110">
        <f t="shared" si="35"/>
        <v>1</v>
      </c>
      <c r="AO110" s="28">
        <f t="shared" si="27"/>
        <v>1.0514382578927801E-2</v>
      </c>
      <c r="AP110" s="28">
        <f t="shared" si="28"/>
        <v>-1.2270092591814399E-2</v>
      </c>
      <c r="AQ110" s="28">
        <f t="shared" si="36"/>
        <v>-1.7557100128865986E-3</v>
      </c>
      <c r="AR110" s="29">
        <f t="shared" si="37"/>
        <v>8.3541481568366301E-4</v>
      </c>
      <c r="AT110" s="12"/>
      <c r="AU110">
        <f t="shared" si="29"/>
        <v>0</v>
      </c>
      <c r="AV110">
        <f t="shared" si="30"/>
        <v>1</v>
      </c>
      <c r="AW110">
        <f t="shared" si="38"/>
        <v>0</v>
      </c>
      <c r="AX110">
        <f t="shared" si="31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8.9204157377086105E-3</v>
      </c>
      <c r="BE110" s="29">
        <f t="shared" si="42"/>
        <v>-1.7557100128865986E-3</v>
      </c>
      <c r="BF110" s="29">
        <f t="shared" si="43"/>
        <v>9.7558305533922748E-3</v>
      </c>
      <c r="BH110" s="29"/>
    </row>
    <row r="111" spans="1:60" x14ac:dyDescent="0.3">
      <c r="A111" s="1">
        <v>46183</v>
      </c>
      <c r="B111" s="33">
        <v>44</v>
      </c>
      <c r="C111" s="33">
        <v>111.55</v>
      </c>
      <c r="D111" s="15">
        <v>4.5464879164612402E-4</v>
      </c>
      <c r="E111" s="15">
        <v>2.6897386632774298E-4</v>
      </c>
      <c r="F111" s="33">
        <v>0</v>
      </c>
      <c r="G111" s="33">
        <v>0.30993999999999999</v>
      </c>
      <c r="H111" s="33">
        <v>0</v>
      </c>
      <c r="I111" s="33">
        <v>0.62162899999999999</v>
      </c>
      <c r="J111" s="33">
        <v>0</v>
      </c>
      <c r="K111" s="33">
        <v>0</v>
      </c>
      <c r="L111" s="33">
        <v>44</v>
      </c>
      <c r="M111" s="33">
        <v>111.55</v>
      </c>
      <c r="N111" s="34">
        <v>2.53522727272727</v>
      </c>
      <c r="O111" s="34">
        <v>2.5341745756035601</v>
      </c>
      <c r="P111" s="34">
        <v>2.53022029620942</v>
      </c>
      <c r="Q111" s="34">
        <v>2.5286464757810201</v>
      </c>
      <c r="R111" s="33">
        <v>111.50368132655601</v>
      </c>
      <c r="S111" s="33">
        <v>111.27216755691801</v>
      </c>
      <c r="T111" s="33">
        <v>111.23771368851401</v>
      </c>
      <c r="U111" s="15">
        <v>-4.1531414172165098E-4</v>
      </c>
      <c r="V111" s="15">
        <v>-2.49376074302101E-3</v>
      </c>
      <c r="W111" s="15">
        <v>-2.8034446859293502E-3</v>
      </c>
      <c r="X111" s="34">
        <v>2.53522727272727</v>
      </c>
      <c r="Y111" s="34">
        <v>2.5351085643703399</v>
      </c>
      <c r="Z111" s="34">
        <v>2.53022029620942</v>
      </c>
      <c r="AA111" s="34">
        <v>2.5286464757810201</v>
      </c>
      <c r="AB111" s="33">
        <v>111.544776832295</v>
      </c>
      <c r="AC111" s="33">
        <v>111.27216755691801</v>
      </c>
      <c r="AD111" s="33">
        <v>111.23771368851401</v>
      </c>
      <c r="AE111" s="15">
        <v>-4.6824652553415103E-5</v>
      </c>
      <c r="AF111" s="15">
        <v>-2.49376074302101E-3</v>
      </c>
      <c r="AG111" s="15">
        <v>-2.8034446859293502E-3</v>
      </c>
      <c r="AI111" s="12"/>
      <c r="AJ111">
        <f t="shared" si="24"/>
        <v>1</v>
      </c>
      <c r="AK111">
        <f t="shared" si="25"/>
        <v>0</v>
      </c>
      <c r="AL111">
        <f t="shared" si="34"/>
        <v>1</v>
      </c>
      <c r="AM111">
        <f t="shared" si="26"/>
        <v>1</v>
      </c>
      <c r="AN111">
        <f t="shared" si="35"/>
        <v>1</v>
      </c>
      <c r="AO111" s="28">
        <f t="shared" si="27"/>
        <v>4.5464879164612402E-4</v>
      </c>
      <c r="AP111" s="28">
        <f t="shared" si="28"/>
        <v>-2.6897386632774298E-4</v>
      </c>
      <c r="AQ111" s="28">
        <f t="shared" si="36"/>
        <v>1.8567492531838104E-4</v>
      </c>
      <c r="AR111" s="29">
        <f t="shared" si="37"/>
        <v>1.021089741002044E-3</v>
      </c>
      <c r="AT111" s="12"/>
      <c r="AU111">
        <f t="shared" si="29"/>
        <v>0</v>
      </c>
      <c r="AV111">
        <f t="shared" si="30"/>
        <v>1</v>
      </c>
      <c r="AW111">
        <f t="shared" si="38"/>
        <v>0</v>
      </c>
      <c r="AX111">
        <f t="shared" si="31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8.9204157377086105E-3</v>
      </c>
      <c r="BE111" s="29">
        <f t="shared" si="42"/>
        <v>1.8567492531838104E-4</v>
      </c>
      <c r="BF111" s="29">
        <f t="shared" si="43"/>
        <v>9.941505478710656E-3</v>
      </c>
      <c r="BH111" s="29"/>
    </row>
    <row r="112" spans="1:60" x14ac:dyDescent="0.3">
      <c r="A112" s="1">
        <v>46184</v>
      </c>
      <c r="B112" s="33">
        <v>44.05</v>
      </c>
      <c r="C112" s="33">
        <v>111.38</v>
      </c>
      <c r="D112" s="15">
        <v>1.1357184639272E-3</v>
      </c>
      <c r="E112" s="15">
        <v>-1.52514271701903E-3</v>
      </c>
      <c r="F112" s="33">
        <v>0</v>
      </c>
      <c r="G112" s="33">
        <v>0.30993999999999999</v>
      </c>
      <c r="H112" s="33">
        <v>0</v>
      </c>
      <c r="I112" s="33">
        <v>0.62162899999999999</v>
      </c>
      <c r="J112" s="33">
        <v>0</v>
      </c>
      <c r="K112" s="33">
        <v>0</v>
      </c>
      <c r="L112" s="33">
        <v>44.05</v>
      </c>
      <c r="M112" s="33">
        <v>111.38</v>
      </c>
      <c r="N112" s="34">
        <v>2.5284903518728701</v>
      </c>
      <c r="O112" s="34">
        <v>2.5341745756035601</v>
      </c>
      <c r="P112" s="34">
        <v>2.5307502635051602</v>
      </c>
      <c r="Q112" s="34">
        <v>2.5288677249618599</v>
      </c>
      <c r="R112" s="33">
        <v>111.63039005533599</v>
      </c>
      <c r="S112" s="33">
        <v>111.456204048025</v>
      </c>
      <c r="T112" s="33">
        <v>111.386877258154</v>
      </c>
      <c r="U112" s="15">
        <v>2.2455470392246401E-3</v>
      </c>
      <c r="V112" s="15">
        <v>6.8394676997306702E-4</v>
      </c>
      <c r="W112" s="15">
        <v>6.1743992113024406E-5</v>
      </c>
      <c r="X112" s="34">
        <v>2.5284903518728701</v>
      </c>
      <c r="Y112" s="34">
        <v>2.5351085643703399</v>
      </c>
      <c r="Z112" s="34">
        <v>2.5307502635051602</v>
      </c>
      <c r="AA112" s="34">
        <v>2.5288677249618599</v>
      </c>
      <c r="AB112" s="33">
        <v>111.671532260513</v>
      </c>
      <c r="AC112" s="33">
        <v>111.456204048025</v>
      </c>
      <c r="AD112" s="33">
        <v>111.386877258154</v>
      </c>
      <c r="AE112" s="15">
        <v>2.6140365283929099E-3</v>
      </c>
      <c r="AF112" s="15">
        <v>6.8394676997306702E-4</v>
      </c>
      <c r="AG112" s="15">
        <v>6.1743992112802402E-5</v>
      </c>
      <c r="AI112" s="12"/>
      <c r="AJ112">
        <f t="shared" si="24"/>
        <v>0</v>
      </c>
      <c r="AK112">
        <f t="shared" si="25"/>
        <v>1</v>
      </c>
      <c r="AL112">
        <f t="shared" si="34"/>
        <v>1</v>
      </c>
      <c r="AM112">
        <f t="shared" si="26"/>
        <v>1</v>
      </c>
      <c r="AN112">
        <f t="shared" si="35"/>
        <v>1</v>
      </c>
      <c r="AO112" s="28">
        <f t="shared" si="27"/>
        <v>1.1357184639272E-3</v>
      </c>
      <c r="AP112" s="28">
        <f t="shared" si="28"/>
        <v>1.52514271701903E-3</v>
      </c>
      <c r="AQ112" s="28">
        <f t="shared" si="36"/>
        <v>2.6608611809462298E-3</v>
      </c>
      <c r="AR112" s="29">
        <f t="shared" si="37"/>
        <v>3.6819509219482736E-3</v>
      </c>
      <c r="AT112" s="12"/>
      <c r="AU112">
        <f t="shared" si="29"/>
        <v>0</v>
      </c>
      <c r="AV112">
        <f t="shared" si="30"/>
        <v>1</v>
      </c>
      <c r="AW112">
        <f t="shared" si="38"/>
        <v>0</v>
      </c>
      <c r="AX112">
        <f t="shared" si="31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8.9204157377086105E-3</v>
      </c>
      <c r="BE112" s="29">
        <f t="shared" si="42"/>
        <v>2.6608611809462298E-3</v>
      </c>
      <c r="BF112" s="29">
        <f t="shared" si="43"/>
        <v>1.2602366659656885E-2</v>
      </c>
      <c r="BH112" s="29"/>
    </row>
    <row r="113" spans="1:60" x14ac:dyDescent="0.3">
      <c r="A113" s="1">
        <v>46185</v>
      </c>
      <c r="B113" s="33">
        <v>44.53</v>
      </c>
      <c r="C113" s="33">
        <v>112.58</v>
      </c>
      <c r="D113" s="15">
        <v>1.0837766951422601E-2</v>
      </c>
      <c r="E113" s="15">
        <v>1.07163018743579E-2</v>
      </c>
      <c r="F113" s="33">
        <v>0</v>
      </c>
      <c r="G113" s="33">
        <v>0.30993999999999999</v>
      </c>
      <c r="H113" s="33">
        <v>0</v>
      </c>
      <c r="I113" s="33">
        <v>0.62162899999999999</v>
      </c>
      <c r="J113" s="33">
        <v>0</v>
      </c>
      <c r="K113" s="33">
        <v>0</v>
      </c>
      <c r="L113" s="33">
        <v>44.53</v>
      </c>
      <c r="M113" s="33">
        <v>112.58</v>
      </c>
      <c r="N113" s="34">
        <v>2.5281832472490402</v>
      </c>
      <c r="O113" s="34">
        <v>2.5341745756035601</v>
      </c>
      <c r="P113" s="34">
        <v>2.5311822757582001</v>
      </c>
      <c r="Q113" s="34">
        <v>2.5289739920013701</v>
      </c>
      <c r="R113" s="33">
        <v>112.846793851626</v>
      </c>
      <c r="S113" s="33">
        <v>112.694309233884</v>
      </c>
      <c r="T113" s="33">
        <v>112.610479792551</v>
      </c>
      <c r="U113" s="15">
        <v>2.36701211628921E-3</v>
      </c>
      <c r="V113" s="15">
        <v>1.0148449158211301E-3</v>
      </c>
      <c r="W113" s="15">
        <v>2.7070232068315798E-4</v>
      </c>
      <c r="X113" s="34">
        <v>2.5281832472490402</v>
      </c>
      <c r="Y113" s="34">
        <v>2.5351085643703399</v>
      </c>
      <c r="Z113" s="34">
        <v>2.5311822757582001</v>
      </c>
      <c r="AA113" s="34">
        <v>2.5289739920013701</v>
      </c>
      <c r="AB113" s="33">
        <v>112.88838437141099</v>
      </c>
      <c r="AC113" s="33">
        <v>112.694309233884</v>
      </c>
      <c r="AD113" s="33">
        <v>112.610479792551</v>
      </c>
      <c r="AE113" s="15">
        <v>2.7355016054574498E-3</v>
      </c>
      <c r="AF113" s="15">
        <v>1.0148449158211301E-3</v>
      </c>
      <c r="AG113" s="15">
        <v>2.7070232068315798E-4</v>
      </c>
      <c r="AI113" s="12"/>
      <c r="AJ113">
        <f t="shared" si="24"/>
        <v>0</v>
      </c>
      <c r="AK113">
        <f t="shared" si="25"/>
        <v>1</v>
      </c>
      <c r="AL113">
        <f t="shared" si="34"/>
        <v>0</v>
      </c>
      <c r="AM113">
        <f t="shared" si="26"/>
        <v>0</v>
      </c>
      <c r="AN113">
        <f t="shared" si="35"/>
        <v>0</v>
      </c>
      <c r="AO113" s="28">
        <f t="shared" si="27"/>
        <v>0</v>
      </c>
      <c r="AP113" s="28">
        <f t="shared" si="28"/>
        <v>0</v>
      </c>
      <c r="AQ113" s="28">
        <f t="shared" si="36"/>
        <v>0</v>
      </c>
      <c r="AR113" s="29">
        <f t="shared" si="37"/>
        <v>3.6819509219482736E-3</v>
      </c>
      <c r="AT113" s="12"/>
      <c r="AU113">
        <f t="shared" si="29"/>
        <v>0</v>
      </c>
      <c r="AV113">
        <f t="shared" si="30"/>
        <v>0</v>
      </c>
      <c r="AW113">
        <f t="shared" si="38"/>
        <v>0</v>
      </c>
      <c r="AX113">
        <f t="shared" si="31"/>
        <v>0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8.9204157377086105E-3</v>
      </c>
      <c r="BE113" s="29">
        <f t="shared" si="42"/>
        <v>0</v>
      </c>
      <c r="BF113" s="29">
        <f t="shared" si="43"/>
        <v>1.2602366659656885E-2</v>
      </c>
      <c r="BH113" s="29"/>
    </row>
    <row r="114" spans="1:60" x14ac:dyDescent="0.3">
      <c r="A114" s="1">
        <v>46188</v>
      </c>
      <c r="B114" s="33">
        <v>44.74</v>
      </c>
      <c r="C114" s="33">
        <v>112.42</v>
      </c>
      <c r="D114" s="15">
        <v>4.7048367283726404E-3</v>
      </c>
      <c r="E114" s="15">
        <v>-1.4222224619515401E-3</v>
      </c>
      <c r="F114" s="33">
        <v>0</v>
      </c>
      <c r="G114" s="33">
        <v>0.30993999999999999</v>
      </c>
      <c r="H114" s="33">
        <v>0.63148800000000005</v>
      </c>
      <c r="I114" s="33">
        <v>1.253117</v>
      </c>
      <c r="J114" s="33">
        <v>0</v>
      </c>
      <c r="K114" s="33">
        <v>0.63148800000000005</v>
      </c>
      <c r="L114" s="33">
        <v>44.74</v>
      </c>
      <c r="M114" s="33">
        <v>113.05148800000001</v>
      </c>
      <c r="N114" s="34">
        <v>2.5127402771569001</v>
      </c>
      <c r="O114" s="34">
        <v>2.5341745756035601</v>
      </c>
      <c r="P114" s="34">
        <v>2.5293704566061401</v>
      </c>
      <c r="Q114" s="34">
        <v>2.5280096837712298</v>
      </c>
      <c r="R114" s="33">
        <v>113.378970512503</v>
      </c>
      <c r="S114" s="33">
        <v>113.245095017422</v>
      </c>
      <c r="T114" s="33">
        <v>113.146296402141</v>
      </c>
      <c r="U114" s="15">
        <v>8.4940713066133707E-3</v>
      </c>
      <c r="V114" s="15">
        <v>7.3125947468219302E-3</v>
      </c>
      <c r="W114" s="15">
        <v>6.4397822168636596E-3</v>
      </c>
      <c r="X114" s="34">
        <v>2.5268548949485901</v>
      </c>
      <c r="Y114" s="34">
        <v>2.5351085643703399</v>
      </c>
      <c r="Z114" s="34">
        <v>2.5307819183853102</v>
      </c>
      <c r="AA114" s="34">
        <v>2.5287154146608102</v>
      </c>
      <c r="AB114" s="33">
        <v>113.420757169929</v>
      </c>
      <c r="AC114" s="33">
        <v>113.245095017422</v>
      </c>
      <c r="AD114" s="33">
        <v>113.146296402141</v>
      </c>
      <c r="AE114" s="15">
        <v>3.2610574147955698E-3</v>
      </c>
      <c r="AF114" s="15">
        <v>1.7110913658357999E-3</v>
      </c>
      <c r="AG114" s="15">
        <v>8.3827883587743804E-4</v>
      </c>
      <c r="AI114" s="12"/>
      <c r="AJ114">
        <f t="shared" si="24"/>
        <v>0</v>
      </c>
      <c r="AK114">
        <f t="shared" si="25"/>
        <v>1</v>
      </c>
      <c r="AL114">
        <f t="shared" si="34"/>
        <v>0</v>
      </c>
      <c r="AM114">
        <f t="shared" si="26"/>
        <v>1</v>
      </c>
      <c r="AN114">
        <f t="shared" si="35"/>
        <v>0</v>
      </c>
      <c r="AO114" s="28">
        <f t="shared" si="27"/>
        <v>0</v>
      </c>
      <c r="AP114" s="28">
        <f t="shared" si="28"/>
        <v>0</v>
      </c>
      <c r="AQ114" s="28">
        <f t="shared" si="36"/>
        <v>0</v>
      </c>
      <c r="AR114" s="29">
        <f t="shared" si="37"/>
        <v>3.6819509219482736E-3</v>
      </c>
      <c r="AT114" s="12"/>
      <c r="AU114">
        <f t="shared" si="29"/>
        <v>0</v>
      </c>
      <c r="AV114">
        <f t="shared" si="30"/>
        <v>0</v>
      </c>
      <c r="AW114">
        <f t="shared" si="38"/>
        <v>0</v>
      </c>
      <c r="AX114">
        <f t="shared" si="31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8.9204157377086105E-3</v>
      </c>
      <c r="BE114" s="29">
        <f t="shared" si="42"/>
        <v>0</v>
      </c>
      <c r="BF114" s="29">
        <f t="shared" si="43"/>
        <v>1.2602366659656885E-2</v>
      </c>
      <c r="BH114" s="29"/>
    </row>
    <row r="115" spans="1:60" x14ac:dyDescent="0.3">
      <c r="A115" s="1">
        <v>46189</v>
      </c>
      <c r="B115" s="33">
        <v>45.06</v>
      </c>
      <c r="C115" s="33">
        <v>113.22</v>
      </c>
      <c r="D115" s="15">
        <v>7.1269789421147802E-3</v>
      </c>
      <c r="E115" s="15">
        <v>7.0909710345849796E-3</v>
      </c>
      <c r="F115" s="33">
        <v>0</v>
      </c>
      <c r="G115" s="33">
        <v>0.30993999999999999</v>
      </c>
      <c r="H115" s="33">
        <v>0</v>
      </c>
      <c r="I115" s="33">
        <v>1.253117</v>
      </c>
      <c r="J115" s="33">
        <v>0</v>
      </c>
      <c r="K115" s="33">
        <v>0.63148800000000005</v>
      </c>
      <c r="L115" s="33">
        <v>45.06</v>
      </c>
      <c r="M115" s="33">
        <v>113.851488</v>
      </c>
      <c r="N115" s="34">
        <v>2.5126498002663098</v>
      </c>
      <c r="O115" s="34">
        <v>2.5341745756035601</v>
      </c>
      <c r="P115" s="34">
        <v>2.5279019514391501</v>
      </c>
      <c r="Q115" s="34">
        <v>2.5269694382360699</v>
      </c>
      <c r="R115" s="33">
        <v>114.189906376696</v>
      </c>
      <c r="S115" s="33">
        <v>113.973432774673</v>
      </c>
      <c r="T115" s="33">
        <v>113.912116350731</v>
      </c>
      <c r="U115" s="15">
        <v>8.5300792141433292E-3</v>
      </c>
      <c r="V115" s="15">
        <v>6.6325467903798003E-3</v>
      </c>
      <c r="W115" s="15">
        <v>6.09441327856755E-3</v>
      </c>
      <c r="X115" s="34">
        <v>2.5266641810918702</v>
      </c>
      <c r="Y115" s="34">
        <v>2.5351085643703399</v>
      </c>
      <c r="Z115" s="34">
        <v>2.5307148513008801</v>
      </c>
      <c r="AA115" s="34">
        <v>2.5283758881669298</v>
      </c>
      <c r="AB115" s="33">
        <v>114.231991910527</v>
      </c>
      <c r="AC115" s="33">
        <v>114.03703324244201</v>
      </c>
      <c r="AD115" s="33">
        <v>113.94391658461601</v>
      </c>
      <c r="AE115" s="15">
        <v>3.3365350587640798E-3</v>
      </c>
      <c r="AF115" s="15">
        <v>1.6283863920022101E-3</v>
      </c>
      <c r="AG115" s="15">
        <v>8.1150530544923396E-4</v>
      </c>
      <c r="AI115" s="12"/>
      <c r="AJ115">
        <f t="shared" si="24"/>
        <v>0</v>
      </c>
      <c r="AK115">
        <f t="shared" si="25"/>
        <v>1</v>
      </c>
      <c r="AL115">
        <f t="shared" si="34"/>
        <v>0</v>
      </c>
      <c r="AM115">
        <f t="shared" si="26"/>
        <v>1</v>
      </c>
      <c r="AN115">
        <f t="shared" si="35"/>
        <v>0</v>
      </c>
      <c r="AO115" s="28">
        <f t="shared" si="27"/>
        <v>0</v>
      </c>
      <c r="AP115" s="28">
        <f t="shared" si="28"/>
        <v>0</v>
      </c>
      <c r="AQ115" s="28">
        <f t="shared" si="36"/>
        <v>0</v>
      </c>
      <c r="AR115" s="29">
        <f t="shared" si="37"/>
        <v>3.6819509219482736E-3</v>
      </c>
      <c r="AT115" s="12"/>
      <c r="AU115">
        <f t="shared" si="29"/>
        <v>0</v>
      </c>
      <c r="AV115">
        <f t="shared" si="30"/>
        <v>0</v>
      </c>
      <c r="AW115">
        <f t="shared" si="38"/>
        <v>0</v>
      </c>
      <c r="AX115">
        <f t="shared" si="31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8.9204157377086105E-3</v>
      </c>
      <c r="BE115" s="29">
        <f t="shared" si="42"/>
        <v>0</v>
      </c>
      <c r="BF115" s="29">
        <f t="shared" si="43"/>
        <v>1.2602366659656885E-2</v>
      </c>
      <c r="BH115" s="29"/>
    </row>
    <row r="116" spans="1:60" x14ac:dyDescent="0.3">
      <c r="A116" s="1">
        <v>46190</v>
      </c>
      <c r="B116" s="33">
        <v>44.46</v>
      </c>
      <c r="C116" s="33">
        <v>111.81</v>
      </c>
      <c r="D116" s="15">
        <v>-1.3405026468047801E-2</v>
      </c>
      <c r="E116" s="15">
        <v>-1.2531826449236999E-2</v>
      </c>
      <c r="F116" s="33">
        <v>0</v>
      </c>
      <c r="G116" s="33">
        <v>0.30993999999999999</v>
      </c>
      <c r="H116" s="33">
        <v>0</v>
      </c>
      <c r="I116" s="33">
        <v>1.253117</v>
      </c>
      <c r="J116" s="33">
        <v>0</v>
      </c>
      <c r="K116" s="33">
        <v>0.63148800000000005</v>
      </c>
      <c r="L116" s="33">
        <v>44.46</v>
      </c>
      <c r="M116" s="33">
        <v>112.44148800000001</v>
      </c>
      <c r="N116" s="34">
        <v>2.5148448043184799</v>
      </c>
      <c r="O116" s="34">
        <v>2.5341745756035601</v>
      </c>
      <c r="P116" s="34">
        <v>2.5262635766891202</v>
      </c>
      <c r="Q116" s="34">
        <v>2.5261216919837901</v>
      </c>
      <c r="R116" s="33">
        <v>112.669401631334</v>
      </c>
      <c r="S116" s="33">
        <v>112.390520760984</v>
      </c>
      <c r="T116" s="33">
        <v>112.349061223975</v>
      </c>
      <c r="U116" s="15">
        <v>7.6568791953325402E-3</v>
      </c>
      <c r="V116" s="15">
        <v>5.1785968772472303E-3</v>
      </c>
      <c r="W116" s="15">
        <v>4.8096406202911097E-3</v>
      </c>
      <c r="X116" s="34">
        <v>2.52904831309041</v>
      </c>
      <c r="Y116" s="34">
        <v>2.5351085643703399</v>
      </c>
      <c r="Z116" s="34">
        <v>2.5304968274280402</v>
      </c>
      <c r="AA116" s="34">
        <v>2.5282383173532499</v>
      </c>
      <c r="AB116" s="33">
        <v>112.71092677190499</v>
      </c>
      <c r="AC116" s="33">
        <v>112.515582288837</v>
      </c>
      <c r="AD116" s="33">
        <v>112.41159198790101</v>
      </c>
      <c r="AE116" s="15">
        <v>2.3933911683581E-3</v>
      </c>
      <c r="AF116" s="15">
        <v>6.58741611646037E-4</v>
      </c>
      <c r="AG116" s="15">
        <v>-2.6591596855943402E-4</v>
      </c>
      <c r="AI116" s="12"/>
      <c r="AJ116">
        <f t="shared" si="24"/>
        <v>0</v>
      </c>
      <c r="AK116">
        <f t="shared" si="25"/>
        <v>1</v>
      </c>
      <c r="AL116">
        <f t="shared" si="34"/>
        <v>0</v>
      </c>
      <c r="AM116">
        <f t="shared" si="26"/>
        <v>1</v>
      </c>
      <c r="AN116">
        <f t="shared" si="35"/>
        <v>0</v>
      </c>
      <c r="AO116" s="28">
        <f t="shared" si="27"/>
        <v>0</v>
      </c>
      <c r="AP116" s="28">
        <f t="shared" si="28"/>
        <v>0</v>
      </c>
      <c r="AQ116" s="28">
        <f t="shared" si="36"/>
        <v>0</v>
      </c>
      <c r="AR116" s="29">
        <f t="shared" si="37"/>
        <v>3.6819509219482736E-3</v>
      </c>
      <c r="AT116" s="12"/>
      <c r="AU116">
        <f t="shared" si="29"/>
        <v>0</v>
      </c>
      <c r="AV116">
        <f t="shared" si="30"/>
        <v>1</v>
      </c>
      <c r="AW116">
        <f t="shared" si="38"/>
        <v>0</v>
      </c>
      <c r="AX116">
        <f t="shared" si="31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8.9204157377086105E-3</v>
      </c>
      <c r="BE116" s="29">
        <f t="shared" si="42"/>
        <v>0</v>
      </c>
      <c r="BF116" s="29">
        <f t="shared" si="43"/>
        <v>1.2602366659656885E-2</v>
      </c>
      <c r="BH116" s="29"/>
    </row>
    <row r="117" spans="1:60" x14ac:dyDescent="0.3">
      <c r="A117" s="1">
        <v>46191</v>
      </c>
      <c r="B117" s="33">
        <v>44.76</v>
      </c>
      <c r="C117" s="33">
        <v>112.49</v>
      </c>
      <c r="D117" s="15">
        <v>6.7249749076739099E-3</v>
      </c>
      <c r="E117" s="15">
        <v>6.0633266454576404E-3</v>
      </c>
      <c r="F117" s="33">
        <v>0</v>
      </c>
      <c r="G117" s="33">
        <v>0.30993999999999999</v>
      </c>
      <c r="H117" s="33">
        <v>0</v>
      </c>
      <c r="I117" s="33">
        <v>1.253117</v>
      </c>
      <c r="J117" s="33">
        <v>0</v>
      </c>
      <c r="K117" s="33">
        <v>0.63148800000000005</v>
      </c>
      <c r="L117" s="33">
        <v>44.76</v>
      </c>
      <c r="M117" s="33">
        <v>113.121488</v>
      </c>
      <c r="N117" s="34">
        <v>2.51318141197497</v>
      </c>
      <c r="O117" s="34">
        <v>2.5341745756035601</v>
      </c>
      <c r="P117" s="34">
        <v>2.5242817634032302</v>
      </c>
      <c r="Q117" s="34">
        <v>2.5253485001696001</v>
      </c>
      <c r="R117" s="33">
        <v>113.42965400401501</v>
      </c>
      <c r="S117" s="33">
        <v>113.075557692605</v>
      </c>
      <c r="T117" s="33">
        <v>113.069206933194</v>
      </c>
      <c r="U117" s="15">
        <v>8.3185274575487099E-3</v>
      </c>
      <c r="V117" s="15">
        <v>5.1919186063090397E-3</v>
      </c>
      <c r="W117" s="15">
        <v>5.1357531724308802E-3</v>
      </c>
      <c r="X117" s="34">
        <v>2.52728972296693</v>
      </c>
      <c r="Y117" s="34">
        <v>2.5351085643703399</v>
      </c>
      <c r="Z117" s="34">
        <v>2.5299258452413498</v>
      </c>
      <c r="AA117" s="34">
        <v>2.5281705410886599</v>
      </c>
      <c r="AB117" s="33">
        <v>113.471459341216</v>
      </c>
      <c r="AC117" s="33">
        <v>113.26503799567899</v>
      </c>
      <c r="AD117" s="33">
        <v>113.16394708473101</v>
      </c>
      <c r="AE117" s="15">
        <v>3.0889895171440501E-3</v>
      </c>
      <c r="AF117" s="15">
        <v>1.26818514739E-3</v>
      </c>
      <c r="AG117" s="15">
        <v>3.7527015571329499E-4</v>
      </c>
      <c r="AI117" s="12"/>
      <c r="AJ117">
        <f t="shared" si="24"/>
        <v>0</v>
      </c>
      <c r="AK117">
        <f t="shared" si="25"/>
        <v>1</v>
      </c>
      <c r="AL117">
        <f t="shared" si="34"/>
        <v>0</v>
      </c>
      <c r="AM117">
        <f t="shared" si="26"/>
        <v>0</v>
      </c>
      <c r="AN117">
        <f t="shared" si="35"/>
        <v>0</v>
      </c>
      <c r="AO117" s="28">
        <f t="shared" si="27"/>
        <v>0</v>
      </c>
      <c r="AP117" s="28">
        <f t="shared" si="28"/>
        <v>0</v>
      </c>
      <c r="AQ117" s="28">
        <f t="shared" si="36"/>
        <v>0</v>
      </c>
      <c r="AR117" s="29">
        <f t="shared" si="37"/>
        <v>3.6819509219482736E-3</v>
      </c>
      <c r="AT117" s="12"/>
      <c r="AU117">
        <f t="shared" si="29"/>
        <v>0</v>
      </c>
      <c r="AV117">
        <f t="shared" si="30"/>
        <v>0</v>
      </c>
      <c r="AW117">
        <f t="shared" si="38"/>
        <v>0</v>
      </c>
      <c r="AX117">
        <f t="shared" si="31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8.9204157377086105E-3</v>
      </c>
      <c r="BE117" s="29">
        <f t="shared" si="42"/>
        <v>0</v>
      </c>
      <c r="BF117" s="29">
        <f t="shared" si="43"/>
        <v>1.2602366659656885E-2</v>
      </c>
      <c r="BH117" s="29"/>
    </row>
    <row r="118" spans="1:60" x14ac:dyDescent="0.3">
      <c r="A118" s="1">
        <v>46195</v>
      </c>
      <c r="B118" s="33">
        <v>44.72</v>
      </c>
      <c r="C118" s="33">
        <v>112.97</v>
      </c>
      <c r="D118" s="15">
        <v>-8.9405459688068998E-4</v>
      </c>
      <c r="E118" s="15">
        <v>4.2579679341030203E-3</v>
      </c>
      <c r="F118" s="33">
        <v>0.28442000000000001</v>
      </c>
      <c r="G118" s="33">
        <v>0.59436</v>
      </c>
      <c r="H118" s="33">
        <v>0</v>
      </c>
      <c r="I118" s="33">
        <v>1.253117</v>
      </c>
      <c r="J118" s="33">
        <v>0</v>
      </c>
      <c r="K118" s="33">
        <v>0</v>
      </c>
      <c r="L118" s="33">
        <v>44.72</v>
      </c>
      <c r="M118" s="33">
        <v>112.97</v>
      </c>
      <c r="N118" s="34">
        <v>2.5261627906976698</v>
      </c>
      <c r="O118" s="34">
        <v>2.5341745756035601</v>
      </c>
      <c r="P118" s="34">
        <v>2.5238428000829201</v>
      </c>
      <c r="Q118" s="34">
        <v>2.5254455285933699</v>
      </c>
      <c r="R118" s="33">
        <v>113.328287020991</v>
      </c>
      <c r="S118" s="33">
        <v>112.885880459392</v>
      </c>
      <c r="T118" s="33">
        <v>112.93358492758399</v>
      </c>
      <c r="U118" s="15">
        <v>3.1665049265650002E-3</v>
      </c>
      <c r="V118" s="15">
        <v>-7.4489576561609003E-4</v>
      </c>
      <c r="W118" s="15">
        <v>-3.2239481938641402E-4</v>
      </c>
      <c r="X118" s="34">
        <v>2.5261627906976698</v>
      </c>
      <c r="Y118" s="34">
        <v>2.5351085643703399</v>
      </c>
      <c r="Z118" s="34">
        <v>2.5294868819210299</v>
      </c>
      <c r="AA118" s="34">
        <v>2.5282675695124301</v>
      </c>
      <c r="AB118" s="33">
        <v>113.370054998641</v>
      </c>
      <c r="AC118" s="33">
        <v>113.138283799193</v>
      </c>
      <c r="AD118" s="33">
        <v>113.05978659748401</v>
      </c>
      <c r="AE118" s="15">
        <v>3.5349944157333801E-3</v>
      </c>
      <c r="AF118" s="15">
        <v>1.4885242365993501E-3</v>
      </c>
      <c r="AG118" s="15">
        <v>7.9446699091374198E-4</v>
      </c>
      <c r="AI118" s="12"/>
      <c r="AJ118">
        <f t="shared" si="24"/>
        <v>0</v>
      </c>
      <c r="AK118">
        <f t="shared" si="25"/>
        <v>1</v>
      </c>
      <c r="AL118">
        <f t="shared" si="34"/>
        <v>0</v>
      </c>
      <c r="AM118">
        <f t="shared" si="26"/>
        <v>1</v>
      </c>
      <c r="AN118">
        <f t="shared" si="35"/>
        <v>0</v>
      </c>
      <c r="AO118" s="28">
        <f t="shared" si="27"/>
        <v>0</v>
      </c>
      <c r="AP118" s="28">
        <f t="shared" si="28"/>
        <v>0</v>
      </c>
      <c r="AQ118" s="28">
        <f t="shared" si="36"/>
        <v>0</v>
      </c>
      <c r="AR118" s="29">
        <f t="shared" si="37"/>
        <v>3.6819509219482736E-3</v>
      </c>
      <c r="AT118" s="12"/>
      <c r="AU118">
        <f t="shared" si="29"/>
        <v>0</v>
      </c>
      <c r="AV118">
        <f t="shared" si="30"/>
        <v>0</v>
      </c>
      <c r="AW118">
        <f t="shared" si="38"/>
        <v>0</v>
      </c>
      <c r="AX118">
        <f t="shared" si="31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8.9204157377086105E-3</v>
      </c>
      <c r="BE118" s="29">
        <f t="shared" si="42"/>
        <v>0</v>
      </c>
      <c r="BF118" s="29">
        <f t="shared" si="43"/>
        <v>1.2602366659656885E-2</v>
      </c>
      <c r="BH118" s="29"/>
    </row>
    <row r="119" spans="1:60" x14ac:dyDescent="0.3">
      <c r="A119" s="1">
        <v>46196</v>
      </c>
      <c r="B119" s="33">
        <v>45.07</v>
      </c>
      <c r="C119" s="33">
        <v>113.94</v>
      </c>
      <c r="D119" s="15">
        <v>7.79600785571325E-3</v>
      </c>
      <c r="E119" s="15">
        <v>8.5496973134120396E-3</v>
      </c>
      <c r="F119" s="33">
        <v>0</v>
      </c>
      <c r="G119" s="33">
        <v>0.59436</v>
      </c>
      <c r="H119" s="33">
        <v>0</v>
      </c>
      <c r="I119" s="33">
        <v>1.253117</v>
      </c>
      <c r="J119" s="33">
        <v>0</v>
      </c>
      <c r="K119" s="33">
        <v>0</v>
      </c>
      <c r="L119" s="33">
        <v>45.07</v>
      </c>
      <c r="M119" s="33">
        <v>113.94</v>
      </c>
      <c r="N119" s="34">
        <v>2.52806745063234</v>
      </c>
      <c r="O119" s="34">
        <v>2.5341745756035601</v>
      </c>
      <c r="P119" s="34">
        <v>2.5235245451461599</v>
      </c>
      <c r="Q119" s="34">
        <v>2.52563059903017</v>
      </c>
      <c r="R119" s="33">
        <v>114.215248122452</v>
      </c>
      <c r="S119" s="33">
        <v>113.749594999737</v>
      </c>
      <c r="T119" s="33">
        <v>113.821829973703</v>
      </c>
      <c r="U119" s="15">
        <v>2.4128154688661E-3</v>
      </c>
      <c r="V119" s="15">
        <v>-1.67249666939646E-3</v>
      </c>
      <c r="W119" s="15">
        <v>-1.0376632196310799E-3</v>
      </c>
      <c r="X119" s="34">
        <v>2.52806745063234</v>
      </c>
      <c r="Y119" s="34">
        <v>2.5351085643703399</v>
      </c>
      <c r="Z119" s="34">
        <v>2.5291686269842701</v>
      </c>
      <c r="AA119" s="34">
        <v>2.5284526399492302</v>
      </c>
      <c r="AB119" s="33">
        <v>114.257342996171</v>
      </c>
      <c r="AC119" s="33">
        <v>114.003973768181</v>
      </c>
      <c r="AD119" s="33">
        <v>113.949019357925</v>
      </c>
      <c r="AE119" s="15">
        <v>2.7813049580343199E-3</v>
      </c>
      <c r="AF119" s="15">
        <v>5.6131135035833804E-4</v>
      </c>
      <c r="AG119" s="15">
        <v>7.9155704434461795E-5</v>
      </c>
      <c r="AI119" s="12"/>
      <c r="AJ119">
        <f t="shared" si="24"/>
        <v>0</v>
      </c>
      <c r="AK119">
        <f t="shared" si="25"/>
        <v>1</v>
      </c>
      <c r="AL119">
        <f t="shared" si="34"/>
        <v>0</v>
      </c>
      <c r="AM119">
        <f t="shared" si="26"/>
        <v>1</v>
      </c>
      <c r="AN119">
        <f t="shared" si="35"/>
        <v>0</v>
      </c>
      <c r="AO119" s="28">
        <f t="shared" si="27"/>
        <v>0</v>
      </c>
      <c r="AP119" s="28">
        <f t="shared" si="28"/>
        <v>0</v>
      </c>
      <c r="AQ119" s="28">
        <f t="shared" si="36"/>
        <v>0</v>
      </c>
      <c r="AR119" s="29">
        <f t="shared" si="37"/>
        <v>3.6819509219482736E-3</v>
      </c>
      <c r="AT119" s="12"/>
      <c r="AU119">
        <f t="shared" si="29"/>
        <v>0</v>
      </c>
      <c r="AV119">
        <f t="shared" si="30"/>
        <v>1</v>
      </c>
      <c r="AW119">
        <f t="shared" si="38"/>
        <v>0</v>
      </c>
      <c r="AX119">
        <f t="shared" si="31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8.9204157377086105E-3</v>
      </c>
      <c r="BE119" s="29">
        <f t="shared" si="42"/>
        <v>0</v>
      </c>
      <c r="BF119" s="29">
        <f t="shared" si="43"/>
        <v>1.2602366659656885E-2</v>
      </c>
      <c r="BH119" s="29"/>
    </row>
    <row r="120" spans="1:60" x14ac:dyDescent="0.3">
      <c r="A120" s="1">
        <v>46197</v>
      </c>
      <c r="B120" s="33">
        <v>45.54</v>
      </c>
      <c r="C120" s="33">
        <v>115.25</v>
      </c>
      <c r="D120" s="15">
        <v>1.0374223933036599E-2</v>
      </c>
      <c r="E120" s="15">
        <v>1.14316878245084E-2</v>
      </c>
      <c r="F120" s="33">
        <v>0</v>
      </c>
      <c r="G120" s="33">
        <v>0.59436</v>
      </c>
      <c r="H120" s="33">
        <v>0</v>
      </c>
      <c r="I120" s="33">
        <v>1.253117</v>
      </c>
      <c r="J120" s="33">
        <v>0</v>
      </c>
      <c r="K120" s="33">
        <v>0</v>
      </c>
      <c r="L120" s="33">
        <v>45.54</v>
      </c>
      <c r="M120" s="33">
        <v>115.25</v>
      </c>
      <c r="N120" s="34">
        <v>2.5307422046552399</v>
      </c>
      <c r="O120" s="34">
        <v>2.5341745756035601</v>
      </c>
      <c r="P120" s="34">
        <v>2.5230289611551102</v>
      </c>
      <c r="Q120" s="34">
        <v>2.5259709300879898</v>
      </c>
      <c r="R120" s="33">
        <v>115.406310172986</v>
      </c>
      <c r="S120" s="33">
        <v>114.921307785956</v>
      </c>
      <c r="T120" s="33">
        <v>115.017217479834</v>
      </c>
      <c r="U120" s="15">
        <v>1.3553515773944099E-3</v>
      </c>
      <c r="V120" s="15">
        <v>-2.8560678621280199E-3</v>
      </c>
      <c r="W120" s="15">
        <v>-2.0218475040622102E-3</v>
      </c>
      <c r="X120" s="34">
        <v>2.5307422046552399</v>
      </c>
      <c r="Y120" s="34">
        <v>2.5351085643703399</v>
      </c>
      <c r="Z120" s="34">
        <v>2.52867304299322</v>
      </c>
      <c r="AA120" s="34">
        <v>2.52879297100705</v>
      </c>
      <c r="AB120" s="33">
        <v>115.448844021425</v>
      </c>
      <c r="AC120" s="33">
        <v>115.178339272863</v>
      </c>
      <c r="AD120" s="33">
        <v>115.145733223288</v>
      </c>
      <c r="AE120" s="15">
        <v>1.7238410665626001E-3</v>
      </c>
      <c r="AF120" s="15">
        <v>-6.2197843956587103E-4</v>
      </c>
      <c r="AG120" s="15">
        <v>-9.0511037137191498E-4</v>
      </c>
      <c r="AI120" s="12"/>
      <c r="AJ120">
        <f t="shared" si="24"/>
        <v>0</v>
      </c>
      <c r="AK120">
        <f t="shared" si="25"/>
        <v>1</v>
      </c>
      <c r="AL120">
        <f t="shared" si="34"/>
        <v>0</v>
      </c>
      <c r="AM120">
        <f t="shared" si="26"/>
        <v>1</v>
      </c>
      <c r="AN120">
        <f t="shared" si="35"/>
        <v>0</v>
      </c>
      <c r="AO120" s="28">
        <f t="shared" si="27"/>
        <v>0</v>
      </c>
      <c r="AP120" s="28">
        <f t="shared" si="28"/>
        <v>0</v>
      </c>
      <c r="AQ120" s="28">
        <f t="shared" si="36"/>
        <v>0</v>
      </c>
      <c r="AR120" s="29">
        <f t="shared" si="37"/>
        <v>3.6819509219482736E-3</v>
      </c>
      <c r="AT120" s="12"/>
      <c r="AU120">
        <f t="shared" si="29"/>
        <v>0</v>
      </c>
      <c r="AV120">
        <f t="shared" si="30"/>
        <v>1</v>
      </c>
      <c r="AW120">
        <f t="shared" si="38"/>
        <v>0</v>
      </c>
      <c r="AX120">
        <f t="shared" si="31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8.9204157377086105E-3</v>
      </c>
      <c r="BE120" s="29">
        <f t="shared" si="42"/>
        <v>0</v>
      </c>
      <c r="BF120" s="29">
        <f t="shared" si="43"/>
        <v>1.2602366659656885E-2</v>
      </c>
      <c r="BH120" s="29"/>
    </row>
    <row r="121" spans="1:60" x14ac:dyDescent="0.3">
      <c r="A121" s="1">
        <v>46198</v>
      </c>
      <c r="B121" s="33">
        <v>45.85</v>
      </c>
      <c r="C121" s="33">
        <v>115.94</v>
      </c>
      <c r="D121" s="15">
        <v>6.7841380668803002E-3</v>
      </c>
      <c r="E121" s="15">
        <v>5.9691340348289003E-3</v>
      </c>
      <c r="F121" s="33">
        <v>0</v>
      </c>
      <c r="G121" s="33">
        <v>0.59436</v>
      </c>
      <c r="H121" s="33">
        <v>0</v>
      </c>
      <c r="I121" s="33">
        <v>1.253117</v>
      </c>
      <c r="J121" s="33">
        <v>0</v>
      </c>
      <c r="K121" s="33">
        <v>0</v>
      </c>
      <c r="L121" s="33">
        <v>45.85</v>
      </c>
      <c r="M121" s="33">
        <v>115.94</v>
      </c>
      <c r="N121" s="34">
        <v>2.52868047982551</v>
      </c>
      <c r="O121" s="34">
        <v>2.5341745756035601</v>
      </c>
      <c r="P121" s="34">
        <v>2.5223742818649302</v>
      </c>
      <c r="Q121" s="34">
        <v>2.52629728903718</v>
      </c>
      <c r="R121" s="33">
        <v>116.191904291423</v>
      </c>
      <c r="S121" s="33">
        <v>115.680877868962</v>
      </c>
      <c r="T121" s="33">
        <v>115.81576714453399</v>
      </c>
      <c r="U121" s="15">
        <v>2.1703556094458299E-3</v>
      </c>
      <c r="V121" s="15">
        <v>-2.2374687595082599E-3</v>
      </c>
      <c r="W121" s="15">
        <v>-1.0721016257362001E-3</v>
      </c>
      <c r="X121" s="34">
        <v>2.52868047982551</v>
      </c>
      <c r="Y121" s="34">
        <v>2.5351085643703399</v>
      </c>
      <c r="Z121" s="34">
        <v>2.5280183637030502</v>
      </c>
      <c r="AA121" s="34">
        <v>2.5291193299562398</v>
      </c>
      <c r="AB121" s="33">
        <v>116.23472767638</v>
      </c>
      <c r="AC121" s="33">
        <v>115.939659021239</v>
      </c>
      <c r="AD121" s="33">
        <v>115.945157720673</v>
      </c>
      <c r="AE121" s="15">
        <v>2.5388450986140402E-3</v>
      </c>
      <c r="AF121" s="15">
        <v>-2.9409976010860899E-6</v>
      </c>
      <c r="AG121" s="15">
        <v>4.4485129838006603E-5</v>
      </c>
      <c r="AI121" s="12"/>
      <c r="AJ121">
        <f t="shared" si="24"/>
        <v>0</v>
      </c>
      <c r="AK121">
        <f t="shared" si="25"/>
        <v>1</v>
      </c>
      <c r="AL121">
        <f t="shared" si="34"/>
        <v>0</v>
      </c>
      <c r="AM121">
        <f t="shared" si="26"/>
        <v>1</v>
      </c>
      <c r="AN121">
        <f t="shared" si="35"/>
        <v>0</v>
      </c>
      <c r="AO121" s="28">
        <f t="shared" si="27"/>
        <v>0</v>
      </c>
      <c r="AP121" s="28">
        <f t="shared" si="28"/>
        <v>0</v>
      </c>
      <c r="AQ121" s="28">
        <f t="shared" si="36"/>
        <v>0</v>
      </c>
      <c r="AR121" s="29">
        <f t="shared" si="37"/>
        <v>3.6819509219482736E-3</v>
      </c>
      <c r="AT121" s="12"/>
      <c r="AU121">
        <f t="shared" si="29"/>
        <v>0</v>
      </c>
      <c r="AV121">
        <f t="shared" si="30"/>
        <v>1</v>
      </c>
      <c r="AW121">
        <f t="shared" si="38"/>
        <v>0</v>
      </c>
      <c r="AX121">
        <f t="shared" si="31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8.9204157377086105E-3</v>
      </c>
      <c r="BE121" s="29">
        <f t="shared" si="42"/>
        <v>0</v>
      </c>
      <c r="BF121" s="29">
        <f t="shared" si="43"/>
        <v>1.2602366659656885E-2</v>
      </c>
      <c r="BH121" s="29"/>
    </row>
    <row r="122" spans="1:60" x14ac:dyDescent="0.3">
      <c r="A122" s="1">
        <v>46199</v>
      </c>
      <c r="B122" s="33">
        <v>46.2</v>
      </c>
      <c r="C122" s="33">
        <v>116.82</v>
      </c>
      <c r="D122" s="15">
        <v>7.6045993852194302E-3</v>
      </c>
      <c r="E122" s="15">
        <v>7.5614727005764801E-3</v>
      </c>
      <c r="F122" s="33">
        <v>0</v>
      </c>
      <c r="G122" s="33">
        <v>0.59436</v>
      </c>
      <c r="H122" s="33">
        <v>0</v>
      </c>
      <c r="I122" s="33">
        <v>1.253117</v>
      </c>
      <c r="J122" s="33">
        <v>0</v>
      </c>
      <c r="K122" s="33">
        <v>0</v>
      </c>
      <c r="L122" s="33">
        <v>46.2</v>
      </c>
      <c r="M122" s="33">
        <v>116.82</v>
      </c>
      <c r="N122" s="34">
        <v>2.52857142857142</v>
      </c>
      <c r="O122" s="34">
        <v>2.5341745756035601</v>
      </c>
      <c r="P122" s="34">
        <v>2.5223823895347901</v>
      </c>
      <c r="Q122" s="34">
        <v>2.52656632651997</v>
      </c>
      <c r="R122" s="33">
        <v>117.078865392884</v>
      </c>
      <c r="S122" s="33">
        <v>116.53369182215999</v>
      </c>
      <c r="T122" s="33">
        <v>116.714934753517</v>
      </c>
      <c r="U122" s="15">
        <v>2.2134822940887201E-3</v>
      </c>
      <c r="V122" s="15">
        <v>-2.4538572265059501E-3</v>
      </c>
      <c r="W122" s="15">
        <v>-8.9978189928153595E-4</v>
      </c>
      <c r="X122" s="34">
        <v>2.52857142857142</v>
      </c>
      <c r="Y122" s="34">
        <v>2.5351085643703399</v>
      </c>
      <c r="Z122" s="34">
        <v>2.5280264713728999</v>
      </c>
      <c r="AA122" s="34">
        <v>2.5293883674390298</v>
      </c>
      <c r="AB122" s="33">
        <v>117.122015673909</v>
      </c>
      <c r="AC122" s="33">
        <v>116.79444840308101</v>
      </c>
      <c r="AD122" s="33">
        <v>116.845313043978</v>
      </c>
      <c r="AE122" s="15">
        <v>2.5819717832569499E-3</v>
      </c>
      <c r="AF122" s="15">
        <v>-2.18750143199405E-4</v>
      </c>
      <c r="AG122" s="15">
        <v>2.1666069086254201E-4</v>
      </c>
      <c r="AI122" s="12"/>
      <c r="AJ122">
        <f t="shared" si="24"/>
        <v>0</v>
      </c>
      <c r="AK122">
        <f t="shared" si="25"/>
        <v>1</v>
      </c>
      <c r="AL122">
        <f t="shared" si="34"/>
        <v>0</v>
      </c>
      <c r="AM122">
        <f t="shared" si="26"/>
        <v>1</v>
      </c>
      <c r="AN122">
        <f t="shared" si="35"/>
        <v>0</v>
      </c>
      <c r="AO122" s="28">
        <f t="shared" si="27"/>
        <v>0</v>
      </c>
      <c r="AP122" s="28">
        <f t="shared" si="28"/>
        <v>0</v>
      </c>
      <c r="AQ122" s="28">
        <f t="shared" si="36"/>
        <v>0</v>
      </c>
      <c r="AR122" s="29">
        <f t="shared" si="37"/>
        <v>3.6819509219482736E-3</v>
      </c>
      <c r="AT122" s="12"/>
      <c r="AU122">
        <f t="shared" si="29"/>
        <v>0</v>
      </c>
      <c r="AV122">
        <f t="shared" si="30"/>
        <v>0</v>
      </c>
      <c r="AW122">
        <f t="shared" si="38"/>
        <v>0</v>
      </c>
      <c r="AX122">
        <f t="shared" si="31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8.9204157377086105E-3</v>
      </c>
      <c r="BE122" s="29">
        <f t="shared" si="42"/>
        <v>0</v>
      </c>
      <c r="BF122" s="29">
        <f t="shared" si="43"/>
        <v>1.2602366659656885E-2</v>
      </c>
      <c r="BH122" s="29"/>
    </row>
    <row r="123" spans="1:60" x14ac:dyDescent="0.3">
      <c r="A123" s="1">
        <v>46202</v>
      </c>
      <c r="B123" s="33">
        <v>46.02</v>
      </c>
      <c r="C123" s="33">
        <v>116.25</v>
      </c>
      <c r="D123" s="15">
        <v>-3.9037134804732901E-3</v>
      </c>
      <c r="E123" s="15">
        <v>-4.8912441446975503E-3</v>
      </c>
      <c r="F123" s="33">
        <v>0</v>
      </c>
      <c r="G123" s="33">
        <v>0.59436</v>
      </c>
      <c r="H123" s="33">
        <v>0</v>
      </c>
      <c r="I123" s="33">
        <v>1.253117</v>
      </c>
      <c r="J123" s="33">
        <v>0</v>
      </c>
      <c r="K123" s="33">
        <v>0</v>
      </c>
      <c r="L123" s="33">
        <v>46.02</v>
      </c>
      <c r="M123" s="33">
        <v>116.25</v>
      </c>
      <c r="N123" s="34">
        <v>2.5260756192959501</v>
      </c>
      <c r="O123" s="34">
        <v>2.5341745756035601</v>
      </c>
      <c r="P123" s="34">
        <v>2.52217162673948</v>
      </c>
      <c r="Q123" s="34">
        <v>2.5266769512488398</v>
      </c>
      <c r="R123" s="33">
        <v>116.622713969275</v>
      </c>
      <c r="S123" s="33">
        <v>116.080037566391</v>
      </c>
      <c r="T123" s="33">
        <v>116.272582346449</v>
      </c>
      <c r="U123" s="15">
        <v>3.20101295831289E-3</v>
      </c>
      <c r="V123" s="15">
        <v>-1.4631122665747E-3</v>
      </c>
      <c r="W123" s="15">
        <v>1.9423787825269799E-4</v>
      </c>
      <c r="X123" s="34">
        <v>2.5260756192959501</v>
      </c>
      <c r="Y123" s="34">
        <v>2.5351085643703399</v>
      </c>
      <c r="Z123" s="34">
        <v>2.5278157085775899</v>
      </c>
      <c r="AA123" s="34">
        <v>2.5294989921679001</v>
      </c>
      <c r="AB123" s="33">
        <v>116.66569613232301</v>
      </c>
      <c r="AC123" s="33">
        <v>116.339778212581</v>
      </c>
      <c r="AD123" s="33">
        <v>116.402452669544</v>
      </c>
      <c r="AE123" s="15">
        <v>3.5695024474812699E-3</v>
      </c>
      <c r="AF123" s="15">
        <v>7.71987640470818E-4</v>
      </c>
      <c r="AG123" s="15">
        <v>1.31056165207652E-3</v>
      </c>
      <c r="AI123" s="12"/>
      <c r="AJ123">
        <f t="shared" si="24"/>
        <v>0</v>
      </c>
      <c r="AK123">
        <f t="shared" si="25"/>
        <v>1</v>
      </c>
      <c r="AL123">
        <f t="shared" si="34"/>
        <v>0</v>
      </c>
      <c r="AM123">
        <f t="shared" si="26"/>
        <v>1</v>
      </c>
      <c r="AN123">
        <f t="shared" si="35"/>
        <v>0</v>
      </c>
      <c r="AO123" s="28">
        <f t="shared" si="27"/>
        <v>0</v>
      </c>
      <c r="AP123" s="28">
        <f t="shared" si="28"/>
        <v>0</v>
      </c>
      <c r="AQ123" s="28">
        <f t="shared" si="36"/>
        <v>0</v>
      </c>
      <c r="AR123" s="29">
        <f t="shared" si="37"/>
        <v>3.6819509219482736E-3</v>
      </c>
      <c r="AT123" s="12"/>
      <c r="AU123">
        <f t="shared" si="29"/>
        <v>1</v>
      </c>
      <c r="AV123">
        <f t="shared" si="30"/>
        <v>0</v>
      </c>
      <c r="AW123">
        <f t="shared" si="38"/>
        <v>0</v>
      </c>
      <c r="AX123">
        <f t="shared" si="31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8.9204157377086105E-3</v>
      </c>
      <c r="BE123" s="29">
        <f t="shared" si="42"/>
        <v>0</v>
      </c>
      <c r="BF123" s="29">
        <f t="shared" si="43"/>
        <v>1.2602366659656885E-2</v>
      </c>
      <c r="BH123" s="29"/>
    </row>
    <row r="124" spans="1:60" x14ac:dyDescent="0.3">
      <c r="A124" s="1">
        <v>46203</v>
      </c>
      <c r="B124" s="33">
        <v>45.34</v>
      </c>
      <c r="C124" s="33">
        <v>114.61</v>
      </c>
      <c r="D124" s="15">
        <v>-1.48864395278368E-2</v>
      </c>
      <c r="E124" s="15">
        <v>-1.42079839588579E-2</v>
      </c>
      <c r="F124" s="33">
        <v>0</v>
      </c>
      <c r="G124" s="33">
        <v>0.59436</v>
      </c>
      <c r="H124" s="33">
        <v>0</v>
      </c>
      <c r="I124" s="33">
        <v>1.253117</v>
      </c>
      <c r="J124" s="33">
        <v>0</v>
      </c>
      <c r="K124" s="33">
        <v>0</v>
      </c>
      <c r="L124" s="33">
        <v>45.34</v>
      </c>
      <c r="M124" s="33">
        <v>114.61</v>
      </c>
      <c r="N124" s="34">
        <v>2.5277900308778101</v>
      </c>
      <c r="O124" s="34">
        <v>2.5341745756035601</v>
      </c>
      <c r="P124" s="34">
        <v>2.52367660211157</v>
      </c>
      <c r="Q124" s="34">
        <v>2.5265235293588599</v>
      </c>
      <c r="R124" s="33">
        <v>114.89947525786501</v>
      </c>
      <c r="S124" s="33">
        <v>114.35526155636801</v>
      </c>
      <c r="T124" s="33">
        <v>114.559532969622</v>
      </c>
      <c r="U124" s="15">
        <v>2.52255738933378E-3</v>
      </c>
      <c r="V124" s="15">
        <v>-2.22512836231239E-3</v>
      </c>
      <c r="W124" s="15">
        <v>-4.4043403622759099E-4</v>
      </c>
      <c r="X124" s="34">
        <v>2.5277900308778101</v>
      </c>
      <c r="Y124" s="34">
        <v>2.5351085643703399</v>
      </c>
      <c r="Z124" s="34">
        <v>2.5279092221705199</v>
      </c>
      <c r="AA124" s="34">
        <v>2.52934557027791</v>
      </c>
      <c r="AB124" s="33">
        <v>114.941822308551</v>
      </c>
      <c r="AC124" s="33">
        <v>114.611164226908</v>
      </c>
      <c r="AD124" s="33">
        <v>114.687484304892</v>
      </c>
      <c r="AE124" s="15">
        <v>2.8910468785022401E-3</v>
      </c>
      <c r="AF124" s="15">
        <v>1.01581100707226E-5</v>
      </c>
      <c r="AG124" s="15">
        <v>6.7584088920090196E-4</v>
      </c>
      <c r="AI124" s="12"/>
      <c r="AJ124">
        <f t="shared" si="24"/>
        <v>0</v>
      </c>
      <c r="AK124">
        <f t="shared" si="25"/>
        <v>1</v>
      </c>
      <c r="AL124">
        <f t="shared" si="34"/>
        <v>0</v>
      </c>
      <c r="AM124">
        <f t="shared" si="26"/>
        <v>1</v>
      </c>
      <c r="AN124">
        <f t="shared" si="35"/>
        <v>0</v>
      </c>
      <c r="AO124" s="28">
        <f t="shared" si="27"/>
        <v>0</v>
      </c>
      <c r="AP124" s="28">
        <f t="shared" si="28"/>
        <v>0</v>
      </c>
      <c r="AQ124" s="28">
        <f t="shared" si="36"/>
        <v>0</v>
      </c>
      <c r="AR124" s="29">
        <f t="shared" si="37"/>
        <v>3.6819509219482736E-3</v>
      </c>
      <c r="AT124" s="12"/>
      <c r="AU124">
        <f t="shared" si="29"/>
        <v>0</v>
      </c>
      <c r="AV124">
        <f t="shared" si="30"/>
        <v>0</v>
      </c>
      <c r="AW124">
        <f t="shared" si="38"/>
        <v>1</v>
      </c>
      <c r="AX124">
        <f t="shared" si="31"/>
        <v>1</v>
      </c>
      <c r="AY124">
        <f t="shared" si="39"/>
        <v>1</v>
      </c>
      <c r="AZ124" s="28">
        <f t="shared" si="32"/>
        <v>1.48864395278368E-2</v>
      </c>
      <c r="BA124" s="28">
        <f t="shared" si="33"/>
        <v>-1.42079839588579E-2</v>
      </c>
      <c r="BB124" s="28">
        <f t="shared" si="40"/>
        <v>6.7845556897890014E-4</v>
      </c>
      <c r="BC124" s="29">
        <f t="shared" si="41"/>
        <v>9.5988713066875106E-3</v>
      </c>
      <c r="BE124" s="29">
        <f t="shared" si="42"/>
        <v>6.7845556897890014E-4</v>
      </c>
      <c r="BF124" s="29">
        <f t="shared" si="43"/>
        <v>1.3280822228635785E-2</v>
      </c>
      <c r="BH124" s="29"/>
    </row>
    <row r="125" spans="1:60" x14ac:dyDescent="0.3">
      <c r="A125" s="1">
        <v>46204</v>
      </c>
      <c r="B125" s="33">
        <v>44.77</v>
      </c>
      <c r="C125" s="33">
        <v>113.31</v>
      </c>
      <c r="D125" s="15">
        <v>-1.26513728265088E-2</v>
      </c>
      <c r="E125" s="15">
        <v>-1.14076351161325E-2</v>
      </c>
      <c r="F125" s="33">
        <v>0</v>
      </c>
      <c r="G125" s="33">
        <v>0.59436</v>
      </c>
      <c r="H125" s="33">
        <v>0</v>
      </c>
      <c r="I125" s="33">
        <v>1.253117</v>
      </c>
      <c r="J125" s="33">
        <v>0</v>
      </c>
      <c r="K125" s="33">
        <v>0</v>
      </c>
      <c r="L125" s="33">
        <v>44.77</v>
      </c>
      <c r="M125" s="33">
        <v>113.31</v>
      </c>
      <c r="N125" s="34">
        <v>2.53093589457225</v>
      </c>
      <c r="O125" s="34">
        <v>2.5341745756035601</v>
      </c>
      <c r="P125" s="34">
        <v>2.5255052115421699</v>
      </c>
      <c r="Q125" s="34">
        <v>2.52670358149066</v>
      </c>
      <c r="R125" s="33">
        <v>113.454995749771</v>
      </c>
      <c r="S125" s="33">
        <v>112.985001476535</v>
      </c>
      <c r="T125" s="33">
        <v>113.112458409396</v>
      </c>
      <c r="U125" s="15">
        <v>1.2788196789577399E-3</v>
      </c>
      <c r="V125" s="15">
        <v>-2.8723457857277698E-3</v>
      </c>
      <c r="W125" s="15">
        <v>-1.74489440766574E-3</v>
      </c>
      <c r="X125" s="34">
        <v>2.53093589457225</v>
      </c>
      <c r="Y125" s="34">
        <v>2.5351085643703399</v>
      </c>
      <c r="Z125" s="34">
        <v>2.5283363935185599</v>
      </c>
      <c r="AA125" s="34">
        <v>2.5295256224097198</v>
      </c>
      <c r="AB125" s="33">
        <v>113.49681042685999</v>
      </c>
      <c r="AC125" s="33">
        <v>113.174495876574</v>
      </c>
      <c r="AD125" s="33">
        <v>113.238801181342</v>
      </c>
      <c r="AE125" s="15">
        <v>1.6473091681261101E-3</v>
      </c>
      <c r="AF125" s="15">
        <v>-1.19658645126572E-3</v>
      </c>
      <c r="AG125" s="15">
        <v>-6.2855173481711501E-4</v>
      </c>
      <c r="AI125" s="12"/>
      <c r="AJ125">
        <f t="shared" si="24"/>
        <v>0</v>
      </c>
      <c r="AK125">
        <f t="shared" si="25"/>
        <v>1</v>
      </c>
      <c r="AL125">
        <f t="shared" si="34"/>
        <v>0</v>
      </c>
      <c r="AM125">
        <f t="shared" si="26"/>
        <v>1</v>
      </c>
      <c r="AN125">
        <f t="shared" si="35"/>
        <v>0</v>
      </c>
      <c r="AO125" s="28">
        <f t="shared" si="27"/>
        <v>0</v>
      </c>
      <c r="AP125" s="28">
        <f t="shared" si="28"/>
        <v>0</v>
      </c>
      <c r="AQ125" s="28">
        <f t="shared" si="36"/>
        <v>0</v>
      </c>
      <c r="AR125" s="29">
        <f t="shared" si="37"/>
        <v>3.6819509219482736E-3</v>
      </c>
      <c r="AT125" s="12"/>
      <c r="AU125">
        <f t="shared" si="29"/>
        <v>0</v>
      </c>
      <c r="AV125">
        <f t="shared" si="30"/>
        <v>1</v>
      </c>
      <c r="AW125">
        <f t="shared" si="38"/>
        <v>1</v>
      </c>
      <c r="AX125">
        <f t="shared" si="31"/>
        <v>1</v>
      </c>
      <c r="AY125">
        <f t="shared" si="39"/>
        <v>1</v>
      </c>
      <c r="AZ125" s="28">
        <f t="shared" si="32"/>
        <v>1.26513728265088E-2</v>
      </c>
      <c r="BA125" s="28">
        <f t="shared" si="33"/>
        <v>-1.14076351161325E-2</v>
      </c>
      <c r="BB125" s="28">
        <f t="shared" si="40"/>
        <v>1.2437377103762994E-3</v>
      </c>
      <c r="BC125" s="29">
        <f t="shared" si="41"/>
        <v>1.084260901706381E-2</v>
      </c>
      <c r="BE125" s="29">
        <f t="shared" si="42"/>
        <v>1.2437377103762994E-3</v>
      </c>
      <c r="BF125" s="29">
        <f t="shared" si="43"/>
        <v>1.4524559939012084E-2</v>
      </c>
      <c r="BH125" s="29"/>
    </row>
    <row r="126" spans="1:60" x14ac:dyDescent="0.3">
      <c r="A126" s="1">
        <v>46205</v>
      </c>
      <c r="B126" s="33">
        <v>45.76</v>
      </c>
      <c r="C126" s="33">
        <v>115.75</v>
      </c>
      <c r="D126" s="15">
        <v>2.1872074818668E-2</v>
      </c>
      <c r="E126" s="15">
        <v>2.1305267573868199E-2</v>
      </c>
      <c r="F126" s="33">
        <v>0</v>
      </c>
      <c r="G126" s="33">
        <v>0.59436</v>
      </c>
      <c r="H126" s="33">
        <v>0</v>
      </c>
      <c r="I126" s="33">
        <v>1.253117</v>
      </c>
      <c r="J126" s="33">
        <v>0</v>
      </c>
      <c r="K126" s="33">
        <v>0</v>
      </c>
      <c r="L126" s="33">
        <v>45.76</v>
      </c>
      <c r="M126" s="33">
        <v>115.75</v>
      </c>
      <c r="N126" s="34">
        <v>2.5295017482517399</v>
      </c>
      <c r="O126" s="34">
        <v>2.5341745756035601</v>
      </c>
      <c r="P126" s="34">
        <v>2.5269709059354901</v>
      </c>
      <c r="Q126" s="34">
        <v>2.52661724131231</v>
      </c>
      <c r="R126" s="33">
        <v>115.963828579619</v>
      </c>
      <c r="S126" s="33">
        <v>115.567118480169</v>
      </c>
      <c r="T126" s="33">
        <v>115.621955889012</v>
      </c>
      <c r="U126" s="15">
        <v>1.8456269237577499E-3</v>
      </c>
      <c r="V126" s="15">
        <v>-1.58121940248988E-3</v>
      </c>
      <c r="W126" s="15">
        <v>-1.10682492670329E-3</v>
      </c>
      <c r="X126" s="34">
        <v>2.5295017482517399</v>
      </c>
      <c r="Y126" s="34">
        <v>2.5351085643703399</v>
      </c>
      <c r="Z126" s="34">
        <v>2.5283817370346902</v>
      </c>
      <c r="AA126" s="34">
        <v>2.5294392822313601</v>
      </c>
      <c r="AB126" s="33">
        <v>116.006567905586</v>
      </c>
      <c r="AC126" s="33">
        <v>115.69667336740901</v>
      </c>
      <c r="AD126" s="33">
        <v>115.75109248146801</v>
      </c>
      <c r="AE126" s="15">
        <v>2.2141164129259802E-3</v>
      </c>
      <c r="AF126" s="15">
        <v>-4.6081140643322501E-4</v>
      </c>
      <c r="AG126" s="15">
        <v>9.4382402878038095E-6</v>
      </c>
      <c r="AI126" s="12"/>
      <c r="AJ126">
        <f t="shared" si="24"/>
        <v>0</v>
      </c>
      <c r="AK126">
        <f t="shared" si="25"/>
        <v>1</v>
      </c>
      <c r="AL126">
        <f t="shared" si="34"/>
        <v>0</v>
      </c>
      <c r="AM126">
        <f t="shared" si="26"/>
        <v>1</v>
      </c>
      <c r="AN126">
        <f t="shared" si="35"/>
        <v>0</v>
      </c>
      <c r="AO126" s="28">
        <f t="shared" si="27"/>
        <v>0</v>
      </c>
      <c r="AP126" s="28">
        <f t="shared" si="28"/>
        <v>0</v>
      </c>
      <c r="AQ126" s="28">
        <f t="shared" si="36"/>
        <v>0</v>
      </c>
      <c r="AR126" s="29">
        <f t="shared" si="37"/>
        <v>3.6819509219482736E-3</v>
      </c>
      <c r="AT126" s="12"/>
      <c r="AU126">
        <f t="shared" si="29"/>
        <v>0</v>
      </c>
      <c r="AV126">
        <f t="shared" si="30"/>
        <v>1</v>
      </c>
      <c r="AW126">
        <f t="shared" si="38"/>
        <v>0</v>
      </c>
      <c r="AX126">
        <f t="shared" si="31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1.084260901706381E-2</v>
      </c>
      <c r="BE126" s="29">
        <f t="shared" si="42"/>
        <v>0</v>
      </c>
      <c r="BF126" s="29">
        <f t="shared" si="43"/>
        <v>1.4524559939012084E-2</v>
      </c>
      <c r="BH126" s="29"/>
    </row>
    <row r="127" spans="1:60" x14ac:dyDescent="0.3">
      <c r="A127" s="1">
        <v>46209</v>
      </c>
      <c r="B127" s="33">
        <v>45.3</v>
      </c>
      <c r="C127" s="33">
        <v>114.75</v>
      </c>
      <c r="D127" s="15">
        <v>-1.0103314582554101E-2</v>
      </c>
      <c r="E127" s="15">
        <v>-8.6768440256889696E-3</v>
      </c>
      <c r="F127" s="33">
        <v>0</v>
      </c>
      <c r="G127" s="33">
        <v>0.59436</v>
      </c>
      <c r="H127" s="33">
        <v>0</v>
      </c>
      <c r="I127" s="33">
        <v>1.253117</v>
      </c>
      <c r="J127" s="33">
        <v>0</v>
      </c>
      <c r="K127" s="33">
        <v>0</v>
      </c>
      <c r="L127" s="33">
        <v>45.3</v>
      </c>
      <c r="M127" s="33">
        <v>114.75</v>
      </c>
      <c r="N127" s="34">
        <v>2.5331125827814498</v>
      </c>
      <c r="O127" s="34">
        <v>2.5341745756035601</v>
      </c>
      <c r="P127" s="34">
        <v>2.5289640230161399</v>
      </c>
      <c r="Q127" s="34">
        <v>2.5266228932096899</v>
      </c>
      <c r="R127" s="33">
        <v>114.798108274841</v>
      </c>
      <c r="S127" s="33">
        <v>114.471782038878</v>
      </c>
      <c r="T127" s="33">
        <v>114.455761031447</v>
      </c>
      <c r="U127" s="15">
        <v>4.1915636689258701E-4</v>
      </c>
      <c r="V127" s="15">
        <v>-2.4275013942390801E-3</v>
      </c>
      <c r="W127" s="15">
        <v>-2.5674671427166301E-3</v>
      </c>
      <c r="X127" s="34">
        <v>2.5331125827814498</v>
      </c>
      <c r="Y127" s="34">
        <v>2.5351085643703399</v>
      </c>
      <c r="Z127" s="34">
        <v>2.5289640230161399</v>
      </c>
      <c r="AA127" s="34">
        <v>2.5294449341287399</v>
      </c>
      <c r="AB127" s="33">
        <v>114.840417965976</v>
      </c>
      <c r="AC127" s="33">
        <v>114.535692687671</v>
      </c>
      <c r="AD127" s="33">
        <v>114.58359948508</v>
      </c>
      <c r="AE127" s="15">
        <v>7.8764585606078802E-4</v>
      </c>
      <c r="AF127" s="15">
        <v>-1.86934799309709E-3</v>
      </c>
      <c r="AG127" s="15">
        <v>-1.45116585179231E-3</v>
      </c>
      <c r="AI127" s="12"/>
      <c r="AJ127">
        <f t="shared" si="24"/>
        <v>0</v>
      </c>
      <c r="AK127">
        <f t="shared" si="25"/>
        <v>0</v>
      </c>
      <c r="AL127">
        <f t="shared" si="34"/>
        <v>0</v>
      </c>
      <c r="AM127">
        <f t="shared" si="26"/>
        <v>1</v>
      </c>
      <c r="AN127">
        <f t="shared" si="35"/>
        <v>0</v>
      </c>
      <c r="AO127" s="28">
        <f t="shared" si="27"/>
        <v>0</v>
      </c>
      <c r="AP127" s="28">
        <f t="shared" si="28"/>
        <v>0</v>
      </c>
      <c r="AQ127" s="28">
        <f t="shared" si="36"/>
        <v>0</v>
      </c>
      <c r="AR127" s="29">
        <f t="shared" si="37"/>
        <v>3.6819509219482736E-3</v>
      </c>
      <c r="AT127" s="12"/>
      <c r="AU127">
        <f t="shared" si="29"/>
        <v>0</v>
      </c>
      <c r="AV127">
        <f t="shared" si="30"/>
        <v>1</v>
      </c>
      <c r="AW127">
        <f t="shared" si="38"/>
        <v>0</v>
      </c>
      <c r="AX127">
        <f t="shared" si="31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1.084260901706381E-2</v>
      </c>
      <c r="BE127" s="29">
        <f t="shared" si="42"/>
        <v>0</v>
      </c>
      <c r="BF127" s="29">
        <f t="shared" si="43"/>
        <v>1.4524559939012084E-2</v>
      </c>
      <c r="BH127" s="29"/>
    </row>
    <row r="128" spans="1:60" x14ac:dyDescent="0.3">
      <c r="A128" s="1">
        <v>46210</v>
      </c>
      <c r="B128" s="33">
        <v>45.7</v>
      </c>
      <c r="C128" s="33">
        <v>115.97</v>
      </c>
      <c r="D128" s="15">
        <v>8.7912654111707202E-3</v>
      </c>
      <c r="E128" s="15">
        <v>1.0575688027957201E-2</v>
      </c>
      <c r="F128" s="33">
        <v>0</v>
      </c>
      <c r="G128" s="33">
        <v>0.59436</v>
      </c>
      <c r="H128" s="33">
        <v>0</v>
      </c>
      <c r="I128" s="33">
        <v>1.253117</v>
      </c>
      <c r="J128" s="33">
        <v>0</v>
      </c>
      <c r="K128" s="33">
        <v>0</v>
      </c>
      <c r="L128" s="33">
        <v>45.7</v>
      </c>
      <c r="M128" s="33">
        <v>115.97</v>
      </c>
      <c r="N128" s="34">
        <v>2.5376367614879598</v>
      </c>
      <c r="O128" s="34">
        <v>2.5341745756035601</v>
      </c>
      <c r="P128" s="34">
        <v>2.53011142009517</v>
      </c>
      <c r="Q128" s="34">
        <v>2.5269771100890499</v>
      </c>
      <c r="R128" s="33">
        <v>115.811778105082</v>
      </c>
      <c r="S128" s="33">
        <v>115.573655851837</v>
      </c>
      <c r="T128" s="33">
        <v>115.466666219682</v>
      </c>
      <c r="U128" s="15">
        <v>-1.3652662498940199E-3</v>
      </c>
      <c r="V128" s="15">
        <v>-3.4234972563690698E-3</v>
      </c>
      <c r="W128" s="15">
        <v>-4.3496528195480699E-3</v>
      </c>
      <c r="X128" s="34">
        <v>2.5376367614879598</v>
      </c>
      <c r="Y128" s="34">
        <v>2.5351085643703399</v>
      </c>
      <c r="Z128" s="34">
        <v>2.53011142009517</v>
      </c>
      <c r="AA128" s="34">
        <v>2.5297991510080999</v>
      </c>
      <c r="AB128" s="33">
        <v>115.854461391724</v>
      </c>
      <c r="AC128" s="33">
        <v>115.573655851837</v>
      </c>
      <c r="AD128" s="33">
        <v>115.595633489683</v>
      </c>
      <c r="AE128" s="15">
        <v>-9.9677676072574498E-4</v>
      </c>
      <c r="AF128" s="15">
        <v>-3.4234972563690698E-3</v>
      </c>
      <c r="AG128" s="15">
        <v>-3.2333540243265702E-3</v>
      </c>
      <c r="AI128" s="12"/>
      <c r="AJ128">
        <f t="shared" si="24"/>
        <v>1</v>
      </c>
      <c r="AK128">
        <f t="shared" si="25"/>
        <v>0</v>
      </c>
      <c r="AL128">
        <f t="shared" si="34"/>
        <v>0</v>
      </c>
      <c r="AM128">
        <f t="shared" si="26"/>
        <v>1</v>
      </c>
      <c r="AN128">
        <f t="shared" si="35"/>
        <v>0</v>
      </c>
      <c r="AO128" s="28">
        <f t="shared" si="27"/>
        <v>0</v>
      </c>
      <c r="AP128" s="28">
        <f t="shared" si="28"/>
        <v>0</v>
      </c>
      <c r="AQ128" s="28">
        <f t="shared" si="36"/>
        <v>0</v>
      </c>
      <c r="AR128" s="29">
        <f t="shared" si="37"/>
        <v>3.6819509219482736E-3</v>
      </c>
      <c r="AT128" s="12"/>
      <c r="AU128">
        <f t="shared" si="29"/>
        <v>0</v>
      </c>
      <c r="AV128">
        <f t="shared" si="30"/>
        <v>1</v>
      </c>
      <c r="AW128">
        <f t="shared" si="38"/>
        <v>0</v>
      </c>
      <c r="AX128">
        <f t="shared" si="31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1.084260901706381E-2</v>
      </c>
      <c r="BE128" s="29">
        <f t="shared" si="42"/>
        <v>0</v>
      </c>
      <c r="BF128" s="29">
        <f t="shared" si="43"/>
        <v>1.4524559939012084E-2</v>
      </c>
      <c r="BH128" s="29"/>
    </row>
    <row r="129" spans="1:60" x14ac:dyDescent="0.3">
      <c r="A129" s="1">
        <v>46211</v>
      </c>
      <c r="B129" s="33">
        <v>45.36</v>
      </c>
      <c r="C129" s="33">
        <v>115.08</v>
      </c>
      <c r="D129" s="15">
        <v>-7.4676384806624703E-3</v>
      </c>
      <c r="E129" s="15">
        <v>-7.7039982852646601E-3</v>
      </c>
      <c r="F129" s="33">
        <v>0</v>
      </c>
      <c r="G129" s="33">
        <v>0.59436</v>
      </c>
      <c r="H129" s="33">
        <v>0</v>
      </c>
      <c r="I129" s="33">
        <v>1.253117</v>
      </c>
      <c r="J129" s="33">
        <v>0</v>
      </c>
      <c r="K129" s="33">
        <v>0</v>
      </c>
      <c r="L129" s="33">
        <v>45.36</v>
      </c>
      <c r="M129" s="33">
        <v>115.08</v>
      </c>
      <c r="N129" s="34">
        <v>2.5370370370370301</v>
      </c>
      <c r="O129" s="34">
        <v>2.5341745756035601</v>
      </c>
      <c r="P129" s="34">
        <v>2.5310083787356401</v>
      </c>
      <c r="Q129" s="34">
        <v>2.5272664619409002</v>
      </c>
      <c r="R129" s="33">
        <v>114.950158749377</v>
      </c>
      <c r="S129" s="33">
        <v>114.76585401551699</v>
      </c>
      <c r="T129" s="33">
        <v>114.623681713639</v>
      </c>
      <c r="U129" s="15">
        <v>-1.12890644529189E-3</v>
      </c>
      <c r="V129" s="15">
        <v>-2.7335379308248901E-3</v>
      </c>
      <c r="W129" s="15">
        <v>-3.9731090353240404E-3</v>
      </c>
      <c r="X129" s="34">
        <v>2.5370370370370301</v>
      </c>
      <c r="Y129" s="34">
        <v>2.5351085643703399</v>
      </c>
      <c r="Z129" s="34">
        <v>2.5310083787356401</v>
      </c>
      <c r="AA129" s="34">
        <v>2.5300885028599498</v>
      </c>
      <c r="AB129" s="33">
        <v>114.992524479838</v>
      </c>
      <c r="AC129" s="33">
        <v>114.76585401551699</v>
      </c>
      <c r="AD129" s="33">
        <v>114.751689489727</v>
      </c>
      <c r="AE129" s="15">
        <v>-7.6041695612355401E-4</v>
      </c>
      <c r="AF129" s="15">
        <v>-2.73353793082478E-3</v>
      </c>
      <c r="AG129" s="15">
        <v>-2.85696662904995E-3</v>
      </c>
      <c r="AI129" s="12"/>
      <c r="AJ129">
        <f t="shared" si="24"/>
        <v>1</v>
      </c>
      <c r="AK129">
        <f t="shared" si="25"/>
        <v>0</v>
      </c>
      <c r="AL129">
        <f t="shared" si="34"/>
        <v>1</v>
      </c>
      <c r="AM129">
        <f t="shared" si="26"/>
        <v>1</v>
      </c>
      <c r="AN129">
        <f t="shared" si="35"/>
        <v>1</v>
      </c>
      <c r="AO129" s="28">
        <f t="shared" si="27"/>
        <v>-7.4676384806624703E-3</v>
      </c>
      <c r="AP129" s="28">
        <f t="shared" si="28"/>
        <v>7.7039982852646601E-3</v>
      </c>
      <c r="AQ129" s="28">
        <f t="shared" si="36"/>
        <v>2.3635980460218978E-4</v>
      </c>
      <c r="AR129" s="29">
        <f t="shared" si="37"/>
        <v>3.9183107265504634E-3</v>
      </c>
      <c r="AT129" s="12"/>
      <c r="AU129">
        <f t="shared" si="29"/>
        <v>0</v>
      </c>
      <c r="AV129">
        <f t="shared" si="30"/>
        <v>1</v>
      </c>
      <c r="AW129">
        <f t="shared" si="38"/>
        <v>0</v>
      </c>
      <c r="AX129">
        <f t="shared" si="31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1.084260901706381E-2</v>
      </c>
      <c r="BE129" s="29">
        <f t="shared" si="42"/>
        <v>2.3635980460218978E-4</v>
      </c>
      <c r="BF129" s="29">
        <f t="shared" si="43"/>
        <v>1.4760919743614275E-2</v>
      </c>
      <c r="BH129" s="29"/>
    </row>
    <row r="130" spans="1:60" x14ac:dyDescent="0.3">
      <c r="A130" s="1">
        <v>46212</v>
      </c>
      <c r="B130" s="33">
        <v>45.13</v>
      </c>
      <c r="C130" s="33">
        <v>114.53</v>
      </c>
      <c r="D130" s="15">
        <v>-5.0834455805867E-3</v>
      </c>
      <c r="E130" s="15">
        <v>-4.7907412737223003E-3</v>
      </c>
      <c r="F130" s="33">
        <v>0</v>
      </c>
      <c r="G130" s="33">
        <v>0.59436</v>
      </c>
      <c r="H130" s="33">
        <v>0</v>
      </c>
      <c r="I130" s="33">
        <v>1.253117</v>
      </c>
      <c r="J130" s="33">
        <v>0</v>
      </c>
      <c r="K130" s="33">
        <v>0</v>
      </c>
      <c r="L130" s="33">
        <v>45.13</v>
      </c>
      <c r="M130" s="33">
        <v>114.53</v>
      </c>
      <c r="N130" s="34">
        <v>2.5377797473964101</v>
      </c>
      <c r="O130" s="34">
        <v>2.5341745756035601</v>
      </c>
      <c r="P130" s="34">
        <v>2.5317121330097501</v>
      </c>
      <c r="Q130" s="34">
        <v>2.5273705470824299</v>
      </c>
      <c r="R130" s="33">
        <v>114.36729859698799</v>
      </c>
      <c r="S130" s="33">
        <v>114.22440813233899</v>
      </c>
      <c r="T130" s="33">
        <v>114.055535427392</v>
      </c>
      <c r="U130" s="15">
        <v>-1.4216107521562299E-3</v>
      </c>
      <c r="V130" s="15">
        <v>-2.6717915684652499E-3</v>
      </c>
      <c r="W130" s="15">
        <v>-4.1513147636994896E-3</v>
      </c>
      <c r="X130" s="34">
        <v>2.5377797473964101</v>
      </c>
      <c r="Y130" s="34">
        <v>2.5351085643703399</v>
      </c>
      <c r="Z130" s="34">
        <v>2.5317121330097501</v>
      </c>
      <c r="AA130" s="34">
        <v>2.5301925880014902</v>
      </c>
      <c r="AB130" s="33">
        <v>114.409449510033</v>
      </c>
      <c r="AC130" s="33">
        <v>114.22440813233899</v>
      </c>
      <c r="AD130" s="33">
        <v>114.182894134069</v>
      </c>
      <c r="AE130" s="15">
        <v>-1.05312126298809E-3</v>
      </c>
      <c r="AF130" s="15">
        <v>-2.6717915684652499E-3</v>
      </c>
      <c r="AG130" s="15">
        <v>-3.0353000755470199E-3</v>
      </c>
      <c r="AI130" s="12"/>
      <c r="AJ130">
        <f t="shared" si="24"/>
        <v>1</v>
      </c>
      <c r="AK130">
        <f t="shared" si="25"/>
        <v>0</v>
      </c>
      <c r="AL130">
        <f t="shared" si="34"/>
        <v>1</v>
      </c>
      <c r="AM130">
        <f t="shared" si="26"/>
        <v>1</v>
      </c>
      <c r="AN130">
        <f t="shared" si="35"/>
        <v>1</v>
      </c>
      <c r="AO130" s="28">
        <f t="shared" si="27"/>
        <v>-5.0834455805867E-3</v>
      </c>
      <c r="AP130" s="28">
        <f t="shared" si="28"/>
        <v>4.7907412737223003E-3</v>
      </c>
      <c r="AQ130" s="28">
        <f t="shared" si="36"/>
        <v>-2.9270430686439974E-4</v>
      </c>
      <c r="AR130" s="29">
        <f t="shared" si="37"/>
        <v>3.6256064196860636E-3</v>
      </c>
      <c r="AT130" s="12"/>
      <c r="AU130">
        <f t="shared" si="29"/>
        <v>0</v>
      </c>
      <c r="AV130">
        <f t="shared" si="30"/>
        <v>1</v>
      </c>
      <c r="AW130">
        <f t="shared" si="38"/>
        <v>0</v>
      </c>
      <c r="AX130">
        <f t="shared" si="31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1.084260901706381E-2</v>
      </c>
      <c r="BE130" s="29">
        <f t="shared" si="42"/>
        <v>-2.9270430686439974E-4</v>
      </c>
      <c r="BF130" s="29">
        <f t="shared" si="43"/>
        <v>1.4468215436749875E-2</v>
      </c>
      <c r="BH130" s="29"/>
    </row>
    <row r="131" spans="1:60" x14ac:dyDescent="0.3">
      <c r="A131" s="1">
        <v>46213</v>
      </c>
      <c r="B131" s="33">
        <v>45.41</v>
      </c>
      <c r="C131" s="33">
        <v>115.19</v>
      </c>
      <c r="D131" s="15">
        <v>6.1851312709498901E-3</v>
      </c>
      <c r="E131" s="15">
        <v>5.7461415287901104E-3</v>
      </c>
      <c r="F131" s="33">
        <v>0</v>
      </c>
      <c r="G131" s="33">
        <v>0.59436</v>
      </c>
      <c r="H131" s="33">
        <v>0</v>
      </c>
      <c r="I131" s="33">
        <v>1.253117</v>
      </c>
      <c r="J131" s="33">
        <v>0</v>
      </c>
      <c r="K131" s="33">
        <v>0</v>
      </c>
      <c r="L131" s="33">
        <v>45.41</v>
      </c>
      <c r="M131" s="33">
        <v>115.19</v>
      </c>
      <c r="N131" s="34">
        <v>2.53666593261396</v>
      </c>
      <c r="O131" s="34">
        <v>2.5341745756035601</v>
      </c>
      <c r="P131" s="34">
        <v>2.5325106782886002</v>
      </c>
      <c r="Q131" s="34">
        <v>2.5274424800767701</v>
      </c>
      <c r="R131" s="33">
        <v>115.076867478157</v>
      </c>
      <c r="S131" s="33">
        <v>114.96504795997301</v>
      </c>
      <c r="T131" s="33">
        <v>114.76789654301299</v>
      </c>
      <c r="U131" s="15">
        <v>-9.8262100999659701E-4</v>
      </c>
      <c r="V131" s="15">
        <v>-1.9547875543279498E-3</v>
      </c>
      <c r="W131" s="15">
        <v>-3.6711409992792399E-3</v>
      </c>
      <c r="X131" s="34">
        <v>2.53666593261396</v>
      </c>
      <c r="Y131" s="34">
        <v>2.5351085643703399</v>
      </c>
      <c r="Z131" s="34">
        <v>2.5325106782886002</v>
      </c>
      <c r="AA131" s="34">
        <v>2.5302645209958201</v>
      </c>
      <c r="AB131" s="33">
        <v>115.119279908057</v>
      </c>
      <c r="AC131" s="33">
        <v>114.96504795997301</v>
      </c>
      <c r="AD131" s="33">
        <v>114.89604542114699</v>
      </c>
      <c r="AE131" s="15">
        <v>-6.1413152082839297E-4</v>
      </c>
      <c r="AF131" s="15">
        <v>-1.9547875543280599E-3</v>
      </c>
      <c r="AG131" s="15">
        <v>-2.55517224651821E-3</v>
      </c>
      <c r="AI131" s="12"/>
      <c r="AJ131">
        <f t="shared" si="24"/>
        <v>1</v>
      </c>
      <c r="AK131">
        <f t="shared" si="25"/>
        <v>0</v>
      </c>
      <c r="AL131">
        <f t="shared" si="34"/>
        <v>1</v>
      </c>
      <c r="AM131">
        <f t="shared" si="26"/>
        <v>1</v>
      </c>
      <c r="AN131">
        <f t="shared" si="35"/>
        <v>1</v>
      </c>
      <c r="AO131" s="28">
        <f t="shared" si="27"/>
        <v>6.1851312709498901E-3</v>
      </c>
      <c r="AP131" s="28">
        <f t="shared" si="28"/>
        <v>-5.7461415287901104E-3</v>
      </c>
      <c r="AQ131" s="28">
        <f t="shared" si="36"/>
        <v>4.3898974215977968E-4</v>
      </c>
      <c r="AR131" s="29">
        <f t="shared" si="37"/>
        <v>4.0645961618458433E-3</v>
      </c>
      <c r="AT131" s="12"/>
      <c r="AU131">
        <f t="shared" si="29"/>
        <v>0</v>
      </c>
      <c r="AV131">
        <f t="shared" si="30"/>
        <v>1</v>
      </c>
      <c r="AW131">
        <f t="shared" si="38"/>
        <v>0</v>
      </c>
      <c r="AX131">
        <f t="shared" si="31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1.084260901706381E-2</v>
      </c>
      <c r="BE131" s="29">
        <f t="shared" si="42"/>
        <v>4.3898974215977968E-4</v>
      </c>
      <c r="BF131" s="29">
        <f t="shared" si="43"/>
        <v>1.4907205178909654E-2</v>
      </c>
      <c r="BH131" s="29"/>
    </row>
    <row r="132" spans="1:60" x14ac:dyDescent="0.3">
      <c r="A132" s="1">
        <v>46216</v>
      </c>
      <c r="B132" s="33">
        <v>45.72</v>
      </c>
      <c r="C132" s="33">
        <v>116.05</v>
      </c>
      <c r="D132" s="15">
        <v>6.8034938167500902E-3</v>
      </c>
      <c r="E132" s="15">
        <v>7.43819378203096E-3</v>
      </c>
      <c r="F132" s="33">
        <v>0</v>
      </c>
      <c r="G132" s="33">
        <v>0.59436</v>
      </c>
      <c r="H132" s="33">
        <v>0</v>
      </c>
      <c r="I132" s="33">
        <v>1.253117</v>
      </c>
      <c r="J132" s="33">
        <v>0</v>
      </c>
      <c r="K132" s="33">
        <v>0</v>
      </c>
      <c r="L132" s="33">
        <v>45.72</v>
      </c>
      <c r="M132" s="33">
        <v>116.05</v>
      </c>
      <c r="N132" s="34">
        <v>2.53827646544182</v>
      </c>
      <c r="O132" s="34">
        <v>2.5341745756035601</v>
      </c>
      <c r="P132" s="34">
        <v>2.53348118197564</v>
      </c>
      <c r="Q132" s="34">
        <v>2.5279317857552099</v>
      </c>
      <c r="R132" s="33">
        <v>115.862461596594</v>
      </c>
      <c r="S132" s="33">
        <v>115.78638821135399</v>
      </c>
      <c r="T132" s="33">
        <v>115.554670189109</v>
      </c>
      <c r="U132" s="15">
        <v>-1.61732097527736E-3</v>
      </c>
      <c r="V132" s="15">
        <v>-2.2741201610948299E-3</v>
      </c>
      <c r="W132" s="15">
        <v>-4.2773797756088996E-3</v>
      </c>
      <c r="X132" s="34">
        <v>2.53827646544182</v>
      </c>
      <c r="Y132" s="34">
        <v>2.5351085643703399</v>
      </c>
      <c r="Z132" s="34">
        <v>2.53348118197564</v>
      </c>
      <c r="AA132" s="34">
        <v>2.5307538266742702</v>
      </c>
      <c r="AB132" s="33">
        <v>115.905163563012</v>
      </c>
      <c r="AC132" s="33">
        <v>115.78638821135399</v>
      </c>
      <c r="AD132" s="33">
        <v>115.683693899929</v>
      </c>
      <c r="AE132" s="15">
        <v>-1.24883148610909E-3</v>
      </c>
      <c r="AF132" s="15">
        <v>-2.2741201610948299E-3</v>
      </c>
      <c r="AG132" s="15">
        <v>-3.1614427664782702E-3</v>
      </c>
      <c r="AI132" s="12"/>
      <c r="AJ132">
        <f t="shared" si="24"/>
        <v>1</v>
      </c>
      <c r="AK132">
        <f t="shared" si="25"/>
        <v>0</v>
      </c>
      <c r="AL132">
        <f t="shared" si="34"/>
        <v>1</v>
      </c>
      <c r="AM132">
        <f t="shared" si="26"/>
        <v>1</v>
      </c>
      <c r="AN132">
        <f t="shared" si="35"/>
        <v>1</v>
      </c>
      <c r="AO132" s="28">
        <f t="shared" si="27"/>
        <v>6.8034938167500902E-3</v>
      </c>
      <c r="AP132" s="28">
        <f t="shared" si="28"/>
        <v>-7.43819378203096E-3</v>
      </c>
      <c r="AQ132" s="28">
        <f t="shared" si="36"/>
        <v>-6.3469996528086985E-4</v>
      </c>
      <c r="AR132" s="29">
        <f t="shared" si="37"/>
        <v>3.4298961965649735E-3</v>
      </c>
      <c r="AT132" s="12"/>
      <c r="AU132">
        <f t="shared" si="29"/>
        <v>0</v>
      </c>
      <c r="AV132">
        <f t="shared" si="30"/>
        <v>1</v>
      </c>
      <c r="AW132">
        <f t="shared" si="38"/>
        <v>0</v>
      </c>
      <c r="AX132">
        <f t="shared" si="31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1.084260901706381E-2</v>
      </c>
      <c r="BE132" s="29">
        <f t="shared" si="42"/>
        <v>-6.3469996528086985E-4</v>
      </c>
      <c r="BF132" s="29">
        <f t="shared" si="43"/>
        <v>1.4272505213628784E-2</v>
      </c>
      <c r="BH132" s="29"/>
    </row>
    <row r="133" spans="1:60" x14ac:dyDescent="0.3">
      <c r="A133" s="1">
        <v>46217</v>
      </c>
      <c r="B133" s="33">
        <v>45.69</v>
      </c>
      <c r="C133" s="33">
        <v>115.94</v>
      </c>
      <c r="D133" s="15">
        <v>-6.5638335142984504E-4</v>
      </c>
      <c r="E133" s="15">
        <v>-9.4831680885924395E-4</v>
      </c>
      <c r="F133" s="33">
        <v>0</v>
      </c>
      <c r="G133" s="33">
        <v>0.59436</v>
      </c>
      <c r="H133" s="33">
        <v>0</v>
      </c>
      <c r="I133" s="33">
        <v>1.253117</v>
      </c>
      <c r="J133" s="33">
        <v>0</v>
      </c>
      <c r="K133" s="33">
        <v>0</v>
      </c>
      <c r="L133" s="33">
        <v>45.69</v>
      </c>
      <c r="M133" s="33">
        <v>115.94</v>
      </c>
      <c r="N133" s="34">
        <v>2.5375355657693102</v>
      </c>
      <c r="O133" s="34">
        <v>2.5341745756035601</v>
      </c>
      <c r="P133" s="34">
        <v>2.53462717662297</v>
      </c>
      <c r="Q133" s="34">
        <v>2.5283994016812299</v>
      </c>
      <c r="R133" s="33">
        <v>115.786436359326</v>
      </c>
      <c r="S133" s="33">
        <v>115.754755204467</v>
      </c>
      <c r="T133" s="33">
        <v>115.50120329115499</v>
      </c>
      <c r="U133" s="15">
        <v>-1.32538751784795E-3</v>
      </c>
      <c r="V133" s="15">
        <v>-1.59904210901103E-3</v>
      </c>
      <c r="W133" s="15">
        <v>-3.7918678987603101E-3</v>
      </c>
      <c r="X133" s="34">
        <v>2.5375355657693102</v>
      </c>
      <c r="Y133" s="34">
        <v>2.5351085643703399</v>
      </c>
      <c r="Z133" s="34">
        <v>2.53462717662297</v>
      </c>
      <c r="AA133" s="34">
        <v>2.5312214426002799</v>
      </c>
      <c r="AB133" s="33">
        <v>115.82911030608101</v>
      </c>
      <c r="AC133" s="33">
        <v>115.754755204467</v>
      </c>
      <c r="AD133" s="33">
        <v>115.630142340747</v>
      </c>
      <c r="AE133" s="15">
        <v>-9.56898028679784E-4</v>
      </c>
      <c r="AF133" s="15">
        <v>-1.59904210901103E-3</v>
      </c>
      <c r="AG133" s="15">
        <v>-2.6761467695918801E-3</v>
      </c>
      <c r="AI133" s="12"/>
      <c r="AJ133">
        <f t="shared" si="24"/>
        <v>1</v>
      </c>
      <c r="AK133">
        <f t="shared" si="25"/>
        <v>0</v>
      </c>
      <c r="AL133">
        <f t="shared" si="34"/>
        <v>1</v>
      </c>
      <c r="AM133">
        <f t="shared" si="26"/>
        <v>1</v>
      </c>
      <c r="AN133">
        <f t="shared" si="35"/>
        <v>1</v>
      </c>
      <c r="AO133" s="28">
        <f t="shared" si="27"/>
        <v>-6.5638335142984504E-4</v>
      </c>
      <c r="AP133" s="28">
        <f t="shared" si="28"/>
        <v>9.4831680885924395E-4</v>
      </c>
      <c r="AQ133" s="28">
        <f t="shared" si="36"/>
        <v>2.9193345742939891E-4</v>
      </c>
      <c r="AR133" s="29">
        <f t="shared" si="37"/>
        <v>3.7218296539943724E-3</v>
      </c>
      <c r="AT133" s="12"/>
      <c r="AU133">
        <f t="shared" si="29"/>
        <v>0</v>
      </c>
      <c r="AV133">
        <f t="shared" si="30"/>
        <v>1</v>
      </c>
      <c r="AW133">
        <f t="shared" si="38"/>
        <v>0</v>
      </c>
      <c r="AX133">
        <f t="shared" si="31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1.084260901706381E-2</v>
      </c>
      <c r="BE133" s="29">
        <f t="shared" si="42"/>
        <v>2.9193345742939891E-4</v>
      </c>
      <c r="BF133" s="29">
        <f t="shared" si="43"/>
        <v>1.4564438671058184E-2</v>
      </c>
      <c r="BH133" s="29"/>
    </row>
    <row r="134" spans="1:60" x14ac:dyDescent="0.3">
      <c r="A134" s="1">
        <v>46218</v>
      </c>
      <c r="B134" s="33">
        <v>45.22</v>
      </c>
      <c r="C134" s="33">
        <v>114.87</v>
      </c>
      <c r="D134" s="15">
        <v>-1.0339988725356301E-2</v>
      </c>
      <c r="E134" s="15">
        <v>-9.2717617542739106E-3</v>
      </c>
      <c r="F134" s="33">
        <v>0</v>
      </c>
      <c r="G134" s="33">
        <v>0.59436</v>
      </c>
      <c r="H134" s="33">
        <v>0</v>
      </c>
      <c r="I134" s="33">
        <v>1.253117</v>
      </c>
      <c r="J134" s="33">
        <v>0</v>
      </c>
      <c r="K134" s="33">
        <v>0</v>
      </c>
      <c r="L134" s="33">
        <v>45.22</v>
      </c>
      <c r="M134" s="33">
        <v>114.87</v>
      </c>
      <c r="N134" s="34">
        <v>2.5402476780185701</v>
      </c>
      <c r="O134" s="34">
        <v>2.5341745756035601</v>
      </c>
      <c r="P134" s="34">
        <v>2.53587294133705</v>
      </c>
      <c r="Q134" s="34">
        <v>2.52977477172431</v>
      </c>
      <c r="R134" s="33">
        <v>114.595374308793</v>
      </c>
      <c r="S134" s="33">
        <v>114.615840926891</v>
      </c>
      <c r="T134" s="33">
        <v>114.33422094402501</v>
      </c>
      <c r="U134" s="15">
        <v>-2.3936144889303399E-3</v>
      </c>
      <c r="V134" s="15">
        <v>-2.2150314459382699E-3</v>
      </c>
      <c r="W134" s="15">
        <v>-4.6751323307953297E-3</v>
      </c>
      <c r="X134" s="34">
        <v>2.5402476780185701</v>
      </c>
      <c r="Y134" s="34">
        <v>2.5351085643703399</v>
      </c>
      <c r="Z134" s="34">
        <v>2.53587294133705</v>
      </c>
      <c r="AA134" s="34">
        <v>2.5318910817537801</v>
      </c>
      <c r="AB134" s="33">
        <v>114.637609280826</v>
      </c>
      <c r="AC134" s="33">
        <v>114.615840926891</v>
      </c>
      <c r="AD134" s="33">
        <v>114.461833634385</v>
      </c>
      <c r="AE134" s="15">
        <v>-2.0251249997620901E-3</v>
      </c>
      <c r="AF134" s="15">
        <v>-2.2150314459382699E-3</v>
      </c>
      <c r="AG134" s="15">
        <v>-3.55961743410667E-3</v>
      </c>
      <c r="AI134" s="12"/>
      <c r="AJ134">
        <f t="shared" si="24"/>
        <v>1</v>
      </c>
      <c r="AK134">
        <f t="shared" si="25"/>
        <v>0</v>
      </c>
      <c r="AL134">
        <f t="shared" si="34"/>
        <v>1</v>
      </c>
      <c r="AM134">
        <f t="shared" si="26"/>
        <v>1</v>
      </c>
      <c r="AN134">
        <f t="shared" si="35"/>
        <v>1</v>
      </c>
      <c r="AO134" s="28">
        <f t="shared" si="27"/>
        <v>-1.0339988725356301E-2</v>
      </c>
      <c r="AP134" s="28">
        <f t="shared" si="28"/>
        <v>9.2717617542739106E-3</v>
      </c>
      <c r="AQ134" s="28">
        <f t="shared" si="36"/>
        <v>-1.0682269710823901E-3</v>
      </c>
      <c r="AR134" s="29">
        <f t="shared" si="37"/>
        <v>2.6536026829119823E-3</v>
      </c>
      <c r="AT134" s="12"/>
      <c r="AU134">
        <f t="shared" si="29"/>
        <v>0</v>
      </c>
      <c r="AV134">
        <f t="shared" si="30"/>
        <v>1</v>
      </c>
      <c r="AW134">
        <f t="shared" si="38"/>
        <v>0</v>
      </c>
      <c r="AX134">
        <f t="shared" si="31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1.084260901706381E-2</v>
      </c>
      <c r="BE134" s="29">
        <f t="shared" si="42"/>
        <v>-1.0682269710823901E-3</v>
      </c>
      <c r="BF134" s="29">
        <f t="shared" si="43"/>
        <v>1.3496211699975794E-2</v>
      </c>
      <c r="BH134" s="29"/>
    </row>
    <row r="135" spans="1:60" x14ac:dyDescent="0.3">
      <c r="A135" s="1">
        <v>46219</v>
      </c>
      <c r="B135" s="33">
        <v>45.47</v>
      </c>
      <c r="C135" s="33">
        <v>115.67</v>
      </c>
      <c r="D135" s="15">
        <v>5.5133009870953703E-3</v>
      </c>
      <c r="E135" s="15">
        <v>6.9402551499973099E-3</v>
      </c>
      <c r="F135" s="33">
        <v>0</v>
      </c>
      <c r="G135" s="33">
        <v>0.59436</v>
      </c>
      <c r="H135" s="33">
        <v>0</v>
      </c>
      <c r="I135" s="33">
        <v>1.253117</v>
      </c>
      <c r="J135" s="33">
        <v>0</v>
      </c>
      <c r="K135" s="33">
        <v>0</v>
      </c>
      <c r="L135" s="33">
        <v>45.47</v>
      </c>
      <c r="M135" s="33">
        <v>115.67</v>
      </c>
      <c r="N135" s="34">
        <v>2.5438750824719598</v>
      </c>
      <c r="O135" s="34">
        <v>2.5341745756035601</v>
      </c>
      <c r="P135" s="34">
        <v>2.5371668601270199</v>
      </c>
      <c r="Q135" s="34">
        <v>2.53133603583459</v>
      </c>
      <c r="R135" s="33">
        <v>115.228917952694</v>
      </c>
      <c r="S135" s="33">
        <v>115.30614264259501</v>
      </c>
      <c r="T135" s="33">
        <v>115.02885887030401</v>
      </c>
      <c r="U135" s="15">
        <v>-3.8205686518322699E-3</v>
      </c>
      <c r="V135" s="15">
        <v>-3.1506081469878898E-3</v>
      </c>
      <c r="W135" s="15">
        <v>-5.5582657276150296E-3</v>
      </c>
      <c r="X135" s="34">
        <v>2.5438750824719598</v>
      </c>
      <c r="Y135" s="34">
        <v>2.5351085643703399</v>
      </c>
      <c r="Z135" s="34">
        <v>2.5371668601270199</v>
      </c>
      <c r="AA135" s="34">
        <v>2.5327516268227899</v>
      </c>
      <c r="AB135" s="33">
        <v>115.271386421919</v>
      </c>
      <c r="AC135" s="33">
        <v>115.30614264259501</v>
      </c>
      <c r="AD135" s="33">
        <v>115.125087487344</v>
      </c>
      <c r="AE135" s="15">
        <v>-3.45207916266407E-3</v>
      </c>
      <c r="AF135" s="15">
        <v>-3.1506081469878898E-3</v>
      </c>
      <c r="AG135" s="15">
        <v>-4.72205479862302E-3</v>
      </c>
      <c r="AI135" s="12"/>
      <c r="AJ135">
        <f t="shared" si="24"/>
        <v>1</v>
      </c>
      <c r="AK135">
        <f t="shared" si="25"/>
        <v>0</v>
      </c>
      <c r="AL135">
        <f t="shared" si="34"/>
        <v>1</v>
      </c>
      <c r="AM135">
        <f t="shared" si="26"/>
        <v>1</v>
      </c>
      <c r="AN135">
        <f t="shared" si="35"/>
        <v>1</v>
      </c>
      <c r="AO135" s="28">
        <f t="shared" si="27"/>
        <v>5.5133009870953703E-3</v>
      </c>
      <c r="AP135" s="28">
        <f t="shared" si="28"/>
        <v>-6.9402551499973099E-3</v>
      </c>
      <c r="AQ135" s="28">
        <f t="shared" si="36"/>
        <v>-1.4269541629019396E-3</v>
      </c>
      <c r="AR135" s="29">
        <f t="shared" si="37"/>
        <v>1.2266485200100427E-3</v>
      </c>
      <c r="AT135" s="12"/>
      <c r="AU135">
        <f t="shared" si="29"/>
        <v>0</v>
      </c>
      <c r="AV135">
        <f t="shared" si="30"/>
        <v>1</v>
      </c>
      <c r="AW135">
        <f t="shared" si="38"/>
        <v>0</v>
      </c>
      <c r="AX135">
        <f t="shared" si="31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1.084260901706381E-2</v>
      </c>
      <c r="BE135" s="29">
        <f t="shared" si="42"/>
        <v>-1.4269541629019396E-3</v>
      </c>
      <c r="BF135" s="29">
        <f t="shared" si="43"/>
        <v>1.2069257537073854E-2</v>
      </c>
      <c r="BH135" s="29"/>
    </row>
    <row r="136" spans="1:60" x14ac:dyDescent="0.3">
      <c r="A136" s="1">
        <v>46220</v>
      </c>
      <c r="B136" s="33">
        <v>45.17</v>
      </c>
      <c r="C136" s="33">
        <v>114.84</v>
      </c>
      <c r="D136" s="15">
        <v>-6.6196181704062896E-3</v>
      </c>
      <c r="E136" s="15">
        <v>-7.20145405444693E-3</v>
      </c>
      <c r="F136" s="33">
        <v>0</v>
      </c>
      <c r="G136" s="33">
        <v>0.59436</v>
      </c>
      <c r="H136" s="33">
        <v>0</v>
      </c>
      <c r="I136" s="33">
        <v>1.253117</v>
      </c>
      <c r="J136" s="33">
        <v>0</v>
      </c>
      <c r="K136" s="33">
        <v>0</v>
      </c>
      <c r="L136" s="33">
        <v>45.17</v>
      </c>
      <c r="M136" s="33">
        <v>114.84</v>
      </c>
      <c r="N136" s="34">
        <v>2.5423953951737799</v>
      </c>
      <c r="O136" s="34">
        <v>2.5341745756035601</v>
      </c>
      <c r="P136" s="34">
        <v>2.5384562248192202</v>
      </c>
      <c r="Q136" s="34">
        <v>2.5327135653773598</v>
      </c>
      <c r="R136" s="33">
        <v>114.468665580012</v>
      </c>
      <c r="S136" s="33">
        <v>114.603827071937</v>
      </c>
      <c r="T136" s="33">
        <v>114.34044873864801</v>
      </c>
      <c r="U136" s="15">
        <v>-3.2387327677917302E-3</v>
      </c>
      <c r="V136" s="15">
        <v>-2.05865648673939E-3</v>
      </c>
      <c r="W136" s="15">
        <v>-4.3594648257468203E-3</v>
      </c>
      <c r="X136" s="34">
        <v>2.5423953951737799</v>
      </c>
      <c r="Y136" s="34">
        <v>2.5351085643703399</v>
      </c>
      <c r="Z136" s="34">
        <v>2.5384562248192202</v>
      </c>
      <c r="AA136" s="34">
        <v>2.5334189809269598</v>
      </c>
      <c r="AB136" s="33">
        <v>114.51085385260799</v>
      </c>
      <c r="AC136" s="33">
        <v>114.603827071937</v>
      </c>
      <c r="AD136" s="33">
        <v>114.404390983585</v>
      </c>
      <c r="AE136" s="15">
        <v>-2.87024327862347E-3</v>
      </c>
      <c r="AF136" s="15">
        <v>-2.0586564867395001E-3</v>
      </c>
      <c r="AG136" s="15">
        <v>-3.80039432011362E-3</v>
      </c>
      <c r="AI136" s="12"/>
      <c r="AJ136">
        <f t="shared" si="24"/>
        <v>1</v>
      </c>
      <c r="AK136">
        <f t="shared" si="25"/>
        <v>0</v>
      </c>
      <c r="AL136">
        <f t="shared" si="34"/>
        <v>1</v>
      </c>
      <c r="AM136">
        <f t="shared" si="26"/>
        <v>1</v>
      </c>
      <c r="AN136">
        <f t="shared" si="35"/>
        <v>1</v>
      </c>
      <c r="AO136" s="28">
        <f t="shared" si="27"/>
        <v>-6.6196181704062896E-3</v>
      </c>
      <c r="AP136" s="28">
        <f t="shared" si="28"/>
        <v>7.20145405444693E-3</v>
      </c>
      <c r="AQ136" s="28">
        <f t="shared" si="36"/>
        <v>5.8183588404064034E-4</v>
      </c>
      <c r="AR136" s="29">
        <f t="shared" si="37"/>
        <v>1.8084844040506831E-3</v>
      </c>
      <c r="AT136" s="12"/>
      <c r="AU136">
        <f t="shared" si="29"/>
        <v>0</v>
      </c>
      <c r="AV136">
        <f t="shared" si="30"/>
        <v>1</v>
      </c>
      <c r="AW136">
        <f t="shared" si="38"/>
        <v>0</v>
      </c>
      <c r="AX136">
        <f t="shared" si="31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1.084260901706381E-2</v>
      </c>
      <c r="BE136" s="29">
        <f t="shared" si="42"/>
        <v>5.8183588404064034E-4</v>
      </c>
      <c r="BF136" s="29">
        <f t="shared" si="43"/>
        <v>1.2651093421114494E-2</v>
      </c>
      <c r="BH136" s="29"/>
    </row>
    <row r="137" spans="1:60" x14ac:dyDescent="0.3">
      <c r="A137" s="1">
        <v>46223</v>
      </c>
      <c r="B137" s="33">
        <v>44.94</v>
      </c>
      <c r="C137" s="33">
        <v>114.24</v>
      </c>
      <c r="D137" s="15">
        <v>-5.1048829093297901E-3</v>
      </c>
      <c r="E137" s="15">
        <v>-5.2383566615890097E-3</v>
      </c>
      <c r="F137" s="33">
        <v>0</v>
      </c>
      <c r="G137" s="33">
        <v>0.59436</v>
      </c>
      <c r="H137" s="33">
        <v>0</v>
      </c>
      <c r="I137" s="33">
        <v>1.253117</v>
      </c>
      <c r="J137" s="33">
        <v>0</v>
      </c>
      <c r="K137" s="33">
        <v>0</v>
      </c>
      <c r="L137" s="33">
        <v>44.94</v>
      </c>
      <c r="M137" s="33">
        <v>114.24</v>
      </c>
      <c r="N137" s="34">
        <v>2.5420560747663501</v>
      </c>
      <c r="O137" s="34">
        <v>2.5341745756035601</v>
      </c>
      <c r="P137" s="34">
        <v>2.53935057401771</v>
      </c>
      <c r="Q137" s="34">
        <v>2.5341572985169298</v>
      </c>
      <c r="R137" s="33">
        <v>113.88580542762401</v>
      </c>
      <c r="S137" s="33">
        <v>114.078222743376</v>
      </c>
      <c r="T137" s="33">
        <v>113.820147628058</v>
      </c>
      <c r="U137" s="15">
        <v>-3.1052590155324399E-3</v>
      </c>
      <c r="V137" s="15">
        <v>-1.4171210843694801E-3</v>
      </c>
      <c r="W137" s="15">
        <v>-3.6819483862231299E-3</v>
      </c>
      <c r="X137" s="34">
        <v>2.5420560747663501</v>
      </c>
      <c r="Y137" s="34">
        <v>2.5351085643703399</v>
      </c>
      <c r="Z137" s="34">
        <v>2.53935057401771</v>
      </c>
      <c r="AA137" s="34">
        <v>2.5341572985169298</v>
      </c>
      <c r="AB137" s="33">
        <v>113.927778882803</v>
      </c>
      <c r="AC137" s="33">
        <v>114.078222743376</v>
      </c>
      <c r="AD137" s="33">
        <v>113.85184900285699</v>
      </c>
      <c r="AE137" s="15">
        <v>-2.7367695263641701E-3</v>
      </c>
      <c r="AF137" s="15">
        <v>-1.4171210843694801E-3</v>
      </c>
      <c r="AG137" s="15">
        <v>-3.4034655207592101E-3</v>
      </c>
      <c r="AI137" s="12"/>
      <c r="AJ137">
        <f t="shared" si="24"/>
        <v>1</v>
      </c>
      <c r="AK137">
        <f t="shared" si="25"/>
        <v>0</v>
      </c>
      <c r="AL137">
        <f t="shared" si="34"/>
        <v>1</v>
      </c>
      <c r="AM137">
        <f t="shared" si="26"/>
        <v>1</v>
      </c>
      <c r="AN137">
        <f t="shared" si="35"/>
        <v>1</v>
      </c>
      <c r="AO137" s="28">
        <f t="shared" si="27"/>
        <v>-5.1048829093297901E-3</v>
      </c>
      <c r="AP137" s="28">
        <f t="shared" si="28"/>
        <v>5.2383566615890097E-3</v>
      </c>
      <c r="AQ137" s="28">
        <f t="shared" si="36"/>
        <v>1.334737522592196E-4</v>
      </c>
      <c r="AR137" s="29">
        <f t="shared" si="37"/>
        <v>1.9419581563099027E-3</v>
      </c>
      <c r="AT137" s="12"/>
      <c r="AU137">
        <f t="shared" si="29"/>
        <v>0</v>
      </c>
      <c r="AV137">
        <f t="shared" si="30"/>
        <v>1</v>
      </c>
      <c r="AW137">
        <f t="shared" si="38"/>
        <v>0</v>
      </c>
      <c r="AX137">
        <f t="shared" si="31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1.084260901706381E-2</v>
      </c>
      <c r="BE137" s="29">
        <f t="shared" si="42"/>
        <v>1.334737522592196E-4</v>
      </c>
      <c r="BF137" s="29">
        <f t="shared" si="43"/>
        <v>1.2784567173373715E-2</v>
      </c>
      <c r="BH137" s="29"/>
    </row>
    <row r="138" spans="1:60" x14ac:dyDescent="0.3">
      <c r="A138" s="1">
        <v>46224</v>
      </c>
      <c r="B138" s="33">
        <v>44.92</v>
      </c>
      <c r="C138" s="33">
        <v>114.01</v>
      </c>
      <c r="D138" s="15">
        <v>-4.4513688694053702E-4</v>
      </c>
      <c r="E138" s="15">
        <v>-2.0153347456457198E-3</v>
      </c>
      <c r="F138" s="33">
        <v>0</v>
      </c>
      <c r="G138" s="33">
        <v>0.59436</v>
      </c>
      <c r="H138" s="33">
        <v>0</v>
      </c>
      <c r="I138" s="33">
        <v>1.253117</v>
      </c>
      <c r="J138" s="33">
        <v>0</v>
      </c>
      <c r="K138" s="33">
        <v>0</v>
      </c>
      <c r="L138" s="33">
        <v>44.92</v>
      </c>
      <c r="M138" s="33">
        <v>114.01</v>
      </c>
      <c r="N138" s="34">
        <v>2.5380676758682101</v>
      </c>
      <c r="O138" s="34">
        <v>2.5341745756035601</v>
      </c>
      <c r="P138" s="34">
        <v>2.5393936654557399</v>
      </c>
      <c r="Q138" s="34">
        <v>2.53475254277545</v>
      </c>
      <c r="R138" s="33">
        <v>113.835121936112</v>
      </c>
      <c r="S138" s="33">
        <v>114.067627784875</v>
      </c>
      <c r="T138" s="33">
        <v>113.83434584938</v>
      </c>
      <c r="U138" s="15">
        <v>-1.5350611568273E-3</v>
      </c>
      <c r="V138" s="15">
        <v>5.0533484289477695E-4</v>
      </c>
      <c r="W138" s="15">
        <v>-1.54187881875662E-3</v>
      </c>
      <c r="X138" s="34">
        <v>2.5380676758682101</v>
      </c>
      <c r="Y138" s="34">
        <v>2.5351085643703399</v>
      </c>
      <c r="Z138" s="34">
        <v>2.5393936654557399</v>
      </c>
      <c r="AA138" s="34">
        <v>2.53475254277545</v>
      </c>
      <c r="AB138" s="33">
        <v>113.877076711515</v>
      </c>
      <c r="AC138" s="33">
        <v>114.067627784875</v>
      </c>
      <c r="AD138" s="33">
        <v>113.83434584938</v>
      </c>
      <c r="AE138" s="15">
        <v>-1.16657166765902E-3</v>
      </c>
      <c r="AF138" s="15">
        <v>5.0533484289499899E-4</v>
      </c>
      <c r="AG138" s="15">
        <v>-1.5418788187563899E-3</v>
      </c>
      <c r="AI138" s="12"/>
      <c r="AJ138">
        <f t="shared" si="24"/>
        <v>0</v>
      </c>
      <c r="AK138">
        <f t="shared" si="25"/>
        <v>0</v>
      </c>
      <c r="AL138">
        <f t="shared" si="34"/>
        <v>1</v>
      </c>
      <c r="AM138">
        <f t="shared" si="26"/>
        <v>1</v>
      </c>
      <c r="AN138">
        <f t="shared" si="35"/>
        <v>1</v>
      </c>
      <c r="AO138" s="28">
        <f t="shared" si="27"/>
        <v>-4.4513688694053702E-4</v>
      </c>
      <c r="AP138" s="28">
        <f t="shared" si="28"/>
        <v>2.0153347456457198E-3</v>
      </c>
      <c r="AQ138" s="28">
        <f t="shared" si="36"/>
        <v>1.5701978587051827E-3</v>
      </c>
      <c r="AR138" s="29">
        <f t="shared" si="37"/>
        <v>3.5121560150150853E-3</v>
      </c>
      <c r="AT138" s="12"/>
      <c r="AU138">
        <f t="shared" si="29"/>
        <v>0</v>
      </c>
      <c r="AV138">
        <f t="shared" si="30"/>
        <v>1</v>
      </c>
      <c r="AW138">
        <f t="shared" si="38"/>
        <v>0</v>
      </c>
      <c r="AX138">
        <f t="shared" si="31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1.084260901706381E-2</v>
      </c>
      <c r="BE138" s="29">
        <f t="shared" si="42"/>
        <v>1.5701978587051827E-3</v>
      </c>
      <c r="BF138" s="29">
        <f t="shared" si="43"/>
        <v>1.4354765032078897E-2</v>
      </c>
      <c r="BH138" s="29"/>
    </row>
    <row r="139" spans="1:60" x14ac:dyDescent="0.3">
      <c r="A139" s="1">
        <v>46225</v>
      </c>
      <c r="B139" s="33">
        <v>45.93</v>
      </c>
      <c r="C139" s="33">
        <v>116.44</v>
      </c>
      <c r="D139" s="15">
        <v>2.2235368467459601E-2</v>
      </c>
      <c r="E139" s="15">
        <v>2.1089955031793998E-2</v>
      </c>
      <c r="F139" s="33">
        <v>0</v>
      </c>
      <c r="G139" s="33">
        <v>0.59436</v>
      </c>
      <c r="H139" s="33">
        <v>0</v>
      </c>
      <c r="I139" s="33">
        <v>1.253117</v>
      </c>
      <c r="J139" s="33">
        <v>0</v>
      </c>
      <c r="K139" s="33">
        <v>0</v>
      </c>
      <c r="L139" s="33">
        <v>45.93</v>
      </c>
      <c r="M139" s="33">
        <v>116.44</v>
      </c>
      <c r="N139" s="34">
        <v>2.53516220335292</v>
      </c>
      <c r="O139" s="34">
        <v>2.5341745756035601</v>
      </c>
      <c r="P139" s="34">
        <v>2.5392061820873302</v>
      </c>
      <c r="Q139" s="34">
        <v>2.5351072804114798</v>
      </c>
      <c r="R139" s="33">
        <v>116.394638257471</v>
      </c>
      <c r="S139" s="33">
        <v>116.63435105438199</v>
      </c>
      <c r="T139" s="33">
        <v>116.42118428967601</v>
      </c>
      <c r="U139" s="15">
        <v>-3.8964772116173099E-4</v>
      </c>
      <c r="V139" s="15">
        <v>1.6677176064076901E-3</v>
      </c>
      <c r="W139" s="15">
        <v>-1.61604523497616E-4</v>
      </c>
      <c r="X139" s="34">
        <v>2.53516220335292</v>
      </c>
      <c r="Y139" s="34">
        <v>2.5351085643703399</v>
      </c>
      <c r="Z139" s="34">
        <v>2.5392061820873302</v>
      </c>
      <c r="AA139" s="34">
        <v>2.5351072804114798</v>
      </c>
      <c r="AB139" s="33">
        <v>116.437536361529</v>
      </c>
      <c r="AC139" s="33">
        <v>116.63435105438199</v>
      </c>
      <c r="AD139" s="33">
        <v>116.42118428967601</v>
      </c>
      <c r="AE139" s="15">
        <v>-2.1158231993417102E-5</v>
      </c>
      <c r="AF139" s="15">
        <v>1.6677176064076901E-3</v>
      </c>
      <c r="AG139" s="15">
        <v>-1.6160452349794899E-4</v>
      </c>
      <c r="AI139" s="12"/>
      <c r="AJ139">
        <f t="shared" si="24"/>
        <v>0</v>
      </c>
      <c r="AK139">
        <f t="shared" si="25"/>
        <v>1</v>
      </c>
      <c r="AL139">
        <f t="shared" si="34"/>
        <v>1</v>
      </c>
      <c r="AM139">
        <f t="shared" si="26"/>
        <v>1</v>
      </c>
      <c r="AN139">
        <f t="shared" si="35"/>
        <v>1</v>
      </c>
      <c r="AO139" s="28">
        <f t="shared" si="27"/>
        <v>2.2235368467459601E-2</v>
      </c>
      <c r="AP139" s="28">
        <f t="shared" si="28"/>
        <v>-2.1089955031793998E-2</v>
      </c>
      <c r="AQ139" s="28">
        <f t="shared" si="36"/>
        <v>1.1454134356656022E-3</v>
      </c>
      <c r="AR139" s="29">
        <f t="shared" si="37"/>
        <v>4.6575694506806875E-3</v>
      </c>
      <c r="AT139" s="12"/>
      <c r="AU139">
        <f t="shared" si="29"/>
        <v>0</v>
      </c>
      <c r="AV139">
        <f t="shared" si="30"/>
        <v>1</v>
      </c>
      <c r="AW139">
        <f t="shared" si="38"/>
        <v>0</v>
      </c>
      <c r="AX139">
        <f t="shared" si="31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1.084260901706381E-2</v>
      </c>
      <c r="BE139" s="29">
        <f t="shared" si="42"/>
        <v>1.1454134356656022E-3</v>
      </c>
      <c r="BF139" s="29">
        <f t="shared" si="43"/>
        <v>1.5500178467744499E-2</v>
      </c>
      <c r="BH139" s="29"/>
    </row>
    <row r="140" spans="1:60" x14ac:dyDescent="0.3">
      <c r="A140" s="1">
        <v>46226</v>
      </c>
      <c r="B140" s="33">
        <v>46.19</v>
      </c>
      <c r="C140" s="33">
        <v>117.03</v>
      </c>
      <c r="D140" s="15">
        <v>5.6448261048119798E-3</v>
      </c>
      <c r="E140" s="15">
        <v>5.0541933092523497E-3</v>
      </c>
      <c r="F140" s="33">
        <v>0</v>
      </c>
      <c r="G140" s="33">
        <v>0.59436</v>
      </c>
      <c r="H140" s="33">
        <v>0</v>
      </c>
      <c r="I140" s="33">
        <v>1.253117</v>
      </c>
      <c r="J140" s="33">
        <v>0</v>
      </c>
      <c r="K140" s="33">
        <v>0</v>
      </c>
      <c r="L140" s="33">
        <v>46.19</v>
      </c>
      <c r="M140" s="33">
        <v>117.03</v>
      </c>
      <c r="N140" s="34">
        <v>2.5336652955185102</v>
      </c>
      <c r="O140" s="34">
        <v>2.5341745756035601</v>
      </c>
      <c r="P140" s="34">
        <v>2.5387947368995398</v>
      </c>
      <c r="Q140" s="34">
        <v>2.5352534349546501</v>
      </c>
      <c r="R140" s="33">
        <v>117.053523647128</v>
      </c>
      <c r="S140" s="33">
        <v>117.285933550613</v>
      </c>
      <c r="T140" s="33">
        <v>117.096605282206</v>
      </c>
      <c r="U140" s="15">
        <v>2.00985074397799E-4</v>
      </c>
      <c r="V140" s="15">
        <v>2.1845177023553201E-3</v>
      </c>
      <c r="W140" s="15">
        <v>5.6896809248271202E-4</v>
      </c>
      <c r="X140" s="34">
        <v>2.5336652955185102</v>
      </c>
      <c r="Y140" s="34">
        <v>2.5351085643703399</v>
      </c>
      <c r="Z140" s="34">
        <v>2.5387947368995398</v>
      </c>
      <c r="AA140" s="34">
        <v>2.5352534349546501</v>
      </c>
      <c r="AB140" s="33">
        <v>117.09666458826599</v>
      </c>
      <c r="AC140" s="33">
        <v>117.285933550613</v>
      </c>
      <c r="AD140" s="33">
        <v>117.096605282206</v>
      </c>
      <c r="AE140" s="15">
        <v>5.6947456356600901E-4</v>
      </c>
      <c r="AF140" s="15">
        <v>2.18451770235554E-3</v>
      </c>
      <c r="AG140" s="15">
        <v>5.6896809248271202E-4</v>
      </c>
      <c r="AI140" s="12"/>
      <c r="AJ140">
        <f t="shared" si="24"/>
        <v>0</v>
      </c>
      <c r="AK140">
        <f t="shared" si="25"/>
        <v>1</v>
      </c>
      <c r="AL140">
        <f t="shared" si="34"/>
        <v>0</v>
      </c>
      <c r="AM140">
        <f t="shared" si="26"/>
        <v>1</v>
      </c>
      <c r="AN140">
        <f t="shared" si="35"/>
        <v>0</v>
      </c>
      <c r="AO140" s="28">
        <f t="shared" si="27"/>
        <v>0</v>
      </c>
      <c r="AP140" s="28">
        <f t="shared" si="28"/>
        <v>0</v>
      </c>
      <c r="AQ140" s="28">
        <f t="shared" si="36"/>
        <v>0</v>
      </c>
      <c r="AR140" s="29">
        <f t="shared" si="37"/>
        <v>4.6575694506806875E-3</v>
      </c>
      <c r="AT140" s="12"/>
      <c r="AU140">
        <f t="shared" si="29"/>
        <v>0</v>
      </c>
      <c r="AV140">
        <f t="shared" si="30"/>
        <v>0</v>
      </c>
      <c r="AW140">
        <f t="shared" si="38"/>
        <v>0</v>
      </c>
      <c r="AX140">
        <f t="shared" si="31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1.084260901706381E-2</v>
      </c>
      <c r="BE140" s="29">
        <f t="shared" si="42"/>
        <v>0</v>
      </c>
      <c r="BF140" s="29">
        <f t="shared" si="43"/>
        <v>1.5500178467744499E-2</v>
      </c>
      <c r="BH140" s="29"/>
    </row>
    <row r="141" spans="1:60" x14ac:dyDescent="0.3">
      <c r="A141" s="1">
        <v>46227</v>
      </c>
      <c r="B141" s="33">
        <v>46.29</v>
      </c>
      <c r="C141" s="33">
        <v>117.16</v>
      </c>
      <c r="D141" s="15">
        <v>2.16263060066514E-3</v>
      </c>
      <c r="E141" s="15">
        <v>1.1102097728578899E-3</v>
      </c>
      <c r="F141" s="33">
        <v>0</v>
      </c>
      <c r="G141" s="33">
        <v>0.59436</v>
      </c>
      <c r="H141" s="33">
        <v>0</v>
      </c>
      <c r="I141" s="33">
        <v>1.253117</v>
      </c>
      <c r="J141" s="33">
        <v>0</v>
      </c>
      <c r="K141" s="33">
        <v>0</v>
      </c>
      <c r="L141" s="33">
        <v>46.29</v>
      </c>
      <c r="M141" s="33">
        <v>117.16</v>
      </c>
      <c r="N141" s="34">
        <v>2.5310002160293799</v>
      </c>
      <c r="O141" s="34">
        <v>2.5341745756035601</v>
      </c>
      <c r="P141" s="34">
        <v>2.5382281652410801</v>
      </c>
      <c r="Q141" s="34">
        <v>2.5353694217648401</v>
      </c>
      <c r="R141" s="33">
        <v>117.30694110468799</v>
      </c>
      <c r="S141" s="33">
        <v>117.520808371079</v>
      </c>
      <c r="T141" s="33">
        <v>117.35688150404999</v>
      </c>
      <c r="U141" s="15">
        <v>1.25340590220514E-3</v>
      </c>
      <c r="V141" s="15">
        <v>3.0748884654799801E-3</v>
      </c>
      <c r="W141" s="15">
        <v>1.67903947077651E-3</v>
      </c>
      <c r="X141" s="34">
        <v>2.5310002160293799</v>
      </c>
      <c r="Y141" s="34">
        <v>2.5351085643703399</v>
      </c>
      <c r="Z141" s="34">
        <v>2.5382281652410801</v>
      </c>
      <c r="AA141" s="34">
        <v>2.5353694217648401</v>
      </c>
      <c r="AB141" s="33">
        <v>117.350175444703</v>
      </c>
      <c r="AC141" s="33">
        <v>117.520808371079</v>
      </c>
      <c r="AD141" s="33">
        <v>117.35688150404999</v>
      </c>
      <c r="AE141" s="15">
        <v>1.6218953913735199E-3</v>
      </c>
      <c r="AF141" s="15">
        <v>3.0748884654799801E-3</v>
      </c>
      <c r="AG141" s="15">
        <v>1.6790394707767301E-3</v>
      </c>
      <c r="AI141" s="12"/>
      <c r="AJ141">
        <f t="shared" si="24"/>
        <v>0</v>
      </c>
      <c r="AK141">
        <f t="shared" si="25"/>
        <v>1</v>
      </c>
      <c r="AL141">
        <f t="shared" si="34"/>
        <v>0</v>
      </c>
      <c r="AM141">
        <f t="shared" si="26"/>
        <v>1</v>
      </c>
      <c r="AN141">
        <f t="shared" si="35"/>
        <v>0</v>
      </c>
      <c r="AO141" s="28">
        <f t="shared" si="27"/>
        <v>0</v>
      </c>
      <c r="AP141" s="28">
        <f t="shared" si="28"/>
        <v>0</v>
      </c>
      <c r="AQ141" s="28">
        <f t="shared" si="36"/>
        <v>0</v>
      </c>
      <c r="AR141" s="29">
        <f t="shared" si="37"/>
        <v>4.6575694506806875E-3</v>
      </c>
      <c r="AT141" s="12"/>
      <c r="AU141">
        <f t="shared" si="29"/>
        <v>1</v>
      </c>
      <c r="AV141">
        <f t="shared" si="30"/>
        <v>0</v>
      </c>
      <c r="AW141">
        <f t="shared" si="38"/>
        <v>0</v>
      </c>
      <c r="AX141">
        <f t="shared" si="31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1.084260901706381E-2</v>
      </c>
      <c r="BE141" s="29">
        <f t="shared" si="42"/>
        <v>0</v>
      </c>
      <c r="BF141" s="29">
        <f t="shared" si="43"/>
        <v>1.5500178467744499E-2</v>
      </c>
      <c r="BH141" s="29"/>
    </row>
    <row r="142" spans="1:60" x14ac:dyDescent="0.3">
      <c r="A142" s="1">
        <v>46230</v>
      </c>
      <c r="B142" s="33">
        <v>45.68</v>
      </c>
      <c r="C142" s="33">
        <v>115.69</v>
      </c>
      <c r="D142" s="15">
        <v>-1.3265389695424399E-2</v>
      </c>
      <c r="E142" s="15">
        <v>-1.26263219187351E-2</v>
      </c>
      <c r="F142" s="33">
        <v>0</v>
      </c>
      <c r="G142" s="33">
        <v>0.59436</v>
      </c>
      <c r="H142" s="33">
        <v>0</v>
      </c>
      <c r="I142" s="33">
        <v>1.253117</v>
      </c>
      <c r="J142" s="33">
        <v>0</v>
      </c>
      <c r="K142" s="33">
        <v>0</v>
      </c>
      <c r="L142" s="33">
        <v>45.68</v>
      </c>
      <c r="M142" s="33">
        <v>115.69</v>
      </c>
      <c r="N142" s="34">
        <v>2.53261821366024</v>
      </c>
      <c r="O142" s="34">
        <v>2.5341745756035601</v>
      </c>
      <c r="P142" s="34">
        <v>2.5376623400629201</v>
      </c>
      <c r="Q142" s="34">
        <v>2.5355717610192801</v>
      </c>
      <c r="R142" s="33">
        <v>115.76109461356999</v>
      </c>
      <c r="S142" s="33">
        <v>115.94626258821199</v>
      </c>
      <c r="T142" s="33">
        <v>115.815675186218</v>
      </c>
      <c r="U142" s="15">
        <v>6.1433812551601498E-4</v>
      </c>
      <c r="V142" s="15">
        <v>2.2126301806008001E-3</v>
      </c>
      <c r="W142" s="15">
        <v>1.0857202395779899E-3</v>
      </c>
      <c r="X142" s="34">
        <v>2.53261821366024</v>
      </c>
      <c r="Y142" s="34">
        <v>2.5351085643703399</v>
      </c>
      <c r="Z142" s="34">
        <v>2.5376623400629201</v>
      </c>
      <c r="AA142" s="34">
        <v>2.5355717610192801</v>
      </c>
      <c r="AB142" s="33">
        <v>115.803759220437</v>
      </c>
      <c r="AC142" s="33">
        <v>115.94626258821199</v>
      </c>
      <c r="AD142" s="33">
        <v>115.815675186218</v>
      </c>
      <c r="AE142" s="15">
        <v>9.8282761468433699E-4</v>
      </c>
      <c r="AF142" s="15">
        <v>2.2126301806008001E-3</v>
      </c>
      <c r="AG142" s="15">
        <v>1.0857202395779899E-3</v>
      </c>
      <c r="AI142" s="12"/>
      <c r="AJ142">
        <f t="shared" si="24"/>
        <v>0</v>
      </c>
      <c r="AK142">
        <f t="shared" si="25"/>
        <v>1</v>
      </c>
      <c r="AL142">
        <f t="shared" si="34"/>
        <v>0</v>
      </c>
      <c r="AM142">
        <f t="shared" si="26"/>
        <v>1</v>
      </c>
      <c r="AN142">
        <f t="shared" si="35"/>
        <v>0</v>
      </c>
      <c r="AO142" s="28">
        <f t="shared" si="27"/>
        <v>0</v>
      </c>
      <c r="AP142" s="28">
        <f t="shared" si="28"/>
        <v>0</v>
      </c>
      <c r="AQ142" s="28">
        <f t="shared" si="36"/>
        <v>0</v>
      </c>
      <c r="AR142" s="29">
        <f t="shared" si="37"/>
        <v>4.6575694506806875E-3</v>
      </c>
      <c r="AT142" s="12"/>
      <c r="AU142">
        <f t="shared" si="29"/>
        <v>1</v>
      </c>
      <c r="AV142">
        <f t="shared" si="30"/>
        <v>0</v>
      </c>
      <c r="AW142">
        <f t="shared" si="38"/>
        <v>1</v>
      </c>
      <c r="AX142">
        <f t="shared" si="31"/>
        <v>1</v>
      </c>
      <c r="AY142">
        <f t="shared" si="39"/>
        <v>1</v>
      </c>
      <c r="AZ142" s="28">
        <f t="shared" si="32"/>
        <v>1.3265389695424399E-2</v>
      </c>
      <c r="BA142" s="28">
        <f t="shared" si="33"/>
        <v>-1.26263219187351E-2</v>
      </c>
      <c r="BB142" s="28">
        <f t="shared" si="40"/>
        <v>6.3906777668929979E-4</v>
      </c>
      <c r="BC142" s="29">
        <f t="shared" si="41"/>
        <v>1.148167679375311E-2</v>
      </c>
      <c r="BE142" s="29">
        <f t="shared" si="42"/>
        <v>6.3906777668929979E-4</v>
      </c>
      <c r="BF142" s="29">
        <f t="shared" si="43"/>
        <v>1.6139246244433799E-2</v>
      </c>
      <c r="BH142" s="29"/>
    </row>
    <row r="143" spans="1:60" x14ac:dyDescent="0.3">
      <c r="A143" s="1">
        <v>46231</v>
      </c>
      <c r="B143" s="33">
        <v>45.52</v>
      </c>
      <c r="C143" s="33">
        <v>115.37</v>
      </c>
      <c r="D143" s="15">
        <v>-3.5087755296792501E-3</v>
      </c>
      <c r="E143" s="15">
        <v>-2.7698451015991101E-3</v>
      </c>
      <c r="F143" s="33">
        <v>0</v>
      </c>
      <c r="G143" s="33">
        <v>0.59436</v>
      </c>
      <c r="H143" s="33">
        <v>0</v>
      </c>
      <c r="I143" s="33">
        <v>1.253117</v>
      </c>
      <c r="J143" s="33">
        <v>0</v>
      </c>
      <c r="K143" s="33">
        <v>0</v>
      </c>
      <c r="L143" s="33">
        <v>45.52</v>
      </c>
      <c r="M143" s="33">
        <v>115.37</v>
      </c>
      <c r="N143" s="34">
        <v>2.53449033391915</v>
      </c>
      <c r="O143" s="34">
        <v>2.5341745756035601</v>
      </c>
      <c r="P143" s="34">
        <v>2.5373578168779098</v>
      </c>
      <c r="Q143" s="34">
        <v>2.5359924967504401</v>
      </c>
      <c r="R143" s="33">
        <v>115.35562668147401</v>
      </c>
      <c r="S143" s="33">
        <v>115.514389719664</v>
      </c>
      <c r="T143" s="33">
        <v>115.419226561597</v>
      </c>
      <c r="U143" s="15">
        <v>-1.2459230256410799E-4</v>
      </c>
      <c r="V143" s="15">
        <v>1.2507535798602599E-3</v>
      </c>
      <c r="W143" s="15">
        <v>4.2659324334834301E-4</v>
      </c>
      <c r="X143" s="34">
        <v>2.53449033391915</v>
      </c>
      <c r="Y143" s="34">
        <v>2.5351085643703399</v>
      </c>
      <c r="Z143" s="34">
        <v>2.5373578168779098</v>
      </c>
      <c r="AA143" s="34">
        <v>2.5359924967504401</v>
      </c>
      <c r="AB143" s="33">
        <v>115.398141850138</v>
      </c>
      <c r="AC143" s="33">
        <v>115.514389719664</v>
      </c>
      <c r="AD143" s="33">
        <v>115.419226561597</v>
      </c>
      <c r="AE143" s="15">
        <v>2.4389718660415999E-4</v>
      </c>
      <c r="AF143" s="15">
        <v>1.2507535798602599E-3</v>
      </c>
      <c r="AG143" s="15">
        <v>4.2659324334834301E-4</v>
      </c>
      <c r="AI143" s="12"/>
      <c r="AJ143">
        <f t="shared" si="24"/>
        <v>0</v>
      </c>
      <c r="AK143">
        <f t="shared" si="25"/>
        <v>1</v>
      </c>
      <c r="AL143">
        <f t="shared" si="34"/>
        <v>0</v>
      </c>
      <c r="AM143">
        <f t="shared" si="26"/>
        <v>1</v>
      </c>
      <c r="AN143">
        <f t="shared" si="35"/>
        <v>0</v>
      </c>
      <c r="AO143" s="28">
        <f t="shared" si="27"/>
        <v>0</v>
      </c>
      <c r="AP143" s="28">
        <f t="shared" si="28"/>
        <v>0</v>
      </c>
      <c r="AQ143" s="28">
        <f t="shared" si="36"/>
        <v>0</v>
      </c>
      <c r="AR143" s="29">
        <f t="shared" si="37"/>
        <v>4.6575694506806875E-3</v>
      </c>
      <c r="AT143" s="12"/>
      <c r="AU143">
        <f t="shared" si="29"/>
        <v>0</v>
      </c>
      <c r="AV143">
        <f t="shared" si="30"/>
        <v>0</v>
      </c>
      <c r="AW143">
        <f t="shared" si="38"/>
        <v>1</v>
      </c>
      <c r="AX143">
        <f t="shared" si="31"/>
        <v>1</v>
      </c>
      <c r="AY143">
        <f t="shared" si="39"/>
        <v>1</v>
      </c>
      <c r="AZ143" s="28">
        <f t="shared" si="32"/>
        <v>3.5087755296792501E-3</v>
      </c>
      <c r="BA143" s="28">
        <f t="shared" si="33"/>
        <v>-2.7698451015991101E-3</v>
      </c>
      <c r="BB143" s="28">
        <f t="shared" si="40"/>
        <v>7.3893042808013997E-4</v>
      </c>
      <c r="BC143" s="29">
        <f t="shared" si="41"/>
        <v>1.2220607221833249E-2</v>
      </c>
      <c r="BE143" s="29">
        <f t="shared" si="42"/>
        <v>7.3893042808013997E-4</v>
      </c>
      <c r="BF143" s="29">
        <f t="shared" si="43"/>
        <v>1.6878176672513939E-2</v>
      </c>
      <c r="BH143" s="29"/>
    </row>
    <row r="144" spans="1:60" x14ac:dyDescent="0.3">
      <c r="A144" s="1">
        <v>46232</v>
      </c>
      <c r="B144" s="33">
        <v>44.91</v>
      </c>
      <c r="C144" s="33">
        <v>113.95</v>
      </c>
      <c r="D144" s="15">
        <v>-1.34913027184289E-2</v>
      </c>
      <c r="E144" s="15">
        <v>-1.2384599247505E-2</v>
      </c>
      <c r="F144" s="33">
        <v>0</v>
      </c>
      <c r="G144" s="33">
        <v>0.59436</v>
      </c>
      <c r="H144" s="33">
        <v>0</v>
      </c>
      <c r="I144" s="33">
        <v>1.253117</v>
      </c>
      <c r="J144" s="33">
        <v>0</v>
      </c>
      <c r="K144" s="33">
        <v>0</v>
      </c>
      <c r="L144" s="33">
        <v>44.91</v>
      </c>
      <c r="M144" s="33">
        <v>113.95</v>
      </c>
      <c r="N144" s="34">
        <v>2.5372968158539302</v>
      </c>
      <c r="O144" s="34">
        <v>2.5341745756035601</v>
      </c>
      <c r="P144" s="34">
        <v>2.5370627306614399</v>
      </c>
      <c r="Q144" s="34">
        <v>2.5364678359992499</v>
      </c>
      <c r="R144" s="33">
        <v>113.80978019035599</v>
      </c>
      <c r="S144" s="33">
        <v>113.952739555986</v>
      </c>
      <c r="T144" s="33">
        <v>113.891423029062</v>
      </c>
      <c r="U144" s="15">
        <v>-1.2312957734879799E-3</v>
      </c>
      <c r="V144" s="15">
        <v>2.4041448491771799E-5</v>
      </c>
      <c r="W144" s="15">
        <v>-5.1419071606388601E-4</v>
      </c>
      <c r="X144" s="34">
        <v>2.5372968158539302</v>
      </c>
      <c r="Y144" s="34">
        <v>2.5351085643703399</v>
      </c>
      <c r="Z144" s="34">
        <v>2.5370627306614399</v>
      </c>
      <c r="AA144" s="34">
        <v>2.5364678359992499</v>
      </c>
      <c r="AB144" s="33">
        <v>113.85172562587201</v>
      </c>
      <c r="AC144" s="33">
        <v>113.952739555986</v>
      </c>
      <c r="AD144" s="33">
        <v>113.891423029062</v>
      </c>
      <c r="AE144" s="15">
        <v>-8.6280628431973001E-4</v>
      </c>
      <c r="AF144" s="15">
        <v>2.4041448491771799E-5</v>
      </c>
      <c r="AG144" s="15">
        <v>-5.1419071606388601E-4</v>
      </c>
      <c r="AI144" s="12"/>
      <c r="AJ144">
        <f t="shared" si="24"/>
        <v>0</v>
      </c>
      <c r="AK144">
        <f t="shared" si="25"/>
        <v>1</v>
      </c>
      <c r="AL144">
        <f t="shared" si="34"/>
        <v>0</v>
      </c>
      <c r="AM144">
        <f t="shared" si="26"/>
        <v>1</v>
      </c>
      <c r="AN144">
        <f t="shared" si="35"/>
        <v>0</v>
      </c>
      <c r="AO144" s="28">
        <f t="shared" si="27"/>
        <v>0</v>
      </c>
      <c r="AP144" s="28">
        <f t="shared" si="28"/>
        <v>0</v>
      </c>
      <c r="AQ144" s="28">
        <f t="shared" si="36"/>
        <v>0</v>
      </c>
      <c r="AR144" s="29">
        <f t="shared" si="37"/>
        <v>4.6575694506806875E-3</v>
      </c>
      <c r="AT144" s="12"/>
      <c r="AU144">
        <f t="shared" si="29"/>
        <v>0</v>
      </c>
      <c r="AV144">
        <f t="shared" si="30"/>
        <v>1</v>
      </c>
      <c r="AW144">
        <f t="shared" si="38"/>
        <v>1</v>
      </c>
      <c r="AX144">
        <f t="shared" si="31"/>
        <v>1</v>
      </c>
      <c r="AY144">
        <f t="shared" si="39"/>
        <v>1</v>
      </c>
      <c r="AZ144" s="28">
        <f t="shared" si="32"/>
        <v>1.34913027184289E-2</v>
      </c>
      <c r="BA144" s="28">
        <f t="shared" si="33"/>
        <v>-1.2384599247505E-2</v>
      </c>
      <c r="BB144" s="28">
        <f t="shared" si="40"/>
        <v>1.1067034709238994E-3</v>
      </c>
      <c r="BC144" s="29">
        <f t="shared" si="41"/>
        <v>1.3327310692757149E-2</v>
      </c>
      <c r="BE144" s="29">
        <f t="shared" si="42"/>
        <v>1.1067034709238994E-3</v>
      </c>
      <c r="BF144" s="29">
        <f t="shared" si="43"/>
        <v>1.798488014343784E-2</v>
      </c>
      <c r="BH144" s="29"/>
    </row>
    <row r="145" spans="1:60" x14ac:dyDescent="0.3">
      <c r="A145" s="1">
        <v>46233</v>
      </c>
      <c r="B145" s="33">
        <v>44.66</v>
      </c>
      <c r="C145" s="33">
        <v>113.1</v>
      </c>
      <c r="D145" s="15">
        <v>-5.5822406876348402E-3</v>
      </c>
      <c r="E145" s="15">
        <v>-7.4873725696185398E-3</v>
      </c>
      <c r="F145" s="33">
        <v>0</v>
      </c>
      <c r="G145" s="33">
        <v>0.59436</v>
      </c>
      <c r="H145" s="33">
        <v>0</v>
      </c>
      <c r="I145" s="33">
        <v>1.253117</v>
      </c>
      <c r="J145" s="33">
        <v>0</v>
      </c>
      <c r="K145" s="33">
        <v>0</v>
      </c>
      <c r="L145" s="33">
        <v>44.66</v>
      </c>
      <c r="M145" s="33">
        <v>113.1</v>
      </c>
      <c r="N145" s="34">
        <v>2.5324675324675301</v>
      </c>
      <c r="O145" s="34">
        <v>2.5341745756035601</v>
      </c>
      <c r="P145" s="34">
        <v>2.5359219756610001</v>
      </c>
      <c r="Q145" s="34">
        <v>2.5365444178940102</v>
      </c>
      <c r="R145" s="33">
        <v>113.176236546455</v>
      </c>
      <c r="S145" s="33">
        <v>113.30522155134</v>
      </c>
      <c r="T145" s="33">
        <v>113.278653555726</v>
      </c>
      <c r="U145" s="15">
        <v>6.7383610849583301E-4</v>
      </c>
      <c r="V145" s="15">
        <v>1.8128699165063399E-3</v>
      </c>
      <c r="W145" s="15">
        <v>1.5783607686435199E-3</v>
      </c>
      <c r="X145" s="34">
        <v>2.5324675324675301</v>
      </c>
      <c r="Y145" s="34">
        <v>2.5351085643703399</v>
      </c>
      <c r="Z145" s="34">
        <v>2.5359219756610001</v>
      </c>
      <c r="AA145" s="34">
        <v>2.5365444178940102</v>
      </c>
      <c r="AB145" s="33">
        <v>113.217948484779</v>
      </c>
      <c r="AC145" s="33">
        <v>113.30522155134</v>
      </c>
      <c r="AD145" s="33">
        <v>113.278653555726</v>
      </c>
      <c r="AE145" s="15">
        <v>1.04232559766404E-3</v>
      </c>
      <c r="AF145" s="15">
        <v>1.8128699165063399E-3</v>
      </c>
      <c r="AG145" s="15">
        <v>1.5783607686435199E-3</v>
      </c>
      <c r="AI145" s="12"/>
      <c r="AJ145">
        <f t="shared" si="24"/>
        <v>0</v>
      </c>
      <c r="AK145">
        <f t="shared" si="25"/>
        <v>1</v>
      </c>
      <c r="AL145">
        <f t="shared" si="34"/>
        <v>0</v>
      </c>
      <c r="AM145">
        <f t="shared" si="26"/>
        <v>1</v>
      </c>
      <c r="AN145">
        <f t="shared" si="35"/>
        <v>0</v>
      </c>
      <c r="AO145" s="28">
        <f t="shared" si="27"/>
        <v>0</v>
      </c>
      <c r="AP145" s="28">
        <f t="shared" si="28"/>
        <v>0</v>
      </c>
      <c r="AQ145" s="28">
        <f t="shared" si="36"/>
        <v>0</v>
      </c>
      <c r="AR145" s="29">
        <f t="shared" si="37"/>
        <v>4.6575694506806875E-3</v>
      </c>
      <c r="AT145" s="12"/>
      <c r="AU145">
        <f t="shared" si="29"/>
        <v>1</v>
      </c>
      <c r="AV145">
        <f t="shared" si="30"/>
        <v>0</v>
      </c>
      <c r="AW145">
        <f t="shared" si="38"/>
        <v>0</v>
      </c>
      <c r="AX145">
        <f t="shared" si="31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1.3327310692757149E-2</v>
      </c>
      <c r="BE145" s="29">
        <f t="shared" si="42"/>
        <v>0</v>
      </c>
      <c r="BF145" s="29">
        <f t="shared" si="43"/>
        <v>1.798488014343784E-2</v>
      </c>
      <c r="BH145" s="29"/>
    </row>
    <row r="146" spans="1:60" x14ac:dyDescent="0.3">
      <c r="A146" s="1">
        <v>46234</v>
      </c>
      <c r="B146" s="33">
        <v>44.35</v>
      </c>
      <c r="C146" s="33">
        <v>112.39</v>
      </c>
      <c r="D146" s="15">
        <v>-6.9655376564231996E-3</v>
      </c>
      <c r="E146" s="15">
        <v>-6.2974175918989904E-3</v>
      </c>
      <c r="F146" s="33">
        <v>0</v>
      </c>
      <c r="G146" s="33">
        <v>0.59436</v>
      </c>
      <c r="H146" s="33">
        <v>0</v>
      </c>
      <c r="I146" s="33">
        <v>1.253117</v>
      </c>
      <c r="J146" s="33">
        <v>0</v>
      </c>
      <c r="K146" s="33">
        <v>0</v>
      </c>
      <c r="L146" s="33">
        <v>44.35</v>
      </c>
      <c r="M146" s="33">
        <v>112.39</v>
      </c>
      <c r="N146" s="34">
        <v>2.5341600901916501</v>
      </c>
      <c r="O146" s="34">
        <v>2.5341745756035601</v>
      </c>
      <c r="P146" s="34">
        <v>2.5350984451627898</v>
      </c>
      <c r="Q146" s="34">
        <v>2.5367773349910099</v>
      </c>
      <c r="R146" s="33">
        <v>112.390642428018</v>
      </c>
      <c r="S146" s="33">
        <v>112.468139620565</v>
      </c>
      <c r="T146" s="33">
        <v>112.495744933599</v>
      </c>
      <c r="U146" s="15">
        <v>5.7160439715813504E-6</v>
      </c>
      <c r="V146" s="15">
        <v>6.9501263189987201E-4</v>
      </c>
      <c r="W146" s="15">
        <v>9.40432586550122E-4</v>
      </c>
      <c r="X146" s="34">
        <v>2.5341600901916501</v>
      </c>
      <c r="Y146" s="34">
        <v>2.5351085643703399</v>
      </c>
      <c r="Z146" s="34">
        <v>2.5350984451627898</v>
      </c>
      <c r="AA146" s="34">
        <v>2.5367773349910099</v>
      </c>
      <c r="AB146" s="33">
        <v>112.432064829824</v>
      </c>
      <c r="AC146" s="33">
        <v>112.468139620565</v>
      </c>
      <c r="AD146" s="33">
        <v>112.495744933599</v>
      </c>
      <c r="AE146" s="15">
        <v>3.7420553313973799E-4</v>
      </c>
      <c r="AF146" s="15">
        <v>6.9501263189987201E-4</v>
      </c>
      <c r="AG146" s="15">
        <v>9.4043258654989996E-4</v>
      </c>
      <c r="AI146" s="12"/>
      <c r="AJ146">
        <f t="shared" si="24"/>
        <v>0</v>
      </c>
      <c r="AK146">
        <f t="shared" si="25"/>
        <v>1</v>
      </c>
      <c r="AL146">
        <f t="shared" si="34"/>
        <v>0</v>
      </c>
      <c r="AM146">
        <f t="shared" si="26"/>
        <v>1</v>
      </c>
      <c r="AN146">
        <f t="shared" si="35"/>
        <v>0</v>
      </c>
      <c r="AO146" s="28">
        <f t="shared" si="27"/>
        <v>0</v>
      </c>
      <c r="AP146" s="28">
        <f t="shared" si="28"/>
        <v>0</v>
      </c>
      <c r="AQ146" s="28">
        <f t="shared" si="36"/>
        <v>0</v>
      </c>
      <c r="AR146" s="29">
        <f t="shared" si="37"/>
        <v>4.6575694506806875E-3</v>
      </c>
      <c r="AT146" s="12"/>
      <c r="AU146">
        <f t="shared" si="29"/>
        <v>0</v>
      </c>
      <c r="AV146">
        <f t="shared" si="30"/>
        <v>0</v>
      </c>
      <c r="AW146">
        <f t="shared" si="38"/>
        <v>1</v>
      </c>
      <c r="AX146">
        <f t="shared" si="31"/>
        <v>1</v>
      </c>
      <c r="AY146">
        <f t="shared" si="39"/>
        <v>1</v>
      </c>
      <c r="AZ146" s="28">
        <f t="shared" si="32"/>
        <v>6.9655376564231996E-3</v>
      </c>
      <c r="BA146" s="28">
        <f t="shared" si="33"/>
        <v>-6.2974175918989904E-3</v>
      </c>
      <c r="BB146" s="28">
        <f t="shared" si="40"/>
        <v>6.6812006452420924E-4</v>
      </c>
      <c r="BC146" s="29">
        <f t="shared" si="41"/>
        <v>1.3995430757281359E-2</v>
      </c>
      <c r="BE146" s="29">
        <f t="shared" si="42"/>
        <v>6.6812006452420924E-4</v>
      </c>
      <c r="BF146" s="29">
        <f t="shared" si="43"/>
        <v>1.865300020796205E-2</v>
      </c>
      <c r="BH146" s="29"/>
    </row>
    <row r="147" spans="1:60" x14ac:dyDescent="0.3">
      <c r="A147" s="1">
        <v>46237</v>
      </c>
      <c r="B147" s="33">
        <v>44.36</v>
      </c>
      <c r="C147" s="33">
        <v>112.52</v>
      </c>
      <c r="D147" s="15">
        <v>2.2545372657780701E-4</v>
      </c>
      <c r="E147" s="15">
        <v>1.1560180914803599E-3</v>
      </c>
      <c r="F147" s="33">
        <v>0</v>
      </c>
      <c r="G147" s="33">
        <v>0.59436</v>
      </c>
      <c r="H147" s="33">
        <v>0</v>
      </c>
      <c r="I147" s="33">
        <v>1.253117</v>
      </c>
      <c r="J147" s="33">
        <v>0</v>
      </c>
      <c r="K147" s="33">
        <v>0</v>
      </c>
      <c r="L147" s="33">
        <v>44.36</v>
      </c>
      <c r="M147" s="33">
        <v>112.52</v>
      </c>
      <c r="N147" s="34">
        <v>2.5365193868349798</v>
      </c>
      <c r="O147" s="34">
        <v>2.5341745756035601</v>
      </c>
      <c r="P147" s="34">
        <v>2.5345447763696498</v>
      </c>
      <c r="Q147" s="34">
        <v>2.5369476751936801</v>
      </c>
      <c r="R147" s="33">
        <v>112.41598417377401</v>
      </c>
      <c r="S147" s="33">
        <v>112.456967027421</v>
      </c>
      <c r="T147" s="33">
        <v>112.531442580201</v>
      </c>
      <c r="U147" s="15">
        <v>-9.2484832093109597E-4</v>
      </c>
      <c r="V147" s="15">
        <v>-5.6035046663450397E-4</v>
      </c>
      <c r="W147" s="15">
        <v>1.01688574664222E-4</v>
      </c>
      <c r="X147" s="34">
        <v>2.5365193868349798</v>
      </c>
      <c r="Y147" s="34">
        <v>2.5351085643703399</v>
      </c>
      <c r="Z147" s="34">
        <v>2.5345447763696498</v>
      </c>
      <c r="AA147" s="34">
        <v>2.5369476751936801</v>
      </c>
      <c r="AB147" s="33">
        <v>112.457415915468</v>
      </c>
      <c r="AC147" s="33">
        <v>112.456967027421</v>
      </c>
      <c r="AD147" s="33">
        <v>112.531442580201</v>
      </c>
      <c r="AE147" s="15">
        <v>-5.5635883176276605E-4</v>
      </c>
      <c r="AF147" s="15">
        <v>-5.6035046663450397E-4</v>
      </c>
      <c r="AG147" s="15">
        <v>1.01688574664222E-4</v>
      </c>
      <c r="AI147" s="12"/>
      <c r="AJ147">
        <f t="shared" si="24"/>
        <v>0</v>
      </c>
      <c r="AK147">
        <f t="shared" si="25"/>
        <v>1</v>
      </c>
      <c r="AL147">
        <f t="shared" si="34"/>
        <v>0</v>
      </c>
      <c r="AM147">
        <f t="shared" si="26"/>
        <v>1</v>
      </c>
      <c r="AN147">
        <f t="shared" si="35"/>
        <v>0</v>
      </c>
      <c r="AO147" s="28">
        <f t="shared" si="27"/>
        <v>0</v>
      </c>
      <c r="AP147" s="28">
        <f t="shared" si="28"/>
        <v>0</v>
      </c>
      <c r="AQ147" s="28">
        <f t="shared" si="36"/>
        <v>0</v>
      </c>
      <c r="AR147" s="29">
        <f t="shared" si="37"/>
        <v>4.6575694506806875E-3</v>
      </c>
      <c r="AT147" s="12"/>
      <c r="AU147">
        <f t="shared" si="29"/>
        <v>0</v>
      </c>
      <c r="AV147">
        <f t="shared" si="30"/>
        <v>1</v>
      </c>
      <c r="AW147">
        <f t="shared" si="38"/>
        <v>1</v>
      </c>
      <c r="AX147">
        <f t="shared" si="31"/>
        <v>1</v>
      </c>
      <c r="AY147">
        <f t="shared" si="39"/>
        <v>1</v>
      </c>
      <c r="AZ147" s="28">
        <f t="shared" si="32"/>
        <v>-2.2545372657780701E-4</v>
      </c>
      <c r="BA147" s="28">
        <f t="shared" si="33"/>
        <v>1.1560180914803599E-3</v>
      </c>
      <c r="BB147" s="28">
        <f t="shared" si="40"/>
        <v>9.3056436490255288E-4</v>
      </c>
      <c r="BC147" s="29">
        <f t="shared" si="41"/>
        <v>1.4925995122183911E-2</v>
      </c>
      <c r="BE147" s="29">
        <f t="shared" si="42"/>
        <v>9.3056436490255288E-4</v>
      </c>
      <c r="BF147" s="29">
        <f t="shared" si="43"/>
        <v>1.9583564572864604E-2</v>
      </c>
      <c r="BH147" s="29"/>
    </row>
    <row r="148" spans="1:60" x14ac:dyDescent="0.3">
      <c r="A148" s="1">
        <v>46238</v>
      </c>
      <c r="B148" s="33">
        <v>44.11</v>
      </c>
      <c r="C148" s="33">
        <v>111.87</v>
      </c>
      <c r="D148" s="15">
        <v>-5.6516483653178996E-3</v>
      </c>
      <c r="E148" s="15">
        <v>-5.7935007628169E-3</v>
      </c>
      <c r="F148" s="33">
        <v>0</v>
      </c>
      <c r="G148" s="33">
        <v>0.59436</v>
      </c>
      <c r="H148" s="33">
        <v>0</v>
      </c>
      <c r="I148" s="33">
        <v>1.253117</v>
      </c>
      <c r="J148" s="33">
        <v>0</v>
      </c>
      <c r="K148" s="33">
        <v>0</v>
      </c>
      <c r="L148" s="33">
        <v>44.11</v>
      </c>
      <c r="M148" s="33">
        <v>111.87</v>
      </c>
      <c r="N148" s="34">
        <v>2.5361596009974998</v>
      </c>
      <c r="O148" s="34">
        <v>2.5341745756035601</v>
      </c>
      <c r="P148" s="34">
        <v>2.5343539688825798</v>
      </c>
      <c r="Q148" s="34">
        <v>2.5368738171691598</v>
      </c>
      <c r="R148" s="33">
        <v>111.782440529873</v>
      </c>
      <c r="S148" s="33">
        <v>111.798770085665</v>
      </c>
      <c r="T148" s="33">
        <v>111.904761952793</v>
      </c>
      <c r="U148" s="15">
        <v>-7.8299592343208696E-4</v>
      </c>
      <c r="V148" s="15">
        <v>-6.3692322102275496E-4</v>
      </c>
      <c r="W148" s="15">
        <v>3.1068698516110402E-4</v>
      </c>
      <c r="X148" s="34">
        <v>2.5361596009974998</v>
      </c>
      <c r="Y148" s="34">
        <v>2.5351085643703399</v>
      </c>
      <c r="Z148" s="34">
        <v>2.5343539688825798</v>
      </c>
      <c r="AA148" s="34">
        <v>2.5368738171691598</v>
      </c>
      <c r="AB148" s="33">
        <v>111.823638774375</v>
      </c>
      <c r="AC148" s="33">
        <v>111.798770085665</v>
      </c>
      <c r="AD148" s="33">
        <v>111.904761952793</v>
      </c>
      <c r="AE148" s="15">
        <v>-4.1450643426387403E-4</v>
      </c>
      <c r="AF148" s="15">
        <v>-6.3692322102275496E-4</v>
      </c>
      <c r="AG148" s="15">
        <v>3.1068698516110402E-4</v>
      </c>
      <c r="AI148" s="12"/>
      <c r="AJ148">
        <f t="shared" si="24"/>
        <v>0</v>
      </c>
      <c r="AK148">
        <f t="shared" si="25"/>
        <v>1</v>
      </c>
      <c r="AL148">
        <f t="shared" si="34"/>
        <v>0</v>
      </c>
      <c r="AM148">
        <f t="shared" si="26"/>
        <v>1</v>
      </c>
      <c r="AN148">
        <f t="shared" si="35"/>
        <v>0</v>
      </c>
      <c r="AO148" s="28">
        <f t="shared" si="27"/>
        <v>0</v>
      </c>
      <c r="AP148" s="28">
        <f t="shared" si="28"/>
        <v>0</v>
      </c>
      <c r="AQ148" s="28">
        <f t="shared" si="36"/>
        <v>0</v>
      </c>
      <c r="AR148" s="29">
        <f t="shared" si="37"/>
        <v>4.6575694506806875E-3</v>
      </c>
      <c r="AT148" s="12"/>
      <c r="AU148">
        <f t="shared" si="29"/>
        <v>0</v>
      </c>
      <c r="AV148">
        <f t="shared" si="30"/>
        <v>0</v>
      </c>
      <c r="AW148">
        <f t="shared" si="38"/>
        <v>0</v>
      </c>
      <c r="AX148">
        <f t="shared" si="31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1.4925995122183911E-2</v>
      </c>
      <c r="BE148" s="29">
        <f t="shared" si="42"/>
        <v>0</v>
      </c>
      <c r="BF148" s="29">
        <f t="shared" si="43"/>
        <v>1.9583564572864604E-2</v>
      </c>
      <c r="BH148" s="29"/>
    </row>
    <row r="149" spans="1:60" x14ac:dyDescent="0.3">
      <c r="A149" s="1">
        <v>46239</v>
      </c>
      <c r="B149" s="33">
        <v>43.66</v>
      </c>
      <c r="C149" s="33">
        <v>110.74</v>
      </c>
      <c r="D149" s="15">
        <v>-1.02541629950506E-2</v>
      </c>
      <c r="E149" s="15">
        <v>-1.0152371464018E-2</v>
      </c>
      <c r="F149" s="33">
        <v>0</v>
      </c>
      <c r="G149" s="33">
        <v>0.59436</v>
      </c>
      <c r="H149" s="33">
        <v>0</v>
      </c>
      <c r="I149" s="33">
        <v>1.253117</v>
      </c>
      <c r="J149" s="33">
        <v>0</v>
      </c>
      <c r="K149" s="33">
        <v>0</v>
      </c>
      <c r="L149" s="33">
        <v>43.66</v>
      </c>
      <c r="M149" s="33">
        <v>110.74</v>
      </c>
      <c r="N149" s="34">
        <v>2.5364177737058999</v>
      </c>
      <c r="O149" s="34">
        <v>2.5341745756035601</v>
      </c>
      <c r="P149" s="34">
        <v>2.5344795259178801</v>
      </c>
      <c r="Q149" s="34">
        <v>2.5368428540025998</v>
      </c>
      <c r="R149" s="33">
        <v>110.642061970851</v>
      </c>
      <c r="S149" s="33">
        <v>110.649894281413</v>
      </c>
      <c r="T149" s="33">
        <v>110.75991085760501</v>
      </c>
      <c r="U149" s="15">
        <v>-8.8478745446461096E-4</v>
      </c>
      <c r="V149" s="15">
        <v>-8.1400033054069296E-4</v>
      </c>
      <c r="W149" s="15">
        <v>1.7978208282074499E-4</v>
      </c>
      <c r="X149" s="34">
        <v>2.5364177737058999</v>
      </c>
      <c r="Y149" s="34">
        <v>2.5351085643703399</v>
      </c>
      <c r="Z149" s="34">
        <v>2.5344795259178801</v>
      </c>
      <c r="AA149" s="34">
        <v>2.5368428540025998</v>
      </c>
      <c r="AB149" s="33">
        <v>110.68283992040899</v>
      </c>
      <c r="AC149" s="33">
        <v>110.649894281413</v>
      </c>
      <c r="AD149" s="33">
        <v>110.75991085760501</v>
      </c>
      <c r="AE149" s="15">
        <v>-5.1629796529630001E-4</v>
      </c>
      <c r="AF149" s="15">
        <v>-8.1400033054069296E-4</v>
      </c>
      <c r="AG149" s="15">
        <v>1.7978208282074499E-4</v>
      </c>
      <c r="AI149" s="12"/>
      <c r="AJ149">
        <f t="shared" si="24"/>
        <v>0</v>
      </c>
      <c r="AK149">
        <f t="shared" si="25"/>
        <v>1</v>
      </c>
      <c r="AL149">
        <f t="shared" si="34"/>
        <v>0</v>
      </c>
      <c r="AM149">
        <f t="shared" si="26"/>
        <v>1</v>
      </c>
      <c r="AN149">
        <f t="shared" si="35"/>
        <v>0</v>
      </c>
      <c r="AO149" s="28">
        <f t="shared" si="27"/>
        <v>0</v>
      </c>
      <c r="AP149" s="28">
        <f t="shared" si="28"/>
        <v>0</v>
      </c>
      <c r="AQ149" s="28">
        <f t="shared" si="36"/>
        <v>0</v>
      </c>
      <c r="AR149" s="29">
        <f t="shared" si="37"/>
        <v>4.6575694506806875E-3</v>
      </c>
      <c r="AT149" s="12"/>
      <c r="AU149">
        <f t="shared" si="29"/>
        <v>0</v>
      </c>
      <c r="AV149">
        <f t="shared" si="30"/>
        <v>1</v>
      </c>
      <c r="AW149">
        <f t="shared" si="38"/>
        <v>0</v>
      </c>
      <c r="AX149">
        <f t="shared" si="31"/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1.4925995122183911E-2</v>
      </c>
      <c r="BE149" s="29">
        <f t="shared" si="42"/>
        <v>0</v>
      </c>
      <c r="BF149" s="29">
        <f t="shared" si="43"/>
        <v>1.9583564572864604E-2</v>
      </c>
      <c r="BH149" s="29"/>
    </row>
    <row r="150" spans="1:60" x14ac:dyDescent="0.3">
      <c r="A150" s="1">
        <v>46240</v>
      </c>
      <c r="B150" s="33">
        <v>43.38</v>
      </c>
      <c r="C150" s="33">
        <v>110.29</v>
      </c>
      <c r="D150" s="15">
        <v>-6.4338457230693402E-3</v>
      </c>
      <c r="E150" s="15">
        <v>-4.0718510767654504E-3</v>
      </c>
      <c r="F150" s="33">
        <v>0</v>
      </c>
      <c r="G150" s="33">
        <v>0.59436</v>
      </c>
      <c r="H150" s="33">
        <v>0</v>
      </c>
      <c r="I150" s="33">
        <v>1.253117</v>
      </c>
      <c r="J150" s="33">
        <v>0</v>
      </c>
      <c r="K150" s="33">
        <v>0</v>
      </c>
      <c r="L150" s="33">
        <v>43.38</v>
      </c>
      <c r="M150" s="33">
        <v>110.29</v>
      </c>
      <c r="N150" s="34">
        <v>2.5424158598432398</v>
      </c>
      <c r="O150" s="34">
        <v>2.5341745756035601</v>
      </c>
      <c r="P150" s="34">
        <v>2.5353545823503501</v>
      </c>
      <c r="Q150" s="34">
        <v>2.5370746596249401</v>
      </c>
      <c r="R150" s="33">
        <v>109.932493089682</v>
      </c>
      <c r="S150" s="33">
        <v>109.945721834317</v>
      </c>
      <c r="T150" s="33">
        <v>110.048243006633</v>
      </c>
      <c r="U150" s="15">
        <v>-3.24678210076851E-3</v>
      </c>
      <c r="V150" s="15">
        <v>-3.1264541760065699E-3</v>
      </c>
      <c r="W150" s="15">
        <v>-2.19441788300073E-3</v>
      </c>
      <c r="X150" s="34">
        <v>2.5424158598432398</v>
      </c>
      <c r="Y150" s="34">
        <v>2.5351085643703399</v>
      </c>
      <c r="Z150" s="34">
        <v>2.5353545823503501</v>
      </c>
      <c r="AA150" s="34">
        <v>2.5370746596249401</v>
      </c>
      <c r="AB150" s="33">
        <v>109.973009522385</v>
      </c>
      <c r="AC150" s="33">
        <v>109.945721834317</v>
      </c>
      <c r="AD150" s="33">
        <v>110.048243006633</v>
      </c>
      <c r="AE150" s="15">
        <v>-2.8782926116002298E-3</v>
      </c>
      <c r="AF150" s="15">
        <v>-3.1264541760065699E-3</v>
      </c>
      <c r="AG150" s="15">
        <v>-2.1944178830009499E-3</v>
      </c>
      <c r="AI150" s="12"/>
      <c r="AJ150">
        <f t="shared" ref="AJ150:AJ186" si="44">IF($AG150&lt;AI$21,1,0)</f>
        <v>0</v>
      </c>
      <c r="AK150">
        <f t="shared" ref="AK150:AK186" si="45">IF($AG150&gt;AI$22,1,0)</f>
        <v>0</v>
      </c>
      <c r="AL150">
        <f t="shared" si="34"/>
        <v>0</v>
      </c>
      <c r="AM150">
        <f t="shared" ref="AM150:AM186" si="46">IF(F151+H151&gt;0,0,1)</f>
        <v>1</v>
      </c>
      <c r="AN150">
        <f t="shared" si="35"/>
        <v>0</v>
      </c>
      <c r="AO150" s="28">
        <f t="shared" ref="AO150:AO186" si="47">AN150*D150</f>
        <v>0</v>
      </c>
      <c r="AP150" s="28">
        <f t="shared" ref="AP150:AP186" si="48">-AN150*$E150</f>
        <v>0</v>
      </c>
      <c r="AQ150" s="28">
        <f t="shared" si="36"/>
        <v>0</v>
      </c>
      <c r="AR150" s="29">
        <f t="shared" si="37"/>
        <v>4.6575694506806875E-3</v>
      </c>
      <c r="AT150" s="12"/>
      <c r="AU150">
        <f t="shared" ref="AU150:AU186" si="49">IF($AG150&gt;AT$21,1,0)</f>
        <v>0</v>
      </c>
      <c r="AV150">
        <f t="shared" ref="AV150:AV186" si="50">IF($AG150&lt;AT$22,1,0)</f>
        <v>1</v>
      </c>
      <c r="AW150">
        <f t="shared" si="38"/>
        <v>0</v>
      </c>
      <c r="AX150">
        <f t="shared" ref="AX150:AX186" si="51">IF(F151+H151&gt;0,0,1)</f>
        <v>1</v>
      </c>
      <c r="AY150">
        <f t="shared" si="39"/>
        <v>0</v>
      </c>
      <c r="AZ150" s="28">
        <f t="shared" ref="AZ150:AZ186" si="52">-AY150*D150</f>
        <v>0</v>
      </c>
      <c r="BA150" s="28">
        <f t="shared" ref="BA150:BA186" si="53">AY150*$E150</f>
        <v>0</v>
      </c>
      <c r="BB150" s="28">
        <f t="shared" si="40"/>
        <v>0</v>
      </c>
      <c r="BC150" s="29">
        <f t="shared" si="41"/>
        <v>1.4925995122183911E-2</v>
      </c>
      <c r="BE150" s="29">
        <f t="shared" si="42"/>
        <v>0</v>
      </c>
      <c r="BF150" s="29">
        <f t="shared" si="43"/>
        <v>1.9583564572864604E-2</v>
      </c>
      <c r="BH150" s="29"/>
    </row>
    <row r="151" spans="1:60" x14ac:dyDescent="0.3">
      <c r="A151" s="1">
        <v>46241</v>
      </c>
      <c r="B151" s="33">
        <v>43.61</v>
      </c>
      <c r="C151" s="33">
        <v>110.95</v>
      </c>
      <c r="D151" s="15">
        <v>5.2879764559467402E-3</v>
      </c>
      <c r="E151" s="15">
        <v>5.9663890605472702E-3</v>
      </c>
      <c r="F151" s="33">
        <v>0</v>
      </c>
      <c r="G151" s="33">
        <v>0.59436</v>
      </c>
      <c r="H151" s="33">
        <v>0</v>
      </c>
      <c r="I151" s="33">
        <v>1.253117</v>
      </c>
      <c r="J151" s="33">
        <v>0</v>
      </c>
      <c r="K151" s="33">
        <v>0</v>
      </c>
      <c r="L151" s="33">
        <v>43.61</v>
      </c>
      <c r="M151" s="33">
        <v>110.95</v>
      </c>
      <c r="N151" s="34">
        <v>2.5441412520064199</v>
      </c>
      <c r="O151" s="34">
        <v>2.5341745756035601</v>
      </c>
      <c r="P151" s="34">
        <v>2.5366686859480501</v>
      </c>
      <c r="Q151" s="34">
        <v>2.5374484255945702</v>
      </c>
      <c r="R151" s="33">
        <v>110.515353242071</v>
      </c>
      <c r="S151" s="33">
        <v>110.566813336298</v>
      </c>
      <c r="T151" s="33">
        <v>110.64182590624399</v>
      </c>
      <c r="U151" s="15">
        <v>-3.9251947053691597E-3</v>
      </c>
      <c r="V151" s="15">
        <v>-3.4596655679142202E-3</v>
      </c>
      <c r="W151" s="15">
        <v>-2.7814590288101301E-3</v>
      </c>
      <c r="X151" s="34">
        <v>2.5441412520064199</v>
      </c>
      <c r="Y151" s="34">
        <v>2.5351085643703399</v>
      </c>
      <c r="Z151" s="34">
        <v>2.5366686859480501</v>
      </c>
      <c r="AA151" s="34">
        <v>2.5374484255945702</v>
      </c>
      <c r="AB151" s="33">
        <v>110.55608449219</v>
      </c>
      <c r="AC151" s="33">
        <v>110.566813336298</v>
      </c>
      <c r="AD151" s="33">
        <v>110.64182590624399</v>
      </c>
      <c r="AE151" s="15">
        <v>-3.5567052162009498E-3</v>
      </c>
      <c r="AF151" s="15">
        <v>-3.4596655679142202E-3</v>
      </c>
      <c r="AG151" s="15">
        <v>-2.78145902881035E-3</v>
      </c>
      <c r="AI151" s="12"/>
      <c r="AJ151">
        <f t="shared" si="44"/>
        <v>1</v>
      </c>
      <c r="AK151">
        <f t="shared" si="45"/>
        <v>0</v>
      </c>
      <c r="AL151">
        <f t="shared" ref="AL151:AL186" si="54">AN151</f>
        <v>0</v>
      </c>
      <c r="AM151">
        <f t="shared" si="46"/>
        <v>1</v>
      </c>
      <c r="AN151">
        <f t="shared" ref="AN151:AN186" si="55">IF(AJ150,1,IF(AK150,0,AL150))*AM150</f>
        <v>0</v>
      </c>
      <c r="AO151" s="28">
        <f t="shared" si="47"/>
        <v>0</v>
      </c>
      <c r="AP151" s="28">
        <f t="shared" si="48"/>
        <v>0</v>
      </c>
      <c r="AQ151" s="28">
        <f t="shared" ref="AQ151:AQ186" si="56">AO151+AP151</f>
        <v>0</v>
      </c>
      <c r="AR151" s="29">
        <f t="shared" ref="AR151:AR186" si="57">AR150+AQ151</f>
        <v>4.6575694506806875E-3</v>
      </c>
      <c r="AT151" s="12"/>
      <c r="AU151">
        <f t="shared" si="49"/>
        <v>0</v>
      </c>
      <c r="AV151">
        <f t="shared" si="50"/>
        <v>1</v>
      </c>
      <c r="AW151">
        <f t="shared" ref="AW151:AW186" si="58">AY151</f>
        <v>0</v>
      </c>
      <c r="AX151">
        <f t="shared" si="51"/>
        <v>1</v>
      </c>
      <c r="AY151">
        <f t="shared" ref="AY151:AY18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86" si="60">AZ151+BA151</f>
        <v>0</v>
      </c>
      <c r="BC151" s="29">
        <f t="shared" ref="BC151:BC186" si="61">BC150+BB151</f>
        <v>1.4925995122183911E-2</v>
      </c>
      <c r="BE151" s="29">
        <f t="shared" ref="BE151:BE186" si="62">AQ151+BB151</f>
        <v>0</v>
      </c>
      <c r="BF151" s="29">
        <f t="shared" ref="BF151:BF186" si="63">BF150+BE151</f>
        <v>1.9583564572864604E-2</v>
      </c>
      <c r="BH151" s="29"/>
    </row>
    <row r="152" spans="1:60" x14ac:dyDescent="0.3">
      <c r="A152" s="1">
        <v>46244</v>
      </c>
      <c r="B152" s="33">
        <v>43.13</v>
      </c>
      <c r="C152" s="33">
        <v>109.8</v>
      </c>
      <c r="D152" s="15">
        <v>-1.10676711949232E-2</v>
      </c>
      <c r="E152" s="15">
        <v>-1.0419120303172699E-2</v>
      </c>
      <c r="F152" s="33">
        <v>0</v>
      </c>
      <c r="G152" s="33">
        <v>0.59436</v>
      </c>
      <c r="H152" s="33">
        <v>0</v>
      </c>
      <c r="I152" s="33">
        <v>1.253117</v>
      </c>
      <c r="J152" s="33">
        <v>0</v>
      </c>
      <c r="K152" s="33">
        <v>0</v>
      </c>
      <c r="L152" s="33">
        <v>43.13</v>
      </c>
      <c r="M152" s="33">
        <v>109.8</v>
      </c>
      <c r="N152" s="34">
        <v>2.5457917922559701</v>
      </c>
      <c r="O152" s="34">
        <v>2.5341745756035601</v>
      </c>
      <c r="P152" s="34">
        <v>2.53798604380763</v>
      </c>
      <c r="Q152" s="34">
        <v>2.53782419193527</v>
      </c>
      <c r="R152" s="33">
        <v>109.29894944578101</v>
      </c>
      <c r="S152" s="33">
        <v>109.406520424939</v>
      </c>
      <c r="T152" s="33">
        <v>109.440150595893</v>
      </c>
      <c r="U152" s="15">
        <v>-4.5737455971196703E-3</v>
      </c>
      <c r="V152" s="15">
        <v>-3.5900391731679099E-3</v>
      </c>
      <c r="W152" s="15">
        <v>-3.2826991431648199E-3</v>
      </c>
      <c r="X152" s="34">
        <v>2.5457917922559701</v>
      </c>
      <c r="Y152" s="34">
        <v>2.5351085643703399</v>
      </c>
      <c r="Z152" s="34">
        <v>2.53798604380763</v>
      </c>
      <c r="AA152" s="34">
        <v>2.53782419193527</v>
      </c>
      <c r="AB152" s="33">
        <v>109.33923238129201</v>
      </c>
      <c r="AC152" s="33">
        <v>109.406520424939</v>
      </c>
      <c r="AD152" s="33">
        <v>109.440150595893</v>
      </c>
      <c r="AE152" s="15">
        <v>-4.2052561079513303E-3</v>
      </c>
      <c r="AF152" s="15">
        <v>-3.5900391731679099E-3</v>
      </c>
      <c r="AG152" s="15">
        <v>-3.2826991431648199E-3</v>
      </c>
      <c r="AI152" s="12"/>
      <c r="AJ152">
        <f t="shared" si="44"/>
        <v>1</v>
      </c>
      <c r="AK152">
        <f t="shared" si="45"/>
        <v>0</v>
      </c>
      <c r="AL152">
        <f t="shared" si="54"/>
        <v>1</v>
      </c>
      <c r="AM152">
        <f t="shared" si="46"/>
        <v>1</v>
      </c>
      <c r="AN152">
        <f t="shared" si="55"/>
        <v>1</v>
      </c>
      <c r="AO152" s="28">
        <f t="shared" si="47"/>
        <v>-1.10676711949232E-2</v>
      </c>
      <c r="AP152" s="28">
        <f t="shared" si="48"/>
        <v>1.0419120303172699E-2</v>
      </c>
      <c r="AQ152" s="28">
        <f t="shared" si="56"/>
        <v>-6.4855089175050104E-4</v>
      </c>
      <c r="AR152" s="29">
        <f t="shared" si="57"/>
        <v>4.0090185589301865E-3</v>
      </c>
      <c r="AT152" s="12"/>
      <c r="AU152">
        <f t="shared" si="49"/>
        <v>0</v>
      </c>
      <c r="AV152">
        <f t="shared" si="50"/>
        <v>1</v>
      </c>
      <c r="AW152">
        <f t="shared" si="58"/>
        <v>0</v>
      </c>
      <c r="AX152">
        <f t="shared" si="51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1.4925995122183911E-2</v>
      </c>
      <c r="BE152" s="29">
        <f t="shared" si="62"/>
        <v>-6.4855089175050104E-4</v>
      </c>
      <c r="BF152" s="29">
        <f t="shared" si="63"/>
        <v>1.8935013681114103E-2</v>
      </c>
      <c r="BH152" s="29"/>
    </row>
    <row r="153" spans="1:60" x14ac:dyDescent="0.3">
      <c r="A153" s="1">
        <v>46245</v>
      </c>
      <c r="B153" s="33">
        <v>43.63</v>
      </c>
      <c r="C153" s="33">
        <v>110.98</v>
      </c>
      <c r="D153" s="15">
        <v>1.15261764757663E-2</v>
      </c>
      <c r="E153" s="15">
        <v>1.06894758223249E-2</v>
      </c>
      <c r="F153" s="33">
        <v>0</v>
      </c>
      <c r="G153" s="33">
        <v>0.59436</v>
      </c>
      <c r="H153" s="33">
        <v>0</v>
      </c>
      <c r="I153" s="33">
        <v>1.253117</v>
      </c>
      <c r="J153" s="33">
        <v>0</v>
      </c>
      <c r="K153" s="33">
        <v>0</v>
      </c>
      <c r="L153" s="33">
        <v>43.63</v>
      </c>
      <c r="M153" s="33">
        <v>110.98</v>
      </c>
      <c r="N153" s="34">
        <v>2.5436626174650399</v>
      </c>
      <c r="O153" s="34">
        <v>2.5341745756035601</v>
      </c>
      <c r="P153" s="34">
        <v>2.5389032721622198</v>
      </c>
      <c r="Q153" s="34">
        <v>2.5381305445200599</v>
      </c>
      <c r="R153" s="33">
        <v>110.566036733583</v>
      </c>
      <c r="S153" s="33">
        <v>110.732331091326</v>
      </c>
      <c r="T153" s="33">
        <v>110.725269494136</v>
      </c>
      <c r="U153" s="15">
        <v>-3.7370449436781202E-3</v>
      </c>
      <c r="V153" s="15">
        <v>-2.2341473789222201E-3</v>
      </c>
      <c r="W153" s="15">
        <v>-2.2979211864090098E-3</v>
      </c>
      <c r="X153" s="34">
        <v>2.5436626174650399</v>
      </c>
      <c r="Y153" s="34">
        <v>2.5351085643703399</v>
      </c>
      <c r="Z153" s="34">
        <v>2.5389032721622198</v>
      </c>
      <c r="AA153" s="34">
        <v>2.5381305445200599</v>
      </c>
      <c r="AB153" s="33">
        <v>110.606786663478</v>
      </c>
      <c r="AC153" s="33">
        <v>110.732331091326</v>
      </c>
      <c r="AD153" s="33">
        <v>110.725269494136</v>
      </c>
      <c r="AE153" s="15">
        <v>-3.3685554545098699E-3</v>
      </c>
      <c r="AF153" s="15">
        <v>-2.2341473789219998E-3</v>
      </c>
      <c r="AG153" s="15">
        <v>-2.2979211864090098E-3</v>
      </c>
      <c r="AI153" s="12"/>
      <c r="AJ153">
        <f t="shared" si="44"/>
        <v>0</v>
      </c>
      <c r="AK153">
        <f t="shared" si="45"/>
        <v>0</v>
      </c>
      <c r="AL153">
        <f t="shared" si="54"/>
        <v>1</v>
      </c>
      <c r="AM153">
        <f t="shared" si="46"/>
        <v>1</v>
      </c>
      <c r="AN153">
        <f t="shared" si="55"/>
        <v>1</v>
      </c>
      <c r="AO153" s="28">
        <f t="shared" si="47"/>
        <v>1.15261764757663E-2</v>
      </c>
      <c r="AP153" s="28">
        <f t="shared" si="48"/>
        <v>-1.06894758223249E-2</v>
      </c>
      <c r="AQ153" s="28">
        <f t="shared" si="56"/>
        <v>8.3670065344140093E-4</v>
      </c>
      <c r="AR153" s="29">
        <f t="shared" si="57"/>
        <v>4.8457192123715874E-3</v>
      </c>
      <c r="AT153" s="12"/>
      <c r="AU153">
        <f t="shared" si="49"/>
        <v>0</v>
      </c>
      <c r="AV153">
        <f t="shared" si="50"/>
        <v>1</v>
      </c>
      <c r="AW153">
        <f t="shared" si="58"/>
        <v>0</v>
      </c>
      <c r="AX153">
        <f t="shared" si="51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1.4925995122183911E-2</v>
      </c>
      <c r="BE153" s="29">
        <f t="shared" si="62"/>
        <v>8.3670065344140093E-4</v>
      </c>
      <c r="BF153" s="29">
        <f t="shared" si="63"/>
        <v>1.9771714334555504E-2</v>
      </c>
      <c r="BH153" s="29"/>
    </row>
    <row r="154" spans="1:60" x14ac:dyDescent="0.3">
      <c r="A154" s="1">
        <v>46246</v>
      </c>
      <c r="B154" s="33">
        <v>43.84</v>
      </c>
      <c r="C154" s="33">
        <v>111.49</v>
      </c>
      <c r="D154" s="15">
        <v>4.8016555042419799E-3</v>
      </c>
      <c r="E154" s="15">
        <v>4.5848958817249104E-3</v>
      </c>
      <c r="F154" s="33">
        <v>0</v>
      </c>
      <c r="G154" s="33">
        <v>0.59436</v>
      </c>
      <c r="H154" s="33">
        <v>0</v>
      </c>
      <c r="I154" s="33">
        <v>1.253117</v>
      </c>
      <c r="J154" s="33">
        <v>0</v>
      </c>
      <c r="K154" s="33">
        <v>0</v>
      </c>
      <c r="L154" s="33">
        <v>43.84</v>
      </c>
      <c r="M154" s="33">
        <v>111.49</v>
      </c>
      <c r="N154" s="34">
        <v>2.5431113138686099</v>
      </c>
      <c r="O154" s="34">
        <v>2.5341745756035601</v>
      </c>
      <c r="P154" s="34">
        <v>2.5394847219636798</v>
      </c>
      <c r="Q154" s="34">
        <v>2.5382737263125601</v>
      </c>
      <c r="R154" s="33">
        <v>111.09821339446</v>
      </c>
      <c r="S154" s="33">
        <v>111.305519451591</v>
      </c>
      <c r="T154" s="33">
        <v>111.271643071759</v>
      </c>
      <c r="U154" s="15">
        <v>-3.5202853211612302E-3</v>
      </c>
      <c r="V154" s="15">
        <v>-1.6560529675282299E-3</v>
      </c>
      <c r="W154" s="15">
        <v>-1.9604541891953399E-3</v>
      </c>
      <c r="X154" s="34">
        <v>2.5431113138686099</v>
      </c>
      <c r="Y154" s="34">
        <v>2.5351085643703399</v>
      </c>
      <c r="Z154" s="34">
        <v>2.5394847219636798</v>
      </c>
      <c r="AA154" s="34">
        <v>2.5382737263125601</v>
      </c>
      <c r="AB154" s="33">
        <v>111.13915946199501</v>
      </c>
      <c r="AC154" s="33">
        <v>111.305519451591</v>
      </c>
      <c r="AD154" s="33">
        <v>111.271643071759</v>
      </c>
      <c r="AE154" s="15">
        <v>-3.1517958319928498E-3</v>
      </c>
      <c r="AF154" s="15">
        <v>-1.6560529675283401E-3</v>
      </c>
      <c r="AG154" s="15">
        <v>-1.9604541891953399E-3</v>
      </c>
      <c r="AI154" s="12"/>
      <c r="AJ154">
        <f t="shared" si="44"/>
        <v>0</v>
      </c>
      <c r="AK154">
        <f t="shared" si="45"/>
        <v>0</v>
      </c>
      <c r="AL154">
        <f t="shared" si="54"/>
        <v>1</v>
      </c>
      <c r="AM154">
        <f t="shared" si="46"/>
        <v>1</v>
      </c>
      <c r="AN154">
        <f t="shared" si="55"/>
        <v>1</v>
      </c>
      <c r="AO154" s="28">
        <f t="shared" si="47"/>
        <v>4.8016555042419799E-3</v>
      </c>
      <c r="AP154" s="28">
        <f t="shared" si="48"/>
        <v>-4.5848958817249104E-3</v>
      </c>
      <c r="AQ154" s="28">
        <f t="shared" si="56"/>
        <v>2.1675962251706954E-4</v>
      </c>
      <c r="AR154" s="29">
        <f t="shared" si="57"/>
        <v>5.0624788348886569E-3</v>
      </c>
      <c r="AT154" s="12"/>
      <c r="AU154">
        <f t="shared" si="49"/>
        <v>0</v>
      </c>
      <c r="AV154">
        <f t="shared" si="50"/>
        <v>1</v>
      </c>
      <c r="AW154">
        <f t="shared" si="58"/>
        <v>0</v>
      </c>
      <c r="AX154">
        <f t="shared" si="51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1.4925995122183911E-2</v>
      </c>
      <c r="BE154" s="29">
        <f t="shared" si="62"/>
        <v>2.1675962251706954E-4</v>
      </c>
      <c r="BF154" s="29">
        <f t="shared" si="63"/>
        <v>1.9988473957072574E-2</v>
      </c>
      <c r="BH154" s="29"/>
    </row>
    <row r="155" spans="1:60" x14ac:dyDescent="0.3">
      <c r="A155" s="1">
        <v>46247</v>
      </c>
      <c r="B155" s="33">
        <v>44.04</v>
      </c>
      <c r="C155" s="33">
        <v>111.86</v>
      </c>
      <c r="D155" s="15">
        <v>4.5516692147190996E-3</v>
      </c>
      <c r="E155" s="15">
        <v>3.3131886139618301E-3</v>
      </c>
      <c r="F155" s="33">
        <v>0</v>
      </c>
      <c r="G155" s="33">
        <v>0.59436</v>
      </c>
      <c r="H155" s="33">
        <v>0</v>
      </c>
      <c r="I155" s="33">
        <v>1.253117</v>
      </c>
      <c r="J155" s="33">
        <v>0</v>
      </c>
      <c r="K155" s="33">
        <v>0</v>
      </c>
      <c r="L155" s="33">
        <v>44.04</v>
      </c>
      <c r="M155" s="33">
        <v>111.86</v>
      </c>
      <c r="N155" s="34">
        <v>2.5399636693914598</v>
      </c>
      <c r="O155" s="34">
        <v>2.5341745756035601</v>
      </c>
      <c r="P155" s="34">
        <v>2.5402343356560801</v>
      </c>
      <c r="Q155" s="34">
        <v>2.5380781556585399</v>
      </c>
      <c r="R155" s="33">
        <v>111.60504830958</v>
      </c>
      <c r="S155" s="33">
        <v>111.83890715528</v>
      </c>
      <c r="T155" s="33">
        <v>111.785574906805</v>
      </c>
      <c r="U155" s="15">
        <v>-2.281804720404E-3</v>
      </c>
      <c r="V155" s="15">
        <v>-1.8858245710621799E-4</v>
      </c>
      <c r="W155" s="15">
        <v>-6.6556287530304995E-4</v>
      </c>
      <c r="X155" s="34">
        <v>2.5399636693914598</v>
      </c>
      <c r="Y155" s="34">
        <v>2.5351085643703399</v>
      </c>
      <c r="Z155" s="34">
        <v>2.5402343356560801</v>
      </c>
      <c r="AA155" s="34">
        <v>2.5380781556585399</v>
      </c>
      <c r="AB155" s="33">
        <v>111.646181174869</v>
      </c>
      <c r="AC155" s="33">
        <v>111.83890715528</v>
      </c>
      <c r="AD155" s="33">
        <v>111.785574906805</v>
      </c>
      <c r="AE155" s="15">
        <v>-1.9133152312358201E-3</v>
      </c>
      <c r="AF155" s="15">
        <v>-1.88582457106107E-4</v>
      </c>
      <c r="AG155" s="15">
        <v>-6.6556287530304995E-4</v>
      </c>
      <c r="AI155" s="12"/>
      <c r="AJ155">
        <f t="shared" si="44"/>
        <v>0</v>
      </c>
      <c r="AK155">
        <f t="shared" si="45"/>
        <v>1</v>
      </c>
      <c r="AL155">
        <f t="shared" si="54"/>
        <v>1</v>
      </c>
      <c r="AM155">
        <f t="shared" si="46"/>
        <v>1</v>
      </c>
      <c r="AN155">
        <f t="shared" si="55"/>
        <v>1</v>
      </c>
      <c r="AO155" s="28">
        <f t="shared" si="47"/>
        <v>4.5516692147190996E-3</v>
      </c>
      <c r="AP155" s="28">
        <f t="shared" si="48"/>
        <v>-3.3131886139618301E-3</v>
      </c>
      <c r="AQ155" s="28">
        <f t="shared" si="56"/>
        <v>1.2384806007572696E-3</v>
      </c>
      <c r="AR155" s="29">
        <f t="shared" si="57"/>
        <v>6.3009594356459265E-3</v>
      </c>
      <c r="AT155" s="12"/>
      <c r="AU155">
        <f t="shared" si="49"/>
        <v>0</v>
      </c>
      <c r="AV155">
        <f t="shared" si="50"/>
        <v>1</v>
      </c>
      <c r="AW155">
        <f t="shared" si="58"/>
        <v>0</v>
      </c>
      <c r="AX155">
        <f t="shared" si="51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1.4925995122183911E-2</v>
      </c>
      <c r="BE155" s="29">
        <f t="shared" si="62"/>
        <v>1.2384806007572696E-3</v>
      </c>
      <c r="BF155" s="29">
        <f t="shared" si="63"/>
        <v>2.1226954557829844E-2</v>
      </c>
      <c r="BH155" s="29"/>
    </row>
    <row r="156" spans="1:60" x14ac:dyDescent="0.3">
      <c r="A156" s="1">
        <v>46248</v>
      </c>
      <c r="B156" s="33">
        <v>44.31</v>
      </c>
      <c r="C156" s="33">
        <v>112.53</v>
      </c>
      <c r="D156" s="15">
        <v>6.1120733569189102E-3</v>
      </c>
      <c r="E156" s="15">
        <v>5.9717633684637601E-3</v>
      </c>
      <c r="F156" s="33">
        <v>0</v>
      </c>
      <c r="G156" s="33">
        <v>0.59436</v>
      </c>
      <c r="H156" s="33">
        <v>0</v>
      </c>
      <c r="I156" s="33">
        <v>1.253117</v>
      </c>
      <c r="J156" s="33">
        <v>0</v>
      </c>
      <c r="K156" s="33">
        <v>0</v>
      </c>
      <c r="L156" s="33">
        <v>44.31</v>
      </c>
      <c r="M156" s="33">
        <v>112.53</v>
      </c>
      <c r="N156" s="34">
        <v>2.53960731211916</v>
      </c>
      <c r="O156" s="34">
        <v>2.5341745756035601</v>
      </c>
      <c r="P156" s="34">
        <v>2.5407790578488298</v>
      </c>
      <c r="Q156" s="34">
        <v>2.5379387515058101</v>
      </c>
      <c r="R156" s="33">
        <v>112.289275444993</v>
      </c>
      <c r="S156" s="33">
        <v>112.557783412921</v>
      </c>
      <c r="T156" s="33">
        <v>112.46224307723</v>
      </c>
      <c r="U156" s="15">
        <v>-2.1414947319487901E-3</v>
      </c>
      <c r="V156" s="15">
        <v>2.4686735673374401E-4</v>
      </c>
      <c r="W156" s="15">
        <v>-6.0230454073985395E-4</v>
      </c>
      <c r="X156" s="34">
        <v>2.53960731211916</v>
      </c>
      <c r="Y156" s="34">
        <v>2.5351085643703399</v>
      </c>
      <c r="Z156" s="34">
        <v>2.5407790578488298</v>
      </c>
      <c r="AA156" s="34">
        <v>2.5379387515058101</v>
      </c>
      <c r="AB156" s="33">
        <v>112.33066048724901</v>
      </c>
      <c r="AC156" s="33">
        <v>112.557783412921</v>
      </c>
      <c r="AD156" s="33">
        <v>112.46224307723</v>
      </c>
      <c r="AE156" s="15">
        <v>-1.7730052427804999E-3</v>
      </c>
      <c r="AF156" s="15">
        <v>2.4686735673374401E-4</v>
      </c>
      <c r="AG156" s="15">
        <v>-6.0230454073985395E-4</v>
      </c>
      <c r="AI156" s="12"/>
      <c r="AJ156">
        <f t="shared" si="44"/>
        <v>0</v>
      </c>
      <c r="AK156">
        <f t="shared" si="45"/>
        <v>1</v>
      </c>
      <c r="AL156">
        <f t="shared" si="54"/>
        <v>0</v>
      </c>
      <c r="AM156">
        <f t="shared" si="46"/>
        <v>1</v>
      </c>
      <c r="AN156">
        <f t="shared" si="55"/>
        <v>0</v>
      </c>
      <c r="AO156" s="28">
        <f t="shared" si="47"/>
        <v>0</v>
      </c>
      <c r="AP156" s="28">
        <f t="shared" si="48"/>
        <v>0</v>
      </c>
      <c r="AQ156" s="28">
        <f t="shared" si="56"/>
        <v>0</v>
      </c>
      <c r="AR156" s="29">
        <f t="shared" si="57"/>
        <v>6.3009594356459265E-3</v>
      </c>
      <c r="AT156" s="12"/>
      <c r="AU156">
        <f t="shared" si="49"/>
        <v>0</v>
      </c>
      <c r="AV156">
        <f t="shared" si="50"/>
        <v>1</v>
      </c>
      <c r="AW156">
        <f t="shared" si="58"/>
        <v>0</v>
      </c>
      <c r="AX156">
        <f t="shared" si="51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1.4925995122183911E-2</v>
      </c>
      <c r="BE156" s="29">
        <f t="shared" si="62"/>
        <v>0</v>
      </c>
      <c r="BF156" s="29">
        <f t="shared" si="63"/>
        <v>2.1226954557829844E-2</v>
      </c>
      <c r="BH156" s="29"/>
    </row>
    <row r="157" spans="1:60" x14ac:dyDescent="0.3">
      <c r="A157" s="1">
        <v>46251</v>
      </c>
      <c r="B157" s="33">
        <v>44.18</v>
      </c>
      <c r="C157" s="33">
        <v>112.16</v>
      </c>
      <c r="D157" s="15">
        <v>-2.9381872194270998E-3</v>
      </c>
      <c r="E157" s="15">
        <v>-3.2934294756257398E-3</v>
      </c>
      <c r="F157" s="33">
        <v>0</v>
      </c>
      <c r="G157" s="33">
        <v>0.59436</v>
      </c>
      <c r="H157" s="33">
        <v>0</v>
      </c>
      <c r="I157" s="33">
        <v>1.253117</v>
      </c>
      <c r="J157" s="33">
        <v>0</v>
      </c>
      <c r="K157" s="33">
        <v>0</v>
      </c>
      <c r="L157" s="33">
        <v>44.18</v>
      </c>
      <c r="M157" s="33">
        <v>112.16</v>
      </c>
      <c r="N157" s="34">
        <v>2.5387052965142498</v>
      </c>
      <c r="O157" s="34">
        <v>2.5341745756035601</v>
      </c>
      <c r="P157" s="34">
        <v>2.5409976488167501</v>
      </c>
      <c r="Q157" s="34">
        <v>2.5377712125932002</v>
      </c>
      <c r="R157" s="33">
        <v>111.95983275016501</v>
      </c>
      <c r="S157" s="33">
        <v>112.251618775761</v>
      </c>
      <c r="T157" s="33">
        <v>112.126134041526</v>
      </c>
      <c r="U157" s="15">
        <v>-1.7862524757500701E-3</v>
      </c>
      <c r="V157" s="15">
        <v>8.1652439701193104E-4</v>
      </c>
      <c r="W157" s="15">
        <v>-3.0198887573099097E-4</v>
      </c>
      <c r="X157" s="34">
        <v>2.5387052965142498</v>
      </c>
      <c r="Y157" s="34">
        <v>2.5351085643703399</v>
      </c>
      <c r="Z157" s="34">
        <v>2.5409976488167598</v>
      </c>
      <c r="AA157" s="34">
        <v>2.5377712125932002</v>
      </c>
      <c r="AB157" s="33">
        <v>112.001096373881</v>
      </c>
      <c r="AC157" s="33">
        <v>112.251618775761</v>
      </c>
      <c r="AD157" s="33">
        <v>112.126134041526</v>
      </c>
      <c r="AE157" s="15">
        <v>-1.4177629865818101E-3</v>
      </c>
      <c r="AF157" s="15">
        <v>8.1652439701193104E-4</v>
      </c>
      <c r="AG157" s="15">
        <v>-3.0198887573099097E-4</v>
      </c>
      <c r="AI157" s="12"/>
      <c r="AJ157">
        <f t="shared" si="44"/>
        <v>0</v>
      </c>
      <c r="AK157">
        <f t="shared" si="45"/>
        <v>1</v>
      </c>
      <c r="AL157">
        <f t="shared" si="54"/>
        <v>0</v>
      </c>
      <c r="AM157">
        <f t="shared" si="46"/>
        <v>1</v>
      </c>
      <c r="AN157">
        <f t="shared" si="55"/>
        <v>0</v>
      </c>
      <c r="AO157" s="28">
        <f t="shared" si="47"/>
        <v>0</v>
      </c>
      <c r="AP157" s="28">
        <f t="shared" si="48"/>
        <v>0</v>
      </c>
      <c r="AQ157" s="28">
        <f t="shared" si="56"/>
        <v>0</v>
      </c>
      <c r="AR157" s="29">
        <f t="shared" si="57"/>
        <v>6.3009594356459265E-3</v>
      </c>
      <c r="AT157" s="12"/>
      <c r="AU157">
        <f t="shared" si="49"/>
        <v>0</v>
      </c>
      <c r="AV157">
        <f t="shared" si="50"/>
        <v>1</v>
      </c>
      <c r="AW157">
        <f t="shared" si="58"/>
        <v>0</v>
      </c>
      <c r="AX157">
        <f t="shared" si="51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1.4925995122183911E-2</v>
      </c>
      <c r="BE157" s="29">
        <f t="shared" si="62"/>
        <v>0</v>
      </c>
      <c r="BF157" s="29">
        <f t="shared" si="63"/>
        <v>2.1226954557829844E-2</v>
      </c>
      <c r="BH157" s="29"/>
    </row>
    <row r="158" spans="1:60" x14ac:dyDescent="0.3">
      <c r="A158" s="1">
        <v>46252</v>
      </c>
      <c r="B158" s="33">
        <v>44.02</v>
      </c>
      <c r="C158" s="33">
        <v>111.66</v>
      </c>
      <c r="D158" s="15">
        <v>-3.6281218936553799E-3</v>
      </c>
      <c r="E158" s="15">
        <v>-4.4678834040655299E-3</v>
      </c>
      <c r="F158" s="33">
        <v>0</v>
      </c>
      <c r="G158" s="33">
        <v>0.59436</v>
      </c>
      <c r="H158" s="33">
        <v>0</v>
      </c>
      <c r="I158" s="33">
        <v>1.253117</v>
      </c>
      <c r="J158" s="33">
        <v>0</v>
      </c>
      <c r="K158" s="33">
        <v>0</v>
      </c>
      <c r="L158" s="33">
        <v>44.02</v>
      </c>
      <c r="M158" s="33">
        <v>111.66</v>
      </c>
      <c r="N158" s="34">
        <v>2.5365742844161701</v>
      </c>
      <c r="O158" s="34">
        <v>2.5341745756035601</v>
      </c>
      <c r="P158" s="34">
        <v>2.5410391171586202</v>
      </c>
      <c r="Q158" s="34">
        <v>2.5376965430206</v>
      </c>
      <c r="R158" s="33">
        <v>111.554364818068</v>
      </c>
      <c r="S158" s="33">
        <v>111.854716500913</v>
      </c>
      <c r="T158" s="33">
        <v>111.712688778352</v>
      </c>
      <c r="U158" s="15">
        <v>-9.4649096533994895E-4</v>
      </c>
      <c r="V158" s="15">
        <v>1.7423152552976801E-3</v>
      </c>
      <c r="W158" s="15">
        <v>4.7175668268405597E-4</v>
      </c>
      <c r="X158" s="34">
        <v>2.5365742844161701</v>
      </c>
      <c r="Y158" s="34">
        <v>2.5351085643703399</v>
      </c>
      <c r="Z158" s="34">
        <v>2.5410391171586202</v>
      </c>
      <c r="AA158" s="34">
        <v>2.5376965430206</v>
      </c>
      <c r="AB158" s="33">
        <v>111.595479003582</v>
      </c>
      <c r="AC158" s="33">
        <v>111.854716500913</v>
      </c>
      <c r="AD158" s="33">
        <v>111.712688778352</v>
      </c>
      <c r="AE158" s="15">
        <v>-5.7800147617162402E-4</v>
      </c>
      <c r="AF158" s="15">
        <v>1.74231525529812E-3</v>
      </c>
      <c r="AG158" s="15">
        <v>4.7175668268405597E-4</v>
      </c>
      <c r="AI158" s="12"/>
      <c r="AJ158">
        <f t="shared" si="44"/>
        <v>0</v>
      </c>
      <c r="AK158">
        <f t="shared" si="45"/>
        <v>1</v>
      </c>
      <c r="AL158">
        <f t="shared" si="54"/>
        <v>0</v>
      </c>
      <c r="AM158">
        <f t="shared" si="46"/>
        <v>1</v>
      </c>
      <c r="AN158">
        <f t="shared" si="55"/>
        <v>0</v>
      </c>
      <c r="AO158" s="28">
        <f t="shared" si="47"/>
        <v>0</v>
      </c>
      <c r="AP158" s="28">
        <f t="shared" si="48"/>
        <v>0</v>
      </c>
      <c r="AQ158" s="28">
        <f t="shared" si="56"/>
        <v>0</v>
      </c>
      <c r="AR158" s="29">
        <f t="shared" si="57"/>
        <v>6.3009594356459265E-3</v>
      </c>
      <c r="AT158" s="12"/>
      <c r="AU158">
        <f t="shared" si="49"/>
        <v>0</v>
      </c>
      <c r="AV158">
        <f t="shared" si="50"/>
        <v>0</v>
      </c>
      <c r="AW158">
        <f t="shared" si="58"/>
        <v>0</v>
      </c>
      <c r="AX158">
        <f t="shared" si="51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1.4925995122183911E-2</v>
      </c>
      <c r="BE158" s="29">
        <f t="shared" si="62"/>
        <v>0</v>
      </c>
      <c r="BF158" s="29">
        <f t="shared" si="63"/>
        <v>2.1226954557829844E-2</v>
      </c>
      <c r="BH158" s="29"/>
    </row>
    <row r="159" spans="1:60" x14ac:dyDescent="0.3">
      <c r="A159" s="1">
        <v>46253</v>
      </c>
      <c r="B159" s="33">
        <v>44.02</v>
      </c>
      <c r="C159" s="33">
        <v>111.86</v>
      </c>
      <c r="D159" s="15">
        <v>0</v>
      </c>
      <c r="E159" s="15">
        <v>1.78954951122763E-3</v>
      </c>
      <c r="F159" s="33">
        <v>0</v>
      </c>
      <c r="G159" s="33">
        <v>0.59436</v>
      </c>
      <c r="H159" s="33">
        <v>0</v>
      </c>
      <c r="I159" s="33">
        <v>1.253117</v>
      </c>
      <c r="J159" s="33">
        <v>0</v>
      </c>
      <c r="K159" s="33">
        <v>0</v>
      </c>
      <c r="L159" s="33">
        <v>44.02</v>
      </c>
      <c r="M159" s="33">
        <v>111.86</v>
      </c>
      <c r="N159" s="34">
        <v>2.5411176737846399</v>
      </c>
      <c r="O159" s="34">
        <v>2.5341745756035601</v>
      </c>
      <c r="P159" s="34">
        <v>2.5415091071664899</v>
      </c>
      <c r="Q159" s="34">
        <v>2.5379943165421901</v>
      </c>
      <c r="R159" s="33">
        <v>111.554364818068</v>
      </c>
      <c r="S159" s="33">
        <v>111.85654193732201</v>
      </c>
      <c r="T159" s="33">
        <v>111.709401823767</v>
      </c>
      <c r="U159" s="15">
        <v>-2.7360404765675301E-3</v>
      </c>
      <c r="V159" s="15">
        <v>-3.0914680225137301E-5</v>
      </c>
      <c r="W159" s="15">
        <v>-1.3472165491552699E-3</v>
      </c>
      <c r="X159" s="34">
        <v>2.5411176737846399</v>
      </c>
      <c r="Y159" s="34">
        <v>2.5351085643703399</v>
      </c>
      <c r="Z159" s="34">
        <v>2.5415091071664899</v>
      </c>
      <c r="AA159" s="34">
        <v>2.5379943165421901</v>
      </c>
      <c r="AB159" s="33">
        <v>111.595479003582</v>
      </c>
      <c r="AC159" s="33">
        <v>111.85654193732201</v>
      </c>
      <c r="AD159" s="33">
        <v>111.709401823767</v>
      </c>
      <c r="AE159" s="15">
        <v>-2.3675509873991901E-3</v>
      </c>
      <c r="AF159" s="15">
        <v>-3.0914680225137301E-5</v>
      </c>
      <c r="AG159" s="15">
        <v>-1.34721654915505E-3</v>
      </c>
      <c r="AI159" s="12"/>
      <c r="AJ159">
        <f t="shared" si="44"/>
        <v>0</v>
      </c>
      <c r="AK159">
        <f t="shared" si="45"/>
        <v>0</v>
      </c>
      <c r="AL159">
        <f t="shared" si="54"/>
        <v>0</v>
      </c>
      <c r="AM159">
        <f t="shared" si="46"/>
        <v>1</v>
      </c>
      <c r="AN159">
        <f t="shared" si="55"/>
        <v>0</v>
      </c>
      <c r="AO159" s="28">
        <f t="shared" si="47"/>
        <v>0</v>
      </c>
      <c r="AP159" s="28">
        <f t="shared" si="48"/>
        <v>0</v>
      </c>
      <c r="AQ159" s="28">
        <f t="shared" si="56"/>
        <v>0</v>
      </c>
      <c r="AR159" s="29">
        <f t="shared" si="57"/>
        <v>6.3009594356459265E-3</v>
      </c>
      <c r="AT159" s="12"/>
      <c r="AU159">
        <f t="shared" si="49"/>
        <v>0</v>
      </c>
      <c r="AV159">
        <f t="shared" si="50"/>
        <v>1</v>
      </c>
      <c r="AW159">
        <f t="shared" si="58"/>
        <v>0</v>
      </c>
      <c r="AX159">
        <f t="shared" si="51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1.4925995122183911E-2</v>
      </c>
      <c r="BE159" s="29">
        <f t="shared" si="62"/>
        <v>0</v>
      </c>
      <c r="BF159" s="29">
        <f t="shared" si="63"/>
        <v>2.1226954557829844E-2</v>
      </c>
      <c r="BH159" s="29"/>
    </row>
    <row r="160" spans="1:60" x14ac:dyDescent="0.3">
      <c r="A160" s="1">
        <v>46254</v>
      </c>
      <c r="B160" s="33">
        <v>43.77</v>
      </c>
      <c r="C160" s="33">
        <v>111.22</v>
      </c>
      <c r="D160" s="15">
        <v>-5.6954248955116598E-3</v>
      </c>
      <c r="E160" s="15">
        <v>-5.7378676340240102E-3</v>
      </c>
      <c r="F160" s="33">
        <v>0</v>
      </c>
      <c r="G160" s="33">
        <v>0.59436</v>
      </c>
      <c r="H160" s="33">
        <v>0</v>
      </c>
      <c r="I160" s="33">
        <v>1.253117</v>
      </c>
      <c r="J160" s="33">
        <v>0</v>
      </c>
      <c r="K160" s="33">
        <v>0</v>
      </c>
      <c r="L160" s="33">
        <v>43.77</v>
      </c>
      <c r="M160" s="33">
        <v>111.22</v>
      </c>
      <c r="N160" s="34">
        <v>2.5410098240804202</v>
      </c>
      <c r="O160" s="34">
        <v>2.5341745756035601</v>
      </c>
      <c r="P160" s="34">
        <v>2.5413685035902098</v>
      </c>
      <c r="Q160" s="34">
        <v>2.5383615429702799</v>
      </c>
      <c r="R160" s="33">
        <v>110.920821174167</v>
      </c>
      <c r="S160" s="33">
        <v>111.24185362067701</v>
      </c>
      <c r="T160" s="33">
        <v>111.088011235051</v>
      </c>
      <c r="U160" s="15">
        <v>-2.6935977380552001E-3</v>
      </c>
      <c r="V160" s="15">
        <v>1.9647072423717299E-4</v>
      </c>
      <c r="W160" s="15">
        <v>-1.1874406120039301E-3</v>
      </c>
      <c r="X160" s="34">
        <v>2.5410098240804202</v>
      </c>
      <c r="Y160" s="34">
        <v>2.5351085643703399</v>
      </c>
      <c r="Z160" s="34">
        <v>2.5413685035902098</v>
      </c>
      <c r="AA160" s="34">
        <v>2.5383615429702799</v>
      </c>
      <c r="AB160" s="33">
        <v>110.96170186248899</v>
      </c>
      <c r="AC160" s="33">
        <v>111.24185362067701</v>
      </c>
      <c r="AD160" s="33">
        <v>111.088011235051</v>
      </c>
      <c r="AE160" s="15">
        <v>-2.3251082488868801E-3</v>
      </c>
      <c r="AF160" s="15">
        <v>1.9647072423717299E-4</v>
      </c>
      <c r="AG160" s="15">
        <v>-1.18744061200404E-3</v>
      </c>
      <c r="AI160" s="12"/>
      <c r="AJ160">
        <f t="shared" si="44"/>
        <v>0</v>
      </c>
      <c r="AK160">
        <f t="shared" si="45"/>
        <v>0</v>
      </c>
      <c r="AL160">
        <f t="shared" si="54"/>
        <v>0</v>
      </c>
      <c r="AM160">
        <f t="shared" si="46"/>
        <v>1</v>
      </c>
      <c r="AN160">
        <f t="shared" si="55"/>
        <v>0</v>
      </c>
      <c r="AO160" s="28">
        <f t="shared" si="47"/>
        <v>0</v>
      </c>
      <c r="AP160" s="28">
        <f t="shared" si="48"/>
        <v>0</v>
      </c>
      <c r="AQ160" s="28">
        <f t="shared" si="56"/>
        <v>0</v>
      </c>
      <c r="AR160" s="29">
        <f t="shared" si="57"/>
        <v>6.3009594356459265E-3</v>
      </c>
      <c r="AT160" s="12"/>
      <c r="AU160">
        <f t="shared" si="49"/>
        <v>0</v>
      </c>
      <c r="AV160">
        <f t="shared" si="50"/>
        <v>1</v>
      </c>
      <c r="AW160">
        <f t="shared" si="58"/>
        <v>0</v>
      </c>
      <c r="AX160">
        <f t="shared" si="51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1.4925995122183911E-2</v>
      </c>
      <c r="BE160" s="29">
        <f t="shared" si="62"/>
        <v>0</v>
      </c>
      <c r="BF160" s="29">
        <f t="shared" si="63"/>
        <v>2.1226954557829844E-2</v>
      </c>
      <c r="BH160" s="29"/>
    </row>
    <row r="161" spans="1:60" x14ac:dyDescent="0.3">
      <c r="A161" s="1">
        <v>46255</v>
      </c>
      <c r="B161" s="33">
        <v>42.77</v>
      </c>
      <c r="C161" s="33">
        <v>108.97</v>
      </c>
      <c r="D161" s="15">
        <v>-2.3111728963986701E-2</v>
      </c>
      <c r="E161" s="15">
        <v>-2.0437606770623101E-2</v>
      </c>
      <c r="F161" s="33">
        <v>0</v>
      </c>
      <c r="G161" s="33">
        <v>0.59436</v>
      </c>
      <c r="H161" s="33">
        <v>0</v>
      </c>
      <c r="I161" s="33">
        <v>1.253117</v>
      </c>
      <c r="J161" s="33">
        <v>0</v>
      </c>
      <c r="K161" s="33">
        <v>0</v>
      </c>
      <c r="L161" s="33">
        <v>42.77</v>
      </c>
      <c r="M161" s="33">
        <v>108.97</v>
      </c>
      <c r="N161" s="34">
        <v>2.5478138882394199</v>
      </c>
      <c r="O161" s="34">
        <v>2.5341745756035601</v>
      </c>
      <c r="P161" s="34">
        <v>2.5417357672135101</v>
      </c>
      <c r="Q161" s="34">
        <v>2.5392022265807799</v>
      </c>
      <c r="R161" s="33">
        <v>108.386646598564</v>
      </c>
      <c r="S161" s="33">
        <v>108.69433089855301</v>
      </c>
      <c r="T161" s="33">
        <v>108.565723192839</v>
      </c>
      <c r="U161" s="15">
        <v>-5.36771993141868E-3</v>
      </c>
      <c r="V161" s="15">
        <v>-2.5329758688407301E-3</v>
      </c>
      <c r="W161" s="15">
        <v>-3.7168816841461698E-3</v>
      </c>
      <c r="X161" s="34">
        <v>2.5478138882394199</v>
      </c>
      <c r="Y161" s="34">
        <v>2.5351085643703399</v>
      </c>
      <c r="Z161" s="34">
        <v>2.5417357672135101</v>
      </c>
      <c r="AA161" s="34">
        <v>2.5392022265807799</v>
      </c>
      <c r="AB161" s="33">
        <v>108.426593298119</v>
      </c>
      <c r="AC161" s="33">
        <v>108.69433089855301</v>
      </c>
      <c r="AD161" s="33">
        <v>108.565723192839</v>
      </c>
      <c r="AE161" s="15">
        <v>-4.9992304422504796E-3</v>
      </c>
      <c r="AF161" s="15">
        <v>-2.5329758688408398E-3</v>
      </c>
      <c r="AG161" s="15">
        <v>-3.7168816841461698E-3</v>
      </c>
      <c r="AI161" s="12"/>
      <c r="AJ161">
        <f t="shared" si="44"/>
        <v>1</v>
      </c>
      <c r="AK161">
        <f t="shared" si="45"/>
        <v>0</v>
      </c>
      <c r="AL161">
        <f t="shared" si="54"/>
        <v>0</v>
      </c>
      <c r="AM161">
        <f t="shared" si="46"/>
        <v>1</v>
      </c>
      <c r="AN161">
        <f t="shared" si="55"/>
        <v>0</v>
      </c>
      <c r="AO161" s="28">
        <f t="shared" si="47"/>
        <v>0</v>
      </c>
      <c r="AP161" s="28">
        <f t="shared" si="48"/>
        <v>0</v>
      </c>
      <c r="AQ161" s="28">
        <f t="shared" si="56"/>
        <v>0</v>
      </c>
      <c r="AR161" s="29">
        <f t="shared" si="57"/>
        <v>6.3009594356459265E-3</v>
      </c>
      <c r="AT161" s="12"/>
      <c r="AU161">
        <f t="shared" si="49"/>
        <v>0</v>
      </c>
      <c r="AV161">
        <f t="shared" si="50"/>
        <v>1</v>
      </c>
      <c r="AW161">
        <f t="shared" si="58"/>
        <v>0</v>
      </c>
      <c r="AX161">
        <f t="shared" si="51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1.4925995122183911E-2</v>
      </c>
      <c r="BE161" s="29">
        <f t="shared" si="62"/>
        <v>0</v>
      </c>
      <c r="BF161" s="29">
        <f t="shared" si="63"/>
        <v>2.1226954557829844E-2</v>
      </c>
      <c r="BH161" s="29"/>
    </row>
    <row r="162" spans="1:60" x14ac:dyDescent="0.3">
      <c r="A162" s="1">
        <v>46258</v>
      </c>
      <c r="B162" s="33">
        <v>43.22</v>
      </c>
      <c r="C162" s="33">
        <v>110.03</v>
      </c>
      <c r="D162" s="15">
        <v>1.0466428839922401E-2</v>
      </c>
      <c r="E162" s="15">
        <v>9.6804408930264794E-3</v>
      </c>
      <c r="F162" s="33">
        <v>0</v>
      </c>
      <c r="G162" s="33">
        <v>0.59436</v>
      </c>
      <c r="H162" s="33">
        <v>0</v>
      </c>
      <c r="I162" s="33">
        <v>1.253117</v>
      </c>
      <c r="J162" s="33">
        <v>0</v>
      </c>
      <c r="K162" s="33">
        <v>0</v>
      </c>
      <c r="L162" s="33">
        <v>43.22</v>
      </c>
      <c r="M162" s="33">
        <v>110.03</v>
      </c>
      <c r="N162" s="34">
        <v>2.54581212401665</v>
      </c>
      <c r="O162" s="34">
        <v>2.5341745756035601</v>
      </c>
      <c r="P162" s="34">
        <v>2.5417378003895799</v>
      </c>
      <c r="Q162" s="34">
        <v>2.5398619220985998</v>
      </c>
      <c r="R162" s="33">
        <v>109.527025157586</v>
      </c>
      <c r="S162" s="33">
        <v>109.853819858968</v>
      </c>
      <c r="T162" s="33">
        <v>109.744320232821</v>
      </c>
      <c r="U162" s="15">
        <v>-4.5817319845226903E-3</v>
      </c>
      <c r="V162" s="15">
        <v>-1.60248424687826E-3</v>
      </c>
      <c r="W162" s="15">
        <v>-2.5997571306653399E-3</v>
      </c>
      <c r="X162" s="34">
        <v>2.54581212401665</v>
      </c>
      <c r="Y162" s="34">
        <v>2.5351085643703399</v>
      </c>
      <c r="Z162" s="34">
        <v>2.5417378003895799</v>
      </c>
      <c r="AA162" s="34">
        <v>2.5398619220985998</v>
      </c>
      <c r="AB162" s="33">
        <v>109.567392152086</v>
      </c>
      <c r="AC162" s="33">
        <v>109.853819858968</v>
      </c>
      <c r="AD162" s="33">
        <v>109.744320232821</v>
      </c>
      <c r="AE162" s="15">
        <v>-4.21324249535445E-3</v>
      </c>
      <c r="AF162" s="15">
        <v>-1.60248424687814E-3</v>
      </c>
      <c r="AG162" s="15">
        <v>-2.5997571306652298E-3</v>
      </c>
      <c r="AI162" s="12"/>
      <c r="AJ162">
        <f t="shared" si="44"/>
        <v>1</v>
      </c>
      <c r="AK162">
        <f t="shared" si="45"/>
        <v>0</v>
      </c>
      <c r="AL162">
        <f t="shared" si="54"/>
        <v>1</v>
      </c>
      <c r="AM162">
        <f t="shared" si="46"/>
        <v>1</v>
      </c>
      <c r="AN162">
        <f t="shared" si="55"/>
        <v>1</v>
      </c>
      <c r="AO162" s="28">
        <f t="shared" si="47"/>
        <v>1.0466428839922401E-2</v>
      </c>
      <c r="AP162" s="28">
        <f t="shared" si="48"/>
        <v>-9.6804408930264794E-3</v>
      </c>
      <c r="AQ162" s="28">
        <f t="shared" si="56"/>
        <v>7.8598794689592119E-4</v>
      </c>
      <c r="AR162" s="29">
        <f t="shared" si="57"/>
        <v>7.0869473825418477E-3</v>
      </c>
      <c r="AT162" s="12"/>
      <c r="AU162">
        <f t="shared" si="49"/>
        <v>0</v>
      </c>
      <c r="AV162">
        <f t="shared" si="50"/>
        <v>1</v>
      </c>
      <c r="AW162">
        <f t="shared" si="58"/>
        <v>0</v>
      </c>
      <c r="AX162">
        <f t="shared" si="51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1.4925995122183911E-2</v>
      </c>
      <c r="BE162" s="29">
        <f t="shared" si="62"/>
        <v>7.8598794689592119E-4</v>
      </c>
      <c r="BF162" s="29">
        <f t="shared" si="63"/>
        <v>2.2012942504725765E-2</v>
      </c>
      <c r="BH162" s="29"/>
    </row>
    <row r="163" spans="1:60" x14ac:dyDescent="0.3">
      <c r="A163" s="1">
        <v>46259</v>
      </c>
      <c r="B163" s="33">
        <v>43.31</v>
      </c>
      <c r="C163" s="33">
        <v>110.05</v>
      </c>
      <c r="D163" s="15">
        <v>2.0802041477954798E-3</v>
      </c>
      <c r="E163" s="15">
        <v>1.8175209064929301E-4</v>
      </c>
      <c r="F163" s="33">
        <v>0</v>
      </c>
      <c r="G163" s="33">
        <v>0.59436</v>
      </c>
      <c r="H163" s="33">
        <v>0</v>
      </c>
      <c r="I163" s="33">
        <v>1.253117</v>
      </c>
      <c r="J163" s="33">
        <v>0</v>
      </c>
      <c r="K163" s="33">
        <v>0</v>
      </c>
      <c r="L163" s="33">
        <v>43.31</v>
      </c>
      <c r="M163" s="33">
        <v>110.05</v>
      </c>
      <c r="N163" s="34">
        <v>2.5409836065573699</v>
      </c>
      <c r="O163" s="34">
        <v>2.5341745756035601</v>
      </c>
      <c r="P163" s="34">
        <v>2.5414698992988098</v>
      </c>
      <c r="Q163" s="34">
        <v>2.5401865857305101</v>
      </c>
      <c r="R163" s="33">
        <v>109.75510086939001</v>
      </c>
      <c r="S163" s="33">
        <v>110.082664134872</v>
      </c>
      <c r="T163" s="33">
        <v>110.00141984609</v>
      </c>
      <c r="U163" s="15">
        <v>-2.6832799273765499E-3</v>
      </c>
      <c r="V163" s="15">
        <v>2.9676772632618699E-4</v>
      </c>
      <c r="W163" s="15">
        <v>-4.41534571623822E-4</v>
      </c>
      <c r="X163" s="34">
        <v>2.5409836065573699</v>
      </c>
      <c r="Y163" s="34">
        <v>2.5351085643703399</v>
      </c>
      <c r="Z163" s="34">
        <v>2.5414698992988098</v>
      </c>
      <c r="AA163" s="34">
        <v>2.5401865857305101</v>
      </c>
      <c r="AB163" s="33">
        <v>109.795551922879</v>
      </c>
      <c r="AC163" s="33">
        <v>110.082664134872</v>
      </c>
      <c r="AD163" s="33">
        <v>110.00141984609</v>
      </c>
      <c r="AE163" s="15">
        <v>-2.31479043820833E-3</v>
      </c>
      <c r="AF163" s="15">
        <v>2.9676772632618699E-4</v>
      </c>
      <c r="AG163" s="15">
        <v>-4.4153457162404399E-4</v>
      </c>
      <c r="AI163" s="12"/>
      <c r="AJ163">
        <f t="shared" si="44"/>
        <v>0</v>
      </c>
      <c r="AK163">
        <f t="shared" si="45"/>
        <v>1</v>
      </c>
      <c r="AL163">
        <f t="shared" si="54"/>
        <v>1</v>
      </c>
      <c r="AM163">
        <f t="shared" si="46"/>
        <v>1</v>
      </c>
      <c r="AN163">
        <f t="shared" si="55"/>
        <v>1</v>
      </c>
      <c r="AO163" s="28">
        <f t="shared" si="47"/>
        <v>2.0802041477954798E-3</v>
      </c>
      <c r="AP163" s="28">
        <f t="shared" si="48"/>
        <v>-1.8175209064929301E-4</v>
      </c>
      <c r="AQ163" s="28">
        <f t="shared" si="56"/>
        <v>1.8984520571461868E-3</v>
      </c>
      <c r="AR163" s="29">
        <f t="shared" si="57"/>
        <v>8.9853994396880341E-3</v>
      </c>
      <c r="AT163" s="12"/>
      <c r="AU163">
        <f t="shared" si="49"/>
        <v>0</v>
      </c>
      <c r="AV163">
        <f t="shared" si="50"/>
        <v>1</v>
      </c>
      <c r="AW163">
        <f t="shared" si="58"/>
        <v>0</v>
      </c>
      <c r="AX163">
        <f t="shared" si="51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1.4925995122183911E-2</v>
      </c>
      <c r="BE163" s="29">
        <f t="shared" si="62"/>
        <v>1.8984520571461868E-3</v>
      </c>
      <c r="BF163" s="29">
        <f t="shared" si="63"/>
        <v>2.3911394561871951E-2</v>
      </c>
      <c r="BH163" s="29"/>
    </row>
    <row r="164" spans="1:60" x14ac:dyDescent="0.3">
      <c r="A164" s="1">
        <v>46260</v>
      </c>
      <c r="B164" s="33">
        <v>43.51</v>
      </c>
      <c r="C164" s="33">
        <v>110.49</v>
      </c>
      <c r="D164" s="15">
        <v>4.6072415060532902E-3</v>
      </c>
      <c r="E164" s="15">
        <v>3.9902111526128898E-3</v>
      </c>
      <c r="F164" s="33">
        <v>0</v>
      </c>
      <c r="G164" s="33">
        <v>0.59436</v>
      </c>
      <c r="H164" s="33">
        <v>0</v>
      </c>
      <c r="I164" s="33">
        <v>1.253117</v>
      </c>
      <c r="J164" s="33">
        <v>0</v>
      </c>
      <c r="K164" s="33">
        <v>0</v>
      </c>
      <c r="L164" s="33">
        <v>43.51</v>
      </c>
      <c r="M164" s="33">
        <v>110.49</v>
      </c>
      <c r="N164" s="34">
        <v>2.5394162261548998</v>
      </c>
      <c r="O164" s="34">
        <v>2.5341745756035601</v>
      </c>
      <c r="P164" s="34">
        <v>2.5411003905274399</v>
      </c>
      <c r="Q164" s="34">
        <v>2.5402925562455598</v>
      </c>
      <c r="R164" s="33">
        <v>110.261935784511</v>
      </c>
      <c r="S164" s="33">
        <v>110.579355318491</v>
      </c>
      <c r="T164" s="33">
        <v>110.52351834513399</v>
      </c>
      <c r="U164" s="15">
        <v>-2.0662495739361998E-3</v>
      </c>
      <c r="V164" s="15">
        <v>8.08391766728559E-4</v>
      </c>
      <c r="W164" s="15">
        <v>3.0331488899726198E-4</v>
      </c>
      <c r="X164" s="34">
        <v>2.5394162261548998</v>
      </c>
      <c r="Y164" s="34">
        <v>2.5351085643703399</v>
      </c>
      <c r="Z164" s="34">
        <v>2.5411003905274399</v>
      </c>
      <c r="AA164" s="34">
        <v>2.5402925562455598</v>
      </c>
      <c r="AB164" s="33">
        <v>110.30257363575301</v>
      </c>
      <c r="AC164" s="33">
        <v>110.579355318491</v>
      </c>
      <c r="AD164" s="33">
        <v>110.52351834513399</v>
      </c>
      <c r="AE164" s="15">
        <v>-1.6977600847678301E-3</v>
      </c>
      <c r="AF164" s="15">
        <v>8.08391766728559E-4</v>
      </c>
      <c r="AG164" s="15">
        <v>3.0331488899726198E-4</v>
      </c>
      <c r="AI164" s="12"/>
      <c r="AJ164">
        <f t="shared" si="44"/>
        <v>0</v>
      </c>
      <c r="AK164">
        <f t="shared" si="45"/>
        <v>1</v>
      </c>
      <c r="AL164">
        <f t="shared" si="54"/>
        <v>0</v>
      </c>
      <c r="AM164">
        <f t="shared" si="46"/>
        <v>1</v>
      </c>
      <c r="AN164">
        <f t="shared" si="55"/>
        <v>0</v>
      </c>
      <c r="AO164" s="28">
        <f t="shared" si="47"/>
        <v>0</v>
      </c>
      <c r="AP164" s="28">
        <f t="shared" si="48"/>
        <v>0</v>
      </c>
      <c r="AQ164" s="28">
        <f t="shared" si="56"/>
        <v>0</v>
      </c>
      <c r="AR164" s="29">
        <f t="shared" si="57"/>
        <v>8.9853994396880341E-3</v>
      </c>
      <c r="AT164" s="12"/>
      <c r="AU164">
        <f t="shared" si="49"/>
        <v>0</v>
      </c>
      <c r="AV164">
        <f t="shared" si="50"/>
        <v>0</v>
      </c>
      <c r="AW164">
        <f t="shared" si="58"/>
        <v>0</v>
      </c>
      <c r="AX164">
        <f t="shared" si="51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1.4925995122183911E-2</v>
      </c>
      <c r="BE164" s="29">
        <f t="shared" si="62"/>
        <v>0</v>
      </c>
      <c r="BF164" s="29">
        <f t="shared" si="63"/>
        <v>2.3911394561871951E-2</v>
      </c>
      <c r="BH164" s="29"/>
    </row>
    <row r="165" spans="1:60" x14ac:dyDescent="0.3">
      <c r="A165" s="1">
        <v>46261</v>
      </c>
      <c r="B165" s="33">
        <v>43.18</v>
      </c>
      <c r="C165" s="33">
        <v>109.64</v>
      </c>
      <c r="D165" s="15">
        <v>-7.6133716459273696E-3</v>
      </c>
      <c r="E165" s="15">
        <v>-7.7227476904985302E-3</v>
      </c>
      <c r="F165" s="33">
        <v>0</v>
      </c>
      <c r="G165" s="33">
        <v>0.59436</v>
      </c>
      <c r="H165" s="33">
        <v>0</v>
      </c>
      <c r="I165" s="33">
        <v>1.253117</v>
      </c>
      <c r="J165" s="33">
        <v>0</v>
      </c>
      <c r="K165" s="33">
        <v>0</v>
      </c>
      <c r="L165" s="33">
        <v>43.18</v>
      </c>
      <c r="M165" s="33">
        <v>109.64</v>
      </c>
      <c r="N165" s="34">
        <v>2.53913849004168</v>
      </c>
      <c r="O165" s="34">
        <v>2.5341745756035601</v>
      </c>
      <c r="P165" s="34">
        <v>2.5410178725924699</v>
      </c>
      <c r="Q165" s="34">
        <v>2.5406261041242701</v>
      </c>
      <c r="R165" s="33">
        <v>109.42565817456099</v>
      </c>
      <c r="S165" s="33">
        <v>109.72471486297501</v>
      </c>
      <c r="T165" s="33">
        <v>109.689832578683</v>
      </c>
      <c r="U165" s="15">
        <v>-1.9568735293649998E-3</v>
      </c>
      <c r="V165" s="15">
        <v>7.7236548493685197E-4</v>
      </c>
      <c r="W165" s="15">
        <v>4.5440767409752703E-4</v>
      </c>
      <c r="X165" s="34">
        <v>2.53913849004168</v>
      </c>
      <c r="Y165" s="34">
        <v>2.5351085643703399</v>
      </c>
      <c r="Z165" s="34">
        <v>2.5410178725924699</v>
      </c>
      <c r="AA165" s="34">
        <v>2.5406261041242701</v>
      </c>
      <c r="AB165" s="33">
        <v>109.46598780951101</v>
      </c>
      <c r="AC165" s="33">
        <v>109.72471486297501</v>
      </c>
      <c r="AD165" s="33">
        <v>109.689832578683</v>
      </c>
      <c r="AE165" s="15">
        <v>-1.58838404019683E-3</v>
      </c>
      <c r="AF165" s="15">
        <v>7.7236548493663003E-4</v>
      </c>
      <c r="AG165" s="15">
        <v>4.5440767409752703E-4</v>
      </c>
      <c r="AI165" s="12"/>
      <c r="AJ165">
        <f t="shared" si="44"/>
        <v>0</v>
      </c>
      <c r="AK165">
        <f t="shared" si="45"/>
        <v>1</v>
      </c>
      <c r="AL165">
        <f t="shared" si="54"/>
        <v>0</v>
      </c>
      <c r="AM165">
        <f t="shared" si="46"/>
        <v>1</v>
      </c>
      <c r="AN165">
        <f t="shared" si="55"/>
        <v>0</v>
      </c>
      <c r="AO165" s="28">
        <f t="shared" si="47"/>
        <v>0</v>
      </c>
      <c r="AP165" s="28">
        <f t="shared" si="48"/>
        <v>0</v>
      </c>
      <c r="AQ165" s="28">
        <f t="shared" si="56"/>
        <v>0</v>
      </c>
      <c r="AR165" s="29">
        <f t="shared" si="57"/>
        <v>8.9853994396880341E-3</v>
      </c>
      <c r="AT165" s="12"/>
      <c r="AU165">
        <f t="shared" si="49"/>
        <v>0</v>
      </c>
      <c r="AV165">
        <f t="shared" si="50"/>
        <v>0</v>
      </c>
      <c r="AW165">
        <f t="shared" si="58"/>
        <v>0</v>
      </c>
      <c r="AX165">
        <f t="shared" si="51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1.4925995122183911E-2</v>
      </c>
      <c r="BE165" s="29">
        <f t="shared" si="62"/>
        <v>0</v>
      </c>
      <c r="BF165" s="29">
        <f t="shared" si="63"/>
        <v>2.3911394561871951E-2</v>
      </c>
      <c r="BH165" s="29"/>
    </row>
    <row r="166" spans="1:60" x14ac:dyDescent="0.3">
      <c r="A166" s="1">
        <v>46262</v>
      </c>
      <c r="B166" s="33">
        <v>42.73</v>
      </c>
      <c r="C166" s="33">
        <v>108.67</v>
      </c>
      <c r="D166" s="15">
        <v>-1.0476175430727701E-2</v>
      </c>
      <c r="E166" s="15">
        <v>-8.8865043598247498E-3</v>
      </c>
      <c r="F166" s="33">
        <v>0</v>
      </c>
      <c r="G166" s="33">
        <v>0.59436</v>
      </c>
      <c r="H166" s="33">
        <v>0</v>
      </c>
      <c r="I166" s="33">
        <v>1.253117</v>
      </c>
      <c r="J166" s="33">
        <v>0</v>
      </c>
      <c r="K166" s="33">
        <v>0</v>
      </c>
      <c r="L166" s="33">
        <v>42.73</v>
      </c>
      <c r="M166" s="33">
        <v>108.67</v>
      </c>
      <c r="N166" s="34">
        <v>2.5431780950152101</v>
      </c>
      <c r="O166" s="34">
        <v>2.5341745756035601</v>
      </c>
      <c r="P166" s="34">
        <v>2.5413749508820702</v>
      </c>
      <c r="Q166" s="34">
        <v>2.5410770043654498</v>
      </c>
      <c r="R166" s="33">
        <v>108.28527961554001</v>
      </c>
      <c r="S166" s="33">
        <v>108.57769369587599</v>
      </c>
      <c r="T166" s="33">
        <v>108.56095342923</v>
      </c>
      <c r="U166" s="15">
        <v>-3.5465446002679799E-3</v>
      </c>
      <c r="V166" s="15">
        <v>-8.4977942097445999E-4</v>
      </c>
      <c r="W166" s="15">
        <v>-1.0039690772219599E-3</v>
      </c>
      <c r="X166" s="34">
        <v>2.5431780950152101</v>
      </c>
      <c r="Y166" s="34">
        <v>2.5351085643703399</v>
      </c>
      <c r="Z166" s="34">
        <v>2.5413749508820702</v>
      </c>
      <c r="AA166" s="34">
        <v>2.5410770043654498</v>
      </c>
      <c r="AB166" s="33">
        <v>108.32518895554399</v>
      </c>
      <c r="AC166" s="33">
        <v>108.57769369587599</v>
      </c>
      <c r="AD166" s="33">
        <v>108.56095342923</v>
      </c>
      <c r="AE166" s="15">
        <v>-3.1780551110996902E-3</v>
      </c>
      <c r="AF166" s="15">
        <v>-8.4977942097457101E-4</v>
      </c>
      <c r="AG166" s="15">
        <v>-1.00396907722174E-3</v>
      </c>
      <c r="AI166" s="12"/>
      <c r="AJ166">
        <f t="shared" si="44"/>
        <v>0</v>
      </c>
      <c r="AK166">
        <f t="shared" si="45"/>
        <v>0</v>
      </c>
      <c r="AL166">
        <f t="shared" si="54"/>
        <v>0</v>
      </c>
      <c r="AM166">
        <f t="shared" si="46"/>
        <v>1</v>
      </c>
      <c r="AN166">
        <f t="shared" si="55"/>
        <v>0</v>
      </c>
      <c r="AO166" s="28">
        <f t="shared" si="47"/>
        <v>0</v>
      </c>
      <c r="AP166" s="28">
        <f t="shared" si="48"/>
        <v>0</v>
      </c>
      <c r="AQ166" s="28">
        <f t="shared" si="56"/>
        <v>0</v>
      </c>
      <c r="AR166" s="29">
        <f t="shared" si="57"/>
        <v>8.9853994396880341E-3</v>
      </c>
      <c r="AT166" s="12"/>
      <c r="AU166">
        <f t="shared" si="49"/>
        <v>0</v>
      </c>
      <c r="AV166">
        <f t="shared" si="50"/>
        <v>1</v>
      </c>
      <c r="AW166">
        <f t="shared" si="58"/>
        <v>0</v>
      </c>
      <c r="AX166">
        <f t="shared" si="51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1.4925995122183911E-2</v>
      </c>
      <c r="BE166" s="29">
        <f t="shared" si="62"/>
        <v>0</v>
      </c>
      <c r="BF166" s="29">
        <f t="shared" si="63"/>
        <v>2.3911394561871951E-2</v>
      </c>
      <c r="BH166" s="29"/>
    </row>
    <row r="167" spans="1:60" x14ac:dyDescent="0.3">
      <c r="A167" s="1">
        <v>46265</v>
      </c>
      <c r="B167" s="33">
        <v>42.23</v>
      </c>
      <c r="C167" s="33">
        <v>107.59</v>
      </c>
      <c r="D167" s="15">
        <v>-1.17703807100813E-2</v>
      </c>
      <c r="E167" s="15">
        <v>-9.9880604689424404E-3</v>
      </c>
      <c r="F167" s="33">
        <v>0</v>
      </c>
      <c r="G167" s="33">
        <v>0.59436</v>
      </c>
      <c r="H167" s="33">
        <v>0</v>
      </c>
      <c r="I167" s="33">
        <v>1.253117</v>
      </c>
      <c r="J167" s="33">
        <v>0</v>
      </c>
      <c r="K167" s="33">
        <v>0</v>
      </c>
      <c r="L167" s="33">
        <v>42.23</v>
      </c>
      <c r="M167" s="33">
        <v>107.59</v>
      </c>
      <c r="N167" s="34">
        <v>2.5477148946246699</v>
      </c>
      <c r="O167" s="34">
        <v>2.5341745756035601</v>
      </c>
      <c r="P167" s="34">
        <v>2.5422759106931099</v>
      </c>
      <c r="Q167" s="34">
        <v>2.54163677975493</v>
      </c>
      <c r="R167" s="33">
        <v>107.01819232773801</v>
      </c>
      <c r="S167" s="33">
        <v>107.32226417575001</v>
      </c>
      <c r="T167" s="33">
        <v>107.30968189435301</v>
      </c>
      <c r="U167" s="15">
        <v>-5.3288648414069901E-3</v>
      </c>
      <c r="V167" s="15">
        <v>-2.4915838450192298E-3</v>
      </c>
      <c r="W167" s="15">
        <v>-2.6088290328090602E-3</v>
      </c>
      <c r="X167" s="34">
        <v>2.5477148946246699</v>
      </c>
      <c r="Y167" s="34">
        <v>2.5351085643703399</v>
      </c>
      <c r="Z167" s="34">
        <v>2.5422759106931099</v>
      </c>
      <c r="AA167" s="34">
        <v>2.54163677975493</v>
      </c>
      <c r="AB167" s="33">
        <v>107.057634673359</v>
      </c>
      <c r="AC167" s="33">
        <v>107.32226417575001</v>
      </c>
      <c r="AD167" s="33">
        <v>107.30968189435301</v>
      </c>
      <c r="AE167" s="15">
        <v>-4.96037535223867E-3</v>
      </c>
      <c r="AF167" s="15">
        <v>-2.4915838450192298E-3</v>
      </c>
      <c r="AG167" s="15">
        <v>-2.6088290328090602E-3</v>
      </c>
      <c r="AI167" s="12"/>
      <c r="AJ167">
        <f t="shared" si="44"/>
        <v>1</v>
      </c>
      <c r="AK167">
        <f t="shared" si="45"/>
        <v>0</v>
      </c>
      <c r="AL167">
        <f t="shared" si="54"/>
        <v>0</v>
      </c>
      <c r="AM167">
        <f t="shared" si="46"/>
        <v>1</v>
      </c>
      <c r="AN167">
        <f t="shared" si="55"/>
        <v>0</v>
      </c>
      <c r="AO167" s="28">
        <f t="shared" si="47"/>
        <v>0</v>
      </c>
      <c r="AP167" s="28">
        <f t="shared" si="48"/>
        <v>0</v>
      </c>
      <c r="AQ167" s="28">
        <f t="shared" si="56"/>
        <v>0</v>
      </c>
      <c r="AR167" s="29">
        <f t="shared" si="57"/>
        <v>8.9853994396880341E-3</v>
      </c>
      <c r="AT167" s="12"/>
      <c r="AU167">
        <f t="shared" si="49"/>
        <v>0</v>
      </c>
      <c r="AV167">
        <f t="shared" si="50"/>
        <v>1</v>
      </c>
      <c r="AW167">
        <f t="shared" si="58"/>
        <v>0</v>
      </c>
      <c r="AX167">
        <f t="shared" si="51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1.4925995122183911E-2</v>
      </c>
      <c r="BE167" s="29">
        <f t="shared" si="62"/>
        <v>0</v>
      </c>
      <c r="BF167" s="29">
        <f t="shared" si="63"/>
        <v>2.3911394561871951E-2</v>
      </c>
      <c r="BH167" s="29"/>
    </row>
    <row r="168" spans="1:60" x14ac:dyDescent="0.3">
      <c r="A168" s="1">
        <v>46266</v>
      </c>
      <c r="B168" s="33">
        <v>42.56</v>
      </c>
      <c r="C168" s="33">
        <v>108.37</v>
      </c>
      <c r="D168" s="15">
        <v>7.7839760875368699E-3</v>
      </c>
      <c r="E168" s="15">
        <v>7.2235913290860801E-3</v>
      </c>
      <c r="F168" s="33">
        <v>0</v>
      </c>
      <c r="G168" s="33">
        <v>0.59436</v>
      </c>
      <c r="H168" s="33">
        <v>0</v>
      </c>
      <c r="I168" s="33">
        <v>1.253117</v>
      </c>
      <c r="J168" s="33">
        <v>0</v>
      </c>
      <c r="K168" s="33">
        <v>0</v>
      </c>
      <c r="L168" s="33">
        <v>42.56</v>
      </c>
      <c r="M168" s="33">
        <v>108.37</v>
      </c>
      <c r="N168" s="34">
        <v>2.5462875939849599</v>
      </c>
      <c r="O168" s="34">
        <v>2.5341745756035601</v>
      </c>
      <c r="P168" s="34">
        <v>2.5432472416499898</v>
      </c>
      <c r="Q168" s="34">
        <v>2.5421431794043099</v>
      </c>
      <c r="R168" s="33">
        <v>107.854469937687</v>
      </c>
      <c r="S168" s="33">
        <v>108.199262759099</v>
      </c>
      <c r="T168" s="33">
        <v>108.17206134637</v>
      </c>
      <c r="U168" s="15">
        <v>-4.76848008295617E-3</v>
      </c>
      <c r="V168" s="15">
        <v>-1.5767452324357901E-3</v>
      </c>
      <c r="W168" s="15">
        <v>-1.8281779302265599E-3</v>
      </c>
      <c r="X168" s="34">
        <v>2.5462875939849599</v>
      </c>
      <c r="Y168" s="34">
        <v>2.5351085643703399</v>
      </c>
      <c r="Z168" s="34">
        <v>2.5432472416499898</v>
      </c>
      <c r="AA168" s="34">
        <v>2.5421431794043099</v>
      </c>
      <c r="AB168" s="33">
        <v>107.894220499601</v>
      </c>
      <c r="AC168" s="33">
        <v>108.199262759099</v>
      </c>
      <c r="AD168" s="33">
        <v>108.17206134637</v>
      </c>
      <c r="AE168" s="15">
        <v>-4.3999905937878499E-3</v>
      </c>
      <c r="AF168" s="15">
        <v>-1.5767452324359E-3</v>
      </c>
      <c r="AG168" s="15">
        <v>-1.8281779302265599E-3</v>
      </c>
      <c r="AI168" s="12"/>
      <c r="AJ168">
        <f t="shared" si="44"/>
        <v>0</v>
      </c>
      <c r="AK168">
        <f t="shared" si="45"/>
        <v>0</v>
      </c>
      <c r="AL168">
        <f t="shared" si="54"/>
        <v>1</v>
      </c>
      <c r="AM168">
        <f t="shared" si="46"/>
        <v>1</v>
      </c>
      <c r="AN168">
        <f t="shared" si="55"/>
        <v>1</v>
      </c>
      <c r="AO168" s="28">
        <f t="shared" si="47"/>
        <v>7.7839760875368699E-3</v>
      </c>
      <c r="AP168" s="28">
        <f t="shared" si="48"/>
        <v>-7.2235913290860801E-3</v>
      </c>
      <c r="AQ168" s="28">
        <f t="shared" si="56"/>
        <v>5.6038475845078973E-4</v>
      </c>
      <c r="AR168" s="29">
        <f t="shared" si="57"/>
        <v>9.5457841981388229E-3</v>
      </c>
      <c r="AT168" s="12"/>
      <c r="AU168">
        <f t="shared" si="49"/>
        <v>0</v>
      </c>
      <c r="AV168">
        <f t="shared" si="50"/>
        <v>1</v>
      </c>
      <c r="AW168">
        <f t="shared" si="58"/>
        <v>0</v>
      </c>
      <c r="AX168">
        <f t="shared" si="51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1.4925995122183911E-2</v>
      </c>
      <c r="BE168" s="29">
        <f t="shared" si="62"/>
        <v>5.6038475845078973E-4</v>
      </c>
      <c r="BF168" s="29">
        <f t="shared" si="63"/>
        <v>2.447177932032274E-2</v>
      </c>
      <c r="BH168" s="29"/>
    </row>
    <row r="169" spans="1:60" x14ac:dyDescent="0.3">
      <c r="A169" s="1">
        <v>46267</v>
      </c>
      <c r="B169" s="33">
        <v>42.67</v>
      </c>
      <c r="C169" s="33">
        <v>108.58</v>
      </c>
      <c r="D169" s="15">
        <v>2.5812521665195599E-3</v>
      </c>
      <c r="E169" s="15">
        <v>1.93593054240115E-3</v>
      </c>
      <c r="F169" s="33">
        <v>0</v>
      </c>
      <c r="G169" s="33">
        <v>0.59436</v>
      </c>
      <c r="H169" s="33">
        <v>0</v>
      </c>
      <c r="I169" s="33">
        <v>1.253117</v>
      </c>
      <c r="J169" s="33">
        <v>0</v>
      </c>
      <c r="K169" s="33">
        <v>0</v>
      </c>
      <c r="L169" s="33">
        <v>42.67</v>
      </c>
      <c r="M169" s="33">
        <v>108.58</v>
      </c>
      <c r="N169" s="34">
        <v>2.5446449496133101</v>
      </c>
      <c r="O169" s="34">
        <v>2.5341745756035601</v>
      </c>
      <c r="P169" s="34">
        <v>2.5435999692328601</v>
      </c>
      <c r="Q169" s="34">
        <v>2.5425545381996799</v>
      </c>
      <c r="R169" s="33">
        <v>108.13322914100399</v>
      </c>
      <c r="S169" s="33">
        <v>108.520359801205</v>
      </c>
      <c r="T169" s="33">
        <v>108.473249465181</v>
      </c>
      <c r="U169" s="15">
        <v>-4.1231584588376302E-3</v>
      </c>
      <c r="V169" s="15">
        <v>-5.4942516308653297E-4</v>
      </c>
      <c r="W169" s="15">
        <v>-9.8363460292028395E-4</v>
      </c>
      <c r="X169" s="34">
        <v>2.5446449496133101</v>
      </c>
      <c r="Y169" s="34">
        <v>2.5351085643703399</v>
      </c>
      <c r="Z169" s="34">
        <v>2.5435999692328601</v>
      </c>
      <c r="AA169" s="34">
        <v>2.5425545381996799</v>
      </c>
      <c r="AB169" s="33">
        <v>108.173082441682</v>
      </c>
      <c r="AC169" s="33">
        <v>108.520359801205</v>
      </c>
      <c r="AD169" s="33">
        <v>108.473249465181</v>
      </c>
      <c r="AE169" s="15">
        <v>-3.7546689696693401E-3</v>
      </c>
      <c r="AF169" s="15">
        <v>-5.4942516308653297E-4</v>
      </c>
      <c r="AG169" s="15">
        <v>-9.8363460292028395E-4</v>
      </c>
      <c r="AI169" s="12"/>
      <c r="AJ169">
        <f t="shared" si="44"/>
        <v>0</v>
      </c>
      <c r="AK169">
        <f t="shared" si="45"/>
        <v>1</v>
      </c>
      <c r="AL169">
        <f t="shared" si="54"/>
        <v>1</v>
      </c>
      <c r="AM169">
        <f t="shared" si="46"/>
        <v>1</v>
      </c>
      <c r="AN169">
        <f t="shared" si="55"/>
        <v>1</v>
      </c>
      <c r="AO169" s="28">
        <f t="shared" si="47"/>
        <v>2.5812521665195599E-3</v>
      </c>
      <c r="AP169" s="28">
        <f t="shared" si="48"/>
        <v>-1.93593054240115E-3</v>
      </c>
      <c r="AQ169" s="28">
        <f t="shared" si="56"/>
        <v>6.4532162411840986E-4</v>
      </c>
      <c r="AR169" s="29">
        <f t="shared" si="57"/>
        <v>1.0191105822257233E-2</v>
      </c>
      <c r="AT169" s="12"/>
      <c r="AU169">
        <f t="shared" si="49"/>
        <v>0</v>
      </c>
      <c r="AV169">
        <f t="shared" si="50"/>
        <v>1</v>
      </c>
      <c r="AW169">
        <f t="shared" si="58"/>
        <v>0</v>
      </c>
      <c r="AX169">
        <f t="shared" si="51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1.4925995122183911E-2</v>
      </c>
      <c r="BE169" s="29">
        <f t="shared" si="62"/>
        <v>6.4532162411840986E-4</v>
      </c>
      <c r="BF169" s="29">
        <f t="shared" si="63"/>
        <v>2.511710094444115E-2</v>
      </c>
      <c r="BH169" s="29"/>
    </row>
    <row r="170" spans="1:60" x14ac:dyDescent="0.3">
      <c r="A170" s="1">
        <v>46268</v>
      </c>
      <c r="B170" s="33">
        <v>43.03</v>
      </c>
      <c r="C170" s="33">
        <v>109.53</v>
      </c>
      <c r="D170" s="15">
        <v>8.4014496505997408E-3</v>
      </c>
      <c r="E170" s="15">
        <v>8.71125585835026E-3</v>
      </c>
      <c r="F170" s="33">
        <v>0</v>
      </c>
      <c r="G170" s="33">
        <v>0.59436</v>
      </c>
      <c r="H170" s="33">
        <v>0</v>
      </c>
      <c r="I170" s="33">
        <v>1.253117</v>
      </c>
      <c r="J170" s="33">
        <v>0</v>
      </c>
      <c r="K170" s="33">
        <v>0</v>
      </c>
      <c r="L170" s="33">
        <v>43.03</v>
      </c>
      <c r="M170" s="33">
        <v>109.53</v>
      </c>
      <c r="N170" s="34">
        <v>2.5454334185451999</v>
      </c>
      <c r="O170" s="34">
        <v>2.5341745756035601</v>
      </c>
      <c r="P170" s="34">
        <v>2.5440423286793399</v>
      </c>
      <c r="Q170" s="34">
        <v>2.54270541613477</v>
      </c>
      <c r="R170" s="33">
        <v>109.045531988221</v>
      </c>
      <c r="S170" s="33">
        <v>109.45110667609001</v>
      </c>
      <c r="T170" s="33">
        <v>109.406121778732</v>
      </c>
      <c r="U170" s="15">
        <v>-4.4329646665881503E-3</v>
      </c>
      <c r="V170" s="15">
        <v>-7.2054916993358404E-4</v>
      </c>
      <c r="W170" s="15">
        <v>-1.1316381552865099E-3</v>
      </c>
      <c r="X170" s="34">
        <v>2.5454334185451999</v>
      </c>
      <c r="Y170" s="34">
        <v>2.5351085643703399</v>
      </c>
      <c r="Z170" s="34">
        <v>2.5440423286793399</v>
      </c>
      <c r="AA170" s="34">
        <v>2.54270541613477</v>
      </c>
      <c r="AB170" s="33">
        <v>109.085721524855</v>
      </c>
      <c r="AC170" s="33">
        <v>109.45110667609001</v>
      </c>
      <c r="AD170" s="33">
        <v>109.406121778732</v>
      </c>
      <c r="AE170" s="15">
        <v>-4.0644751774199499E-3</v>
      </c>
      <c r="AF170" s="15">
        <v>-7.2054916993358404E-4</v>
      </c>
      <c r="AG170" s="15">
        <v>-1.1316381552865099E-3</v>
      </c>
      <c r="AI170" s="12"/>
      <c r="AJ170">
        <f t="shared" si="44"/>
        <v>0</v>
      </c>
      <c r="AK170">
        <f t="shared" si="45"/>
        <v>0</v>
      </c>
      <c r="AL170">
        <f t="shared" si="54"/>
        <v>0</v>
      </c>
      <c r="AM170">
        <f t="shared" si="46"/>
        <v>1</v>
      </c>
      <c r="AN170">
        <f t="shared" si="55"/>
        <v>0</v>
      </c>
      <c r="AO170" s="28">
        <f t="shared" si="47"/>
        <v>0</v>
      </c>
      <c r="AP170" s="28">
        <f t="shared" si="48"/>
        <v>0</v>
      </c>
      <c r="AQ170" s="28">
        <f t="shared" si="56"/>
        <v>0</v>
      </c>
      <c r="AR170" s="29">
        <f t="shared" si="57"/>
        <v>1.0191105822257233E-2</v>
      </c>
      <c r="AT170" s="12"/>
      <c r="AU170">
        <f t="shared" si="49"/>
        <v>0</v>
      </c>
      <c r="AV170">
        <f t="shared" si="50"/>
        <v>1</v>
      </c>
      <c r="AW170">
        <f t="shared" si="58"/>
        <v>0</v>
      </c>
      <c r="AX170">
        <f t="shared" si="51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1.4925995122183911E-2</v>
      </c>
      <c r="BE170" s="29">
        <f t="shared" si="62"/>
        <v>0</v>
      </c>
      <c r="BF170" s="29">
        <f t="shared" si="63"/>
        <v>2.511710094444115E-2</v>
      </c>
      <c r="BH170" s="29"/>
    </row>
    <row r="171" spans="1:60" x14ac:dyDescent="0.3">
      <c r="A171" s="1">
        <v>46269</v>
      </c>
      <c r="B171" s="33">
        <v>43.08</v>
      </c>
      <c r="C171" s="33">
        <v>109.61</v>
      </c>
      <c r="D171" s="15">
        <v>1.1613054376795201E-3</v>
      </c>
      <c r="E171" s="15">
        <v>7.3012689197675298E-4</v>
      </c>
      <c r="F171" s="33">
        <v>0</v>
      </c>
      <c r="G171" s="33">
        <v>0.59436</v>
      </c>
      <c r="H171" s="33">
        <v>0</v>
      </c>
      <c r="I171" s="33">
        <v>1.253117</v>
      </c>
      <c r="J171" s="33">
        <v>0</v>
      </c>
      <c r="K171" s="33">
        <v>0</v>
      </c>
      <c r="L171" s="33">
        <v>43.08</v>
      </c>
      <c r="M171" s="33">
        <v>109.61</v>
      </c>
      <c r="N171" s="34">
        <v>2.54433611884865</v>
      </c>
      <c r="O171" s="34">
        <v>2.5341745756035601</v>
      </c>
      <c r="P171" s="34">
        <v>2.54369455174026</v>
      </c>
      <c r="Q171" s="34">
        <v>2.5427151594768902</v>
      </c>
      <c r="R171" s="33">
        <v>109.172240717001</v>
      </c>
      <c r="S171" s="33">
        <v>109.597343519506</v>
      </c>
      <c r="T171" s="33">
        <v>109.539749327086</v>
      </c>
      <c r="U171" s="15">
        <v>-4.0017861208854902E-3</v>
      </c>
      <c r="V171" s="15">
        <v>-1.1547496817264299E-4</v>
      </c>
      <c r="W171" s="15">
        <v>-6.4112028907838104E-4</v>
      </c>
      <c r="X171" s="34">
        <v>2.54433611884865</v>
      </c>
      <c r="Y171" s="34">
        <v>2.5351085643703399</v>
      </c>
      <c r="Z171" s="34">
        <v>2.54369455174026</v>
      </c>
      <c r="AA171" s="34">
        <v>2.5427151594768902</v>
      </c>
      <c r="AB171" s="33">
        <v>109.212476953074</v>
      </c>
      <c r="AC171" s="33">
        <v>109.597343519506</v>
      </c>
      <c r="AD171" s="33">
        <v>109.539749327086</v>
      </c>
      <c r="AE171" s="15">
        <v>-3.6332966317172699E-3</v>
      </c>
      <c r="AF171" s="15">
        <v>-1.15474968172532E-4</v>
      </c>
      <c r="AG171" s="15">
        <v>-6.4112028907838104E-4</v>
      </c>
      <c r="AI171" s="12"/>
      <c r="AJ171">
        <f t="shared" si="44"/>
        <v>0</v>
      </c>
      <c r="AK171">
        <f t="shared" si="45"/>
        <v>1</v>
      </c>
      <c r="AL171">
        <f t="shared" si="54"/>
        <v>0</v>
      </c>
      <c r="AM171">
        <f t="shared" si="46"/>
        <v>1</v>
      </c>
      <c r="AN171">
        <f t="shared" si="55"/>
        <v>0</v>
      </c>
      <c r="AO171" s="28">
        <f t="shared" si="47"/>
        <v>0</v>
      </c>
      <c r="AP171" s="28">
        <f t="shared" si="48"/>
        <v>0</v>
      </c>
      <c r="AQ171" s="28">
        <f t="shared" si="56"/>
        <v>0</v>
      </c>
      <c r="AR171" s="29">
        <f t="shared" si="57"/>
        <v>1.0191105822257233E-2</v>
      </c>
      <c r="AT171" s="12"/>
      <c r="AU171">
        <f t="shared" si="49"/>
        <v>0</v>
      </c>
      <c r="AV171">
        <f t="shared" si="50"/>
        <v>1</v>
      </c>
      <c r="AW171">
        <f t="shared" si="58"/>
        <v>0</v>
      </c>
      <c r="AX171">
        <f t="shared" si="51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1.4925995122183911E-2</v>
      </c>
      <c r="BE171" s="29">
        <f t="shared" si="62"/>
        <v>0</v>
      </c>
      <c r="BF171" s="29">
        <f t="shared" si="63"/>
        <v>2.511710094444115E-2</v>
      </c>
      <c r="BH171" s="29"/>
    </row>
    <row r="172" spans="1:60" x14ac:dyDescent="0.3">
      <c r="A172" s="1">
        <v>46273</v>
      </c>
      <c r="B172" s="33">
        <v>43.45</v>
      </c>
      <c r="C172" s="33">
        <v>110.48</v>
      </c>
      <c r="D172" s="15">
        <v>8.5519994232132399E-3</v>
      </c>
      <c r="E172" s="15">
        <v>7.9058978734046093E-3</v>
      </c>
      <c r="F172" s="33">
        <v>0</v>
      </c>
      <c r="G172" s="33">
        <v>0.59436</v>
      </c>
      <c r="H172" s="33">
        <v>0</v>
      </c>
      <c r="I172" s="33">
        <v>1.253117</v>
      </c>
      <c r="J172" s="33">
        <v>0</v>
      </c>
      <c r="K172" s="33">
        <v>0</v>
      </c>
      <c r="L172" s="33">
        <v>43.45</v>
      </c>
      <c r="M172" s="33">
        <v>110.48</v>
      </c>
      <c r="N172" s="34">
        <v>2.5426927502876802</v>
      </c>
      <c r="O172" s="34">
        <v>2.5341745756035601</v>
      </c>
      <c r="P172" s="34">
        <v>2.5433826143673599</v>
      </c>
      <c r="Q172" s="34">
        <v>2.5425602073784699</v>
      </c>
      <c r="R172" s="33">
        <v>110.109885309974</v>
      </c>
      <c r="S172" s="33">
        <v>110.523528273114</v>
      </c>
      <c r="T172" s="33">
        <v>110.48097367926999</v>
      </c>
      <c r="U172" s="15">
        <v>-3.3556845710769E-3</v>
      </c>
      <c r="V172" s="15">
        <v>3.93914739890853E-4</v>
      </c>
      <c r="W172" s="15">
        <v>8.8131334206533098E-6</v>
      </c>
      <c r="X172" s="34">
        <v>2.5426927502876802</v>
      </c>
      <c r="Y172" s="34">
        <v>2.5351085643703399</v>
      </c>
      <c r="Z172" s="34">
        <v>2.5433826143673599</v>
      </c>
      <c r="AA172" s="34">
        <v>2.5425602073784699</v>
      </c>
      <c r="AB172" s="33">
        <v>110.150467121891</v>
      </c>
      <c r="AC172" s="33">
        <v>110.523528273114</v>
      </c>
      <c r="AD172" s="33">
        <v>110.48097367926999</v>
      </c>
      <c r="AE172" s="15">
        <v>-2.9871950819085999E-3</v>
      </c>
      <c r="AF172" s="15">
        <v>3.93914739890853E-4</v>
      </c>
      <c r="AG172" s="15">
        <v>8.8131334206533098E-6</v>
      </c>
      <c r="AI172" s="12"/>
      <c r="AJ172">
        <f t="shared" si="44"/>
        <v>0</v>
      </c>
      <c r="AK172">
        <f t="shared" si="45"/>
        <v>1</v>
      </c>
      <c r="AL172">
        <f t="shared" si="54"/>
        <v>0</v>
      </c>
      <c r="AM172">
        <f t="shared" si="46"/>
        <v>1</v>
      </c>
      <c r="AN172">
        <f t="shared" si="55"/>
        <v>0</v>
      </c>
      <c r="AO172" s="28">
        <f t="shared" si="47"/>
        <v>0</v>
      </c>
      <c r="AP172" s="28">
        <f t="shared" si="48"/>
        <v>0</v>
      </c>
      <c r="AQ172" s="28">
        <f t="shared" si="56"/>
        <v>0</v>
      </c>
      <c r="AR172" s="29">
        <f t="shared" si="57"/>
        <v>1.0191105822257233E-2</v>
      </c>
      <c r="AT172" s="12"/>
      <c r="AU172">
        <f t="shared" si="49"/>
        <v>0</v>
      </c>
      <c r="AV172">
        <f t="shared" si="50"/>
        <v>1</v>
      </c>
      <c r="AW172">
        <f t="shared" si="58"/>
        <v>0</v>
      </c>
      <c r="AX172">
        <f t="shared" si="51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1.4925995122183911E-2</v>
      </c>
      <c r="BE172" s="29">
        <f t="shared" si="62"/>
        <v>0</v>
      </c>
      <c r="BF172" s="29">
        <f t="shared" si="63"/>
        <v>2.511710094444115E-2</v>
      </c>
      <c r="BH172" s="29"/>
    </row>
    <row r="173" spans="1:60" x14ac:dyDescent="0.3">
      <c r="A173" s="1">
        <v>46274</v>
      </c>
      <c r="B173" s="33">
        <v>42.94</v>
      </c>
      <c r="C173" s="33">
        <v>109.25</v>
      </c>
      <c r="D173" s="15">
        <v>-1.18070592607662E-2</v>
      </c>
      <c r="E173" s="15">
        <v>-1.11956751253371E-2</v>
      </c>
      <c r="F173" s="33">
        <v>0</v>
      </c>
      <c r="G173" s="33">
        <v>0.59436</v>
      </c>
      <c r="H173" s="33">
        <v>0</v>
      </c>
      <c r="I173" s="33">
        <v>1.253117</v>
      </c>
      <c r="J173" s="33">
        <v>0</v>
      </c>
      <c r="K173" s="33">
        <v>0</v>
      </c>
      <c r="L173" s="33">
        <v>42.94</v>
      </c>
      <c r="M173" s="33">
        <v>109.25</v>
      </c>
      <c r="N173" s="34">
        <v>2.54424778761061</v>
      </c>
      <c r="O173" s="34">
        <v>2.5341745756035601</v>
      </c>
      <c r="P173" s="34">
        <v>2.5437090324726901</v>
      </c>
      <c r="Q173" s="34">
        <v>2.54258946588575</v>
      </c>
      <c r="R173" s="33">
        <v>108.817456276416</v>
      </c>
      <c r="S173" s="33">
        <v>109.212849460934</v>
      </c>
      <c r="T173" s="33">
        <v>109.177535304831</v>
      </c>
      <c r="U173" s="15">
        <v>-3.9670687065059204E-3</v>
      </c>
      <c r="V173" s="15">
        <v>-3.4010853117620501E-4</v>
      </c>
      <c r="W173" s="15">
        <v>-6.6351248001429795E-4</v>
      </c>
      <c r="X173" s="34">
        <v>2.54424778761061</v>
      </c>
      <c r="Y173" s="34">
        <v>2.5351085643703399</v>
      </c>
      <c r="Z173" s="34">
        <v>2.5437090324726901</v>
      </c>
      <c r="AA173" s="34">
        <v>2.54258946588575</v>
      </c>
      <c r="AB173" s="33">
        <v>108.857561754062</v>
      </c>
      <c r="AC173" s="33">
        <v>109.212849460934</v>
      </c>
      <c r="AD173" s="33">
        <v>109.177535304831</v>
      </c>
      <c r="AE173" s="15">
        <v>-3.5985792173376498E-3</v>
      </c>
      <c r="AF173" s="15">
        <v>-3.4010853117631598E-4</v>
      </c>
      <c r="AG173" s="15">
        <v>-6.6351248001429795E-4</v>
      </c>
      <c r="AI173" s="12"/>
      <c r="AJ173">
        <f t="shared" si="44"/>
        <v>0</v>
      </c>
      <c r="AK173">
        <f t="shared" si="45"/>
        <v>1</v>
      </c>
      <c r="AL173">
        <f t="shared" si="54"/>
        <v>0</v>
      </c>
      <c r="AM173">
        <f t="shared" si="46"/>
        <v>1</v>
      </c>
      <c r="AN173">
        <f t="shared" si="55"/>
        <v>0</v>
      </c>
      <c r="AO173" s="28">
        <f t="shared" si="47"/>
        <v>0</v>
      </c>
      <c r="AP173" s="28">
        <f t="shared" si="48"/>
        <v>0</v>
      </c>
      <c r="AQ173" s="28">
        <f t="shared" si="56"/>
        <v>0</v>
      </c>
      <c r="AR173" s="29">
        <f t="shared" si="57"/>
        <v>1.0191105822257233E-2</v>
      </c>
      <c r="AT173" s="12"/>
      <c r="AU173">
        <f t="shared" si="49"/>
        <v>0</v>
      </c>
      <c r="AV173">
        <f t="shared" si="50"/>
        <v>1</v>
      </c>
      <c r="AW173">
        <f t="shared" si="58"/>
        <v>0</v>
      </c>
      <c r="AX173">
        <f t="shared" si="51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1.4925995122183911E-2</v>
      </c>
      <c r="BE173" s="29">
        <f t="shared" si="62"/>
        <v>0</v>
      </c>
      <c r="BF173" s="29">
        <f t="shared" si="63"/>
        <v>2.511710094444115E-2</v>
      </c>
      <c r="BH173" s="29"/>
    </row>
    <row r="174" spans="1:60" x14ac:dyDescent="0.3">
      <c r="A174" s="1">
        <v>46275</v>
      </c>
      <c r="B174" s="33">
        <v>42.52</v>
      </c>
      <c r="C174" s="33">
        <v>108.23</v>
      </c>
      <c r="D174" s="15">
        <v>-9.8292389768876408E-3</v>
      </c>
      <c r="E174" s="15">
        <v>-9.3802416686444602E-3</v>
      </c>
      <c r="F174" s="33">
        <v>0</v>
      </c>
      <c r="G174" s="33">
        <v>0.59436</v>
      </c>
      <c r="H174" s="33">
        <v>0</v>
      </c>
      <c r="I174" s="33">
        <v>1.253117</v>
      </c>
      <c r="J174" s="33">
        <v>0</v>
      </c>
      <c r="K174" s="33">
        <v>0</v>
      </c>
      <c r="L174" s="33">
        <v>42.52</v>
      </c>
      <c r="M174" s="33">
        <v>108.23</v>
      </c>
      <c r="N174" s="34">
        <v>2.54539040451552</v>
      </c>
      <c r="O174" s="34">
        <v>2.5341745756035601</v>
      </c>
      <c r="P174" s="34">
        <v>2.54430645030875</v>
      </c>
      <c r="Q174" s="34">
        <v>2.5427034204180998</v>
      </c>
      <c r="R174" s="33">
        <v>107.75310295466301</v>
      </c>
      <c r="S174" s="33">
        <v>108.158508060738</v>
      </c>
      <c r="T174" s="33">
        <v>108.110904089462</v>
      </c>
      <c r="U174" s="15">
        <v>-4.4160660147491097E-3</v>
      </c>
      <c r="V174" s="15">
        <v>-6.6077392467007003E-4</v>
      </c>
      <c r="W174" s="15">
        <v>-1.1010023561624999E-3</v>
      </c>
      <c r="X174" s="34">
        <v>2.54539040451552</v>
      </c>
      <c r="Y174" s="34">
        <v>2.5351085643703399</v>
      </c>
      <c r="Z174" s="34">
        <v>2.54430645030875</v>
      </c>
      <c r="AA174" s="34">
        <v>2.5427034204180998</v>
      </c>
      <c r="AB174" s="33">
        <v>107.792816157027</v>
      </c>
      <c r="AC174" s="33">
        <v>108.158508060738</v>
      </c>
      <c r="AD174" s="33">
        <v>108.110904089462</v>
      </c>
      <c r="AE174" s="15">
        <v>-4.0475765255808E-3</v>
      </c>
      <c r="AF174" s="15">
        <v>-6.6077392467007003E-4</v>
      </c>
      <c r="AG174" s="15">
        <v>-1.1010023561624999E-3</v>
      </c>
      <c r="AI174" s="12"/>
      <c r="AJ174">
        <f t="shared" si="44"/>
        <v>0</v>
      </c>
      <c r="AK174">
        <f t="shared" si="45"/>
        <v>0</v>
      </c>
      <c r="AL174">
        <f t="shared" si="54"/>
        <v>0</v>
      </c>
      <c r="AM174">
        <f t="shared" si="46"/>
        <v>1</v>
      </c>
      <c r="AN174">
        <f t="shared" si="55"/>
        <v>0</v>
      </c>
      <c r="AO174" s="28">
        <f t="shared" si="47"/>
        <v>0</v>
      </c>
      <c r="AP174" s="28">
        <f t="shared" si="48"/>
        <v>0</v>
      </c>
      <c r="AQ174" s="28">
        <f t="shared" si="56"/>
        <v>0</v>
      </c>
      <c r="AR174" s="29">
        <f t="shared" si="57"/>
        <v>1.0191105822257233E-2</v>
      </c>
      <c r="AT174" s="12"/>
      <c r="AU174">
        <f t="shared" si="49"/>
        <v>0</v>
      </c>
      <c r="AV174">
        <f t="shared" si="50"/>
        <v>1</v>
      </c>
      <c r="AW174">
        <f t="shared" si="58"/>
        <v>0</v>
      </c>
      <c r="AX174">
        <f t="shared" si="51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1.4925995122183911E-2</v>
      </c>
      <c r="BE174" s="29">
        <f t="shared" si="62"/>
        <v>0</v>
      </c>
      <c r="BF174" s="29">
        <f t="shared" si="63"/>
        <v>2.511710094444115E-2</v>
      </c>
      <c r="BH174" s="29"/>
    </row>
    <row r="175" spans="1:60" x14ac:dyDescent="0.3">
      <c r="A175" s="1">
        <v>46276</v>
      </c>
      <c r="B175" s="33">
        <v>42.39</v>
      </c>
      <c r="C175" s="33">
        <v>107.94</v>
      </c>
      <c r="D175" s="15">
        <v>-3.0620681092014901E-3</v>
      </c>
      <c r="E175" s="15">
        <v>-2.6830751165583902E-3</v>
      </c>
      <c r="F175" s="33">
        <v>0</v>
      </c>
      <c r="G175" s="33">
        <v>0.59436</v>
      </c>
      <c r="H175" s="33">
        <v>0</v>
      </c>
      <c r="I175" s="33">
        <v>1.253117</v>
      </c>
      <c r="J175" s="33">
        <v>0</v>
      </c>
      <c r="K175" s="33">
        <v>0</v>
      </c>
      <c r="L175" s="33">
        <v>42.39</v>
      </c>
      <c r="M175" s="33">
        <v>107.94</v>
      </c>
      <c r="N175" s="34">
        <v>2.5463552724699201</v>
      </c>
      <c r="O175" s="34">
        <v>2.5341745756035601</v>
      </c>
      <c r="P175" s="34">
        <v>2.5450281285515701</v>
      </c>
      <c r="Q175" s="34">
        <v>2.54302300057202</v>
      </c>
      <c r="R175" s="33">
        <v>107.423660259835</v>
      </c>
      <c r="S175" s="33">
        <v>107.85315042858799</v>
      </c>
      <c r="T175" s="33">
        <v>107.78519799152301</v>
      </c>
      <c r="U175" s="15">
        <v>-4.7950590073922404E-3</v>
      </c>
      <c r="V175" s="15">
        <v>-8.0493357577606601E-4</v>
      </c>
      <c r="W175" s="15">
        <v>-1.43517805512668E-3</v>
      </c>
      <c r="X175" s="34">
        <v>2.5463552724699201</v>
      </c>
      <c r="Y175" s="34">
        <v>2.5351085643703399</v>
      </c>
      <c r="Z175" s="34">
        <v>2.5450281285515701</v>
      </c>
      <c r="AA175" s="34">
        <v>2.54302300057202</v>
      </c>
      <c r="AB175" s="33">
        <v>107.463252043658</v>
      </c>
      <c r="AC175" s="33">
        <v>107.85315042858799</v>
      </c>
      <c r="AD175" s="33">
        <v>107.78519799152301</v>
      </c>
      <c r="AE175" s="15">
        <v>-4.42656951822391E-3</v>
      </c>
      <c r="AF175" s="15">
        <v>-8.0493357577606601E-4</v>
      </c>
      <c r="AG175" s="15">
        <v>-1.43517805512668E-3</v>
      </c>
      <c r="AI175" s="12"/>
      <c r="AJ175">
        <f t="shared" si="44"/>
        <v>0</v>
      </c>
      <c r="AK175">
        <f t="shared" si="45"/>
        <v>0</v>
      </c>
      <c r="AL175">
        <f t="shared" si="54"/>
        <v>0</v>
      </c>
      <c r="AM175">
        <f t="shared" si="46"/>
        <v>1</v>
      </c>
      <c r="AN175">
        <f t="shared" si="55"/>
        <v>0</v>
      </c>
      <c r="AO175" s="28">
        <f t="shared" si="47"/>
        <v>0</v>
      </c>
      <c r="AP175" s="28">
        <f t="shared" si="48"/>
        <v>0</v>
      </c>
      <c r="AQ175" s="28">
        <f t="shared" si="56"/>
        <v>0</v>
      </c>
      <c r="AR175" s="29">
        <f t="shared" si="57"/>
        <v>1.0191105822257233E-2</v>
      </c>
      <c r="AT175" s="12"/>
      <c r="AU175">
        <f t="shared" si="49"/>
        <v>0</v>
      </c>
      <c r="AV175">
        <f t="shared" si="50"/>
        <v>1</v>
      </c>
      <c r="AW175">
        <f t="shared" si="58"/>
        <v>0</v>
      </c>
      <c r="AX175">
        <f t="shared" si="51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1.4925995122183911E-2</v>
      </c>
      <c r="BE175" s="29">
        <f t="shared" si="62"/>
        <v>0</v>
      </c>
      <c r="BF175" s="29">
        <f t="shared" si="63"/>
        <v>2.511710094444115E-2</v>
      </c>
      <c r="BH175" s="29"/>
    </row>
    <row r="176" spans="1:60" x14ac:dyDescent="0.3">
      <c r="A176" s="1">
        <v>46279</v>
      </c>
      <c r="B176" s="33">
        <v>41.82</v>
      </c>
      <c r="C176" s="33">
        <v>106.67</v>
      </c>
      <c r="D176" s="15">
        <v>-1.3537791364058201E-2</v>
      </c>
      <c r="E176" s="15">
        <v>-1.1835560553105201E-2</v>
      </c>
      <c r="F176" s="33">
        <v>0</v>
      </c>
      <c r="G176" s="33">
        <v>0.59436</v>
      </c>
      <c r="H176" s="33">
        <v>0</v>
      </c>
      <c r="I176" s="33">
        <v>1.253117</v>
      </c>
      <c r="J176" s="33">
        <v>0</v>
      </c>
      <c r="K176" s="33">
        <v>0</v>
      </c>
      <c r="L176" s="33">
        <v>41.82</v>
      </c>
      <c r="M176" s="33">
        <v>106.67</v>
      </c>
      <c r="N176" s="34">
        <v>2.55069344811095</v>
      </c>
      <c r="O176" s="34">
        <v>2.5341745756035601</v>
      </c>
      <c r="P176" s="34">
        <v>2.5457796638611501</v>
      </c>
      <c r="Q176" s="34">
        <v>2.5435773073716099</v>
      </c>
      <c r="R176" s="33">
        <v>105.979180751741</v>
      </c>
      <c r="S176" s="33">
        <v>106.43307633602601</v>
      </c>
      <c r="T176" s="33">
        <v>106.349221883922</v>
      </c>
      <c r="U176" s="15">
        <v>-6.49728981834521E-3</v>
      </c>
      <c r="V176" s="15">
        <v>-2.2235602194345802E-3</v>
      </c>
      <c r="W176" s="15">
        <v>-3.0117315771777601E-3</v>
      </c>
      <c r="X176" s="34">
        <v>2.55069344811095</v>
      </c>
      <c r="Y176" s="34">
        <v>2.5351085643703399</v>
      </c>
      <c r="Z176" s="34">
        <v>2.5457796638611501</v>
      </c>
      <c r="AA176" s="34">
        <v>2.5435773073716099</v>
      </c>
      <c r="AB176" s="33">
        <v>106.018240161967</v>
      </c>
      <c r="AC176" s="33">
        <v>106.43307633602601</v>
      </c>
      <c r="AD176" s="33">
        <v>106.349221883922</v>
      </c>
      <c r="AE176" s="15">
        <v>-6.1288003291770201E-3</v>
      </c>
      <c r="AF176" s="15">
        <v>-2.22356021943447E-3</v>
      </c>
      <c r="AG176" s="15">
        <v>-3.0117315771777601E-3</v>
      </c>
      <c r="AI176" s="12"/>
      <c r="AJ176">
        <f t="shared" si="44"/>
        <v>1</v>
      </c>
      <c r="AK176">
        <f t="shared" si="45"/>
        <v>0</v>
      </c>
      <c r="AL176">
        <f t="shared" si="54"/>
        <v>0</v>
      </c>
      <c r="AM176">
        <f t="shared" si="46"/>
        <v>0</v>
      </c>
      <c r="AN176">
        <f t="shared" si="55"/>
        <v>0</v>
      </c>
      <c r="AO176" s="28">
        <f t="shared" si="47"/>
        <v>0</v>
      </c>
      <c r="AP176" s="28">
        <f t="shared" si="48"/>
        <v>0</v>
      </c>
      <c r="AQ176" s="28">
        <f t="shared" si="56"/>
        <v>0</v>
      </c>
      <c r="AR176" s="29">
        <f t="shared" si="57"/>
        <v>1.0191105822257233E-2</v>
      </c>
      <c r="AT176" s="12"/>
      <c r="AU176">
        <f t="shared" si="49"/>
        <v>0</v>
      </c>
      <c r="AV176">
        <f t="shared" si="50"/>
        <v>1</v>
      </c>
      <c r="AW176">
        <f t="shared" si="58"/>
        <v>0</v>
      </c>
      <c r="AX176">
        <f t="shared" si="51"/>
        <v>0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1.4925995122183911E-2</v>
      </c>
      <c r="BE176" s="29">
        <f t="shared" si="62"/>
        <v>0</v>
      </c>
      <c r="BF176" s="29">
        <f t="shared" si="63"/>
        <v>2.511710094444115E-2</v>
      </c>
      <c r="BH176" s="29"/>
    </row>
    <row r="177" spans="1:100" x14ac:dyDescent="0.3">
      <c r="A177" s="1">
        <v>46280</v>
      </c>
      <c r="B177" s="33">
        <v>41.32</v>
      </c>
      <c r="C177" s="33">
        <v>104.88</v>
      </c>
      <c r="D177" s="15">
        <v>-1.20280497490497E-2</v>
      </c>
      <c r="E177" s="15">
        <v>-1.6923117181947101E-2</v>
      </c>
      <c r="F177" s="33">
        <v>0</v>
      </c>
      <c r="G177" s="33">
        <v>0.59436</v>
      </c>
      <c r="H177" s="33">
        <v>0.64697700000000002</v>
      </c>
      <c r="I177" s="33">
        <v>1.9000939999999999</v>
      </c>
      <c r="J177" s="33">
        <v>0</v>
      </c>
      <c r="K177" s="33">
        <v>0.64697700000000002</v>
      </c>
      <c r="L177" s="33">
        <v>41.32</v>
      </c>
      <c r="M177" s="33">
        <v>105.526977</v>
      </c>
      <c r="N177" s="34">
        <v>2.5382381413359099</v>
      </c>
      <c r="O177" s="34">
        <v>2.5341745756035601</v>
      </c>
      <c r="P177" s="34">
        <v>2.5448319885322701</v>
      </c>
      <c r="Q177" s="34">
        <v>2.54355394961269</v>
      </c>
      <c r="R177" s="33">
        <v>104.712093463939</v>
      </c>
      <c r="S177" s="33">
        <v>105.191615710742</v>
      </c>
      <c r="T177" s="33">
        <v>105.100614340595</v>
      </c>
      <c r="U177" s="15">
        <v>-1.6022223854479101E-3</v>
      </c>
      <c r="V177" s="15">
        <v>2.9667591049812401E-3</v>
      </c>
      <c r="W177" s="15">
        <v>2.1012837062392101E-3</v>
      </c>
      <c r="X177" s="34">
        <v>2.5538958615682401</v>
      </c>
      <c r="Y177" s="34">
        <v>2.5351085643703399</v>
      </c>
      <c r="Z177" s="34">
        <v>2.5463977605555002</v>
      </c>
      <c r="AA177" s="34">
        <v>2.5443368356243101</v>
      </c>
      <c r="AB177" s="33">
        <v>104.750685879782</v>
      </c>
      <c r="AC177" s="33">
        <v>105.191615710742</v>
      </c>
      <c r="AD177" s="33">
        <v>105.100614340595</v>
      </c>
      <c r="AE177" s="15">
        <v>-7.38351983084561E-3</v>
      </c>
      <c r="AF177" s="15">
        <v>-3.1830278295844998E-3</v>
      </c>
      <c r="AG177" s="15">
        <v>-4.0485032283270597E-3</v>
      </c>
      <c r="AJ177">
        <f t="shared" si="44"/>
        <v>1</v>
      </c>
      <c r="AK177">
        <f t="shared" si="45"/>
        <v>0</v>
      </c>
      <c r="AL177">
        <f t="shared" si="54"/>
        <v>0</v>
      </c>
      <c r="AM177">
        <f t="shared" si="46"/>
        <v>1</v>
      </c>
      <c r="AN177">
        <f t="shared" si="55"/>
        <v>0</v>
      </c>
      <c r="AO177" s="28">
        <f t="shared" si="47"/>
        <v>0</v>
      </c>
      <c r="AP177" s="28">
        <f t="shared" si="48"/>
        <v>0</v>
      </c>
      <c r="AQ177" s="28">
        <f t="shared" si="56"/>
        <v>0</v>
      </c>
      <c r="AR177" s="29">
        <f t="shared" si="57"/>
        <v>1.0191105822257233E-2</v>
      </c>
      <c r="AU177">
        <f t="shared" si="49"/>
        <v>0</v>
      </c>
      <c r="AV177">
        <f t="shared" si="50"/>
        <v>1</v>
      </c>
      <c r="AW177">
        <f t="shared" si="58"/>
        <v>0</v>
      </c>
      <c r="AX177">
        <f t="shared" si="51"/>
        <v>1</v>
      </c>
      <c r="AY177">
        <f t="shared" si="59"/>
        <v>0</v>
      </c>
      <c r="AZ177" s="28">
        <f t="shared" si="52"/>
        <v>0</v>
      </c>
      <c r="BA177" s="28">
        <f t="shared" si="53"/>
        <v>0</v>
      </c>
      <c r="BB177" s="28">
        <f t="shared" si="60"/>
        <v>0</v>
      </c>
      <c r="BC177" s="29">
        <f t="shared" si="61"/>
        <v>1.4925995122183911E-2</v>
      </c>
      <c r="BE177" s="29">
        <f t="shared" si="62"/>
        <v>0</v>
      </c>
      <c r="BF177" s="29">
        <f t="shared" si="63"/>
        <v>2.511710094444115E-2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3">
      <c r="A178" s="1">
        <v>46281</v>
      </c>
      <c r="B178" s="33">
        <v>41.32</v>
      </c>
      <c r="C178" s="33">
        <v>104.77</v>
      </c>
      <c r="D178" s="15">
        <v>0</v>
      </c>
      <c r="E178" s="15">
        <v>-1.04936809057085E-3</v>
      </c>
      <c r="F178" s="33">
        <v>0</v>
      </c>
      <c r="G178" s="33">
        <v>0.59436</v>
      </c>
      <c r="H178" s="33">
        <v>0</v>
      </c>
      <c r="I178" s="33">
        <v>1.9000939999999999</v>
      </c>
      <c r="J178" s="33">
        <v>0</v>
      </c>
      <c r="K178" s="33">
        <v>0.64697700000000002</v>
      </c>
      <c r="L178" s="33">
        <v>41.32</v>
      </c>
      <c r="M178" s="33">
        <v>105.416977</v>
      </c>
      <c r="N178" s="34">
        <v>2.5355759922555601</v>
      </c>
      <c r="O178" s="34">
        <v>2.5341745756035601</v>
      </c>
      <c r="P178" s="34">
        <v>2.5437608283593298</v>
      </c>
      <c r="Q178" s="34">
        <v>2.54350403500466</v>
      </c>
      <c r="R178" s="33">
        <v>104.712093463939</v>
      </c>
      <c r="S178" s="33">
        <v>105.15245776615301</v>
      </c>
      <c r="T178" s="33">
        <v>105.099649197996</v>
      </c>
      <c r="U178" s="15">
        <v>-5.5285429487703401E-4</v>
      </c>
      <c r="V178" s="15">
        <v>3.6438044160771602E-3</v>
      </c>
      <c r="W178" s="15">
        <v>3.1414687198505101E-3</v>
      </c>
      <c r="X178" s="34">
        <v>2.5512337124878899</v>
      </c>
      <c r="Y178" s="34">
        <v>2.5351085643703399</v>
      </c>
      <c r="Z178" s="34">
        <v>2.5468923724058001</v>
      </c>
      <c r="AA178" s="34">
        <v>2.5450698070278901</v>
      </c>
      <c r="AB178" s="33">
        <v>104.750685879782</v>
      </c>
      <c r="AC178" s="33">
        <v>105.217155466153</v>
      </c>
      <c r="AD178" s="33">
        <v>105.13199804799601</v>
      </c>
      <c r="AE178" s="15">
        <v>-6.3405886836401396E-3</v>
      </c>
      <c r="AF178" s="15">
        <v>-1.89733346111769E-3</v>
      </c>
      <c r="AG178" s="15">
        <v>-2.7070103377450001E-3</v>
      </c>
      <c r="AJ178">
        <f t="shared" si="44"/>
        <v>1</v>
      </c>
      <c r="AK178">
        <f t="shared" si="45"/>
        <v>0</v>
      </c>
      <c r="AL178">
        <f t="shared" si="54"/>
        <v>1</v>
      </c>
      <c r="AM178">
        <f t="shared" si="46"/>
        <v>1</v>
      </c>
      <c r="AN178">
        <f t="shared" si="55"/>
        <v>1</v>
      </c>
      <c r="AO178" s="28">
        <f t="shared" si="47"/>
        <v>0</v>
      </c>
      <c r="AP178" s="28">
        <f t="shared" si="48"/>
        <v>1.04936809057085E-3</v>
      </c>
      <c r="AQ178" s="28">
        <f t="shared" si="56"/>
        <v>1.04936809057085E-3</v>
      </c>
      <c r="AR178" s="29">
        <f t="shared" si="57"/>
        <v>1.1240473912828083E-2</v>
      </c>
      <c r="AU178">
        <f t="shared" si="49"/>
        <v>0</v>
      </c>
      <c r="AV178">
        <f t="shared" si="50"/>
        <v>1</v>
      </c>
      <c r="AW178">
        <f t="shared" si="58"/>
        <v>0</v>
      </c>
      <c r="AX178">
        <f t="shared" si="51"/>
        <v>1</v>
      </c>
      <c r="AY178">
        <f t="shared" si="59"/>
        <v>0</v>
      </c>
      <c r="AZ178" s="28">
        <f t="shared" si="52"/>
        <v>0</v>
      </c>
      <c r="BA178" s="28">
        <f t="shared" si="53"/>
        <v>0</v>
      </c>
      <c r="BB178" s="28">
        <f t="shared" si="60"/>
        <v>0</v>
      </c>
      <c r="BC178" s="29">
        <f t="shared" si="61"/>
        <v>1.4925995122183911E-2</v>
      </c>
      <c r="BE178" s="29">
        <f t="shared" si="62"/>
        <v>1.04936809057085E-3</v>
      </c>
      <c r="BF178" s="29">
        <f t="shared" si="63"/>
        <v>2.6166469035012001E-2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3">
      <c r="A179" s="1">
        <v>46282</v>
      </c>
      <c r="B179" s="33">
        <v>41.69</v>
      </c>
      <c r="C179" s="33">
        <v>105.62</v>
      </c>
      <c r="D179" s="15">
        <v>8.9146476412677294E-3</v>
      </c>
      <c r="E179" s="15">
        <v>8.0802759139135608E-3</v>
      </c>
      <c r="F179" s="33">
        <v>0</v>
      </c>
      <c r="G179" s="33">
        <v>0.59436</v>
      </c>
      <c r="H179" s="33">
        <v>0</v>
      </c>
      <c r="I179" s="33">
        <v>1.9000939999999999</v>
      </c>
      <c r="J179" s="33">
        <v>0</v>
      </c>
      <c r="K179" s="33">
        <v>0.64697700000000002</v>
      </c>
      <c r="L179" s="33">
        <v>41.69</v>
      </c>
      <c r="M179" s="33">
        <v>106.266977</v>
      </c>
      <c r="N179" s="34">
        <v>2.53346126169345</v>
      </c>
      <c r="O179" s="34">
        <v>2.5341745756035601</v>
      </c>
      <c r="P179" s="34">
        <v>2.54264245956734</v>
      </c>
      <c r="Q179" s="34">
        <v>2.5431212144001001</v>
      </c>
      <c r="R179" s="33">
        <v>105.649738056912</v>
      </c>
      <c r="S179" s="33">
        <v>106.0493889343</v>
      </c>
      <c r="T179" s="33">
        <v>106.03868321934399</v>
      </c>
      <c r="U179" s="15">
        <v>2.8151743247696999E-4</v>
      </c>
      <c r="V179" s="15">
        <v>4.0571716625045504E-3</v>
      </c>
      <c r="W179" s="15">
        <v>3.9562162918743201E-3</v>
      </c>
      <c r="X179" s="34">
        <v>2.54898001918925</v>
      </c>
      <c r="Y179" s="34">
        <v>2.5351085643703399</v>
      </c>
      <c r="Z179" s="34">
        <v>2.5473258793633899</v>
      </c>
      <c r="AA179" s="34">
        <v>2.5454629242981199</v>
      </c>
      <c r="AB179" s="33">
        <v>105.68867604859901</v>
      </c>
      <c r="AC179" s="33">
        <v>106.179943005597</v>
      </c>
      <c r="AD179" s="33">
        <v>106.103960254993</v>
      </c>
      <c r="AE179" s="15">
        <v>-5.4568243694771501E-3</v>
      </c>
      <c r="AF179" s="15">
        <v>-8.1934818606842804E-4</v>
      </c>
      <c r="AG179" s="15">
        <v>-1.5352079633055499E-3</v>
      </c>
      <c r="AJ179">
        <f t="shared" si="44"/>
        <v>0</v>
      </c>
      <c r="AK179">
        <f t="shared" si="45"/>
        <v>0</v>
      </c>
      <c r="AL179">
        <f t="shared" si="54"/>
        <v>1</v>
      </c>
      <c r="AM179">
        <f t="shared" si="46"/>
        <v>1</v>
      </c>
      <c r="AN179">
        <f t="shared" si="55"/>
        <v>1</v>
      </c>
      <c r="AO179" s="28">
        <f t="shared" si="47"/>
        <v>8.9146476412677294E-3</v>
      </c>
      <c r="AP179" s="28">
        <f t="shared" si="48"/>
        <v>-8.0802759139135608E-3</v>
      </c>
      <c r="AQ179" s="28">
        <f t="shared" si="56"/>
        <v>8.3437172735416863E-4</v>
      </c>
      <c r="AR179" s="29">
        <f t="shared" si="57"/>
        <v>1.2074845640182252E-2</v>
      </c>
      <c r="AU179">
        <f t="shared" si="49"/>
        <v>0</v>
      </c>
      <c r="AV179">
        <f t="shared" si="50"/>
        <v>1</v>
      </c>
      <c r="AW179">
        <f t="shared" si="58"/>
        <v>0</v>
      </c>
      <c r="AX179">
        <f t="shared" si="51"/>
        <v>1</v>
      </c>
      <c r="AY179">
        <f t="shared" si="59"/>
        <v>0</v>
      </c>
      <c r="AZ179" s="28">
        <f t="shared" si="52"/>
        <v>0</v>
      </c>
      <c r="BA179" s="28">
        <f t="shared" si="53"/>
        <v>0</v>
      </c>
      <c r="BB179" s="28">
        <f t="shared" si="60"/>
        <v>0</v>
      </c>
      <c r="BC179" s="29">
        <f t="shared" si="61"/>
        <v>1.4925995122183911E-2</v>
      </c>
      <c r="BE179" s="29">
        <f t="shared" si="62"/>
        <v>8.3437172735416863E-4</v>
      </c>
      <c r="BF179" s="29">
        <f t="shared" si="63"/>
        <v>2.7000840762366168E-2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3">
      <c r="A180" s="1">
        <v>46283</v>
      </c>
      <c r="B180" s="33">
        <v>41.1</v>
      </c>
      <c r="C180" s="33">
        <v>104.21</v>
      </c>
      <c r="D180" s="15">
        <v>-1.42531703905164E-2</v>
      </c>
      <c r="E180" s="15">
        <v>-1.3439653274450999E-2</v>
      </c>
      <c r="F180" s="33">
        <v>0</v>
      </c>
      <c r="G180" s="33">
        <v>0.59436</v>
      </c>
      <c r="H180" s="33">
        <v>0</v>
      </c>
      <c r="I180" s="33">
        <v>1.9000939999999999</v>
      </c>
      <c r="J180" s="33">
        <v>0</v>
      </c>
      <c r="K180" s="33">
        <v>0.64697700000000002</v>
      </c>
      <c r="L180" s="33">
        <v>41.1</v>
      </c>
      <c r="M180" s="33">
        <v>104.856977</v>
      </c>
      <c r="N180" s="34">
        <v>2.5355231143552301</v>
      </c>
      <c r="O180" s="34">
        <v>2.5341745756035601</v>
      </c>
      <c r="P180" s="34">
        <v>2.5416514291483501</v>
      </c>
      <c r="Q180" s="34">
        <v>2.5428468789138399</v>
      </c>
      <c r="R180" s="33">
        <v>104.154575057306</v>
      </c>
      <c r="S180" s="33">
        <v>104.502605088218</v>
      </c>
      <c r="T180" s="33">
        <v>104.522281911844</v>
      </c>
      <c r="U180" s="15">
        <v>-5.3199968358845701E-4</v>
      </c>
      <c r="V180" s="15">
        <v>2.80390616366229E-3</v>
      </c>
      <c r="W180" s="15">
        <v>2.9921787083036699E-3</v>
      </c>
      <c r="X180" s="34">
        <v>2.5512646472019398</v>
      </c>
      <c r="Y180" s="34">
        <v>2.5351085643703399</v>
      </c>
      <c r="Z180" s="34">
        <v>2.54790900222907</v>
      </c>
      <c r="AA180" s="34">
        <v>2.5459756654542001</v>
      </c>
      <c r="AB180" s="33">
        <v>104.192961995621</v>
      </c>
      <c r="AC180" s="33">
        <v>104.695093641835</v>
      </c>
      <c r="AD180" s="33">
        <v>104.61852618865299</v>
      </c>
      <c r="AE180" s="15">
        <v>-6.3527140041662001E-3</v>
      </c>
      <c r="AF180" s="15">
        <v>-1.5450421451047901E-3</v>
      </c>
      <c r="AG180" s="15">
        <v>-2.2766472519265501E-3</v>
      </c>
      <c r="AJ180">
        <f t="shared" si="44"/>
        <v>0</v>
      </c>
      <c r="AK180">
        <f t="shared" si="45"/>
        <v>0</v>
      </c>
      <c r="AL180">
        <f t="shared" si="54"/>
        <v>1</v>
      </c>
      <c r="AM180">
        <f t="shared" si="46"/>
        <v>0</v>
      </c>
      <c r="AN180">
        <f t="shared" si="55"/>
        <v>1</v>
      </c>
      <c r="AO180" s="28">
        <f t="shared" si="47"/>
        <v>-1.42531703905164E-2</v>
      </c>
      <c r="AP180" s="28">
        <f t="shared" si="48"/>
        <v>1.3439653274450999E-2</v>
      </c>
      <c r="AQ180" s="28">
        <f t="shared" si="56"/>
        <v>-8.1351711606540006E-4</v>
      </c>
      <c r="AR180" s="29">
        <f t="shared" si="57"/>
        <v>1.1261328524116852E-2</v>
      </c>
      <c r="AU180">
        <f t="shared" si="49"/>
        <v>0</v>
      </c>
      <c r="AV180">
        <f t="shared" si="50"/>
        <v>1</v>
      </c>
      <c r="AW180">
        <f t="shared" si="58"/>
        <v>0</v>
      </c>
      <c r="AX180">
        <f t="shared" si="51"/>
        <v>0</v>
      </c>
      <c r="AY180">
        <f t="shared" si="59"/>
        <v>0</v>
      </c>
      <c r="AZ180" s="28">
        <f t="shared" si="52"/>
        <v>0</v>
      </c>
      <c r="BA180" s="28">
        <f t="shared" si="53"/>
        <v>0</v>
      </c>
      <c r="BB180" s="28">
        <f t="shared" si="60"/>
        <v>0</v>
      </c>
      <c r="BC180" s="29">
        <f t="shared" si="61"/>
        <v>1.4925995122183911E-2</v>
      </c>
      <c r="BE180" s="29">
        <f t="shared" si="62"/>
        <v>-8.1351711606540006E-4</v>
      </c>
      <c r="BF180" s="29">
        <f t="shared" si="63"/>
        <v>2.6187323646300768E-2</v>
      </c>
    </row>
    <row r="181" spans="1:100" x14ac:dyDescent="0.3">
      <c r="A181" s="1">
        <v>46286</v>
      </c>
      <c r="B181" s="33">
        <v>40.659999999999997</v>
      </c>
      <c r="C181" s="33">
        <v>103.68</v>
      </c>
      <c r="D181" s="15">
        <v>-1.07633133019885E-2</v>
      </c>
      <c r="E181" s="15">
        <v>-5.0988614003713798E-3</v>
      </c>
      <c r="F181" s="33">
        <v>0.30037599999999998</v>
      </c>
      <c r="G181" s="33">
        <v>0.89473599999999998</v>
      </c>
      <c r="H181" s="33">
        <v>0</v>
      </c>
      <c r="I181" s="33">
        <v>1.9000939999999999</v>
      </c>
      <c r="J181" s="33">
        <v>0</v>
      </c>
      <c r="K181" s="33">
        <v>0</v>
      </c>
      <c r="L181" s="33">
        <v>40.659999999999997</v>
      </c>
      <c r="M181" s="33">
        <v>103.68</v>
      </c>
      <c r="N181" s="34">
        <v>2.5499262174126902</v>
      </c>
      <c r="O181" s="34">
        <v>2.5341745756035601</v>
      </c>
      <c r="P181" s="34">
        <v>2.5422104390047502</v>
      </c>
      <c r="Q181" s="34">
        <v>2.5429524953725098</v>
      </c>
      <c r="R181" s="33">
        <v>103.03953824404</v>
      </c>
      <c r="S181" s="33">
        <v>103.34354710917199</v>
      </c>
      <c r="T181" s="33">
        <v>103.39215409663601</v>
      </c>
      <c r="U181" s="15">
        <v>-6.1964515852054704E-3</v>
      </c>
      <c r="V181" s="15">
        <v>-3.25038568554201E-3</v>
      </c>
      <c r="W181" s="15">
        <v>-2.7801525513794002E-3</v>
      </c>
      <c r="X181" s="34">
        <v>2.5499262174126902</v>
      </c>
      <c r="Y181" s="34">
        <v>2.5351085643703399</v>
      </c>
      <c r="Z181" s="34">
        <v>2.5484680120854701</v>
      </c>
      <c r="AA181" s="34">
        <v>2.5460812819128602</v>
      </c>
      <c r="AB181" s="33">
        <v>103.077514227298</v>
      </c>
      <c r="AC181" s="33">
        <v>103.597980030633</v>
      </c>
      <c r="AD181" s="33">
        <v>103.519370557367</v>
      </c>
      <c r="AE181" s="15">
        <v>-5.82796209603712E-3</v>
      </c>
      <c r="AF181" s="15">
        <v>-7.91400742469137E-4</v>
      </c>
      <c r="AG181" s="15">
        <v>-1.55048226622794E-3</v>
      </c>
      <c r="AJ181">
        <f t="shared" si="44"/>
        <v>0</v>
      </c>
      <c r="AK181">
        <f t="shared" si="45"/>
        <v>0</v>
      </c>
      <c r="AL181">
        <f t="shared" si="54"/>
        <v>0</v>
      </c>
      <c r="AM181">
        <f t="shared" si="46"/>
        <v>1</v>
      </c>
      <c r="AN181">
        <f t="shared" si="55"/>
        <v>0</v>
      </c>
      <c r="AO181" s="28">
        <f t="shared" si="47"/>
        <v>0</v>
      </c>
      <c r="AP181" s="28">
        <f t="shared" si="48"/>
        <v>0</v>
      </c>
      <c r="AQ181" s="28">
        <f t="shared" si="56"/>
        <v>0</v>
      </c>
      <c r="AR181" s="29">
        <f t="shared" si="57"/>
        <v>1.1261328524116852E-2</v>
      </c>
      <c r="AU181">
        <f t="shared" si="49"/>
        <v>0</v>
      </c>
      <c r="AV181">
        <f t="shared" si="50"/>
        <v>1</v>
      </c>
      <c r="AW181">
        <f t="shared" si="58"/>
        <v>0</v>
      </c>
      <c r="AX181">
        <f t="shared" si="51"/>
        <v>1</v>
      </c>
      <c r="AY181">
        <f t="shared" si="59"/>
        <v>0</v>
      </c>
      <c r="AZ181" s="28">
        <f t="shared" si="52"/>
        <v>0</v>
      </c>
      <c r="BA181" s="28">
        <f t="shared" si="53"/>
        <v>0</v>
      </c>
      <c r="BB181" s="28">
        <f t="shared" si="60"/>
        <v>0</v>
      </c>
      <c r="BC181" s="29">
        <f t="shared" si="61"/>
        <v>1.4925995122183911E-2</v>
      </c>
      <c r="BE181" s="29">
        <f t="shared" si="62"/>
        <v>0</v>
      </c>
      <c r="BF181" s="29">
        <f t="shared" si="63"/>
        <v>2.6187323646300768E-2</v>
      </c>
    </row>
    <row r="182" spans="1:100" x14ac:dyDescent="0.3">
      <c r="A182" s="1">
        <v>46287</v>
      </c>
      <c r="B182" s="33">
        <v>40.53</v>
      </c>
      <c r="C182" s="33">
        <v>103.44</v>
      </c>
      <c r="D182" s="15">
        <v>-3.2023675599833199E-3</v>
      </c>
      <c r="E182" s="15">
        <v>-2.3174981403625899E-3</v>
      </c>
      <c r="F182" s="33">
        <v>0</v>
      </c>
      <c r="G182" s="33">
        <v>0.89473599999999998</v>
      </c>
      <c r="H182" s="33">
        <v>0</v>
      </c>
      <c r="I182" s="33">
        <v>1.9000939999999999</v>
      </c>
      <c r="J182" s="33">
        <v>0</v>
      </c>
      <c r="K182" s="33">
        <v>0</v>
      </c>
      <c r="L182" s="33">
        <v>40.53</v>
      </c>
      <c r="M182" s="33">
        <v>103.44</v>
      </c>
      <c r="N182" s="34">
        <v>2.5521835677275999</v>
      </c>
      <c r="O182" s="34">
        <v>2.5341745756035601</v>
      </c>
      <c r="P182" s="34">
        <v>2.5431595207487399</v>
      </c>
      <c r="Q182" s="34">
        <v>2.5432710675580501</v>
      </c>
      <c r="R182" s="33">
        <v>102.710095549212</v>
      </c>
      <c r="S182" s="33">
        <v>103.035789092862</v>
      </c>
      <c r="T182" s="33">
        <v>103.06586463744701</v>
      </c>
      <c r="U182" s="15">
        <v>-7.0813210048260499E-3</v>
      </c>
      <c r="V182" s="15">
        <v>-3.9153396656192102E-3</v>
      </c>
      <c r="W182" s="15">
        <v>-3.6234881034973398E-3</v>
      </c>
      <c r="X182" s="34">
        <v>2.5521835677275999</v>
      </c>
      <c r="Y182" s="34">
        <v>2.5351085643703399</v>
      </c>
      <c r="Z182" s="34">
        <v>2.5494170938294598</v>
      </c>
      <c r="AA182" s="34">
        <v>2.5463998540984099</v>
      </c>
      <c r="AB182" s="33">
        <v>102.74795011393</v>
      </c>
      <c r="AC182" s="33">
        <v>103.289408529824</v>
      </c>
      <c r="AD182" s="33">
        <v>103.19267435592801</v>
      </c>
      <c r="AE182" s="15">
        <v>-6.7128315156577299E-3</v>
      </c>
      <c r="AF182" s="15">
        <v>-1.4568947677359499E-3</v>
      </c>
      <c r="AG182" s="15">
        <v>-2.3938688588610998E-3</v>
      </c>
      <c r="AJ182">
        <f t="shared" si="44"/>
        <v>0</v>
      </c>
      <c r="AK182">
        <f t="shared" si="45"/>
        <v>0</v>
      </c>
      <c r="AL182">
        <f t="shared" si="54"/>
        <v>0</v>
      </c>
      <c r="AM182">
        <f t="shared" si="46"/>
        <v>1</v>
      </c>
      <c r="AN182">
        <f t="shared" si="55"/>
        <v>0</v>
      </c>
      <c r="AO182" s="28">
        <f t="shared" si="47"/>
        <v>0</v>
      </c>
      <c r="AP182" s="28">
        <f t="shared" si="48"/>
        <v>0</v>
      </c>
      <c r="AQ182" s="28">
        <f t="shared" si="56"/>
        <v>0</v>
      </c>
      <c r="AR182" s="29">
        <f t="shared" si="57"/>
        <v>1.1261328524116852E-2</v>
      </c>
      <c r="AU182">
        <f t="shared" si="49"/>
        <v>0</v>
      </c>
      <c r="AV182">
        <f t="shared" si="50"/>
        <v>1</v>
      </c>
      <c r="AW182">
        <f t="shared" si="58"/>
        <v>0</v>
      </c>
      <c r="AX182">
        <f t="shared" si="51"/>
        <v>1</v>
      </c>
      <c r="AY182">
        <f t="shared" si="59"/>
        <v>0</v>
      </c>
      <c r="AZ182" s="28">
        <f t="shared" si="52"/>
        <v>0</v>
      </c>
      <c r="BA182" s="28">
        <f t="shared" si="53"/>
        <v>0</v>
      </c>
      <c r="BB182" s="28">
        <f t="shared" si="60"/>
        <v>0</v>
      </c>
      <c r="BC182" s="29">
        <f t="shared" si="61"/>
        <v>1.4925995122183911E-2</v>
      </c>
      <c r="BE182" s="29">
        <f t="shared" si="62"/>
        <v>0</v>
      </c>
      <c r="BF182" s="29">
        <f t="shared" si="63"/>
        <v>2.6187323646300768E-2</v>
      </c>
    </row>
    <row r="183" spans="1:100" x14ac:dyDescent="0.3">
      <c r="A183" s="1">
        <v>46288</v>
      </c>
      <c r="B183" s="33">
        <v>39.75</v>
      </c>
      <c r="C183" s="33">
        <v>101.71</v>
      </c>
      <c r="D183" s="15">
        <v>-1.9432599539876201E-2</v>
      </c>
      <c r="E183" s="15">
        <v>-1.6866107826097199E-2</v>
      </c>
      <c r="F183" s="33">
        <v>0</v>
      </c>
      <c r="G183" s="33">
        <v>0.89473599999999998</v>
      </c>
      <c r="H183" s="33">
        <v>0</v>
      </c>
      <c r="I183" s="33">
        <v>1.9000939999999999</v>
      </c>
      <c r="J183" s="33">
        <v>0</v>
      </c>
      <c r="K183" s="33">
        <v>0</v>
      </c>
      <c r="L183" s="33">
        <v>39.75</v>
      </c>
      <c r="M183" s="33">
        <v>101.71</v>
      </c>
      <c r="N183" s="34">
        <v>2.5587421383647699</v>
      </c>
      <c r="O183" s="34">
        <v>2.5341745756035601</v>
      </c>
      <c r="P183" s="34">
        <v>2.54460895582416</v>
      </c>
      <c r="Q183" s="34">
        <v>2.5441589941484199</v>
      </c>
      <c r="R183" s="33">
        <v>100.73343938024099</v>
      </c>
      <c r="S183" s="33">
        <v>101.090590949762</v>
      </c>
      <c r="T183" s="33">
        <v>101.09502493543199</v>
      </c>
      <c r="U183" s="15">
        <v>-9.6478127186052191E-3</v>
      </c>
      <c r="V183" s="15">
        <v>-6.1085717099849703E-3</v>
      </c>
      <c r="W183" s="15">
        <v>-6.0647111647988104E-3</v>
      </c>
      <c r="X183" s="34">
        <v>2.5587421383647699</v>
      </c>
      <c r="Y183" s="34">
        <v>2.5351085643703399</v>
      </c>
      <c r="Z183" s="34">
        <v>2.55086652890488</v>
      </c>
      <c r="AA183" s="34">
        <v>2.5472877806887801</v>
      </c>
      <c r="AB183" s="33">
        <v>100.770565433721</v>
      </c>
      <c r="AC183" s="33">
        <v>101.339329479721</v>
      </c>
      <c r="AD183" s="33">
        <v>101.219394200412</v>
      </c>
      <c r="AE183" s="15">
        <v>-9.27932322943688E-3</v>
      </c>
      <c r="AF183" s="15">
        <v>-3.6510431527663999E-3</v>
      </c>
      <c r="AG183" s="15">
        <v>-4.8352458486167899E-3</v>
      </c>
      <c r="AJ183">
        <f t="shared" si="44"/>
        <v>1</v>
      </c>
      <c r="AK183">
        <f t="shared" si="45"/>
        <v>0</v>
      </c>
      <c r="AL183">
        <f t="shared" si="54"/>
        <v>0</v>
      </c>
      <c r="AM183">
        <f t="shared" si="46"/>
        <v>1</v>
      </c>
      <c r="AN183">
        <f t="shared" si="55"/>
        <v>0</v>
      </c>
      <c r="AO183" s="28">
        <f t="shared" si="47"/>
        <v>0</v>
      </c>
      <c r="AP183" s="28">
        <f t="shared" si="48"/>
        <v>0</v>
      </c>
      <c r="AQ183" s="28">
        <f t="shared" si="56"/>
        <v>0</v>
      </c>
      <c r="AR183" s="29">
        <f t="shared" si="57"/>
        <v>1.1261328524116852E-2</v>
      </c>
      <c r="AU183">
        <f t="shared" si="49"/>
        <v>0</v>
      </c>
      <c r="AV183">
        <f t="shared" si="50"/>
        <v>1</v>
      </c>
      <c r="AW183">
        <f t="shared" si="58"/>
        <v>0</v>
      </c>
      <c r="AX183">
        <f t="shared" si="51"/>
        <v>1</v>
      </c>
      <c r="AY183">
        <f t="shared" si="59"/>
        <v>0</v>
      </c>
      <c r="AZ183" s="28">
        <f t="shared" si="52"/>
        <v>0</v>
      </c>
      <c r="BA183" s="28">
        <f t="shared" si="53"/>
        <v>0</v>
      </c>
      <c r="BB183" s="28">
        <f t="shared" si="60"/>
        <v>0</v>
      </c>
      <c r="BC183" s="29">
        <f t="shared" si="61"/>
        <v>1.4925995122183911E-2</v>
      </c>
      <c r="BE183" s="29">
        <f t="shared" si="62"/>
        <v>0</v>
      </c>
      <c r="BF183" s="29">
        <f t="shared" si="63"/>
        <v>2.6187323646300768E-2</v>
      </c>
    </row>
    <row r="184" spans="1:100" x14ac:dyDescent="0.3">
      <c r="A184" s="1">
        <v>46289</v>
      </c>
      <c r="B184" s="33">
        <v>39.36</v>
      </c>
      <c r="C184" s="33">
        <v>100.9</v>
      </c>
      <c r="D184" s="15">
        <v>-9.8597689162882706E-3</v>
      </c>
      <c r="E184" s="15">
        <v>-7.9956992779414305E-3</v>
      </c>
      <c r="F184" s="33">
        <v>0</v>
      </c>
      <c r="G184" s="33">
        <v>0.89473599999999998</v>
      </c>
      <c r="H184" s="33">
        <v>0</v>
      </c>
      <c r="I184" s="33">
        <v>1.9000939999999999</v>
      </c>
      <c r="J184" s="33">
        <v>0</v>
      </c>
      <c r="K184" s="33">
        <v>0</v>
      </c>
      <c r="L184" s="33">
        <v>39.36</v>
      </c>
      <c r="M184" s="33">
        <v>100.9</v>
      </c>
      <c r="N184" s="34">
        <v>2.5635162601625998</v>
      </c>
      <c r="O184" s="34">
        <v>2.5341745756035601</v>
      </c>
      <c r="P184" s="34">
        <v>2.5464215413888698</v>
      </c>
      <c r="Q184" s="34">
        <v>2.5453639958488101</v>
      </c>
      <c r="R184" s="33">
        <v>99.745111295756203</v>
      </c>
      <c r="S184" s="33">
        <v>100.15580850123899</v>
      </c>
      <c r="T184" s="33">
        <v>100.138098009682</v>
      </c>
      <c r="U184" s="15">
        <v>-1.1511882356952E-2</v>
      </c>
      <c r="V184" s="15">
        <v>-7.4028689141880299E-3</v>
      </c>
      <c r="W184" s="15">
        <v>-7.5797139506810496E-3</v>
      </c>
      <c r="X184" s="34">
        <v>2.5635162601625998</v>
      </c>
      <c r="Y184" s="34">
        <v>2.5351085643703399</v>
      </c>
      <c r="Z184" s="34">
        <v>2.5526791144695902</v>
      </c>
      <c r="AA184" s="34">
        <v>2.5484927823891699</v>
      </c>
      <c r="AB184" s="33">
        <v>99.781873093616696</v>
      </c>
      <c r="AC184" s="33">
        <v>100.402106577696</v>
      </c>
      <c r="AD184" s="33">
        <v>100.26124704791</v>
      </c>
      <c r="AE184" s="15">
        <v>-1.11433928677836E-2</v>
      </c>
      <c r="AF184" s="15">
        <v>-4.9467384724869602E-3</v>
      </c>
      <c r="AG184" s="15">
        <v>-6.3506774616164403E-3</v>
      </c>
      <c r="AJ184">
        <f t="shared" si="44"/>
        <v>1</v>
      </c>
      <c r="AK184">
        <f t="shared" si="45"/>
        <v>0</v>
      </c>
      <c r="AL184">
        <f t="shared" si="54"/>
        <v>1</v>
      </c>
      <c r="AM184">
        <f t="shared" si="46"/>
        <v>1</v>
      </c>
      <c r="AN184">
        <f t="shared" si="55"/>
        <v>1</v>
      </c>
      <c r="AO184" s="28">
        <f t="shared" si="47"/>
        <v>-9.8597689162882706E-3</v>
      </c>
      <c r="AP184" s="28">
        <f t="shared" si="48"/>
        <v>7.9956992779414305E-3</v>
      </c>
      <c r="AQ184" s="28">
        <f t="shared" si="56"/>
        <v>-1.8640696383468401E-3</v>
      </c>
      <c r="AR184" s="29">
        <f t="shared" si="57"/>
        <v>9.3972588857700115E-3</v>
      </c>
      <c r="AU184">
        <f t="shared" si="49"/>
        <v>0</v>
      </c>
      <c r="AV184">
        <f t="shared" si="50"/>
        <v>1</v>
      </c>
      <c r="AW184">
        <f t="shared" si="58"/>
        <v>0</v>
      </c>
      <c r="AX184">
        <f t="shared" si="51"/>
        <v>1</v>
      </c>
      <c r="AY184">
        <f t="shared" si="59"/>
        <v>0</v>
      </c>
      <c r="AZ184" s="28">
        <f t="shared" si="52"/>
        <v>0</v>
      </c>
      <c r="BA184" s="28">
        <f t="shared" si="53"/>
        <v>0</v>
      </c>
      <c r="BB184" s="28">
        <f t="shared" si="60"/>
        <v>0</v>
      </c>
      <c r="BC184" s="29">
        <f t="shared" si="61"/>
        <v>1.4925995122183911E-2</v>
      </c>
      <c r="BE184" s="29">
        <f t="shared" si="62"/>
        <v>-1.8640696383468401E-3</v>
      </c>
      <c r="BF184" s="29">
        <f t="shared" si="63"/>
        <v>2.4323254007953928E-2</v>
      </c>
    </row>
    <row r="185" spans="1:100" x14ac:dyDescent="0.3">
      <c r="A185" s="1">
        <v>46290</v>
      </c>
      <c r="B185" s="33">
        <v>39.51</v>
      </c>
      <c r="C185" s="33">
        <v>101.17</v>
      </c>
      <c r="D185" s="15">
        <v>3.8037322392465499E-3</v>
      </c>
      <c r="E185" s="15">
        <v>2.6723428582357701E-3</v>
      </c>
      <c r="F185" s="33">
        <v>0</v>
      </c>
      <c r="G185" s="33">
        <v>0.89473599999999998</v>
      </c>
      <c r="H185" s="33">
        <v>0</v>
      </c>
      <c r="I185" s="33">
        <v>1.9000939999999999</v>
      </c>
      <c r="J185" s="33">
        <v>0</v>
      </c>
      <c r="K185" s="33">
        <v>0</v>
      </c>
      <c r="L185" s="33">
        <v>39.51</v>
      </c>
      <c r="M185" s="33">
        <v>101.17</v>
      </c>
      <c r="N185" s="34">
        <v>2.56061756517337</v>
      </c>
      <c r="O185" s="34">
        <v>2.5341745756035601</v>
      </c>
      <c r="P185" s="34">
        <v>2.5478477706592102</v>
      </c>
      <c r="Q185" s="34">
        <v>2.5464379496053899</v>
      </c>
      <c r="R185" s="33">
        <v>100.125237482096</v>
      </c>
      <c r="S185" s="33">
        <v>100.609115100274</v>
      </c>
      <c r="T185" s="33">
        <v>100.56733147598599</v>
      </c>
      <c r="U185" s="15">
        <v>-1.0380492975941E-2</v>
      </c>
      <c r="V185" s="15">
        <v>-5.5594092981674399E-3</v>
      </c>
      <c r="W185" s="15">
        <v>-5.9748021097977503E-3</v>
      </c>
      <c r="X185" s="34">
        <v>2.56061756517337</v>
      </c>
      <c r="Y185" s="34">
        <v>2.5351085643703399</v>
      </c>
      <c r="Z185" s="34">
        <v>2.5541053437399301</v>
      </c>
      <c r="AA185" s="34">
        <v>2.5495667361457501</v>
      </c>
      <c r="AB185" s="33">
        <v>100.162139378272</v>
      </c>
      <c r="AC185" s="33">
        <v>100.85635181269301</v>
      </c>
      <c r="AD185" s="33">
        <v>100.690949832196</v>
      </c>
      <c r="AE185" s="15">
        <v>-1.00120034867727E-2</v>
      </c>
      <c r="AF185" s="15">
        <v>-3.1050250275483399E-3</v>
      </c>
      <c r="AG185" s="15">
        <v>-4.7463471021117701E-3</v>
      </c>
      <c r="AJ185">
        <f t="shared" si="44"/>
        <v>1</v>
      </c>
      <c r="AK185">
        <f t="shared" si="45"/>
        <v>0</v>
      </c>
      <c r="AL185">
        <f t="shared" si="54"/>
        <v>1</v>
      </c>
      <c r="AM185">
        <f t="shared" si="46"/>
        <v>1</v>
      </c>
      <c r="AN185">
        <f t="shared" si="55"/>
        <v>1</v>
      </c>
      <c r="AO185" s="28">
        <f t="shared" si="47"/>
        <v>3.8037322392465499E-3</v>
      </c>
      <c r="AP185" s="28">
        <f t="shared" si="48"/>
        <v>-2.6723428582357701E-3</v>
      </c>
      <c r="AQ185" s="28">
        <f t="shared" si="56"/>
        <v>1.1313893810107798E-3</v>
      </c>
      <c r="AR185" s="29">
        <f t="shared" si="57"/>
        <v>1.0528648266780792E-2</v>
      </c>
      <c r="AU185">
        <f t="shared" si="49"/>
        <v>0</v>
      </c>
      <c r="AV185">
        <f t="shared" si="50"/>
        <v>1</v>
      </c>
      <c r="AW185">
        <f t="shared" si="58"/>
        <v>0</v>
      </c>
      <c r="AX185">
        <f t="shared" si="51"/>
        <v>1</v>
      </c>
      <c r="AY185">
        <f t="shared" si="59"/>
        <v>0</v>
      </c>
      <c r="AZ185" s="28">
        <f t="shared" si="52"/>
        <v>0</v>
      </c>
      <c r="BA185" s="28">
        <f t="shared" si="53"/>
        <v>0</v>
      </c>
      <c r="BB185" s="28">
        <f t="shared" si="60"/>
        <v>0</v>
      </c>
      <c r="BC185" s="29">
        <f t="shared" si="61"/>
        <v>1.4925995122183911E-2</v>
      </c>
      <c r="BE185" s="29">
        <f t="shared" si="62"/>
        <v>1.1313893810107798E-3</v>
      </c>
      <c r="BF185" s="29">
        <f t="shared" si="63"/>
        <v>2.5454643388964707E-2</v>
      </c>
    </row>
    <row r="186" spans="1:100" x14ac:dyDescent="0.3">
      <c r="A186" s="1">
        <v>46293</v>
      </c>
      <c r="B186" s="33">
        <v>39.25</v>
      </c>
      <c r="C186" s="33">
        <v>100.52</v>
      </c>
      <c r="D186" s="15">
        <v>-6.6023601948818301E-3</v>
      </c>
      <c r="E186" s="15">
        <v>-6.4455575424076598E-3</v>
      </c>
      <c r="F186" s="33">
        <v>0</v>
      </c>
      <c r="G186" s="33">
        <v>0.89473599999999998</v>
      </c>
      <c r="H186" s="33">
        <v>0</v>
      </c>
      <c r="I186" s="33">
        <v>1.9000939999999999</v>
      </c>
      <c r="J186" s="33">
        <v>0</v>
      </c>
      <c r="K186" s="33">
        <v>0</v>
      </c>
      <c r="L186" s="33">
        <v>39.25</v>
      </c>
      <c r="M186" s="33">
        <v>100.52</v>
      </c>
      <c r="N186" s="34">
        <v>2.56101910828025</v>
      </c>
      <c r="O186" s="34">
        <v>2.5341745756035601</v>
      </c>
      <c r="P186" s="34">
        <v>2.5488803366761399</v>
      </c>
      <c r="Q186" s="34">
        <v>2.5473300002686399</v>
      </c>
      <c r="R186" s="33">
        <v>99.466352092439806</v>
      </c>
      <c r="S186" s="33">
        <v>100.003024998374</v>
      </c>
      <c r="T186" s="33">
        <v>99.9476895220118</v>
      </c>
      <c r="U186" s="15">
        <v>-1.05372956284152E-2</v>
      </c>
      <c r="V186" s="15">
        <v>-5.1562771610787197E-3</v>
      </c>
      <c r="W186" s="15">
        <v>-5.70976833421974E-3</v>
      </c>
      <c r="X186" s="34">
        <v>2.56101910828025</v>
      </c>
      <c r="Y186" s="34">
        <v>2.5351085643703399</v>
      </c>
      <c r="Z186" s="34">
        <v>2.5551379097568598</v>
      </c>
      <c r="AA186" s="34">
        <v>2.5504587868090001</v>
      </c>
      <c r="AB186" s="33">
        <v>99.503011151536001</v>
      </c>
      <c r="AC186" s="33">
        <v>100.248634741792</v>
      </c>
      <c r="AD186" s="33">
        <v>100.07049439372</v>
      </c>
      <c r="AE186" s="15">
        <v>-1.0168806139246801E-2</v>
      </c>
      <c r="AF186" s="15">
        <v>-2.7032651171818001E-3</v>
      </c>
      <c r="AG186" s="15">
        <v>-4.4818311063568404E-3</v>
      </c>
      <c r="AJ186">
        <f t="shared" si="44"/>
        <v>1</v>
      </c>
      <c r="AK186">
        <f t="shared" si="45"/>
        <v>0</v>
      </c>
      <c r="AL186">
        <f t="shared" si="54"/>
        <v>1</v>
      </c>
      <c r="AM186">
        <f t="shared" si="46"/>
        <v>1</v>
      </c>
      <c r="AN186">
        <f t="shared" si="55"/>
        <v>1</v>
      </c>
      <c r="AO186" s="28">
        <f t="shared" si="47"/>
        <v>-6.6023601948818301E-3</v>
      </c>
      <c r="AP186" s="28">
        <f t="shared" si="48"/>
        <v>6.4455575424076598E-3</v>
      </c>
      <c r="AQ186" s="28">
        <f t="shared" si="56"/>
        <v>-1.5680265247417034E-4</v>
      </c>
      <c r="AR186" s="29">
        <f t="shared" si="57"/>
        <v>1.0371845614306621E-2</v>
      </c>
      <c r="AU186">
        <f t="shared" si="49"/>
        <v>0</v>
      </c>
      <c r="AV186">
        <f t="shared" si="50"/>
        <v>1</v>
      </c>
      <c r="AW186">
        <f t="shared" si="58"/>
        <v>0</v>
      </c>
      <c r="AX186">
        <f t="shared" si="51"/>
        <v>1</v>
      </c>
      <c r="AY186">
        <f t="shared" si="59"/>
        <v>0</v>
      </c>
      <c r="AZ186" s="28">
        <f t="shared" si="52"/>
        <v>0</v>
      </c>
      <c r="BA186" s="28">
        <f t="shared" si="53"/>
        <v>0</v>
      </c>
      <c r="BB186" s="28">
        <f t="shared" si="60"/>
        <v>0</v>
      </c>
      <c r="BC186" s="29">
        <f t="shared" si="61"/>
        <v>1.4925995122183911E-2</v>
      </c>
      <c r="BE186" s="29">
        <f t="shared" si="62"/>
        <v>-1.5680265247417034E-4</v>
      </c>
      <c r="BF186" s="29">
        <f t="shared" si="63"/>
        <v>2.5297840736490537E-2</v>
      </c>
    </row>
    <row r="188" spans="1:100" x14ac:dyDescent="0.3">
      <c r="AU188" s="7"/>
      <c r="AV188" s="7"/>
      <c r="AW188" s="7"/>
      <c r="AX188" s="7"/>
      <c r="AY188" s="7"/>
    </row>
  </sheetData>
  <conditionalFormatting sqref="AJ2:AQ9">
    <cfRule type="top10" dxfId="1" priority="2" rank="3"/>
  </conditionalFormatting>
  <conditionalFormatting sqref="AU2:BB9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2026-09-29T14:16:26Z</dcterms:created>
  <dcterms:modified xsi:type="dcterms:W3CDTF">2026-09-29T18:28:15Z</dcterms:modified>
</cp:coreProperties>
</file>