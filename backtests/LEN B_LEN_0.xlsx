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projects\backtesting\backtests\"/>
    </mc:Choice>
  </mc:AlternateContent>
  <xr:revisionPtr revIDLastSave="0" documentId="13_ncr:1_{2971E19B-E9CF-4C7B-8D28-B93650485179}" xr6:coauthVersionLast="47" xr6:coauthVersionMax="47" xr10:uidLastSave="{00000000-0000-0000-0000-000000000000}"/>
  <bookViews>
    <workbookView xWindow="-120" yWindow="-120" windowWidth="29040" windowHeight="15720" xr2:uid="{19C404DE-2775-4F43-89AD-1260779F58BC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176" i="1" l="1"/>
  <c r="AV176" i="1"/>
  <c r="AU176" i="1"/>
  <c r="AM176" i="1"/>
  <c r="AK176" i="1"/>
  <c r="AJ176" i="1"/>
  <c r="AX175" i="1"/>
  <c r="AV175" i="1"/>
  <c r="AU175" i="1"/>
  <c r="AY176" i="1" s="1"/>
  <c r="AM175" i="1"/>
  <c r="AK175" i="1"/>
  <c r="AJ175" i="1"/>
  <c r="AX174" i="1"/>
  <c r="AV174" i="1"/>
  <c r="AU174" i="1"/>
  <c r="AM174" i="1"/>
  <c r="AK174" i="1"/>
  <c r="AJ174" i="1"/>
  <c r="AX173" i="1"/>
  <c r="AV173" i="1"/>
  <c r="AU173" i="1"/>
  <c r="AM173" i="1"/>
  <c r="AK173" i="1"/>
  <c r="AJ173" i="1"/>
  <c r="AX172" i="1"/>
  <c r="AV172" i="1"/>
  <c r="AU172" i="1"/>
  <c r="AY173" i="1" s="1"/>
  <c r="AM172" i="1"/>
  <c r="AK172" i="1"/>
  <c r="AJ172" i="1"/>
  <c r="AX171" i="1"/>
  <c r="AV171" i="1"/>
  <c r="AU171" i="1"/>
  <c r="AM171" i="1"/>
  <c r="AK171" i="1"/>
  <c r="AJ171" i="1"/>
  <c r="AX170" i="1"/>
  <c r="AV170" i="1"/>
  <c r="AU170" i="1"/>
  <c r="AM170" i="1"/>
  <c r="AK170" i="1"/>
  <c r="AJ170" i="1"/>
  <c r="AN171" i="1" s="1"/>
  <c r="AX169" i="1"/>
  <c r="AV169" i="1"/>
  <c r="AU169" i="1"/>
  <c r="AY170" i="1" s="1"/>
  <c r="AM169" i="1"/>
  <c r="AK169" i="1"/>
  <c r="AJ169" i="1"/>
  <c r="AX168" i="1"/>
  <c r="AV168" i="1"/>
  <c r="AU168" i="1"/>
  <c r="AM168" i="1"/>
  <c r="AK168" i="1"/>
  <c r="AJ168" i="1"/>
  <c r="AX167" i="1"/>
  <c r="AV167" i="1"/>
  <c r="AU167" i="1"/>
  <c r="AM167" i="1"/>
  <c r="AK167" i="1"/>
  <c r="AJ167" i="1"/>
  <c r="AX166" i="1"/>
  <c r="AV166" i="1"/>
  <c r="AU166" i="1"/>
  <c r="AM166" i="1"/>
  <c r="AK166" i="1"/>
  <c r="AJ166" i="1"/>
  <c r="AX165" i="1"/>
  <c r="AV165" i="1"/>
  <c r="AU165" i="1"/>
  <c r="AY166" i="1" s="1"/>
  <c r="AM165" i="1"/>
  <c r="AK165" i="1"/>
  <c r="AJ165" i="1"/>
  <c r="AX164" i="1"/>
  <c r="AV164" i="1"/>
  <c r="AU164" i="1"/>
  <c r="AY165" i="1" s="1"/>
  <c r="AM164" i="1"/>
  <c r="AK164" i="1"/>
  <c r="AJ164" i="1"/>
  <c r="AX163" i="1"/>
  <c r="AV163" i="1"/>
  <c r="AU163" i="1"/>
  <c r="AY164" i="1" s="1"/>
  <c r="AM163" i="1"/>
  <c r="AK163" i="1"/>
  <c r="AJ163" i="1"/>
  <c r="AX162" i="1"/>
  <c r="AV162" i="1"/>
  <c r="AU162" i="1"/>
  <c r="AM162" i="1"/>
  <c r="AK162" i="1"/>
  <c r="AJ162" i="1"/>
  <c r="AX161" i="1"/>
  <c r="AV161" i="1"/>
  <c r="AU161" i="1"/>
  <c r="AM161" i="1"/>
  <c r="AK161" i="1"/>
  <c r="AJ161" i="1"/>
  <c r="AX160" i="1"/>
  <c r="AV160" i="1"/>
  <c r="AU160" i="1"/>
  <c r="AY161" i="1" s="1"/>
  <c r="AM160" i="1"/>
  <c r="AK160" i="1"/>
  <c r="AJ160" i="1"/>
  <c r="AX159" i="1"/>
  <c r="AV159" i="1"/>
  <c r="AU159" i="1"/>
  <c r="AM159" i="1"/>
  <c r="AK159" i="1"/>
  <c r="AJ159" i="1"/>
  <c r="AX158" i="1"/>
  <c r="AV158" i="1"/>
  <c r="AU158" i="1"/>
  <c r="AM158" i="1"/>
  <c r="AK158" i="1"/>
  <c r="AJ158" i="1"/>
  <c r="AX157" i="1"/>
  <c r="AV157" i="1"/>
  <c r="AU157" i="1"/>
  <c r="AY158" i="1" s="1"/>
  <c r="AM157" i="1"/>
  <c r="AK157" i="1"/>
  <c r="AJ157" i="1"/>
  <c r="AX156" i="1"/>
  <c r="AV156" i="1"/>
  <c r="AU156" i="1"/>
  <c r="AM156" i="1"/>
  <c r="AK156" i="1"/>
  <c r="AJ156" i="1"/>
  <c r="AX155" i="1"/>
  <c r="AV155" i="1"/>
  <c r="AU155" i="1"/>
  <c r="AM155" i="1"/>
  <c r="AK155" i="1"/>
  <c r="AJ155" i="1"/>
  <c r="AN156" i="1" s="1"/>
  <c r="AX154" i="1"/>
  <c r="AV154" i="1"/>
  <c r="AU154" i="1"/>
  <c r="AM154" i="1"/>
  <c r="AK154" i="1"/>
  <c r="AJ154" i="1"/>
  <c r="AX153" i="1"/>
  <c r="AV153" i="1"/>
  <c r="AU153" i="1"/>
  <c r="AY154" i="1" s="1"/>
  <c r="AM153" i="1"/>
  <c r="AK153" i="1"/>
  <c r="AJ153" i="1"/>
  <c r="AX152" i="1"/>
  <c r="AV152" i="1"/>
  <c r="AU152" i="1"/>
  <c r="AM152" i="1"/>
  <c r="AK152" i="1"/>
  <c r="AJ152" i="1"/>
  <c r="AX151" i="1"/>
  <c r="AV151" i="1"/>
  <c r="AU151" i="1"/>
  <c r="AY152" i="1" s="1"/>
  <c r="AM151" i="1"/>
  <c r="AK151" i="1"/>
  <c r="AJ151" i="1"/>
  <c r="AX150" i="1"/>
  <c r="AV150" i="1"/>
  <c r="AU150" i="1"/>
  <c r="AY151" i="1" s="1"/>
  <c r="AM150" i="1"/>
  <c r="AK150" i="1"/>
  <c r="AJ150" i="1"/>
  <c r="AX149" i="1"/>
  <c r="AV149" i="1"/>
  <c r="AU149" i="1"/>
  <c r="AM149" i="1"/>
  <c r="AK149" i="1"/>
  <c r="AJ149" i="1"/>
  <c r="AX148" i="1"/>
  <c r="AV148" i="1"/>
  <c r="AU148" i="1"/>
  <c r="AY149" i="1" s="1"/>
  <c r="AM148" i="1"/>
  <c r="AK148" i="1"/>
  <c r="AJ148" i="1"/>
  <c r="AX147" i="1"/>
  <c r="AV147" i="1"/>
  <c r="AU147" i="1"/>
  <c r="AM147" i="1"/>
  <c r="AK147" i="1"/>
  <c r="AJ147" i="1"/>
  <c r="AN148" i="1" s="1"/>
  <c r="AX146" i="1"/>
  <c r="AV146" i="1"/>
  <c r="AU146" i="1"/>
  <c r="AM146" i="1"/>
  <c r="AK146" i="1"/>
  <c r="AJ146" i="1"/>
  <c r="AX145" i="1"/>
  <c r="AV145" i="1"/>
  <c r="AU145" i="1"/>
  <c r="AM145" i="1"/>
  <c r="AK145" i="1"/>
  <c r="AJ145" i="1"/>
  <c r="AX144" i="1"/>
  <c r="AV144" i="1"/>
  <c r="AU144" i="1"/>
  <c r="AM144" i="1"/>
  <c r="AK144" i="1"/>
  <c r="AJ144" i="1"/>
  <c r="AX143" i="1"/>
  <c r="AV143" i="1"/>
  <c r="AU143" i="1"/>
  <c r="AM143" i="1"/>
  <c r="AK143" i="1"/>
  <c r="AJ143" i="1"/>
  <c r="AX142" i="1"/>
  <c r="AV142" i="1"/>
  <c r="AU142" i="1"/>
  <c r="AY143" i="1" s="1"/>
  <c r="AM142" i="1"/>
  <c r="AK142" i="1"/>
  <c r="AJ142" i="1"/>
  <c r="AX141" i="1"/>
  <c r="AV141" i="1"/>
  <c r="AU141" i="1"/>
  <c r="AY142" i="1" s="1"/>
  <c r="AM141" i="1"/>
  <c r="AK141" i="1"/>
  <c r="AJ141" i="1"/>
  <c r="AN142" i="1" s="1"/>
  <c r="AX140" i="1"/>
  <c r="AV140" i="1"/>
  <c r="AU140" i="1"/>
  <c r="AM140" i="1"/>
  <c r="AK140" i="1"/>
  <c r="AJ140" i="1"/>
  <c r="AX139" i="1"/>
  <c r="AV139" i="1"/>
  <c r="AU139" i="1"/>
  <c r="AM139" i="1"/>
  <c r="AK139" i="1"/>
  <c r="AJ139" i="1"/>
  <c r="AX138" i="1"/>
  <c r="AV138" i="1"/>
  <c r="AU138" i="1"/>
  <c r="AM138" i="1"/>
  <c r="AK138" i="1"/>
  <c r="AJ138" i="1"/>
  <c r="AX137" i="1"/>
  <c r="AV137" i="1"/>
  <c r="AU137" i="1"/>
  <c r="AM137" i="1"/>
  <c r="AK137" i="1"/>
  <c r="AJ137" i="1"/>
  <c r="AX136" i="1"/>
  <c r="AV136" i="1"/>
  <c r="AU136" i="1"/>
  <c r="AY137" i="1" s="1"/>
  <c r="AM136" i="1"/>
  <c r="AK136" i="1"/>
  <c r="AJ136" i="1"/>
  <c r="AX135" i="1"/>
  <c r="AV135" i="1"/>
  <c r="AU135" i="1"/>
  <c r="AM135" i="1"/>
  <c r="AK135" i="1"/>
  <c r="AJ135" i="1"/>
  <c r="AX134" i="1"/>
  <c r="AV134" i="1"/>
  <c r="AU134" i="1"/>
  <c r="AY135" i="1" s="1"/>
  <c r="AM134" i="1"/>
  <c r="AK134" i="1"/>
  <c r="AJ134" i="1"/>
  <c r="AX133" i="1"/>
  <c r="AV133" i="1"/>
  <c r="AU133" i="1"/>
  <c r="AM133" i="1"/>
  <c r="AK133" i="1"/>
  <c r="AJ133" i="1"/>
  <c r="AX132" i="1"/>
  <c r="AV132" i="1"/>
  <c r="AU132" i="1"/>
  <c r="AM132" i="1"/>
  <c r="AK132" i="1"/>
  <c r="AJ132" i="1"/>
  <c r="AX131" i="1"/>
  <c r="AV131" i="1"/>
  <c r="AU131" i="1"/>
  <c r="AY132" i="1" s="1"/>
  <c r="AM131" i="1"/>
  <c r="AK131" i="1"/>
  <c r="AJ131" i="1"/>
  <c r="AX130" i="1"/>
  <c r="AV130" i="1"/>
  <c r="AU130" i="1"/>
  <c r="AY131" i="1" s="1"/>
  <c r="AM130" i="1"/>
  <c r="AK130" i="1"/>
  <c r="AJ130" i="1"/>
  <c r="AX129" i="1"/>
  <c r="AV129" i="1"/>
  <c r="AU129" i="1"/>
  <c r="AM129" i="1"/>
  <c r="AK129" i="1"/>
  <c r="AJ129" i="1"/>
  <c r="AX128" i="1"/>
  <c r="AV128" i="1"/>
  <c r="AU128" i="1"/>
  <c r="AM128" i="1"/>
  <c r="AK128" i="1"/>
  <c r="AJ128" i="1"/>
  <c r="AX127" i="1"/>
  <c r="AV127" i="1"/>
  <c r="AU127" i="1"/>
  <c r="AM127" i="1"/>
  <c r="AK127" i="1"/>
  <c r="AJ127" i="1"/>
  <c r="AX126" i="1"/>
  <c r="AV126" i="1"/>
  <c r="AU126" i="1"/>
  <c r="AM126" i="1"/>
  <c r="AK126" i="1"/>
  <c r="AJ126" i="1"/>
  <c r="AX125" i="1"/>
  <c r="AV125" i="1"/>
  <c r="AU125" i="1"/>
  <c r="AM125" i="1"/>
  <c r="AK125" i="1"/>
  <c r="AJ125" i="1"/>
  <c r="AX124" i="1"/>
  <c r="AV124" i="1"/>
  <c r="AU124" i="1"/>
  <c r="AY125" i="1" s="1"/>
  <c r="AM124" i="1"/>
  <c r="AK124" i="1"/>
  <c r="AJ124" i="1"/>
  <c r="AX123" i="1"/>
  <c r="AV123" i="1"/>
  <c r="AU123" i="1"/>
  <c r="AY124" i="1" s="1"/>
  <c r="AM123" i="1"/>
  <c r="AK123" i="1"/>
  <c r="AJ123" i="1"/>
  <c r="AX122" i="1"/>
  <c r="AV122" i="1"/>
  <c r="AU122" i="1"/>
  <c r="AM122" i="1"/>
  <c r="AK122" i="1"/>
  <c r="AJ122" i="1"/>
  <c r="AX121" i="1"/>
  <c r="AV121" i="1"/>
  <c r="AU121" i="1"/>
  <c r="AY122" i="1" s="1"/>
  <c r="AM121" i="1"/>
  <c r="AK121" i="1"/>
  <c r="AJ121" i="1"/>
  <c r="AX120" i="1"/>
  <c r="AV120" i="1"/>
  <c r="AU120" i="1"/>
  <c r="AM120" i="1"/>
  <c r="AK120" i="1"/>
  <c r="AJ120" i="1"/>
  <c r="AX119" i="1"/>
  <c r="AV119" i="1"/>
  <c r="AU119" i="1"/>
  <c r="AM119" i="1"/>
  <c r="AK119" i="1"/>
  <c r="AJ119" i="1"/>
  <c r="AX118" i="1"/>
  <c r="AV118" i="1"/>
  <c r="AU118" i="1"/>
  <c r="AM118" i="1"/>
  <c r="AK118" i="1"/>
  <c r="AJ118" i="1"/>
  <c r="AX117" i="1"/>
  <c r="AV117" i="1"/>
  <c r="AU117" i="1"/>
  <c r="AM117" i="1"/>
  <c r="AK117" i="1"/>
  <c r="AJ117" i="1"/>
  <c r="AN118" i="1" s="1"/>
  <c r="AX116" i="1"/>
  <c r="AV116" i="1"/>
  <c r="AU116" i="1"/>
  <c r="AY117" i="1" s="1"/>
  <c r="AM116" i="1"/>
  <c r="AK116" i="1"/>
  <c r="AJ116" i="1"/>
  <c r="AX115" i="1"/>
  <c r="AV115" i="1"/>
  <c r="AU115" i="1"/>
  <c r="AM115" i="1"/>
  <c r="AK115" i="1"/>
  <c r="AJ115" i="1"/>
  <c r="AX114" i="1"/>
  <c r="AV114" i="1"/>
  <c r="AU114" i="1"/>
  <c r="AY115" i="1" s="1"/>
  <c r="AM114" i="1"/>
  <c r="AK114" i="1"/>
  <c r="AJ114" i="1"/>
  <c r="AX113" i="1"/>
  <c r="AV113" i="1"/>
  <c r="AU113" i="1"/>
  <c r="AY114" i="1" s="1"/>
  <c r="AM113" i="1"/>
  <c r="AK113" i="1"/>
  <c r="AJ113" i="1"/>
  <c r="AX112" i="1"/>
  <c r="AV112" i="1"/>
  <c r="AU112" i="1"/>
  <c r="AY113" i="1" s="1"/>
  <c r="AM112" i="1"/>
  <c r="AK112" i="1"/>
  <c r="AJ112" i="1"/>
  <c r="AX111" i="1"/>
  <c r="AV111" i="1"/>
  <c r="AU111" i="1"/>
  <c r="AM111" i="1"/>
  <c r="AK111" i="1"/>
  <c r="AJ111" i="1"/>
  <c r="AX110" i="1"/>
  <c r="AV110" i="1"/>
  <c r="AU110" i="1"/>
  <c r="AM110" i="1"/>
  <c r="AK110" i="1"/>
  <c r="AJ110" i="1"/>
  <c r="AX109" i="1"/>
  <c r="AV109" i="1"/>
  <c r="AU109" i="1"/>
  <c r="AM109" i="1"/>
  <c r="AK109" i="1"/>
  <c r="AJ109" i="1"/>
  <c r="AX108" i="1"/>
  <c r="AV108" i="1"/>
  <c r="AU108" i="1"/>
  <c r="AM108" i="1"/>
  <c r="AK108" i="1"/>
  <c r="AJ108" i="1"/>
  <c r="AX107" i="1"/>
  <c r="AV107" i="1"/>
  <c r="AU107" i="1"/>
  <c r="AM107" i="1"/>
  <c r="AK107" i="1"/>
  <c r="AJ107" i="1"/>
  <c r="AX106" i="1"/>
  <c r="AV106" i="1"/>
  <c r="AU106" i="1"/>
  <c r="AM106" i="1"/>
  <c r="AK106" i="1"/>
  <c r="AJ106" i="1"/>
  <c r="AX105" i="1"/>
  <c r="AV105" i="1"/>
  <c r="AU105" i="1"/>
  <c r="AY106" i="1" s="1"/>
  <c r="AM105" i="1"/>
  <c r="AK105" i="1"/>
  <c r="AJ105" i="1"/>
  <c r="AX104" i="1"/>
  <c r="AV104" i="1"/>
  <c r="AU104" i="1"/>
  <c r="AY105" i="1" s="1"/>
  <c r="AM104" i="1"/>
  <c r="AK104" i="1"/>
  <c r="AJ104" i="1"/>
  <c r="AX103" i="1"/>
  <c r="AV103" i="1"/>
  <c r="AU103" i="1"/>
  <c r="AM103" i="1"/>
  <c r="AK103" i="1"/>
  <c r="AJ103" i="1"/>
  <c r="AX102" i="1"/>
  <c r="AV102" i="1"/>
  <c r="AU102" i="1"/>
  <c r="AM102" i="1"/>
  <c r="AK102" i="1"/>
  <c r="AJ102" i="1"/>
  <c r="AX101" i="1"/>
  <c r="AV101" i="1"/>
  <c r="AU101" i="1"/>
  <c r="AM101" i="1"/>
  <c r="AK101" i="1"/>
  <c r="AJ101" i="1"/>
  <c r="AX100" i="1"/>
  <c r="AV100" i="1"/>
  <c r="AU100" i="1"/>
  <c r="AM100" i="1"/>
  <c r="AK100" i="1"/>
  <c r="AJ100" i="1"/>
  <c r="AX99" i="1"/>
  <c r="AV99" i="1"/>
  <c r="AU99" i="1"/>
  <c r="AY100" i="1" s="1"/>
  <c r="AM99" i="1"/>
  <c r="AK99" i="1"/>
  <c r="AJ99" i="1"/>
  <c r="AX98" i="1"/>
  <c r="AV98" i="1"/>
  <c r="AU98" i="1"/>
  <c r="AY99" i="1" s="1"/>
  <c r="AM98" i="1"/>
  <c r="AK98" i="1"/>
  <c r="AJ98" i="1"/>
  <c r="AX97" i="1"/>
  <c r="AV97" i="1"/>
  <c r="AU97" i="1"/>
  <c r="AM97" i="1"/>
  <c r="AK97" i="1"/>
  <c r="AJ97" i="1"/>
  <c r="AX96" i="1"/>
  <c r="AV96" i="1"/>
  <c r="AU96" i="1"/>
  <c r="AM96" i="1"/>
  <c r="AK96" i="1"/>
  <c r="AJ96" i="1"/>
  <c r="AX95" i="1"/>
  <c r="AV95" i="1"/>
  <c r="AU95" i="1"/>
  <c r="AY96" i="1" s="1"/>
  <c r="AM95" i="1"/>
  <c r="AK95" i="1"/>
  <c r="AJ95" i="1"/>
  <c r="AX94" i="1"/>
  <c r="AV94" i="1"/>
  <c r="AU94" i="1"/>
  <c r="AY95" i="1" s="1"/>
  <c r="AM94" i="1"/>
  <c r="AK94" i="1"/>
  <c r="AJ94" i="1"/>
  <c r="AX93" i="1"/>
  <c r="AV93" i="1"/>
  <c r="AU93" i="1"/>
  <c r="AM93" i="1"/>
  <c r="AK93" i="1"/>
  <c r="AJ93" i="1"/>
  <c r="AX92" i="1"/>
  <c r="AV92" i="1"/>
  <c r="AU92" i="1"/>
  <c r="AM92" i="1"/>
  <c r="AK92" i="1"/>
  <c r="AJ92" i="1"/>
  <c r="AX91" i="1"/>
  <c r="AV91" i="1"/>
  <c r="AU91" i="1"/>
  <c r="AM91" i="1"/>
  <c r="AK91" i="1"/>
  <c r="AJ91" i="1"/>
  <c r="AX90" i="1"/>
  <c r="AV90" i="1"/>
  <c r="AU90" i="1"/>
  <c r="AY91" i="1" s="1"/>
  <c r="AM90" i="1"/>
  <c r="AK90" i="1"/>
  <c r="AJ90" i="1"/>
  <c r="AX89" i="1"/>
  <c r="AV89" i="1"/>
  <c r="AU89" i="1"/>
  <c r="AY90" i="1" s="1"/>
  <c r="AM89" i="1"/>
  <c r="AK89" i="1"/>
  <c r="AJ89" i="1"/>
  <c r="AX88" i="1"/>
  <c r="AV88" i="1"/>
  <c r="AU88" i="1"/>
  <c r="AY89" i="1" s="1"/>
  <c r="AM88" i="1"/>
  <c r="AK88" i="1"/>
  <c r="AJ88" i="1"/>
  <c r="AX87" i="1"/>
  <c r="AV87" i="1"/>
  <c r="AU87" i="1"/>
  <c r="AM87" i="1"/>
  <c r="AK87" i="1"/>
  <c r="AJ87" i="1"/>
  <c r="AX86" i="1"/>
  <c r="AV86" i="1"/>
  <c r="AU86" i="1"/>
  <c r="AM86" i="1"/>
  <c r="AK86" i="1"/>
  <c r="AJ86" i="1"/>
  <c r="AX85" i="1"/>
  <c r="AV85" i="1"/>
  <c r="AU85" i="1"/>
  <c r="AM85" i="1"/>
  <c r="AK85" i="1"/>
  <c r="AJ85" i="1"/>
  <c r="AX84" i="1"/>
  <c r="AV84" i="1"/>
  <c r="AU84" i="1"/>
  <c r="AY85" i="1" s="1"/>
  <c r="AM84" i="1"/>
  <c r="AK84" i="1"/>
  <c r="AJ84" i="1"/>
  <c r="AX83" i="1"/>
  <c r="AV83" i="1"/>
  <c r="AU83" i="1"/>
  <c r="AY84" i="1" s="1"/>
  <c r="AM83" i="1"/>
  <c r="AK83" i="1"/>
  <c r="AJ83" i="1"/>
  <c r="AX82" i="1"/>
  <c r="AV82" i="1"/>
  <c r="AU82" i="1"/>
  <c r="AM82" i="1"/>
  <c r="AK82" i="1"/>
  <c r="AJ82" i="1"/>
  <c r="AX81" i="1"/>
  <c r="AV81" i="1"/>
  <c r="AU81" i="1"/>
  <c r="AM81" i="1"/>
  <c r="AK81" i="1"/>
  <c r="AJ81" i="1"/>
  <c r="AX80" i="1"/>
  <c r="AV80" i="1"/>
  <c r="AU80" i="1"/>
  <c r="AM80" i="1"/>
  <c r="AK80" i="1"/>
  <c r="AJ80" i="1"/>
  <c r="AX79" i="1"/>
  <c r="AV79" i="1"/>
  <c r="AU79" i="1"/>
  <c r="AM79" i="1"/>
  <c r="AK79" i="1"/>
  <c r="AJ79" i="1"/>
  <c r="AX78" i="1"/>
  <c r="AV78" i="1"/>
  <c r="AU78" i="1"/>
  <c r="AM78" i="1"/>
  <c r="AK78" i="1"/>
  <c r="AJ78" i="1"/>
  <c r="AX77" i="1"/>
  <c r="AV77" i="1"/>
  <c r="AU77" i="1"/>
  <c r="AM77" i="1"/>
  <c r="AK77" i="1"/>
  <c r="AJ77" i="1"/>
  <c r="AX76" i="1"/>
  <c r="AV76" i="1"/>
  <c r="AU76" i="1"/>
  <c r="AM76" i="1"/>
  <c r="AK76" i="1"/>
  <c r="AJ76" i="1"/>
  <c r="AX75" i="1"/>
  <c r="AV75" i="1"/>
  <c r="AU75" i="1"/>
  <c r="AM75" i="1"/>
  <c r="AK75" i="1"/>
  <c r="AJ75" i="1"/>
  <c r="AX74" i="1"/>
  <c r="AV74" i="1"/>
  <c r="AU74" i="1"/>
  <c r="AM74" i="1"/>
  <c r="AK74" i="1"/>
  <c r="AJ74" i="1"/>
  <c r="AX73" i="1"/>
  <c r="AV73" i="1"/>
  <c r="AU73" i="1"/>
  <c r="AM73" i="1"/>
  <c r="AK73" i="1"/>
  <c r="AJ73" i="1"/>
  <c r="AN74" i="1" s="1"/>
  <c r="AX72" i="1"/>
  <c r="AV72" i="1"/>
  <c r="AU72" i="1"/>
  <c r="AM72" i="1"/>
  <c r="AK72" i="1"/>
  <c r="AJ72" i="1"/>
  <c r="AN73" i="1" s="1"/>
  <c r="AX71" i="1"/>
  <c r="AV71" i="1"/>
  <c r="AU71" i="1"/>
  <c r="AY72" i="1" s="1"/>
  <c r="AM71" i="1"/>
  <c r="AK71" i="1"/>
  <c r="AJ71" i="1"/>
  <c r="AN72" i="1" s="1"/>
  <c r="AX70" i="1"/>
  <c r="AV70" i="1"/>
  <c r="AU70" i="1"/>
  <c r="AM70" i="1"/>
  <c r="AK70" i="1"/>
  <c r="AJ70" i="1"/>
  <c r="AN71" i="1" s="1"/>
  <c r="AX69" i="1"/>
  <c r="AV69" i="1"/>
  <c r="AU69" i="1"/>
  <c r="AM69" i="1"/>
  <c r="AK69" i="1"/>
  <c r="AJ69" i="1"/>
  <c r="AN70" i="1" s="1"/>
  <c r="AX68" i="1"/>
  <c r="AV68" i="1"/>
  <c r="AU68" i="1"/>
  <c r="AM68" i="1"/>
  <c r="AK68" i="1"/>
  <c r="AJ68" i="1"/>
  <c r="AX67" i="1"/>
  <c r="AV67" i="1"/>
  <c r="AU67" i="1"/>
  <c r="AM67" i="1"/>
  <c r="AK67" i="1"/>
  <c r="AJ67" i="1"/>
  <c r="AN68" i="1" s="1"/>
  <c r="AX66" i="1"/>
  <c r="AV66" i="1"/>
  <c r="AU66" i="1"/>
  <c r="AM66" i="1"/>
  <c r="AK66" i="1"/>
  <c r="AJ66" i="1"/>
  <c r="AN67" i="1" s="1"/>
  <c r="AX65" i="1"/>
  <c r="AV65" i="1"/>
  <c r="AU65" i="1"/>
  <c r="AM65" i="1"/>
  <c r="AK65" i="1"/>
  <c r="AJ65" i="1"/>
  <c r="AN66" i="1" s="1"/>
  <c r="AX64" i="1"/>
  <c r="AV64" i="1"/>
  <c r="AU64" i="1"/>
  <c r="AM64" i="1"/>
  <c r="AK64" i="1"/>
  <c r="AJ64" i="1"/>
  <c r="AN65" i="1" s="1"/>
  <c r="AX63" i="1"/>
  <c r="AV63" i="1"/>
  <c r="AU63" i="1"/>
  <c r="AM63" i="1"/>
  <c r="AK63" i="1"/>
  <c r="AJ63" i="1"/>
  <c r="AN64" i="1" s="1"/>
  <c r="AX62" i="1"/>
  <c r="AV62" i="1"/>
  <c r="AU62" i="1"/>
  <c r="AM62" i="1"/>
  <c r="AK62" i="1"/>
  <c r="AJ62" i="1"/>
  <c r="AN63" i="1" s="1"/>
  <c r="AX61" i="1"/>
  <c r="AV61" i="1"/>
  <c r="AU61" i="1"/>
  <c r="AM61" i="1"/>
  <c r="AK61" i="1"/>
  <c r="AJ61" i="1"/>
  <c r="AN62" i="1" s="1"/>
  <c r="AX60" i="1"/>
  <c r="AV60" i="1"/>
  <c r="AU60" i="1"/>
  <c r="AM60" i="1"/>
  <c r="AK60" i="1"/>
  <c r="AJ60" i="1"/>
  <c r="AN61" i="1" s="1"/>
  <c r="AX59" i="1"/>
  <c r="AV59" i="1"/>
  <c r="AU59" i="1"/>
  <c r="AM59" i="1"/>
  <c r="AK59" i="1"/>
  <c r="AJ59" i="1"/>
  <c r="AN60" i="1" s="1"/>
  <c r="AX58" i="1"/>
  <c r="AV58" i="1"/>
  <c r="AU58" i="1"/>
  <c r="AM58" i="1"/>
  <c r="AK58" i="1"/>
  <c r="AJ58" i="1"/>
  <c r="AN59" i="1" s="1"/>
  <c r="AX57" i="1"/>
  <c r="AV57" i="1"/>
  <c r="AU57" i="1"/>
  <c r="AM57" i="1"/>
  <c r="AK57" i="1"/>
  <c r="AJ57" i="1"/>
  <c r="AN58" i="1" s="1"/>
  <c r="AX56" i="1"/>
  <c r="AV56" i="1"/>
  <c r="AU56" i="1"/>
  <c r="AM56" i="1"/>
  <c r="AK56" i="1"/>
  <c r="AJ56" i="1"/>
  <c r="AN57" i="1" s="1"/>
  <c r="AX55" i="1"/>
  <c r="AV55" i="1"/>
  <c r="AU55" i="1"/>
  <c r="AM55" i="1"/>
  <c r="AK55" i="1"/>
  <c r="AJ55" i="1"/>
  <c r="AN56" i="1" s="1"/>
  <c r="AX54" i="1"/>
  <c r="AV54" i="1"/>
  <c r="AU54" i="1"/>
  <c r="AM54" i="1"/>
  <c r="AK54" i="1"/>
  <c r="AJ54" i="1"/>
  <c r="AX53" i="1"/>
  <c r="AV53" i="1"/>
  <c r="AU53" i="1"/>
  <c r="AY54" i="1" s="1"/>
  <c r="AM53" i="1"/>
  <c r="AK53" i="1"/>
  <c r="AJ53" i="1"/>
  <c r="AX52" i="1"/>
  <c r="AV52" i="1"/>
  <c r="AU52" i="1"/>
  <c r="AM52" i="1"/>
  <c r="AK52" i="1"/>
  <c r="AJ52" i="1"/>
  <c r="AX51" i="1"/>
  <c r="AV51" i="1"/>
  <c r="AU51" i="1"/>
  <c r="AM51" i="1"/>
  <c r="AK51" i="1"/>
  <c r="AJ51" i="1"/>
  <c r="AX50" i="1"/>
  <c r="AV50" i="1"/>
  <c r="AU50" i="1"/>
  <c r="AM50" i="1"/>
  <c r="AK50" i="1"/>
  <c r="AJ50" i="1"/>
  <c r="AX49" i="1"/>
  <c r="AV49" i="1"/>
  <c r="AU49" i="1"/>
  <c r="AM49" i="1"/>
  <c r="AK49" i="1"/>
  <c r="AJ49" i="1"/>
  <c r="AN50" i="1" s="1"/>
  <c r="AX48" i="1"/>
  <c r="AV48" i="1"/>
  <c r="AU48" i="1"/>
  <c r="AM48" i="1"/>
  <c r="AK48" i="1"/>
  <c r="AJ48" i="1"/>
  <c r="AX47" i="1"/>
  <c r="AV47" i="1"/>
  <c r="AU47" i="1"/>
  <c r="AM47" i="1"/>
  <c r="AK47" i="1"/>
  <c r="AJ47" i="1"/>
  <c r="AX46" i="1"/>
  <c r="AV46" i="1"/>
  <c r="AU46" i="1"/>
  <c r="AM46" i="1"/>
  <c r="AK46" i="1"/>
  <c r="AJ46" i="1"/>
  <c r="AX45" i="1"/>
  <c r="AV45" i="1"/>
  <c r="AU45" i="1"/>
  <c r="AM45" i="1"/>
  <c r="AK45" i="1"/>
  <c r="AJ45" i="1"/>
  <c r="AX44" i="1"/>
  <c r="AV44" i="1"/>
  <c r="AU44" i="1"/>
  <c r="AM44" i="1"/>
  <c r="AK44" i="1"/>
  <c r="AJ44" i="1"/>
  <c r="AX43" i="1"/>
  <c r="AV43" i="1"/>
  <c r="AU43" i="1"/>
  <c r="AM43" i="1"/>
  <c r="AK43" i="1"/>
  <c r="AJ43" i="1"/>
  <c r="AX42" i="1"/>
  <c r="AV42" i="1"/>
  <c r="AU42" i="1"/>
  <c r="AM42" i="1"/>
  <c r="AK42" i="1"/>
  <c r="AJ42" i="1"/>
  <c r="AX41" i="1"/>
  <c r="AV41" i="1"/>
  <c r="AU41" i="1"/>
  <c r="AM41" i="1"/>
  <c r="AK41" i="1"/>
  <c r="AJ41" i="1"/>
  <c r="AX40" i="1"/>
  <c r="AV40" i="1"/>
  <c r="AU40" i="1"/>
  <c r="AY41" i="1" s="1"/>
  <c r="AM40" i="1"/>
  <c r="AK40" i="1"/>
  <c r="AJ40" i="1"/>
  <c r="AX39" i="1"/>
  <c r="AV39" i="1"/>
  <c r="AU39" i="1"/>
  <c r="AY40" i="1" s="1"/>
  <c r="AM39" i="1"/>
  <c r="AK39" i="1"/>
  <c r="AJ39" i="1"/>
  <c r="AX38" i="1"/>
  <c r="AV38" i="1"/>
  <c r="AU38" i="1"/>
  <c r="AM38" i="1"/>
  <c r="AK38" i="1"/>
  <c r="AJ38" i="1"/>
  <c r="AN39" i="1" s="1"/>
  <c r="AX37" i="1"/>
  <c r="AV37" i="1"/>
  <c r="AU37" i="1"/>
  <c r="AM37" i="1"/>
  <c r="AK37" i="1"/>
  <c r="AJ37" i="1"/>
  <c r="AX36" i="1"/>
  <c r="AV36" i="1"/>
  <c r="AU36" i="1"/>
  <c r="AM36" i="1"/>
  <c r="AK36" i="1"/>
  <c r="AJ36" i="1"/>
  <c r="AX35" i="1"/>
  <c r="AV35" i="1"/>
  <c r="AU35" i="1"/>
  <c r="AM35" i="1"/>
  <c r="AK35" i="1"/>
  <c r="AJ35" i="1"/>
  <c r="AX34" i="1"/>
  <c r="AV34" i="1"/>
  <c r="AU34" i="1"/>
  <c r="AM34" i="1"/>
  <c r="AK34" i="1"/>
  <c r="AJ34" i="1"/>
  <c r="AX33" i="1"/>
  <c r="AV33" i="1"/>
  <c r="AU33" i="1"/>
  <c r="AM33" i="1"/>
  <c r="AK33" i="1"/>
  <c r="AJ33" i="1"/>
  <c r="AX32" i="1"/>
  <c r="AV32" i="1"/>
  <c r="AU32" i="1"/>
  <c r="AY33" i="1" s="1"/>
  <c r="AM32" i="1"/>
  <c r="AK32" i="1"/>
  <c r="AJ32" i="1"/>
  <c r="AN33" i="1" s="1"/>
  <c r="AX31" i="1"/>
  <c r="AV31" i="1"/>
  <c r="AU31" i="1"/>
  <c r="AM31" i="1"/>
  <c r="AK31" i="1"/>
  <c r="AJ31" i="1"/>
  <c r="AX30" i="1"/>
  <c r="AV30" i="1"/>
  <c r="AU30" i="1"/>
  <c r="AY31" i="1" s="1"/>
  <c r="AM30" i="1"/>
  <c r="AK30" i="1"/>
  <c r="AJ30" i="1"/>
  <c r="AX29" i="1"/>
  <c r="AV29" i="1"/>
  <c r="AU29" i="1"/>
  <c r="AM29" i="1"/>
  <c r="AK29" i="1"/>
  <c r="AJ29" i="1"/>
  <c r="AX28" i="1"/>
  <c r="AV28" i="1"/>
  <c r="AU28" i="1"/>
  <c r="AM28" i="1"/>
  <c r="AK28" i="1"/>
  <c r="AJ28" i="1"/>
  <c r="AX27" i="1"/>
  <c r="AV27" i="1"/>
  <c r="AU27" i="1"/>
  <c r="AY28" i="1" s="1"/>
  <c r="AM27" i="1"/>
  <c r="AK27" i="1"/>
  <c r="AJ27" i="1"/>
  <c r="AN28" i="1" s="1"/>
  <c r="AX26" i="1"/>
  <c r="AV26" i="1"/>
  <c r="AU26" i="1"/>
  <c r="AM26" i="1"/>
  <c r="AK26" i="1"/>
  <c r="AJ26" i="1"/>
  <c r="AN27" i="1" s="1"/>
  <c r="AX25" i="1"/>
  <c r="AV25" i="1"/>
  <c r="AU25" i="1"/>
  <c r="AM25" i="1"/>
  <c r="AK25" i="1"/>
  <c r="AJ25" i="1"/>
  <c r="AX24" i="1"/>
  <c r="AV24" i="1"/>
  <c r="AU24" i="1"/>
  <c r="AM24" i="1"/>
  <c r="AK24" i="1"/>
  <c r="AJ24" i="1"/>
  <c r="AN25" i="1" s="1"/>
  <c r="AX23" i="1"/>
  <c r="AV23" i="1"/>
  <c r="AU23" i="1"/>
  <c r="AM23" i="1"/>
  <c r="AK23" i="1"/>
  <c r="AJ23" i="1"/>
  <c r="AX22" i="1"/>
  <c r="AW22" i="1"/>
  <c r="AV22" i="1"/>
  <c r="AU22" i="1"/>
  <c r="AM22" i="1"/>
  <c r="AL22" i="1"/>
  <c r="AK22" i="1"/>
  <c r="AJ22" i="1"/>
  <c r="AN23" i="1" s="1"/>
  <c r="AX21" i="1"/>
  <c r="AY22" i="1" s="1"/>
  <c r="AM21" i="1"/>
  <c r="AN22" i="1" s="1"/>
  <c r="BA20" i="1"/>
  <c r="AZ20" i="1"/>
  <c r="AP20" i="1"/>
  <c r="AO20" i="1"/>
  <c r="AT3" i="1"/>
  <c r="AT4" i="1" s="1"/>
  <c r="AT5" i="1" s="1"/>
  <c r="AT6" i="1" s="1"/>
  <c r="AT7" i="1" s="1"/>
  <c r="AT8" i="1" s="1"/>
  <c r="AT9" i="1" s="1"/>
  <c r="AI3" i="1"/>
  <c r="AI4" i="1" s="1"/>
  <c r="AI5" i="1" s="1"/>
  <c r="AI6" i="1" s="1"/>
  <c r="AI7" i="1" s="1"/>
  <c r="AI8" i="1" s="1"/>
  <c r="AI9" i="1" s="1"/>
  <c r="AV1" i="1"/>
  <c r="AW1" i="1" s="1"/>
  <c r="AX1" i="1" s="1"/>
  <c r="AY1" i="1" s="1"/>
  <c r="AZ1" i="1" s="1"/>
  <c r="BA1" i="1" s="1"/>
  <c r="BB1" i="1" s="1"/>
  <c r="AK1" i="1"/>
  <c r="AL1" i="1" s="1"/>
  <c r="AM1" i="1" s="1"/>
  <c r="AN1" i="1" s="1"/>
  <c r="AO1" i="1" s="1"/>
  <c r="AP1" i="1" s="1"/>
  <c r="AQ1" i="1" s="1"/>
  <c r="AN69" i="1" l="1"/>
  <c r="AY153" i="1"/>
  <c r="AN158" i="1"/>
  <c r="AN153" i="1"/>
  <c r="AN124" i="1"/>
  <c r="AN120" i="1"/>
  <c r="AN38" i="1"/>
  <c r="AY169" i="1"/>
  <c r="AY162" i="1"/>
  <c r="AY87" i="1"/>
  <c r="AY71" i="1"/>
  <c r="AY39" i="1"/>
  <c r="AY112" i="1"/>
  <c r="AY70" i="1"/>
  <c r="AY59" i="1"/>
  <c r="AY38" i="1"/>
  <c r="AY104" i="1"/>
  <c r="AY128" i="1"/>
  <c r="AY98" i="1"/>
  <c r="AY34" i="1"/>
  <c r="AY123" i="1"/>
  <c r="AY32" i="1"/>
  <c r="AY27" i="1"/>
  <c r="AY171" i="1"/>
  <c r="AY80" i="1"/>
  <c r="AN37" i="1"/>
  <c r="AY147" i="1"/>
  <c r="AY129" i="1"/>
  <c r="AY126" i="1"/>
  <c r="AY108" i="1"/>
  <c r="AY103" i="1"/>
  <c r="AY73" i="1"/>
  <c r="AY68" i="1"/>
  <c r="AY66" i="1"/>
  <c r="AY60" i="1"/>
  <c r="AY48" i="1"/>
  <c r="AY24" i="1"/>
  <c r="AY69" i="1"/>
  <c r="AY63" i="1"/>
  <c r="AY56" i="1"/>
  <c r="AY46" i="1"/>
  <c r="AY42" i="1"/>
  <c r="AY76" i="1"/>
  <c r="AY52" i="1"/>
  <c r="AY49" i="1"/>
  <c r="AY47" i="1"/>
  <c r="AY45" i="1"/>
  <c r="AY101" i="1"/>
  <c r="AY57" i="1"/>
  <c r="AY61" i="1"/>
  <c r="AY25" i="1"/>
  <c r="AY23" i="1"/>
  <c r="AY175" i="1"/>
  <c r="AY172" i="1"/>
  <c r="AY133" i="1"/>
  <c r="AY127" i="1"/>
  <c r="AY92" i="1"/>
  <c r="AY79" i="1"/>
  <c r="AY75" i="1"/>
  <c r="AY74" i="1"/>
  <c r="AY65" i="1"/>
  <c r="AY62" i="1"/>
  <c r="AY51" i="1"/>
  <c r="AY44" i="1"/>
  <c r="AY35" i="1"/>
  <c r="AY29" i="1"/>
  <c r="AN145" i="1"/>
  <c r="AN143" i="1"/>
  <c r="AN126" i="1"/>
  <c r="AN112" i="1"/>
  <c r="AN105" i="1"/>
  <c r="AN53" i="1"/>
  <c r="AN103" i="1"/>
  <c r="AL103" i="1" s="1"/>
  <c r="AN104" i="1" s="1"/>
  <c r="AN122" i="1"/>
  <c r="AN102" i="1"/>
  <c r="AN166" i="1"/>
  <c r="AN127" i="1"/>
  <c r="AN89" i="1"/>
  <c r="AY148" i="1"/>
  <c r="AY67" i="1"/>
  <c r="AY50" i="1"/>
  <c r="AY140" i="1"/>
  <c r="AY58" i="1"/>
  <c r="AY55" i="1"/>
  <c r="AN155" i="1"/>
  <c r="AY82" i="1"/>
  <c r="AY36" i="1"/>
  <c r="AY155" i="1"/>
  <c r="AY64" i="1"/>
  <c r="AN135" i="1"/>
  <c r="AY156" i="1"/>
  <c r="AZ176" i="1"/>
  <c r="BA176" i="1"/>
  <c r="AW176" i="1"/>
  <c r="AZ175" i="1"/>
  <c r="BA175" i="1"/>
  <c r="AW175" i="1"/>
  <c r="BA173" i="1"/>
  <c r="AZ173" i="1"/>
  <c r="AW173" i="1"/>
  <c r="AY174" i="1" s="1"/>
  <c r="AW172" i="1"/>
  <c r="AZ172" i="1"/>
  <c r="BA172" i="1"/>
  <c r="AZ171" i="1"/>
  <c r="AW171" i="1"/>
  <c r="BA171" i="1"/>
  <c r="AP171" i="1"/>
  <c r="AO171" i="1"/>
  <c r="AL171" i="1"/>
  <c r="AN172" i="1" s="1"/>
  <c r="AW170" i="1"/>
  <c r="BA170" i="1"/>
  <c r="AZ170" i="1"/>
  <c r="BB170" i="1" s="1"/>
  <c r="BA169" i="1"/>
  <c r="AW169" i="1"/>
  <c r="AZ169" i="1"/>
  <c r="BA166" i="1"/>
  <c r="AZ166" i="1"/>
  <c r="BB166" i="1" s="1"/>
  <c r="AW166" i="1"/>
  <c r="AY167" i="1" s="1"/>
  <c r="AL166" i="1"/>
  <c r="AN167" i="1" s="1"/>
  <c r="AO166" i="1"/>
  <c r="AP166" i="1"/>
  <c r="AZ165" i="1"/>
  <c r="BA165" i="1"/>
  <c r="AW165" i="1"/>
  <c r="BA164" i="1"/>
  <c r="AZ164" i="1"/>
  <c r="BB164" i="1" s="1"/>
  <c r="AW164" i="1"/>
  <c r="BA162" i="1"/>
  <c r="AZ162" i="1"/>
  <c r="AW162" i="1"/>
  <c r="AY163" i="1" s="1"/>
  <c r="AW161" i="1"/>
  <c r="BA161" i="1"/>
  <c r="AZ161" i="1"/>
  <c r="BB161" i="1" s="1"/>
  <c r="AW158" i="1"/>
  <c r="AY159" i="1" s="1"/>
  <c r="BA158" i="1"/>
  <c r="AZ158" i="1"/>
  <c r="AO158" i="1"/>
  <c r="AL158" i="1"/>
  <c r="AN159" i="1" s="1"/>
  <c r="AP158" i="1"/>
  <c r="AZ156" i="1"/>
  <c r="AW156" i="1"/>
  <c r="AY157" i="1" s="1"/>
  <c r="BA156" i="1"/>
  <c r="AL156" i="1"/>
  <c r="AN157" i="1" s="1"/>
  <c r="AO156" i="1"/>
  <c r="AP156" i="1"/>
  <c r="AZ155" i="1"/>
  <c r="BA155" i="1"/>
  <c r="AW155" i="1"/>
  <c r="AL155" i="1"/>
  <c r="AO155" i="1"/>
  <c r="AP155" i="1"/>
  <c r="AW154" i="1"/>
  <c r="AZ154" i="1"/>
  <c r="BA154" i="1"/>
  <c r="AZ153" i="1"/>
  <c r="BA153" i="1"/>
  <c r="AW153" i="1"/>
  <c r="AO153" i="1"/>
  <c r="AL153" i="1"/>
  <c r="AN154" i="1" s="1"/>
  <c r="AP153" i="1"/>
  <c r="BA152" i="1"/>
  <c r="AZ152" i="1"/>
  <c r="BB152" i="1" s="1"/>
  <c r="AW152" i="1"/>
  <c r="AW151" i="1"/>
  <c r="BA151" i="1"/>
  <c r="AZ151" i="1"/>
  <c r="AW149" i="1"/>
  <c r="AY150" i="1" s="1"/>
  <c r="AZ149" i="1"/>
  <c r="BA149" i="1"/>
  <c r="BA148" i="1"/>
  <c r="AW148" i="1"/>
  <c r="AZ148" i="1"/>
  <c r="BB148" i="1" s="1"/>
  <c r="AP148" i="1"/>
  <c r="AO148" i="1"/>
  <c r="AQ148" i="1" s="1"/>
  <c r="AL148" i="1"/>
  <c r="AN149" i="1" s="1"/>
  <c r="AW147" i="1"/>
  <c r="BA147" i="1"/>
  <c r="AZ147" i="1"/>
  <c r="BB147" i="1" s="1"/>
  <c r="AL145" i="1"/>
  <c r="AN146" i="1" s="1"/>
  <c r="AO145" i="1"/>
  <c r="AP145" i="1"/>
  <c r="BA143" i="1"/>
  <c r="AW143" i="1"/>
  <c r="AY144" i="1" s="1"/>
  <c r="AZ143" i="1"/>
  <c r="AL143" i="1"/>
  <c r="AN144" i="1" s="1"/>
  <c r="AO143" i="1"/>
  <c r="AP143" i="1"/>
  <c r="AZ142" i="1"/>
  <c r="AW142" i="1"/>
  <c r="BA142" i="1"/>
  <c r="AP142" i="1"/>
  <c r="AL142" i="1"/>
  <c r="AO142" i="1"/>
  <c r="AQ142" i="1" s="1"/>
  <c r="AW140" i="1"/>
  <c r="AY141" i="1" s="1"/>
  <c r="AZ140" i="1"/>
  <c r="BA140" i="1"/>
  <c r="AZ137" i="1"/>
  <c r="AW137" i="1"/>
  <c r="AY138" i="1" s="1"/>
  <c r="BA137" i="1"/>
  <c r="BA135" i="1"/>
  <c r="AZ135" i="1"/>
  <c r="AW135" i="1"/>
  <c r="AY136" i="1" s="1"/>
  <c r="AO135" i="1"/>
  <c r="AL135" i="1"/>
  <c r="AN136" i="1" s="1"/>
  <c r="AP135" i="1"/>
  <c r="AW133" i="1"/>
  <c r="AY134" i="1" s="1"/>
  <c r="BA133" i="1"/>
  <c r="AZ133" i="1"/>
  <c r="BB133" i="1" s="1"/>
  <c r="AW132" i="1"/>
  <c r="BA132" i="1"/>
  <c r="AZ132" i="1"/>
  <c r="BB132" i="1" s="1"/>
  <c r="BA131" i="1"/>
  <c r="AZ131" i="1"/>
  <c r="BB131" i="1" s="1"/>
  <c r="AW131" i="1"/>
  <c r="AZ129" i="1"/>
  <c r="BA129" i="1"/>
  <c r="AW129" i="1"/>
  <c r="AY130" i="1" s="1"/>
  <c r="BA128" i="1"/>
  <c r="AW128" i="1"/>
  <c r="AZ128" i="1"/>
  <c r="BB128" i="1" s="1"/>
  <c r="AW127" i="1"/>
  <c r="AZ127" i="1"/>
  <c r="BA127" i="1"/>
  <c r="AP127" i="1"/>
  <c r="AO127" i="1"/>
  <c r="AQ127" i="1" s="1"/>
  <c r="AL127" i="1"/>
  <c r="AN128" i="1" s="1"/>
  <c r="AZ126" i="1"/>
  <c r="AW126" i="1"/>
  <c r="BA126" i="1"/>
  <c r="AL126" i="1"/>
  <c r="AP126" i="1"/>
  <c r="AO126" i="1"/>
  <c r="AW125" i="1"/>
  <c r="AZ125" i="1"/>
  <c r="BA125" i="1"/>
  <c r="AW124" i="1"/>
  <c r="AZ124" i="1"/>
  <c r="BA124" i="1"/>
  <c r="AL124" i="1"/>
  <c r="AN125" i="1" s="1"/>
  <c r="AO124" i="1"/>
  <c r="AP124" i="1"/>
  <c r="AW123" i="1"/>
  <c r="AZ123" i="1"/>
  <c r="BA123" i="1"/>
  <c r="AW122" i="1"/>
  <c r="BA122" i="1"/>
  <c r="AZ122" i="1"/>
  <c r="AO122" i="1"/>
  <c r="AP122" i="1"/>
  <c r="AL122" i="1"/>
  <c r="AN123" i="1" s="1"/>
  <c r="AL120" i="1"/>
  <c r="AN121" i="1" s="1"/>
  <c r="AP120" i="1"/>
  <c r="AO120" i="1"/>
  <c r="AO118" i="1"/>
  <c r="AP118" i="1"/>
  <c r="AL118" i="1"/>
  <c r="AN119" i="1" s="1"/>
  <c r="AZ117" i="1"/>
  <c r="AW117" i="1"/>
  <c r="AY118" i="1" s="1"/>
  <c r="BA117" i="1"/>
  <c r="AZ115" i="1"/>
  <c r="AW115" i="1"/>
  <c r="AY116" i="1" s="1"/>
  <c r="BA115" i="1"/>
  <c r="AW114" i="1"/>
  <c r="BA114" i="1"/>
  <c r="AZ114" i="1"/>
  <c r="BB114" i="1" s="1"/>
  <c r="AZ113" i="1"/>
  <c r="AW113" i="1"/>
  <c r="BA113" i="1"/>
  <c r="AW112" i="1"/>
  <c r="AZ112" i="1"/>
  <c r="BA112" i="1"/>
  <c r="AP112" i="1"/>
  <c r="AL112" i="1"/>
  <c r="AN113" i="1" s="1"/>
  <c r="AO112" i="1"/>
  <c r="AW108" i="1"/>
  <c r="AY109" i="1" s="1"/>
  <c r="BA108" i="1"/>
  <c r="AZ108" i="1"/>
  <c r="BB108" i="1" s="1"/>
  <c r="AW106" i="1"/>
  <c r="AY107" i="1" s="1"/>
  <c r="AZ106" i="1"/>
  <c r="BA106" i="1"/>
  <c r="AZ105" i="1"/>
  <c r="BA105" i="1"/>
  <c r="AW105" i="1"/>
  <c r="AL105" i="1"/>
  <c r="AN106" i="1" s="1"/>
  <c r="AZ104" i="1"/>
  <c r="AW104" i="1"/>
  <c r="BA104" i="1"/>
  <c r="BA103" i="1"/>
  <c r="AZ103" i="1"/>
  <c r="BB103" i="1" s="1"/>
  <c r="AW103" i="1"/>
  <c r="AZ101" i="1"/>
  <c r="BA101" i="1"/>
  <c r="AW101" i="1"/>
  <c r="AY102" i="1" s="1"/>
  <c r="AZ100" i="1"/>
  <c r="AW100" i="1"/>
  <c r="BA100" i="1"/>
  <c r="BA99" i="1"/>
  <c r="AW99" i="1"/>
  <c r="AZ99" i="1"/>
  <c r="AW96" i="1"/>
  <c r="AY97" i="1" s="1"/>
  <c r="AZ96" i="1"/>
  <c r="BA96" i="1"/>
  <c r="AZ95" i="1"/>
  <c r="AW95" i="1"/>
  <c r="BA95" i="1"/>
  <c r="AW91" i="1"/>
  <c r="BA91" i="1"/>
  <c r="AZ91" i="1"/>
  <c r="BB91" i="1" s="1"/>
  <c r="BA90" i="1"/>
  <c r="AW90" i="1"/>
  <c r="AZ90" i="1"/>
  <c r="BA89" i="1"/>
  <c r="AZ89" i="1"/>
  <c r="BB89" i="1" s="1"/>
  <c r="AW89" i="1"/>
  <c r="AZ87" i="1"/>
  <c r="AW87" i="1"/>
  <c r="AY88" i="1" s="1"/>
  <c r="BA87" i="1"/>
  <c r="AW85" i="1"/>
  <c r="AY86" i="1" s="1"/>
  <c r="BA85" i="1"/>
  <c r="AZ85" i="1"/>
  <c r="BB85" i="1" s="1"/>
  <c r="AW84" i="1"/>
  <c r="AZ84" i="1"/>
  <c r="BA84" i="1"/>
  <c r="AL74" i="1"/>
  <c r="AN75" i="1" s="1"/>
  <c r="AO74" i="1"/>
  <c r="AP74" i="1"/>
  <c r="AO73" i="1"/>
  <c r="AP73" i="1"/>
  <c r="AL73" i="1"/>
  <c r="AW72" i="1"/>
  <c r="AZ72" i="1"/>
  <c r="BA72" i="1"/>
  <c r="AO72" i="1"/>
  <c r="AL72" i="1"/>
  <c r="AP72" i="1"/>
  <c r="BA71" i="1"/>
  <c r="AW71" i="1"/>
  <c r="AZ71" i="1"/>
  <c r="BB71" i="1" s="1"/>
  <c r="AP71" i="1"/>
  <c r="AL71" i="1"/>
  <c r="AO71" i="1"/>
  <c r="AQ71" i="1" s="1"/>
  <c r="AZ70" i="1"/>
  <c r="BA70" i="1"/>
  <c r="AW70" i="1"/>
  <c r="AP70" i="1"/>
  <c r="AO70" i="1"/>
  <c r="AL70" i="1"/>
  <c r="AP69" i="1"/>
  <c r="AO69" i="1"/>
  <c r="AL69" i="1"/>
  <c r="AZ68" i="1"/>
  <c r="BA68" i="1"/>
  <c r="AW68" i="1"/>
  <c r="AL68" i="1"/>
  <c r="AP68" i="1"/>
  <c r="AO68" i="1"/>
  <c r="AQ68" i="1" s="1"/>
  <c r="AP67" i="1"/>
  <c r="AO67" i="1"/>
  <c r="AQ67" i="1" s="1"/>
  <c r="AL67" i="1"/>
  <c r="BA66" i="1"/>
  <c r="AW66" i="1"/>
  <c r="AZ66" i="1"/>
  <c r="BB66" i="1" s="1"/>
  <c r="AO66" i="1"/>
  <c r="AL66" i="1"/>
  <c r="AP66" i="1"/>
  <c r="AP65" i="1"/>
  <c r="AL65" i="1"/>
  <c r="AO65" i="1"/>
  <c r="AP64" i="1"/>
  <c r="AL64" i="1"/>
  <c r="AO64" i="1"/>
  <c r="AO63" i="1"/>
  <c r="AL63" i="1"/>
  <c r="AP63" i="1"/>
  <c r="AO62" i="1"/>
  <c r="AL62" i="1"/>
  <c r="AP62" i="1"/>
  <c r="AL61" i="1"/>
  <c r="AO61" i="1"/>
  <c r="AP61" i="1"/>
  <c r="AL60" i="1"/>
  <c r="AO60" i="1"/>
  <c r="AP60" i="1"/>
  <c r="AL59" i="1"/>
  <c r="AP59" i="1"/>
  <c r="AO59" i="1"/>
  <c r="AQ59" i="1" s="1"/>
  <c r="AO58" i="1"/>
  <c r="AL58" i="1"/>
  <c r="AP58" i="1"/>
  <c r="AL57" i="1"/>
  <c r="AP57" i="1"/>
  <c r="AO57" i="1"/>
  <c r="AQ57" i="1" s="1"/>
  <c r="AP56" i="1"/>
  <c r="AL56" i="1"/>
  <c r="AO56" i="1"/>
  <c r="AQ56" i="1" s="1"/>
  <c r="AZ54" i="1"/>
  <c r="BA54" i="1"/>
  <c r="AW54" i="1"/>
  <c r="AL50" i="1"/>
  <c r="AN51" i="1" s="1"/>
  <c r="AO50" i="1"/>
  <c r="AP50" i="1"/>
  <c r="BA41" i="1"/>
  <c r="AW41" i="1"/>
  <c r="AZ41" i="1"/>
  <c r="BB41" i="1" s="1"/>
  <c r="AZ40" i="1"/>
  <c r="AW40" i="1"/>
  <c r="BA40" i="1"/>
  <c r="AW39" i="1"/>
  <c r="AZ39" i="1"/>
  <c r="BA39" i="1"/>
  <c r="AL39" i="1"/>
  <c r="AN40" i="1" s="1"/>
  <c r="AP39" i="1"/>
  <c r="AO39" i="1"/>
  <c r="AZ38" i="1"/>
  <c r="AW38" i="1"/>
  <c r="BA38" i="1"/>
  <c r="AZ33" i="1"/>
  <c r="BA33" i="1"/>
  <c r="AW33" i="1"/>
  <c r="AL33" i="1"/>
  <c r="AN34" i="1" s="1"/>
  <c r="AP33" i="1"/>
  <c r="AO33" i="1"/>
  <c r="AW31" i="1"/>
  <c r="BA31" i="1"/>
  <c r="AZ31" i="1"/>
  <c r="BB31" i="1" s="1"/>
  <c r="AW28" i="1"/>
  <c r="BA28" i="1"/>
  <c r="AZ28" i="1"/>
  <c r="BB28" i="1" s="1"/>
  <c r="AP28" i="1"/>
  <c r="AL28" i="1"/>
  <c r="AN29" i="1" s="1"/>
  <c r="AO28" i="1"/>
  <c r="AW27" i="1"/>
  <c r="BA27" i="1"/>
  <c r="AZ27" i="1"/>
  <c r="AL27" i="1"/>
  <c r="AO27" i="1"/>
  <c r="AP27" i="1"/>
  <c r="AO25" i="1"/>
  <c r="AL25" i="1"/>
  <c r="AN26" i="1" s="1"/>
  <c r="AP25" i="1"/>
  <c r="AP23" i="1"/>
  <c r="AO23" i="1"/>
  <c r="AQ23" i="1" s="1"/>
  <c r="AL23" i="1"/>
  <c r="AN24" i="1" s="1"/>
  <c r="AZ22" i="1"/>
  <c r="BA22" i="1"/>
  <c r="AP22" i="1"/>
  <c r="AO22" i="1"/>
  <c r="AQ22" i="1" s="1"/>
  <c r="AO105" i="1" l="1"/>
  <c r="AP105" i="1"/>
  <c r="BA167" i="1"/>
  <c r="AZ167" i="1"/>
  <c r="AW167" i="1"/>
  <c r="AY168" i="1" s="1"/>
  <c r="AW163" i="1"/>
  <c r="BA163" i="1"/>
  <c r="AZ163" i="1"/>
  <c r="AZ159" i="1"/>
  <c r="BA159" i="1"/>
  <c r="AW159" i="1"/>
  <c r="AY160" i="1" s="1"/>
  <c r="AZ157" i="1"/>
  <c r="AW157" i="1"/>
  <c r="BA157" i="1"/>
  <c r="BA150" i="1"/>
  <c r="AW150" i="1"/>
  <c r="AZ150" i="1"/>
  <c r="AL146" i="1"/>
  <c r="AN147" i="1" s="1"/>
  <c r="AP146" i="1"/>
  <c r="AO146" i="1"/>
  <c r="BA144" i="1"/>
  <c r="AZ144" i="1"/>
  <c r="BB144" i="1" s="1"/>
  <c r="AW144" i="1"/>
  <c r="AY145" i="1" s="1"/>
  <c r="BA141" i="1"/>
  <c r="AW141" i="1"/>
  <c r="AZ141" i="1"/>
  <c r="BB141" i="1" s="1"/>
  <c r="BA138" i="1"/>
  <c r="AW138" i="1"/>
  <c r="AY139" i="1" s="1"/>
  <c r="AZ138" i="1"/>
  <c r="BA136" i="1"/>
  <c r="AZ136" i="1"/>
  <c r="AW136" i="1"/>
  <c r="BA134" i="1"/>
  <c r="AW134" i="1"/>
  <c r="AZ134" i="1"/>
  <c r="AP119" i="1"/>
  <c r="AO119" i="1"/>
  <c r="AL119" i="1"/>
  <c r="BA109" i="1"/>
  <c r="AW109" i="1"/>
  <c r="AY110" i="1" s="1"/>
  <c r="AZ109" i="1"/>
  <c r="AZ107" i="1"/>
  <c r="AW107" i="1"/>
  <c r="BA107" i="1"/>
  <c r="BE71" i="1"/>
  <c r="BA59" i="1"/>
  <c r="AW59" i="1"/>
  <c r="AZ59" i="1"/>
  <c r="BB59" i="1" s="1"/>
  <c r="AZ34" i="1"/>
  <c r="AW34" i="1"/>
  <c r="BA34" i="1"/>
  <c r="AZ32" i="1"/>
  <c r="AW32" i="1"/>
  <c r="BA32" i="1"/>
  <c r="AW24" i="1"/>
  <c r="AZ24" i="1"/>
  <c r="BA24" i="1"/>
  <c r="AZ42" i="1"/>
  <c r="BA42" i="1"/>
  <c r="AW42" i="1"/>
  <c r="AY43" i="1" s="1"/>
  <c r="AW25" i="1"/>
  <c r="AY26" i="1" s="1"/>
  <c r="BA25" i="1"/>
  <c r="AZ25" i="1"/>
  <c r="BB25" i="1" s="1"/>
  <c r="BA23" i="1"/>
  <c r="AW23" i="1"/>
  <c r="AZ23" i="1"/>
  <c r="BB23" i="1" s="1"/>
  <c r="AW60" i="1"/>
  <c r="BA60" i="1"/>
  <c r="AZ60" i="1"/>
  <c r="BB60" i="1" s="1"/>
  <c r="AZ48" i="1"/>
  <c r="BA48" i="1"/>
  <c r="AW48" i="1"/>
  <c r="BA63" i="1"/>
  <c r="AW63" i="1"/>
  <c r="AZ63" i="1"/>
  <c r="AZ56" i="1"/>
  <c r="AW56" i="1"/>
  <c r="BA56" i="1"/>
  <c r="BA46" i="1"/>
  <c r="AZ46" i="1"/>
  <c r="AW46" i="1"/>
  <c r="AW52" i="1"/>
  <c r="AY53" i="1" s="1"/>
  <c r="BA52" i="1"/>
  <c r="AZ52" i="1"/>
  <c r="AW49" i="1"/>
  <c r="BA49" i="1"/>
  <c r="AZ49" i="1"/>
  <c r="AW47" i="1"/>
  <c r="BA47" i="1"/>
  <c r="AZ47" i="1"/>
  <c r="AZ45" i="1"/>
  <c r="BA45" i="1"/>
  <c r="AW45" i="1"/>
  <c r="AW57" i="1"/>
  <c r="BA57" i="1"/>
  <c r="AZ57" i="1"/>
  <c r="BB57" i="1" s="1"/>
  <c r="AW51" i="1"/>
  <c r="BA51" i="1"/>
  <c r="AZ51" i="1"/>
  <c r="AZ44" i="1"/>
  <c r="AW44" i="1"/>
  <c r="BA44" i="1"/>
  <c r="BA35" i="1"/>
  <c r="AW35" i="1"/>
  <c r="AZ35" i="1"/>
  <c r="BB35" i="1" s="1"/>
  <c r="AW29" i="1"/>
  <c r="AY30" i="1" s="1"/>
  <c r="AZ29" i="1"/>
  <c r="BA29" i="1"/>
  <c r="AZ36" i="1"/>
  <c r="AW36" i="1"/>
  <c r="AY37" i="1" s="1"/>
  <c r="BA36" i="1"/>
  <c r="AQ126" i="1"/>
  <c r="AQ33" i="1"/>
  <c r="AQ70" i="1"/>
  <c r="AQ120" i="1"/>
  <c r="AQ65" i="1"/>
  <c r="AQ28" i="1"/>
  <c r="AQ64" i="1"/>
  <c r="AP103" i="1"/>
  <c r="AO103" i="1"/>
  <c r="AQ103" i="1" s="1"/>
  <c r="AP102" i="1"/>
  <c r="AO102" i="1"/>
  <c r="AQ102" i="1" s="1"/>
  <c r="AL102" i="1"/>
  <c r="AL172" i="1"/>
  <c r="AN173" i="1" s="1"/>
  <c r="AO172" i="1"/>
  <c r="AP172" i="1"/>
  <c r="AL149" i="1"/>
  <c r="AN150" i="1" s="1"/>
  <c r="AP149" i="1"/>
  <c r="AO149" i="1"/>
  <c r="AQ149" i="1" s="1"/>
  <c r="AO147" i="1"/>
  <c r="AL147" i="1"/>
  <c r="AP147" i="1"/>
  <c r="AP128" i="1"/>
  <c r="AO128" i="1"/>
  <c r="AL128" i="1"/>
  <c r="AN129" i="1" s="1"/>
  <c r="AP125" i="1"/>
  <c r="AO125" i="1"/>
  <c r="AQ125" i="1" s="1"/>
  <c r="AL125" i="1"/>
  <c r="AO113" i="1"/>
  <c r="AL113" i="1"/>
  <c r="AN114" i="1" s="1"/>
  <c r="AP113" i="1"/>
  <c r="AL38" i="1"/>
  <c r="AO38" i="1"/>
  <c r="AP38" i="1"/>
  <c r="AO37" i="1"/>
  <c r="AP37" i="1"/>
  <c r="AL37" i="1"/>
  <c r="AO24" i="1"/>
  <c r="AQ24" i="1" s="1"/>
  <c r="AP24" i="1"/>
  <c r="AL24" i="1"/>
  <c r="AL53" i="1"/>
  <c r="AN54" i="1" s="1"/>
  <c r="AO53" i="1"/>
  <c r="AP53" i="1"/>
  <c r="BB173" i="1"/>
  <c r="AZ98" i="1"/>
  <c r="AW98" i="1"/>
  <c r="BA98" i="1"/>
  <c r="AZ80" i="1"/>
  <c r="AW80" i="1"/>
  <c r="AY81" i="1" s="1"/>
  <c r="BA80" i="1"/>
  <c r="BA73" i="1"/>
  <c r="AW73" i="1"/>
  <c r="AZ73" i="1"/>
  <c r="BB73" i="1" s="1"/>
  <c r="AZ69" i="1"/>
  <c r="AW69" i="1"/>
  <c r="BA69" i="1"/>
  <c r="AW76" i="1"/>
  <c r="AY77" i="1" s="1"/>
  <c r="BA76" i="1"/>
  <c r="AZ76" i="1"/>
  <c r="BA61" i="1"/>
  <c r="AW61" i="1"/>
  <c r="AZ61" i="1"/>
  <c r="BA65" i="1"/>
  <c r="AW65" i="1"/>
  <c r="AZ65" i="1"/>
  <c r="BB65" i="1" s="1"/>
  <c r="AW62" i="1"/>
  <c r="AZ62" i="1"/>
  <c r="BA62" i="1"/>
  <c r="BA67" i="1"/>
  <c r="AW67" i="1"/>
  <c r="AZ67" i="1"/>
  <c r="BA50" i="1"/>
  <c r="AW50" i="1"/>
  <c r="AZ50" i="1"/>
  <c r="AW58" i="1"/>
  <c r="AZ58" i="1"/>
  <c r="BA58" i="1"/>
  <c r="BA55" i="1"/>
  <c r="AZ55" i="1"/>
  <c r="BB55" i="1" s="1"/>
  <c r="AW55" i="1"/>
  <c r="AZ64" i="1"/>
  <c r="AW64" i="1"/>
  <c r="BA64" i="1"/>
  <c r="BB151" i="1"/>
  <c r="BA174" i="1"/>
  <c r="AZ174" i="1"/>
  <c r="AW174" i="1"/>
  <c r="AZ88" i="1"/>
  <c r="BA88" i="1"/>
  <c r="AW88" i="1"/>
  <c r="AZ86" i="1"/>
  <c r="AW86" i="1"/>
  <c r="BA86" i="1"/>
  <c r="BB143" i="1"/>
  <c r="BB122" i="1"/>
  <c r="BA79" i="1"/>
  <c r="AW79" i="1"/>
  <c r="AZ79" i="1"/>
  <c r="BB79" i="1" s="1"/>
  <c r="BA75" i="1"/>
  <c r="AZ75" i="1"/>
  <c r="BB75" i="1" s="1"/>
  <c r="AW75" i="1"/>
  <c r="AW74" i="1"/>
  <c r="BA74" i="1"/>
  <c r="AZ74" i="1"/>
  <c r="BB74" i="1" s="1"/>
  <c r="BE57" i="1"/>
  <c r="BB88" i="1"/>
  <c r="BE65" i="1"/>
  <c r="BE59" i="1"/>
  <c r="BB52" i="1"/>
  <c r="AQ69" i="1"/>
  <c r="AQ112" i="1"/>
  <c r="AL167" i="1"/>
  <c r="AN168" i="1" s="1"/>
  <c r="AO167" i="1"/>
  <c r="AP167" i="1"/>
  <c r="AP159" i="1"/>
  <c r="AO159" i="1"/>
  <c r="AL159" i="1"/>
  <c r="AN160" i="1" s="1"/>
  <c r="AP136" i="1"/>
  <c r="AL136" i="1"/>
  <c r="AN137" i="1" s="1"/>
  <c r="AO136" i="1"/>
  <c r="AQ136" i="1" s="1"/>
  <c r="AP26" i="1"/>
  <c r="AO26" i="1"/>
  <c r="AQ26" i="1" s="1"/>
  <c r="AL26" i="1"/>
  <c r="AQ171" i="1"/>
  <c r="BB159" i="1"/>
  <c r="AW92" i="1"/>
  <c r="AY93" i="1" s="1"/>
  <c r="AZ92" i="1"/>
  <c r="BA92" i="1"/>
  <c r="AW82" i="1"/>
  <c r="AY83" i="1" s="1"/>
  <c r="BA82" i="1"/>
  <c r="AZ82" i="1"/>
  <c r="BB82" i="1" s="1"/>
  <c r="BB99" i="1"/>
  <c r="BE28" i="1"/>
  <c r="BE148" i="1"/>
  <c r="BE103" i="1"/>
  <c r="AZ97" i="1"/>
  <c r="AW97" i="1"/>
  <c r="BA97" i="1"/>
  <c r="AZ130" i="1"/>
  <c r="AW130" i="1"/>
  <c r="BA130" i="1"/>
  <c r="AZ116" i="1"/>
  <c r="BA116" i="1"/>
  <c r="AW116" i="1"/>
  <c r="BB90" i="1"/>
  <c r="BB135" i="1"/>
  <c r="BB27" i="1"/>
  <c r="BA102" i="1"/>
  <c r="AZ102" i="1"/>
  <c r="AW102" i="1"/>
  <c r="BA53" i="1"/>
  <c r="AZ53" i="1"/>
  <c r="AW53" i="1"/>
  <c r="AO89" i="1"/>
  <c r="AL89" i="1"/>
  <c r="AN90" i="1" s="1"/>
  <c r="AP89" i="1"/>
  <c r="AP157" i="1"/>
  <c r="AO157" i="1"/>
  <c r="AL157" i="1"/>
  <c r="AP144" i="1"/>
  <c r="AL144" i="1"/>
  <c r="AO144" i="1"/>
  <c r="AQ144" i="1" s="1"/>
  <c r="BE144" i="1" s="1"/>
  <c r="AP121" i="1"/>
  <c r="AL121" i="1"/>
  <c r="AO121" i="1"/>
  <c r="AQ121" i="1" s="1"/>
  <c r="AL75" i="1"/>
  <c r="AN76" i="1" s="1"/>
  <c r="AP75" i="1"/>
  <c r="AO75" i="1"/>
  <c r="AQ75" i="1" s="1"/>
  <c r="BE75" i="1" s="1"/>
  <c r="AO51" i="1"/>
  <c r="AQ51" i="1" s="1"/>
  <c r="BE51" i="1" s="1"/>
  <c r="AP51" i="1"/>
  <c r="AL51" i="1"/>
  <c r="AN52" i="1" s="1"/>
  <c r="AP40" i="1"/>
  <c r="AL40" i="1"/>
  <c r="AN41" i="1" s="1"/>
  <c r="AO40" i="1"/>
  <c r="AQ40" i="1" s="1"/>
  <c r="BE40" i="1" s="1"/>
  <c r="AO34" i="1"/>
  <c r="AP34" i="1"/>
  <c r="AL34" i="1"/>
  <c r="AN35" i="1" s="1"/>
  <c r="AP29" i="1"/>
  <c r="AO29" i="1"/>
  <c r="AQ29" i="1" s="1"/>
  <c r="BE29" i="1" s="1"/>
  <c r="AL29" i="1"/>
  <c r="AN30" i="1" s="1"/>
  <c r="BB163" i="1"/>
  <c r="BB155" i="1"/>
  <c r="BB142" i="1"/>
  <c r="BE142" i="1" s="1"/>
  <c r="BB134" i="1"/>
  <c r="BB129" i="1"/>
  <c r="BB125" i="1"/>
  <c r="BE125" i="1" s="1"/>
  <c r="BB109" i="1"/>
  <c r="BB96" i="1"/>
  <c r="BB95" i="1"/>
  <c r="AQ105" i="1"/>
  <c r="AQ39" i="1"/>
  <c r="BB169" i="1"/>
  <c r="AQ156" i="1"/>
  <c r="BB140" i="1"/>
  <c r="BB106" i="1"/>
  <c r="BE23" i="1"/>
  <c r="BB124" i="1"/>
  <c r="AQ159" i="1"/>
  <c r="BE159" i="1" s="1"/>
  <c r="BB153" i="1"/>
  <c r="AQ147" i="1"/>
  <c r="BE147" i="1" s="1"/>
  <c r="BB101" i="1"/>
  <c r="AQ145" i="1"/>
  <c r="AQ128" i="1"/>
  <c r="BE128" i="1" s="1"/>
  <c r="BB127" i="1"/>
  <c r="BE127" i="1" s="1"/>
  <c r="AQ122" i="1"/>
  <c r="BE122" i="1" s="1"/>
  <c r="BB167" i="1"/>
  <c r="AQ167" i="1"/>
  <c r="BE167" i="1" s="1"/>
  <c r="BB165" i="1"/>
  <c r="BB162" i="1"/>
  <c r="AQ157" i="1"/>
  <c r="BB149" i="1"/>
  <c r="BE149" i="1" s="1"/>
  <c r="BB137" i="1"/>
  <c r="BB100" i="1"/>
  <c r="BB40" i="1"/>
  <c r="BB39" i="1"/>
  <c r="BE39" i="1" s="1"/>
  <c r="BB34" i="1"/>
  <c r="BB29" i="1"/>
  <c r="AQ25" i="1"/>
  <c r="BE25" i="1" s="1"/>
  <c r="BB22" i="1"/>
  <c r="BA168" i="1"/>
  <c r="AW168" i="1"/>
  <c r="AZ168" i="1"/>
  <c r="BB168" i="1" s="1"/>
  <c r="AL160" i="1"/>
  <c r="AN161" i="1" s="1"/>
  <c r="AO160" i="1"/>
  <c r="AP160" i="1"/>
  <c r="AP154" i="1"/>
  <c r="AL154" i="1"/>
  <c r="AO154" i="1"/>
  <c r="AP150" i="1"/>
  <c r="AO150" i="1"/>
  <c r="AL150" i="1"/>
  <c r="AN151" i="1" s="1"/>
  <c r="AZ145" i="1"/>
  <c r="BA145" i="1"/>
  <c r="AW145" i="1"/>
  <c r="AY146" i="1" s="1"/>
  <c r="AP123" i="1"/>
  <c r="AL123" i="1"/>
  <c r="AO123" i="1"/>
  <c r="AZ118" i="1"/>
  <c r="BA118" i="1"/>
  <c r="AW118" i="1"/>
  <c r="AY119" i="1" s="1"/>
  <c r="AO106" i="1"/>
  <c r="AL106" i="1"/>
  <c r="AN107" i="1" s="1"/>
  <c r="AP106" i="1"/>
  <c r="AL104" i="1"/>
  <c r="AP104" i="1"/>
  <c r="AO104" i="1"/>
  <c r="AQ104" i="1" s="1"/>
  <c r="BA83" i="1"/>
  <c r="AW83" i="1"/>
  <c r="AZ83" i="1"/>
  <c r="AP52" i="1"/>
  <c r="AO52" i="1"/>
  <c r="AL52" i="1"/>
  <c r="AW37" i="1"/>
  <c r="BA37" i="1"/>
  <c r="AZ37" i="1"/>
  <c r="BB37" i="1" s="1"/>
  <c r="BC22" i="1"/>
  <c r="BC23" i="1" s="1"/>
  <c r="AR22" i="1"/>
  <c r="AR23" i="1" s="1"/>
  <c r="BE22" i="1"/>
  <c r="BB176" i="1"/>
  <c r="BB175" i="1"/>
  <c r="BB174" i="1"/>
  <c r="BB172" i="1"/>
  <c r="BB171" i="1"/>
  <c r="AQ158" i="1"/>
  <c r="BB156" i="1"/>
  <c r="AQ155" i="1"/>
  <c r="BE155" i="1" s="1"/>
  <c r="BB115" i="1"/>
  <c r="BB107" i="1"/>
  <c r="BB105" i="1"/>
  <c r="BB92" i="1"/>
  <c r="BB87" i="1"/>
  <c r="BB84" i="1"/>
  <c r="BB80" i="1"/>
  <c r="AQ74" i="1"/>
  <c r="BE74" i="1" s="1"/>
  <c r="AQ73" i="1"/>
  <c r="BE73" i="1" s="1"/>
  <c r="BB72" i="1"/>
  <c r="AQ72" i="1"/>
  <c r="BB70" i="1"/>
  <c r="BB69" i="1"/>
  <c r="BB68" i="1"/>
  <c r="BE68" i="1" s="1"/>
  <c r="BB67" i="1"/>
  <c r="BE67" i="1" s="1"/>
  <c r="AQ66" i="1"/>
  <c r="BE66" i="1" s="1"/>
  <c r="BB64" i="1"/>
  <c r="BB63" i="1"/>
  <c r="AQ63" i="1"/>
  <c r="BB62" i="1"/>
  <c r="AQ62" i="1"/>
  <c r="BB61" i="1"/>
  <c r="AQ61" i="1"/>
  <c r="BE61" i="1" s="1"/>
  <c r="AQ60" i="1"/>
  <c r="BE60" i="1" s="1"/>
  <c r="BB58" i="1"/>
  <c r="AQ58" i="1"/>
  <c r="BB56" i="1"/>
  <c r="BE56" i="1" s="1"/>
  <c r="BB54" i="1"/>
  <c r="BB53" i="1"/>
  <c r="BB51" i="1"/>
  <c r="BB50" i="1"/>
  <c r="AQ50" i="1"/>
  <c r="BE50" i="1" s="1"/>
  <c r="BB49" i="1"/>
  <c r="BB47" i="1"/>
  <c r="BB46" i="1"/>
  <c r="BB45" i="1"/>
  <c r="BB44" i="1"/>
  <c r="BB42" i="1"/>
  <c r="BB38" i="1"/>
  <c r="BB33" i="1"/>
  <c r="AQ166" i="1"/>
  <c r="BE166" i="1" s="1"/>
  <c r="BB158" i="1"/>
  <c r="BB154" i="1"/>
  <c r="AQ153" i="1"/>
  <c r="BE153" i="1" s="1"/>
  <c r="BB150" i="1"/>
  <c r="AQ143" i="1"/>
  <c r="BE143" i="1" s="1"/>
  <c r="BB136" i="1"/>
  <c r="AQ124" i="1"/>
  <c r="BE124" i="1" s="1"/>
  <c r="AQ119" i="1"/>
  <c r="BB98" i="1"/>
  <c r="BB138" i="1"/>
  <c r="BB112" i="1"/>
  <c r="BB97" i="1"/>
  <c r="BB36" i="1"/>
  <c r="AQ27" i="1"/>
  <c r="BE27" i="1" s="1"/>
  <c r="AQ146" i="1"/>
  <c r="AQ135" i="1"/>
  <c r="BE135" i="1" s="1"/>
  <c r="BB123" i="1"/>
  <c r="AQ118" i="1"/>
  <c r="BB117" i="1"/>
  <c r="BB104" i="1"/>
  <c r="BB32" i="1"/>
  <c r="BB24" i="1"/>
  <c r="BB113" i="1"/>
  <c r="BB102" i="1"/>
  <c r="BB126" i="1"/>
  <c r="BE126" i="1" s="1"/>
  <c r="AQ89" i="1" l="1"/>
  <c r="BE89" i="1" s="1"/>
  <c r="BE70" i="1"/>
  <c r="BE64" i="1"/>
  <c r="BE112" i="1"/>
  <c r="AQ113" i="1"/>
  <c r="AO30" i="1"/>
  <c r="AP30" i="1"/>
  <c r="AL30" i="1"/>
  <c r="AN31" i="1" s="1"/>
  <c r="BE171" i="1"/>
  <c r="BE156" i="1"/>
  <c r="BE105" i="1"/>
  <c r="BE69" i="1"/>
  <c r="AZ160" i="1"/>
  <c r="AW160" i="1"/>
  <c r="BA160" i="1"/>
  <c r="AW139" i="1"/>
  <c r="AZ139" i="1"/>
  <c r="BA139" i="1"/>
  <c r="BA110" i="1"/>
  <c r="AZ110" i="1"/>
  <c r="BB110" i="1" s="1"/>
  <c r="AW110" i="1"/>
  <c r="AY111" i="1" s="1"/>
  <c r="BB157" i="1"/>
  <c r="BE157" i="1" s="1"/>
  <c r="AW43" i="1"/>
  <c r="BA43" i="1"/>
  <c r="AZ43" i="1"/>
  <c r="BB43" i="1" s="1"/>
  <c r="BA26" i="1"/>
  <c r="AZ26" i="1"/>
  <c r="BB26" i="1" s="1"/>
  <c r="BE26" i="1" s="1"/>
  <c r="AW26" i="1"/>
  <c r="AW30" i="1"/>
  <c r="AZ30" i="1"/>
  <c r="BA30" i="1"/>
  <c r="BA81" i="1"/>
  <c r="AZ81" i="1"/>
  <c r="BB81" i="1" s="1"/>
  <c r="AW81" i="1"/>
  <c r="BA77" i="1"/>
  <c r="AZ77" i="1"/>
  <c r="BB77" i="1" s="1"/>
  <c r="AW77" i="1"/>
  <c r="AY78" i="1" s="1"/>
  <c r="AL168" i="1"/>
  <c r="AN169" i="1" s="1"/>
  <c r="AO168" i="1"/>
  <c r="AP168" i="1"/>
  <c r="AZ93" i="1"/>
  <c r="BB93" i="1" s="1"/>
  <c r="BA93" i="1"/>
  <c r="AW93" i="1"/>
  <c r="AY94" i="1" s="1"/>
  <c r="BB48" i="1"/>
  <c r="BB76" i="1"/>
  <c r="AQ154" i="1"/>
  <c r="BE154" i="1" s="1"/>
  <c r="AQ37" i="1"/>
  <c r="BE37" i="1" s="1"/>
  <c r="AQ172" i="1"/>
  <c r="BE172" i="1" s="1"/>
  <c r="AO173" i="1"/>
  <c r="AL173" i="1"/>
  <c r="AN174" i="1" s="1"/>
  <c r="AP173" i="1"/>
  <c r="AO129" i="1"/>
  <c r="AP129" i="1"/>
  <c r="AL129" i="1"/>
  <c r="AN130" i="1" s="1"/>
  <c r="AO114" i="1"/>
  <c r="AL114" i="1"/>
  <c r="AN115" i="1" s="1"/>
  <c r="AP114" i="1"/>
  <c r="BE102" i="1"/>
  <c r="AQ123" i="1"/>
  <c r="BE123" i="1" s="1"/>
  <c r="AP54" i="1"/>
  <c r="AL54" i="1"/>
  <c r="AN55" i="1" s="1"/>
  <c r="AO54" i="1"/>
  <c r="AO137" i="1"/>
  <c r="AL137" i="1"/>
  <c r="AN138" i="1" s="1"/>
  <c r="AP137" i="1"/>
  <c r="AP90" i="1"/>
  <c r="AO90" i="1"/>
  <c r="AL90" i="1"/>
  <c r="AN91" i="1" s="1"/>
  <c r="AO41" i="1"/>
  <c r="AL41" i="1"/>
  <c r="AN42" i="1" s="1"/>
  <c r="AP41" i="1"/>
  <c r="AP161" i="1"/>
  <c r="AL161" i="1"/>
  <c r="AN162" i="1" s="1"/>
  <c r="AO161" i="1"/>
  <c r="AQ161" i="1" s="1"/>
  <c r="BE161" i="1" s="1"/>
  <c r="AL151" i="1"/>
  <c r="AN152" i="1" s="1"/>
  <c r="AP151" i="1"/>
  <c r="AO151" i="1"/>
  <c r="AO31" i="1"/>
  <c r="AP31" i="1"/>
  <c r="AL31" i="1"/>
  <c r="AN32" i="1" s="1"/>
  <c r="AQ38" i="1"/>
  <c r="BE38" i="1" s="1"/>
  <c r="AQ53" i="1"/>
  <c r="BE53" i="1" s="1"/>
  <c r="BE58" i="1"/>
  <c r="BE63" i="1"/>
  <c r="BB86" i="1"/>
  <c r="BE72" i="1"/>
  <c r="BE62" i="1"/>
  <c r="AQ52" i="1"/>
  <c r="BE52" i="1" s="1"/>
  <c r="AP107" i="1"/>
  <c r="AO107" i="1"/>
  <c r="AL107" i="1"/>
  <c r="AN108" i="1" s="1"/>
  <c r="BB116" i="1"/>
  <c r="BB130" i="1"/>
  <c r="AQ150" i="1"/>
  <c r="BE150" i="1" s="1"/>
  <c r="AP76" i="1"/>
  <c r="AL76" i="1"/>
  <c r="AN77" i="1" s="1"/>
  <c r="AO76" i="1"/>
  <c r="AP35" i="1"/>
  <c r="AL35" i="1"/>
  <c r="AN36" i="1" s="1"/>
  <c r="AO35" i="1"/>
  <c r="AQ35" i="1" s="1"/>
  <c r="BE35" i="1" s="1"/>
  <c r="AQ34" i="1"/>
  <c r="BE34" i="1" s="1"/>
  <c r="BB83" i="1"/>
  <c r="BE104" i="1"/>
  <c r="BC24" i="1"/>
  <c r="BC25" i="1" s="1"/>
  <c r="BC26" i="1" s="1"/>
  <c r="BC27" i="1" s="1"/>
  <c r="BC28" i="1" s="1"/>
  <c r="BC29" i="1" s="1"/>
  <c r="BE113" i="1"/>
  <c r="BA146" i="1"/>
  <c r="AZ146" i="1"/>
  <c r="AW146" i="1"/>
  <c r="AW119" i="1"/>
  <c r="AY120" i="1" s="1"/>
  <c r="AZ119" i="1"/>
  <c r="BA119" i="1"/>
  <c r="BF22" i="1"/>
  <c r="BF23" i="1" s="1"/>
  <c r="BE136" i="1"/>
  <c r="AQ160" i="1"/>
  <c r="BB145" i="1"/>
  <c r="BE145" i="1" s="1"/>
  <c r="BB118" i="1"/>
  <c r="BE118" i="1" s="1"/>
  <c r="AQ106" i="1"/>
  <c r="BE106" i="1" s="1"/>
  <c r="AQ30" i="1"/>
  <c r="AR24" i="1"/>
  <c r="AR25" i="1" s="1"/>
  <c r="AR26" i="1" s="1"/>
  <c r="AR27" i="1" s="1"/>
  <c r="AR28" i="1" s="1"/>
  <c r="AR29" i="1" s="1"/>
  <c r="BE158" i="1"/>
  <c r="BE33" i="1"/>
  <c r="BE24" i="1"/>
  <c r="AQ168" i="1" l="1"/>
  <c r="BE168" i="1" s="1"/>
  <c r="BB160" i="1"/>
  <c r="BE160" i="1" s="1"/>
  <c r="BB30" i="1"/>
  <c r="BA111" i="1"/>
  <c r="AZ111" i="1"/>
  <c r="BB111" i="1" s="1"/>
  <c r="AW111" i="1"/>
  <c r="AZ78" i="1"/>
  <c r="BA78" i="1"/>
  <c r="AW78" i="1"/>
  <c r="AL169" i="1"/>
  <c r="AN170" i="1" s="1"/>
  <c r="AP169" i="1"/>
  <c r="AO169" i="1"/>
  <c r="AQ169" i="1" s="1"/>
  <c r="BE169" i="1" s="1"/>
  <c r="AW94" i="1"/>
  <c r="AZ94" i="1"/>
  <c r="BA94" i="1"/>
  <c r="BB139" i="1"/>
  <c r="AP174" i="1"/>
  <c r="AL174" i="1"/>
  <c r="AN175" i="1" s="1"/>
  <c r="AO174" i="1"/>
  <c r="AQ174" i="1" s="1"/>
  <c r="BE174" i="1" s="1"/>
  <c r="AP130" i="1"/>
  <c r="AL130" i="1"/>
  <c r="AN131" i="1" s="1"/>
  <c r="AO130" i="1"/>
  <c r="AQ130" i="1" s="1"/>
  <c r="BE130" i="1" s="1"/>
  <c r="AQ107" i="1"/>
  <c r="BE107" i="1" s="1"/>
  <c r="AQ151" i="1"/>
  <c r="BE151" i="1" s="1"/>
  <c r="AQ31" i="1"/>
  <c r="BE31" i="1" s="1"/>
  <c r="AQ76" i="1"/>
  <c r="BE76" i="1" s="1"/>
  <c r="AQ129" i="1"/>
  <c r="BE129" i="1" s="1"/>
  <c r="AQ137" i="1"/>
  <c r="BE137" i="1" s="1"/>
  <c r="AL115" i="1"/>
  <c r="AN116" i="1" s="1"/>
  <c r="AP115" i="1"/>
  <c r="AO115" i="1"/>
  <c r="AO55" i="1"/>
  <c r="AP55" i="1"/>
  <c r="AL55" i="1"/>
  <c r="AP138" i="1"/>
  <c r="AO138" i="1"/>
  <c r="AQ138" i="1" s="1"/>
  <c r="BE138" i="1" s="1"/>
  <c r="AL138" i="1"/>
  <c r="AN139" i="1" s="1"/>
  <c r="AL91" i="1"/>
  <c r="AN92" i="1" s="1"/>
  <c r="AO91" i="1"/>
  <c r="AP91" i="1"/>
  <c r="AP42" i="1"/>
  <c r="AL42" i="1"/>
  <c r="AN43" i="1" s="1"/>
  <c r="AO42" i="1"/>
  <c r="AQ42" i="1" s="1"/>
  <c r="BE42" i="1" s="1"/>
  <c r="AL162" i="1"/>
  <c r="AN163" i="1" s="1"/>
  <c r="AO162" i="1"/>
  <c r="AP162" i="1"/>
  <c r="AO152" i="1"/>
  <c r="AL152" i="1"/>
  <c r="AP152" i="1"/>
  <c r="AO32" i="1"/>
  <c r="AL32" i="1"/>
  <c r="AP32" i="1"/>
  <c r="AQ173" i="1"/>
  <c r="BE173" i="1" s="1"/>
  <c r="AQ90" i="1"/>
  <c r="BE90" i="1" s="1"/>
  <c r="AQ114" i="1"/>
  <c r="BE114" i="1" s="1"/>
  <c r="AQ54" i="1"/>
  <c r="BE54" i="1" s="1"/>
  <c r="AQ41" i="1"/>
  <c r="BE41" i="1" s="1"/>
  <c r="AP108" i="1"/>
  <c r="AO108" i="1"/>
  <c r="AL108" i="1"/>
  <c r="AN109" i="1" s="1"/>
  <c r="AO36" i="1"/>
  <c r="AP36" i="1"/>
  <c r="AL36" i="1"/>
  <c r="AL77" i="1"/>
  <c r="AN78" i="1" s="1"/>
  <c r="AP77" i="1"/>
  <c r="AO77" i="1"/>
  <c r="BF24" i="1"/>
  <c r="BF25" i="1" s="1"/>
  <c r="BF26" i="1" s="1"/>
  <c r="BF27" i="1" s="1"/>
  <c r="BF28" i="1" s="1"/>
  <c r="BF29" i="1" s="1"/>
  <c r="AR30" i="1"/>
  <c r="BB146" i="1"/>
  <c r="BE146" i="1" s="1"/>
  <c r="AW120" i="1"/>
  <c r="AY121" i="1" s="1"/>
  <c r="AZ120" i="1"/>
  <c r="BA120" i="1"/>
  <c r="BB119" i="1"/>
  <c r="AR31" i="1" l="1"/>
  <c r="BC30" i="1"/>
  <c r="BC31" i="1" s="1"/>
  <c r="BC32" i="1" s="1"/>
  <c r="BC33" i="1" s="1"/>
  <c r="BC34" i="1" s="1"/>
  <c r="BC35" i="1" s="1"/>
  <c r="BC36" i="1" s="1"/>
  <c r="BC37" i="1" s="1"/>
  <c r="BC38" i="1" s="1"/>
  <c r="BC39" i="1" s="1"/>
  <c r="BC40" i="1" s="1"/>
  <c r="BC41" i="1" s="1"/>
  <c r="BC42" i="1" s="1"/>
  <c r="BC43" i="1" s="1"/>
  <c r="BC44" i="1" s="1"/>
  <c r="BC45" i="1" s="1"/>
  <c r="BC46" i="1" s="1"/>
  <c r="BC47" i="1" s="1"/>
  <c r="BC48" i="1" s="1"/>
  <c r="BC49" i="1" s="1"/>
  <c r="BC50" i="1" s="1"/>
  <c r="BC51" i="1" s="1"/>
  <c r="BC52" i="1" s="1"/>
  <c r="BC53" i="1" s="1"/>
  <c r="BC54" i="1" s="1"/>
  <c r="BC55" i="1" s="1"/>
  <c r="BC56" i="1" s="1"/>
  <c r="BC57" i="1" s="1"/>
  <c r="BC58" i="1" s="1"/>
  <c r="BC59" i="1" s="1"/>
  <c r="BC60" i="1" s="1"/>
  <c r="BC61" i="1" s="1"/>
  <c r="BC62" i="1" s="1"/>
  <c r="BC63" i="1" s="1"/>
  <c r="BC64" i="1" s="1"/>
  <c r="BC65" i="1" s="1"/>
  <c r="BC66" i="1" s="1"/>
  <c r="BC67" i="1" s="1"/>
  <c r="BC68" i="1" s="1"/>
  <c r="BC69" i="1" s="1"/>
  <c r="BC70" i="1" s="1"/>
  <c r="BC71" i="1" s="1"/>
  <c r="BC72" i="1" s="1"/>
  <c r="BC73" i="1" s="1"/>
  <c r="BC74" i="1" s="1"/>
  <c r="BC75" i="1" s="1"/>
  <c r="BC76" i="1" s="1"/>
  <c r="BC77" i="1" s="1"/>
  <c r="BE30" i="1"/>
  <c r="BF30" i="1" s="1"/>
  <c r="BF31" i="1" s="1"/>
  <c r="BB94" i="1"/>
  <c r="AO170" i="1"/>
  <c r="AL170" i="1"/>
  <c r="AP170" i="1"/>
  <c r="AP175" i="1"/>
  <c r="AL175" i="1"/>
  <c r="AN176" i="1" s="1"/>
  <c r="AO175" i="1"/>
  <c r="AQ175" i="1" s="1"/>
  <c r="BE175" i="1" s="1"/>
  <c r="AP131" i="1"/>
  <c r="AO131" i="1"/>
  <c r="AL131" i="1"/>
  <c r="AN132" i="1" s="1"/>
  <c r="BB78" i="1"/>
  <c r="AP116" i="1"/>
  <c r="AO116" i="1"/>
  <c r="AQ116" i="1" s="1"/>
  <c r="BE116" i="1" s="1"/>
  <c r="AL116" i="1"/>
  <c r="AN117" i="1" s="1"/>
  <c r="BA121" i="1"/>
  <c r="AW121" i="1"/>
  <c r="AZ121" i="1"/>
  <c r="BB121" i="1" s="1"/>
  <c r="BE121" i="1" s="1"/>
  <c r="AQ77" i="1"/>
  <c r="BE77" i="1" s="1"/>
  <c r="AQ108" i="1"/>
  <c r="BE108" i="1" s="1"/>
  <c r="AQ115" i="1"/>
  <c r="BE115" i="1" s="1"/>
  <c r="AO139" i="1"/>
  <c r="AP139" i="1"/>
  <c r="AL139" i="1"/>
  <c r="AN140" i="1" s="1"/>
  <c r="AP92" i="1"/>
  <c r="AO92" i="1"/>
  <c r="AL92" i="1"/>
  <c r="AN93" i="1" s="1"/>
  <c r="AO43" i="1"/>
  <c r="AL43" i="1"/>
  <c r="AN44" i="1" s="1"/>
  <c r="AP43" i="1"/>
  <c r="AL163" i="1"/>
  <c r="AN164" i="1" s="1"/>
  <c r="AP163" i="1"/>
  <c r="AO163" i="1"/>
  <c r="AL109" i="1"/>
  <c r="AN110" i="1" s="1"/>
  <c r="AO109" i="1"/>
  <c r="AP109" i="1"/>
  <c r="AQ55" i="1"/>
  <c r="BE55" i="1" s="1"/>
  <c r="AQ91" i="1"/>
  <c r="BE91" i="1" s="1"/>
  <c r="AQ162" i="1"/>
  <c r="BE162" i="1" s="1"/>
  <c r="AQ152" i="1"/>
  <c r="BE152" i="1" s="1"/>
  <c r="AQ32" i="1"/>
  <c r="AQ36" i="1"/>
  <c r="BE36" i="1" s="1"/>
  <c r="AO78" i="1"/>
  <c r="AL78" i="1"/>
  <c r="AN79" i="1" s="1"/>
  <c r="AP78" i="1"/>
  <c r="BE119" i="1"/>
  <c r="BB120" i="1"/>
  <c r="AQ131" i="1" l="1"/>
  <c r="BE131" i="1" s="1"/>
  <c r="BC78" i="1"/>
  <c r="BC79" i="1" s="1"/>
  <c r="BC80" i="1" s="1"/>
  <c r="BC81" i="1" s="1"/>
  <c r="BC82" i="1" s="1"/>
  <c r="BC83" i="1" s="1"/>
  <c r="BC84" i="1" s="1"/>
  <c r="BC85" i="1" s="1"/>
  <c r="BC86" i="1" s="1"/>
  <c r="BC87" i="1" s="1"/>
  <c r="BC88" i="1" s="1"/>
  <c r="BC89" i="1" s="1"/>
  <c r="BC90" i="1" s="1"/>
  <c r="BC91" i="1" s="1"/>
  <c r="BC92" i="1" s="1"/>
  <c r="BC93" i="1" s="1"/>
  <c r="BC94" i="1" s="1"/>
  <c r="BC95" i="1" s="1"/>
  <c r="BC96" i="1" s="1"/>
  <c r="BC97" i="1" s="1"/>
  <c r="BC98" i="1" s="1"/>
  <c r="BC99" i="1" s="1"/>
  <c r="BC100" i="1" s="1"/>
  <c r="BC101" i="1" s="1"/>
  <c r="BC102" i="1" s="1"/>
  <c r="BC103" i="1" s="1"/>
  <c r="BC104" i="1" s="1"/>
  <c r="BC105" i="1" s="1"/>
  <c r="BC106" i="1" s="1"/>
  <c r="BC107" i="1" s="1"/>
  <c r="BC108" i="1" s="1"/>
  <c r="BC109" i="1" s="1"/>
  <c r="BC110" i="1" s="1"/>
  <c r="BC111" i="1" s="1"/>
  <c r="BC112" i="1" s="1"/>
  <c r="BC113" i="1" s="1"/>
  <c r="BC114" i="1" s="1"/>
  <c r="BC115" i="1" s="1"/>
  <c r="BC116" i="1" s="1"/>
  <c r="BC117" i="1" s="1"/>
  <c r="BC118" i="1" s="1"/>
  <c r="BC119" i="1" s="1"/>
  <c r="AL176" i="1"/>
  <c r="AO176" i="1"/>
  <c r="AP176" i="1"/>
  <c r="AP132" i="1"/>
  <c r="AL132" i="1"/>
  <c r="AN133" i="1" s="1"/>
  <c r="AO132" i="1"/>
  <c r="AQ132" i="1" s="1"/>
  <c r="BE132" i="1" s="1"/>
  <c r="AO117" i="1"/>
  <c r="AP117" i="1"/>
  <c r="AL117" i="1"/>
  <c r="AQ170" i="1"/>
  <c r="BE170" i="1" s="1"/>
  <c r="AQ163" i="1"/>
  <c r="BE163" i="1" s="1"/>
  <c r="AL140" i="1"/>
  <c r="AN141" i="1" s="1"/>
  <c r="AO140" i="1"/>
  <c r="AP140" i="1"/>
  <c r="AP93" i="1"/>
  <c r="AL93" i="1"/>
  <c r="AN94" i="1" s="1"/>
  <c r="AO93" i="1"/>
  <c r="AP44" i="1"/>
  <c r="AO44" i="1"/>
  <c r="AQ44" i="1" s="1"/>
  <c r="BE44" i="1" s="1"/>
  <c r="AL44" i="1"/>
  <c r="AN45" i="1" s="1"/>
  <c r="AP164" i="1"/>
  <c r="AL164" i="1"/>
  <c r="AN165" i="1" s="1"/>
  <c r="AO164" i="1"/>
  <c r="AO110" i="1"/>
  <c r="AL110" i="1"/>
  <c r="AN111" i="1" s="1"/>
  <c r="AP110" i="1"/>
  <c r="AR32" i="1"/>
  <c r="AR33" i="1" s="1"/>
  <c r="AR34" i="1" s="1"/>
  <c r="AR35" i="1" s="1"/>
  <c r="AR36" i="1" s="1"/>
  <c r="AR37" i="1" s="1"/>
  <c r="AR38" i="1" s="1"/>
  <c r="AR39" i="1" s="1"/>
  <c r="AR40" i="1" s="1"/>
  <c r="AR41" i="1" s="1"/>
  <c r="AR42" i="1" s="1"/>
  <c r="BE32" i="1"/>
  <c r="BF32" i="1" s="1"/>
  <c r="BF33" i="1" s="1"/>
  <c r="BF34" i="1" s="1"/>
  <c r="BF35" i="1" s="1"/>
  <c r="BF36" i="1" s="1"/>
  <c r="BF37" i="1" s="1"/>
  <c r="BF38" i="1" s="1"/>
  <c r="BF39" i="1" s="1"/>
  <c r="BF40" i="1" s="1"/>
  <c r="BF41" i="1" s="1"/>
  <c r="BF42" i="1" s="1"/>
  <c r="AQ139" i="1"/>
  <c r="BE139" i="1" s="1"/>
  <c r="AQ92" i="1"/>
  <c r="BE92" i="1" s="1"/>
  <c r="AQ43" i="1"/>
  <c r="BE43" i="1" s="1"/>
  <c r="AQ109" i="1"/>
  <c r="BE109" i="1" s="1"/>
  <c r="AP79" i="1"/>
  <c r="AL79" i="1"/>
  <c r="AN80" i="1" s="1"/>
  <c r="AO79" i="1"/>
  <c r="AQ79" i="1" s="1"/>
  <c r="BE79" i="1" s="1"/>
  <c r="AQ78" i="1"/>
  <c r="BE78" i="1" s="1"/>
  <c r="BC120" i="1"/>
  <c r="BC121" i="1" s="1"/>
  <c r="BC122" i="1" s="1"/>
  <c r="BC123" i="1" s="1"/>
  <c r="BC124" i="1" s="1"/>
  <c r="BC125" i="1" s="1"/>
  <c r="BC126" i="1" s="1"/>
  <c r="BC127" i="1" s="1"/>
  <c r="BC128" i="1" s="1"/>
  <c r="BC129" i="1" s="1"/>
  <c r="BC130" i="1" s="1"/>
  <c r="BC131" i="1" s="1"/>
  <c r="BC132" i="1" s="1"/>
  <c r="BC133" i="1" s="1"/>
  <c r="BC134" i="1" s="1"/>
  <c r="BC135" i="1" s="1"/>
  <c r="BC136" i="1" s="1"/>
  <c r="BC137" i="1" s="1"/>
  <c r="BC138" i="1" s="1"/>
  <c r="BC139" i="1" s="1"/>
  <c r="BC140" i="1" s="1"/>
  <c r="BC141" i="1" s="1"/>
  <c r="BC142" i="1" s="1"/>
  <c r="BC143" i="1" s="1"/>
  <c r="BC144" i="1" s="1"/>
  <c r="BC145" i="1" s="1"/>
  <c r="BC146" i="1" s="1"/>
  <c r="BC147" i="1" s="1"/>
  <c r="BC148" i="1" s="1"/>
  <c r="BC149" i="1" s="1"/>
  <c r="BC150" i="1" s="1"/>
  <c r="BC151" i="1" s="1"/>
  <c r="BC152" i="1" s="1"/>
  <c r="BC153" i="1" s="1"/>
  <c r="BC154" i="1" s="1"/>
  <c r="BC155" i="1" s="1"/>
  <c r="BC156" i="1" s="1"/>
  <c r="BC157" i="1" s="1"/>
  <c r="BC158" i="1" s="1"/>
  <c r="BC159" i="1" s="1"/>
  <c r="BC160" i="1" s="1"/>
  <c r="BC161" i="1" s="1"/>
  <c r="BC162" i="1" s="1"/>
  <c r="BC163" i="1" s="1"/>
  <c r="BC164" i="1" s="1"/>
  <c r="BC165" i="1" s="1"/>
  <c r="BC166" i="1" s="1"/>
  <c r="BC167" i="1" s="1"/>
  <c r="BC168" i="1" s="1"/>
  <c r="BC169" i="1" s="1"/>
  <c r="BC170" i="1" s="1"/>
  <c r="BC171" i="1" s="1"/>
  <c r="BC172" i="1" s="1"/>
  <c r="BC173" i="1" s="1"/>
  <c r="BC174" i="1" s="1"/>
  <c r="BC175" i="1" s="1"/>
  <c r="BC176" i="1" s="1"/>
  <c r="BC19" i="1" s="1"/>
  <c r="BE120" i="1"/>
  <c r="BB19" i="1"/>
  <c r="BB15" i="1"/>
  <c r="BB14" i="1"/>
  <c r="AO133" i="1" l="1"/>
  <c r="AL133" i="1"/>
  <c r="AN134" i="1" s="1"/>
  <c r="AP133" i="1"/>
  <c r="AQ164" i="1"/>
  <c r="BE164" i="1" s="1"/>
  <c r="AQ176" i="1"/>
  <c r="BE176" i="1" s="1"/>
  <c r="AQ117" i="1"/>
  <c r="BE117" i="1" s="1"/>
  <c r="AQ93" i="1"/>
  <c r="BE93" i="1" s="1"/>
  <c r="AP141" i="1"/>
  <c r="AL141" i="1"/>
  <c r="AO141" i="1"/>
  <c r="AQ141" i="1" s="1"/>
  <c r="BE141" i="1" s="1"/>
  <c r="AL94" i="1"/>
  <c r="AN95" i="1" s="1"/>
  <c r="AP94" i="1"/>
  <c r="AO94" i="1"/>
  <c r="AO45" i="1"/>
  <c r="AP45" i="1"/>
  <c r="AL45" i="1"/>
  <c r="AN46" i="1" s="1"/>
  <c r="AL165" i="1"/>
  <c r="AP165" i="1"/>
  <c r="AO165" i="1"/>
  <c r="AP111" i="1"/>
  <c r="AO111" i="1"/>
  <c r="AL111" i="1"/>
  <c r="AQ140" i="1"/>
  <c r="BE140" i="1" s="1"/>
  <c r="AQ110" i="1"/>
  <c r="BE110" i="1" s="1"/>
  <c r="AR43" i="1"/>
  <c r="AR44" i="1" s="1"/>
  <c r="BF43" i="1"/>
  <c r="BF44" i="1" s="1"/>
  <c r="AP80" i="1"/>
  <c r="AO80" i="1"/>
  <c r="AL80" i="1"/>
  <c r="AN81" i="1" s="1"/>
  <c r="BB16" i="1"/>
  <c r="AT1" i="1" s="1"/>
  <c r="AQ94" i="1" l="1"/>
  <c r="BE94" i="1" s="1"/>
  <c r="AP134" i="1"/>
  <c r="AL134" i="1"/>
  <c r="AO134" i="1"/>
  <c r="AQ134" i="1" s="1"/>
  <c r="BE134" i="1" s="1"/>
  <c r="AQ133" i="1"/>
  <c r="BE133" i="1" s="1"/>
  <c r="AQ165" i="1"/>
  <c r="BE165" i="1" s="1"/>
  <c r="AQ111" i="1"/>
  <c r="BE111" i="1" s="1"/>
  <c r="AQ80" i="1"/>
  <c r="BE80" i="1" s="1"/>
  <c r="AP95" i="1"/>
  <c r="AO95" i="1"/>
  <c r="AL95" i="1"/>
  <c r="AN96" i="1" s="1"/>
  <c r="AP46" i="1"/>
  <c r="AO46" i="1"/>
  <c r="AL46" i="1"/>
  <c r="AN47" i="1" s="1"/>
  <c r="AP81" i="1"/>
  <c r="AO81" i="1"/>
  <c r="AL81" i="1"/>
  <c r="AN82" i="1" s="1"/>
  <c r="AQ45" i="1"/>
  <c r="AQ81" i="1" l="1"/>
  <c r="BE81" i="1" s="1"/>
  <c r="AQ95" i="1"/>
  <c r="BE95" i="1" s="1"/>
  <c r="AQ46" i="1"/>
  <c r="BE46" i="1" s="1"/>
  <c r="AO96" i="1"/>
  <c r="AL96" i="1"/>
  <c r="AN97" i="1" s="1"/>
  <c r="AP96" i="1"/>
  <c r="AO47" i="1"/>
  <c r="AP47" i="1"/>
  <c r="AL47" i="1"/>
  <c r="AN48" i="1" s="1"/>
  <c r="AP82" i="1"/>
  <c r="AL82" i="1"/>
  <c r="AN83" i="1" s="1"/>
  <c r="AO82" i="1"/>
  <c r="AR45" i="1"/>
  <c r="AR46" i="1" s="1"/>
  <c r="BE45" i="1"/>
  <c r="BF45" i="1" s="1"/>
  <c r="BF46" i="1" s="1"/>
  <c r="AP83" i="1" l="1"/>
  <c r="AO83" i="1"/>
  <c r="AQ83" i="1" s="1"/>
  <c r="BE83" i="1" s="1"/>
  <c r="AL83" i="1"/>
  <c r="AN84" i="1" s="1"/>
  <c r="AQ82" i="1"/>
  <c r="BE82" i="1" s="1"/>
  <c r="AL97" i="1"/>
  <c r="AN98" i="1" s="1"/>
  <c r="AO97" i="1"/>
  <c r="AP97" i="1"/>
  <c r="AO48" i="1"/>
  <c r="AP48" i="1"/>
  <c r="AL48" i="1"/>
  <c r="AN49" i="1" s="1"/>
  <c r="AQ96" i="1"/>
  <c r="BE96" i="1" s="1"/>
  <c r="AQ47" i="1"/>
  <c r="AO84" i="1" l="1"/>
  <c r="AP84" i="1"/>
  <c r="AL84" i="1"/>
  <c r="AN85" i="1" s="1"/>
  <c r="AQ97" i="1"/>
  <c r="BE97" i="1" s="1"/>
  <c r="AP98" i="1"/>
  <c r="AO98" i="1"/>
  <c r="AL98" i="1"/>
  <c r="AN99" i="1" s="1"/>
  <c r="AP49" i="1"/>
  <c r="AO49" i="1"/>
  <c r="AQ49" i="1" s="1"/>
  <c r="BE49" i="1" s="1"/>
  <c r="AL49" i="1"/>
  <c r="AR47" i="1"/>
  <c r="BE47" i="1"/>
  <c r="BF47" i="1" s="1"/>
  <c r="AQ48" i="1"/>
  <c r="BE48" i="1" s="1"/>
  <c r="AQ84" i="1" l="1"/>
  <c r="BE84" i="1" s="1"/>
  <c r="AO85" i="1"/>
  <c r="AL85" i="1"/>
  <c r="AN86" i="1" s="1"/>
  <c r="AP85" i="1"/>
  <c r="AQ98" i="1"/>
  <c r="BE98" i="1" s="1"/>
  <c r="BF48" i="1"/>
  <c r="BF49" i="1" s="1"/>
  <c r="BF50" i="1" s="1"/>
  <c r="BF51" i="1" s="1"/>
  <c r="BF52" i="1" s="1"/>
  <c r="BF53" i="1" s="1"/>
  <c r="BF54" i="1" s="1"/>
  <c r="BF55" i="1" s="1"/>
  <c r="BF56" i="1" s="1"/>
  <c r="BF57" i="1" s="1"/>
  <c r="BF58" i="1" s="1"/>
  <c r="BF59" i="1" s="1"/>
  <c r="BF60" i="1" s="1"/>
  <c r="BF61" i="1" s="1"/>
  <c r="BF62" i="1" s="1"/>
  <c r="BF63" i="1" s="1"/>
  <c r="BF64" i="1" s="1"/>
  <c r="BF65" i="1" s="1"/>
  <c r="BF66" i="1" s="1"/>
  <c r="BF67" i="1" s="1"/>
  <c r="BF68" i="1" s="1"/>
  <c r="BF69" i="1" s="1"/>
  <c r="BF70" i="1" s="1"/>
  <c r="BF71" i="1" s="1"/>
  <c r="BF72" i="1" s="1"/>
  <c r="BF73" i="1" s="1"/>
  <c r="BF74" i="1" s="1"/>
  <c r="BF75" i="1" s="1"/>
  <c r="BF76" i="1" s="1"/>
  <c r="BF77" i="1" s="1"/>
  <c r="BF78" i="1" s="1"/>
  <c r="BF79" i="1" s="1"/>
  <c r="BF80" i="1" s="1"/>
  <c r="BF81" i="1" s="1"/>
  <c r="BF82" i="1" s="1"/>
  <c r="BF83" i="1" s="1"/>
  <c r="BF84" i="1" s="1"/>
  <c r="AO99" i="1"/>
  <c r="AL99" i="1"/>
  <c r="AN100" i="1" s="1"/>
  <c r="AP99" i="1"/>
  <c r="AR48" i="1"/>
  <c r="AR49" i="1" s="1"/>
  <c r="AR50" i="1" s="1"/>
  <c r="AR51" i="1" s="1"/>
  <c r="AR52" i="1" s="1"/>
  <c r="AR53" i="1" s="1"/>
  <c r="AR54" i="1" s="1"/>
  <c r="AR55" i="1" s="1"/>
  <c r="AR56" i="1" s="1"/>
  <c r="AR57" i="1" s="1"/>
  <c r="AR58" i="1" s="1"/>
  <c r="AR59" i="1" s="1"/>
  <c r="AR60" i="1" s="1"/>
  <c r="AR61" i="1" s="1"/>
  <c r="AR62" i="1" s="1"/>
  <c r="AR63" i="1" s="1"/>
  <c r="AR64" i="1" s="1"/>
  <c r="AR65" i="1" s="1"/>
  <c r="AR66" i="1" s="1"/>
  <c r="AR67" i="1" s="1"/>
  <c r="AR68" i="1" s="1"/>
  <c r="AR69" i="1" s="1"/>
  <c r="AR70" i="1" s="1"/>
  <c r="AR71" i="1" s="1"/>
  <c r="AR72" i="1" s="1"/>
  <c r="AR73" i="1" s="1"/>
  <c r="AR74" i="1" s="1"/>
  <c r="AR75" i="1" s="1"/>
  <c r="AR76" i="1" s="1"/>
  <c r="AR77" i="1" s="1"/>
  <c r="AR78" i="1" s="1"/>
  <c r="AR79" i="1" s="1"/>
  <c r="AR80" i="1" s="1"/>
  <c r="AR81" i="1" s="1"/>
  <c r="AR82" i="1" s="1"/>
  <c r="AR83" i="1" s="1"/>
  <c r="AR84" i="1" s="1"/>
  <c r="AO86" i="1" l="1"/>
  <c r="AL86" i="1"/>
  <c r="AN87" i="1" s="1"/>
  <c r="AP86" i="1"/>
  <c r="AQ85" i="1"/>
  <c r="AP100" i="1"/>
  <c r="AO100" i="1"/>
  <c r="AQ100" i="1" s="1"/>
  <c r="BE100" i="1" s="1"/>
  <c r="AL100" i="1"/>
  <c r="AN101" i="1" s="1"/>
  <c r="AQ99" i="1"/>
  <c r="AL87" i="1" l="1"/>
  <c r="AN88" i="1" s="1"/>
  <c r="AO87" i="1"/>
  <c r="AP87" i="1"/>
  <c r="AR85" i="1"/>
  <c r="BE85" i="1"/>
  <c r="BF85" i="1" s="1"/>
  <c r="AQ86" i="1"/>
  <c r="BE86" i="1" s="1"/>
  <c r="AL101" i="1"/>
  <c r="AP101" i="1"/>
  <c r="AO101" i="1"/>
  <c r="AQ101" i="1" s="1"/>
  <c r="BE101" i="1" s="1"/>
  <c r="BE99" i="1"/>
  <c r="AL88" i="1" l="1"/>
  <c r="AP88" i="1"/>
  <c r="AO88" i="1"/>
  <c r="AQ88" i="1" s="1"/>
  <c r="BE88" i="1" s="1"/>
  <c r="AQ87" i="1"/>
  <c r="AR86" i="1"/>
  <c r="AR87" i="1" s="1"/>
  <c r="AR88" i="1" s="1"/>
  <c r="AR89" i="1" s="1"/>
  <c r="AR90" i="1" s="1"/>
  <c r="AR91" i="1" s="1"/>
  <c r="AR92" i="1" s="1"/>
  <c r="AR93" i="1" s="1"/>
  <c r="AR94" i="1" s="1"/>
  <c r="AR95" i="1" s="1"/>
  <c r="AR96" i="1" s="1"/>
  <c r="AR97" i="1" s="1"/>
  <c r="AR98" i="1" s="1"/>
  <c r="AR99" i="1" s="1"/>
  <c r="AR100" i="1" s="1"/>
  <c r="AR101" i="1" s="1"/>
  <c r="AR102" i="1" s="1"/>
  <c r="AR103" i="1" s="1"/>
  <c r="AR104" i="1" s="1"/>
  <c r="AR105" i="1" s="1"/>
  <c r="AR106" i="1" s="1"/>
  <c r="AR107" i="1" s="1"/>
  <c r="AR108" i="1" s="1"/>
  <c r="AR109" i="1" s="1"/>
  <c r="AR110" i="1" s="1"/>
  <c r="AR111" i="1" s="1"/>
  <c r="AR112" i="1" s="1"/>
  <c r="AR113" i="1" s="1"/>
  <c r="AR114" i="1" s="1"/>
  <c r="AR115" i="1" s="1"/>
  <c r="AR116" i="1" s="1"/>
  <c r="AR117" i="1" s="1"/>
  <c r="AR118" i="1" s="1"/>
  <c r="AR119" i="1" s="1"/>
  <c r="AR120" i="1" s="1"/>
  <c r="AR121" i="1" s="1"/>
  <c r="AR122" i="1" s="1"/>
  <c r="AR123" i="1" s="1"/>
  <c r="AR124" i="1" s="1"/>
  <c r="AR125" i="1" s="1"/>
  <c r="AR126" i="1" s="1"/>
  <c r="AR127" i="1" s="1"/>
  <c r="AR128" i="1" s="1"/>
  <c r="AR129" i="1" s="1"/>
  <c r="AR130" i="1" s="1"/>
  <c r="AR131" i="1" s="1"/>
  <c r="AR132" i="1" s="1"/>
  <c r="AR133" i="1" s="1"/>
  <c r="AR134" i="1" s="1"/>
  <c r="AR135" i="1" s="1"/>
  <c r="AR136" i="1" s="1"/>
  <c r="AR137" i="1" s="1"/>
  <c r="AR138" i="1" s="1"/>
  <c r="AR139" i="1" s="1"/>
  <c r="AR140" i="1" s="1"/>
  <c r="AR141" i="1" s="1"/>
  <c r="AR142" i="1" s="1"/>
  <c r="AR143" i="1" s="1"/>
  <c r="AR144" i="1" s="1"/>
  <c r="AR145" i="1" s="1"/>
  <c r="AR146" i="1" s="1"/>
  <c r="AR147" i="1" s="1"/>
  <c r="AR148" i="1" s="1"/>
  <c r="AR149" i="1" s="1"/>
  <c r="AR150" i="1" s="1"/>
  <c r="AR151" i="1" s="1"/>
  <c r="AR152" i="1" s="1"/>
  <c r="AR153" i="1" s="1"/>
  <c r="AR154" i="1" s="1"/>
  <c r="AR155" i="1" s="1"/>
  <c r="AR156" i="1" s="1"/>
  <c r="AR157" i="1" s="1"/>
  <c r="AR158" i="1" s="1"/>
  <c r="AR159" i="1" s="1"/>
  <c r="AR160" i="1" s="1"/>
  <c r="AR161" i="1" s="1"/>
  <c r="AR162" i="1" s="1"/>
  <c r="AR163" i="1" s="1"/>
  <c r="AR164" i="1" s="1"/>
  <c r="AR165" i="1" s="1"/>
  <c r="AR166" i="1" s="1"/>
  <c r="AR167" i="1" s="1"/>
  <c r="AR168" i="1" s="1"/>
  <c r="AR169" i="1" s="1"/>
  <c r="AR170" i="1" s="1"/>
  <c r="AR171" i="1" s="1"/>
  <c r="AR172" i="1" s="1"/>
  <c r="AR173" i="1" s="1"/>
  <c r="AR174" i="1" s="1"/>
  <c r="AR175" i="1" s="1"/>
  <c r="AR176" i="1" s="1"/>
  <c r="AR19" i="1" s="1"/>
  <c r="BF86" i="1"/>
  <c r="AQ14" i="1" l="1"/>
  <c r="AQ19" i="1"/>
  <c r="AQ15" i="1"/>
  <c r="BE87" i="1"/>
  <c r="BF87" i="1" l="1"/>
  <c r="BF88" i="1" s="1"/>
  <c r="BF89" i="1" s="1"/>
  <c r="BF90" i="1" s="1"/>
  <c r="BF91" i="1" s="1"/>
  <c r="BF92" i="1" s="1"/>
  <c r="BF93" i="1" s="1"/>
  <c r="BF94" i="1" s="1"/>
  <c r="BF95" i="1" s="1"/>
  <c r="BF96" i="1" s="1"/>
  <c r="BF97" i="1" s="1"/>
  <c r="BF98" i="1" s="1"/>
  <c r="BF99" i="1" s="1"/>
  <c r="BF100" i="1" s="1"/>
  <c r="BF101" i="1" s="1"/>
  <c r="BF102" i="1" s="1"/>
  <c r="BF103" i="1" s="1"/>
  <c r="BF104" i="1" s="1"/>
  <c r="BF105" i="1" s="1"/>
  <c r="BF106" i="1" s="1"/>
  <c r="BF107" i="1" s="1"/>
  <c r="BF108" i="1" s="1"/>
  <c r="BF109" i="1" s="1"/>
  <c r="BF110" i="1" s="1"/>
  <c r="BF111" i="1" s="1"/>
  <c r="BF112" i="1" s="1"/>
  <c r="BF113" i="1" s="1"/>
  <c r="BF114" i="1" s="1"/>
  <c r="BF115" i="1" s="1"/>
  <c r="BF116" i="1" s="1"/>
  <c r="BF117" i="1" s="1"/>
  <c r="BF118" i="1" s="1"/>
  <c r="BF119" i="1" s="1"/>
  <c r="BF120" i="1" s="1"/>
  <c r="BF121" i="1" s="1"/>
  <c r="BF122" i="1" s="1"/>
  <c r="BF123" i="1" s="1"/>
  <c r="BF124" i="1" s="1"/>
  <c r="BF125" i="1" s="1"/>
  <c r="BF126" i="1" s="1"/>
  <c r="BF127" i="1" s="1"/>
  <c r="BF128" i="1" s="1"/>
  <c r="BF129" i="1" s="1"/>
  <c r="BF130" i="1" s="1"/>
  <c r="BF131" i="1" s="1"/>
  <c r="BF132" i="1" s="1"/>
  <c r="BF133" i="1" s="1"/>
  <c r="BF134" i="1" s="1"/>
  <c r="BF135" i="1" s="1"/>
  <c r="BF136" i="1" s="1"/>
  <c r="BF137" i="1" s="1"/>
  <c r="BF138" i="1" s="1"/>
  <c r="BF139" i="1" s="1"/>
  <c r="BF140" i="1" s="1"/>
  <c r="BF141" i="1" s="1"/>
  <c r="BF142" i="1" s="1"/>
  <c r="BF143" i="1" s="1"/>
  <c r="BF144" i="1" s="1"/>
  <c r="BF145" i="1" s="1"/>
  <c r="BF146" i="1" s="1"/>
  <c r="BF147" i="1" s="1"/>
  <c r="BF148" i="1" s="1"/>
  <c r="BF149" i="1" s="1"/>
  <c r="BF150" i="1" s="1"/>
  <c r="BF151" i="1" s="1"/>
  <c r="BF152" i="1" s="1"/>
  <c r="BF153" i="1" s="1"/>
  <c r="BF154" i="1" s="1"/>
  <c r="BF155" i="1" s="1"/>
  <c r="BF156" i="1" s="1"/>
  <c r="BF157" i="1" s="1"/>
  <c r="BF158" i="1" s="1"/>
  <c r="BF159" i="1" s="1"/>
  <c r="BF160" i="1" s="1"/>
  <c r="BF161" i="1" s="1"/>
  <c r="BF162" i="1" s="1"/>
  <c r="BF163" i="1" s="1"/>
  <c r="BF164" i="1" s="1"/>
  <c r="BF165" i="1" s="1"/>
  <c r="BF166" i="1" s="1"/>
  <c r="BF167" i="1" s="1"/>
  <c r="BF168" i="1" s="1"/>
  <c r="BF169" i="1" s="1"/>
  <c r="BF170" i="1" s="1"/>
  <c r="BF171" i="1" s="1"/>
  <c r="BF172" i="1" s="1"/>
  <c r="BF173" i="1" s="1"/>
  <c r="BF174" i="1" s="1"/>
  <c r="BF175" i="1" s="1"/>
  <c r="BF176" i="1" s="1"/>
  <c r="BF18" i="1" s="1"/>
  <c r="BE15" i="1"/>
  <c r="BE14" i="1"/>
  <c r="BE18" i="1"/>
  <c r="AQ16" i="1"/>
  <c r="AI1" i="1" s="1"/>
  <c r="BE16" i="1" l="1"/>
</calcChain>
</file>

<file path=xl/sharedStrings.xml><?xml version="1.0" encoding="utf-8"?>
<sst xmlns="http://schemas.openxmlformats.org/spreadsheetml/2006/main" count="74" uniqueCount="53">
  <si>
    <t>date</t>
  </si>
  <si>
    <t>LEN</t>
  </si>
  <si>
    <t>LEN B</t>
  </si>
  <si>
    <t>LEN log rtn</t>
  </si>
  <si>
    <t>LEN B log rtn</t>
  </si>
  <si>
    <t>LEN div</t>
  </si>
  <si>
    <t>LEN div cumsum</t>
  </si>
  <si>
    <t>LEN B div</t>
  </si>
  <si>
    <t>LEN B div cumsum</t>
  </si>
  <si>
    <t>LEN div adjustment</t>
  </si>
  <si>
    <t>LEN B div adjustment</t>
  </si>
  <si>
    <t>LEN*</t>
  </si>
  <si>
    <t>LEN B*</t>
  </si>
  <si>
    <t>enter</t>
  </si>
  <si>
    <t>exit</t>
  </si>
  <si>
    <t>row</t>
  </si>
  <si>
    <t>col</t>
  </si>
  <si>
    <t>AI21</t>
  </si>
  <si>
    <t>AI22</t>
  </si>
  <si>
    <t>AT21</t>
  </si>
  <si>
    <t>AT22</t>
  </si>
  <si>
    <t>avg</t>
  </si>
  <si>
    <t>st dev</t>
  </si>
  <si>
    <t>sharpe</t>
  </si>
  <si>
    <t>grand</t>
  </si>
  <si>
    <t>signal</t>
  </si>
  <si>
    <t>under</t>
  </si>
  <si>
    <t>over</t>
  </si>
  <si>
    <t>yday</t>
  </si>
  <si>
    <t>ex-date</t>
  </si>
  <si>
    <t>position</t>
  </si>
  <si>
    <t>sum</t>
  </si>
  <si>
    <t>cumsum</t>
  </si>
  <si>
    <t>LEN/LEN B</t>
  </si>
  <si>
    <t>LEN/LEN B avg</t>
  </si>
  <si>
    <t>LEN/LEN B 10 dma</t>
  </si>
  <si>
    <t>LEN/LEN B 20 dma</t>
  </si>
  <si>
    <t>LEN B x avg</t>
  </si>
  <si>
    <t>LEN B x 10 dma</t>
  </si>
  <si>
    <t>LEN B x 20 dma</t>
  </si>
  <si>
    <t>log diff LEN B x avg / LEN</t>
  </si>
  <si>
    <t>log diff LEN B x 10 dma / LEN</t>
  </si>
  <si>
    <t>log diff LEN B x 20 dma / LEN</t>
  </si>
  <si>
    <t>LEN*/LEN B*</t>
  </si>
  <si>
    <t>LEN*/LEN B* avg</t>
  </si>
  <si>
    <t>LEN*/LEN B* 10 dma</t>
  </si>
  <si>
    <t>LEN*/LEN B* 20 dma</t>
  </si>
  <si>
    <t>LEN B* x avg</t>
  </si>
  <si>
    <t>LEN B* x 10 dma</t>
  </si>
  <si>
    <t>LEN B* x 20 dma</t>
  </si>
  <si>
    <t>log diff LEN B* x avg / LEN*</t>
  </si>
  <si>
    <t>log diff LEN B* x 10 dma / LEN*</t>
  </si>
  <si>
    <t>log diff LEN B* x 20 dma / LEN*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</si>
</sst>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0%"/>
    <numFmt numFmtId="165" formatCode="_(&quot;$&quot;* #,##0.0000_);_(&quot;$&quot;* \(#,##0.0000\);_(&quot;$&quot;* &quot;-&quot;??_);_(@_)"/>
    <numFmt numFmtId="166" formatCode="_(* #,##0.0000_);_(* \(#,##0.0000\);_(* &quot;-&quot;??_);_(@_)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14" fontId="0" fillId="0" borderId="0" xfId="0" applyNumberFormat="1"/>
    <xf numFmtId="164" fontId="18" fillId="33" borderId="0" xfId="3" applyNumberFormat="1" applyFont="1" applyFill="1" applyAlignment="1">
      <alignment horizontal="right"/>
    </xf>
    <xf numFmtId="43" fontId="16" fillId="0" borderId="0" xfId="1" applyFont="1"/>
    <xf numFmtId="10" fontId="16" fillId="0" borderId="0" xfId="3" applyNumberFormat="1" applyFont="1"/>
    <xf numFmtId="0" fontId="19" fillId="0" borderId="0" xfId="0" applyFont="1" applyAlignment="1">
      <alignment horizontal="left"/>
    </xf>
    <xf numFmtId="10" fontId="16" fillId="0" borderId="0" xfId="3" applyNumberFormat="1" applyFont="1" applyBorder="1"/>
    <xf numFmtId="0" fontId="18" fillId="0" borderId="0" xfId="0" applyFont="1" applyAlignment="1">
      <alignment horizontal="right"/>
    </xf>
    <xf numFmtId="0" fontId="18" fillId="0" borderId="0" xfId="0" applyFont="1" applyAlignment="1">
      <alignment horizontal="center"/>
    </xf>
    <xf numFmtId="164" fontId="0" fillId="33" borderId="0" xfId="3" applyNumberFormat="1" applyFont="1" applyFill="1"/>
    <xf numFmtId="43" fontId="0" fillId="0" borderId="0" xfId="1" applyFont="1"/>
    <xf numFmtId="43" fontId="0" fillId="0" borderId="0" xfId="1" applyFont="1" applyBorder="1"/>
    <xf numFmtId="44" fontId="0" fillId="0" borderId="0" xfId="2" applyFont="1"/>
    <xf numFmtId="0" fontId="19" fillId="0" borderId="0" xfId="0" applyFont="1" applyAlignment="1">
      <alignment horizontal="center"/>
    </xf>
    <xf numFmtId="44" fontId="20" fillId="0" borderId="0" xfId="2" applyFont="1"/>
    <xf numFmtId="164" fontId="0" fillId="0" borderId="0" xfId="3" applyNumberFormat="1" applyFont="1"/>
    <xf numFmtId="164" fontId="0" fillId="0" borderId="0" xfId="3" applyNumberFormat="1" applyFont="1" applyAlignment="1">
      <alignment horizontal="center"/>
    </xf>
    <xf numFmtId="10" fontId="16" fillId="0" borderId="10" xfId="3" applyNumberFormat="1" applyFont="1" applyBorder="1"/>
    <xf numFmtId="0" fontId="16" fillId="0" borderId="11" xfId="0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10" fontId="16" fillId="0" borderId="0" xfId="0" applyNumberFormat="1" applyFont="1"/>
    <xf numFmtId="164" fontId="16" fillId="0" borderId="0" xfId="3" applyNumberFormat="1" applyFont="1"/>
    <xf numFmtId="164" fontId="16" fillId="33" borderId="0" xfId="3" applyNumberFormat="1" applyFont="1" applyFill="1"/>
    <xf numFmtId="0" fontId="16" fillId="0" borderId="0" xfId="0" applyFont="1"/>
    <xf numFmtId="10" fontId="18" fillId="0" borderId="0" xfId="0" applyNumberFormat="1" applyFont="1" applyAlignment="1">
      <alignment horizontal="right"/>
    </xf>
    <xf numFmtId="44" fontId="18" fillId="0" borderId="0" xfId="2" applyFont="1" applyAlignment="1">
      <alignment horizontal="right"/>
    </xf>
    <xf numFmtId="10" fontId="18" fillId="34" borderId="0" xfId="2" applyNumberFormat="1" applyFont="1" applyFill="1" applyAlignment="1">
      <alignment horizontal="right"/>
    </xf>
    <xf numFmtId="0" fontId="21" fillId="0" borderId="0" xfId="0" applyFont="1"/>
    <xf numFmtId="10" fontId="0" fillId="0" borderId="0" xfId="3" applyNumberFormat="1" applyFont="1"/>
    <xf numFmtId="10" fontId="0" fillId="0" borderId="0" xfId="0" applyNumberFormat="1"/>
    <xf numFmtId="165" fontId="18" fillId="0" borderId="0" xfId="2" applyNumberFormat="1" applyFont="1" applyAlignment="1">
      <alignment horizontal="right"/>
    </xf>
    <xf numFmtId="164" fontId="18" fillId="0" borderId="0" xfId="3" applyNumberFormat="1" applyFont="1" applyAlignment="1">
      <alignment horizontal="right"/>
    </xf>
    <xf numFmtId="166" fontId="18" fillId="0" borderId="0" xfId="1" applyNumberFormat="1" applyFont="1" applyAlignment="1">
      <alignment horizontal="right"/>
    </xf>
    <xf numFmtId="165" fontId="0" fillId="0" borderId="0" xfId="2" applyNumberFormat="1" applyFont="1"/>
    <xf numFmtId="166" fontId="0" fillId="0" borderId="0" xfId="1" applyNumberFormat="1" applyFont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Sheet1!$O$1</c:f>
              <c:strCache>
                <c:ptCount val="1"/>
                <c:pt idx="0">
                  <c:v> LEN/LEN B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Sheet1!$O$2:$O$176</c:f>
              <c:numCache>
                <c:formatCode>_(* #,##0.0000_);_(* \(#,##0.0000\);_(* "-"??_);_(@_)</c:formatCode>
                <c:ptCount val="175"/>
                <c:pt idx="0">
                  <c:v>1.03934289630393</c:v>
                </c:pt>
                <c:pt idx="1">
                  <c:v>1.03934289630393</c:v>
                </c:pt>
                <c:pt idx="2">
                  <c:v>1.03934289630393</c:v>
                </c:pt>
                <c:pt idx="3">
                  <c:v>1.03934289630393</c:v>
                </c:pt>
                <c:pt idx="4">
                  <c:v>1.03934289630393</c:v>
                </c:pt>
                <c:pt idx="5">
                  <c:v>1.03934289630393</c:v>
                </c:pt>
                <c:pt idx="6">
                  <c:v>1.03934289630393</c:v>
                </c:pt>
                <c:pt idx="7">
                  <c:v>1.03934289630393</c:v>
                </c:pt>
                <c:pt idx="8">
                  <c:v>1.03934289630393</c:v>
                </c:pt>
                <c:pt idx="9">
                  <c:v>1.03934289630393</c:v>
                </c:pt>
                <c:pt idx="10">
                  <c:v>1.03934289630393</c:v>
                </c:pt>
                <c:pt idx="11">
                  <c:v>1.03934289630393</c:v>
                </c:pt>
                <c:pt idx="12">
                  <c:v>1.03934289630393</c:v>
                </c:pt>
                <c:pt idx="13">
                  <c:v>1.03934289630393</c:v>
                </c:pt>
                <c:pt idx="14">
                  <c:v>1.03934289630393</c:v>
                </c:pt>
                <c:pt idx="15">
                  <c:v>1.03934289630393</c:v>
                </c:pt>
                <c:pt idx="16">
                  <c:v>1.03934289630393</c:v>
                </c:pt>
                <c:pt idx="17">
                  <c:v>1.03934289630393</c:v>
                </c:pt>
                <c:pt idx="18">
                  <c:v>1.03934289630393</c:v>
                </c:pt>
                <c:pt idx="19">
                  <c:v>1.03934289630393</c:v>
                </c:pt>
                <c:pt idx="20">
                  <c:v>1.03934289630393</c:v>
                </c:pt>
                <c:pt idx="21">
                  <c:v>1.03934289630393</c:v>
                </c:pt>
                <c:pt idx="22">
                  <c:v>1.03934289630393</c:v>
                </c:pt>
                <c:pt idx="23">
                  <c:v>1.03934289630393</c:v>
                </c:pt>
                <c:pt idx="24">
                  <c:v>1.03934289630393</c:v>
                </c:pt>
                <c:pt idx="25">
                  <c:v>1.03934289630393</c:v>
                </c:pt>
                <c:pt idx="26">
                  <c:v>1.03934289630393</c:v>
                </c:pt>
                <c:pt idx="27">
                  <c:v>1.03934289630393</c:v>
                </c:pt>
                <c:pt idx="28">
                  <c:v>1.03934289630393</c:v>
                </c:pt>
                <c:pt idx="29">
                  <c:v>1.03934289630393</c:v>
                </c:pt>
                <c:pt idx="30">
                  <c:v>1.03934289630393</c:v>
                </c:pt>
                <c:pt idx="31">
                  <c:v>1.03934289630393</c:v>
                </c:pt>
                <c:pt idx="32">
                  <c:v>1.03934289630393</c:v>
                </c:pt>
                <c:pt idx="33">
                  <c:v>1.03934289630393</c:v>
                </c:pt>
                <c:pt idx="34">
                  <c:v>1.03934289630393</c:v>
                </c:pt>
                <c:pt idx="35">
                  <c:v>1.03934289630393</c:v>
                </c:pt>
                <c:pt idx="36">
                  <c:v>1.03934289630393</c:v>
                </c:pt>
                <c:pt idx="37">
                  <c:v>1.03934289630393</c:v>
                </c:pt>
                <c:pt idx="38">
                  <c:v>1.03934289630393</c:v>
                </c:pt>
                <c:pt idx="39">
                  <c:v>1.03934289630393</c:v>
                </c:pt>
                <c:pt idx="40">
                  <c:v>1.03934289630393</c:v>
                </c:pt>
                <c:pt idx="41">
                  <c:v>1.03934289630393</c:v>
                </c:pt>
                <c:pt idx="42">
                  <c:v>1.03934289630393</c:v>
                </c:pt>
                <c:pt idx="43">
                  <c:v>1.03934289630393</c:v>
                </c:pt>
                <c:pt idx="44">
                  <c:v>1.03934289630393</c:v>
                </c:pt>
                <c:pt idx="45">
                  <c:v>1.03934289630393</c:v>
                </c:pt>
                <c:pt idx="46">
                  <c:v>1.03934289630393</c:v>
                </c:pt>
                <c:pt idx="47">
                  <c:v>1.03934289630393</c:v>
                </c:pt>
                <c:pt idx="48">
                  <c:v>1.03934289630393</c:v>
                </c:pt>
                <c:pt idx="49">
                  <c:v>1.03934289630393</c:v>
                </c:pt>
                <c:pt idx="50">
                  <c:v>1.03934289630393</c:v>
                </c:pt>
                <c:pt idx="51">
                  <c:v>1.03934289630393</c:v>
                </c:pt>
                <c:pt idx="52">
                  <c:v>1.03934289630393</c:v>
                </c:pt>
                <c:pt idx="53">
                  <c:v>1.03934289630393</c:v>
                </c:pt>
                <c:pt idx="54">
                  <c:v>1.03934289630393</c:v>
                </c:pt>
                <c:pt idx="55">
                  <c:v>1.03934289630393</c:v>
                </c:pt>
                <c:pt idx="56">
                  <c:v>1.03934289630393</c:v>
                </c:pt>
                <c:pt idx="57">
                  <c:v>1.03934289630393</c:v>
                </c:pt>
                <c:pt idx="58">
                  <c:v>1.03934289630393</c:v>
                </c:pt>
                <c:pt idx="59">
                  <c:v>1.03934289630393</c:v>
                </c:pt>
                <c:pt idx="60">
                  <c:v>1.03934289630393</c:v>
                </c:pt>
                <c:pt idx="61">
                  <c:v>1.03934289630393</c:v>
                </c:pt>
                <c:pt idx="62">
                  <c:v>1.03934289630393</c:v>
                </c:pt>
                <c:pt idx="63">
                  <c:v>1.03934289630393</c:v>
                </c:pt>
                <c:pt idx="64">
                  <c:v>1.03934289630393</c:v>
                </c:pt>
                <c:pt idx="65">
                  <c:v>1.03934289630393</c:v>
                </c:pt>
                <c:pt idx="66">
                  <c:v>1.03934289630393</c:v>
                </c:pt>
                <c:pt idx="67">
                  <c:v>1.03934289630393</c:v>
                </c:pt>
                <c:pt idx="68">
                  <c:v>1.03934289630393</c:v>
                </c:pt>
                <c:pt idx="69">
                  <c:v>1.03934289630393</c:v>
                </c:pt>
                <c:pt idx="70">
                  <c:v>1.03934289630393</c:v>
                </c:pt>
                <c:pt idx="71">
                  <c:v>1.03934289630393</c:v>
                </c:pt>
                <c:pt idx="72">
                  <c:v>1.03934289630393</c:v>
                </c:pt>
                <c:pt idx="73">
                  <c:v>1.03934289630393</c:v>
                </c:pt>
                <c:pt idx="74">
                  <c:v>1.03934289630393</c:v>
                </c:pt>
                <c:pt idx="75">
                  <c:v>1.03934289630393</c:v>
                </c:pt>
                <c:pt idx="76">
                  <c:v>1.03934289630393</c:v>
                </c:pt>
                <c:pt idx="77">
                  <c:v>1.03934289630393</c:v>
                </c:pt>
                <c:pt idx="78">
                  <c:v>1.03934289630393</c:v>
                </c:pt>
                <c:pt idx="79">
                  <c:v>1.03934289630393</c:v>
                </c:pt>
                <c:pt idx="80">
                  <c:v>1.03934289630393</c:v>
                </c:pt>
                <c:pt idx="81">
                  <c:v>1.03934289630393</c:v>
                </c:pt>
                <c:pt idx="82">
                  <c:v>1.03934289630393</c:v>
                </c:pt>
                <c:pt idx="83">
                  <c:v>1.03934289630393</c:v>
                </c:pt>
                <c:pt idx="84">
                  <c:v>1.03934289630393</c:v>
                </c:pt>
                <c:pt idx="85">
                  <c:v>1.03934289630393</c:v>
                </c:pt>
                <c:pt idx="86">
                  <c:v>1.03934289630393</c:v>
                </c:pt>
                <c:pt idx="87">
                  <c:v>1.03934289630393</c:v>
                </c:pt>
                <c:pt idx="88">
                  <c:v>1.03934289630393</c:v>
                </c:pt>
                <c:pt idx="89">
                  <c:v>1.03934289630393</c:v>
                </c:pt>
                <c:pt idx="90">
                  <c:v>1.03934289630393</c:v>
                </c:pt>
                <c:pt idx="91">
                  <c:v>1.03934289630393</c:v>
                </c:pt>
                <c:pt idx="92">
                  <c:v>1.03934289630393</c:v>
                </c:pt>
                <c:pt idx="93">
                  <c:v>1.03934289630393</c:v>
                </c:pt>
                <c:pt idx="94">
                  <c:v>1.03934289630393</c:v>
                </c:pt>
                <c:pt idx="95">
                  <c:v>1.03934289630393</c:v>
                </c:pt>
                <c:pt idx="96">
                  <c:v>1.03934289630393</c:v>
                </c:pt>
                <c:pt idx="97">
                  <c:v>1.03934289630393</c:v>
                </c:pt>
                <c:pt idx="98">
                  <c:v>1.03934289630393</c:v>
                </c:pt>
                <c:pt idx="99">
                  <c:v>1.03934289630393</c:v>
                </c:pt>
                <c:pt idx="100">
                  <c:v>1.03934289630393</c:v>
                </c:pt>
                <c:pt idx="101">
                  <c:v>1.03934289630393</c:v>
                </c:pt>
                <c:pt idx="102">
                  <c:v>1.03934289630393</c:v>
                </c:pt>
                <c:pt idx="103">
                  <c:v>1.03934289630393</c:v>
                </c:pt>
                <c:pt idx="104">
                  <c:v>1.03934289630393</c:v>
                </c:pt>
                <c:pt idx="105">
                  <c:v>1.03934289630393</c:v>
                </c:pt>
                <c:pt idx="106">
                  <c:v>1.03934289630393</c:v>
                </c:pt>
                <c:pt idx="107">
                  <c:v>1.03934289630393</c:v>
                </c:pt>
                <c:pt idx="108">
                  <c:v>1.03934289630393</c:v>
                </c:pt>
                <c:pt idx="109">
                  <c:v>1.03934289630393</c:v>
                </c:pt>
                <c:pt idx="110">
                  <c:v>1.03934289630393</c:v>
                </c:pt>
                <c:pt idx="111">
                  <c:v>1.03934289630393</c:v>
                </c:pt>
                <c:pt idx="112">
                  <c:v>1.03934289630393</c:v>
                </c:pt>
                <c:pt idx="113">
                  <c:v>1.03934289630393</c:v>
                </c:pt>
                <c:pt idx="114">
                  <c:v>1.03934289630393</c:v>
                </c:pt>
                <c:pt idx="115">
                  <c:v>1.03934289630393</c:v>
                </c:pt>
                <c:pt idx="116">
                  <c:v>1.03934289630393</c:v>
                </c:pt>
                <c:pt idx="117">
                  <c:v>1.03934289630393</c:v>
                </c:pt>
                <c:pt idx="118">
                  <c:v>1.03934289630393</c:v>
                </c:pt>
                <c:pt idx="119">
                  <c:v>1.03934289630393</c:v>
                </c:pt>
                <c:pt idx="120">
                  <c:v>1.03934289630393</c:v>
                </c:pt>
                <c:pt idx="121">
                  <c:v>1.03934289630393</c:v>
                </c:pt>
                <c:pt idx="122">
                  <c:v>1.03934289630393</c:v>
                </c:pt>
                <c:pt idx="123">
                  <c:v>1.03934289630393</c:v>
                </c:pt>
                <c:pt idx="124">
                  <c:v>1.03934289630393</c:v>
                </c:pt>
                <c:pt idx="125">
                  <c:v>1.03934289630393</c:v>
                </c:pt>
                <c:pt idx="126">
                  <c:v>1.03934289630393</c:v>
                </c:pt>
                <c:pt idx="127">
                  <c:v>1.03934289630393</c:v>
                </c:pt>
                <c:pt idx="128">
                  <c:v>1.03934289630393</c:v>
                </c:pt>
                <c:pt idx="129">
                  <c:v>1.03934289630393</c:v>
                </c:pt>
                <c:pt idx="130">
                  <c:v>1.03934289630393</c:v>
                </c:pt>
                <c:pt idx="131">
                  <c:v>1.03934289630393</c:v>
                </c:pt>
                <c:pt idx="132">
                  <c:v>1.03934289630393</c:v>
                </c:pt>
                <c:pt idx="133">
                  <c:v>1.03934289630393</c:v>
                </c:pt>
                <c:pt idx="134">
                  <c:v>1.03934289630393</c:v>
                </c:pt>
                <c:pt idx="135">
                  <c:v>1.03934289630393</c:v>
                </c:pt>
                <c:pt idx="136">
                  <c:v>1.03934289630393</c:v>
                </c:pt>
                <c:pt idx="137">
                  <c:v>1.03934289630393</c:v>
                </c:pt>
                <c:pt idx="138">
                  <c:v>1.03934289630393</c:v>
                </c:pt>
                <c:pt idx="139">
                  <c:v>1.03934289630393</c:v>
                </c:pt>
                <c:pt idx="140">
                  <c:v>1.03934289630393</c:v>
                </c:pt>
                <c:pt idx="141">
                  <c:v>1.03934289630393</c:v>
                </c:pt>
                <c:pt idx="142">
                  <c:v>1.03934289630393</c:v>
                </c:pt>
                <c:pt idx="143">
                  <c:v>1.03934289630393</c:v>
                </c:pt>
                <c:pt idx="144">
                  <c:v>1.03934289630393</c:v>
                </c:pt>
                <c:pt idx="145">
                  <c:v>1.03934289630393</c:v>
                </c:pt>
                <c:pt idx="146">
                  <c:v>1.03934289630393</c:v>
                </c:pt>
                <c:pt idx="147">
                  <c:v>1.03934289630393</c:v>
                </c:pt>
                <c:pt idx="148">
                  <c:v>1.03934289630393</c:v>
                </c:pt>
                <c:pt idx="149">
                  <c:v>1.03934289630393</c:v>
                </c:pt>
                <c:pt idx="150">
                  <c:v>1.03934289630393</c:v>
                </c:pt>
                <c:pt idx="151">
                  <c:v>1.03934289630393</c:v>
                </c:pt>
                <c:pt idx="152">
                  <c:v>1.03934289630393</c:v>
                </c:pt>
                <c:pt idx="153">
                  <c:v>1.03934289630393</c:v>
                </c:pt>
                <c:pt idx="154">
                  <c:v>1.03934289630393</c:v>
                </c:pt>
                <c:pt idx="155">
                  <c:v>1.03934289630393</c:v>
                </c:pt>
                <c:pt idx="156">
                  <c:v>1.03934289630393</c:v>
                </c:pt>
                <c:pt idx="157">
                  <c:v>1.03934289630393</c:v>
                </c:pt>
                <c:pt idx="158">
                  <c:v>1.03934289630393</c:v>
                </c:pt>
                <c:pt idx="159">
                  <c:v>1.03934289630393</c:v>
                </c:pt>
                <c:pt idx="160">
                  <c:v>1.03934289630393</c:v>
                </c:pt>
                <c:pt idx="161">
                  <c:v>1.03934289630393</c:v>
                </c:pt>
                <c:pt idx="162">
                  <c:v>1.03934289630393</c:v>
                </c:pt>
                <c:pt idx="163">
                  <c:v>1.03934289630393</c:v>
                </c:pt>
                <c:pt idx="164">
                  <c:v>1.03934289630393</c:v>
                </c:pt>
                <c:pt idx="165">
                  <c:v>1.03934289630393</c:v>
                </c:pt>
                <c:pt idx="166">
                  <c:v>1.03934289630393</c:v>
                </c:pt>
                <c:pt idx="167">
                  <c:v>1.03934289630393</c:v>
                </c:pt>
                <c:pt idx="168">
                  <c:v>1.03934289630393</c:v>
                </c:pt>
                <c:pt idx="169">
                  <c:v>1.03934289630393</c:v>
                </c:pt>
                <c:pt idx="170">
                  <c:v>1.03934289630393</c:v>
                </c:pt>
                <c:pt idx="171">
                  <c:v>1.03934289630393</c:v>
                </c:pt>
                <c:pt idx="172">
                  <c:v>1.03934289630393</c:v>
                </c:pt>
                <c:pt idx="173">
                  <c:v>1.03934289630393</c:v>
                </c:pt>
                <c:pt idx="174">
                  <c:v>1.03934289630393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4F-4836-BC82-38080F196879}"/>
            </c:ext>
          </c:extLst>
        </c:ser>
        <c:ser>
          <c:idx val="1"/>
          <c:order val="1"/>
          <c:tx>
            <c:strRef>
              <c:f>Sheet1!$P$1</c:f>
              <c:strCache>
                <c:ptCount val="1"/>
                <c:pt idx="0">
                  <c:v> LEN/LEN B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Sheet1!$P$2:$P$176</c:f>
              <c:numCache>
                <c:formatCode>_(* #,##0.0000_);_(* \(#,##0.0000\);_(* "-"??_);_(@_)</c:formatCode>
                <c:ptCount val="175"/>
                <c:pt idx="9">
                  <c:v>1.09431415896318</c:v>
                </c:pt>
                <c:pt idx="10">
                  <c:v>1.09594198509923</c:v>
                </c:pt>
                <c:pt idx="11">
                  <c:v>1.09737319954559</c:v>
                </c:pt>
                <c:pt idx="12">
                  <c:v>1.0979431822486501</c:v>
                </c:pt>
                <c:pt idx="13">
                  <c:v>1.0981248203453799</c:v>
                </c:pt>
                <c:pt idx="14">
                  <c:v>1.0966799098372999</c:v>
                </c:pt>
                <c:pt idx="15">
                  <c:v>1.0931631620751201</c:v>
                </c:pt>
                <c:pt idx="16">
                  <c:v>1.0906307689785</c:v>
                </c:pt>
                <c:pt idx="17">
                  <c:v>1.08783386571743</c:v>
                </c:pt>
                <c:pt idx="18">
                  <c:v>1.0835360504117499</c:v>
                </c:pt>
                <c:pt idx="19">
                  <c:v>1.08133068496073</c:v>
                </c:pt>
                <c:pt idx="20">
                  <c:v>1.07785627627289</c:v>
                </c:pt>
                <c:pt idx="21">
                  <c:v>1.07702793944167</c:v>
                </c:pt>
                <c:pt idx="22">
                  <c:v>1.07518846495987</c:v>
                </c:pt>
                <c:pt idx="23">
                  <c:v>1.0753408244252101</c:v>
                </c:pt>
                <c:pt idx="24">
                  <c:v>1.07513557193386</c:v>
                </c:pt>
                <c:pt idx="25">
                  <c:v>1.07569852445405</c:v>
                </c:pt>
                <c:pt idx="26">
                  <c:v>1.0754177675066201</c:v>
                </c:pt>
                <c:pt idx="27">
                  <c:v>1.0751470783727299</c:v>
                </c:pt>
                <c:pt idx="28">
                  <c:v>1.0768764040361101</c:v>
                </c:pt>
                <c:pt idx="29">
                  <c:v>1.07591551603888</c:v>
                </c:pt>
                <c:pt idx="30">
                  <c:v>1.07526961859463</c:v>
                </c:pt>
                <c:pt idx="31">
                  <c:v>1.0736806026605501</c:v>
                </c:pt>
                <c:pt idx="32">
                  <c:v>1.0733378208679001</c:v>
                </c:pt>
                <c:pt idx="33">
                  <c:v>1.07218630387572</c:v>
                </c:pt>
                <c:pt idx="34">
                  <c:v>1.0731581424141501</c:v>
                </c:pt>
                <c:pt idx="35">
                  <c:v>1.0733796394833901</c:v>
                </c:pt>
                <c:pt idx="36">
                  <c:v>1.0721605160187799</c:v>
                </c:pt>
                <c:pt idx="37">
                  <c:v>1.0706116462272199</c:v>
                </c:pt>
                <c:pt idx="38">
                  <c:v>1.0697029340200399</c:v>
                </c:pt>
                <c:pt idx="39">
                  <c:v>1.06914286764787</c:v>
                </c:pt>
                <c:pt idx="40">
                  <c:v>1.06958372132795</c:v>
                </c:pt>
                <c:pt idx="41">
                  <c:v>1.0689851746710299</c:v>
                </c:pt>
                <c:pt idx="42">
                  <c:v>1.06846350043534</c:v>
                </c:pt>
                <c:pt idx="43">
                  <c:v>1.06763961941082</c:v>
                </c:pt>
                <c:pt idx="44">
                  <c:v>1.0661531029699101</c:v>
                </c:pt>
                <c:pt idx="45">
                  <c:v>1.06519614087634</c:v>
                </c:pt>
                <c:pt idx="46">
                  <c:v>1.0650502701814999</c:v>
                </c:pt>
                <c:pt idx="47">
                  <c:v>1.06438512567286</c:v>
                </c:pt>
                <c:pt idx="48">
                  <c:v>1.06305304942131</c:v>
                </c:pt>
                <c:pt idx="49">
                  <c:v>1.06275928487372</c:v>
                </c:pt>
                <c:pt idx="50">
                  <c:v>1.0630219390478399</c:v>
                </c:pt>
                <c:pt idx="51">
                  <c:v>1.0632329676754699</c:v>
                </c:pt>
                <c:pt idx="52">
                  <c:v>1.0629836471618599</c:v>
                </c:pt>
                <c:pt idx="53">
                  <c:v>1.06153870782639</c:v>
                </c:pt>
                <c:pt idx="54">
                  <c:v>1.0603278235842699</c:v>
                </c:pt>
                <c:pt idx="55">
                  <c:v>1.05844216378568</c:v>
                </c:pt>
                <c:pt idx="56">
                  <c:v>1.0566095666030799</c:v>
                </c:pt>
                <c:pt idx="57">
                  <c:v>1.05551393335602</c:v>
                </c:pt>
                <c:pt idx="58">
                  <c:v>1.05439550512535</c:v>
                </c:pt>
                <c:pt idx="59">
                  <c:v>1.0519354546605</c:v>
                </c:pt>
                <c:pt idx="60">
                  <c:v>1.04792976177009</c:v>
                </c:pt>
                <c:pt idx="61">
                  <c:v>1.0440391704371399</c:v>
                </c:pt>
                <c:pt idx="62">
                  <c:v>1.04049856941413</c:v>
                </c:pt>
                <c:pt idx="63">
                  <c:v>1.0379071300195699</c:v>
                </c:pt>
                <c:pt idx="64">
                  <c:v>1.0356633066510199</c:v>
                </c:pt>
                <c:pt idx="65">
                  <c:v>1.03323353333523</c:v>
                </c:pt>
                <c:pt idx="66">
                  <c:v>1.03125849090361</c:v>
                </c:pt>
                <c:pt idx="67">
                  <c:v>1.0293795949061399</c:v>
                </c:pt>
                <c:pt idx="68">
                  <c:v>1.0274392872439</c:v>
                </c:pt>
                <c:pt idx="69">
                  <c:v>1.0262879366484301</c:v>
                </c:pt>
                <c:pt idx="70">
                  <c:v>1.02580803333515</c:v>
                </c:pt>
                <c:pt idx="71">
                  <c:v>1.02565965057464</c:v>
                </c:pt>
                <c:pt idx="72">
                  <c:v>1.02601457374191</c:v>
                </c:pt>
                <c:pt idx="73">
                  <c:v>1.0260058572161499</c:v>
                </c:pt>
                <c:pt idx="74">
                  <c:v>1.02589333446426</c:v>
                </c:pt>
                <c:pt idx="75">
                  <c:v>1.0265792856062801</c:v>
                </c:pt>
                <c:pt idx="76">
                  <c:v>1.0263983739526099</c:v>
                </c:pt>
                <c:pt idx="77">
                  <c:v>1.02647225989119</c:v>
                </c:pt>
                <c:pt idx="78">
                  <c:v>1.0262092455413501</c:v>
                </c:pt>
                <c:pt idx="79">
                  <c:v>1.0263036537272801</c:v>
                </c:pt>
                <c:pt idx="80">
                  <c:v>1.0264977426530399</c:v>
                </c:pt>
                <c:pt idx="81">
                  <c:v>1.0262125820713299</c:v>
                </c:pt>
                <c:pt idx="82">
                  <c:v>1.0257635640885201</c:v>
                </c:pt>
                <c:pt idx="83">
                  <c:v>1.0262175439632</c:v>
                </c:pt>
                <c:pt idx="84">
                  <c:v>1.02586952038546</c:v>
                </c:pt>
                <c:pt idx="85">
                  <c:v>1.0258210095295099</c:v>
                </c:pt>
                <c:pt idx="86">
                  <c:v>1.0272205915461099</c:v>
                </c:pt>
                <c:pt idx="87">
                  <c:v>1.02709371326966</c:v>
                </c:pt>
                <c:pt idx="88">
                  <c:v>1.0272023351892401</c:v>
                </c:pt>
                <c:pt idx="89">
                  <c:v>1.0267711681243099</c:v>
                </c:pt>
                <c:pt idx="90">
                  <c:v>1.0262093361431699</c:v>
                </c:pt>
                <c:pt idx="91">
                  <c:v>1.0264147060736</c:v>
                </c:pt>
                <c:pt idx="92">
                  <c:v>1.0264004109196101</c:v>
                </c:pt>
                <c:pt idx="93">
                  <c:v>1.02548162407493</c:v>
                </c:pt>
                <c:pt idx="94">
                  <c:v>1.02522530829201</c:v>
                </c:pt>
                <c:pt idx="95">
                  <c:v>1.0240030363314701</c:v>
                </c:pt>
                <c:pt idx="96">
                  <c:v>1.0224576845014299</c:v>
                </c:pt>
                <c:pt idx="97">
                  <c:v>1.02214736654373</c:v>
                </c:pt>
                <c:pt idx="98">
                  <c:v>1.0215660856473301</c:v>
                </c:pt>
                <c:pt idx="99">
                  <c:v>1.02229378970944</c:v>
                </c:pt>
                <c:pt idx="100">
                  <c:v>1.02237399502691</c:v>
                </c:pt>
                <c:pt idx="101">
                  <c:v>1.02192625147205</c:v>
                </c:pt>
                <c:pt idx="102">
                  <c:v>1.0220336789051701</c:v>
                </c:pt>
                <c:pt idx="103">
                  <c:v>1.0220783221115799</c:v>
                </c:pt>
                <c:pt idx="104">
                  <c:v>1.02203243344387</c:v>
                </c:pt>
                <c:pt idx="105">
                  <c:v>1.0227891691578599</c:v>
                </c:pt>
                <c:pt idx="106">
                  <c:v>1.0227849817983701</c:v>
                </c:pt>
                <c:pt idx="107">
                  <c:v>1.0223559936739599</c:v>
                </c:pt>
                <c:pt idx="108">
                  <c:v>1.02218219034209</c:v>
                </c:pt>
                <c:pt idx="109">
                  <c:v>1.0215279282788801</c:v>
                </c:pt>
                <c:pt idx="110">
                  <c:v>1.0212355724566899</c:v>
                </c:pt>
                <c:pt idx="111">
                  <c:v>1.02133940718321</c:v>
                </c:pt>
                <c:pt idx="112">
                  <c:v>1.02083666858035</c:v>
                </c:pt>
                <c:pt idx="113">
                  <c:v>1.0213264198809799</c:v>
                </c:pt>
                <c:pt idx="114">
                  <c:v>1.02118536957388</c:v>
                </c:pt>
                <c:pt idx="115">
                  <c:v>1.02146525726112</c:v>
                </c:pt>
                <c:pt idx="116">
                  <c:v>1.02199417598502</c:v>
                </c:pt>
                <c:pt idx="117">
                  <c:v>1.02280192388046</c:v>
                </c:pt>
                <c:pt idx="118">
                  <c:v>1.02290572895286</c:v>
                </c:pt>
                <c:pt idx="119">
                  <c:v>1.0229390193868999</c:v>
                </c:pt>
                <c:pt idx="120">
                  <c:v>1.02252812591016</c:v>
                </c:pt>
                <c:pt idx="121">
                  <c:v>1.02269920004291</c:v>
                </c:pt>
                <c:pt idx="122">
                  <c:v>1.0226359099284701</c:v>
                </c:pt>
                <c:pt idx="123">
                  <c:v>1.02259282784167</c:v>
                </c:pt>
                <c:pt idx="124">
                  <c:v>1.0228243586796</c:v>
                </c:pt>
                <c:pt idx="125">
                  <c:v>1.02221892090988</c:v>
                </c:pt>
                <c:pt idx="126">
                  <c:v>1.0216489906178901</c:v>
                </c:pt>
                <c:pt idx="127">
                  <c:v>1.0213592673253</c:v>
                </c:pt>
                <c:pt idx="128">
                  <c:v>1.0214390468255401</c:v>
                </c:pt>
                <c:pt idx="129">
                  <c:v>1.0211894445678</c:v>
                </c:pt>
                <c:pt idx="130">
                  <c:v>1.02145892891523</c:v>
                </c:pt>
                <c:pt idx="131">
                  <c:v>1.0210909394457599</c:v>
                </c:pt>
                <c:pt idx="132">
                  <c:v>1.02135058833807</c:v>
                </c:pt>
                <c:pt idx="133">
                  <c:v>1.0209341687703699</c:v>
                </c:pt>
                <c:pt idx="134">
                  <c:v>1.02077863622856</c:v>
                </c:pt>
                <c:pt idx="135">
                  <c:v>1.02067048256237</c:v>
                </c:pt>
                <c:pt idx="136">
                  <c:v>1.0204258149360801</c:v>
                </c:pt>
                <c:pt idx="137">
                  <c:v>1.0199481171236799</c:v>
                </c:pt>
                <c:pt idx="138">
                  <c:v>1.0196627199908499</c:v>
                </c:pt>
                <c:pt idx="139">
                  <c:v>1.0196534227560301</c:v>
                </c:pt>
                <c:pt idx="140">
                  <c:v>1.0197099883062499</c:v>
                </c:pt>
                <c:pt idx="141">
                  <c:v>1.01964959614141</c:v>
                </c:pt>
                <c:pt idx="142">
                  <c:v>1.0198928041692501</c:v>
                </c:pt>
                <c:pt idx="143">
                  <c:v>1.02036782399506</c:v>
                </c:pt>
                <c:pt idx="144">
                  <c:v>1.0203192122901501</c:v>
                </c:pt>
                <c:pt idx="145">
                  <c:v>1.0205843890688999</c:v>
                </c:pt>
                <c:pt idx="146">
                  <c:v>1.0206910284686801</c:v>
                </c:pt>
                <c:pt idx="147">
                  <c:v>1.02039589620967</c:v>
                </c:pt>
                <c:pt idx="148">
                  <c:v>1.020498300698</c:v>
                </c:pt>
                <c:pt idx="149">
                  <c:v>1.02038978466012</c:v>
                </c:pt>
                <c:pt idx="150">
                  <c:v>1.02042454731249</c:v>
                </c:pt>
                <c:pt idx="151">
                  <c:v>1.02021408179899</c:v>
                </c:pt>
                <c:pt idx="152">
                  <c:v>1.01983846758869</c:v>
                </c:pt>
                <c:pt idx="153">
                  <c:v>1.0194087093818101</c:v>
                </c:pt>
                <c:pt idx="154">
                  <c:v>1.0190862178044799</c:v>
                </c:pt>
                <c:pt idx="155">
                  <c:v>1.0189675805532801</c:v>
                </c:pt>
                <c:pt idx="156">
                  <c:v>1.01880710627879</c:v>
                </c:pt>
                <c:pt idx="157">
                  <c:v>1.0188065188837601</c:v>
                </c:pt>
                <c:pt idx="158">
                  <c:v>1.0188418773910599</c:v>
                </c:pt>
                <c:pt idx="159">
                  <c:v>1.01866578796199</c:v>
                </c:pt>
                <c:pt idx="160">
                  <c:v>1.0181441259284501</c:v>
                </c:pt>
                <c:pt idx="161">
                  <c:v>1.01838942655575</c:v>
                </c:pt>
                <c:pt idx="162">
                  <c:v>1.0180545009617701</c:v>
                </c:pt>
                <c:pt idx="163">
                  <c:v>1.0180395212342499</c:v>
                </c:pt>
                <c:pt idx="164">
                  <c:v>1.0179418881373199</c:v>
                </c:pt>
                <c:pt idx="165">
                  <c:v>1.0181389680358499</c:v>
                </c:pt>
                <c:pt idx="166">
                  <c:v>1.0180728937961201</c:v>
                </c:pt>
                <c:pt idx="167">
                  <c:v>1.0181483039707799</c:v>
                </c:pt>
                <c:pt idx="168">
                  <c:v>1.01820726753892</c:v>
                </c:pt>
                <c:pt idx="169">
                  <c:v>1.0181335392630699</c:v>
                </c:pt>
                <c:pt idx="170">
                  <c:v>1.01829154233514</c:v>
                </c:pt>
                <c:pt idx="171">
                  <c:v>1.0185400178458399</c:v>
                </c:pt>
                <c:pt idx="172">
                  <c:v>1.0184914238049501</c:v>
                </c:pt>
                <c:pt idx="173">
                  <c:v>1.0182014549051399</c:v>
                </c:pt>
                <c:pt idx="174">
                  <c:v>1.01825486491842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4F-4836-BC82-38080F196879}"/>
            </c:ext>
          </c:extLst>
        </c:ser>
        <c:ser>
          <c:idx val="2"/>
          <c:order val="2"/>
          <c:tx>
            <c:strRef>
              <c:f>Sheet1!$Q$1</c:f>
              <c:strCache>
                <c:ptCount val="1"/>
                <c:pt idx="0">
                  <c:v> LEN/LEN B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Sheet1!$Q$2:$Q$176</c:f>
              <c:numCache>
                <c:formatCode>_(* #,##0.0000_);_(* \(#,##0.0000\);_(* "-"??_);_(@_)</c:formatCode>
                <c:ptCount val="175"/>
                <c:pt idx="19">
                  <c:v>1.0878224219619499</c:v>
                </c:pt>
                <c:pt idx="20">
                  <c:v>1.08689913068606</c:v>
                </c:pt>
                <c:pt idx="21">
                  <c:v>1.08720056949363</c:v>
                </c:pt>
                <c:pt idx="22">
                  <c:v>1.0865658236042599</c:v>
                </c:pt>
                <c:pt idx="23">
                  <c:v>1.0867328223852899</c:v>
                </c:pt>
                <c:pt idx="24">
                  <c:v>1.08590774088558</c:v>
                </c:pt>
                <c:pt idx="25">
                  <c:v>1.0844308432645799</c:v>
                </c:pt>
                <c:pt idx="26">
                  <c:v>1.0830242682425599</c:v>
                </c:pt>
                <c:pt idx="27">
                  <c:v>1.08149047204508</c:v>
                </c:pt>
                <c:pt idx="28">
                  <c:v>1.0802062272239299</c:v>
                </c:pt>
                <c:pt idx="29">
                  <c:v>1.0786231004998099</c:v>
                </c:pt>
                <c:pt idx="30">
                  <c:v>1.0765629474337599</c:v>
                </c:pt>
                <c:pt idx="31">
                  <c:v>1.0753542710511099</c:v>
                </c:pt>
                <c:pt idx="32">
                  <c:v>1.07426314291389</c:v>
                </c:pt>
                <c:pt idx="33">
                  <c:v>1.0737635641504699</c:v>
                </c:pt>
                <c:pt idx="34">
                  <c:v>1.07414685717401</c:v>
                </c:pt>
                <c:pt idx="35">
                  <c:v>1.0745390819687199</c:v>
                </c:pt>
                <c:pt idx="36">
                  <c:v>1.0737891417626999</c:v>
                </c:pt>
                <c:pt idx="37">
                  <c:v>1.0728793622999799</c:v>
                </c:pt>
                <c:pt idx="38">
                  <c:v>1.07328966902808</c:v>
                </c:pt>
                <c:pt idx="39">
                  <c:v>1.0725291918433799</c:v>
                </c:pt>
                <c:pt idx="40">
                  <c:v>1.0724266699612901</c:v>
                </c:pt>
                <c:pt idx="41">
                  <c:v>1.07133288866579</c:v>
                </c:pt>
                <c:pt idx="42">
                  <c:v>1.07090066065162</c:v>
                </c:pt>
                <c:pt idx="43">
                  <c:v>1.0699129616432701</c:v>
                </c:pt>
                <c:pt idx="44">
                  <c:v>1.06965562269203</c:v>
                </c:pt>
                <c:pt idx="45">
                  <c:v>1.0692878901798699</c:v>
                </c:pt>
                <c:pt idx="46">
                  <c:v>1.06860539310014</c:v>
                </c:pt>
                <c:pt idx="47">
                  <c:v>1.06749838595004</c:v>
                </c:pt>
                <c:pt idx="48">
                  <c:v>1.0663779917206699</c:v>
                </c:pt>
                <c:pt idx="49">
                  <c:v>1.06595107626079</c:v>
                </c:pt>
                <c:pt idx="50">
                  <c:v>1.0663028301878901</c:v>
                </c:pt>
                <c:pt idx="51">
                  <c:v>1.0661090711732499</c:v>
                </c:pt>
                <c:pt idx="52">
                  <c:v>1.0657235737985999</c:v>
                </c:pt>
                <c:pt idx="53">
                  <c:v>1.06458916361861</c:v>
                </c:pt>
                <c:pt idx="54">
                  <c:v>1.06324046327709</c:v>
                </c:pt>
                <c:pt idx="55">
                  <c:v>1.0618191523310101</c:v>
                </c:pt>
                <c:pt idx="56">
                  <c:v>1.06082991839229</c:v>
                </c:pt>
                <c:pt idx="57">
                  <c:v>1.0599495295144401</c:v>
                </c:pt>
                <c:pt idx="58">
                  <c:v>1.0587242772733301</c:v>
                </c:pt>
                <c:pt idx="59">
                  <c:v>1.0573473697671101</c:v>
                </c:pt>
                <c:pt idx="60">
                  <c:v>1.0554758504089601</c:v>
                </c:pt>
                <c:pt idx="61">
                  <c:v>1.05363606905631</c:v>
                </c:pt>
                <c:pt idx="62">
                  <c:v>1.0517411082879899</c:v>
                </c:pt>
                <c:pt idx="63">
                  <c:v>1.04972291892298</c:v>
                </c:pt>
                <c:pt idx="64">
                  <c:v>1.04799556511765</c:v>
                </c:pt>
                <c:pt idx="65">
                  <c:v>1.04583784856046</c:v>
                </c:pt>
                <c:pt idx="66">
                  <c:v>1.0439340287533501</c:v>
                </c:pt>
                <c:pt idx="67">
                  <c:v>1.04244676413108</c:v>
                </c:pt>
                <c:pt idx="68">
                  <c:v>1.0409173961846301</c:v>
                </c:pt>
                <c:pt idx="69">
                  <c:v>1.0391116956544699</c:v>
                </c:pt>
                <c:pt idx="70">
                  <c:v>1.0368688975526199</c:v>
                </c:pt>
                <c:pt idx="71">
                  <c:v>1.0348494105058901</c:v>
                </c:pt>
                <c:pt idx="72">
                  <c:v>1.03325657157802</c:v>
                </c:pt>
                <c:pt idx="73">
                  <c:v>1.03195649361786</c:v>
                </c:pt>
                <c:pt idx="74">
                  <c:v>1.03077832055764</c:v>
                </c:pt>
                <c:pt idx="75">
                  <c:v>1.02990640947076</c:v>
                </c:pt>
                <c:pt idx="76">
                  <c:v>1.0288284324281101</c:v>
                </c:pt>
                <c:pt idx="77">
                  <c:v>1.0279259273986701</c:v>
                </c:pt>
                <c:pt idx="78">
                  <c:v>1.0268242663926299</c:v>
                </c:pt>
                <c:pt idx="79">
                  <c:v>1.02629579518786</c:v>
                </c:pt>
                <c:pt idx="80">
                  <c:v>1.0261528879941</c:v>
                </c:pt>
                <c:pt idx="81">
                  <c:v>1.0259361163229801</c:v>
                </c:pt>
                <c:pt idx="82">
                  <c:v>1.02588906891521</c:v>
                </c:pt>
                <c:pt idx="83">
                  <c:v>1.0261117005896701</c:v>
                </c:pt>
                <c:pt idx="84">
                  <c:v>1.02588142742486</c:v>
                </c:pt>
                <c:pt idx="85">
                  <c:v>1.0262001475678899</c:v>
                </c:pt>
                <c:pt idx="86">
                  <c:v>1.0268094827493599</c:v>
                </c:pt>
                <c:pt idx="87">
                  <c:v>1.0267829865804201</c:v>
                </c:pt>
                <c:pt idx="88">
                  <c:v>1.0267057903652901</c:v>
                </c:pt>
                <c:pt idx="89">
                  <c:v>1.0265374109257901</c:v>
                </c:pt>
                <c:pt idx="90">
                  <c:v>1.0263535393981</c:v>
                </c:pt>
                <c:pt idx="91">
                  <c:v>1.0263136440724601</c:v>
                </c:pt>
                <c:pt idx="92">
                  <c:v>1.0260819875040601</c:v>
                </c:pt>
                <c:pt idx="93">
                  <c:v>1.02584958401907</c:v>
                </c:pt>
                <c:pt idx="94">
                  <c:v>1.02554741433873</c:v>
                </c:pt>
                <c:pt idx="95">
                  <c:v>1.02491202293049</c:v>
                </c:pt>
                <c:pt idx="96">
                  <c:v>1.02483913802377</c:v>
                </c:pt>
                <c:pt idx="97">
                  <c:v>1.0246205399066901</c:v>
                </c:pt>
                <c:pt idx="98">
                  <c:v>1.0243842104182801</c:v>
                </c:pt>
                <c:pt idx="99">
                  <c:v>1.0245324789168699</c:v>
                </c:pt>
                <c:pt idx="100">
                  <c:v>1.02429166558504</c:v>
                </c:pt>
                <c:pt idx="101">
                  <c:v>1.0241704787728201</c:v>
                </c:pt>
                <c:pt idx="102">
                  <c:v>1.02421704491239</c:v>
                </c:pt>
                <c:pt idx="103">
                  <c:v>1.02377997309325</c:v>
                </c:pt>
                <c:pt idx="104">
                  <c:v>1.02362887086794</c:v>
                </c:pt>
                <c:pt idx="105">
                  <c:v>1.0233961027446701</c:v>
                </c:pt>
                <c:pt idx="106">
                  <c:v>1.0226213331498999</c:v>
                </c:pt>
                <c:pt idx="107">
                  <c:v>1.0222516801088399</c:v>
                </c:pt>
                <c:pt idx="108">
                  <c:v>1.0218741379947101</c:v>
                </c:pt>
                <c:pt idx="109">
                  <c:v>1.0219108589941599</c:v>
                </c:pt>
                <c:pt idx="110">
                  <c:v>1.0218047837418001</c:v>
                </c:pt>
                <c:pt idx="111">
                  <c:v>1.02163282932763</c:v>
                </c:pt>
                <c:pt idx="112">
                  <c:v>1.02143517374276</c:v>
                </c:pt>
                <c:pt idx="113">
                  <c:v>1.02170237099628</c:v>
                </c:pt>
                <c:pt idx="114">
                  <c:v>1.0216089015088701</c:v>
                </c:pt>
                <c:pt idx="115">
                  <c:v>1.0221272132094901</c:v>
                </c:pt>
                <c:pt idx="116">
                  <c:v>1.0223895788916899</c:v>
                </c:pt>
                <c:pt idx="117">
                  <c:v>1.0225789587772101</c:v>
                </c:pt>
                <c:pt idx="118">
                  <c:v>1.0225439596474699</c:v>
                </c:pt>
                <c:pt idx="119">
                  <c:v>1.02223347383289</c:v>
                </c:pt>
                <c:pt idx="120">
                  <c:v>1.0218818491834201</c:v>
                </c:pt>
                <c:pt idx="121">
                  <c:v>1.02201930361306</c:v>
                </c:pt>
                <c:pt idx="122">
                  <c:v>1.02173628925441</c:v>
                </c:pt>
                <c:pt idx="123">
                  <c:v>1.02195962386132</c:v>
                </c:pt>
                <c:pt idx="124">
                  <c:v>1.0220048641267401</c:v>
                </c:pt>
                <c:pt idx="125">
                  <c:v>1.0218420890855</c:v>
                </c:pt>
                <c:pt idx="126">
                  <c:v>1.0218215833014499</c:v>
                </c:pt>
                <c:pt idx="127">
                  <c:v>1.02208059560288</c:v>
                </c:pt>
                <c:pt idx="128">
                  <c:v>1.0221723878892</c:v>
                </c:pt>
                <c:pt idx="129">
                  <c:v>1.0220642319773501</c:v>
                </c:pt>
                <c:pt idx="130">
                  <c:v>1.0219935274126899</c:v>
                </c:pt>
                <c:pt idx="131">
                  <c:v>1.0218950697443401</c:v>
                </c:pt>
                <c:pt idx="132">
                  <c:v>1.0219932491332699</c:v>
                </c:pt>
                <c:pt idx="133">
                  <c:v>1.02176349830602</c:v>
                </c:pt>
                <c:pt idx="134">
                  <c:v>1.0218014974540801</c:v>
                </c:pt>
                <c:pt idx="135">
                  <c:v>1.0214447017361199</c:v>
                </c:pt>
                <c:pt idx="136">
                  <c:v>1.02103740277698</c:v>
                </c:pt>
                <c:pt idx="137">
                  <c:v>1.02065369222449</c:v>
                </c:pt>
                <c:pt idx="138">
                  <c:v>1.02055088340819</c:v>
                </c:pt>
                <c:pt idx="139">
                  <c:v>1.02042143366192</c:v>
                </c:pt>
                <c:pt idx="140">
                  <c:v>1.02058445861074</c:v>
                </c:pt>
                <c:pt idx="141">
                  <c:v>1.02037026779358</c:v>
                </c:pt>
                <c:pt idx="142">
                  <c:v>1.0206216962536601</c:v>
                </c:pt>
                <c:pt idx="143">
                  <c:v>1.02065099638271</c:v>
                </c:pt>
                <c:pt idx="144">
                  <c:v>1.0205489242593599</c:v>
                </c:pt>
                <c:pt idx="145">
                  <c:v>1.02062743581563</c:v>
                </c:pt>
                <c:pt idx="146">
                  <c:v>1.02055842170238</c:v>
                </c:pt>
                <c:pt idx="147">
                  <c:v>1.02017200666668</c:v>
                </c:pt>
                <c:pt idx="148">
                  <c:v>1.0200805103444199</c:v>
                </c:pt>
                <c:pt idx="149">
                  <c:v>1.02002160370807</c:v>
                </c:pt>
                <c:pt idx="150">
                  <c:v>1.0200672678093701</c:v>
                </c:pt>
                <c:pt idx="151">
                  <c:v>1.0199318389701999</c:v>
                </c:pt>
                <c:pt idx="152">
                  <c:v>1.0198656358789699</c:v>
                </c:pt>
                <c:pt idx="153">
                  <c:v>1.0198882666884299</c:v>
                </c:pt>
                <c:pt idx="154">
                  <c:v>1.0197027150473199</c:v>
                </c:pt>
                <c:pt idx="155">
                  <c:v>1.0197759848110901</c:v>
                </c:pt>
                <c:pt idx="156">
                  <c:v>1.0197490673737299</c:v>
                </c:pt>
                <c:pt idx="157">
                  <c:v>1.01960120754671</c:v>
                </c:pt>
                <c:pt idx="158">
                  <c:v>1.01967008904453</c:v>
                </c:pt>
                <c:pt idx="159">
                  <c:v>1.0195277863110499</c:v>
                </c:pt>
                <c:pt idx="160">
                  <c:v>1.01928433662047</c:v>
                </c:pt>
                <c:pt idx="161">
                  <c:v>1.0193017541773699</c:v>
                </c:pt>
                <c:pt idx="162">
                  <c:v>1.01894648427523</c:v>
                </c:pt>
                <c:pt idx="163">
                  <c:v>1.01872411530803</c:v>
                </c:pt>
                <c:pt idx="164">
                  <c:v>1.0185140529709</c:v>
                </c:pt>
                <c:pt idx="165">
                  <c:v>1.01855327429456</c:v>
                </c:pt>
                <c:pt idx="166">
                  <c:v>1.0184400000374501</c:v>
                </c:pt>
                <c:pt idx="167">
                  <c:v>1.0184774114272701</c:v>
                </c:pt>
                <c:pt idx="168">
                  <c:v>1.0185245724649901</c:v>
                </c:pt>
                <c:pt idx="169">
                  <c:v>1.0183996636125301</c:v>
                </c:pt>
                <c:pt idx="170">
                  <c:v>1.01821783413179</c:v>
                </c:pt>
                <c:pt idx="171">
                  <c:v>1.0184647222008001</c:v>
                </c:pt>
                <c:pt idx="172">
                  <c:v>1.01827296238336</c:v>
                </c:pt>
                <c:pt idx="173">
                  <c:v>1.0181204880696999</c:v>
                </c:pt>
                <c:pt idx="174">
                  <c:v>1.0180983765278699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24F-4836-BC82-38080F1968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6993888"/>
        <c:axId val="254732912"/>
      </c:lineChart>
      <c:catAx>
        <c:axId val="168699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732912"/>
        <c:crosses val="autoZero"/>
        <c:auto val="1"/>
        <c:lblAlgn val="ctr"/>
        <c:lblOffset val="100"/>
        <c:noMultiLvlLbl val="0"/>
      </c:catAx>
      <c:valAx>
        <c:axId val="25473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99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Sheet1!$AF$1</c:f>
              <c:strCache>
                <c:ptCount val="1"/>
                <c:pt idx="0">
                  <c:v>log diff LEN B* x 10 dma / LEN*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Sheet1!$AF$2:$AF$176</c:f>
              <c:numCache>
                <c:formatCode>0.0000%</c:formatCode>
                <c:ptCount val="175"/>
                <c:pt idx="10">
                  <c:v>-1.1127979061860801E-2</c:v>
                </c:pt>
                <c:pt idx="11">
                  <c:v>2.67484551223943E-3</c:v>
                </c:pt>
                <c:pt idx="12">
                  <c:v>6.1236398046844599E-3</c:v>
                </c:pt>
                <c:pt idx="13">
                  <c:v>1.44704849814034E-2</c:v>
                </c:pt>
                <c:pt idx="14">
                  <c:v>2.5051728363926301E-2</c:v>
                </c:pt>
                <c:pt idx="15">
                  <c:v>2.7857343569919299E-2</c:v>
                </c:pt>
                <c:pt idx="16">
                  <c:v>1.3519825771131399E-2</c:v>
                </c:pt>
                <c:pt idx="17">
                  <c:v>8.2017045042843597E-3</c:v>
                </c:pt>
                <c:pt idx="18">
                  <c:v>2.28274595752294E-2</c:v>
                </c:pt>
                <c:pt idx="19">
                  <c:v>3.3675330441195698E-3</c:v>
                </c:pt>
                <c:pt idx="20">
                  <c:v>8.8383797833751707E-3</c:v>
                </c:pt>
                <c:pt idx="21">
                  <c:v>-6.3579446625137799E-3</c:v>
                </c:pt>
                <c:pt idx="22">
                  <c:v>4.4189847068418003E-3</c:v>
                </c:pt>
                <c:pt idx="23">
                  <c:v>-7.8790647393100106E-3</c:v>
                </c:pt>
                <c:pt idx="24">
                  <c:v>6.0037423420664197E-3</c:v>
                </c:pt>
                <c:pt idx="25">
                  <c:v>2.7523872964046602E-3</c:v>
                </c:pt>
                <c:pt idx="26">
                  <c:v>2.1241101038498002E-5</c:v>
                </c:pt>
                <c:pt idx="27">
                  <c:v>-3.3397780581294299E-3</c:v>
                </c:pt>
                <c:pt idx="28">
                  <c:v>-5.0366941287789601E-3</c:v>
                </c:pt>
                <c:pt idx="29">
                  <c:v>6.1401648569155498E-3</c:v>
                </c:pt>
                <c:pt idx="30">
                  <c:v>9.8623535658781403E-3</c:v>
                </c:pt>
                <c:pt idx="31">
                  <c:v>5.9966487098358197E-3</c:v>
                </c:pt>
                <c:pt idx="32">
                  <c:v>4.5080860649137997E-3</c:v>
                </c:pt>
                <c:pt idx="33">
                  <c:v>1.0809380100260399E-3</c:v>
                </c:pt>
                <c:pt idx="34">
                  <c:v>-5.9849090341410997E-3</c:v>
                </c:pt>
                <c:pt idx="35">
                  <c:v>-1.1522688547016299E-3</c:v>
                </c:pt>
                <c:pt idx="36">
                  <c:v>9.2614867497833094E-3</c:v>
                </c:pt>
                <c:pt idx="37">
                  <c:v>8.0852966289923604E-3</c:v>
                </c:pt>
                <c:pt idx="38">
                  <c:v>-8.1896938568876295E-4</c:v>
                </c:pt>
                <c:pt idx="39">
                  <c:v>4.7031243382957399E-3</c:v>
                </c:pt>
                <c:pt idx="40">
                  <c:v>-5.8186644326061702E-4</c:v>
                </c:pt>
                <c:pt idx="41">
                  <c:v>6.3104367017655302E-3</c:v>
                </c:pt>
                <c:pt idx="42">
                  <c:v>5.0179377543411504E-3</c:v>
                </c:pt>
                <c:pt idx="43">
                  <c:v>4.2431768971609501E-3</c:v>
                </c:pt>
                <c:pt idx="44">
                  <c:v>3.6429685288237E-3</c:v>
                </c:pt>
                <c:pt idx="45">
                  <c:v>1.2457206917279001E-3</c:v>
                </c:pt>
                <c:pt idx="46">
                  <c:v>2.9807978001455001E-3</c:v>
                </c:pt>
                <c:pt idx="47">
                  <c:v>7.7052892715758596E-3</c:v>
                </c:pt>
                <c:pt idx="48">
                  <c:v>5.8581358929396497E-3</c:v>
                </c:pt>
                <c:pt idx="49">
                  <c:v>1.2301349569646099E-3</c:v>
                </c:pt>
                <c:pt idx="50">
                  <c:v>-9.0227523617491603E-3</c:v>
                </c:pt>
                <c:pt idx="51">
                  <c:v>-1.8268717557899999E-3</c:v>
                </c:pt>
                <c:pt idx="52">
                  <c:v>1.9692047970193902E-3</c:v>
                </c:pt>
                <c:pt idx="53">
                  <c:v>1.2775352765903299E-2</c:v>
                </c:pt>
                <c:pt idx="54">
                  <c:v>9.3605571900723106E-3</c:v>
                </c:pt>
                <c:pt idx="55">
                  <c:v>1.36342053692929E-2</c:v>
                </c:pt>
                <c:pt idx="56">
                  <c:v>1.40263062597246E-2</c:v>
                </c:pt>
                <c:pt idx="57">
                  <c:v>1.01693799509519E-2</c:v>
                </c:pt>
                <c:pt idx="58">
                  <c:v>8.1143693920366303E-3</c:v>
                </c:pt>
                <c:pt idx="59">
                  <c:v>1.6495249125539901E-2</c:v>
                </c:pt>
                <c:pt idx="60">
                  <c:v>1.8808763372190399E-2</c:v>
                </c:pt>
                <c:pt idx="61">
                  <c:v>2.10905274769305E-2</c:v>
                </c:pt>
                <c:pt idx="62">
                  <c:v>1.7687292807049299E-2</c:v>
                </c:pt>
                <c:pt idx="63">
                  <c:v>1.6397966745437299E-2</c:v>
                </c:pt>
                <c:pt idx="64">
                  <c:v>8.4145582039821393E-3</c:v>
                </c:pt>
                <c:pt idx="65">
                  <c:v>1.3602115512005601E-2</c:v>
                </c:pt>
                <c:pt idx="66">
                  <c:v>9.0261867910251294E-3</c:v>
                </c:pt>
                <c:pt idx="67">
                  <c:v>4.0113937661682298E-3</c:v>
                </c:pt>
                <c:pt idx="68">
                  <c:v>1.7490987129130499E-3</c:v>
                </c:pt>
                <c:pt idx="69">
                  <c:v>1.76042936336035E-3</c:v>
                </c:pt>
                <c:pt idx="70">
                  <c:v>-1.2150899430996599E-3</c:v>
                </c:pt>
                <c:pt idx="71">
                  <c:v>1.20178037842675E-3</c:v>
                </c:pt>
                <c:pt idx="72">
                  <c:v>-3.5279585860704698E-3</c:v>
                </c:pt>
                <c:pt idx="73">
                  <c:v>2.4650871103336501E-3</c:v>
                </c:pt>
                <c:pt idx="74">
                  <c:v>-2.0244066313527599E-3</c:v>
                </c:pt>
                <c:pt idx="75">
                  <c:v>-2.5677734884472598E-3</c:v>
                </c:pt>
                <c:pt idx="76">
                  <c:v>4.3335079651060397E-3</c:v>
                </c:pt>
                <c:pt idx="77">
                  <c:v>-1.4316333714070499E-3</c:v>
                </c:pt>
                <c:pt idx="78">
                  <c:v>1.48357675612209E-3</c:v>
                </c:pt>
                <c:pt idx="79">
                  <c:v>-3.5754385557370302E-4</c:v>
                </c:pt>
                <c:pt idx="80">
                  <c:v>-3.0868715208826202E-3</c:v>
                </c:pt>
                <c:pt idx="81">
                  <c:v>4.6609976825297298E-3</c:v>
                </c:pt>
                <c:pt idx="82">
                  <c:v>1.3829659137287E-3</c:v>
                </c:pt>
                <c:pt idx="83">
                  <c:v>-2.2053927625039701E-3</c:v>
                </c:pt>
                <c:pt idx="84">
                  <c:v>1.5727993194475101E-3</c:v>
                </c:pt>
                <c:pt idx="85">
                  <c:v>-2.1192236426385699E-3</c:v>
                </c:pt>
                <c:pt idx="86">
                  <c:v>-1.00051725914073E-2</c:v>
                </c:pt>
                <c:pt idx="87">
                  <c:v>6.04261007011134E-4</c:v>
                </c:pt>
                <c:pt idx="88">
                  <c:v>1.02960391680731E-3</c:v>
                </c:pt>
                <c:pt idx="89">
                  <c:v>4.8186086461094804E-3</c:v>
                </c:pt>
                <c:pt idx="90">
                  <c:v>2.8409558663896701E-3</c:v>
                </c:pt>
                <c:pt idx="91">
                  <c:v>2.3719813497464601E-3</c:v>
                </c:pt>
                <c:pt idx="92">
                  <c:v>1.71941029622194E-3</c:v>
                </c:pt>
                <c:pt idx="93">
                  <c:v>7.3928133534878499E-3</c:v>
                </c:pt>
                <c:pt idx="94">
                  <c:v>3.3601638766714102E-3</c:v>
                </c:pt>
                <c:pt idx="95">
                  <c:v>9.2131294090027297E-3</c:v>
                </c:pt>
                <c:pt idx="96">
                  <c:v>3.24794780018773E-3</c:v>
                </c:pt>
                <c:pt idx="97">
                  <c:v>-1.0158639085286001E-3</c:v>
                </c:pt>
                <c:pt idx="98">
                  <c:v>1.8835148008587801E-3</c:v>
                </c:pt>
                <c:pt idx="99">
                  <c:v>-7.77682278260364E-3</c:v>
                </c:pt>
                <c:pt idx="100">
                  <c:v>-2.3122752530384898E-3</c:v>
                </c:pt>
                <c:pt idx="101">
                  <c:v>3.0106281542200499E-3</c:v>
                </c:pt>
                <c:pt idx="102">
                  <c:v>-3.7110034223056801E-3</c:v>
                </c:pt>
                <c:pt idx="103">
                  <c:v>2.6912431734024802E-3</c:v>
                </c:pt>
                <c:pt idx="104">
                  <c:v>4.8500049155796498E-4</c:v>
                </c:pt>
                <c:pt idx="105">
                  <c:v>-1.32791792117512E-3</c:v>
                </c:pt>
                <c:pt idx="106">
                  <c:v>2.1028569289648102E-3</c:v>
                </c:pt>
                <c:pt idx="107">
                  <c:v>3.50439825719699E-3</c:v>
                </c:pt>
                <c:pt idx="108">
                  <c:v>3.7926336210379599E-3</c:v>
                </c:pt>
                <c:pt idx="109">
                  <c:v>-7.98740970467962E-4</c:v>
                </c:pt>
                <c:pt idx="110">
                  <c:v>-2.0444032823773001E-4</c:v>
                </c:pt>
                <c:pt idx="111">
                  <c:v>8.7833134584520403E-4</c:v>
                </c:pt>
                <c:pt idx="112">
                  <c:v>6.2792619603197397E-4</c:v>
                </c:pt>
                <c:pt idx="113">
                  <c:v>-3.2739839849719901E-3</c:v>
                </c:pt>
                <c:pt idx="114">
                  <c:v>1.13072743065011E-3</c:v>
                </c:pt>
                <c:pt idx="115">
                  <c:v>-4.8882378591907803E-3</c:v>
                </c:pt>
                <c:pt idx="116">
                  <c:v>-4.3612361287449801E-3</c:v>
                </c:pt>
                <c:pt idx="117">
                  <c:v>-5.1631080618835899E-3</c:v>
                </c:pt>
                <c:pt idx="118">
                  <c:v>3.2100268562860498E-3</c:v>
                </c:pt>
                <c:pt idx="119">
                  <c:v>-4.1652121452517599E-4</c:v>
                </c:pt>
                <c:pt idx="120">
                  <c:v>5.2055877981317901E-3</c:v>
                </c:pt>
                <c:pt idx="121">
                  <c:v>4.6797097051400998E-4</c:v>
                </c:pt>
                <c:pt idx="122">
                  <c:v>2.5786817978627899E-3</c:v>
                </c:pt>
                <c:pt idx="123">
                  <c:v>-1.0922827431683599E-3</c:v>
                </c:pt>
                <c:pt idx="124">
                  <c:v>1.0296780713588199E-4</c:v>
                </c:pt>
                <c:pt idx="125">
                  <c:v>2.63279922667254E-3</c:v>
                </c:pt>
                <c:pt idx="126">
                  <c:v>1.9470616923035399E-3</c:v>
                </c:pt>
                <c:pt idx="127">
                  <c:v>-2.6766543602692499E-3</c:v>
                </c:pt>
                <c:pt idx="128">
                  <c:v>1.0163254502555299E-3</c:v>
                </c:pt>
                <c:pt idx="129">
                  <c:v>5.9070381328745999E-4</c:v>
                </c:pt>
                <c:pt idx="130">
                  <c:v>8.4912037616662105E-4</c:v>
                </c:pt>
                <c:pt idx="131">
                  <c:v>3.0287852154375801E-3</c:v>
                </c:pt>
                <c:pt idx="132">
                  <c:v>-1.5373007533689201E-3</c:v>
                </c:pt>
                <c:pt idx="133">
                  <c:v>1.7259270428164901E-3</c:v>
                </c:pt>
                <c:pt idx="134">
                  <c:v>1.91498042119309E-6</c:v>
                </c:pt>
                <c:pt idx="135">
                  <c:v>1.6914764537037301E-3</c:v>
                </c:pt>
                <c:pt idx="136">
                  <c:v>2.83217210774994E-3</c:v>
                </c:pt>
                <c:pt idx="137">
                  <c:v>7.9953311108917101E-4</c:v>
                </c:pt>
                <c:pt idx="138">
                  <c:v>2.4347787307193699E-3</c:v>
                </c:pt>
                <c:pt idx="139">
                  <c:v>-1.0587746041471899E-3</c:v>
                </c:pt>
                <c:pt idx="140">
                  <c:v>-1.21039691529937E-3</c:v>
                </c:pt>
                <c:pt idx="141">
                  <c:v>1.9083228070858099E-3</c:v>
                </c:pt>
                <c:pt idx="142">
                  <c:v>-5.3252326088949501E-3</c:v>
                </c:pt>
                <c:pt idx="143">
                  <c:v>-4.3505164280731E-3</c:v>
                </c:pt>
                <c:pt idx="144">
                  <c:v>-7.6707296496747899E-5</c:v>
                </c:pt>
                <c:pt idx="145">
                  <c:v>-1.3575041741974E-3</c:v>
                </c:pt>
                <c:pt idx="146">
                  <c:v>1.70060635941638E-3</c:v>
                </c:pt>
                <c:pt idx="147">
                  <c:v>3.9581609240971604E-3</c:v>
                </c:pt>
                <c:pt idx="148">
                  <c:v>1.8677457910115901E-3</c:v>
                </c:pt>
                <c:pt idx="149">
                  <c:v>8.2403150144786199E-4</c:v>
                </c:pt>
                <c:pt idx="150">
                  <c:v>-8.2894452853174503E-4</c:v>
                </c:pt>
                <c:pt idx="151">
                  <c:v>4.6788824926535504E-3</c:v>
                </c:pt>
                <c:pt idx="152">
                  <c:v>-1.1008556762215199E-3</c:v>
                </c:pt>
                <c:pt idx="153">
                  <c:v>-1.9950255338771499E-4</c:v>
                </c:pt>
                <c:pt idx="154">
                  <c:v>2.1481854435388098E-3</c:v>
                </c:pt>
                <c:pt idx="155">
                  <c:v>-1.4048311270532701E-3</c:v>
                </c:pt>
                <c:pt idx="156">
                  <c:v>1.69144574373609E-3</c:v>
                </c:pt>
                <c:pt idx="157">
                  <c:v>2.1165010837212099E-3</c:v>
                </c:pt>
                <c:pt idx="158">
                  <c:v>-3.81821476308539E-5</c:v>
                </c:pt>
                <c:pt idx="159">
                  <c:v>9.2800064813525196E-4</c:v>
                </c:pt>
                <c:pt idx="160">
                  <c:v>2.6013144338330801E-3</c:v>
                </c:pt>
                <c:pt idx="161">
                  <c:v>2.9334936496732E-5</c:v>
                </c:pt>
                <c:pt idx="162">
                  <c:v>3.9371258758722399E-4</c:v>
                </c:pt>
                <c:pt idx="163">
                  <c:v>-1.80343339521993E-3</c:v>
                </c:pt>
                <c:pt idx="164">
                  <c:v>1.7644256757754001E-3</c:v>
                </c:pt>
                <c:pt idx="165">
                  <c:v>-4.4576710175808403E-3</c:v>
                </c:pt>
                <c:pt idx="166">
                  <c:v>1.52767840361906E-3</c:v>
                </c:pt>
                <c:pt idx="167">
                  <c:v>6.5410793611835603E-4</c:v>
                </c:pt>
                <c:pt idx="168">
                  <c:v>-1.26301750845727E-3</c:v>
                </c:pt>
                <c:pt idx="169">
                  <c:v>1.0295150179438701E-3</c:v>
                </c:pt>
                <c:pt idx="170">
                  <c:v>5.2477121714608697E-4</c:v>
                </c:pt>
                <c:pt idx="171">
                  <c:v>-2.2634593336194799E-3</c:v>
                </c:pt>
                <c:pt idx="172">
                  <c:v>1.01904114388326E-3</c:v>
                </c:pt>
                <c:pt idx="173">
                  <c:v>1.4728311983541701E-3</c:v>
                </c:pt>
                <c:pt idx="174">
                  <c:v>1.39805286467873E-3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01-47CC-AAD0-329CC15FABE0}"/>
            </c:ext>
          </c:extLst>
        </c:ser>
        <c:ser>
          <c:idx val="2"/>
          <c:order val="1"/>
          <c:tx>
            <c:strRef>
              <c:f>Sheet1!$AG$1</c:f>
              <c:strCache>
                <c:ptCount val="1"/>
                <c:pt idx="0">
                  <c:v>log diff LEN B* x 20 dma / LEN*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Sheet1!$AG$2:$AG$176</c:f>
              <c:numCache>
                <c:formatCode>0.0000%</c:formatCode>
                <c:ptCount val="175"/>
                <c:pt idx="20">
                  <c:v>1.48239013787191E-2</c:v>
                </c:pt>
                <c:pt idx="21">
                  <c:v>1.9967239376216402E-3</c:v>
                </c:pt>
                <c:pt idx="22">
                  <c:v>1.3819752626265801E-2</c:v>
                </c:pt>
                <c:pt idx="23">
                  <c:v>2.6470748455270999E-3</c:v>
                </c:pt>
                <c:pt idx="24">
                  <c:v>1.6541869387054299E-2</c:v>
                </c:pt>
                <c:pt idx="25">
                  <c:v>1.2721885000547601E-2</c:v>
                </c:pt>
                <c:pt idx="26">
                  <c:v>8.1062812923739496E-3</c:v>
                </c:pt>
                <c:pt idx="27">
                  <c:v>3.7083910367464099E-3</c:v>
                </c:pt>
                <c:pt idx="28">
                  <c:v>8.4599298700868198E-4</c:v>
                </c:pt>
                <c:pt idx="29">
                  <c:v>9.2275067922368507E-3</c:v>
                </c:pt>
                <c:pt idx="30">
                  <c:v>1.2375732407616099E-2</c:v>
                </c:pt>
                <c:pt idx="31">
                  <c:v>7.1987208554871096E-3</c:v>
                </c:pt>
                <c:pt idx="32">
                  <c:v>6.0656864085944203E-3</c:v>
                </c:pt>
                <c:pt idx="33">
                  <c:v>1.9426642979632799E-3</c:v>
                </c:pt>
                <c:pt idx="34">
                  <c:v>-4.5149207718228499E-3</c:v>
                </c:pt>
                <c:pt idx="35">
                  <c:v>-2.3137980548402999E-4</c:v>
                </c:pt>
                <c:pt idx="36">
                  <c:v>1.03410830923851E-2</c:v>
                </c:pt>
                <c:pt idx="37">
                  <c:v>9.6031570789790605E-3</c:v>
                </c:pt>
                <c:pt idx="38">
                  <c:v>1.29694051063848E-3</c:v>
                </c:pt>
                <c:pt idx="39">
                  <c:v>8.0505351992517394E-3</c:v>
                </c:pt>
                <c:pt idx="40">
                  <c:v>2.5804543261686301E-3</c:v>
                </c:pt>
                <c:pt idx="41">
                  <c:v>8.96490589970525E-3</c:v>
                </c:pt>
                <c:pt idx="42">
                  <c:v>7.2117378035568497E-3</c:v>
                </c:pt>
                <c:pt idx="43">
                  <c:v>6.5215746705818596E-3</c:v>
                </c:pt>
                <c:pt idx="44">
                  <c:v>5.7700208499869704E-3</c:v>
                </c:pt>
                <c:pt idx="45">
                  <c:v>4.5255301800936299E-3</c:v>
                </c:pt>
                <c:pt idx="46">
                  <c:v>6.8147494775576897E-3</c:v>
                </c:pt>
                <c:pt idx="47">
                  <c:v>1.10377165885155E-2</c:v>
                </c:pt>
                <c:pt idx="48">
                  <c:v>8.7788043753354306E-3</c:v>
                </c:pt>
                <c:pt idx="49">
                  <c:v>4.3529832082084803E-3</c:v>
                </c:pt>
                <c:pt idx="50">
                  <c:v>-6.0239472285664496E-3</c:v>
                </c:pt>
                <c:pt idx="51">
                  <c:v>1.25475654615653E-3</c:v>
                </c:pt>
                <c:pt idx="52">
                  <c:v>4.6706075724821799E-3</c:v>
                </c:pt>
                <c:pt idx="53">
                  <c:v>1.5349617674527799E-2</c:v>
                </c:pt>
                <c:pt idx="54">
                  <c:v>1.2230053353784799E-2</c:v>
                </c:pt>
                <c:pt idx="55">
                  <c:v>1.6377363229850499E-2</c:v>
                </c:pt>
                <c:pt idx="56">
                  <c:v>1.7211754558204201E-2</c:v>
                </c:pt>
                <c:pt idx="57">
                  <c:v>1.41556637694264E-2</c:v>
                </c:pt>
                <c:pt idx="58">
                  <c:v>1.2307873781448E-2</c:v>
                </c:pt>
                <c:pt idx="59">
                  <c:v>2.0592298653158501E-2</c:v>
                </c:pt>
                <c:pt idx="60">
                  <c:v>2.3940296156465798E-2</c:v>
                </c:pt>
                <c:pt idx="61">
                  <c:v>2.8265673316211899E-2</c:v>
                </c:pt>
                <c:pt idx="62">
                  <c:v>2.6837389443709801E-2</c:v>
                </c:pt>
                <c:pt idx="63">
                  <c:v>2.7144964043109801E-2</c:v>
                </c:pt>
                <c:pt idx="64">
                  <c:v>1.9734490184179498E-2</c:v>
                </c:pt>
                <c:pt idx="65">
                  <c:v>2.5439372208592801E-2</c:v>
                </c:pt>
                <c:pt idx="66">
                  <c:v>2.1151282404684901E-2</c:v>
                </c:pt>
                <c:pt idx="67">
                  <c:v>1.6227798144344899E-2</c:v>
                </c:pt>
                <c:pt idx="68">
                  <c:v>1.43634207958078E-2</c:v>
                </c:pt>
                <c:pt idx="69">
                  <c:v>1.47932875987226E-2</c:v>
                </c:pt>
                <c:pt idx="70">
                  <c:v>1.1202772047258299E-2</c:v>
                </c:pt>
                <c:pt idx="71">
                  <c:v>1.1926649670961201E-2</c:v>
                </c:pt>
                <c:pt idx="72">
                  <c:v>5.3919933200895402E-3</c:v>
                </c:pt>
                <c:pt idx="73">
                  <c:v>9.4986705298454408E-3</c:v>
                </c:pt>
                <c:pt idx="74">
                  <c:v>3.7586466723827702E-3</c:v>
                </c:pt>
                <c:pt idx="75">
                  <c:v>2.1826155858076599E-3</c:v>
                </c:pt>
                <c:pt idx="76">
                  <c:v>7.5692482139762896E-3</c:v>
                </c:pt>
                <c:pt idx="77">
                  <c:v>9.3312715077299095E-4</c:v>
                </c:pt>
                <c:pt idx="78">
                  <c:v>2.8987529951572202E-3</c:v>
                </c:pt>
                <c:pt idx="79">
                  <c:v>2.41589929722181E-4</c:v>
                </c:pt>
                <c:pt idx="80">
                  <c:v>-3.0945286791536899E-3</c:v>
                </c:pt>
                <c:pt idx="81">
                  <c:v>4.3249885662788598E-3</c:v>
                </c:pt>
                <c:pt idx="82">
                  <c:v>1.11352564340902E-3</c:v>
                </c:pt>
                <c:pt idx="83">
                  <c:v>-2.0830476590149899E-3</c:v>
                </c:pt>
                <c:pt idx="84">
                  <c:v>1.4696546861950499E-3</c:v>
                </c:pt>
                <c:pt idx="85">
                  <c:v>-2.1076169323642302E-3</c:v>
                </c:pt>
                <c:pt idx="86">
                  <c:v>-9.6356461453558691E-3</c:v>
                </c:pt>
                <c:pt idx="87">
                  <c:v>2.03966184275771E-4</c:v>
                </c:pt>
                <c:pt idx="88">
                  <c:v>7.2702811795037397E-4</c:v>
                </c:pt>
                <c:pt idx="89">
                  <c:v>4.3350964310901498E-3</c:v>
                </c:pt>
                <c:pt idx="90">
                  <c:v>2.6132675375076602E-3</c:v>
                </c:pt>
                <c:pt idx="91">
                  <c:v>2.5124917885669001E-3</c:v>
                </c:pt>
                <c:pt idx="92">
                  <c:v>1.6209442705433601E-3</c:v>
                </c:pt>
                <c:pt idx="93">
                  <c:v>7.0825320878885999E-3</c:v>
                </c:pt>
                <c:pt idx="94">
                  <c:v>3.7189162289306501E-3</c:v>
                </c:pt>
                <c:pt idx="95">
                  <c:v>9.5272608052486898E-3</c:v>
                </c:pt>
                <c:pt idx="96">
                  <c:v>4.13523363914425E-3</c:v>
                </c:pt>
                <c:pt idx="97">
                  <c:v>1.31057412452802E-3</c:v>
                </c:pt>
                <c:pt idx="98">
                  <c:v>4.3001782230648999E-3</c:v>
                </c:pt>
                <c:pt idx="99">
                  <c:v>-5.0219889446274403E-3</c:v>
                </c:pt>
                <c:pt idx="100">
                  <c:v>-1.24800786412349E-4</c:v>
                </c:pt>
                <c:pt idx="101">
                  <c:v>4.8845747945755798E-3</c:v>
                </c:pt>
                <c:pt idx="102">
                  <c:v>-1.5173356767181399E-3</c:v>
                </c:pt>
                <c:pt idx="103">
                  <c:v>4.8252600955686403E-3</c:v>
                </c:pt>
                <c:pt idx="104">
                  <c:v>2.1485090327622398E-3</c:v>
                </c:pt>
                <c:pt idx="105">
                  <c:v>2.3288566326768199E-4</c:v>
                </c:pt>
                <c:pt idx="106">
                  <c:v>2.6960911907269302E-3</c:v>
                </c:pt>
                <c:pt idx="107">
                  <c:v>3.3443824719476601E-3</c:v>
                </c:pt>
                <c:pt idx="108">
                  <c:v>3.6905958887658999E-3</c:v>
                </c:pt>
                <c:pt idx="109">
                  <c:v>-1.10015374999147E-3</c:v>
                </c:pt>
                <c:pt idx="110">
                  <c:v>1.7035016917962801E-4</c:v>
                </c:pt>
                <c:pt idx="111">
                  <c:v>1.43555117570021E-3</c:v>
                </c:pt>
                <c:pt idx="112">
                  <c:v>9.1517644955142795E-4</c:v>
                </c:pt>
                <c:pt idx="113">
                  <c:v>-2.68786692930478E-3</c:v>
                </c:pt>
                <c:pt idx="114">
                  <c:v>1.49876054033907E-3</c:v>
                </c:pt>
                <c:pt idx="115">
                  <c:v>-4.4735784418854403E-3</c:v>
                </c:pt>
                <c:pt idx="116">
                  <c:v>-3.71340053423242E-3</c:v>
                </c:pt>
                <c:pt idx="117">
                  <c:v>-4.7762893829888997E-3</c:v>
                </c:pt>
                <c:pt idx="118">
                  <c:v>2.9920086807762101E-3</c:v>
                </c:pt>
                <c:pt idx="119">
                  <c:v>-7.7025204562032102E-4</c:v>
                </c:pt>
                <c:pt idx="120">
                  <c:v>4.5156258664684097E-3</c:v>
                </c:pt>
                <c:pt idx="121">
                  <c:v>-1.64266942753882E-4</c:v>
                </c:pt>
                <c:pt idx="122">
                  <c:v>1.9136548479988401E-3</c:v>
                </c:pt>
                <c:pt idx="123">
                  <c:v>-1.97237760308549E-3</c:v>
                </c:pt>
                <c:pt idx="124">
                  <c:v>-5.1643816610046902E-4</c:v>
                </c:pt>
                <c:pt idx="125">
                  <c:v>1.83127058301536E-3</c:v>
                </c:pt>
                <c:pt idx="126">
                  <c:v>1.57835270875925E-3</c:v>
                </c:pt>
                <c:pt idx="127">
                  <c:v>-2.5077332256308099E-3</c:v>
                </c:pt>
                <c:pt idx="128">
                  <c:v>1.7223196129648099E-3</c:v>
                </c:pt>
                <c:pt idx="129">
                  <c:v>1.3083951343280001E-3</c:v>
                </c:pt>
                <c:pt idx="130">
                  <c:v>1.70538944646545E-3</c:v>
                </c:pt>
                <c:pt idx="131">
                  <c:v>3.5520158959493702E-3</c:v>
                </c:pt>
                <c:pt idx="132">
                  <c:v>-7.5008993891482599E-4</c:v>
                </c:pt>
                <c:pt idx="133">
                  <c:v>2.3549556033587598E-3</c:v>
                </c:pt>
                <c:pt idx="134">
                  <c:v>8.1390942735725703E-4</c:v>
                </c:pt>
                <c:pt idx="135">
                  <c:v>2.6930149433374798E-3</c:v>
                </c:pt>
                <c:pt idx="136">
                  <c:v>3.5904243520928701E-3</c:v>
                </c:pt>
                <c:pt idx="137">
                  <c:v>1.3986992914006399E-3</c:v>
                </c:pt>
                <c:pt idx="138">
                  <c:v>3.1263150468181602E-3</c:v>
                </c:pt>
                <c:pt idx="139">
                  <c:v>-1.8811726515891901E-4</c:v>
                </c:pt>
                <c:pt idx="140">
                  <c:v>-4.5747263925786301E-4</c:v>
                </c:pt>
                <c:pt idx="141">
                  <c:v>2.7655229620494799E-3</c:v>
                </c:pt>
                <c:pt idx="142">
                  <c:v>-4.6186986237209101E-3</c:v>
                </c:pt>
                <c:pt idx="143">
                  <c:v>-3.63609649597839E-3</c:v>
                </c:pt>
                <c:pt idx="144">
                  <c:v>2.00774112929517E-4</c:v>
                </c:pt>
                <c:pt idx="145">
                  <c:v>-1.1323921583259399E-3</c:v>
                </c:pt>
                <c:pt idx="146">
                  <c:v>1.74278399743987E-3</c:v>
                </c:pt>
                <c:pt idx="147">
                  <c:v>3.82823386743416E-3</c:v>
                </c:pt>
                <c:pt idx="148">
                  <c:v>1.64830732627814E-3</c:v>
                </c:pt>
                <c:pt idx="149">
                  <c:v>4.1454929262133098E-4</c:v>
                </c:pt>
                <c:pt idx="150">
                  <c:v>-1.18983347292778E-3</c:v>
                </c:pt>
                <c:pt idx="151">
                  <c:v>4.3286928921624796E-3</c:v>
                </c:pt>
                <c:pt idx="152">
                  <c:v>-1.37754454216392E-3</c:v>
                </c:pt>
                <c:pt idx="153">
                  <c:v>-1.72863110704801E-4</c:v>
                </c:pt>
                <c:pt idx="154">
                  <c:v>2.6185017545925201E-3</c:v>
                </c:pt>
                <c:pt idx="155">
                  <c:v>-8.0006302016925402E-4</c:v>
                </c:pt>
                <c:pt idx="156">
                  <c:v>2.4844874130384499E-3</c:v>
                </c:pt>
                <c:pt idx="157">
                  <c:v>3.0406464903201401E-3</c:v>
                </c:pt>
                <c:pt idx="158">
                  <c:v>7.4153301231092003E-4</c:v>
                </c:pt>
                <c:pt idx="159">
                  <c:v>1.7405656099067099E-3</c:v>
                </c:pt>
                <c:pt idx="160">
                  <c:v>3.4471599034074799E-3</c:v>
                </c:pt>
                <c:pt idx="161">
                  <c:v>1.1485995703383899E-3</c:v>
                </c:pt>
                <c:pt idx="162">
                  <c:v>1.2891649419055E-3</c:v>
                </c:pt>
                <c:pt idx="163">
                  <c:v>-9.2765240449967903E-4</c:v>
                </c:pt>
                <c:pt idx="164">
                  <c:v>2.4366628340559398E-3</c:v>
                </c:pt>
                <c:pt idx="165">
                  <c:v>-3.8957488693211399E-3</c:v>
                </c:pt>
                <c:pt idx="166">
                  <c:v>1.93452069016378E-3</c:v>
                </c:pt>
                <c:pt idx="167">
                  <c:v>1.0146322877381E-3</c:v>
                </c:pt>
                <c:pt idx="168">
                  <c:v>-9.3982856228804E-4</c:v>
                </c:pt>
                <c:pt idx="169">
                  <c:v>1.34109744858508E-3</c:v>
                </c:pt>
                <c:pt idx="170">
                  <c:v>7.8612158511494096E-4</c:v>
                </c:pt>
                <c:pt idx="171">
                  <c:v>-2.3358461384427802E-3</c:v>
                </c:pt>
                <c:pt idx="172">
                  <c:v>9.4511333841348596E-4</c:v>
                </c:pt>
                <c:pt idx="173">
                  <c:v>1.25831308923117E-3</c:v>
                </c:pt>
                <c:pt idx="174">
                  <c:v>1.31853023735818E-3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01-47CC-AAD0-329CC15FAB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644688"/>
        <c:axId val="205301072"/>
      </c:lineChart>
      <c:catAx>
        <c:axId val="1679644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01072"/>
        <c:crosses val="autoZero"/>
        <c:auto val="1"/>
        <c:lblAlgn val="ctr"/>
        <c:lblOffset val="100"/>
        <c:noMultiLvlLbl val="0"/>
      </c:catAx>
      <c:valAx>
        <c:axId val="20530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64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Sheet1!$Y$1</c:f>
              <c:strCache>
                <c:ptCount val="1"/>
                <c:pt idx="0">
                  <c:v> LEN*/LEN B*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Sheet1!$Y$2:$Y$176</c:f>
              <c:numCache>
                <c:formatCode>_(* #,##0.0000_);_(* \(#,##0.0000\);_(* "-"??_);_(@_)</c:formatCode>
                <c:ptCount val="175"/>
                <c:pt idx="0">
                  <c:v>1.03934289630393</c:v>
                </c:pt>
                <c:pt idx="1">
                  <c:v>1.03934289630393</c:v>
                </c:pt>
                <c:pt idx="2">
                  <c:v>1.03934289630393</c:v>
                </c:pt>
                <c:pt idx="3">
                  <c:v>1.03934289630393</c:v>
                </c:pt>
                <c:pt idx="4">
                  <c:v>1.03934289630393</c:v>
                </c:pt>
                <c:pt idx="5">
                  <c:v>1.03934289630393</c:v>
                </c:pt>
                <c:pt idx="6">
                  <c:v>1.03934289630393</c:v>
                </c:pt>
                <c:pt idx="7">
                  <c:v>1.03934289630393</c:v>
                </c:pt>
                <c:pt idx="8">
                  <c:v>1.03934289630393</c:v>
                </c:pt>
                <c:pt idx="9">
                  <c:v>1.03934289630393</c:v>
                </c:pt>
                <c:pt idx="10">
                  <c:v>1.03934289630393</c:v>
                </c:pt>
                <c:pt idx="11">
                  <c:v>1.03934289630393</c:v>
                </c:pt>
                <c:pt idx="12">
                  <c:v>1.03934289630393</c:v>
                </c:pt>
                <c:pt idx="13">
                  <c:v>1.03934289630393</c:v>
                </c:pt>
                <c:pt idx="14">
                  <c:v>1.03934289630393</c:v>
                </c:pt>
                <c:pt idx="15">
                  <c:v>1.03934289630393</c:v>
                </c:pt>
                <c:pt idx="16">
                  <c:v>1.03934289630393</c:v>
                </c:pt>
                <c:pt idx="17">
                  <c:v>1.03934289630393</c:v>
                </c:pt>
                <c:pt idx="18">
                  <c:v>1.03934289630393</c:v>
                </c:pt>
                <c:pt idx="19">
                  <c:v>1.03934289630393</c:v>
                </c:pt>
                <c:pt idx="20">
                  <c:v>1.03934289630393</c:v>
                </c:pt>
                <c:pt idx="21">
                  <c:v>1.03934289630393</c:v>
                </c:pt>
                <c:pt idx="22">
                  <c:v>1.03934289630393</c:v>
                </c:pt>
                <c:pt idx="23">
                  <c:v>1.03934289630393</c:v>
                </c:pt>
                <c:pt idx="24">
                  <c:v>1.03934289630393</c:v>
                </c:pt>
                <c:pt idx="25">
                  <c:v>1.03934289630393</c:v>
                </c:pt>
                <c:pt idx="26">
                  <c:v>1.03934289630393</c:v>
                </c:pt>
                <c:pt idx="27">
                  <c:v>1.03934289630393</c:v>
                </c:pt>
                <c:pt idx="28">
                  <c:v>1.03934289630393</c:v>
                </c:pt>
                <c:pt idx="29">
                  <c:v>1.03934289630393</c:v>
                </c:pt>
                <c:pt idx="30">
                  <c:v>1.03934289630393</c:v>
                </c:pt>
                <c:pt idx="31">
                  <c:v>1.03934289630393</c:v>
                </c:pt>
                <c:pt idx="32">
                  <c:v>1.03934289630393</c:v>
                </c:pt>
                <c:pt idx="33">
                  <c:v>1.03934289630393</c:v>
                </c:pt>
                <c:pt idx="34">
                  <c:v>1.03934289630393</c:v>
                </c:pt>
                <c:pt idx="35">
                  <c:v>1.03934289630393</c:v>
                </c:pt>
                <c:pt idx="36">
                  <c:v>1.03934289630393</c:v>
                </c:pt>
                <c:pt idx="37">
                  <c:v>1.03934289630393</c:v>
                </c:pt>
                <c:pt idx="38">
                  <c:v>1.03934289630393</c:v>
                </c:pt>
                <c:pt idx="39">
                  <c:v>1.03934289630393</c:v>
                </c:pt>
                <c:pt idx="40">
                  <c:v>1.03934289630393</c:v>
                </c:pt>
                <c:pt idx="41">
                  <c:v>1.03934289630393</c:v>
                </c:pt>
                <c:pt idx="42">
                  <c:v>1.03934289630393</c:v>
                </c:pt>
                <c:pt idx="43">
                  <c:v>1.03934289630393</c:v>
                </c:pt>
                <c:pt idx="44">
                  <c:v>1.03934289630393</c:v>
                </c:pt>
                <c:pt idx="45">
                  <c:v>1.03934289630393</c:v>
                </c:pt>
                <c:pt idx="46">
                  <c:v>1.03934289630393</c:v>
                </c:pt>
                <c:pt idx="47">
                  <c:v>1.03934289630393</c:v>
                </c:pt>
                <c:pt idx="48">
                  <c:v>1.03934289630393</c:v>
                </c:pt>
                <c:pt idx="49">
                  <c:v>1.03934289630393</c:v>
                </c:pt>
                <c:pt idx="50">
                  <c:v>1.03934289630393</c:v>
                </c:pt>
                <c:pt idx="51">
                  <c:v>1.03934289630393</c:v>
                </c:pt>
                <c:pt idx="52">
                  <c:v>1.03934289630393</c:v>
                </c:pt>
                <c:pt idx="53">
                  <c:v>1.03934289630393</c:v>
                </c:pt>
                <c:pt idx="54">
                  <c:v>1.03934289630393</c:v>
                </c:pt>
                <c:pt idx="55">
                  <c:v>1.03934289630393</c:v>
                </c:pt>
                <c:pt idx="56">
                  <c:v>1.03934289630393</c:v>
                </c:pt>
                <c:pt idx="57">
                  <c:v>1.03934289630393</c:v>
                </c:pt>
                <c:pt idx="58">
                  <c:v>1.03934289630393</c:v>
                </c:pt>
                <c:pt idx="59">
                  <c:v>1.03934289630393</c:v>
                </c:pt>
                <c:pt idx="60">
                  <c:v>1.03934289630393</c:v>
                </c:pt>
                <c:pt idx="61">
                  <c:v>1.03934289630393</c:v>
                </c:pt>
                <c:pt idx="62">
                  <c:v>1.03934289630393</c:v>
                </c:pt>
                <c:pt idx="63">
                  <c:v>1.03934289630393</c:v>
                </c:pt>
                <c:pt idx="64">
                  <c:v>1.03934289630393</c:v>
                </c:pt>
                <c:pt idx="65">
                  <c:v>1.03934289630393</c:v>
                </c:pt>
                <c:pt idx="66">
                  <c:v>1.03934289630393</c:v>
                </c:pt>
                <c:pt idx="67">
                  <c:v>1.03934289630393</c:v>
                </c:pt>
                <c:pt idx="68">
                  <c:v>1.03934289630393</c:v>
                </c:pt>
                <c:pt idx="69">
                  <c:v>1.03934289630393</c:v>
                </c:pt>
                <c:pt idx="70">
                  <c:v>1.03934289630393</c:v>
                </c:pt>
                <c:pt idx="71">
                  <c:v>1.03934289630393</c:v>
                </c:pt>
                <c:pt idx="72">
                  <c:v>1.03934289630393</c:v>
                </c:pt>
                <c:pt idx="73">
                  <c:v>1.03934289630393</c:v>
                </c:pt>
                <c:pt idx="74">
                  <c:v>1.03934289630393</c:v>
                </c:pt>
                <c:pt idx="75">
                  <c:v>1.03934289630393</c:v>
                </c:pt>
                <c:pt idx="76">
                  <c:v>1.03934289630393</c:v>
                </c:pt>
                <c:pt idx="77">
                  <c:v>1.03934289630393</c:v>
                </c:pt>
                <c:pt idx="78">
                  <c:v>1.03934289630393</c:v>
                </c:pt>
                <c:pt idx="79">
                  <c:v>1.03934289630393</c:v>
                </c:pt>
                <c:pt idx="80">
                  <c:v>1.03934289630393</c:v>
                </c:pt>
                <c:pt idx="81">
                  <c:v>1.03934289630393</c:v>
                </c:pt>
                <c:pt idx="82">
                  <c:v>1.03934289630393</c:v>
                </c:pt>
                <c:pt idx="83">
                  <c:v>1.03934289630393</c:v>
                </c:pt>
                <c:pt idx="84">
                  <c:v>1.03934289630393</c:v>
                </c:pt>
                <c:pt idx="85">
                  <c:v>1.03934289630393</c:v>
                </c:pt>
                <c:pt idx="86">
                  <c:v>1.03934289630393</c:v>
                </c:pt>
                <c:pt idx="87">
                  <c:v>1.03934289630393</c:v>
                </c:pt>
                <c:pt idx="88">
                  <c:v>1.03934289630393</c:v>
                </c:pt>
                <c:pt idx="89">
                  <c:v>1.03934289630393</c:v>
                </c:pt>
                <c:pt idx="90">
                  <c:v>1.03934289630393</c:v>
                </c:pt>
                <c:pt idx="91">
                  <c:v>1.03934289630393</c:v>
                </c:pt>
                <c:pt idx="92">
                  <c:v>1.03934289630393</c:v>
                </c:pt>
                <c:pt idx="93">
                  <c:v>1.03934289630393</c:v>
                </c:pt>
                <c:pt idx="94">
                  <c:v>1.03934289630393</c:v>
                </c:pt>
                <c:pt idx="95">
                  <c:v>1.03934289630393</c:v>
                </c:pt>
                <c:pt idx="96">
                  <c:v>1.03934289630393</c:v>
                </c:pt>
                <c:pt idx="97">
                  <c:v>1.03934289630393</c:v>
                </c:pt>
                <c:pt idx="98">
                  <c:v>1.03934289630393</c:v>
                </c:pt>
                <c:pt idx="99">
                  <c:v>1.03934289630393</c:v>
                </c:pt>
                <c:pt idx="100">
                  <c:v>1.03934289630393</c:v>
                </c:pt>
                <c:pt idx="101">
                  <c:v>1.03934289630393</c:v>
                </c:pt>
                <c:pt idx="102">
                  <c:v>1.03934289630393</c:v>
                </c:pt>
                <c:pt idx="103">
                  <c:v>1.03934289630393</c:v>
                </c:pt>
                <c:pt idx="104">
                  <c:v>1.03934289630393</c:v>
                </c:pt>
                <c:pt idx="105">
                  <c:v>1.03934289630393</c:v>
                </c:pt>
                <c:pt idx="106">
                  <c:v>1.03934289630393</c:v>
                </c:pt>
                <c:pt idx="107">
                  <c:v>1.03934289630393</c:v>
                </c:pt>
                <c:pt idx="108">
                  <c:v>1.03934289630393</c:v>
                </c:pt>
                <c:pt idx="109">
                  <c:v>1.03934289630393</c:v>
                </c:pt>
                <c:pt idx="110">
                  <c:v>1.03934289630393</c:v>
                </c:pt>
                <c:pt idx="111">
                  <c:v>1.03934289630393</c:v>
                </c:pt>
                <c:pt idx="112">
                  <c:v>1.03934289630393</c:v>
                </c:pt>
                <c:pt idx="113">
                  <c:v>1.03934289630393</c:v>
                </c:pt>
                <c:pt idx="114">
                  <c:v>1.03934289630393</c:v>
                </c:pt>
                <c:pt idx="115">
                  <c:v>1.03934289630393</c:v>
                </c:pt>
                <c:pt idx="116">
                  <c:v>1.03934289630393</c:v>
                </c:pt>
                <c:pt idx="117">
                  <c:v>1.03934289630393</c:v>
                </c:pt>
                <c:pt idx="118">
                  <c:v>1.03934289630393</c:v>
                </c:pt>
                <c:pt idx="119">
                  <c:v>1.03934289630393</c:v>
                </c:pt>
                <c:pt idx="120">
                  <c:v>1.03934289630393</c:v>
                </c:pt>
                <c:pt idx="121">
                  <c:v>1.03934289630393</c:v>
                </c:pt>
                <c:pt idx="122">
                  <c:v>1.03934289630393</c:v>
                </c:pt>
                <c:pt idx="123">
                  <c:v>1.03934289630393</c:v>
                </c:pt>
                <c:pt idx="124">
                  <c:v>1.03934289630393</c:v>
                </c:pt>
                <c:pt idx="125">
                  <c:v>1.03934289630393</c:v>
                </c:pt>
                <c:pt idx="126">
                  <c:v>1.03934289630393</c:v>
                </c:pt>
                <c:pt idx="127">
                  <c:v>1.03934289630393</c:v>
                </c:pt>
                <c:pt idx="128">
                  <c:v>1.03934289630393</c:v>
                </c:pt>
                <c:pt idx="129">
                  <c:v>1.03934289630393</c:v>
                </c:pt>
                <c:pt idx="130">
                  <c:v>1.03934289630393</c:v>
                </c:pt>
                <c:pt idx="131">
                  <c:v>1.03934289630393</c:v>
                </c:pt>
                <c:pt idx="132">
                  <c:v>1.03934289630393</c:v>
                </c:pt>
                <c:pt idx="133">
                  <c:v>1.03934289630393</c:v>
                </c:pt>
                <c:pt idx="134">
                  <c:v>1.03934289630393</c:v>
                </c:pt>
                <c:pt idx="135">
                  <c:v>1.03934289630393</c:v>
                </c:pt>
                <c:pt idx="136">
                  <c:v>1.03934289630393</c:v>
                </c:pt>
                <c:pt idx="137">
                  <c:v>1.03934289630393</c:v>
                </c:pt>
                <c:pt idx="138">
                  <c:v>1.03934289630393</c:v>
                </c:pt>
                <c:pt idx="139">
                  <c:v>1.03934289630393</c:v>
                </c:pt>
                <c:pt idx="140">
                  <c:v>1.03934289630393</c:v>
                </c:pt>
                <c:pt idx="141">
                  <c:v>1.03934289630393</c:v>
                </c:pt>
                <c:pt idx="142">
                  <c:v>1.03934289630393</c:v>
                </c:pt>
                <c:pt idx="143">
                  <c:v>1.03934289630393</c:v>
                </c:pt>
                <c:pt idx="144">
                  <c:v>1.03934289630393</c:v>
                </c:pt>
                <c:pt idx="145">
                  <c:v>1.03934289630393</c:v>
                </c:pt>
                <c:pt idx="146">
                  <c:v>1.03934289630393</c:v>
                </c:pt>
                <c:pt idx="147">
                  <c:v>1.03934289630393</c:v>
                </c:pt>
                <c:pt idx="148">
                  <c:v>1.03934289630393</c:v>
                </c:pt>
                <c:pt idx="149">
                  <c:v>1.03934289630393</c:v>
                </c:pt>
                <c:pt idx="150">
                  <c:v>1.03934289630393</c:v>
                </c:pt>
                <c:pt idx="151">
                  <c:v>1.03934289630393</c:v>
                </c:pt>
                <c:pt idx="152">
                  <c:v>1.03934289630393</c:v>
                </c:pt>
                <c:pt idx="153">
                  <c:v>1.03934289630393</c:v>
                </c:pt>
                <c:pt idx="154">
                  <c:v>1.03934289630393</c:v>
                </c:pt>
                <c:pt idx="155">
                  <c:v>1.03934289630393</c:v>
                </c:pt>
                <c:pt idx="156">
                  <c:v>1.03934289630393</c:v>
                </c:pt>
                <c:pt idx="157">
                  <c:v>1.03934289630393</c:v>
                </c:pt>
                <c:pt idx="158">
                  <c:v>1.03934289630393</c:v>
                </c:pt>
                <c:pt idx="159">
                  <c:v>1.03934289630393</c:v>
                </c:pt>
                <c:pt idx="160">
                  <c:v>1.03934289630393</c:v>
                </c:pt>
                <c:pt idx="161">
                  <c:v>1.03934289630393</c:v>
                </c:pt>
                <c:pt idx="162">
                  <c:v>1.03934289630393</c:v>
                </c:pt>
                <c:pt idx="163">
                  <c:v>1.03934289630393</c:v>
                </c:pt>
                <c:pt idx="164">
                  <c:v>1.03934289630393</c:v>
                </c:pt>
                <c:pt idx="165">
                  <c:v>1.03934289630393</c:v>
                </c:pt>
                <c:pt idx="166">
                  <c:v>1.03934289630393</c:v>
                </c:pt>
                <c:pt idx="167">
                  <c:v>1.03934289630393</c:v>
                </c:pt>
                <c:pt idx="168">
                  <c:v>1.03934289630393</c:v>
                </c:pt>
                <c:pt idx="169">
                  <c:v>1.03934289630393</c:v>
                </c:pt>
                <c:pt idx="170">
                  <c:v>1.03934289630393</c:v>
                </c:pt>
                <c:pt idx="171">
                  <c:v>1.03934289630393</c:v>
                </c:pt>
                <c:pt idx="172">
                  <c:v>1.03934289630393</c:v>
                </c:pt>
                <c:pt idx="173">
                  <c:v>1.03934289630393</c:v>
                </c:pt>
                <c:pt idx="174">
                  <c:v>1.03934289630393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55-428F-B55B-D9DEEE4F77ED}"/>
            </c:ext>
          </c:extLst>
        </c:ser>
        <c:ser>
          <c:idx val="1"/>
          <c:order val="1"/>
          <c:tx>
            <c:strRef>
              <c:f>Sheet1!$Z$1</c:f>
              <c:strCache>
                <c:ptCount val="1"/>
                <c:pt idx="0">
                  <c:v> LEN*/LEN B*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Sheet1!$Z$2:$Z$176</c:f>
              <c:numCache>
                <c:formatCode>_(* #,##0.0000_);_(* \(#,##0.0000\);_(* "-"??_);_(@_)</c:formatCode>
                <c:ptCount val="175"/>
                <c:pt idx="9">
                  <c:v>1.09431415896318</c:v>
                </c:pt>
                <c:pt idx="10">
                  <c:v>1.09594198509923</c:v>
                </c:pt>
                <c:pt idx="11">
                  <c:v>1.09737319954559</c:v>
                </c:pt>
                <c:pt idx="12">
                  <c:v>1.0979431822486501</c:v>
                </c:pt>
                <c:pt idx="13">
                  <c:v>1.0981248203453799</c:v>
                </c:pt>
                <c:pt idx="14">
                  <c:v>1.0966799098372999</c:v>
                </c:pt>
                <c:pt idx="15">
                  <c:v>1.0931631620751201</c:v>
                </c:pt>
                <c:pt idx="16">
                  <c:v>1.0906307689785</c:v>
                </c:pt>
                <c:pt idx="17">
                  <c:v>1.08783386571743</c:v>
                </c:pt>
                <c:pt idx="18">
                  <c:v>1.0835360504117499</c:v>
                </c:pt>
                <c:pt idx="19">
                  <c:v>1.08133068496073</c:v>
                </c:pt>
                <c:pt idx="20">
                  <c:v>1.07785627627289</c:v>
                </c:pt>
                <c:pt idx="21">
                  <c:v>1.07702793944167</c:v>
                </c:pt>
                <c:pt idx="22">
                  <c:v>1.07518846495987</c:v>
                </c:pt>
                <c:pt idx="23">
                  <c:v>1.0753408244252101</c:v>
                </c:pt>
                <c:pt idx="24">
                  <c:v>1.07513557193386</c:v>
                </c:pt>
                <c:pt idx="25">
                  <c:v>1.07569852445405</c:v>
                </c:pt>
                <c:pt idx="26">
                  <c:v>1.0754177675066201</c:v>
                </c:pt>
                <c:pt idx="27">
                  <c:v>1.0751470783727299</c:v>
                </c:pt>
                <c:pt idx="28">
                  <c:v>1.0768764040361101</c:v>
                </c:pt>
                <c:pt idx="29">
                  <c:v>1.07591551603888</c:v>
                </c:pt>
                <c:pt idx="30">
                  <c:v>1.07526961859463</c:v>
                </c:pt>
                <c:pt idx="31">
                  <c:v>1.0736806026605501</c:v>
                </c:pt>
                <c:pt idx="32">
                  <c:v>1.0733378208679001</c:v>
                </c:pt>
                <c:pt idx="33">
                  <c:v>1.07218630387572</c:v>
                </c:pt>
                <c:pt idx="34">
                  <c:v>1.0731581424141501</c:v>
                </c:pt>
                <c:pt idx="35">
                  <c:v>1.0733796394833901</c:v>
                </c:pt>
                <c:pt idx="36">
                  <c:v>1.0721605160187799</c:v>
                </c:pt>
                <c:pt idx="37">
                  <c:v>1.0706116462272199</c:v>
                </c:pt>
                <c:pt idx="38">
                  <c:v>1.0697029340200399</c:v>
                </c:pt>
                <c:pt idx="39">
                  <c:v>1.06914286764787</c:v>
                </c:pt>
                <c:pt idx="40">
                  <c:v>1.06958372132795</c:v>
                </c:pt>
                <c:pt idx="41">
                  <c:v>1.0689851746710299</c:v>
                </c:pt>
                <c:pt idx="42">
                  <c:v>1.06846350043534</c:v>
                </c:pt>
                <c:pt idx="43">
                  <c:v>1.06763961941082</c:v>
                </c:pt>
                <c:pt idx="44">
                  <c:v>1.0661531029699101</c:v>
                </c:pt>
                <c:pt idx="45">
                  <c:v>1.06519614087634</c:v>
                </c:pt>
                <c:pt idx="46">
                  <c:v>1.0650502701814999</c:v>
                </c:pt>
                <c:pt idx="47">
                  <c:v>1.06438512567286</c:v>
                </c:pt>
                <c:pt idx="48">
                  <c:v>1.06305304942131</c:v>
                </c:pt>
                <c:pt idx="49">
                  <c:v>1.06275928487372</c:v>
                </c:pt>
                <c:pt idx="50">
                  <c:v>1.0630219390478399</c:v>
                </c:pt>
                <c:pt idx="51">
                  <c:v>1.0632329676754699</c:v>
                </c:pt>
                <c:pt idx="52">
                  <c:v>1.0629836471618599</c:v>
                </c:pt>
                <c:pt idx="53">
                  <c:v>1.06153870782639</c:v>
                </c:pt>
                <c:pt idx="54">
                  <c:v>1.0603278235842699</c:v>
                </c:pt>
                <c:pt idx="55">
                  <c:v>1.05844216378568</c:v>
                </c:pt>
                <c:pt idx="56">
                  <c:v>1.0566095666030799</c:v>
                </c:pt>
                <c:pt idx="57">
                  <c:v>1.05551393335602</c:v>
                </c:pt>
                <c:pt idx="58">
                  <c:v>1.05439550512535</c:v>
                </c:pt>
                <c:pt idx="59">
                  <c:v>1.0519354546605</c:v>
                </c:pt>
                <c:pt idx="60">
                  <c:v>1.04792976177009</c:v>
                </c:pt>
                <c:pt idx="61">
                  <c:v>1.0440391704371399</c:v>
                </c:pt>
                <c:pt idx="62">
                  <c:v>1.04049856941413</c:v>
                </c:pt>
                <c:pt idx="63">
                  <c:v>1.0379071300195699</c:v>
                </c:pt>
                <c:pt idx="64">
                  <c:v>1.0356633066510199</c:v>
                </c:pt>
                <c:pt idx="65">
                  <c:v>1.03323353333523</c:v>
                </c:pt>
                <c:pt idx="66">
                  <c:v>1.03125849090361</c:v>
                </c:pt>
                <c:pt idx="67">
                  <c:v>1.0293795949061399</c:v>
                </c:pt>
                <c:pt idx="68">
                  <c:v>1.0274392872439</c:v>
                </c:pt>
                <c:pt idx="69">
                  <c:v>1.0262879366484301</c:v>
                </c:pt>
                <c:pt idx="70">
                  <c:v>1.02580803333515</c:v>
                </c:pt>
                <c:pt idx="71">
                  <c:v>1.02565965057464</c:v>
                </c:pt>
                <c:pt idx="72">
                  <c:v>1.02601457374191</c:v>
                </c:pt>
                <c:pt idx="73">
                  <c:v>1.0260058572161499</c:v>
                </c:pt>
                <c:pt idx="74">
                  <c:v>1.02589333446426</c:v>
                </c:pt>
                <c:pt idx="75">
                  <c:v>1.0265792856062801</c:v>
                </c:pt>
                <c:pt idx="76">
                  <c:v>1.0263983739526099</c:v>
                </c:pt>
                <c:pt idx="77">
                  <c:v>1.02647225989119</c:v>
                </c:pt>
                <c:pt idx="78">
                  <c:v>1.0262092455413501</c:v>
                </c:pt>
                <c:pt idx="79">
                  <c:v>1.0263036537272801</c:v>
                </c:pt>
                <c:pt idx="80">
                  <c:v>1.0264977426530399</c:v>
                </c:pt>
                <c:pt idx="81">
                  <c:v>1.0262125820713299</c:v>
                </c:pt>
                <c:pt idx="82">
                  <c:v>1.0257635640885201</c:v>
                </c:pt>
                <c:pt idx="83">
                  <c:v>1.0262175439632</c:v>
                </c:pt>
                <c:pt idx="84">
                  <c:v>1.02586952038546</c:v>
                </c:pt>
                <c:pt idx="85">
                  <c:v>1.0258210095295099</c:v>
                </c:pt>
                <c:pt idx="86">
                  <c:v>1.0272205915461099</c:v>
                </c:pt>
                <c:pt idx="87">
                  <c:v>1.02709371326966</c:v>
                </c:pt>
                <c:pt idx="88">
                  <c:v>1.0272023351892401</c:v>
                </c:pt>
                <c:pt idx="89">
                  <c:v>1.0267711681243099</c:v>
                </c:pt>
                <c:pt idx="90">
                  <c:v>1.0262093361431699</c:v>
                </c:pt>
                <c:pt idx="91">
                  <c:v>1.0264147060736</c:v>
                </c:pt>
                <c:pt idx="92">
                  <c:v>1.0264004109196101</c:v>
                </c:pt>
                <c:pt idx="93">
                  <c:v>1.02548162407493</c:v>
                </c:pt>
                <c:pt idx="94">
                  <c:v>1.02522530829201</c:v>
                </c:pt>
                <c:pt idx="95">
                  <c:v>1.0240030363314701</c:v>
                </c:pt>
                <c:pt idx="96">
                  <c:v>1.0224576845014299</c:v>
                </c:pt>
                <c:pt idx="97">
                  <c:v>1.02214736654373</c:v>
                </c:pt>
                <c:pt idx="98">
                  <c:v>1.0215660856473301</c:v>
                </c:pt>
                <c:pt idx="99">
                  <c:v>1.02229378970944</c:v>
                </c:pt>
                <c:pt idx="100">
                  <c:v>1.02237399502691</c:v>
                </c:pt>
                <c:pt idx="101">
                  <c:v>1.02192625147205</c:v>
                </c:pt>
                <c:pt idx="102">
                  <c:v>1.0220336789051701</c:v>
                </c:pt>
                <c:pt idx="103">
                  <c:v>1.0220783221115799</c:v>
                </c:pt>
                <c:pt idx="104">
                  <c:v>1.02203243344387</c:v>
                </c:pt>
                <c:pt idx="105">
                  <c:v>1.0227891691578599</c:v>
                </c:pt>
                <c:pt idx="106">
                  <c:v>1.0227849817983701</c:v>
                </c:pt>
                <c:pt idx="107">
                  <c:v>1.0223559936739599</c:v>
                </c:pt>
                <c:pt idx="108">
                  <c:v>1.02218219034209</c:v>
                </c:pt>
                <c:pt idx="109">
                  <c:v>1.0215279282788801</c:v>
                </c:pt>
                <c:pt idx="110">
                  <c:v>1.0212355724566899</c:v>
                </c:pt>
                <c:pt idx="111">
                  <c:v>1.02133940718321</c:v>
                </c:pt>
                <c:pt idx="112">
                  <c:v>1.02083666858035</c:v>
                </c:pt>
                <c:pt idx="113">
                  <c:v>1.0213264198809799</c:v>
                </c:pt>
                <c:pt idx="114">
                  <c:v>1.02118536957388</c:v>
                </c:pt>
                <c:pt idx="115">
                  <c:v>1.02146525726112</c:v>
                </c:pt>
                <c:pt idx="116">
                  <c:v>1.02199417598502</c:v>
                </c:pt>
                <c:pt idx="117">
                  <c:v>1.02280192388046</c:v>
                </c:pt>
                <c:pt idx="118">
                  <c:v>1.02290572895286</c:v>
                </c:pt>
                <c:pt idx="119">
                  <c:v>1.0229390193868999</c:v>
                </c:pt>
                <c:pt idx="120">
                  <c:v>1.02252812591016</c:v>
                </c:pt>
                <c:pt idx="121">
                  <c:v>1.02269920004291</c:v>
                </c:pt>
                <c:pt idx="122">
                  <c:v>1.0226359099284701</c:v>
                </c:pt>
                <c:pt idx="123">
                  <c:v>1.02259282784167</c:v>
                </c:pt>
                <c:pt idx="124">
                  <c:v>1.0228243586796</c:v>
                </c:pt>
                <c:pt idx="125">
                  <c:v>1.02221892090988</c:v>
                </c:pt>
                <c:pt idx="126">
                  <c:v>1.0216489906178901</c:v>
                </c:pt>
                <c:pt idx="127">
                  <c:v>1.0213592673253</c:v>
                </c:pt>
                <c:pt idx="128">
                  <c:v>1.0214390468255401</c:v>
                </c:pt>
                <c:pt idx="129">
                  <c:v>1.0211894445678</c:v>
                </c:pt>
                <c:pt idx="130">
                  <c:v>1.02145892891523</c:v>
                </c:pt>
                <c:pt idx="131">
                  <c:v>1.0210909394457599</c:v>
                </c:pt>
                <c:pt idx="132">
                  <c:v>1.02135058833807</c:v>
                </c:pt>
                <c:pt idx="133">
                  <c:v>1.0209341687703699</c:v>
                </c:pt>
                <c:pt idx="134">
                  <c:v>1.02077863622856</c:v>
                </c:pt>
                <c:pt idx="135">
                  <c:v>1.02067048256237</c:v>
                </c:pt>
                <c:pt idx="136">
                  <c:v>1.0204258149360801</c:v>
                </c:pt>
                <c:pt idx="137">
                  <c:v>1.0199481171236799</c:v>
                </c:pt>
                <c:pt idx="138">
                  <c:v>1.0196627199908499</c:v>
                </c:pt>
                <c:pt idx="139">
                  <c:v>1.0196534227560301</c:v>
                </c:pt>
                <c:pt idx="140">
                  <c:v>1.0197099883062499</c:v>
                </c:pt>
                <c:pt idx="141">
                  <c:v>1.01964959614141</c:v>
                </c:pt>
                <c:pt idx="142">
                  <c:v>1.0198928041692501</c:v>
                </c:pt>
                <c:pt idx="143">
                  <c:v>1.02036782399506</c:v>
                </c:pt>
                <c:pt idx="144">
                  <c:v>1.0203192122901501</c:v>
                </c:pt>
                <c:pt idx="145">
                  <c:v>1.0205843890688999</c:v>
                </c:pt>
                <c:pt idx="146">
                  <c:v>1.0206910284686801</c:v>
                </c:pt>
                <c:pt idx="147">
                  <c:v>1.02039589620967</c:v>
                </c:pt>
                <c:pt idx="148">
                  <c:v>1.020498300698</c:v>
                </c:pt>
                <c:pt idx="149">
                  <c:v>1.02038978466012</c:v>
                </c:pt>
                <c:pt idx="150">
                  <c:v>1.02042454731249</c:v>
                </c:pt>
                <c:pt idx="151">
                  <c:v>1.02021408179899</c:v>
                </c:pt>
                <c:pt idx="152">
                  <c:v>1.01983846758869</c:v>
                </c:pt>
                <c:pt idx="153">
                  <c:v>1.0194087093818101</c:v>
                </c:pt>
                <c:pt idx="154">
                  <c:v>1.0190862178044799</c:v>
                </c:pt>
                <c:pt idx="155">
                  <c:v>1.0189675805532801</c:v>
                </c:pt>
                <c:pt idx="156">
                  <c:v>1.01880710627879</c:v>
                </c:pt>
                <c:pt idx="157">
                  <c:v>1.0188065188837601</c:v>
                </c:pt>
                <c:pt idx="158">
                  <c:v>1.0188418773910599</c:v>
                </c:pt>
                <c:pt idx="159">
                  <c:v>1.01866578796199</c:v>
                </c:pt>
                <c:pt idx="160">
                  <c:v>1.0181441259284501</c:v>
                </c:pt>
                <c:pt idx="161">
                  <c:v>1.01838942655575</c:v>
                </c:pt>
                <c:pt idx="162">
                  <c:v>1.0180545009617701</c:v>
                </c:pt>
                <c:pt idx="163">
                  <c:v>1.0180395212342499</c:v>
                </c:pt>
                <c:pt idx="164">
                  <c:v>1.0179418881373199</c:v>
                </c:pt>
                <c:pt idx="165">
                  <c:v>1.0181389680358499</c:v>
                </c:pt>
                <c:pt idx="166">
                  <c:v>1.0180728937961201</c:v>
                </c:pt>
                <c:pt idx="167">
                  <c:v>1.0181483039707799</c:v>
                </c:pt>
                <c:pt idx="168">
                  <c:v>1.01820726753892</c:v>
                </c:pt>
                <c:pt idx="169">
                  <c:v>1.0181335392630699</c:v>
                </c:pt>
                <c:pt idx="170">
                  <c:v>1.01829154233514</c:v>
                </c:pt>
                <c:pt idx="171">
                  <c:v>1.0185400178458399</c:v>
                </c:pt>
                <c:pt idx="172">
                  <c:v>1.0184914238049501</c:v>
                </c:pt>
                <c:pt idx="173">
                  <c:v>1.0182014549051399</c:v>
                </c:pt>
                <c:pt idx="174">
                  <c:v>1.01825486491842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55-428F-B55B-D9DEEE4F77ED}"/>
            </c:ext>
          </c:extLst>
        </c:ser>
        <c:ser>
          <c:idx val="2"/>
          <c:order val="2"/>
          <c:tx>
            <c:strRef>
              <c:f>Sheet1!$AA$1</c:f>
              <c:strCache>
                <c:ptCount val="1"/>
                <c:pt idx="0">
                  <c:v> LEN*/LEN B*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Sheet1!$AA$2:$AA$176</c:f>
              <c:numCache>
                <c:formatCode>_(* #,##0.0000_);_(* \(#,##0.0000\);_(* "-"??_);_(@_)</c:formatCode>
                <c:ptCount val="175"/>
                <c:pt idx="19">
                  <c:v>1.0878224219619499</c:v>
                </c:pt>
                <c:pt idx="20">
                  <c:v>1.08689913068606</c:v>
                </c:pt>
                <c:pt idx="21">
                  <c:v>1.08720056949363</c:v>
                </c:pt>
                <c:pt idx="22">
                  <c:v>1.0865658236042599</c:v>
                </c:pt>
                <c:pt idx="23">
                  <c:v>1.0867328223852899</c:v>
                </c:pt>
                <c:pt idx="24">
                  <c:v>1.08590774088558</c:v>
                </c:pt>
                <c:pt idx="25">
                  <c:v>1.0844308432645799</c:v>
                </c:pt>
                <c:pt idx="26">
                  <c:v>1.0830242682425599</c:v>
                </c:pt>
                <c:pt idx="27">
                  <c:v>1.08149047204508</c:v>
                </c:pt>
                <c:pt idx="28">
                  <c:v>1.0802062272239299</c:v>
                </c:pt>
                <c:pt idx="29">
                  <c:v>1.0786231004998099</c:v>
                </c:pt>
                <c:pt idx="30">
                  <c:v>1.0765629474337599</c:v>
                </c:pt>
                <c:pt idx="31">
                  <c:v>1.0753542710511099</c:v>
                </c:pt>
                <c:pt idx="32">
                  <c:v>1.07426314291389</c:v>
                </c:pt>
                <c:pt idx="33">
                  <c:v>1.0737635641504699</c:v>
                </c:pt>
                <c:pt idx="34">
                  <c:v>1.07414685717401</c:v>
                </c:pt>
                <c:pt idx="35">
                  <c:v>1.0745390819687199</c:v>
                </c:pt>
                <c:pt idx="36">
                  <c:v>1.0737891417626999</c:v>
                </c:pt>
                <c:pt idx="37">
                  <c:v>1.0728793622999799</c:v>
                </c:pt>
                <c:pt idx="38">
                  <c:v>1.07328966902808</c:v>
                </c:pt>
                <c:pt idx="39">
                  <c:v>1.0725291918433799</c:v>
                </c:pt>
                <c:pt idx="40">
                  <c:v>1.0724266699612901</c:v>
                </c:pt>
                <c:pt idx="41">
                  <c:v>1.07133288866579</c:v>
                </c:pt>
                <c:pt idx="42">
                  <c:v>1.07090066065162</c:v>
                </c:pt>
                <c:pt idx="43">
                  <c:v>1.0699129616432701</c:v>
                </c:pt>
                <c:pt idx="44">
                  <c:v>1.06965562269203</c:v>
                </c:pt>
                <c:pt idx="45">
                  <c:v>1.0692878901798699</c:v>
                </c:pt>
                <c:pt idx="46">
                  <c:v>1.06860539310014</c:v>
                </c:pt>
                <c:pt idx="47">
                  <c:v>1.06749838595004</c:v>
                </c:pt>
                <c:pt idx="48">
                  <c:v>1.0663779917206699</c:v>
                </c:pt>
                <c:pt idx="49">
                  <c:v>1.06595107626079</c:v>
                </c:pt>
                <c:pt idx="50">
                  <c:v>1.0663028301878901</c:v>
                </c:pt>
                <c:pt idx="51">
                  <c:v>1.0661090711732499</c:v>
                </c:pt>
                <c:pt idx="52">
                  <c:v>1.0657235737985999</c:v>
                </c:pt>
                <c:pt idx="53">
                  <c:v>1.06458916361861</c:v>
                </c:pt>
                <c:pt idx="54">
                  <c:v>1.06324046327709</c:v>
                </c:pt>
                <c:pt idx="55">
                  <c:v>1.0618191523310101</c:v>
                </c:pt>
                <c:pt idx="56">
                  <c:v>1.06082991839229</c:v>
                </c:pt>
                <c:pt idx="57">
                  <c:v>1.0599495295144401</c:v>
                </c:pt>
                <c:pt idx="58">
                  <c:v>1.0587242772733301</c:v>
                </c:pt>
                <c:pt idx="59">
                  <c:v>1.0573473697671101</c:v>
                </c:pt>
                <c:pt idx="60">
                  <c:v>1.0554758504089601</c:v>
                </c:pt>
                <c:pt idx="61">
                  <c:v>1.05363606905631</c:v>
                </c:pt>
                <c:pt idx="62">
                  <c:v>1.0517411082879899</c:v>
                </c:pt>
                <c:pt idx="63">
                  <c:v>1.04972291892298</c:v>
                </c:pt>
                <c:pt idx="64">
                  <c:v>1.04799556511765</c:v>
                </c:pt>
                <c:pt idx="65">
                  <c:v>1.04583784856046</c:v>
                </c:pt>
                <c:pt idx="66">
                  <c:v>1.0439340287533501</c:v>
                </c:pt>
                <c:pt idx="67">
                  <c:v>1.04244676413108</c:v>
                </c:pt>
                <c:pt idx="68">
                  <c:v>1.0409173961846301</c:v>
                </c:pt>
                <c:pt idx="69">
                  <c:v>1.0391116956544699</c:v>
                </c:pt>
                <c:pt idx="70">
                  <c:v>1.0368688975526199</c:v>
                </c:pt>
                <c:pt idx="71">
                  <c:v>1.0348494105058901</c:v>
                </c:pt>
                <c:pt idx="72">
                  <c:v>1.03325657157802</c:v>
                </c:pt>
                <c:pt idx="73">
                  <c:v>1.03195649361786</c:v>
                </c:pt>
                <c:pt idx="74">
                  <c:v>1.03077832055764</c:v>
                </c:pt>
                <c:pt idx="75">
                  <c:v>1.02990640947076</c:v>
                </c:pt>
                <c:pt idx="76">
                  <c:v>1.0288284324281101</c:v>
                </c:pt>
                <c:pt idx="77">
                  <c:v>1.0279259273986701</c:v>
                </c:pt>
                <c:pt idx="78">
                  <c:v>1.0268242663926299</c:v>
                </c:pt>
                <c:pt idx="79">
                  <c:v>1.02629579518786</c:v>
                </c:pt>
                <c:pt idx="80">
                  <c:v>1.0261528879941</c:v>
                </c:pt>
                <c:pt idx="81">
                  <c:v>1.0259361163229801</c:v>
                </c:pt>
                <c:pt idx="82">
                  <c:v>1.02588906891521</c:v>
                </c:pt>
                <c:pt idx="83">
                  <c:v>1.0261117005896701</c:v>
                </c:pt>
                <c:pt idx="84">
                  <c:v>1.02588142742486</c:v>
                </c:pt>
                <c:pt idx="85">
                  <c:v>1.0262001475678899</c:v>
                </c:pt>
                <c:pt idx="86">
                  <c:v>1.0268094827493599</c:v>
                </c:pt>
                <c:pt idx="87">
                  <c:v>1.0267829865804201</c:v>
                </c:pt>
                <c:pt idx="88">
                  <c:v>1.0267057903652901</c:v>
                </c:pt>
                <c:pt idx="89">
                  <c:v>1.0265374109257901</c:v>
                </c:pt>
                <c:pt idx="90">
                  <c:v>1.0263535393981</c:v>
                </c:pt>
                <c:pt idx="91">
                  <c:v>1.0263136440724601</c:v>
                </c:pt>
                <c:pt idx="92">
                  <c:v>1.0260819875040601</c:v>
                </c:pt>
                <c:pt idx="93">
                  <c:v>1.02584958401907</c:v>
                </c:pt>
                <c:pt idx="94">
                  <c:v>1.02554741433873</c:v>
                </c:pt>
                <c:pt idx="95">
                  <c:v>1.02491202293049</c:v>
                </c:pt>
                <c:pt idx="96">
                  <c:v>1.02483913802377</c:v>
                </c:pt>
                <c:pt idx="97">
                  <c:v>1.0246205399066901</c:v>
                </c:pt>
                <c:pt idx="98">
                  <c:v>1.0243842104182801</c:v>
                </c:pt>
                <c:pt idx="99">
                  <c:v>1.0245324789168699</c:v>
                </c:pt>
                <c:pt idx="100">
                  <c:v>1.02429166558504</c:v>
                </c:pt>
                <c:pt idx="101">
                  <c:v>1.0241704787728201</c:v>
                </c:pt>
                <c:pt idx="102">
                  <c:v>1.02421704491239</c:v>
                </c:pt>
                <c:pt idx="103">
                  <c:v>1.02377997309325</c:v>
                </c:pt>
                <c:pt idx="104">
                  <c:v>1.02362887086794</c:v>
                </c:pt>
                <c:pt idx="105">
                  <c:v>1.0233961027446701</c:v>
                </c:pt>
                <c:pt idx="106">
                  <c:v>1.0226213331498999</c:v>
                </c:pt>
                <c:pt idx="107">
                  <c:v>1.0222516801088399</c:v>
                </c:pt>
                <c:pt idx="108">
                  <c:v>1.0218741379947101</c:v>
                </c:pt>
                <c:pt idx="109">
                  <c:v>1.0219108589941599</c:v>
                </c:pt>
                <c:pt idx="110">
                  <c:v>1.0218047837418001</c:v>
                </c:pt>
                <c:pt idx="111">
                  <c:v>1.02163282932763</c:v>
                </c:pt>
                <c:pt idx="112">
                  <c:v>1.02143517374276</c:v>
                </c:pt>
                <c:pt idx="113">
                  <c:v>1.02170237099628</c:v>
                </c:pt>
                <c:pt idx="114">
                  <c:v>1.0216089015088701</c:v>
                </c:pt>
                <c:pt idx="115">
                  <c:v>1.0221272132094901</c:v>
                </c:pt>
                <c:pt idx="116">
                  <c:v>1.0223895788916899</c:v>
                </c:pt>
                <c:pt idx="117">
                  <c:v>1.0225789587772101</c:v>
                </c:pt>
                <c:pt idx="118">
                  <c:v>1.0225439596474699</c:v>
                </c:pt>
                <c:pt idx="119">
                  <c:v>1.02223347383289</c:v>
                </c:pt>
                <c:pt idx="120">
                  <c:v>1.0218818491834201</c:v>
                </c:pt>
                <c:pt idx="121">
                  <c:v>1.02201930361306</c:v>
                </c:pt>
                <c:pt idx="122">
                  <c:v>1.02173628925441</c:v>
                </c:pt>
                <c:pt idx="123">
                  <c:v>1.02195962386132</c:v>
                </c:pt>
                <c:pt idx="124">
                  <c:v>1.0220048641267401</c:v>
                </c:pt>
                <c:pt idx="125">
                  <c:v>1.0218420890855</c:v>
                </c:pt>
                <c:pt idx="126">
                  <c:v>1.0218215833014499</c:v>
                </c:pt>
                <c:pt idx="127">
                  <c:v>1.02208059560288</c:v>
                </c:pt>
                <c:pt idx="128">
                  <c:v>1.0221723878892</c:v>
                </c:pt>
                <c:pt idx="129">
                  <c:v>1.0220642319773501</c:v>
                </c:pt>
                <c:pt idx="130">
                  <c:v>1.0219935274126899</c:v>
                </c:pt>
                <c:pt idx="131">
                  <c:v>1.0218950697443401</c:v>
                </c:pt>
                <c:pt idx="132">
                  <c:v>1.0219932491332699</c:v>
                </c:pt>
                <c:pt idx="133">
                  <c:v>1.02176349830602</c:v>
                </c:pt>
                <c:pt idx="134">
                  <c:v>1.0218014974540801</c:v>
                </c:pt>
                <c:pt idx="135">
                  <c:v>1.0214447017361199</c:v>
                </c:pt>
                <c:pt idx="136">
                  <c:v>1.02103740277698</c:v>
                </c:pt>
                <c:pt idx="137">
                  <c:v>1.02065369222449</c:v>
                </c:pt>
                <c:pt idx="138">
                  <c:v>1.02055088340819</c:v>
                </c:pt>
                <c:pt idx="139">
                  <c:v>1.02042143366192</c:v>
                </c:pt>
                <c:pt idx="140">
                  <c:v>1.02058445861074</c:v>
                </c:pt>
                <c:pt idx="141">
                  <c:v>1.02037026779358</c:v>
                </c:pt>
                <c:pt idx="142">
                  <c:v>1.0206216962536601</c:v>
                </c:pt>
                <c:pt idx="143">
                  <c:v>1.02065099638271</c:v>
                </c:pt>
                <c:pt idx="144">
                  <c:v>1.0205489242593599</c:v>
                </c:pt>
                <c:pt idx="145">
                  <c:v>1.02062743581563</c:v>
                </c:pt>
                <c:pt idx="146">
                  <c:v>1.02055842170238</c:v>
                </c:pt>
                <c:pt idx="147">
                  <c:v>1.02017200666668</c:v>
                </c:pt>
                <c:pt idx="148">
                  <c:v>1.0200805103444199</c:v>
                </c:pt>
                <c:pt idx="149">
                  <c:v>1.02002160370807</c:v>
                </c:pt>
                <c:pt idx="150">
                  <c:v>1.0200672678093701</c:v>
                </c:pt>
                <c:pt idx="151">
                  <c:v>1.0199318389701999</c:v>
                </c:pt>
                <c:pt idx="152">
                  <c:v>1.0198656358789699</c:v>
                </c:pt>
                <c:pt idx="153">
                  <c:v>1.0198882666884299</c:v>
                </c:pt>
                <c:pt idx="154">
                  <c:v>1.0197027150473199</c:v>
                </c:pt>
                <c:pt idx="155">
                  <c:v>1.0197759848110901</c:v>
                </c:pt>
                <c:pt idx="156">
                  <c:v>1.0197490673737299</c:v>
                </c:pt>
                <c:pt idx="157">
                  <c:v>1.01960120754671</c:v>
                </c:pt>
                <c:pt idx="158">
                  <c:v>1.01967008904453</c:v>
                </c:pt>
                <c:pt idx="159">
                  <c:v>1.0195277863110499</c:v>
                </c:pt>
                <c:pt idx="160">
                  <c:v>1.01928433662047</c:v>
                </c:pt>
                <c:pt idx="161">
                  <c:v>1.0193017541773699</c:v>
                </c:pt>
                <c:pt idx="162">
                  <c:v>1.01894648427523</c:v>
                </c:pt>
                <c:pt idx="163">
                  <c:v>1.01872411530803</c:v>
                </c:pt>
                <c:pt idx="164">
                  <c:v>1.0185140529709</c:v>
                </c:pt>
                <c:pt idx="165">
                  <c:v>1.01855327429456</c:v>
                </c:pt>
                <c:pt idx="166">
                  <c:v>1.0184400000374501</c:v>
                </c:pt>
                <c:pt idx="167">
                  <c:v>1.0184774114272701</c:v>
                </c:pt>
                <c:pt idx="168">
                  <c:v>1.0185245724649901</c:v>
                </c:pt>
                <c:pt idx="169">
                  <c:v>1.0183996636125301</c:v>
                </c:pt>
                <c:pt idx="170">
                  <c:v>1.01821783413179</c:v>
                </c:pt>
                <c:pt idx="171">
                  <c:v>1.0184647222008001</c:v>
                </c:pt>
                <c:pt idx="172">
                  <c:v>1.01827296238336</c:v>
                </c:pt>
                <c:pt idx="173">
                  <c:v>1.0181204880696999</c:v>
                </c:pt>
                <c:pt idx="174">
                  <c:v>1.0180983765278699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C55-428F-B55B-D9DEEE4F77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47712"/>
        <c:axId val="205325072"/>
      </c:lineChart>
      <c:catAx>
        <c:axId val="1679547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25072"/>
        <c:crosses val="autoZero"/>
        <c:auto val="1"/>
        <c:lblAlgn val="ctr"/>
        <c:lblOffset val="100"/>
        <c:noMultiLvlLbl val="0"/>
      </c:catAx>
      <c:valAx>
        <c:axId val="20532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4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Sheet1!$U$1</c:f>
              <c:strCache>
                <c:ptCount val="1"/>
                <c:pt idx="0">
                  <c:v>log diff LEN B x avg / LEN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Sheet1!$U$2:$U$176</c:f>
              <c:numCache>
                <c:formatCode>0.0000%</c:formatCode>
                <c:ptCount val="175"/>
                <c:pt idx="1">
                  <c:v>-3.71700451637067E-2</c:v>
                </c:pt>
                <c:pt idx="2">
                  <c:v>-4.2967329113880799E-2</c:v>
                </c:pt>
                <c:pt idx="3">
                  <c:v>-3.8699554941365802E-2</c:v>
                </c:pt>
                <c:pt idx="4">
                  <c:v>-4.3365175803403801E-2</c:v>
                </c:pt>
                <c:pt idx="5">
                  <c:v>-5.8282462918614497E-2</c:v>
                </c:pt>
                <c:pt idx="6">
                  <c:v>-6.0176590297788199E-2</c:v>
                </c:pt>
                <c:pt idx="7">
                  <c:v>-6.5493232833090803E-2</c:v>
                </c:pt>
                <c:pt idx="8">
                  <c:v>-6.2397016919700898E-2</c:v>
                </c:pt>
                <c:pt idx="9">
                  <c:v>-5.8489930740589398E-2</c:v>
                </c:pt>
                <c:pt idx="10">
                  <c:v>-6.2667124264494597E-2</c:v>
                </c:pt>
                <c:pt idx="11">
                  <c:v>-5.0350725321646E-2</c:v>
                </c:pt>
                <c:pt idx="12">
                  <c:v>-4.8207000778879197E-2</c:v>
                </c:pt>
                <c:pt idx="13">
                  <c:v>-4.0379427193805599E-2</c:v>
                </c:pt>
                <c:pt idx="14">
                  <c:v>-2.99636050067392E-2</c:v>
                </c:pt>
                <c:pt idx="15">
                  <c:v>-2.5841325318518699E-2</c:v>
                </c:pt>
                <c:pt idx="16">
                  <c:v>-3.69669684121713E-2</c:v>
                </c:pt>
                <c:pt idx="17">
                  <c:v>-3.9965828510873803E-2</c:v>
                </c:pt>
                <c:pt idx="18">
                  <c:v>-2.2772297260964899E-2</c:v>
                </c:pt>
                <c:pt idx="19">
                  <c:v>-3.8273597593710101E-2</c:v>
                </c:pt>
                <c:pt idx="20">
                  <c:v>-3.0765335638198901E-2</c:v>
                </c:pt>
                <c:pt idx="21">
                  <c:v>-4.2743400851347903E-2</c:v>
                </c:pt>
                <c:pt idx="22">
                  <c:v>-3.1197672057900101E-2</c:v>
                </c:pt>
                <c:pt idx="23">
                  <c:v>-4.1786344207283603E-2</c:v>
                </c:pt>
                <c:pt idx="24">
                  <c:v>-2.80452319787407E-2</c:v>
                </c:pt>
                <c:pt idx="25">
                  <c:v>-3.11056967711381E-2</c:v>
                </c:pt>
                <c:pt idx="26">
                  <c:v>-3.4360316658864E-2</c:v>
                </c:pt>
                <c:pt idx="27">
                  <c:v>-3.7460302093293499E-2</c:v>
                </c:pt>
                <c:pt idx="28">
                  <c:v>-3.8905480453414E-2</c:v>
                </c:pt>
                <c:pt idx="29">
                  <c:v>-2.9335784261016198E-2</c:v>
                </c:pt>
                <c:pt idx="30">
                  <c:v>-2.4720905411329E-2</c:v>
                </c:pt>
                <c:pt idx="31">
                  <c:v>-2.79861064304304E-2</c:v>
                </c:pt>
                <c:pt idx="32">
                  <c:v>-2.7995792358739599E-2</c:v>
                </c:pt>
                <c:pt idx="33">
                  <c:v>-3.11036308149709E-2</c:v>
                </c:pt>
                <c:pt idx="34">
                  <c:v>-3.7096064524406003E-2</c:v>
                </c:pt>
                <c:pt idx="35">
                  <c:v>-3.3169422080281001E-2</c:v>
                </c:pt>
                <c:pt idx="36">
                  <c:v>-2.2962042596348702E-2</c:v>
                </c:pt>
                <c:pt idx="37">
                  <c:v>-2.3001806915285101E-2</c:v>
                </c:pt>
                <c:pt idx="38">
                  <c:v>-3.0460403540933802E-2</c:v>
                </c:pt>
                <c:pt idx="39">
                  <c:v>-2.4089170844418899E-2</c:v>
                </c:pt>
                <c:pt idx="40">
                  <c:v>-2.8850452638132899E-2</c:v>
                </c:pt>
                <c:pt idx="41">
                  <c:v>-2.2370407599027801E-2</c:v>
                </c:pt>
                <c:pt idx="42">
                  <c:v>-2.31031427963359E-2</c:v>
                </c:pt>
                <c:pt idx="43">
                  <c:v>-2.3389775679142501E-2</c:v>
                </c:pt>
                <c:pt idx="44">
                  <c:v>-2.3218597069281002E-2</c:v>
                </c:pt>
                <c:pt idx="45">
                  <c:v>-2.4222535550882999E-2</c:v>
                </c:pt>
                <c:pt idx="46">
                  <c:v>-2.1589471253701299E-2</c:v>
                </c:pt>
                <c:pt idx="47">
                  <c:v>-1.6728027836887802E-2</c:v>
                </c:pt>
                <c:pt idx="48">
                  <c:v>-1.7950466766271801E-2</c:v>
                </c:pt>
                <c:pt idx="49">
                  <c:v>-2.1326185552540799E-2</c:v>
                </c:pt>
                <c:pt idx="50">
                  <c:v>-3.1302694242039499E-2</c:v>
                </c:pt>
                <c:pt idx="51">
                  <c:v>-2.4353926718556101E-2</c:v>
                </c:pt>
                <c:pt idx="52">
                  <c:v>-2.0756348123506099E-2</c:v>
                </c:pt>
                <c:pt idx="53">
                  <c:v>-9.7156798211631198E-3</c:v>
                </c:pt>
                <c:pt idx="54">
                  <c:v>-1.17702265345925E-2</c:v>
                </c:pt>
                <c:pt idx="55">
                  <c:v>-6.3552394863705701E-3</c:v>
                </c:pt>
                <c:pt idx="56">
                  <c:v>-4.1831810661585398E-3</c:v>
                </c:pt>
                <c:pt idx="57">
                  <c:v>-6.3071969076629901E-3</c:v>
                </c:pt>
                <c:pt idx="58">
                  <c:v>-7.3247365560393102E-3</c:v>
                </c:pt>
                <c:pt idx="59">
                  <c:v>2.1163103249470898E-3</c:v>
                </c:pt>
                <c:pt idx="60">
                  <c:v>6.7656888117114903E-3</c:v>
                </c:pt>
                <c:pt idx="61">
                  <c:v>1.2862648023146701E-2</c:v>
                </c:pt>
                <c:pt idx="62">
                  <c:v>1.31789674619352E-2</c:v>
                </c:pt>
                <c:pt idx="63">
                  <c:v>1.5286657784459499E-2</c:v>
                </c:pt>
                <c:pt idx="64">
                  <c:v>9.7969305662997108E-3</c:v>
                </c:pt>
                <c:pt idx="65">
                  <c:v>1.7148701063965498E-2</c:v>
                </c:pt>
                <c:pt idx="66">
                  <c:v>1.4921632262868601E-2</c:v>
                </c:pt>
                <c:pt idx="67">
                  <c:v>1.18201845171081E-2</c:v>
                </c:pt>
                <c:pt idx="68">
                  <c:v>1.13814959778759E-2</c:v>
                </c:pt>
                <c:pt idx="69">
                  <c:v>1.3279534548647399E-2</c:v>
                </c:pt>
                <c:pt idx="70">
                  <c:v>1.14252456594409E-2</c:v>
                </c:pt>
                <c:pt idx="71">
                  <c:v>1.43098361354326E-2</c:v>
                </c:pt>
                <c:pt idx="72">
                  <c:v>9.7247572715417497E-3</c:v>
                </c:pt>
                <c:pt idx="73">
                  <c:v>1.53718190231224E-2</c:v>
                </c:pt>
                <c:pt idx="74">
                  <c:v>1.0890820835995201E-2</c:v>
                </c:pt>
                <c:pt idx="75">
                  <c:v>1.04571306652157E-2</c:v>
                </c:pt>
                <c:pt idx="76">
                  <c:v>1.6689997679665801E-2</c:v>
                </c:pt>
                <c:pt idx="77">
                  <c:v>1.11010995217397E-2</c:v>
                </c:pt>
                <c:pt idx="78">
                  <c:v>1.3944326605236699E-2</c:v>
                </c:pt>
                <c:pt idx="79">
                  <c:v>1.23594701539383E-2</c:v>
                </c:pt>
                <c:pt idx="80">
                  <c:v>9.5381497064835601E-3</c:v>
                </c:pt>
                <c:pt idx="81">
                  <c:v>1.70969222669577E-2</c:v>
                </c:pt>
                <c:pt idx="82">
                  <c:v>1.40967286130753E-2</c:v>
                </c:pt>
                <c:pt idx="83">
                  <c:v>1.0946014390769599E-2</c:v>
                </c:pt>
                <c:pt idx="84">
                  <c:v>1.42817268803783E-2</c:v>
                </c:pt>
                <c:pt idx="85">
                  <c:v>1.0928893796858999E-2</c:v>
                </c:pt>
                <c:pt idx="86">
                  <c:v>3.0902335159001901E-3</c:v>
                </c:pt>
                <c:pt idx="87">
                  <c:v>1.2336243954573001E-2</c:v>
                </c:pt>
                <c:pt idx="88">
                  <c:v>1.2885110588382801E-2</c:v>
                </c:pt>
                <c:pt idx="89">
                  <c:v>1.6568364328424699E-2</c:v>
                </c:pt>
                <c:pt idx="90">
                  <c:v>1.50105485822102E-2</c:v>
                </c:pt>
                <c:pt idx="91">
                  <c:v>1.50889070714052E-2</c:v>
                </c:pt>
                <c:pt idx="92">
                  <c:v>1.42362312476983E-2</c:v>
                </c:pt>
                <c:pt idx="93">
                  <c:v>1.9923561671217001E-2</c:v>
                </c:pt>
                <c:pt idx="94">
                  <c:v>1.6786467485025099E-2</c:v>
                </c:pt>
                <c:pt idx="95">
                  <c:v>2.2889410993445599E-2</c:v>
                </c:pt>
                <c:pt idx="96">
                  <c:v>1.8117139007116301E-2</c:v>
                </c:pt>
                <c:pt idx="97">
                  <c:v>1.5363595350988401E-2</c:v>
                </c:pt>
                <c:pt idx="98">
                  <c:v>1.8566522131849301E-2</c:v>
                </c:pt>
                <c:pt idx="99">
                  <c:v>9.4750323107282292E-3</c:v>
                </c:pt>
                <c:pt idx="100">
                  <c:v>1.4227491793912901E-2</c:v>
                </c:pt>
                <c:pt idx="101">
                  <c:v>1.9471942047942E-2</c:v>
                </c:pt>
                <c:pt idx="102">
                  <c:v>1.31883513734636E-2</c:v>
                </c:pt>
                <c:pt idx="103">
                  <c:v>1.9485481003201001E-2</c:v>
                </c:pt>
                <c:pt idx="104">
                  <c:v>1.72355585167344E-2</c:v>
                </c:pt>
                <c:pt idx="105">
                  <c:v>1.5467538520192E-2</c:v>
                </c:pt>
                <c:pt idx="106">
                  <c:v>1.8158164941168901E-2</c:v>
                </c:pt>
                <c:pt idx="107">
                  <c:v>1.95638003370655E-2</c:v>
                </c:pt>
                <c:pt idx="108">
                  <c:v>2.0271555074723498E-2</c:v>
                </c:pt>
                <c:pt idx="109">
                  <c:v>1.5850197686761502E-2</c:v>
                </c:pt>
                <c:pt idx="110">
                  <c:v>1.7084767298256601E-2</c:v>
                </c:pt>
                <c:pt idx="111">
                  <c:v>1.8453774578247501E-2</c:v>
                </c:pt>
                <c:pt idx="112">
                  <c:v>1.8101699009826E-2</c:v>
                </c:pt>
                <c:pt idx="113">
                  <c:v>1.46921446241805E-2</c:v>
                </c:pt>
                <c:pt idx="114">
                  <c:v>1.86172162766647E-2</c:v>
                </c:pt>
                <c:pt idx="115">
                  <c:v>1.27363655456202E-2</c:v>
                </c:pt>
                <c:pt idx="116">
                  <c:v>1.29893236532268E-2</c:v>
                </c:pt>
                <c:pt idx="117">
                  <c:v>1.1669781804939199E-2</c:v>
                </c:pt>
                <c:pt idx="118">
                  <c:v>1.92528644166618E-2</c:v>
                </c:pt>
                <c:pt idx="119">
                  <c:v>1.55248306107355E-2</c:v>
                </c:pt>
                <c:pt idx="120">
                  <c:v>2.11143951851319E-2</c:v>
                </c:pt>
                <c:pt idx="121">
                  <c:v>1.67785383987069E-2</c:v>
                </c:pt>
                <c:pt idx="122">
                  <c:v>1.8721958156757E-2</c:v>
                </c:pt>
                <c:pt idx="123">
                  <c:v>1.51128808968447E-2</c:v>
                </c:pt>
                <c:pt idx="124">
                  <c:v>1.6350260805115199E-2</c:v>
                </c:pt>
                <c:pt idx="125">
                  <c:v>1.8653702380614399E-2</c:v>
                </c:pt>
                <c:pt idx="126">
                  <c:v>1.85600675107273E-2</c:v>
                </c:pt>
                <c:pt idx="127">
                  <c:v>1.44940492463E-2</c:v>
                </c:pt>
                <c:pt idx="128">
                  <c:v>1.8470653259910399E-2</c:v>
                </c:pt>
                <c:pt idx="129">
                  <c:v>1.7966923569178499E-2</c:v>
                </c:pt>
                <c:pt idx="130">
                  <c:v>1.8469733334275099E-2</c:v>
                </c:pt>
                <c:pt idx="131">
                  <c:v>2.0385540377472901E-2</c:v>
                </c:pt>
                <c:pt idx="132">
                  <c:v>1.6179778020986399E-2</c:v>
                </c:pt>
                <c:pt idx="133">
                  <c:v>1.9188752375706601E-2</c:v>
                </c:pt>
                <c:pt idx="134">
                  <c:v>1.7872538072196801E-2</c:v>
                </c:pt>
                <c:pt idx="135">
                  <c:v>1.97144545111009E-2</c:v>
                </c:pt>
                <c:pt idx="136">
                  <c:v>2.0961107903990101E-2</c:v>
                </c:pt>
                <c:pt idx="137">
                  <c:v>1.9168210293130799E-2</c:v>
                </c:pt>
                <c:pt idx="138">
                  <c:v>2.1271701280555999E-2</c:v>
                </c:pt>
                <c:pt idx="139">
                  <c:v>1.8058002444893102E-2</c:v>
                </c:pt>
                <c:pt idx="140">
                  <c:v>1.79154981264079E-2</c:v>
                </c:pt>
                <c:pt idx="141">
                  <c:v>2.0978744116222098E-2</c:v>
                </c:pt>
                <c:pt idx="142">
                  <c:v>1.38044152979616E-2</c:v>
                </c:pt>
                <c:pt idx="143">
                  <c:v>1.4540638737522101E-2</c:v>
                </c:pt>
                <c:pt idx="144">
                  <c:v>1.8348801639557499E-2</c:v>
                </c:pt>
                <c:pt idx="145">
                  <c:v>1.7115647250927402E-2</c:v>
                </c:pt>
                <c:pt idx="146">
                  <c:v>1.9913895652825201E-2</c:v>
                </c:pt>
                <c:pt idx="147">
                  <c:v>2.20669671095793E-2</c:v>
                </c:pt>
                <c:pt idx="148">
                  <c:v>2.0265743247572299E-2</c:v>
                </c:pt>
                <c:pt idx="149">
                  <c:v>1.9121676388464699E-2</c:v>
                </c:pt>
                <c:pt idx="150">
                  <c:v>1.7575042336532402E-2</c:v>
                </c:pt>
                <c:pt idx="151">
                  <c:v>2.3048801925089998E-2</c:v>
                </c:pt>
                <c:pt idx="152">
                  <c:v>1.7475337920832602E-2</c:v>
                </c:pt>
                <c:pt idx="153">
                  <c:v>1.8744930787932601E-2</c:v>
                </c:pt>
                <c:pt idx="154">
                  <c:v>2.15141059082475E-2</c:v>
                </c:pt>
                <c:pt idx="155">
                  <c:v>1.8277490988422102E-2</c:v>
                </c:pt>
                <c:pt idx="156">
                  <c:v>2.1490189958988298E-2</c:v>
                </c:pt>
                <c:pt idx="157">
                  <c:v>2.2072744826140401E-2</c:v>
                </c:pt>
                <c:pt idx="158">
                  <c:v>1.9918638146715E-2</c:v>
                </c:pt>
                <c:pt idx="159">
                  <c:v>2.08501157329118E-2</c:v>
                </c:pt>
                <c:pt idx="160">
                  <c:v>2.2696277388097399E-2</c:v>
                </c:pt>
                <c:pt idx="161">
                  <c:v>2.06365322837604E-2</c:v>
                </c:pt>
                <c:pt idx="162">
                  <c:v>2.07600097756677E-2</c:v>
                </c:pt>
                <c:pt idx="163">
                  <c:v>1.8891795606277899E-2</c:v>
                </c:pt>
                <c:pt idx="164">
                  <c:v>2.2474368857813301E-2</c:v>
                </c:pt>
                <c:pt idx="165">
                  <c:v>1.6348179815235699E-2</c:v>
                </c:pt>
                <c:pt idx="166">
                  <c:v>2.21399417386259E-2</c:v>
                </c:pt>
                <c:pt idx="167">
                  <c:v>2.1331270450811401E-2</c:v>
                </c:pt>
                <c:pt idx="168">
                  <c:v>1.93400762608779E-2</c:v>
                </c:pt>
                <c:pt idx="169">
                  <c:v>2.15746979106307E-2</c:v>
                </c:pt>
                <c:pt idx="170">
                  <c:v>2.1142366621179801E-2</c:v>
                </c:pt>
                <c:pt idx="171">
                  <c:v>1.81989591637686E-2</c:v>
                </c:pt>
                <c:pt idx="172">
                  <c:v>2.1237477255299699E-2</c:v>
                </c:pt>
                <c:pt idx="173">
                  <c:v>2.1738977953712799E-2</c:v>
                </c:pt>
                <c:pt idx="174">
                  <c:v>2.1948944467724201E-2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82-4E70-9550-32FC2ECC76BF}"/>
            </c:ext>
          </c:extLst>
        </c:ser>
        <c:ser>
          <c:idx val="1"/>
          <c:order val="1"/>
          <c:tx>
            <c:strRef>
              <c:f>Sheet1!$V$1</c:f>
              <c:strCache>
                <c:ptCount val="1"/>
                <c:pt idx="0">
                  <c:v>log diff LEN B x 10 dma / LEN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Sheet1!$V$2:$V$176</c:f>
              <c:numCache>
                <c:formatCode>0.0000%</c:formatCode>
                <c:ptCount val="175"/>
                <c:pt idx="10">
                  <c:v>-1.1127979061860801E-2</c:v>
                </c:pt>
                <c:pt idx="11">
                  <c:v>2.67484551223943E-3</c:v>
                </c:pt>
                <c:pt idx="12">
                  <c:v>6.1236398046844599E-3</c:v>
                </c:pt>
                <c:pt idx="13">
                  <c:v>1.44704849814034E-2</c:v>
                </c:pt>
                <c:pt idx="14">
                  <c:v>2.5051728363926301E-2</c:v>
                </c:pt>
                <c:pt idx="15">
                  <c:v>2.7857343569919299E-2</c:v>
                </c:pt>
                <c:pt idx="16">
                  <c:v>1.3519825771131399E-2</c:v>
                </c:pt>
                <c:pt idx="17">
                  <c:v>8.2017045042843597E-3</c:v>
                </c:pt>
                <c:pt idx="18">
                  <c:v>2.28274595752294E-2</c:v>
                </c:pt>
                <c:pt idx="19">
                  <c:v>3.3675330441195698E-3</c:v>
                </c:pt>
                <c:pt idx="20">
                  <c:v>8.8383797833751707E-3</c:v>
                </c:pt>
                <c:pt idx="21">
                  <c:v>-6.3579446625137799E-3</c:v>
                </c:pt>
                <c:pt idx="22">
                  <c:v>4.4189847068418003E-3</c:v>
                </c:pt>
                <c:pt idx="23">
                  <c:v>-7.8790647393100106E-3</c:v>
                </c:pt>
                <c:pt idx="24">
                  <c:v>6.0037423420664197E-3</c:v>
                </c:pt>
                <c:pt idx="25">
                  <c:v>2.7523872964046602E-3</c:v>
                </c:pt>
                <c:pt idx="26">
                  <c:v>2.1241101038498002E-5</c:v>
                </c:pt>
                <c:pt idx="27">
                  <c:v>-3.3397780581294299E-3</c:v>
                </c:pt>
                <c:pt idx="28">
                  <c:v>-5.0366941287789601E-3</c:v>
                </c:pt>
                <c:pt idx="29">
                  <c:v>6.1401648569155498E-3</c:v>
                </c:pt>
                <c:pt idx="30">
                  <c:v>9.8623535658781403E-3</c:v>
                </c:pt>
                <c:pt idx="31">
                  <c:v>5.9966487098358197E-3</c:v>
                </c:pt>
                <c:pt idx="32">
                  <c:v>4.5080860649137997E-3</c:v>
                </c:pt>
                <c:pt idx="33">
                  <c:v>1.0809380100260399E-3</c:v>
                </c:pt>
                <c:pt idx="34">
                  <c:v>-5.9849090341410997E-3</c:v>
                </c:pt>
                <c:pt idx="35">
                  <c:v>-1.1522688547016299E-3</c:v>
                </c:pt>
                <c:pt idx="36">
                  <c:v>9.2614867497833094E-3</c:v>
                </c:pt>
                <c:pt idx="37">
                  <c:v>8.0852966289923604E-3</c:v>
                </c:pt>
                <c:pt idx="38">
                  <c:v>-8.1896938568876295E-4</c:v>
                </c:pt>
                <c:pt idx="39">
                  <c:v>4.7031243382957399E-3</c:v>
                </c:pt>
                <c:pt idx="40">
                  <c:v>-5.8186644326061702E-4</c:v>
                </c:pt>
                <c:pt idx="41">
                  <c:v>6.3104367017655302E-3</c:v>
                </c:pt>
                <c:pt idx="42">
                  <c:v>5.0179377543411504E-3</c:v>
                </c:pt>
                <c:pt idx="43">
                  <c:v>4.2431768971609501E-3</c:v>
                </c:pt>
                <c:pt idx="44">
                  <c:v>3.6429685288237E-3</c:v>
                </c:pt>
                <c:pt idx="45">
                  <c:v>1.2457206917279001E-3</c:v>
                </c:pt>
                <c:pt idx="46">
                  <c:v>2.9807978001455001E-3</c:v>
                </c:pt>
                <c:pt idx="47">
                  <c:v>7.7052892715758596E-3</c:v>
                </c:pt>
                <c:pt idx="48">
                  <c:v>5.8581358929396497E-3</c:v>
                </c:pt>
                <c:pt idx="49">
                  <c:v>1.2301349569646099E-3</c:v>
                </c:pt>
                <c:pt idx="50">
                  <c:v>-9.0227523617491603E-3</c:v>
                </c:pt>
                <c:pt idx="51">
                  <c:v>-1.8268717557899999E-3</c:v>
                </c:pt>
                <c:pt idx="52">
                  <c:v>1.9692047970193902E-3</c:v>
                </c:pt>
                <c:pt idx="53">
                  <c:v>1.2775352765903299E-2</c:v>
                </c:pt>
                <c:pt idx="54">
                  <c:v>9.3605571900723106E-3</c:v>
                </c:pt>
                <c:pt idx="55">
                  <c:v>1.36342053692929E-2</c:v>
                </c:pt>
                <c:pt idx="56">
                  <c:v>1.40263062597246E-2</c:v>
                </c:pt>
                <c:pt idx="57">
                  <c:v>1.01693799509519E-2</c:v>
                </c:pt>
                <c:pt idx="58">
                  <c:v>8.1143693920366303E-3</c:v>
                </c:pt>
                <c:pt idx="59">
                  <c:v>1.6495249125539901E-2</c:v>
                </c:pt>
                <c:pt idx="60">
                  <c:v>1.8808763372190399E-2</c:v>
                </c:pt>
                <c:pt idx="61">
                  <c:v>2.10905274769305E-2</c:v>
                </c:pt>
                <c:pt idx="62">
                  <c:v>1.7687292807049299E-2</c:v>
                </c:pt>
                <c:pt idx="63">
                  <c:v>1.6397966745437299E-2</c:v>
                </c:pt>
                <c:pt idx="64">
                  <c:v>8.4145582039821393E-3</c:v>
                </c:pt>
                <c:pt idx="65">
                  <c:v>1.3602115512005601E-2</c:v>
                </c:pt>
                <c:pt idx="66">
                  <c:v>9.0261867910251294E-3</c:v>
                </c:pt>
                <c:pt idx="67">
                  <c:v>4.0113937661682298E-3</c:v>
                </c:pt>
                <c:pt idx="68">
                  <c:v>1.7490987129130499E-3</c:v>
                </c:pt>
                <c:pt idx="69">
                  <c:v>1.76042936336035E-3</c:v>
                </c:pt>
                <c:pt idx="70">
                  <c:v>-1.2150899430996599E-3</c:v>
                </c:pt>
                <c:pt idx="71">
                  <c:v>1.20178037842675E-3</c:v>
                </c:pt>
                <c:pt idx="72">
                  <c:v>-3.5279585860704698E-3</c:v>
                </c:pt>
                <c:pt idx="73">
                  <c:v>2.4650871103336501E-3</c:v>
                </c:pt>
                <c:pt idx="74">
                  <c:v>-2.0244066313527599E-3</c:v>
                </c:pt>
                <c:pt idx="75">
                  <c:v>-2.5677734884472598E-3</c:v>
                </c:pt>
                <c:pt idx="76">
                  <c:v>4.3335079651060397E-3</c:v>
                </c:pt>
                <c:pt idx="77">
                  <c:v>-1.4316333714070499E-3</c:v>
                </c:pt>
                <c:pt idx="78">
                  <c:v>1.48357675612209E-3</c:v>
                </c:pt>
                <c:pt idx="79">
                  <c:v>-3.5754385557370302E-4</c:v>
                </c:pt>
                <c:pt idx="80">
                  <c:v>-3.0868715208826202E-3</c:v>
                </c:pt>
                <c:pt idx="81">
                  <c:v>4.6609976825297298E-3</c:v>
                </c:pt>
                <c:pt idx="82">
                  <c:v>1.3829659137287E-3</c:v>
                </c:pt>
                <c:pt idx="83">
                  <c:v>-2.2053927625039701E-3</c:v>
                </c:pt>
                <c:pt idx="84">
                  <c:v>1.5727993194475101E-3</c:v>
                </c:pt>
                <c:pt idx="85">
                  <c:v>-2.1192236426385699E-3</c:v>
                </c:pt>
                <c:pt idx="86">
                  <c:v>-1.00051725914073E-2</c:v>
                </c:pt>
                <c:pt idx="87">
                  <c:v>6.04261007011134E-4</c:v>
                </c:pt>
                <c:pt idx="88">
                  <c:v>1.02960391680731E-3</c:v>
                </c:pt>
                <c:pt idx="89">
                  <c:v>4.8186086461094804E-3</c:v>
                </c:pt>
                <c:pt idx="90">
                  <c:v>2.8409558663896701E-3</c:v>
                </c:pt>
                <c:pt idx="91">
                  <c:v>2.3719813497464601E-3</c:v>
                </c:pt>
                <c:pt idx="92">
                  <c:v>1.71941029622194E-3</c:v>
                </c:pt>
                <c:pt idx="93">
                  <c:v>7.3928133534878499E-3</c:v>
                </c:pt>
                <c:pt idx="94">
                  <c:v>3.3601638766714102E-3</c:v>
                </c:pt>
                <c:pt idx="95">
                  <c:v>9.2131294090027297E-3</c:v>
                </c:pt>
                <c:pt idx="96">
                  <c:v>3.24794780018773E-3</c:v>
                </c:pt>
                <c:pt idx="97">
                  <c:v>-1.0158639085286001E-3</c:v>
                </c:pt>
                <c:pt idx="98">
                  <c:v>1.8835148008587801E-3</c:v>
                </c:pt>
                <c:pt idx="99">
                  <c:v>-7.77682278260364E-3</c:v>
                </c:pt>
                <c:pt idx="100">
                  <c:v>-2.3122752530384898E-3</c:v>
                </c:pt>
                <c:pt idx="101">
                  <c:v>3.0106281542200499E-3</c:v>
                </c:pt>
                <c:pt idx="102">
                  <c:v>-3.7110034223056801E-3</c:v>
                </c:pt>
                <c:pt idx="103">
                  <c:v>2.6912431734024802E-3</c:v>
                </c:pt>
                <c:pt idx="104">
                  <c:v>4.8500049155796498E-4</c:v>
                </c:pt>
                <c:pt idx="105">
                  <c:v>-1.32791792117512E-3</c:v>
                </c:pt>
                <c:pt idx="106">
                  <c:v>2.1028569289648102E-3</c:v>
                </c:pt>
                <c:pt idx="107">
                  <c:v>3.50439825719699E-3</c:v>
                </c:pt>
                <c:pt idx="108">
                  <c:v>3.7926336210379599E-3</c:v>
                </c:pt>
                <c:pt idx="109">
                  <c:v>-7.98740970467962E-4</c:v>
                </c:pt>
                <c:pt idx="110">
                  <c:v>-2.0444032823773001E-4</c:v>
                </c:pt>
                <c:pt idx="111">
                  <c:v>8.7833134584520403E-4</c:v>
                </c:pt>
                <c:pt idx="112">
                  <c:v>6.2792619603197397E-4</c:v>
                </c:pt>
                <c:pt idx="113">
                  <c:v>-3.2739839849719901E-3</c:v>
                </c:pt>
                <c:pt idx="114">
                  <c:v>1.13072743065011E-3</c:v>
                </c:pt>
                <c:pt idx="115">
                  <c:v>-4.8882378591907803E-3</c:v>
                </c:pt>
                <c:pt idx="116">
                  <c:v>-4.3612361287449801E-3</c:v>
                </c:pt>
                <c:pt idx="117">
                  <c:v>-5.1631080618835899E-3</c:v>
                </c:pt>
                <c:pt idx="118">
                  <c:v>3.2100268562860498E-3</c:v>
                </c:pt>
                <c:pt idx="119">
                  <c:v>-4.1652121452517599E-4</c:v>
                </c:pt>
                <c:pt idx="120">
                  <c:v>5.2055877981317901E-3</c:v>
                </c:pt>
                <c:pt idx="121">
                  <c:v>4.6797097051400998E-4</c:v>
                </c:pt>
                <c:pt idx="122">
                  <c:v>2.5786817978627899E-3</c:v>
                </c:pt>
                <c:pt idx="123">
                  <c:v>-1.0922827431683599E-3</c:v>
                </c:pt>
                <c:pt idx="124">
                  <c:v>1.0296780713588199E-4</c:v>
                </c:pt>
                <c:pt idx="125">
                  <c:v>2.63279922667254E-3</c:v>
                </c:pt>
                <c:pt idx="126">
                  <c:v>1.9470616923035399E-3</c:v>
                </c:pt>
                <c:pt idx="127">
                  <c:v>-2.6766543602692499E-3</c:v>
                </c:pt>
                <c:pt idx="128">
                  <c:v>1.0163254502555299E-3</c:v>
                </c:pt>
                <c:pt idx="129">
                  <c:v>5.9070381328745999E-4</c:v>
                </c:pt>
                <c:pt idx="130">
                  <c:v>8.4912037616662105E-4</c:v>
                </c:pt>
                <c:pt idx="131">
                  <c:v>3.0287852154375801E-3</c:v>
                </c:pt>
                <c:pt idx="132">
                  <c:v>-1.5373007533689201E-3</c:v>
                </c:pt>
                <c:pt idx="133">
                  <c:v>1.7259270428164901E-3</c:v>
                </c:pt>
                <c:pt idx="134">
                  <c:v>1.91498042119309E-6</c:v>
                </c:pt>
                <c:pt idx="135">
                  <c:v>1.6914764537037301E-3</c:v>
                </c:pt>
                <c:pt idx="136">
                  <c:v>2.83217210774994E-3</c:v>
                </c:pt>
                <c:pt idx="137">
                  <c:v>7.9953311108917101E-4</c:v>
                </c:pt>
                <c:pt idx="138">
                  <c:v>2.4347787307193699E-3</c:v>
                </c:pt>
                <c:pt idx="139">
                  <c:v>-1.0587746041471899E-3</c:v>
                </c:pt>
                <c:pt idx="140">
                  <c:v>-1.21039691529937E-3</c:v>
                </c:pt>
                <c:pt idx="141">
                  <c:v>1.9083228070858099E-3</c:v>
                </c:pt>
                <c:pt idx="142">
                  <c:v>-5.3252326088949501E-3</c:v>
                </c:pt>
                <c:pt idx="143">
                  <c:v>-4.3505164280731E-3</c:v>
                </c:pt>
                <c:pt idx="144">
                  <c:v>-7.6707296496747899E-5</c:v>
                </c:pt>
                <c:pt idx="145">
                  <c:v>-1.3575041741974E-3</c:v>
                </c:pt>
                <c:pt idx="146">
                  <c:v>1.70060635941638E-3</c:v>
                </c:pt>
                <c:pt idx="147">
                  <c:v>3.9581609240971604E-3</c:v>
                </c:pt>
                <c:pt idx="148">
                  <c:v>1.8677457910115901E-3</c:v>
                </c:pt>
                <c:pt idx="149">
                  <c:v>8.2403150144786199E-4</c:v>
                </c:pt>
                <c:pt idx="150">
                  <c:v>-8.2894452853174503E-4</c:v>
                </c:pt>
                <c:pt idx="151">
                  <c:v>4.6788824926535504E-3</c:v>
                </c:pt>
                <c:pt idx="152">
                  <c:v>-1.1008556762215199E-3</c:v>
                </c:pt>
                <c:pt idx="153">
                  <c:v>-1.9950255338771499E-4</c:v>
                </c:pt>
                <c:pt idx="154">
                  <c:v>2.1481854435388098E-3</c:v>
                </c:pt>
                <c:pt idx="155">
                  <c:v>-1.4048311270532701E-3</c:v>
                </c:pt>
                <c:pt idx="156">
                  <c:v>1.69144574373609E-3</c:v>
                </c:pt>
                <c:pt idx="157">
                  <c:v>2.1165010837212099E-3</c:v>
                </c:pt>
                <c:pt idx="158">
                  <c:v>-3.81821476308539E-5</c:v>
                </c:pt>
                <c:pt idx="159">
                  <c:v>9.2800064813525196E-4</c:v>
                </c:pt>
                <c:pt idx="160">
                  <c:v>2.6013144338330801E-3</c:v>
                </c:pt>
                <c:pt idx="161">
                  <c:v>2.9334936496732E-5</c:v>
                </c:pt>
                <c:pt idx="162">
                  <c:v>3.9371258758722399E-4</c:v>
                </c:pt>
                <c:pt idx="163">
                  <c:v>-1.80343339521993E-3</c:v>
                </c:pt>
                <c:pt idx="164">
                  <c:v>1.7644256757754001E-3</c:v>
                </c:pt>
                <c:pt idx="165">
                  <c:v>-4.4576710175808403E-3</c:v>
                </c:pt>
                <c:pt idx="166">
                  <c:v>1.52767840361906E-3</c:v>
                </c:pt>
                <c:pt idx="167">
                  <c:v>6.5410793611835603E-4</c:v>
                </c:pt>
                <c:pt idx="168">
                  <c:v>-1.26301750845727E-3</c:v>
                </c:pt>
                <c:pt idx="169">
                  <c:v>1.0295150179438701E-3</c:v>
                </c:pt>
                <c:pt idx="170">
                  <c:v>5.2477121714608697E-4</c:v>
                </c:pt>
                <c:pt idx="171">
                  <c:v>-2.2634593336194799E-3</c:v>
                </c:pt>
                <c:pt idx="172">
                  <c:v>1.01904114388326E-3</c:v>
                </c:pt>
                <c:pt idx="173">
                  <c:v>1.4728311983541701E-3</c:v>
                </c:pt>
                <c:pt idx="174">
                  <c:v>1.39805286467873E-3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82-4E70-9550-32FC2ECC76BF}"/>
            </c:ext>
          </c:extLst>
        </c:ser>
        <c:ser>
          <c:idx val="2"/>
          <c:order val="2"/>
          <c:tx>
            <c:strRef>
              <c:f>Sheet1!$W$1</c:f>
              <c:strCache>
                <c:ptCount val="1"/>
                <c:pt idx="0">
                  <c:v>log diff LEN B x 20 dma / LEN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Sheet1!$W$2:$W$176</c:f>
              <c:numCache>
                <c:formatCode>0.0000%</c:formatCode>
                <c:ptCount val="175"/>
                <c:pt idx="20">
                  <c:v>1.48239013787191E-2</c:v>
                </c:pt>
                <c:pt idx="21">
                  <c:v>1.9967239376216402E-3</c:v>
                </c:pt>
                <c:pt idx="22">
                  <c:v>1.3819752626265801E-2</c:v>
                </c:pt>
                <c:pt idx="23">
                  <c:v>2.6470748455270999E-3</c:v>
                </c:pt>
                <c:pt idx="24">
                  <c:v>1.6541869387054299E-2</c:v>
                </c:pt>
                <c:pt idx="25">
                  <c:v>1.2721885000547601E-2</c:v>
                </c:pt>
                <c:pt idx="26">
                  <c:v>8.1062812923739496E-3</c:v>
                </c:pt>
                <c:pt idx="27">
                  <c:v>3.7083910367464099E-3</c:v>
                </c:pt>
                <c:pt idx="28">
                  <c:v>8.4599298700868198E-4</c:v>
                </c:pt>
                <c:pt idx="29">
                  <c:v>9.2275067922368507E-3</c:v>
                </c:pt>
                <c:pt idx="30">
                  <c:v>1.2375732407616099E-2</c:v>
                </c:pt>
                <c:pt idx="31">
                  <c:v>7.1987208554871096E-3</c:v>
                </c:pt>
                <c:pt idx="32">
                  <c:v>6.0656864085944203E-3</c:v>
                </c:pt>
                <c:pt idx="33">
                  <c:v>1.9426642979632799E-3</c:v>
                </c:pt>
                <c:pt idx="34">
                  <c:v>-4.5149207718228499E-3</c:v>
                </c:pt>
                <c:pt idx="35">
                  <c:v>-2.3137980548402999E-4</c:v>
                </c:pt>
                <c:pt idx="36">
                  <c:v>1.03410830923851E-2</c:v>
                </c:pt>
                <c:pt idx="37">
                  <c:v>9.6031570789790605E-3</c:v>
                </c:pt>
                <c:pt idx="38">
                  <c:v>1.29694051063848E-3</c:v>
                </c:pt>
                <c:pt idx="39">
                  <c:v>8.0505351992517394E-3</c:v>
                </c:pt>
                <c:pt idx="40">
                  <c:v>2.5804543261686301E-3</c:v>
                </c:pt>
                <c:pt idx="41">
                  <c:v>8.96490589970525E-3</c:v>
                </c:pt>
                <c:pt idx="42">
                  <c:v>7.2117378035568497E-3</c:v>
                </c:pt>
                <c:pt idx="43">
                  <c:v>6.5215746705818596E-3</c:v>
                </c:pt>
                <c:pt idx="44">
                  <c:v>5.7700208499869704E-3</c:v>
                </c:pt>
                <c:pt idx="45">
                  <c:v>4.5255301800936299E-3</c:v>
                </c:pt>
                <c:pt idx="46">
                  <c:v>6.8147494775576897E-3</c:v>
                </c:pt>
                <c:pt idx="47">
                  <c:v>1.10377165885155E-2</c:v>
                </c:pt>
                <c:pt idx="48">
                  <c:v>8.7788043753354306E-3</c:v>
                </c:pt>
                <c:pt idx="49">
                  <c:v>4.3529832082084803E-3</c:v>
                </c:pt>
                <c:pt idx="50">
                  <c:v>-6.0239472285664496E-3</c:v>
                </c:pt>
                <c:pt idx="51">
                  <c:v>1.25475654615653E-3</c:v>
                </c:pt>
                <c:pt idx="52">
                  <c:v>4.6706075724821799E-3</c:v>
                </c:pt>
                <c:pt idx="53">
                  <c:v>1.5349617674527799E-2</c:v>
                </c:pt>
                <c:pt idx="54">
                  <c:v>1.2230053353784799E-2</c:v>
                </c:pt>
                <c:pt idx="55">
                  <c:v>1.6377363229850499E-2</c:v>
                </c:pt>
                <c:pt idx="56">
                  <c:v>1.7211754558204201E-2</c:v>
                </c:pt>
                <c:pt idx="57">
                  <c:v>1.41556637694264E-2</c:v>
                </c:pt>
                <c:pt idx="58">
                  <c:v>1.2307873781448E-2</c:v>
                </c:pt>
                <c:pt idx="59">
                  <c:v>2.0592298653158501E-2</c:v>
                </c:pt>
                <c:pt idx="60">
                  <c:v>2.3940296156465798E-2</c:v>
                </c:pt>
                <c:pt idx="61">
                  <c:v>2.8265673316211899E-2</c:v>
                </c:pt>
                <c:pt idx="62">
                  <c:v>2.6837389443709801E-2</c:v>
                </c:pt>
                <c:pt idx="63">
                  <c:v>2.7144964043109801E-2</c:v>
                </c:pt>
                <c:pt idx="64">
                  <c:v>1.9734490184179498E-2</c:v>
                </c:pt>
                <c:pt idx="65">
                  <c:v>2.5439372208592801E-2</c:v>
                </c:pt>
                <c:pt idx="66">
                  <c:v>2.1151282404684901E-2</c:v>
                </c:pt>
                <c:pt idx="67">
                  <c:v>1.6227798144344899E-2</c:v>
                </c:pt>
                <c:pt idx="68">
                  <c:v>1.43634207958078E-2</c:v>
                </c:pt>
                <c:pt idx="69">
                  <c:v>1.47932875987226E-2</c:v>
                </c:pt>
                <c:pt idx="70">
                  <c:v>1.1202772047258299E-2</c:v>
                </c:pt>
                <c:pt idx="71">
                  <c:v>1.1926649670961201E-2</c:v>
                </c:pt>
                <c:pt idx="72">
                  <c:v>5.3919933200895402E-3</c:v>
                </c:pt>
                <c:pt idx="73">
                  <c:v>9.4986705298454408E-3</c:v>
                </c:pt>
                <c:pt idx="74">
                  <c:v>3.7586466723827702E-3</c:v>
                </c:pt>
                <c:pt idx="75">
                  <c:v>2.1826155858076599E-3</c:v>
                </c:pt>
                <c:pt idx="76">
                  <c:v>7.5692482139762896E-3</c:v>
                </c:pt>
                <c:pt idx="77">
                  <c:v>9.3312715077299095E-4</c:v>
                </c:pt>
                <c:pt idx="78">
                  <c:v>2.8987529951572202E-3</c:v>
                </c:pt>
                <c:pt idx="79">
                  <c:v>2.41589929722181E-4</c:v>
                </c:pt>
                <c:pt idx="80">
                  <c:v>-3.0945286791536899E-3</c:v>
                </c:pt>
                <c:pt idx="81">
                  <c:v>4.3249885662788598E-3</c:v>
                </c:pt>
                <c:pt idx="82">
                  <c:v>1.11352564340902E-3</c:v>
                </c:pt>
                <c:pt idx="83">
                  <c:v>-2.0830476590149899E-3</c:v>
                </c:pt>
                <c:pt idx="84">
                  <c:v>1.4696546861950499E-3</c:v>
                </c:pt>
                <c:pt idx="85">
                  <c:v>-2.1076169323642302E-3</c:v>
                </c:pt>
                <c:pt idx="86">
                  <c:v>-9.6356461453558691E-3</c:v>
                </c:pt>
                <c:pt idx="87">
                  <c:v>2.03966184275771E-4</c:v>
                </c:pt>
                <c:pt idx="88">
                  <c:v>7.2702811795037397E-4</c:v>
                </c:pt>
                <c:pt idx="89">
                  <c:v>4.3350964310901498E-3</c:v>
                </c:pt>
                <c:pt idx="90">
                  <c:v>2.6132675375076602E-3</c:v>
                </c:pt>
                <c:pt idx="91">
                  <c:v>2.5124917885669001E-3</c:v>
                </c:pt>
                <c:pt idx="92">
                  <c:v>1.6209442705433601E-3</c:v>
                </c:pt>
                <c:pt idx="93">
                  <c:v>7.0825320878885999E-3</c:v>
                </c:pt>
                <c:pt idx="94">
                  <c:v>3.7189162289306501E-3</c:v>
                </c:pt>
                <c:pt idx="95">
                  <c:v>9.5272608052486898E-3</c:v>
                </c:pt>
                <c:pt idx="96">
                  <c:v>4.13523363914425E-3</c:v>
                </c:pt>
                <c:pt idx="97">
                  <c:v>1.31057412452802E-3</c:v>
                </c:pt>
                <c:pt idx="98">
                  <c:v>4.3001782230648999E-3</c:v>
                </c:pt>
                <c:pt idx="99">
                  <c:v>-5.0219889446274403E-3</c:v>
                </c:pt>
                <c:pt idx="100">
                  <c:v>-1.24800786412349E-4</c:v>
                </c:pt>
                <c:pt idx="101">
                  <c:v>4.8845747945755798E-3</c:v>
                </c:pt>
                <c:pt idx="102">
                  <c:v>-1.5173356767181399E-3</c:v>
                </c:pt>
                <c:pt idx="103">
                  <c:v>4.8252600955686403E-3</c:v>
                </c:pt>
                <c:pt idx="104">
                  <c:v>2.1485090327622398E-3</c:v>
                </c:pt>
                <c:pt idx="105">
                  <c:v>2.3288566326768199E-4</c:v>
                </c:pt>
                <c:pt idx="106">
                  <c:v>2.6960911907269302E-3</c:v>
                </c:pt>
                <c:pt idx="107">
                  <c:v>3.3443824719476601E-3</c:v>
                </c:pt>
                <c:pt idx="108">
                  <c:v>3.6905958887658999E-3</c:v>
                </c:pt>
                <c:pt idx="109">
                  <c:v>-1.10015374999147E-3</c:v>
                </c:pt>
                <c:pt idx="110">
                  <c:v>1.7035016917962801E-4</c:v>
                </c:pt>
                <c:pt idx="111">
                  <c:v>1.43555117570021E-3</c:v>
                </c:pt>
                <c:pt idx="112">
                  <c:v>9.1517644955142795E-4</c:v>
                </c:pt>
                <c:pt idx="113">
                  <c:v>-2.68786692930478E-3</c:v>
                </c:pt>
                <c:pt idx="114">
                  <c:v>1.49876054033907E-3</c:v>
                </c:pt>
                <c:pt idx="115">
                  <c:v>-4.4735784418854403E-3</c:v>
                </c:pt>
                <c:pt idx="116">
                  <c:v>-3.71340053423242E-3</c:v>
                </c:pt>
                <c:pt idx="117">
                  <c:v>-4.7762893829888997E-3</c:v>
                </c:pt>
                <c:pt idx="118">
                  <c:v>2.9920086807762101E-3</c:v>
                </c:pt>
                <c:pt idx="119">
                  <c:v>-7.7025204562032102E-4</c:v>
                </c:pt>
                <c:pt idx="120">
                  <c:v>4.5156258664684097E-3</c:v>
                </c:pt>
                <c:pt idx="121">
                  <c:v>-1.64266942753882E-4</c:v>
                </c:pt>
                <c:pt idx="122">
                  <c:v>1.9136548479988401E-3</c:v>
                </c:pt>
                <c:pt idx="123">
                  <c:v>-1.97237760308549E-3</c:v>
                </c:pt>
                <c:pt idx="124">
                  <c:v>-5.1643816610046902E-4</c:v>
                </c:pt>
                <c:pt idx="125">
                  <c:v>1.83127058301536E-3</c:v>
                </c:pt>
                <c:pt idx="126">
                  <c:v>1.57835270875925E-3</c:v>
                </c:pt>
                <c:pt idx="127">
                  <c:v>-2.5077332256308099E-3</c:v>
                </c:pt>
                <c:pt idx="128">
                  <c:v>1.7223196129648099E-3</c:v>
                </c:pt>
                <c:pt idx="129">
                  <c:v>1.3083951343280001E-3</c:v>
                </c:pt>
                <c:pt idx="130">
                  <c:v>1.70538944646545E-3</c:v>
                </c:pt>
                <c:pt idx="131">
                  <c:v>3.5520158959493702E-3</c:v>
                </c:pt>
                <c:pt idx="132">
                  <c:v>-7.5008993891482599E-4</c:v>
                </c:pt>
                <c:pt idx="133">
                  <c:v>2.3549556033587598E-3</c:v>
                </c:pt>
                <c:pt idx="134">
                  <c:v>8.1390942735725703E-4</c:v>
                </c:pt>
                <c:pt idx="135">
                  <c:v>2.6930149433374798E-3</c:v>
                </c:pt>
                <c:pt idx="136">
                  <c:v>3.5904243520928701E-3</c:v>
                </c:pt>
                <c:pt idx="137">
                  <c:v>1.3986992914006399E-3</c:v>
                </c:pt>
                <c:pt idx="138">
                  <c:v>3.1263150468181602E-3</c:v>
                </c:pt>
                <c:pt idx="139">
                  <c:v>-1.8811726515891901E-4</c:v>
                </c:pt>
                <c:pt idx="140">
                  <c:v>-4.5747263925786301E-4</c:v>
                </c:pt>
                <c:pt idx="141">
                  <c:v>2.7655229620494799E-3</c:v>
                </c:pt>
                <c:pt idx="142">
                  <c:v>-4.6186986237209101E-3</c:v>
                </c:pt>
                <c:pt idx="143">
                  <c:v>-3.63609649597839E-3</c:v>
                </c:pt>
                <c:pt idx="144">
                  <c:v>2.00774112929517E-4</c:v>
                </c:pt>
                <c:pt idx="145">
                  <c:v>-1.1323921583259399E-3</c:v>
                </c:pt>
                <c:pt idx="146">
                  <c:v>1.74278399743987E-3</c:v>
                </c:pt>
                <c:pt idx="147">
                  <c:v>3.82823386743416E-3</c:v>
                </c:pt>
                <c:pt idx="148">
                  <c:v>1.64830732627814E-3</c:v>
                </c:pt>
                <c:pt idx="149">
                  <c:v>4.1454929262133098E-4</c:v>
                </c:pt>
                <c:pt idx="150">
                  <c:v>-1.18983347292778E-3</c:v>
                </c:pt>
                <c:pt idx="151">
                  <c:v>4.3286928921624796E-3</c:v>
                </c:pt>
                <c:pt idx="152">
                  <c:v>-1.37754454216392E-3</c:v>
                </c:pt>
                <c:pt idx="153">
                  <c:v>-1.72863110704801E-4</c:v>
                </c:pt>
                <c:pt idx="154">
                  <c:v>2.6185017545925201E-3</c:v>
                </c:pt>
                <c:pt idx="155">
                  <c:v>-8.0006302016925402E-4</c:v>
                </c:pt>
                <c:pt idx="156">
                  <c:v>2.4844874130384499E-3</c:v>
                </c:pt>
                <c:pt idx="157">
                  <c:v>3.0406464903201401E-3</c:v>
                </c:pt>
                <c:pt idx="158">
                  <c:v>7.4153301231092003E-4</c:v>
                </c:pt>
                <c:pt idx="159">
                  <c:v>1.7405656099067099E-3</c:v>
                </c:pt>
                <c:pt idx="160">
                  <c:v>3.4471599034074799E-3</c:v>
                </c:pt>
                <c:pt idx="161">
                  <c:v>1.1485995703383899E-3</c:v>
                </c:pt>
                <c:pt idx="162">
                  <c:v>1.2891649419055E-3</c:v>
                </c:pt>
                <c:pt idx="163">
                  <c:v>-9.2765240449967903E-4</c:v>
                </c:pt>
                <c:pt idx="164">
                  <c:v>2.4366628340559398E-3</c:v>
                </c:pt>
                <c:pt idx="165">
                  <c:v>-3.8957488693211399E-3</c:v>
                </c:pt>
                <c:pt idx="166">
                  <c:v>1.93452069016378E-3</c:v>
                </c:pt>
                <c:pt idx="167">
                  <c:v>1.0146322877381E-3</c:v>
                </c:pt>
                <c:pt idx="168">
                  <c:v>-9.3982856228804E-4</c:v>
                </c:pt>
                <c:pt idx="169">
                  <c:v>1.34109744858508E-3</c:v>
                </c:pt>
                <c:pt idx="170">
                  <c:v>7.8612158511494096E-4</c:v>
                </c:pt>
                <c:pt idx="171">
                  <c:v>-2.3358461384427802E-3</c:v>
                </c:pt>
                <c:pt idx="172">
                  <c:v>9.4511333841348596E-4</c:v>
                </c:pt>
                <c:pt idx="173">
                  <c:v>1.25831308923117E-3</c:v>
                </c:pt>
                <c:pt idx="174">
                  <c:v>1.31853023735818E-3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382-4E70-9550-32FC2ECC76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9287584"/>
        <c:axId val="205412432"/>
      </c:lineChart>
      <c:catAx>
        <c:axId val="1669287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12432"/>
        <c:crosses val="autoZero"/>
        <c:auto val="1"/>
        <c:lblAlgn val="ctr"/>
        <c:lblOffset val="100"/>
        <c:noMultiLvlLbl val="0"/>
      </c:catAx>
      <c:valAx>
        <c:axId val="20541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28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Sheet1!$AR$22:$AR$176</c:f>
              <c:numCache>
                <c:formatCode>0.00%</c:formatCode>
                <c:ptCount val="1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3.9266424441250294E-3</c:v>
                </c:pt>
                <c:pt idx="16">
                  <c:v>3.9266424441250294E-3</c:v>
                </c:pt>
                <c:pt idx="17">
                  <c:v>3.9266424441250294E-3</c:v>
                </c:pt>
                <c:pt idx="18">
                  <c:v>3.9266424441250294E-3</c:v>
                </c:pt>
                <c:pt idx="19">
                  <c:v>3.9266424441250294E-3</c:v>
                </c:pt>
                <c:pt idx="20">
                  <c:v>3.9266424441250294E-3</c:v>
                </c:pt>
                <c:pt idx="21">
                  <c:v>3.9266424441250294E-3</c:v>
                </c:pt>
                <c:pt idx="22">
                  <c:v>3.9266424441250294E-3</c:v>
                </c:pt>
                <c:pt idx="23">
                  <c:v>3.9266424441250294E-3</c:v>
                </c:pt>
                <c:pt idx="24">
                  <c:v>3.9266424441250294E-3</c:v>
                </c:pt>
                <c:pt idx="25">
                  <c:v>3.9266424441250294E-3</c:v>
                </c:pt>
                <c:pt idx="26">
                  <c:v>3.9266424441250294E-3</c:v>
                </c:pt>
                <c:pt idx="27">
                  <c:v>3.9266424441250294E-3</c:v>
                </c:pt>
                <c:pt idx="28">
                  <c:v>3.9266424441250294E-3</c:v>
                </c:pt>
                <c:pt idx="29">
                  <c:v>3.9266424441250294E-3</c:v>
                </c:pt>
                <c:pt idx="30">
                  <c:v>3.9266424441250294E-3</c:v>
                </c:pt>
                <c:pt idx="31">
                  <c:v>1.0875409967608329E-2</c:v>
                </c:pt>
                <c:pt idx="32">
                  <c:v>1.0875409967608329E-2</c:v>
                </c:pt>
                <c:pt idx="33">
                  <c:v>1.0875409967608329E-2</c:v>
                </c:pt>
                <c:pt idx="34">
                  <c:v>1.0875409967608329E-2</c:v>
                </c:pt>
                <c:pt idx="35">
                  <c:v>1.0875409967608329E-2</c:v>
                </c:pt>
                <c:pt idx="36">
                  <c:v>1.0875409967608329E-2</c:v>
                </c:pt>
                <c:pt idx="37">
                  <c:v>1.0875409967608329E-2</c:v>
                </c:pt>
                <c:pt idx="38">
                  <c:v>1.0875409967608329E-2</c:v>
                </c:pt>
                <c:pt idx="39">
                  <c:v>1.0875409967608329E-2</c:v>
                </c:pt>
                <c:pt idx="40">
                  <c:v>1.0875409967608329E-2</c:v>
                </c:pt>
                <c:pt idx="41">
                  <c:v>1.0875409967608329E-2</c:v>
                </c:pt>
                <c:pt idx="42">
                  <c:v>1.0875409967608329E-2</c:v>
                </c:pt>
                <c:pt idx="43">
                  <c:v>1.0875409967608329E-2</c:v>
                </c:pt>
                <c:pt idx="44">
                  <c:v>1.0875409967608329E-2</c:v>
                </c:pt>
                <c:pt idx="45">
                  <c:v>1.0875409967608329E-2</c:v>
                </c:pt>
                <c:pt idx="46">
                  <c:v>1.0875409967608329E-2</c:v>
                </c:pt>
                <c:pt idx="47">
                  <c:v>1.0875409967608329E-2</c:v>
                </c:pt>
                <c:pt idx="48">
                  <c:v>1.0875409967608329E-2</c:v>
                </c:pt>
                <c:pt idx="49">
                  <c:v>1.0875409967608329E-2</c:v>
                </c:pt>
                <c:pt idx="50">
                  <c:v>1.0875409967608329E-2</c:v>
                </c:pt>
                <c:pt idx="51">
                  <c:v>1.0875409967608329E-2</c:v>
                </c:pt>
                <c:pt idx="52">
                  <c:v>1.0875409967608329E-2</c:v>
                </c:pt>
                <c:pt idx="53">
                  <c:v>1.0875409967608329E-2</c:v>
                </c:pt>
                <c:pt idx="54">
                  <c:v>1.0875409967608329E-2</c:v>
                </c:pt>
                <c:pt idx="55">
                  <c:v>1.0875409967608329E-2</c:v>
                </c:pt>
                <c:pt idx="56">
                  <c:v>1.0875409967608329E-2</c:v>
                </c:pt>
                <c:pt idx="57">
                  <c:v>1.0875409967608329E-2</c:v>
                </c:pt>
                <c:pt idx="58">
                  <c:v>1.0875409967608329E-2</c:v>
                </c:pt>
                <c:pt idx="59">
                  <c:v>1.0875409967608329E-2</c:v>
                </c:pt>
                <c:pt idx="60">
                  <c:v>1.0875409967608329E-2</c:v>
                </c:pt>
                <c:pt idx="61">
                  <c:v>1.0875409967608329E-2</c:v>
                </c:pt>
                <c:pt idx="62">
                  <c:v>1.0875409967608329E-2</c:v>
                </c:pt>
                <c:pt idx="63">
                  <c:v>1.0875409967608329E-2</c:v>
                </c:pt>
                <c:pt idx="64">
                  <c:v>1.0875409967608329E-2</c:v>
                </c:pt>
                <c:pt idx="65">
                  <c:v>1.0875409967608329E-2</c:v>
                </c:pt>
                <c:pt idx="66">
                  <c:v>1.0875409967608329E-2</c:v>
                </c:pt>
                <c:pt idx="67">
                  <c:v>2.0121420406281086E-2</c:v>
                </c:pt>
                <c:pt idx="68">
                  <c:v>2.0121420406281086E-2</c:v>
                </c:pt>
                <c:pt idx="69">
                  <c:v>2.0121420406281086E-2</c:v>
                </c:pt>
                <c:pt idx="70">
                  <c:v>2.0121420406281086E-2</c:v>
                </c:pt>
                <c:pt idx="71">
                  <c:v>2.0121420406281086E-2</c:v>
                </c:pt>
                <c:pt idx="72">
                  <c:v>2.0121420406281086E-2</c:v>
                </c:pt>
                <c:pt idx="73">
                  <c:v>2.0121420406281086E-2</c:v>
                </c:pt>
                <c:pt idx="74">
                  <c:v>2.0121420406281086E-2</c:v>
                </c:pt>
                <c:pt idx="75">
                  <c:v>2.0121420406281086E-2</c:v>
                </c:pt>
                <c:pt idx="76">
                  <c:v>2.0121420406281086E-2</c:v>
                </c:pt>
                <c:pt idx="77">
                  <c:v>2.0121420406281086E-2</c:v>
                </c:pt>
                <c:pt idx="78">
                  <c:v>2.0121420406281086E-2</c:v>
                </c:pt>
                <c:pt idx="79">
                  <c:v>2.0121420406281086E-2</c:v>
                </c:pt>
                <c:pt idx="80">
                  <c:v>2.4873879889465645E-2</c:v>
                </c:pt>
                <c:pt idx="81">
                  <c:v>2.4873879889465645E-2</c:v>
                </c:pt>
                <c:pt idx="82">
                  <c:v>2.4873879889465645E-2</c:v>
                </c:pt>
                <c:pt idx="83">
                  <c:v>2.4873879889465645E-2</c:v>
                </c:pt>
                <c:pt idx="84">
                  <c:v>2.4873879889465645E-2</c:v>
                </c:pt>
                <c:pt idx="85">
                  <c:v>2.4873879889465645E-2</c:v>
                </c:pt>
                <c:pt idx="86">
                  <c:v>2.4873879889465645E-2</c:v>
                </c:pt>
                <c:pt idx="87">
                  <c:v>2.4873879889465645E-2</c:v>
                </c:pt>
                <c:pt idx="88">
                  <c:v>2.4873879889465645E-2</c:v>
                </c:pt>
                <c:pt idx="89">
                  <c:v>2.4873879889465645E-2</c:v>
                </c:pt>
                <c:pt idx="90">
                  <c:v>2.4873879889465645E-2</c:v>
                </c:pt>
                <c:pt idx="91">
                  <c:v>2.4873879889465645E-2</c:v>
                </c:pt>
                <c:pt idx="92">
                  <c:v>2.4873879889465645E-2</c:v>
                </c:pt>
                <c:pt idx="93">
                  <c:v>2.4873879889465645E-2</c:v>
                </c:pt>
                <c:pt idx="94">
                  <c:v>2.4873879889465645E-2</c:v>
                </c:pt>
                <c:pt idx="95">
                  <c:v>2.4873879889465645E-2</c:v>
                </c:pt>
                <c:pt idx="96">
                  <c:v>2.5126837997072146E-2</c:v>
                </c:pt>
                <c:pt idx="97">
                  <c:v>2.3807296148784646E-2</c:v>
                </c:pt>
                <c:pt idx="98">
                  <c:v>3.1390378760507237E-2</c:v>
                </c:pt>
                <c:pt idx="99">
                  <c:v>3.1390378760507237E-2</c:v>
                </c:pt>
                <c:pt idx="100">
                  <c:v>3.1390378760507237E-2</c:v>
                </c:pt>
                <c:pt idx="101">
                  <c:v>3.1390378760507237E-2</c:v>
                </c:pt>
                <c:pt idx="102">
                  <c:v>3.1390378760507237E-2</c:v>
                </c:pt>
                <c:pt idx="103">
                  <c:v>3.1390378760507237E-2</c:v>
                </c:pt>
                <c:pt idx="104">
                  <c:v>3.1390378760507237E-2</c:v>
                </c:pt>
                <c:pt idx="105">
                  <c:v>3.1390378760507237E-2</c:v>
                </c:pt>
                <c:pt idx="106">
                  <c:v>3.1390378760507237E-2</c:v>
                </c:pt>
                <c:pt idx="107">
                  <c:v>3.1390378760507237E-2</c:v>
                </c:pt>
                <c:pt idx="108">
                  <c:v>3.1390378760507237E-2</c:v>
                </c:pt>
                <c:pt idx="109">
                  <c:v>3.1390378760507237E-2</c:v>
                </c:pt>
                <c:pt idx="110">
                  <c:v>3.1390378760507237E-2</c:v>
                </c:pt>
                <c:pt idx="111">
                  <c:v>3.1390378760507237E-2</c:v>
                </c:pt>
                <c:pt idx="112">
                  <c:v>3.1390378760507237E-2</c:v>
                </c:pt>
                <c:pt idx="113">
                  <c:v>3.1390378760507237E-2</c:v>
                </c:pt>
                <c:pt idx="114">
                  <c:v>3.1390378760507237E-2</c:v>
                </c:pt>
                <c:pt idx="115">
                  <c:v>3.1390378760507237E-2</c:v>
                </c:pt>
                <c:pt idx="116">
                  <c:v>3.1390378760507237E-2</c:v>
                </c:pt>
                <c:pt idx="117">
                  <c:v>3.1390378760507237E-2</c:v>
                </c:pt>
                <c:pt idx="118">
                  <c:v>3.1390378760507237E-2</c:v>
                </c:pt>
                <c:pt idx="119">
                  <c:v>3.1390378760507237E-2</c:v>
                </c:pt>
                <c:pt idx="120">
                  <c:v>3.1390378760507237E-2</c:v>
                </c:pt>
                <c:pt idx="121">
                  <c:v>3.1390378760507237E-2</c:v>
                </c:pt>
                <c:pt idx="122">
                  <c:v>3.1390378760507237E-2</c:v>
                </c:pt>
                <c:pt idx="123">
                  <c:v>3.2126602200067758E-2</c:v>
                </c:pt>
                <c:pt idx="124">
                  <c:v>3.5934765102103056E-2</c:v>
                </c:pt>
                <c:pt idx="125">
                  <c:v>3.5934765102103056E-2</c:v>
                </c:pt>
                <c:pt idx="126">
                  <c:v>3.5934765102103056E-2</c:v>
                </c:pt>
                <c:pt idx="127">
                  <c:v>3.5934765102103056E-2</c:v>
                </c:pt>
                <c:pt idx="128">
                  <c:v>3.5934765102103056E-2</c:v>
                </c:pt>
                <c:pt idx="129">
                  <c:v>3.5934765102103056E-2</c:v>
                </c:pt>
                <c:pt idx="130">
                  <c:v>3.5934765102103056E-2</c:v>
                </c:pt>
                <c:pt idx="131">
                  <c:v>3.5934765102103056E-2</c:v>
                </c:pt>
                <c:pt idx="132">
                  <c:v>3.5934765102103056E-2</c:v>
                </c:pt>
                <c:pt idx="133">
                  <c:v>3.5934765102103056E-2</c:v>
                </c:pt>
                <c:pt idx="134">
                  <c:v>3.5934765102103056E-2</c:v>
                </c:pt>
                <c:pt idx="135">
                  <c:v>3.5934765102103056E-2</c:v>
                </c:pt>
                <c:pt idx="136">
                  <c:v>3.5934765102103056E-2</c:v>
                </c:pt>
                <c:pt idx="137">
                  <c:v>3.5934765102103056E-2</c:v>
                </c:pt>
                <c:pt idx="138">
                  <c:v>3.5934765102103056E-2</c:v>
                </c:pt>
                <c:pt idx="139">
                  <c:v>3.5934765102103056E-2</c:v>
                </c:pt>
                <c:pt idx="140">
                  <c:v>3.5934765102103056E-2</c:v>
                </c:pt>
                <c:pt idx="141">
                  <c:v>3.5934765102103056E-2</c:v>
                </c:pt>
                <c:pt idx="142">
                  <c:v>3.5934765102103056E-2</c:v>
                </c:pt>
                <c:pt idx="143">
                  <c:v>3.5934765102103056E-2</c:v>
                </c:pt>
                <c:pt idx="144">
                  <c:v>3.5934765102103056E-2</c:v>
                </c:pt>
                <c:pt idx="145">
                  <c:v>3.5934765102103056E-2</c:v>
                </c:pt>
                <c:pt idx="146">
                  <c:v>3.5934765102103056E-2</c:v>
                </c:pt>
                <c:pt idx="147">
                  <c:v>3.5934765102103056E-2</c:v>
                </c:pt>
                <c:pt idx="148">
                  <c:v>3.5934765102103056E-2</c:v>
                </c:pt>
                <c:pt idx="149">
                  <c:v>3.5934765102103056E-2</c:v>
                </c:pt>
                <c:pt idx="150">
                  <c:v>3.5934765102103056E-2</c:v>
                </c:pt>
                <c:pt idx="151">
                  <c:v>3.5934765102103056E-2</c:v>
                </c:pt>
                <c:pt idx="152">
                  <c:v>3.5934765102103056E-2</c:v>
                </c:pt>
                <c:pt idx="153">
                  <c:v>3.5934765102103056E-2</c:v>
                </c:pt>
                <c:pt idx="154">
                  <c:v>3.5934765102103056E-2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5D-4D7C-A842-A7B1E6C531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Sheet1!$BC$22:$BC$176</c:f>
              <c:numCache>
                <c:formatCode>0.00%</c:formatCode>
                <c:ptCount val="155"/>
                <c:pt idx="0">
                  <c:v>0</c:v>
                </c:pt>
                <c:pt idx="1">
                  <c:v>1.1978065213149296E-2</c:v>
                </c:pt>
                <c:pt idx="2">
                  <c:v>1.1978065213149296E-2</c:v>
                </c:pt>
                <c:pt idx="3">
                  <c:v>2.2566737362532729E-2</c:v>
                </c:pt>
                <c:pt idx="4">
                  <c:v>8.82562513399009E-3</c:v>
                </c:pt>
                <c:pt idx="5">
                  <c:v>1.1886089926387362E-2</c:v>
                </c:pt>
                <c:pt idx="6">
                  <c:v>1.5140709814113164E-2</c:v>
                </c:pt>
                <c:pt idx="7">
                  <c:v>1.8240695248542563E-2</c:v>
                </c:pt>
                <c:pt idx="8">
                  <c:v>1.9685873608663033E-2</c:v>
                </c:pt>
                <c:pt idx="9">
                  <c:v>1.9685873608663033E-2</c:v>
                </c:pt>
                <c:pt idx="10">
                  <c:v>1.5070994758975973E-2</c:v>
                </c:pt>
                <c:pt idx="11">
                  <c:v>1.8336195778077255E-2</c:v>
                </c:pt>
                <c:pt idx="12">
                  <c:v>1.8345881706386458E-2</c:v>
                </c:pt>
                <c:pt idx="13">
                  <c:v>2.1453720162617908E-2</c:v>
                </c:pt>
                <c:pt idx="14">
                  <c:v>2.1453720162617908E-2</c:v>
                </c:pt>
                <c:pt idx="15">
                  <c:v>2.1453720162617908E-2</c:v>
                </c:pt>
                <c:pt idx="16">
                  <c:v>2.1453720162617908E-2</c:v>
                </c:pt>
                <c:pt idx="17">
                  <c:v>2.1493484481554508E-2</c:v>
                </c:pt>
                <c:pt idx="18">
                  <c:v>2.8952081107203306E-2</c:v>
                </c:pt>
                <c:pt idx="19">
                  <c:v>2.8952081107203306E-2</c:v>
                </c:pt>
                <c:pt idx="20">
                  <c:v>3.371336290091731E-2</c:v>
                </c:pt>
                <c:pt idx="21">
                  <c:v>2.7233317861812011E-2</c:v>
                </c:pt>
                <c:pt idx="22">
                  <c:v>2.7966053059120213E-2</c:v>
                </c:pt>
                <c:pt idx="23">
                  <c:v>2.8252685941926911E-2</c:v>
                </c:pt>
                <c:pt idx="24">
                  <c:v>2.8081507332065311E-2</c:v>
                </c:pt>
                <c:pt idx="25">
                  <c:v>2.908544581366751E-2</c:v>
                </c:pt>
                <c:pt idx="26">
                  <c:v>2.6452381516485709E-2</c:v>
                </c:pt>
                <c:pt idx="27">
                  <c:v>2.1590938099672104E-2</c:v>
                </c:pt>
                <c:pt idx="28">
                  <c:v>2.2813377029056003E-2</c:v>
                </c:pt>
                <c:pt idx="29">
                  <c:v>2.6189095815325292E-2</c:v>
                </c:pt>
                <c:pt idx="30">
                  <c:v>3.6165604504823742E-2</c:v>
                </c:pt>
                <c:pt idx="31">
                  <c:v>3.6165604504823742E-2</c:v>
                </c:pt>
                <c:pt idx="32">
                  <c:v>3.6165604504823742E-2</c:v>
                </c:pt>
                <c:pt idx="33">
                  <c:v>2.5124936202480741E-2</c:v>
                </c:pt>
                <c:pt idx="34">
                  <c:v>2.717948291591004E-2</c:v>
                </c:pt>
                <c:pt idx="35">
                  <c:v>2.17644958676881E-2</c:v>
                </c:pt>
                <c:pt idx="36">
                  <c:v>1.9592437447476137E-2</c:v>
                </c:pt>
                <c:pt idx="37">
                  <c:v>2.1716453288980538E-2</c:v>
                </c:pt>
                <c:pt idx="38">
                  <c:v>2.2733992937356916E-2</c:v>
                </c:pt>
                <c:pt idx="39">
                  <c:v>1.3292946056370512E-2</c:v>
                </c:pt>
                <c:pt idx="40">
                  <c:v>8.6435675696061101E-3</c:v>
                </c:pt>
                <c:pt idx="41">
                  <c:v>2.5466083581709101E-3</c:v>
                </c:pt>
                <c:pt idx="42">
                  <c:v>2.2302889193824092E-3</c:v>
                </c:pt>
                <c:pt idx="43">
                  <c:v>1.2259859685801074E-4</c:v>
                </c:pt>
                <c:pt idx="44">
                  <c:v>5.6123258150177161E-3</c:v>
                </c:pt>
                <c:pt idx="45">
                  <c:v>-1.7394446826480888E-3</c:v>
                </c:pt>
                <c:pt idx="46">
                  <c:v>4.8762411844876109E-4</c:v>
                </c:pt>
                <c:pt idx="47">
                  <c:v>3.5890718642091687E-3</c:v>
                </c:pt>
                <c:pt idx="48">
                  <c:v>4.0277604034414487E-3</c:v>
                </c:pt>
                <c:pt idx="49">
                  <c:v>2.1297218326701197E-3</c:v>
                </c:pt>
                <c:pt idx="50">
                  <c:v>3.9840107218764203E-3</c:v>
                </c:pt>
                <c:pt idx="51">
                  <c:v>1.0994202458847503E-3</c:v>
                </c:pt>
                <c:pt idx="52">
                  <c:v>5.684499109775653E-3</c:v>
                </c:pt>
                <c:pt idx="53">
                  <c:v>3.7437358195053019E-5</c:v>
                </c:pt>
                <c:pt idx="54">
                  <c:v>4.5184355453223926E-3</c:v>
                </c:pt>
                <c:pt idx="55">
                  <c:v>4.9521257161018626E-3</c:v>
                </c:pt>
                <c:pt idx="56">
                  <c:v>-1.2807412983482074E-3</c:v>
                </c:pt>
                <c:pt idx="57">
                  <c:v>4.3081568595778226E-3</c:v>
                </c:pt>
                <c:pt idx="58">
                  <c:v>4.3081568595778226E-3</c:v>
                </c:pt>
                <c:pt idx="59">
                  <c:v>4.3081568595778226E-3</c:v>
                </c:pt>
                <c:pt idx="60">
                  <c:v>4.3081568595778226E-3</c:v>
                </c:pt>
                <c:pt idx="61">
                  <c:v>4.3081568595778226E-3</c:v>
                </c:pt>
                <c:pt idx="62">
                  <c:v>7.3083505134600227E-3</c:v>
                </c:pt>
                <c:pt idx="63">
                  <c:v>7.3083505134600227E-3</c:v>
                </c:pt>
                <c:pt idx="64">
                  <c:v>7.3083505134600227E-3</c:v>
                </c:pt>
                <c:pt idx="65">
                  <c:v>7.3083505134600227E-3</c:v>
                </c:pt>
                <c:pt idx="66">
                  <c:v>7.3083505134600227E-3</c:v>
                </c:pt>
                <c:pt idx="67">
                  <c:v>7.3083505134600227E-3</c:v>
                </c:pt>
                <c:pt idx="68">
                  <c:v>7.3083505134600227E-3</c:v>
                </c:pt>
                <c:pt idx="69">
                  <c:v>7.3083505134600227E-3</c:v>
                </c:pt>
                <c:pt idx="70">
                  <c:v>8.8661662596746221E-3</c:v>
                </c:pt>
                <c:pt idx="71">
                  <c:v>8.7878077704794319E-3</c:v>
                </c:pt>
                <c:pt idx="72">
                  <c:v>9.6404835941862332E-3</c:v>
                </c:pt>
                <c:pt idx="73">
                  <c:v>9.6404835941862332E-3</c:v>
                </c:pt>
                <c:pt idx="74">
                  <c:v>1.2777577780378314E-2</c:v>
                </c:pt>
                <c:pt idx="75">
                  <c:v>6.6746342719579185E-3</c:v>
                </c:pt>
                <c:pt idx="76">
                  <c:v>1.1446906258287017E-2</c:v>
                </c:pt>
                <c:pt idx="77">
                  <c:v>1.4200449914414697E-2</c:v>
                </c:pt>
                <c:pt idx="78">
                  <c:v>1.4200449914414697E-2</c:v>
                </c:pt>
                <c:pt idx="79">
                  <c:v>2.3291939735535627E-2</c:v>
                </c:pt>
                <c:pt idx="80">
                  <c:v>2.3291939735535627E-2</c:v>
                </c:pt>
                <c:pt idx="81">
                  <c:v>2.3291939735535627E-2</c:v>
                </c:pt>
                <c:pt idx="82">
                  <c:v>2.9575530410013807E-2</c:v>
                </c:pt>
                <c:pt idx="83">
                  <c:v>2.9575530410013807E-2</c:v>
                </c:pt>
                <c:pt idx="84">
                  <c:v>3.1825452896480207E-2</c:v>
                </c:pt>
                <c:pt idx="85">
                  <c:v>3.3593472893022502E-2</c:v>
                </c:pt>
                <c:pt idx="86">
                  <c:v>3.3593472893022502E-2</c:v>
                </c:pt>
                <c:pt idx="87">
                  <c:v>3.3593472893022502E-2</c:v>
                </c:pt>
                <c:pt idx="88">
                  <c:v>3.3593472893022502E-2</c:v>
                </c:pt>
                <c:pt idx="89">
                  <c:v>3.3593472893022502E-2</c:v>
                </c:pt>
                <c:pt idx="90">
                  <c:v>3.3593472893022502E-2</c:v>
                </c:pt>
                <c:pt idx="91">
                  <c:v>3.3593472893022502E-2</c:v>
                </c:pt>
                <c:pt idx="92">
                  <c:v>3.3593472893022502E-2</c:v>
                </c:pt>
                <c:pt idx="93">
                  <c:v>3.3593472893022502E-2</c:v>
                </c:pt>
                <c:pt idx="94">
                  <c:v>3.3593472893022502E-2</c:v>
                </c:pt>
                <c:pt idx="95">
                  <c:v>3.3593472893022502E-2</c:v>
                </c:pt>
                <c:pt idx="96">
                  <c:v>3.3593472893022502E-2</c:v>
                </c:pt>
                <c:pt idx="97">
                  <c:v>3.3593472893022502E-2</c:v>
                </c:pt>
                <c:pt idx="98">
                  <c:v>3.3593472893022502E-2</c:v>
                </c:pt>
                <c:pt idx="99">
                  <c:v>3.3593472893022502E-2</c:v>
                </c:pt>
                <c:pt idx="100">
                  <c:v>3.3593472893022502E-2</c:v>
                </c:pt>
                <c:pt idx="101">
                  <c:v>3.79293296794476E-2</c:v>
                </c:pt>
                <c:pt idx="102">
                  <c:v>3.79293296794476E-2</c:v>
                </c:pt>
                <c:pt idx="103">
                  <c:v>3.79293296794476E-2</c:v>
                </c:pt>
                <c:pt idx="104">
                  <c:v>3.79293296794476E-2</c:v>
                </c:pt>
                <c:pt idx="105">
                  <c:v>3.79293296794476E-2</c:v>
                </c:pt>
                <c:pt idx="106">
                  <c:v>3.79293296794476E-2</c:v>
                </c:pt>
                <c:pt idx="107">
                  <c:v>3.79293296794476E-2</c:v>
                </c:pt>
                <c:pt idx="108">
                  <c:v>3.79293296794476E-2</c:v>
                </c:pt>
                <c:pt idx="109">
                  <c:v>3.79293296794476E-2</c:v>
                </c:pt>
                <c:pt idx="110">
                  <c:v>3.79293296794476E-2</c:v>
                </c:pt>
                <c:pt idx="111">
                  <c:v>3.79293296794476E-2</c:v>
                </c:pt>
                <c:pt idx="112">
                  <c:v>3.79293296794476E-2</c:v>
                </c:pt>
                <c:pt idx="113">
                  <c:v>3.79293296794476E-2</c:v>
                </c:pt>
                <c:pt idx="114">
                  <c:v>3.79293296794476E-2</c:v>
                </c:pt>
                <c:pt idx="115">
                  <c:v>3.79293296794476E-2</c:v>
                </c:pt>
                <c:pt idx="116">
                  <c:v>3.79293296794476E-2</c:v>
                </c:pt>
                <c:pt idx="117">
                  <c:v>3.79293296794476E-2</c:v>
                </c:pt>
                <c:pt idx="118">
                  <c:v>3.79293296794476E-2</c:v>
                </c:pt>
                <c:pt idx="119">
                  <c:v>3.79293296794476E-2</c:v>
                </c:pt>
                <c:pt idx="120">
                  <c:v>3.79293296794476E-2</c:v>
                </c:pt>
                <c:pt idx="121">
                  <c:v>3.79293296794476E-2</c:v>
                </c:pt>
                <c:pt idx="122">
                  <c:v>3.79293296794476E-2</c:v>
                </c:pt>
                <c:pt idx="123">
                  <c:v>3.79293296794476E-2</c:v>
                </c:pt>
                <c:pt idx="124">
                  <c:v>3.79293296794476E-2</c:v>
                </c:pt>
                <c:pt idx="125">
                  <c:v>3.79293296794476E-2</c:v>
                </c:pt>
                <c:pt idx="126">
                  <c:v>3.79293296794476E-2</c:v>
                </c:pt>
                <c:pt idx="127">
                  <c:v>3.79293296794476E-2</c:v>
                </c:pt>
                <c:pt idx="128">
                  <c:v>3.79293296794476E-2</c:v>
                </c:pt>
                <c:pt idx="129">
                  <c:v>3.79293296794476E-2</c:v>
                </c:pt>
                <c:pt idx="130">
                  <c:v>3.79293296794476E-2</c:v>
                </c:pt>
                <c:pt idx="131">
                  <c:v>3.79293296794476E-2</c:v>
                </c:pt>
                <c:pt idx="132">
                  <c:v>4.3502793683705104E-2</c:v>
                </c:pt>
                <c:pt idx="133">
                  <c:v>4.3502793683705104E-2</c:v>
                </c:pt>
                <c:pt idx="134">
                  <c:v>4.3502793683705104E-2</c:v>
                </c:pt>
                <c:pt idx="135">
                  <c:v>4.3502793683705104E-2</c:v>
                </c:pt>
                <c:pt idx="136">
                  <c:v>4.3502793683705104E-2</c:v>
                </c:pt>
                <c:pt idx="137">
                  <c:v>4.3502793683705104E-2</c:v>
                </c:pt>
                <c:pt idx="138">
                  <c:v>4.3502793683705104E-2</c:v>
                </c:pt>
                <c:pt idx="139">
                  <c:v>4.3502793683705104E-2</c:v>
                </c:pt>
                <c:pt idx="140">
                  <c:v>4.3502793683705104E-2</c:v>
                </c:pt>
                <c:pt idx="141">
                  <c:v>4.3502793683705104E-2</c:v>
                </c:pt>
                <c:pt idx="142">
                  <c:v>4.3502793683705104E-2</c:v>
                </c:pt>
                <c:pt idx="143">
                  <c:v>4.3502793683705104E-2</c:v>
                </c:pt>
                <c:pt idx="144">
                  <c:v>4.3502793683705104E-2</c:v>
                </c:pt>
                <c:pt idx="145">
                  <c:v>4.3502793683705104E-2</c:v>
                </c:pt>
                <c:pt idx="146">
                  <c:v>4.3502793683705104E-2</c:v>
                </c:pt>
                <c:pt idx="147">
                  <c:v>4.3502793683705104E-2</c:v>
                </c:pt>
                <c:pt idx="148">
                  <c:v>4.3502793683705104E-2</c:v>
                </c:pt>
                <c:pt idx="149">
                  <c:v>4.3502793683705104E-2</c:v>
                </c:pt>
                <c:pt idx="150">
                  <c:v>4.3502793683705104E-2</c:v>
                </c:pt>
                <c:pt idx="151">
                  <c:v>4.3502793683705104E-2</c:v>
                </c:pt>
                <c:pt idx="152">
                  <c:v>4.3502793683705104E-2</c:v>
                </c:pt>
                <c:pt idx="153">
                  <c:v>4.3502793683705104E-2</c:v>
                </c:pt>
                <c:pt idx="154">
                  <c:v>4.3502793683705104E-2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9C-4B45-A7C3-388E3BFB31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Sheet1!$BF$22:$BF$176</c:f>
              <c:numCache>
                <c:formatCode>0.00%</c:formatCode>
                <c:ptCount val="155"/>
                <c:pt idx="0">
                  <c:v>0</c:v>
                </c:pt>
                <c:pt idx="1">
                  <c:v>1.1978065213149296E-2</c:v>
                </c:pt>
                <c:pt idx="2">
                  <c:v>1.1978065213149296E-2</c:v>
                </c:pt>
                <c:pt idx="3">
                  <c:v>2.2566737362532729E-2</c:v>
                </c:pt>
                <c:pt idx="4">
                  <c:v>8.82562513399009E-3</c:v>
                </c:pt>
                <c:pt idx="5">
                  <c:v>1.1886089926387362E-2</c:v>
                </c:pt>
                <c:pt idx="6">
                  <c:v>1.5140709814113164E-2</c:v>
                </c:pt>
                <c:pt idx="7">
                  <c:v>1.8240695248542563E-2</c:v>
                </c:pt>
                <c:pt idx="8">
                  <c:v>1.9685873608663033E-2</c:v>
                </c:pt>
                <c:pt idx="9">
                  <c:v>1.9685873608663033E-2</c:v>
                </c:pt>
                <c:pt idx="10">
                  <c:v>1.5070994758975973E-2</c:v>
                </c:pt>
                <c:pt idx="11">
                  <c:v>1.8336195778077255E-2</c:v>
                </c:pt>
                <c:pt idx="12">
                  <c:v>1.8345881706386458E-2</c:v>
                </c:pt>
                <c:pt idx="13">
                  <c:v>2.1453720162617908E-2</c:v>
                </c:pt>
                <c:pt idx="14">
                  <c:v>2.1453720162617908E-2</c:v>
                </c:pt>
                <c:pt idx="15">
                  <c:v>2.5380362606742937E-2</c:v>
                </c:pt>
                <c:pt idx="16">
                  <c:v>2.5380362606742937E-2</c:v>
                </c:pt>
                <c:pt idx="17">
                  <c:v>2.5420126925679538E-2</c:v>
                </c:pt>
                <c:pt idx="18">
                  <c:v>3.2878723551328336E-2</c:v>
                </c:pt>
                <c:pt idx="19">
                  <c:v>3.2878723551328336E-2</c:v>
                </c:pt>
                <c:pt idx="20">
                  <c:v>3.7640005345042332E-2</c:v>
                </c:pt>
                <c:pt idx="21">
                  <c:v>3.1159960305937033E-2</c:v>
                </c:pt>
                <c:pt idx="22">
                  <c:v>3.1892695503245236E-2</c:v>
                </c:pt>
                <c:pt idx="23">
                  <c:v>3.2179328386051934E-2</c:v>
                </c:pt>
                <c:pt idx="24">
                  <c:v>3.2008149776190334E-2</c:v>
                </c:pt>
                <c:pt idx="25">
                  <c:v>3.3012088257792532E-2</c:v>
                </c:pt>
                <c:pt idx="26">
                  <c:v>3.0379023960610731E-2</c:v>
                </c:pt>
                <c:pt idx="27">
                  <c:v>2.5517580543797127E-2</c:v>
                </c:pt>
                <c:pt idx="28">
                  <c:v>2.6740019473181026E-2</c:v>
                </c:pt>
                <c:pt idx="29">
                  <c:v>3.0115738259450315E-2</c:v>
                </c:pt>
                <c:pt idx="30">
                  <c:v>4.0092246948948765E-2</c:v>
                </c:pt>
                <c:pt idx="31">
                  <c:v>4.7041014472432065E-2</c:v>
                </c:pt>
                <c:pt idx="32">
                  <c:v>4.7041014472432065E-2</c:v>
                </c:pt>
                <c:pt idx="33">
                  <c:v>3.6000346170089063E-2</c:v>
                </c:pt>
                <c:pt idx="34">
                  <c:v>3.8054892883518363E-2</c:v>
                </c:pt>
                <c:pt idx="35">
                  <c:v>3.2639905835296419E-2</c:v>
                </c:pt>
                <c:pt idx="36">
                  <c:v>3.0467847415084456E-2</c:v>
                </c:pt>
                <c:pt idx="37">
                  <c:v>3.2591863256588853E-2</c:v>
                </c:pt>
                <c:pt idx="38">
                  <c:v>3.3609402904965231E-2</c:v>
                </c:pt>
                <c:pt idx="39">
                  <c:v>2.4168356023978828E-2</c:v>
                </c:pt>
                <c:pt idx="40">
                  <c:v>1.9518977537214426E-2</c:v>
                </c:pt>
                <c:pt idx="41">
                  <c:v>1.3422018325779226E-2</c:v>
                </c:pt>
                <c:pt idx="42">
                  <c:v>1.3105698886990725E-2</c:v>
                </c:pt>
                <c:pt idx="43">
                  <c:v>1.0998008564466326E-2</c:v>
                </c:pt>
                <c:pt idx="44">
                  <c:v>1.648773578262603E-2</c:v>
                </c:pt>
                <c:pt idx="45">
                  <c:v>9.1359652849602249E-3</c:v>
                </c:pt>
                <c:pt idx="46">
                  <c:v>1.1363034086057076E-2</c:v>
                </c:pt>
                <c:pt idx="47">
                  <c:v>1.4464481831817484E-2</c:v>
                </c:pt>
                <c:pt idx="48">
                  <c:v>1.4903170371049764E-2</c:v>
                </c:pt>
                <c:pt idx="49">
                  <c:v>1.3005131800278435E-2</c:v>
                </c:pt>
                <c:pt idx="50">
                  <c:v>1.4859420689484735E-2</c:v>
                </c:pt>
                <c:pt idx="51">
                  <c:v>1.1974830213493066E-2</c:v>
                </c:pt>
                <c:pt idx="52">
                  <c:v>1.6559909077383968E-2</c:v>
                </c:pt>
                <c:pt idx="53">
                  <c:v>1.0912847325803368E-2</c:v>
                </c:pt>
                <c:pt idx="54">
                  <c:v>1.5393845512930708E-2</c:v>
                </c:pt>
                <c:pt idx="55">
                  <c:v>1.5827535683710179E-2</c:v>
                </c:pt>
                <c:pt idx="56">
                  <c:v>9.5946686692601098E-3</c:v>
                </c:pt>
                <c:pt idx="57">
                  <c:v>1.518356682718614E-2</c:v>
                </c:pt>
                <c:pt idx="58">
                  <c:v>1.518356682718614E-2</c:v>
                </c:pt>
                <c:pt idx="59">
                  <c:v>1.518356682718614E-2</c:v>
                </c:pt>
                <c:pt idx="60">
                  <c:v>1.518356682718614E-2</c:v>
                </c:pt>
                <c:pt idx="61">
                  <c:v>1.518356682718614E-2</c:v>
                </c:pt>
                <c:pt idx="62">
                  <c:v>1.8183760481068338E-2</c:v>
                </c:pt>
                <c:pt idx="63">
                  <c:v>1.8183760481068338E-2</c:v>
                </c:pt>
                <c:pt idx="64">
                  <c:v>1.8183760481068338E-2</c:v>
                </c:pt>
                <c:pt idx="65">
                  <c:v>1.8183760481068338E-2</c:v>
                </c:pt>
                <c:pt idx="66">
                  <c:v>1.8183760481068338E-2</c:v>
                </c:pt>
                <c:pt idx="67">
                  <c:v>2.7429770919741095E-2</c:v>
                </c:pt>
                <c:pt idx="68">
                  <c:v>2.7429770919741095E-2</c:v>
                </c:pt>
                <c:pt idx="69">
                  <c:v>2.7429770919741095E-2</c:v>
                </c:pt>
                <c:pt idx="70">
                  <c:v>2.8987586665955696E-2</c:v>
                </c:pt>
                <c:pt idx="71">
                  <c:v>2.8909228176760504E-2</c:v>
                </c:pt>
                <c:pt idx="72">
                  <c:v>2.9761904000467305E-2</c:v>
                </c:pt>
                <c:pt idx="73">
                  <c:v>2.9761904000467305E-2</c:v>
                </c:pt>
                <c:pt idx="74">
                  <c:v>3.2898998186659388E-2</c:v>
                </c:pt>
                <c:pt idx="75">
                  <c:v>2.6796054678238992E-2</c:v>
                </c:pt>
                <c:pt idx="76">
                  <c:v>3.1568326664568089E-2</c:v>
                </c:pt>
                <c:pt idx="77">
                  <c:v>3.4321870320695773E-2</c:v>
                </c:pt>
                <c:pt idx="78">
                  <c:v>3.4321870320695773E-2</c:v>
                </c:pt>
                <c:pt idx="79">
                  <c:v>4.3413360141816702E-2</c:v>
                </c:pt>
                <c:pt idx="80">
                  <c:v>4.8165819625001258E-2</c:v>
                </c:pt>
                <c:pt idx="81">
                  <c:v>4.8165819625001258E-2</c:v>
                </c:pt>
                <c:pt idx="82">
                  <c:v>5.4449410299479438E-2</c:v>
                </c:pt>
                <c:pt idx="83">
                  <c:v>5.4449410299479438E-2</c:v>
                </c:pt>
                <c:pt idx="84">
                  <c:v>5.6699332785945841E-2</c:v>
                </c:pt>
                <c:pt idx="85">
                  <c:v>5.8467352782488144E-2</c:v>
                </c:pt>
                <c:pt idx="86">
                  <c:v>5.8467352782488144E-2</c:v>
                </c:pt>
                <c:pt idx="87">
                  <c:v>5.8467352782488144E-2</c:v>
                </c:pt>
                <c:pt idx="88">
                  <c:v>5.8467352782488144E-2</c:v>
                </c:pt>
                <c:pt idx="89">
                  <c:v>5.8467352782488144E-2</c:v>
                </c:pt>
                <c:pt idx="90">
                  <c:v>5.8467352782488144E-2</c:v>
                </c:pt>
                <c:pt idx="91">
                  <c:v>5.8467352782488144E-2</c:v>
                </c:pt>
                <c:pt idx="92">
                  <c:v>5.8467352782488144E-2</c:v>
                </c:pt>
                <c:pt idx="93">
                  <c:v>5.8467352782488144E-2</c:v>
                </c:pt>
                <c:pt idx="94">
                  <c:v>5.8467352782488144E-2</c:v>
                </c:pt>
                <c:pt idx="95">
                  <c:v>5.8467352782488144E-2</c:v>
                </c:pt>
                <c:pt idx="96">
                  <c:v>5.8720310890094649E-2</c:v>
                </c:pt>
                <c:pt idx="97">
                  <c:v>5.7400769041807145E-2</c:v>
                </c:pt>
                <c:pt idx="98">
                  <c:v>6.4983851653529739E-2</c:v>
                </c:pt>
                <c:pt idx="99">
                  <c:v>6.4983851653529739E-2</c:v>
                </c:pt>
                <c:pt idx="100">
                  <c:v>6.4983851653529739E-2</c:v>
                </c:pt>
                <c:pt idx="101">
                  <c:v>6.931970843995483E-2</c:v>
                </c:pt>
                <c:pt idx="102">
                  <c:v>6.931970843995483E-2</c:v>
                </c:pt>
                <c:pt idx="103">
                  <c:v>6.931970843995483E-2</c:v>
                </c:pt>
                <c:pt idx="104">
                  <c:v>6.931970843995483E-2</c:v>
                </c:pt>
                <c:pt idx="105">
                  <c:v>6.931970843995483E-2</c:v>
                </c:pt>
                <c:pt idx="106">
                  <c:v>6.931970843995483E-2</c:v>
                </c:pt>
                <c:pt idx="107">
                  <c:v>6.931970843995483E-2</c:v>
                </c:pt>
                <c:pt idx="108">
                  <c:v>6.931970843995483E-2</c:v>
                </c:pt>
                <c:pt idx="109">
                  <c:v>6.931970843995483E-2</c:v>
                </c:pt>
                <c:pt idx="110">
                  <c:v>6.931970843995483E-2</c:v>
                </c:pt>
                <c:pt idx="111">
                  <c:v>6.931970843995483E-2</c:v>
                </c:pt>
                <c:pt idx="112">
                  <c:v>6.931970843995483E-2</c:v>
                </c:pt>
                <c:pt idx="113">
                  <c:v>6.931970843995483E-2</c:v>
                </c:pt>
                <c:pt idx="114">
                  <c:v>6.931970843995483E-2</c:v>
                </c:pt>
                <c:pt idx="115">
                  <c:v>6.931970843995483E-2</c:v>
                </c:pt>
                <c:pt idx="116">
                  <c:v>6.931970843995483E-2</c:v>
                </c:pt>
                <c:pt idx="117">
                  <c:v>6.931970843995483E-2</c:v>
                </c:pt>
                <c:pt idx="118">
                  <c:v>6.931970843995483E-2</c:v>
                </c:pt>
                <c:pt idx="119">
                  <c:v>6.931970843995483E-2</c:v>
                </c:pt>
                <c:pt idx="120">
                  <c:v>6.931970843995483E-2</c:v>
                </c:pt>
                <c:pt idx="121">
                  <c:v>6.931970843995483E-2</c:v>
                </c:pt>
                <c:pt idx="122">
                  <c:v>6.931970843995483E-2</c:v>
                </c:pt>
                <c:pt idx="123">
                  <c:v>7.0055931879515351E-2</c:v>
                </c:pt>
                <c:pt idx="124">
                  <c:v>7.3864094781550649E-2</c:v>
                </c:pt>
                <c:pt idx="125">
                  <c:v>7.3864094781550649E-2</c:v>
                </c:pt>
                <c:pt idx="126">
                  <c:v>7.3864094781550649E-2</c:v>
                </c:pt>
                <c:pt idx="127">
                  <c:v>7.3864094781550649E-2</c:v>
                </c:pt>
                <c:pt idx="128">
                  <c:v>7.3864094781550649E-2</c:v>
                </c:pt>
                <c:pt idx="129">
                  <c:v>7.3864094781550649E-2</c:v>
                </c:pt>
                <c:pt idx="130">
                  <c:v>7.3864094781550649E-2</c:v>
                </c:pt>
                <c:pt idx="131">
                  <c:v>7.3864094781550649E-2</c:v>
                </c:pt>
                <c:pt idx="132">
                  <c:v>7.9437558785808146E-2</c:v>
                </c:pt>
                <c:pt idx="133">
                  <c:v>7.9437558785808146E-2</c:v>
                </c:pt>
                <c:pt idx="134">
                  <c:v>7.9437558785808146E-2</c:v>
                </c:pt>
                <c:pt idx="135">
                  <c:v>7.9437558785808146E-2</c:v>
                </c:pt>
                <c:pt idx="136">
                  <c:v>7.9437558785808146E-2</c:v>
                </c:pt>
                <c:pt idx="137">
                  <c:v>7.9437558785808146E-2</c:v>
                </c:pt>
                <c:pt idx="138">
                  <c:v>7.9437558785808146E-2</c:v>
                </c:pt>
                <c:pt idx="139">
                  <c:v>7.9437558785808146E-2</c:v>
                </c:pt>
                <c:pt idx="140">
                  <c:v>7.9437558785808146E-2</c:v>
                </c:pt>
                <c:pt idx="141">
                  <c:v>7.9437558785808146E-2</c:v>
                </c:pt>
                <c:pt idx="142">
                  <c:v>7.9437558785808146E-2</c:v>
                </c:pt>
                <c:pt idx="143">
                  <c:v>7.9437558785808146E-2</c:v>
                </c:pt>
                <c:pt idx="144">
                  <c:v>7.9437558785808146E-2</c:v>
                </c:pt>
                <c:pt idx="145">
                  <c:v>7.9437558785808146E-2</c:v>
                </c:pt>
                <c:pt idx="146">
                  <c:v>7.9437558785808146E-2</c:v>
                </c:pt>
                <c:pt idx="147">
                  <c:v>7.9437558785808146E-2</c:v>
                </c:pt>
                <c:pt idx="148">
                  <c:v>7.9437558785808146E-2</c:v>
                </c:pt>
                <c:pt idx="149">
                  <c:v>7.9437558785808146E-2</c:v>
                </c:pt>
                <c:pt idx="150">
                  <c:v>7.9437558785808146E-2</c:v>
                </c:pt>
                <c:pt idx="151">
                  <c:v>7.9437558785808146E-2</c:v>
                </c:pt>
                <c:pt idx="152">
                  <c:v>7.9437558785808146E-2</c:v>
                </c:pt>
                <c:pt idx="153">
                  <c:v>7.9437558785808146E-2</c:v>
                </c:pt>
                <c:pt idx="154">
                  <c:v>7.9437558785808146E-2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EF-4C19-9DB9-C040068ACD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60</xdr:col>
      <xdr:colOff>9524</xdr:colOff>
      <xdr:row>1</xdr:row>
      <xdr:rowOff>0</xdr:rowOff>
    </xdr:from>
    <xdr:to>
      <xdr:col>67</xdr:col>
      <xdr:colOff>342899</xdr:colOff>
      <xdr:row>15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D11934-1A24-4FB6-80CF-AE46CD2885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68</xdr:col>
      <xdr:colOff>0</xdr:colOff>
      <xdr:row>18</xdr:row>
      <xdr:rowOff>0</xdr:rowOff>
    </xdr:from>
    <xdr:to>
      <xdr:col>75</xdr:col>
      <xdr:colOff>304800</xdr:colOff>
      <xdr:row>32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38A2B74-10D0-43CD-A8CB-1CAC39E9A7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68</xdr:col>
      <xdr:colOff>0</xdr:colOff>
      <xdr:row>1</xdr:row>
      <xdr:rowOff>0</xdr:rowOff>
    </xdr:from>
    <xdr:to>
      <xdr:col>75</xdr:col>
      <xdr:colOff>304800</xdr:colOff>
      <xdr:row>15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3659254-C45F-4D66-AC3C-9B233C8F5B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60</xdr:col>
      <xdr:colOff>9524</xdr:colOff>
      <xdr:row>18</xdr:row>
      <xdr:rowOff>114300</xdr:rowOff>
    </xdr:from>
    <xdr:to>
      <xdr:col>67</xdr:col>
      <xdr:colOff>342899</xdr:colOff>
      <xdr:row>33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4712394-AB62-4A56-BA94-907F841882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76</xdr:col>
      <xdr:colOff>0</xdr:colOff>
      <xdr:row>1</xdr:row>
      <xdr:rowOff>0</xdr:rowOff>
    </xdr:from>
    <xdr:to>
      <xdr:col>85</xdr:col>
      <xdr:colOff>304800</xdr:colOff>
      <xdr:row>15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B4C5B63-E729-43F6-89EA-BE015DE5FF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75</xdr:col>
      <xdr:colOff>609599</xdr:colOff>
      <xdr:row>18</xdr:row>
      <xdr:rowOff>0</xdr:rowOff>
    </xdr:from>
    <xdr:to>
      <xdr:col>85</xdr:col>
      <xdr:colOff>304799</xdr:colOff>
      <xdr:row>32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FE5A800-883E-4035-9D8A-2F24803777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76</xdr:col>
      <xdr:colOff>0</xdr:colOff>
      <xdr:row>35</xdr:row>
      <xdr:rowOff>0</xdr:rowOff>
    </xdr:from>
    <xdr:to>
      <xdr:col>85</xdr:col>
      <xdr:colOff>304800</xdr:colOff>
      <xdr:row>49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E6F80D2-4B64-4FB7-955F-71D065FCB5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164F9-15AE-4AE6-9990-A1CC9BAD485C}">
  <dimension ref="A1:DZ179"/>
  <sheetViews>
    <sheetView tabSelected="1" topLeftCell="AG1" workbookViewId="0">
      <selection activeCell="AG4" sqref="AG4"/>
    </sheetView>
  </sheetViews>
  <sheetFormatPr defaultRowHeight="15" x14ac:dyDescent="0.25"/>
  <cols>
    <col min="1" max="1" width="9.42578125" bestFit="1" customWidth="1"/>
    <col min="2" max="3" width="11" style="33" bestFit="1" customWidth="1"/>
    <col min="4" max="4" width="10.7109375" style="15" bestFit="1" customWidth="1"/>
    <col min="5" max="5" width="12.28515625" style="15" bestFit="1" customWidth="1"/>
    <col min="6" max="6" width="9.140625" style="33" bestFit="1" customWidth="1"/>
    <col min="7" max="7" width="17.5703125" style="33" bestFit="1" customWidth="1"/>
    <col min="8" max="8" width="10.7109375" style="33" bestFit="1" customWidth="1"/>
    <col min="9" max="9" width="19.140625" style="33" bestFit="1" customWidth="1"/>
    <col min="10" max="10" width="20.140625" style="33" bestFit="1" customWidth="1"/>
    <col min="11" max="11" width="21.85546875" style="33" bestFit="1" customWidth="1"/>
    <col min="12" max="13" width="11" style="33" bestFit="1" customWidth="1"/>
    <col min="14" max="14" width="11.85546875" style="34" bestFit="1" customWidth="1"/>
    <col min="15" max="15" width="15.42578125" style="34" bestFit="1" customWidth="1"/>
    <col min="16" max="17" width="18.85546875" style="34" bestFit="1" customWidth="1"/>
    <col min="18" max="18" width="11" style="33" bestFit="1" customWidth="1"/>
    <col min="19" max="20" width="14.28515625" style="33" bestFit="1" customWidth="1"/>
    <col min="21" max="21" width="23.28515625" style="15" bestFit="1" customWidth="1"/>
    <col min="22" max="23" width="26.7109375" style="15" bestFit="1" customWidth="1"/>
    <col min="24" max="24" width="14" style="34" bestFit="1" customWidth="1"/>
    <col min="25" max="25" width="17.5703125" style="34" bestFit="1" customWidth="1"/>
    <col min="26" max="27" width="20.85546875" style="34" bestFit="1" customWidth="1"/>
    <col min="28" max="28" width="11.85546875" style="33" bestFit="1" customWidth="1"/>
    <col min="29" max="30" width="15.28515625" style="33" bestFit="1" customWidth="1"/>
    <col min="31" max="31" width="25.28515625" style="15" bestFit="1" customWidth="1"/>
    <col min="32" max="33" width="28.7109375" style="15" bestFit="1" customWidth="1"/>
    <col min="34" max="34" width="1.7109375" style="9" customWidth="1"/>
    <col min="35" max="35" width="7.7109375" style="15" bestFit="1" customWidth="1"/>
    <col min="36" max="36" width="6.28515625" style="15" bestFit="1" customWidth="1"/>
    <col min="37" max="38" width="6.85546875" style="15" bestFit="1" customWidth="1"/>
    <col min="39" max="39" width="7.85546875" style="15" bestFit="1" customWidth="1"/>
    <col min="40" max="40" width="8.42578125" style="15" bestFit="1" customWidth="1"/>
    <col min="41" max="41" width="10.7109375" style="15" bestFit="1" customWidth="1"/>
    <col min="42" max="42" width="12.28515625" style="15" bestFit="1" customWidth="1"/>
    <col min="43" max="43" width="12" style="15" bestFit="1" customWidth="1"/>
    <col min="44" max="44" width="8.7109375" style="15" bestFit="1" customWidth="1"/>
    <col min="45" max="45" width="1.7109375" style="9" customWidth="1"/>
    <col min="46" max="46" width="7.7109375" style="15" bestFit="1" customWidth="1"/>
    <col min="47" max="47" width="6.140625" style="15" bestFit="1" customWidth="1"/>
    <col min="48" max="48" width="6.28515625" style="15" bestFit="1" customWidth="1"/>
    <col min="49" max="49" width="6.140625" style="15" bestFit="1" customWidth="1"/>
    <col min="50" max="50" width="7.85546875" style="15" bestFit="1" customWidth="1"/>
    <col min="51" max="51" width="8.42578125" style="15" bestFit="1" customWidth="1"/>
    <col min="52" max="52" width="10.7109375" style="15" bestFit="1" customWidth="1"/>
    <col min="53" max="53" width="12.28515625" style="15" bestFit="1" customWidth="1"/>
    <col min="54" max="54" width="12" style="15" bestFit="1" customWidth="1"/>
    <col min="55" max="55" width="8.7109375" style="15" bestFit="1" customWidth="1"/>
    <col min="56" max="56" width="1.7109375" style="9" customWidth="1"/>
    <col min="57" max="57" width="12" bestFit="1" customWidth="1"/>
    <col min="58" max="58" width="8.7109375" bestFit="1" customWidth="1"/>
    <col min="59" max="59" width="1.7109375" style="9" customWidth="1"/>
    <col min="60" max="60" width="6.85546875" customWidth="1"/>
    <col min="61" max="61" width="8.7109375" bestFit="1" customWidth="1"/>
    <col min="78" max="78" width="7.28515625" style="12" bestFit="1" customWidth="1"/>
    <col min="79" max="79" width="6.7109375" style="12" bestFit="1" customWidth="1"/>
    <col min="80" max="80" width="5.7109375" bestFit="1" customWidth="1"/>
    <col min="81" max="81" width="4.5703125" bestFit="1" customWidth="1"/>
    <col min="82" max="82" width="4.85546875" bestFit="1" customWidth="1"/>
    <col min="83" max="83" width="7.28515625" bestFit="1" customWidth="1"/>
    <col min="84" max="84" width="7.7109375" bestFit="1" customWidth="1"/>
    <col min="85" max="85" width="10.7109375" bestFit="1" customWidth="1"/>
    <col min="86" max="86" width="9.28515625" bestFit="1" customWidth="1"/>
    <col min="87" max="87" width="6.7109375" bestFit="1" customWidth="1"/>
    <col min="88" max="88" width="7.42578125" bestFit="1" customWidth="1"/>
    <col min="90" max="90" width="7.28515625" style="12" bestFit="1" customWidth="1"/>
    <col min="91" max="91" width="6.140625" style="12" bestFit="1" customWidth="1"/>
    <col min="92" max="92" width="4.5703125" bestFit="1" customWidth="1"/>
    <col min="93" max="93" width="5.7109375" bestFit="1" customWidth="1"/>
    <col min="94" max="94" width="4.85546875" bestFit="1" customWidth="1"/>
    <col min="95" max="95" width="7.28515625" bestFit="1" customWidth="1"/>
    <col min="96" max="96" width="7.7109375" bestFit="1" customWidth="1"/>
    <col min="97" max="97" width="10.7109375" bestFit="1" customWidth="1"/>
    <col min="98" max="98" width="9.28515625" bestFit="1" customWidth="1"/>
    <col min="99" max="99" width="6.7109375" bestFit="1" customWidth="1"/>
    <col min="100" max="100" width="7.42578125" bestFit="1" customWidth="1"/>
    <col min="102" max="102" width="6.7109375" bestFit="1" customWidth="1"/>
    <col min="103" max="103" width="7.42578125" bestFit="1" customWidth="1"/>
    <col min="116" max="116" width="7.5703125" bestFit="1" customWidth="1"/>
    <col min="117" max="124" width="7.42578125" bestFit="1" customWidth="1"/>
    <col min="125" max="125" width="5.42578125" bestFit="1" customWidth="1"/>
    <col min="126" max="126" width="4.28515625" bestFit="1" customWidth="1"/>
    <col min="127" max="127" width="5.85546875" bestFit="1" customWidth="1"/>
  </cols>
  <sheetData>
    <row r="1" spans="1:130" s="7" customFormat="1" x14ac:dyDescent="0.25">
      <c r="A1" s="7" t="s">
        <v>0</v>
      </c>
      <c r="B1" s="30" t="s">
        <v>2</v>
      </c>
      <c r="C1" s="30" t="s">
        <v>1</v>
      </c>
      <c r="D1" s="31" t="s">
        <v>4</v>
      </c>
      <c r="E1" s="31" t="s">
        <v>3</v>
      </c>
      <c r="F1" s="30" t="s">
        <v>7</v>
      </c>
      <c r="G1" s="30" t="s">
        <v>8</v>
      </c>
      <c r="H1" s="30" t="s">
        <v>5</v>
      </c>
      <c r="I1" s="30" t="s">
        <v>6</v>
      </c>
      <c r="J1" s="30" t="s">
        <v>10</v>
      </c>
      <c r="K1" s="30" t="s">
        <v>9</v>
      </c>
      <c r="L1" s="30" t="s">
        <v>12</v>
      </c>
      <c r="M1" s="30" t="s">
        <v>11</v>
      </c>
      <c r="N1" s="32" t="s">
        <v>33</v>
      </c>
      <c r="O1" s="32" t="s">
        <v>34</v>
      </c>
      <c r="P1" s="32" t="s">
        <v>35</v>
      </c>
      <c r="Q1" s="32" t="s">
        <v>36</v>
      </c>
      <c r="R1" s="30" t="s">
        <v>37</v>
      </c>
      <c r="S1" s="30" t="s">
        <v>38</v>
      </c>
      <c r="T1" s="30" t="s">
        <v>39</v>
      </c>
      <c r="U1" s="31" t="s">
        <v>40</v>
      </c>
      <c r="V1" s="31" t="s">
        <v>41</v>
      </c>
      <c r="W1" s="31" t="s">
        <v>42</v>
      </c>
      <c r="X1" s="32" t="s">
        <v>43</v>
      </c>
      <c r="Y1" s="32" t="s">
        <v>44</v>
      </c>
      <c r="Z1" s="32" t="s">
        <v>45</v>
      </c>
      <c r="AA1" s="32" t="s">
        <v>46</v>
      </c>
      <c r="AB1" s="30" t="s">
        <v>47</v>
      </c>
      <c r="AC1" s="30" t="s">
        <v>48</v>
      </c>
      <c r="AD1" s="30" t="s">
        <v>49</v>
      </c>
      <c r="AE1" s="31" t="s">
        <v>50</v>
      </c>
      <c r="AF1" s="31" t="s">
        <v>51</v>
      </c>
      <c r="AG1" s="31" t="s">
        <v>52</v>
      </c>
      <c r="AH1" s="2"/>
      <c r="AI1" s="3">
        <f>AQ16</f>
        <v>2.9616784382410257</v>
      </c>
      <c r="AJ1" s="4">
        <v>0</v>
      </c>
      <c r="AK1" s="4">
        <f t="shared" ref="AK1:AQ1" si="0">AJ1-$AK12</f>
        <v>-1E-3</v>
      </c>
      <c r="AL1" s="4">
        <f t="shared" si="0"/>
        <v>-2E-3</v>
      </c>
      <c r="AM1" s="4">
        <f t="shared" si="0"/>
        <v>-3.0000000000000001E-3</v>
      </c>
      <c r="AN1" s="4">
        <f t="shared" si="0"/>
        <v>-4.0000000000000001E-3</v>
      </c>
      <c r="AO1" s="4">
        <f t="shared" si="0"/>
        <v>-5.0000000000000001E-3</v>
      </c>
      <c r="AP1" s="4">
        <f t="shared" si="0"/>
        <v>-6.0000000000000001E-3</v>
      </c>
      <c r="AQ1" s="4">
        <f t="shared" si="0"/>
        <v>-7.0000000000000001E-3</v>
      </c>
      <c r="AR1" s="5" t="s">
        <v>13</v>
      </c>
      <c r="AS1" s="2"/>
      <c r="AT1" s="3">
        <f>BB16</f>
        <v>1.3754050117039411</v>
      </c>
      <c r="AU1" s="4">
        <v>0</v>
      </c>
      <c r="AV1" s="6">
        <f>AU1+$AV12</f>
        <v>2.5000000000000001E-3</v>
      </c>
      <c r="AW1" s="6">
        <f t="shared" ref="AW1:BB1" si="1">AV1+$AV12</f>
        <v>5.0000000000000001E-3</v>
      </c>
      <c r="AX1" s="6">
        <f t="shared" si="1"/>
        <v>7.4999999999999997E-3</v>
      </c>
      <c r="AY1" s="6">
        <f t="shared" si="1"/>
        <v>0.01</v>
      </c>
      <c r="AZ1" s="6">
        <f t="shared" si="1"/>
        <v>1.2500000000000001E-2</v>
      </c>
      <c r="BA1" s="6">
        <f t="shared" si="1"/>
        <v>1.5000000000000001E-2</v>
      </c>
      <c r="BB1" s="6">
        <f t="shared" si="1"/>
        <v>1.7500000000000002E-2</v>
      </c>
      <c r="BC1" s="5" t="s">
        <v>13</v>
      </c>
      <c r="BD1" s="2"/>
      <c r="BG1" s="2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Z1" s="8"/>
      <c r="CA1" s="8"/>
      <c r="CB1" s="8"/>
      <c r="CC1" s="8"/>
      <c r="CD1" s="8"/>
      <c r="CE1" s="8"/>
      <c r="CF1" s="8"/>
      <c r="CK1" s="8"/>
      <c r="CL1" s="8"/>
      <c r="CM1" s="8"/>
      <c r="CN1" s="8"/>
      <c r="CO1" s="8"/>
      <c r="CP1" s="8"/>
      <c r="CQ1" s="8"/>
      <c r="CR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</row>
    <row r="2" spans="1:130" x14ac:dyDescent="0.25">
      <c r="A2" s="1">
        <v>46024</v>
      </c>
      <c r="B2" s="33">
        <v>95.59</v>
      </c>
      <c r="C2" s="33">
        <v>104.22</v>
      </c>
      <c r="F2" s="33">
        <v>0</v>
      </c>
      <c r="G2" s="33">
        <v>0</v>
      </c>
      <c r="H2" s="33">
        <v>0</v>
      </c>
      <c r="I2" s="33">
        <v>0</v>
      </c>
      <c r="J2" s="33">
        <v>0</v>
      </c>
      <c r="K2" s="33">
        <v>0</v>
      </c>
      <c r="L2" s="33">
        <v>95.59</v>
      </c>
      <c r="M2" s="33">
        <v>104.22</v>
      </c>
      <c r="N2" s="34">
        <v>1.0902814101893501</v>
      </c>
      <c r="O2" s="34">
        <v>1.03934289630393</v>
      </c>
      <c r="X2" s="34">
        <v>1.0902814101893501</v>
      </c>
      <c r="Y2" s="34">
        <v>1.03934289630393</v>
      </c>
      <c r="AI2" s="4">
        <v>0</v>
      </c>
      <c r="AJ2" s="10">
        <f t="dataTable" ref="AJ2:AQ9" dt2D="1" dtr="1" r1="AI21" r2="AI22"/>
        <v>5.7479356416705505</v>
      </c>
      <c r="AK2" s="10">
        <v>4.8306367421470497</v>
      </c>
      <c r="AL2" s="10">
        <v>3.8612430134518383</v>
      </c>
      <c r="AM2" s="10">
        <v>3.9159136494998079</v>
      </c>
      <c r="AN2" s="10">
        <v>3.4383625665159592</v>
      </c>
      <c r="AO2" s="10">
        <v>2.4850478451321503</v>
      </c>
      <c r="AP2" s="10">
        <v>1.7909443748102152</v>
      </c>
      <c r="AQ2" s="10">
        <v>1.2750711555097243</v>
      </c>
      <c r="AR2"/>
      <c r="AT2" s="4">
        <v>0</v>
      </c>
      <c r="AU2" s="10">
        <f t="dataTable" ref="AU2:BB9" dt2D="1" dtr="1" r1="AT21" r2="AT22"/>
        <v>1.6965953466112533</v>
      </c>
      <c r="AV2" s="11">
        <v>1.2358469491504358</v>
      </c>
      <c r="AW2" s="11">
        <v>0.17942651834072068</v>
      </c>
      <c r="AX2" s="11">
        <v>0.27392707849780168</v>
      </c>
      <c r="AY2" s="11">
        <v>-0.14763253219918507</v>
      </c>
      <c r="AZ2" s="11">
        <v>-0.46459342674977411</v>
      </c>
      <c r="BA2" s="11">
        <v>-0.50004546786869419</v>
      </c>
      <c r="BB2" s="11">
        <v>-0.51223230890243421</v>
      </c>
      <c r="BC2"/>
    </row>
    <row r="3" spans="1:130" x14ac:dyDescent="0.25">
      <c r="A3" s="1">
        <v>46027</v>
      </c>
      <c r="B3" s="33">
        <v>97.71</v>
      </c>
      <c r="C3" s="33">
        <v>105.4</v>
      </c>
      <c r="D3" s="15">
        <v>2.1935695880580499E-2</v>
      </c>
      <c r="E3" s="15">
        <v>1.12585866261934E-2</v>
      </c>
      <c r="F3" s="33">
        <v>0</v>
      </c>
      <c r="G3" s="33">
        <v>0</v>
      </c>
      <c r="H3" s="33">
        <v>0</v>
      </c>
      <c r="I3" s="33">
        <v>0</v>
      </c>
      <c r="J3" s="33">
        <v>0</v>
      </c>
      <c r="K3" s="33">
        <v>0</v>
      </c>
      <c r="L3" s="33">
        <v>97.71</v>
      </c>
      <c r="M3" s="33">
        <v>105.4</v>
      </c>
      <c r="N3" s="34">
        <v>1.0787022822638399</v>
      </c>
      <c r="O3" s="34">
        <v>1.03934289630393</v>
      </c>
      <c r="R3" s="33">
        <v>101.554194397857</v>
      </c>
      <c r="U3" s="15">
        <v>-3.71700451637067E-2</v>
      </c>
      <c r="X3" s="34">
        <v>1.0787022822638399</v>
      </c>
      <c r="Y3" s="34">
        <v>1.03934289630393</v>
      </c>
      <c r="AB3" s="33">
        <v>101.554194397857</v>
      </c>
      <c r="AE3" s="15">
        <v>-3.71700451637067E-2</v>
      </c>
      <c r="AI3" s="4">
        <f t="shared" ref="AI3:AI9" si="2">AI2-AK$12</f>
        <v>-1E-3</v>
      </c>
      <c r="AJ3" s="10">
        <v>5.7479356416705505</v>
      </c>
      <c r="AK3" s="10">
        <v>4.2223874524009952</v>
      </c>
      <c r="AL3" s="10">
        <v>3.4160616486109854</v>
      </c>
      <c r="AM3" s="10">
        <v>3.4954222491642351</v>
      </c>
      <c r="AN3" s="10">
        <v>2.9616784382410257</v>
      </c>
      <c r="AO3" s="11">
        <v>2.1486237976029998</v>
      </c>
      <c r="AP3" s="10">
        <v>1.7909443748102152</v>
      </c>
      <c r="AQ3" s="10">
        <v>1.2750711555097243</v>
      </c>
      <c r="AR3"/>
      <c r="AT3" s="4">
        <f>AT2+AV$12</f>
        <v>2.5000000000000001E-3</v>
      </c>
      <c r="AU3" s="10">
        <v>1.6965953466112533</v>
      </c>
      <c r="AV3" s="11">
        <v>2.4725203764587946</v>
      </c>
      <c r="AW3" s="11">
        <v>0.93206537137101531</v>
      </c>
      <c r="AX3" s="11">
        <v>1.0580488060821949</v>
      </c>
      <c r="AY3" s="11">
        <v>1.1005910065919731</v>
      </c>
      <c r="AZ3" s="11">
        <v>-2.1105362855959205E-2</v>
      </c>
      <c r="BA3" s="11">
        <v>-0.58108849720175648</v>
      </c>
      <c r="BB3" s="11">
        <v>-0.66994090762845071</v>
      </c>
      <c r="BC3"/>
    </row>
    <row r="4" spans="1:130" x14ac:dyDescent="0.25">
      <c r="A4" s="1">
        <v>46028</v>
      </c>
      <c r="B4" s="33">
        <v>98.03</v>
      </c>
      <c r="C4" s="33">
        <v>106.36</v>
      </c>
      <c r="D4" s="15">
        <v>3.2696463173830601E-3</v>
      </c>
      <c r="E4" s="15">
        <v>9.0669302675570398E-3</v>
      </c>
      <c r="F4" s="33">
        <v>0</v>
      </c>
      <c r="G4" s="33">
        <v>0</v>
      </c>
      <c r="H4" s="33">
        <v>0</v>
      </c>
      <c r="I4" s="33">
        <v>0</v>
      </c>
      <c r="J4" s="33">
        <v>0</v>
      </c>
      <c r="K4" s="33">
        <v>0</v>
      </c>
      <c r="L4" s="33">
        <v>98.03</v>
      </c>
      <c r="M4" s="33">
        <v>106.36</v>
      </c>
      <c r="N4" s="34">
        <v>1.0849739875548301</v>
      </c>
      <c r="O4" s="34">
        <v>1.03934289630393</v>
      </c>
      <c r="R4" s="33">
        <v>101.88678412467399</v>
      </c>
      <c r="U4" s="15">
        <v>-4.2967329113880799E-2</v>
      </c>
      <c r="X4" s="34">
        <v>1.0849739875548301</v>
      </c>
      <c r="Y4" s="34">
        <v>1.03934289630393</v>
      </c>
      <c r="AB4" s="33">
        <v>101.88678412467399</v>
      </c>
      <c r="AE4" s="15">
        <v>-4.2967329113880799E-2</v>
      </c>
      <c r="AG4"/>
      <c r="AI4" s="4">
        <f t="shared" si="2"/>
        <v>-2E-3</v>
      </c>
      <c r="AJ4" s="10">
        <v>5.7479356416705505</v>
      </c>
      <c r="AK4" s="11">
        <v>4.2223874524009952</v>
      </c>
      <c r="AL4" s="11">
        <v>3.4160616486109854</v>
      </c>
      <c r="AM4" s="11">
        <v>3.4954222491642351</v>
      </c>
      <c r="AN4" s="10">
        <v>2.9616784382410257</v>
      </c>
      <c r="AO4" s="11">
        <v>2.1486237976029998</v>
      </c>
      <c r="AP4" s="11">
        <v>1.7909443748102152</v>
      </c>
      <c r="AQ4" s="11">
        <v>1.2750711555097243</v>
      </c>
      <c r="AR4"/>
      <c r="AT4" s="4">
        <f t="shared" ref="AT4:AT9" si="3">AT3+AV$12</f>
        <v>5.0000000000000001E-3</v>
      </c>
      <c r="AU4" s="10">
        <v>1.6965953466112533</v>
      </c>
      <c r="AV4" s="11">
        <v>2.4725203764587946</v>
      </c>
      <c r="AW4" s="11">
        <v>1.7346210277491187</v>
      </c>
      <c r="AX4" s="11">
        <v>1.8449021766909757</v>
      </c>
      <c r="AY4" s="11">
        <v>1.3838121970279209</v>
      </c>
      <c r="AZ4" s="11">
        <v>0.55941295115192557</v>
      </c>
      <c r="BA4" s="11">
        <v>-0.70046178302993134</v>
      </c>
      <c r="BB4" s="11">
        <v>-0.70510757336406704</v>
      </c>
      <c r="BC4"/>
      <c r="BE4" s="8"/>
      <c r="BF4" s="8"/>
    </row>
    <row r="5" spans="1:130" x14ac:dyDescent="0.25">
      <c r="A5" s="1">
        <v>46029</v>
      </c>
      <c r="B5" s="33">
        <v>96.2</v>
      </c>
      <c r="C5" s="33">
        <v>103.93</v>
      </c>
      <c r="D5" s="15">
        <v>-1.8844196601973898E-2</v>
      </c>
      <c r="E5" s="15">
        <v>-2.3111970774488701E-2</v>
      </c>
      <c r="F5" s="33">
        <v>0</v>
      </c>
      <c r="G5" s="33">
        <v>0</v>
      </c>
      <c r="H5" s="33">
        <v>0</v>
      </c>
      <c r="I5" s="33">
        <v>0</v>
      </c>
      <c r="J5" s="33">
        <v>0</v>
      </c>
      <c r="K5" s="33">
        <v>0</v>
      </c>
      <c r="L5" s="33">
        <v>96.2</v>
      </c>
      <c r="M5" s="33">
        <v>103.93</v>
      </c>
      <c r="N5" s="34">
        <v>1.0803534303534299</v>
      </c>
      <c r="O5" s="34">
        <v>1.03934289630393</v>
      </c>
      <c r="R5" s="33">
        <v>99.984786624438598</v>
      </c>
      <c r="U5" s="15">
        <v>-3.8699554941365802E-2</v>
      </c>
      <c r="X5" s="34">
        <v>1.0803534303534299</v>
      </c>
      <c r="Y5" s="34">
        <v>1.03934289630393</v>
      </c>
      <c r="AB5" s="33">
        <v>99.984786624438598</v>
      </c>
      <c r="AE5" s="15">
        <v>-3.8699554941365802E-2</v>
      </c>
      <c r="AG5" s="29"/>
      <c r="AI5" s="4">
        <f t="shared" si="2"/>
        <v>-3.0000000000000001E-3</v>
      </c>
      <c r="AJ5" s="10">
        <v>5.7479356416705505</v>
      </c>
      <c r="AK5" s="11">
        <v>4.2223874524009952</v>
      </c>
      <c r="AL5" s="11">
        <v>3.4160616486109854</v>
      </c>
      <c r="AM5" s="11">
        <v>3.4954222491642351</v>
      </c>
      <c r="AN5" s="11">
        <v>2.9616784382410257</v>
      </c>
      <c r="AO5" s="11">
        <v>2.1486237976029998</v>
      </c>
      <c r="AP5" s="10">
        <v>1.7909443748102152</v>
      </c>
      <c r="AQ5" s="11">
        <v>1.2750711555097243</v>
      </c>
      <c r="AR5"/>
      <c r="AT5" s="4">
        <f t="shared" si="3"/>
        <v>7.4999999999999997E-3</v>
      </c>
      <c r="AU5" s="10">
        <v>1.6965953466112533</v>
      </c>
      <c r="AV5" s="11">
        <v>2.4725203764587946</v>
      </c>
      <c r="AW5" s="11">
        <v>1.7346210277491187</v>
      </c>
      <c r="AX5" s="11">
        <v>1.9574748014341974</v>
      </c>
      <c r="AY5" s="11">
        <v>1.3491541277256041</v>
      </c>
      <c r="AZ5" s="11">
        <v>0.64234312108817471</v>
      </c>
      <c r="BA5" s="11">
        <v>-0.67105054120868657</v>
      </c>
      <c r="BB5" s="11">
        <v>-0.68669415899580022</v>
      </c>
      <c r="BC5"/>
    </row>
    <row r="6" spans="1:130" x14ac:dyDescent="0.25">
      <c r="A6" s="1">
        <v>46030</v>
      </c>
      <c r="B6" s="33">
        <v>100.93</v>
      </c>
      <c r="C6" s="33">
        <v>109.55</v>
      </c>
      <c r="D6" s="15">
        <v>4.7997849579107202E-2</v>
      </c>
      <c r="E6" s="15">
        <v>5.2663470441145097E-2</v>
      </c>
      <c r="F6" s="33">
        <v>0</v>
      </c>
      <c r="G6" s="33">
        <v>0</v>
      </c>
      <c r="H6" s="33">
        <v>0</v>
      </c>
      <c r="I6" s="33">
        <v>0</v>
      </c>
      <c r="J6" s="33">
        <v>0</v>
      </c>
      <c r="K6" s="33">
        <v>0</v>
      </c>
      <c r="L6" s="33">
        <v>100.93</v>
      </c>
      <c r="M6" s="33">
        <v>109.55</v>
      </c>
      <c r="N6" s="34">
        <v>1.0854057267413</v>
      </c>
      <c r="O6" s="34">
        <v>1.03934289630393</v>
      </c>
      <c r="R6" s="33">
        <v>104.900878523956</v>
      </c>
      <c r="U6" s="15">
        <v>-4.3365175803403801E-2</v>
      </c>
      <c r="X6" s="34">
        <v>1.0854057267413</v>
      </c>
      <c r="Y6" s="34">
        <v>1.03934289630393</v>
      </c>
      <c r="AB6" s="33">
        <v>104.900878523956</v>
      </c>
      <c r="AE6" s="15">
        <v>-4.3365175803403801E-2</v>
      </c>
      <c r="AG6" s="29"/>
      <c r="AI6" s="4">
        <f t="shared" si="2"/>
        <v>-4.0000000000000001E-3</v>
      </c>
      <c r="AJ6" s="10">
        <v>5.7479356416705505</v>
      </c>
      <c r="AK6" s="11">
        <v>4.2223874524009952</v>
      </c>
      <c r="AL6" s="11">
        <v>3.4160616486109854</v>
      </c>
      <c r="AM6" s="11">
        <v>3.4954222491642351</v>
      </c>
      <c r="AN6" s="11">
        <v>2.848679457417024</v>
      </c>
      <c r="AO6" s="11">
        <v>2.1486237976029998</v>
      </c>
      <c r="AP6" s="11">
        <v>1.7909443748102152</v>
      </c>
      <c r="AQ6" s="11">
        <v>1.2750711555097243</v>
      </c>
      <c r="AR6"/>
      <c r="AT6" s="4">
        <f t="shared" si="3"/>
        <v>0.01</v>
      </c>
      <c r="AU6" s="10">
        <v>1.6965953466112533</v>
      </c>
      <c r="AV6" s="11">
        <v>2.4725203764587946</v>
      </c>
      <c r="AW6" s="11">
        <v>1.7346210277491187</v>
      </c>
      <c r="AX6" s="11">
        <v>1.9574748014341974</v>
      </c>
      <c r="AY6" s="11">
        <v>0.71411813923491818</v>
      </c>
      <c r="AZ6" s="11">
        <v>0.48720975750028039</v>
      </c>
      <c r="BA6" s="11">
        <v>-0.89108496748441401</v>
      </c>
      <c r="BB6" s="11">
        <v>-0.68669415899580022</v>
      </c>
      <c r="BC6"/>
    </row>
    <row r="7" spans="1:130" x14ac:dyDescent="0.25">
      <c r="A7" s="1">
        <v>46031</v>
      </c>
      <c r="B7" s="33">
        <v>108.24</v>
      </c>
      <c r="C7" s="33">
        <v>119.25</v>
      </c>
      <c r="D7" s="15">
        <v>6.9923776611764396E-2</v>
      </c>
      <c r="E7" s="15">
        <v>8.4841063726975002E-2</v>
      </c>
      <c r="F7" s="33">
        <v>0</v>
      </c>
      <c r="G7" s="33">
        <v>0</v>
      </c>
      <c r="H7" s="33">
        <v>0</v>
      </c>
      <c r="I7" s="33">
        <v>0</v>
      </c>
      <c r="J7" s="33">
        <v>0</v>
      </c>
      <c r="K7" s="33">
        <v>0</v>
      </c>
      <c r="L7" s="33">
        <v>108.24</v>
      </c>
      <c r="M7" s="33">
        <v>119.25</v>
      </c>
      <c r="N7" s="34">
        <v>1.1017184035476699</v>
      </c>
      <c r="O7" s="34">
        <v>1.03934289630393</v>
      </c>
      <c r="R7" s="33">
        <v>112.49847509593801</v>
      </c>
      <c r="U7" s="15">
        <v>-5.8282462918614497E-2</v>
      </c>
      <c r="X7" s="34">
        <v>1.1017184035476699</v>
      </c>
      <c r="Y7" s="34">
        <v>1.03934289630393</v>
      </c>
      <c r="AB7" s="33">
        <v>112.49847509593801</v>
      </c>
      <c r="AE7" s="15">
        <v>-5.8282462918614497E-2</v>
      </c>
      <c r="AG7"/>
      <c r="AI7" s="4">
        <f t="shared" si="2"/>
        <v>-5.0000000000000001E-3</v>
      </c>
      <c r="AJ7" s="10">
        <v>5.7479356416705505</v>
      </c>
      <c r="AK7" s="11">
        <v>4.2223874524009952</v>
      </c>
      <c r="AL7" s="11">
        <v>3.4160616486109854</v>
      </c>
      <c r="AM7" s="11">
        <v>3.4954222491642351</v>
      </c>
      <c r="AN7" s="11">
        <v>2.848679457417024</v>
      </c>
      <c r="AO7" s="11">
        <v>2.1486237976029998</v>
      </c>
      <c r="AP7" s="11">
        <v>1.7909443748102152</v>
      </c>
      <c r="AQ7" s="11">
        <v>1.2750711555097243</v>
      </c>
      <c r="AR7"/>
      <c r="AT7" s="4">
        <f t="shared" si="3"/>
        <v>1.2500000000000001E-2</v>
      </c>
      <c r="AU7" s="10">
        <v>1.6965953466112533</v>
      </c>
      <c r="AV7" s="11">
        <v>2.4725203764587946</v>
      </c>
      <c r="AW7" s="11">
        <v>1.7346210277491187</v>
      </c>
      <c r="AX7" s="11">
        <v>1.9574748014341974</v>
      </c>
      <c r="AY7" s="11">
        <v>0.71411813923491818</v>
      </c>
      <c r="AZ7" s="11">
        <v>1.3448087751879159</v>
      </c>
      <c r="BA7" s="11">
        <v>2.6882021156047747E-3</v>
      </c>
      <c r="BB7" s="11">
        <v>-0.91071036636627656</v>
      </c>
      <c r="BC7"/>
    </row>
    <row r="8" spans="1:130" x14ac:dyDescent="0.25">
      <c r="A8" s="1">
        <v>46034</v>
      </c>
      <c r="B8" s="33">
        <v>109.53</v>
      </c>
      <c r="C8" s="33">
        <v>120.9</v>
      </c>
      <c r="D8" s="15">
        <v>1.1847500473122601E-2</v>
      </c>
      <c r="E8" s="15">
        <v>1.3741627852296301E-2</v>
      </c>
      <c r="F8" s="33">
        <v>0</v>
      </c>
      <c r="G8" s="33">
        <v>0</v>
      </c>
      <c r="H8" s="33">
        <v>0</v>
      </c>
      <c r="I8" s="33">
        <v>0</v>
      </c>
      <c r="J8" s="33">
        <v>0</v>
      </c>
      <c r="K8" s="33">
        <v>0</v>
      </c>
      <c r="L8" s="33">
        <v>109.53</v>
      </c>
      <c r="M8" s="33">
        <v>120.9</v>
      </c>
      <c r="N8" s="34">
        <v>1.1038071761161301</v>
      </c>
      <c r="O8" s="34">
        <v>1.03934289630393</v>
      </c>
      <c r="R8" s="33">
        <v>113.83922743217001</v>
      </c>
      <c r="U8" s="15">
        <v>-6.0176590297788199E-2</v>
      </c>
      <c r="X8" s="34">
        <v>1.1038071761161301</v>
      </c>
      <c r="Y8" s="34">
        <v>1.03934289630393</v>
      </c>
      <c r="AB8" s="33">
        <v>113.83922743217001</v>
      </c>
      <c r="AE8" s="15">
        <v>-6.0176590297788199E-2</v>
      </c>
      <c r="AG8"/>
      <c r="AI8" s="4">
        <f t="shared" si="2"/>
        <v>-6.0000000000000001E-3</v>
      </c>
      <c r="AJ8" s="10">
        <v>5.7479356416705505</v>
      </c>
      <c r="AK8" s="11">
        <v>4.2223874524009952</v>
      </c>
      <c r="AL8" s="11">
        <v>3.4160616486109854</v>
      </c>
      <c r="AM8" s="11">
        <v>3.4954222491642351</v>
      </c>
      <c r="AN8" s="11">
        <v>2.848679457417024</v>
      </c>
      <c r="AO8" s="11">
        <v>2.1486237976029998</v>
      </c>
      <c r="AP8" s="11">
        <v>1.7909443748102152</v>
      </c>
      <c r="AQ8" s="11">
        <v>1.2750711555097243</v>
      </c>
      <c r="AR8"/>
      <c r="AT8" s="4">
        <f t="shared" si="3"/>
        <v>1.5000000000000001E-2</v>
      </c>
      <c r="AU8" s="10">
        <v>1.6965953466112533</v>
      </c>
      <c r="AV8" s="11">
        <v>2.4725203764587946</v>
      </c>
      <c r="AW8" s="11">
        <v>1.7346210277491187</v>
      </c>
      <c r="AX8" s="11">
        <v>1.9574748014341974</v>
      </c>
      <c r="AY8" s="11">
        <v>0.71411813923491818</v>
      </c>
      <c r="AZ8" s="11">
        <v>1.3448087751879159</v>
      </c>
      <c r="BA8" s="11">
        <v>-0.39229897183620566</v>
      </c>
      <c r="BB8" s="11">
        <v>-0.9259358500446212</v>
      </c>
      <c r="BC8"/>
    </row>
    <row r="9" spans="1:130" x14ac:dyDescent="0.25">
      <c r="A9" s="1">
        <v>46035</v>
      </c>
      <c r="B9" s="33">
        <v>111.13</v>
      </c>
      <c r="C9" s="33">
        <v>123.32</v>
      </c>
      <c r="D9" s="15">
        <v>1.45022028618998E-2</v>
      </c>
      <c r="E9" s="15">
        <v>1.9818845397202502E-2</v>
      </c>
      <c r="F9" s="33">
        <v>0</v>
      </c>
      <c r="G9" s="33">
        <v>0</v>
      </c>
      <c r="H9" s="33">
        <v>0</v>
      </c>
      <c r="I9" s="33">
        <v>0</v>
      </c>
      <c r="J9" s="33">
        <v>0</v>
      </c>
      <c r="K9" s="33">
        <v>0</v>
      </c>
      <c r="L9" s="33">
        <v>111.13</v>
      </c>
      <c r="M9" s="33">
        <v>123.32</v>
      </c>
      <c r="N9" s="34">
        <v>1.10969135247008</v>
      </c>
      <c r="O9" s="34">
        <v>1.03934289630393</v>
      </c>
      <c r="R9" s="33">
        <v>115.502176066256</v>
      </c>
      <c r="U9" s="15">
        <v>-6.5493232833090803E-2</v>
      </c>
      <c r="X9" s="34">
        <v>1.10969135247008</v>
      </c>
      <c r="Y9" s="34">
        <v>1.03934289630393</v>
      </c>
      <c r="AB9" s="33">
        <v>115.502176066256</v>
      </c>
      <c r="AE9" s="15">
        <v>-6.5493232833090803E-2</v>
      </c>
      <c r="AF9"/>
      <c r="AI9" s="4">
        <f t="shared" si="2"/>
        <v>-7.0000000000000001E-3</v>
      </c>
      <c r="AJ9" s="10">
        <v>5.7479356416705505</v>
      </c>
      <c r="AK9" s="11">
        <v>4.2223874524009952</v>
      </c>
      <c r="AL9" s="11">
        <v>3.4160616486109854</v>
      </c>
      <c r="AM9" s="11">
        <v>3.4954222491642351</v>
      </c>
      <c r="AN9" s="11">
        <v>2.848679457417024</v>
      </c>
      <c r="AO9" s="11">
        <v>2.1486237976029998</v>
      </c>
      <c r="AP9" s="11">
        <v>1.7909443748102152</v>
      </c>
      <c r="AQ9" s="11">
        <v>1.2750711555097243</v>
      </c>
      <c r="AR9"/>
      <c r="AT9" s="4">
        <f t="shared" si="3"/>
        <v>1.7500000000000002E-2</v>
      </c>
      <c r="AU9" s="10">
        <v>1.6965953466112533</v>
      </c>
      <c r="AV9" s="10">
        <v>2.4725203764587946</v>
      </c>
      <c r="AW9" s="10">
        <v>1.7346210277491187</v>
      </c>
      <c r="AX9" s="10">
        <v>1.9574748014341974</v>
      </c>
      <c r="AY9" s="10">
        <v>0.71411813923491818</v>
      </c>
      <c r="AZ9" s="10">
        <v>1.3448087751879159</v>
      </c>
      <c r="BA9" s="10">
        <v>-0.39229897183620566</v>
      </c>
      <c r="BB9" s="10">
        <v>-0.97051587912690163</v>
      </c>
      <c r="BC9"/>
    </row>
    <row r="10" spans="1:130" x14ac:dyDescent="0.25">
      <c r="A10" s="1">
        <v>46036</v>
      </c>
      <c r="B10" s="33">
        <v>109.73</v>
      </c>
      <c r="C10" s="33">
        <v>121.39</v>
      </c>
      <c r="D10" s="15">
        <v>-1.26778841948472E-2</v>
      </c>
      <c r="E10" s="15">
        <v>-1.57741001082373E-2</v>
      </c>
      <c r="F10" s="33">
        <v>0</v>
      </c>
      <c r="G10" s="33">
        <v>0</v>
      </c>
      <c r="H10" s="33">
        <v>0</v>
      </c>
      <c r="I10" s="33">
        <v>0</v>
      </c>
      <c r="J10" s="33">
        <v>0</v>
      </c>
      <c r="K10" s="33">
        <v>0</v>
      </c>
      <c r="L10" s="33">
        <v>109.73</v>
      </c>
      <c r="M10" s="33">
        <v>121.39</v>
      </c>
      <c r="N10" s="34">
        <v>1.10626082201767</v>
      </c>
      <c r="O10" s="34">
        <v>1.03934289630393</v>
      </c>
      <c r="R10" s="33">
        <v>114.04709601143</v>
      </c>
      <c r="U10" s="15">
        <v>-6.2397016919700898E-2</v>
      </c>
      <c r="X10" s="34">
        <v>1.10626082201767</v>
      </c>
      <c r="Y10" s="34">
        <v>1.03934289630393</v>
      </c>
      <c r="AB10" s="33">
        <v>114.04709601143</v>
      </c>
      <c r="AE10" s="15">
        <v>-6.2397016919700898E-2</v>
      </c>
      <c r="AF10"/>
      <c r="AI10" s="13" t="s">
        <v>14</v>
      </c>
      <c r="AJ10"/>
      <c r="AK10"/>
      <c r="AL10"/>
      <c r="AM10"/>
      <c r="AN10"/>
      <c r="AO10"/>
      <c r="AP10"/>
      <c r="AQ10"/>
      <c r="AR10"/>
      <c r="AT10" s="13" t="s">
        <v>14</v>
      </c>
      <c r="AU10"/>
      <c r="AV10"/>
      <c r="AW10"/>
      <c r="AX10"/>
      <c r="AY10"/>
      <c r="AZ10"/>
      <c r="BA10"/>
      <c r="BB10"/>
      <c r="BC10"/>
      <c r="BZ10" s="14"/>
      <c r="CL10" s="14"/>
    </row>
    <row r="11" spans="1:130" x14ac:dyDescent="0.25">
      <c r="A11" s="1">
        <v>46037</v>
      </c>
      <c r="B11" s="33">
        <v>110.94</v>
      </c>
      <c r="C11" s="33">
        <v>122.25</v>
      </c>
      <c r="D11" s="15">
        <v>1.09667116243807E-2</v>
      </c>
      <c r="E11" s="15">
        <v>7.0596254452690299E-3</v>
      </c>
      <c r="F11" s="33">
        <v>0</v>
      </c>
      <c r="G11" s="33">
        <v>0</v>
      </c>
      <c r="H11" s="33">
        <v>0</v>
      </c>
      <c r="I11" s="33">
        <v>0</v>
      </c>
      <c r="J11" s="33">
        <v>0</v>
      </c>
      <c r="K11" s="33">
        <v>0</v>
      </c>
      <c r="L11" s="33">
        <v>110.94</v>
      </c>
      <c r="M11" s="33">
        <v>122.25</v>
      </c>
      <c r="N11" s="34">
        <v>1.1019469983775001</v>
      </c>
      <c r="O11" s="34">
        <v>1.03934289630393</v>
      </c>
      <c r="P11" s="34">
        <v>1.09431415896318</v>
      </c>
      <c r="R11" s="33">
        <v>115.30470091595799</v>
      </c>
      <c r="U11" s="15">
        <v>-5.8489930740589398E-2</v>
      </c>
      <c r="X11" s="34">
        <v>1.1019469983775001</v>
      </c>
      <c r="Y11" s="34">
        <v>1.03934289630393</v>
      </c>
      <c r="Z11" s="34">
        <v>1.09431415896318</v>
      </c>
      <c r="AB11" s="33">
        <v>115.30470091595799</v>
      </c>
      <c r="AE11" s="15">
        <v>-5.8489930740589398E-2</v>
      </c>
      <c r="AL11" s="16" t="s">
        <v>15</v>
      </c>
      <c r="AM11" s="16" t="s">
        <v>16</v>
      </c>
      <c r="AW11" s="16" t="s">
        <v>15</v>
      </c>
      <c r="AX11" s="16" t="s">
        <v>16</v>
      </c>
    </row>
    <row r="12" spans="1:130" x14ac:dyDescent="0.25">
      <c r="A12" s="1">
        <v>46038</v>
      </c>
      <c r="B12" s="33">
        <v>107.17</v>
      </c>
      <c r="C12" s="33">
        <v>118.59</v>
      </c>
      <c r="D12" s="15">
        <v>-3.4573155902182698E-2</v>
      </c>
      <c r="E12" s="15">
        <v>-3.0395962378277502E-2</v>
      </c>
      <c r="F12" s="33">
        <v>0</v>
      </c>
      <c r="G12" s="33">
        <v>0</v>
      </c>
      <c r="H12" s="33">
        <v>0</v>
      </c>
      <c r="I12" s="33">
        <v>0</v>
      </c>
      <c r="J12" s="33">
        <v>0</v>
      </c>
      <c r="K12" s="33">
        <v>0</v>
      </c>
      <c r="L12" s="33">
        <v>107.17</v>
      </c>
      <c r="M12" s="33">
        <v>118.59</v>
      </c>
      <c r="N12" s="34">
        <v>1.10655967154987</v>
      </c>
      <c r="O12" s="34">
        <v>1.03934289630393</v>
      </c>
      <c r="P12" s="34">
        <v>1.09594198509923</v>
      </c>
      <c r="R12" s="33">
        <v>111.386378196892</v>
      </c>
      <c r="S12" s="33">
        <v>117.27764841608401</v>
      </c>
      <c r="U12" s="15">
        <v>-6.2667124264494597E-2</v>
      </c>
      <c r="V12" s="15">
        <v>-1.1127979061860801E-2</v>
      </c>
      <c r="X12" s="34">
        <v>1.10655967154987</v>
      </c>
      <c r="Y12" s="34">
        <v>1.03934289630393</v>
      </c>
      <c r="Z12" s="34">
        <v>1.09594198509923</v>
      </c>
      <c r="AB12" s="33">
        <v>111.386378196892</v>
      </c>
      <c r="AC12" s="33">
        <v>117.27764841608401</v>
      </c>
      <c r="AE12" s="15">
        <v>-6.2667124264494597E-2</v>
      </c>
      <c r="AF12" s="15">
        <v>-1.1127979061860801E-2</v>
      </c>
      <c r="AK12" s="17">
        <v>1E-3</v>
      </c>
      <c r="AL12" s="18" t="s">
        <v>17</v>
      </c>
      <c r="AM12" s="19" t="s">
        <v>18</v>
      </c>
      <c r="AV12" s="17">
        <v>2.5000000000000001E-3</v>
      </c>
      <c r="AW12" s="18" t="s">
        <v>19</v>
      </c>
      <c r="AX12" s="19" t="s">
        <v>20</v>
      </c>
    </row>
    <row r="13" spans="1:130" x14ac:dyDescent="0.25">
      <c r="A13" s="1">
        <v>46042</v>
      </c>
      <c r="B13" s="33">
        <v>105.36</v>
      </c>
      <c r="C13" s="33">
        <v>115.16</v>
      </c>
      <c r="D13" s="15">
        <v>-1.70333012898801E-2</v>
      </c>
      <c r="E13" s="15">
        <v>-2.93497002327287E-2</v>
      </c>
      <c r="F13" s="33">
        <v>0</v>
      </c>
      <c r="G13" s="33">
        <v>0</v>
      </c>
      <c r="H13" s="33">
        <v>0</v>
      </c>
      <c r="I13" s="33">
        <v>0</v>
      </c>
      <c r="J13" s="33">
        <v>0</v>
      </c>
      <c r="K13" s="33">
        <v>0</v>
      </c>
      <c r="L13" s="33">
        <v>105.36</v>
      </c>
      <c r="M13" s="33">
        <v>115.16</v>
      </c>
      <c r="N13" s="34">
        <v>1.09301442672741</v>
      </c>
      <c r="O13" s="34">
        <v>1.03934289630393</v>
      </c>
      <c r="P13" s="34">
        <v>1.09737319954559</v>
      </c>
      <c r="R13" s="33">
        <v>109.505167554582</v>
      </c>
      <c r="S13" s="33">
        <v>115.468447550055</v>
      </c>
      <c r="U13" s="15">
        <v>-5.0350725321646E-2</v>
      </c>
      <c r="V13" s="15">
        <v>2.67484551223943E-3</v>
      </c>
      <c r="X13" s="34">
        <v>1.09301442672741</v>
      </c>
      <c r="Y13" s="34">
        <v>1.03934289630393</v>
      </c>
      <c r="Z13" s="34">
        <v>1.09737319954559</v>
      </c>
      <c r="AB13" s="33">
        <v>109.505167554582</v>
      </c>
      <c r="AC13" s="33">
        <v>115.468447550055</v>
      </c>
      <c r="AE13" s="15">
        <v>-5.0350725321646E-2</v>
      </c>
      <c r="AF13" s="15">
        <v>2.67484551223943E-3</v>
      </c>
    </row>
    <row r="14" spans="1:130" x14ac:dyDescent="0.25">
      <c r="A14" s="1">
        <v>46043</v>
      </c>
      <c r="B14" s="33">
        <v>108.19</v>
      </c>
      <c r="C14" s="33">
        <v>118</v>
      </c>
      <c r="D14" s="15">
        <v>2.6505883264456302E-2</v>
      </c>
      <c r="E14" s="15">
        <v>2.4362158721689502E-2</v>
      </c>
      <c r="F14" s="33">
        <v>0</v>
      </c>
      <c r="G14" s="33">
        <v>0</v>
      </c>
      <c r="H14" s="33">
        <v>0</v>
      </c>
      <c r="I14" s="33">
        <v>0</v>
      </c>
      <c r="J14" s="33">
        <v>0</v>
      </c>
      <c r="K14" s="33">
        <v>0</v>
      </c>
      <c r="L14" s="33">
        <v>108.19</v>
      </c>
      <c r="M14" s="33">
        <v>118</v>
      </c>
      <c r="N14" s="34">
        <v>1.09067381458545</v>
      </c>
      <c r="O14" s="34">
        <v>1.03934289630393</v>
      </c>
      <c r="P14" s="34">
        <v>1.0979431822486501</v>
      </c>
      <c r="R14" s="33">
        <v>112.446507951122</v>
      </c>
      <c r="S14" s="33">
        <v>118.72480645883699</v>
      </c>
      <c r="U14" s="15">
        <v>-4.8207000778879197E-2</v>
      </c>
      <c r="V14" s="15">
        <v>6.1236398046844599E-3</v>
      </c>
      <c r="X14" s="34">
        <v>1.09067381458545</v>
      </c>
      <c r="Y14" s="34">
        <v>1.03934289630393</v>
      </c>
      <c r="Z14" s="34">
        <v>1.0979431822486501</v>
      </c>
      <c r="AB14" s="33">
        <v>112.446507951122</v>
      </c>
      <c r="AC14" s="33">
        <v>118.72480645883699</v>
      </c>
      <c r="AE14" s="15">
        <v>-4.8207000778879197E-2</v>
      </c>
      <c r="AF14" s="15">
        <v>6.1236398046844599E-3</v>
      </c>
      <c r="AQ14" s="20">
        <f>AVERAGE(AQ22:AQ176)</f>
        <v>2.3183719420711649E-4</v>
      </c>
      <c r="AR14" s="21" t="s">
        <v>21</v>
      </c>
      <c r="BB14" s="20">
        <f>AVERAGE(BB22:BB176)</f>
        <v>2.8066318505616197E-4</v>
      </c>
      <c r="BC14" s="21" t="s">
        <v>21</v>
      </c>
      <c r="BD14" s="22"/>
      <c r="BE14" s="20">
        <f>AVERAGE(BE22:BE176)</f>
        <v>5.1250037926327838E-4</v>
      </c>
      <c r="BF14" s="21" t="s">
        <v>21</v>
      </c>
    </row>
    <row r="15" spans="1:130" x14ac:dyDescent="0.25">
      <c r="A15" s="1">
        <v>46044</v>
      </c>
      <c r="B15" s="33">
        <v>106</v>
      </c>
      <c r="C15" s="33">
        <v>114.71</v>
      </c>
      <c r="D15" s="15">
        <v>-2.0449846587414899E-2</v>
      </c>
      <c r="E15" s="15">
        <v>-2.82774201724884E-2</v>
      </c>
      <c r="F15" s="33">
        <v>0</v>
      </c>
      <c r="G15" s="33">
        <v>0</v>
      </c>
      <c r="H15" s="33">
        <v>0</v>
      </c>
      <c r="I15" s="33">
        <v>0</v>
      </c>
      <c r="J15" s="33">
        <v>0</v>
      </c>
      <c r="K15" s="33">
        <v>0</v>
      </c>
      <c r="L15" s="33">
        <v>106</v>
      </c>
      <c r="M15" s="33">
        <v>114.71</v>
      </c>
      <c r="N15" s="34">
        <v>1.0821698113207501</v>
      </c>
      <c r="O15" s="34">
        <v>1.03934289630393</v>
      </c>
      <c r="P15" s="34">
        <v>1.0981248203453799</v>
      </c>
      <c r="R15" s="33">
        <v>110.17034700821701</v>
      </c>
      <c r="S15" s="33">
        <v>116.381977318357</v>
      </c>
      <c r="U15" s="15">
        <v>-4.0379427193805599E-2</v>
      </c>
      <c r="V15" s="15">
        <v>1.44704849814034E-2</v>
      </c>
      <c r="X15" s="34">
        <v>1.0821698113207501</v>
      </c>
      <c r="Y15" s="34">
        <v>1.03934289630393</v>
      </c>
      <c r="Z15" s="34">
        <v>1.0981248203453799</v>
      </c>
      <c r="AB15" s="33">
        <v>110.17034700821701</v>
      </c>
      <c r="AC15" s="33">
        <v>116.381977318357</v>
      </c>
      <c r="AE15" s="15">
        <v>-4.0379427193805599E-2</v>
      </c>
      <c r="AF15" s="15">
        <v>1.44704849814034E-2</v>
      </c>
      <c r="AQ15" s="20">
        <f>STDEV(AQ22:AQ176)</f>
        <v>1.2426404283605685E-3</v>
      </c>
      <c r="AR15" s="21" t="s">
        <v>22</v>
      </c>
      <c r="BB15" s="20">
        <f>STDEV(BB22:BB176)</f>
        <v>3.239329434651252E-3</v>
      </c>
      <c r="BC15" s="21" t="s">
        <v>22</v>
      </c>
      <c r="BD15" s="22"/>
      <c r="BE15" s="20">
        <f>STDEV(BE22:BE176)</f>
        <v>3.4505693803493524E-3</v>
      </c>
      <c r="BF15" s="21" t="s">
        <v>22</v>
      </c>
    </row>
    <row r="16" spans="1:130" x14ac:dyDescent="0.25">
      <c r="A16" s="1">
        <v>46045</v>
      </c>
      <c r="B16" s="33">
        <v>104.43</v>
      </c>
      <c r="C16" s="33">
        <v>111.84</v>
      </c>
      <c r="D16" s="15">
        <v>-1.49221036206098E-2</v>
      </c>
      <c r="E16" s="15">
        <v>-2.5337925807676E-2</v>
      </c>
      <c r="F16" s="33">
        <v>0</v>
      </c>
      <c r="G16" s="33">
        <v>0</v>
      </c>
      <c r="H16" s="33">
        <v>0</v>
      </c>
      <c r="I16" s="33">
        <v>0</v>
      </c>
      <c r="J16" s="33">
        <v>0</v>
      </c>
      <c r="K16" s="33">
        <v>0</v>
      </c>
      <c r="L16" s="33">
        <v>104.43</v>
      </c>
      <c r="M16" s="33">
        <v>111.84</v>
      </c>
      <c r="N16" s="34">
        <v>1.07095662166044</v>
      </c>
      <c r="O16" s="34">
        <v>1.03934289630393</v>
      </c>
      <c r="P16" s="34">
        <v>1.0966799098372999</v>
      </c>
      <c r="R16" s="33">
        <v>108.53857866102</v>
      </c>
      <c r="S16" s="33">
        <v>114.677174988668</v>
      </c>
      <c r="U16" s="15">
        <v>-2.99636050067392E-2</v>
      </c>
      <c r="V16" s="15">
        <v>2.5051728363926301E-2</v>
      </c>
      <c r="X16" s="34">
        <v>1.07095662166044</v>
      </c>
      <c r="Y16" s="34">
        <v>1.03934289630393</v>
      </c>
      <c r="Z16" s="34">
        <v>1.0966799098372999</v>
      </c>
      <c r="AB16" s="33">
        <v>108.53857866102</v>
      </c>
      <c r="AC16" s="33">
        <v>114.677174988668</v>
      </c>
      <c r="AE16" s="15">
        <v>-2.99636050067392E-2</v>
      </c>
      <c r="AF16" s="15">
        <v>2.5051728363926301E-2</v>
      </c>
      <c r="AQ16" s="23">
        <f>SQRT(252)*AQ14/AQ15</f>
        <v>2.9616784382410257</v>
      </c>
      <c r="AR16" s="21" t="s">
        <v>23</v>
      </c>
      <c r="BB16" s="23">
        <f>SQRT(252)*BB14/BB15</f>
        <v>1.3754050117039411</v>
      </c>
      <c r="BC16" s="21" t="s">
        <v>23</v>
      </c>
      <c r="BD16" s="22"/>
      <c r="BE16" s="23">
        <f>SQRT(252)*BE14/BE15</f>
        <v>2.3577822687680068</v>
      </c>
      <c r="BF16" s="21" t="s">
        <v>23</v>
      </c>
    </row>
    <row r="17" spans="1:124" x14ac:dyDescent="0.25">
      <c r="A17" s="1">
        <v>46048</v>
      </c>
      <c r="B17" s="33">
        <v>103.68</v>
      </c>
      <c r="C17" s="33">
        <v>110.58</v>
      </c>
      <c r="D17" s="15">
        <v>-7.2077578874926197E-3</v>
      </c>
      <c r="E17" s="15">
        <v>-1.13300375757132E-2</v>
      </c>
      <c r="F17" s="33">
        <v>0</v>
      </c>
      <c r="G17" s="33">
        <v>0</v>
      </c>
      <c r="H17" s="33">
        <v>0</v>
      </c>
      <c r="I17" s="33">
        <v>0</v>
      </c>
      <c r="J17" s="33">
        <v>0</v>
      </c>
      <c r="K17" s="33">
        <v>0</v>
      </c>
      <c r="L17" s="33">
        <v>103.68</v>
      </c>
      <c r="M17" s="33">
        <v>110.58</v>
      </c>
      <c r="N17" s="34">
        <v>1.06655092592592</v>
      </c>
      <c r="O17" s="34">
        <v>1.03934289630393</v>
      </c>
      <c r="P17" s="34">
        <v>1.0931631620751201</v>
      </c>
      <c r="R17" s="33">
        <v>107.759071488792</v>
      </c>
      <c r="S17" s="33">
        <v>113.70377305193099</v>
      </c>
      <c r="U17" s="15">
        <v>-2.5841325318518699E-2</v>
      </c>
      <c r="V17" s="15">
        <v>2.7857343569919299E-2</v>
      </c>
      <c r="X17" s="34">
        <v>1.06655092592592</v>
      </c>
      <c r="Y17" s="34">
        <v>1.03934289630393</v>
      </c>
      <c r="Z17" s="34">
        <v>1.0931631620751201</v>
      </c>
      <c r="AB17" s="33">
        <v>107.759071488792</v>
      </c>
      <c r="AC17" s="33">
        <v>113.70377305193099</v>
      </c>
      <c r="AE17" s="15">
        <v>-2.5841325318518699E-2</v>
      </c>
      <c r="AF17" s="15">
        <v>2.7857343569919299E-2</v>
      </c>
    </row>
    <row r="18" spans="1:124" x14ac:dyDescent="0.25">
      <c r="A18" s="1">
        <v>46049</v>
      </c>
      <c r="B18" s="33">
        <v>102.06</v>
      </c>
      <c r="C18" s="33">
        <v>110.07</v>
      </c>
      <c r="D18" s="15">
        <v>-1.5748356968139102E-2</v>
      </c>
      <c r="E18" s="15">
        <v>-4.6227138744865696E-3</v>
      </c>
      <c r="F18" s="33">
        <v>0</v>
      </c>
      <c r="G18" s="33">
        <v>0</v>
      </c>
      <c r="H18" s="33">
        <v>0</v>
      </c>
      <c r="I18" s="33">
        <v>0</v>
      </c>
      <c r="J18" s="33">
        <v>0</v>
      </c>
      <c r="K18" s="33">
        <v>0</v>
      </c>
      <c r="L18" s="33">
        <v>102.06</v>
      </c>
      <c r="M18" s="33">
        <v>110.07</v>
      </c>
      <c r="N18" s="34">
        <v>1.07848324514991</v>
      </c>
      <c r="O18" s="34">
        <v>1.03934289630393</v>
      </c>
      <c r="P18" s="34">
        <v>1.0906307689785</v>
      </c>
      <c r="R18" s="33">
        <v>106.075335996779</v>
      </c>
      <c r="S18" s="33">
        <v>111.568232321387</v>
      </c>
      <c r="U18" s="15">
        <v>-3.69669684121713E-2</v>
      </c>
      <c r="V18" s="15">
        <v>1.3519825771131399E-2</v>
      </c>
      <c r="X18" s="34">
        <v>1.07848324514991</v>
      </c>
      <c r="Y18" s="34">
        <v>1.03934289630393</v>
      </c>
      <c r="Z18" s="34">
        <v>1.0906307689785</v>
      </c>
      <c r="AB18" s="33">
        <v>106.075335996779</v>
      </c>
      <c r="AC18" s="33">
        <v>111.568232321387</v>
      </c>
      <c r="AE18" s="15">
        <v>-3.69669684121713E-2</v>
      </c>
      <c r="AF18" s="15">
        <v>1.3519825771131399E-2</v>
      </c>
      <c r="BE18" s="24">
        <f>SUM(BE22:BE176)</f>
        <v>7.9437558785808146E-2</v>
      </c>
      <c r="BF18" s="20">
        <f>BF176</f>
        <v>7.9437558785808146E-2</v>
      </c>
    </row>
    <row r="19" spans="1:124" x14ac:dyDescent="0.25">
      <c r="A19" s="1">
        <v>46050</v>
      </c>
      <c r="B19" s="33">
        <v>102.42</v>
      </c>
      <c r="C19" s="33">
        <v>110.79</v>
      </c>
      <c r="D19" s="15">
        <v>3.5211303985787298E-3</v>
      </c>
      <c r="E19" s="15">
        <v>6.5199904972811796E-3</v>
      </c>
      <c r="F19" s="33">
        <v>0</v>
      </c>
      <c r="G19" s="33">
        <v>0</v>
      </c>
      <c r="H19" s="33">
        <v>0</v>
      </c>
      <c r="I19" s="33">
        <v>0</v>
      </c>
      <c r="J19" s="33">
        <v>0</v>
      </c>
      <c r="K19" s="33">
        <v>0</v>
      </c>
      <c r="L19" s="33">
        <v>102.42</v>
      </c>
      <c r="M19" s="33">
        <v>110.79</v>
      </c>
      <c r="N19" s="34">
        <v>1.0817223198593999</v>
      </c>
      <c r="O19" s="34">
        <v>1.03934289630393</v>
      </c>
      <c r="P19" s="34">
        <v>1.08783386571743</v>
      </c>
      <c r="R19" s="33">
        <v>106.449499439449</v>
      </c>
      <c r="S19" s="33">
        <v>111.702403358778</v>
      </c>
      <c r="U19" s="15">
        <v>-3.9965828510873803E-2</v>
      </c>
      <c r="V19" s="15">
        <v>8.2017045042843597E-3</v>
      </c>
      <c r="X19" s="34">
        <v>1.0817223198593999</v>
      </c>
      <c r="Y19" s="34">
        <v>1.03934289630393</v>
      </c>
      <c r="Z19" s="34">
        <v>1.08783386571743</v>
      </c>
      <c r="AB19" s="33">
        <v>106.449499439449</v>
      </c>
      <c r="AC19" s="33">
        <v>111.702403358778</v>
      </c>
      <c r="AE19" s="15">
        <v>-3.9965828510873803E-2</v>
      </c>
      <c r="AF19" s="15">
        <v>8.2017045042843597E-3</v>
      </c>
      <c r="AI19" s="12"/>
      <c r="AJ19"/>
      <c r="AK19"/>
      <c r="AL19"/>
      <c r="AM19"/>
      <c r="AN19"/>
      <c r="AO19"/>
      <c r="AP19"/>
      <c r="AQ19" s="24">
        <f>SUM(AQ22:AQ176)</f>
        <v>3.5934765102103056E-2</v>
      </c>
      <c r="AR19" s="24">
        <f>AR176</f>
        <v>3.5934765102103056E-2</v>
      </c>
      <c r="AU19"/>
      <c r="AV19"/>
      <c r="AW19"/>
      <c r="AX19"/>
      <c r="AY19"/>
      <c r="AZ19"/>
      <c r="BA19"/>
      <c r="BB19" s="24">
        <f>SUM(BB22:BB176)</f>
        <v>4.3502793683705104E-2</v>
      </c>
      <c r="BC19" s="24">
        <f>BC176</f>
        <v>4.3502793683705104E-2</v>
      </c>
      <c r="BE19" s="7" t="s">
        <v>24</v>
      </c>
      <c r="BF19" s="7" t="s">
        <v>24</v>
      </c>
      <c r="BH19" s="7"/>
    </row>
    <row r="20" spans="1:124" x14ac:dyDescent="0.25">
      <c r="A20" s="1">
        <v>46051</v>
      </c>
      <c r="B20" s="33">
        <v>104.61</v>
      </c>
      <c r="C20" s="33">
        <v>111.23</v>
      </c>
      <c r="D20" s="15">
        <v>2.1157143321265202E-2</v>
      </c>
      <c r="E20" s="15">
        <v>3.9636120713563696E-3</v>
      </c>
      <c r="F20" s="33">
        <v>0</v>
      </c>
      <c r="G20" s="33">
        <v>0</v>
      </c>
      <c r="H20" s="33">
        <v>0</v>
      </c>
      <c r="I20" s="33">
        <v>0</v>
      </c>
      <c r="J20" s="33">
        <v>0</v>
      </c>
      <c r="K20" s="33">
        <v>0</v>
      </c>
      <c r="L20" s="33">
        <v>104.61</v>
      </c>
      <c r="M20" s="33">
        <v>111.23</v>
      </c>
      <c r="N20" s="34">
        <v>1.0632826689609001</v>
      </c>
      <c r="O20" s="34">
        <v>1.03934289630393</v>
      </c>
      <c r="P20" s="34">
        <v>1.0835360504117499</v>
      </c>
      <c r="R20" s="33">
        <v>108.72566038235399</v>
      </c>
      <c r="S20" s="33">
        <v>113.7983006927</v>
      </c>
      <c r="U20" s="15">
        <v>-2.2772297260964899E-2</v>
      </c>
      <c r="V20" s="15">
        <v>2.28274595752294E-2</v>
      </c>
      <c r="X20" s="34">
        <v>1.0632826689609001</v>
      </c>
      <c r="Y20" s="34">
        <v>1.03934289630393</v>
      </c>
      <c r="Z20" s="34">
        <v>1.0835360504117499</v>
      </c>
      <c r="AB20" s="33">
        <v>108.72566038235399</v>
      </c>
      <c r="AC20" s="33">
        <v>113.7983006927</v>
      </c>
      <c r="AE20" s="15">
        <v>-2.2772297260964899E-2</v>
      </c>
      <c r="AF20" s="15">
        <v>2.28274595752294E-2</v>
      </c>
      <c r="AI20" s="25" t="s">
        <v>25</v>
      </c>
      <c r="AJ20" s="7" t="s">
        <v>26</v>
      </c>
      <c r="AK20" s="7" t="s">
        <v>27</v>
      </c>
      <c r="AL20" s="7" t="s">
        <v>28</v>
      </c>
      <c r="AM20" s="7" t="s">
        <v>29</v>
      </c>
      <c r="AN20" s="7" t="s">
        <v>30</v>
      </c>
      <c r="AO20" s="7" t="str">
        <f>D1</f>
        <v>LEN B log rtn</v>
      </c>
      <c r="AP20" s="7" t="str">
        <f>E1</f>
        <v>LEN log rtn</v>
      </c>
      <c r="AQ20" s="7" t="s">
        <v>31</v>
      </c>
      <c r="AR20" s="7" t="s">
        <v>32</v>
      </c>
      <c r="AT20" s="25" t="s">
        <v>25</v>
      </c>
      <c r="AU20" s="7" t="s">
        <v>27</v>
      </c>
      <c r="AV20" s="7" t="s">
        <v>26</v>
      </c>
      <c r="AW20" s="7" t="s">
        <v>28</v>
      </c>
      <c r="AX20" s="7" t="s">
        <v>29</v>
      </c>
      <c r="AY20" s="7" t="s">
        <v>30</v>
      </c>
      <c r="AZ20" s="24" t="str">
        <f>D1</f>
        <v>LEN B log rtn</v>
      </c>
      <c r="BA20" s="24" t="str">
        <f>E1</f>
        <v>LEN log rtn</v>
      </c>
      <c r="BB20" s="7" t="s">
        <v>31</v>
      </c>
      <c r="BC20" s="7" t="s">
        <v>32</v>
      </c>
      <c r="BE20" s="7" t="s">
        <v>31</v>
      </c>
      <c r="BF20" s="7" t="s">
        <v>32</v>
      </c>
      <c r="BH20" s="7"/>
    </row>
    <row r="21" spans="1:124" x14ac:dyDescent="0.25">
      <c r="A21" s="1">
        <v>46052</v>
      </c>
      <c r="B21" s="33">
        <v>101.26</v>
      </c>
      <c r="C21" s="33">
        <v>109.35</v>
      </c>
      <c r="D21" s="15">
        <v>-3.2547682813906298E-2</v>
      </c>
      <c r="E21" s="15">
        <v>-1.7046382481161099E-2</v>
      </c>
      <c r="F21" s="33">
        <v>0</v>
      </c>
      <c r="G21" s="33">
        <v>0</v>
      </c>
      <c r="H21" s="33">
        <v>0</v>
      </c>
      <c r="I21" s="33">
        <v>0</v>
      </c>
      <c r="J21" s="33">
        <v>0</v>
      </c>
      <c r="K21" s="33">
        <v>0</v>
      </c>
      <c r="L21" s="33">
        <v>101.26</v>
      </c>
      <c r="M21" s="33">
        <v>109.35</v>
      </c>
      <c r="N21" s="34">
        <v>1.07989334386727</v>
      </c>
      <c r="O21" s="34">
        <v>1.03934289630393</v>
      </c>
      <c r="P21" s="34">
        <v>1.08133068496073</v>
      </c>
      <c r="Q21" s="34">
        <v>1.0878224219619499</v>
      </c>
      <c r="R21" s="33">
        <v>105.243861679736</v>
      </c>
      <c r="S21" s="33">
        <v>109.718860464694</v>
      </c>
      <c r="U21" s="15">
        <v>-3.8273597593710101E-2</v>
      </c>
      <c r="V21" s="15">
        <v>3.3675330441195698E-3</v>
      </c>
      <c r="X21" s="34">
        <v>1.07989334386727</v>
      </c>
      <c r="Y21" s="34">
        <v>1.03934289630393</v>
      </c>
      <c r="Z21" s="34">
        <v>1.08133068496073</v>
      </c>
      <c r="AA21" s="34">
        <v>1.0878224219619499</v>
      </c>
      <c r="AB21" s="33">
        <v>105.243861679736</v>
      </c>
      <c r="AC21" s="33">
        <v>109.718860464694</v>
      </c>
      <c r="AE21" s="15">
        <v>-3.8273597593710101E-2</v>
      </c>
      <c r="AF21" s="15">
        <v>3.3675330441195698E-3</v>
      </c>
      <c r="AI21" s="26">
        <v>-4.0000000000000001E-3</v>
      </c>
      <c r="AJ21"/>
      <c r="AK21"/>
      <c r="AL21"/>
      <c r="AM21">
        <f t="shared" ref="AM21:AM84" si="4">IF(F22+H22&gt;0,0,1)</f>
        <v>1</v>
      </c>
      <c r="AN21" s="27">
        <v>0</v>
      </c>
      <c r="AO21"/>
      <c r="AP21"/>
      <c r="AQ21"/>
      <c r="AR21"/>
      <c r="AT21" s="26">
        <v>4.0000000000000001E-3</v>
      </c>
      <c r="AU21"/>
      <c r="AV21"/>
      <c r="AW21"/>
      <c r="AX21">
        <f t="shared" ref="AX21:AX84" si="5">IF(F22+H22&gt;0,0,1)</f>
        <v>1</v>
      </c>
      <c r="AY21" s="27">
        <v>0</v>
      </c>
      <c r="AZ21"/>
      <c r="BA21"/>
      <c r="BB21"/>
      <c r="BC21"/>
    </row>
    <row r="22" spans="1:124" x14ac:dyDescent="0.25">
      <c r="A22" s="1">
        <v>46055</v>
      </c>
      <c r="B22" s="33">
        <v>101.51</v>
      </c>
      <c r="C22" s="33">
        <v>108.8</v>
      </c>
      <c r="D22" s="15">
        <v>2.46584925457668E-3</v>
      </c>
      <c r="E22" s="15">
        <v>-5.0424127009346198E-3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101.51</v>
      </c>
      <c r="M22" s="33">
        <v>108.8</v>
      </c>
      <c r="N22" s="34">
        <v>1.0718155846714601</v>
      </c>
      <c r="O22" s="34">
        <v>1.03934289630393</v>
      </c>
      <c r="P22" s="34">
        <v>1.07785627627289</v>
      </c>
      <c r="Q22" s="34">
        <v>1.08689913068606</v>
      </c>
      <c r="R22" s="33">
        <v>105.503697403812</v>
      </c>
      <c r="S22" s="33">
        <v>109.765877830364</v>
      </c>
      <c r="T22" s="33">
        <v>110.424854053358</v>
      </c>
      <c r="U22" s="15">
        <v>-3.0765335638198901E-2</v>
      </c>
      <c r="V22" s="15">
        <v>8.8383797833751707E-3</v>
      </c>
      <c r="W22" s="15">
        <v>1.48239013787191E-2</v>
      </c>
      <c r="X22" s="34">
        <v>1.0718155846714601</v>
      </c>
      <c r="Y22" s="34">
        <v>1.03934289630393</v>
      </c>
      <c r="Z22" s="34">
        <v>1.07785627627289</v>
      </c>
      <c r="AA22" s="34">
        <v>1.08689913068606</v>
      </c>
      <c r="AB22" s="33">
        <v>105.503697403812</v>
      </c>
      <c r="AC22" s="33">
        <v>109.765877830364</v>
      </c>
      <c r="AD22" s="33">
        <v>110.424854053358</v>
      </c>
      <c r="AE22" s="15">
        <v>-3.0765335638198901E-2</v>
      </c>
      <c r="AF22" s="15">
        <v>8.8383797833751707E-3</v>
      </c>
      <c r="AG22" s="15">
        <v>1.48239013787191E-2</v>
      </c>
      <c r="AI22" s="26">
        <v>-2E-3</v>
      </c>
      <c r="AJ22">
        <f t="shared" ref="AJ22:AJ85" si="6">IF($AG22&lt;AI$21,1,0)</f>
        <v>0</v>
      </c>
      <c r="AK22">
        <f t="shared" ref="AK22:AK85" si="7">IF($AG22&gt;AI$22,1,0)</f>
        <v>1</v>
      </c>
      <c r="AL22">
        <f>AN21</f>
        <v>0</v>
      </c>
      <c r="AM22">
        <f t="shared" si="4"/>
        <v>1</v>
      </c>
      <c r="AN22">
        <f>IF(AJ21,1,IF(AK21,0,AL21))*AM21</f>
        <v>0</v>
      </c>
      <c r="AO22" s="28">
        <f t="shared" ref="AO22:AO85" si="8">AN22*D22</f>
        <v>0</v>
      </c>
      <c r="AP22" s="28">
        <f t="shared" ref="AP22:AP85" si="9">-AN22*$E22</f>
        <v>0</v>
      </c>
      <c r="AQ22" s="28">
        <f>AO22+AP22</f>
        <v>0</v>
      </c>
      <c r="AR22" s="29">
        <f>AR21+AQ22</f>
        <v>0</v>
      </c>
      <c r="AT22" s="26">
        <v>2E-3</v>
      </c>
      <c r="AU22">
        <f t="shared" ref="AU22:AU85" si="10">IF($AG22&gt;AT$21,1,0)</f>
        <v>1</v>
      </c>
      <c r="AV22">
        <f t="shared" ref="AV22:AV85" si="11">IF($AG22&lt;AT$22,1,0)</f>
        <v>0</v>
      </c>
      <c r="AW22">
        <f>AY21</f>
        <v>0</v>
      </c>
      <c r="AX22">
        <f t="shared" si="5"/>
        <v>1</v>
      </c>
      <c r="AY22">
        <f>IF(AU21,1,IF(AV21,0,AW21))*AX21</f>
        <v>0</v>
      </c>
      <c r="AZ22" s="28">
        <f t="shared" ref="AZ22:AZ85" si="12">-AY22*D22</f>
        <v>0</v>
      </c>
      <c r="BA22" s="28">
        <f t="shared" ref="BA22:BA85" si="13">AY22*$E22</f>
        <v>0</v>
      </c>
      <c r="BB22" s="28">
        <f>AZ22+BA22</f>
        <v>0</v>
      </c>
      <c r="BC22" s="29">
        <f>BC21+BB22</f>
        <v>0</v>
      </c>
      <c r="BE22" s="29">
        <f>AQ22+BB22</f>
        <v>0</v>
      </c>
      <c r="BF22" s="29">
        <f>BF21+BE22</f>
        <v>0</v>
      </c>
      <c r="BH22" s="29"/>
    </row>
    <row r="23" spans="1:124" x14ac:dyDescent="0.25">
      <c r="A23" s="1">
        <v>46056</v>
      </c>
      <c r="B23" s="33">
        <v>103.74</v>
      </c>
      <c r="C23" s="33">
        <v>112.53</v>
      </c>
      <c r="D23" s="15">
        <v>2.1730453126914202E-2</v>
      </c>
      <c r="E23" s="15">
        <v>3.3708518340063498E-2</v>
      </c>
      <c r="F23" s="33">
        <v>0</v>
      </c>
      <c r="G23" s="33">
        <v>0</v>
      </c>
      <c r="H23" s="33">
        <v>0</v>
      </c>
      <c r="I23" s="33">
        <v>0</v>
      </c>
      <c r="J23" s="33">
        <v>0</v>
      </c>
      <c r="K23" s="33">
        <v>0</v>
      </c>
      <c r="L23" s="33">
        <v>103.74</v>
      </c>
      <c r="M23" s="33">
        <v>112.53</v>
      </c>
      <c r="N23" s="34">
        <v>1.0847310584152601</v>
      </c>
      <c r="O23" s="34">
        <v>1.03934289630393</v>
      </c>
      <c r="P23" s="34">
        <v>1.07702793944167</v>
      </c>
      <c r="Q23" s="34">
        <v>1.08720056949363</v>
      </c>
      <c r="R23" s="33">
        <v>107.82143206257</v>
      </c>
      <c r="S23" s="33">
        <v>111.81681010054901</v>
      </c>
      <c r="T23" s="33">
        <v>112.75491581737199</v>
      </c>
      <c r="U23" s="15">
        <v>-4.2743400851347903E-2</v>
      </c>
      <c r="V23" s="15">
        <v>-6.3579446625137799E-3</v>
      </c>
      <c r="W23" s="15">
        <v>1.9967239376216402E-3</v>
      </c>
      <c r="X23" s="34">
        <v>1.0847310584152601</v>
      </c>
      <c r="Y23" s="34">
        <v>1.03934289630393</v>
      </c>
      <c r="Z23" s="34">
        <v>1.07702793944167</v>
      </c>
      <c r="AA23" s="34">
        <v>1.08720056949363</v>
      </c>
      <c r="AB23" s="33">
        <v>107.82143206257</v>
      </c>
      <c r="AC23" s="33">
        <v>111.81681010054901</v>
      </c>
      <c r="AD23" s="33">
        <v>112.75491581737199</v>
      </c>
      <c r="AE23" s="15">
        <v>-4.2743400851347903E-2</v>
      </c>
      <c r="AF23" s="15">
        <v>-6.3579446625137799E-3</v>
      </c>
      <c r="AG23" s="15">
        <v>1.9967239376216402E-3</v>
      </c>
      <c r="AI23" s="12"/>
      <c r="AJ23">
        <f t="shared" si="6"/>
        <v>0</v>
      </c>
      <c r="AK23">
        <f t="shared" si="7"/>
        <v>1</v>
      </c>
      <c r="AL23">
        <f t="shared" ref="AL23:AL86" si="14">AN23</f>
        <v>0</v>
      </c>
      <c r="AM23">
        <f t="shared" si="4"/>
        <v>1</v>
      </c>
      <c r="AN23">
        <f t="shared" ref="AN23:AN86" si="15">IF(AJ22,1,IF(AK22,0,AL22))*AM22</f>
        <v>0</v>
      </c>
      <c r="AO23" s="28">
        <f t="shared" si="8"/>
        <v>0</v>
      </c>
      <c r="AP23" s="28">
        <f t="shared" si="9"/>
        <v>0</v>
      </c>
      <c r="AQ23" s="28">
        <f t="shared" ref="AQ23:AQ86" si="16">AO23+AP23</f>
        <v>0</v>
      </c>
      <c r="AR23" s="29">
        <f t="shared" ref="AR23:AR86" si="17">AR22+AQ23</f>
        <v>0</v>
      </c>
      <c r="AT23" s="12"/>
      <c r="AU23">
        <f t="shared" si="10"/>
        <v>0</v>
      </c>
      <c r="AV23">
        <f t="shared" si="11"/>
        <v>1</v>
      </c>
      <c r="AW23">
        <f t="shared" ref="AW23:AW86" si="18">AY23</f>
        <v>1</v>
      </c>
      <c r="AX23">
        <f t="shared" si="5"/>
        <v>1</v>
      </c>
      <c r="AY23">
        <f t="shared" ref="AY23:AY86" si="19">IF(AU22,1,IF(AV22,0,AW22))*AX22</f>
        <v>1</v>
      </c>
      <c r="AZ23" s="28">
        <f t="shared" si="12"/>
        <v>-2.1730453126914202E-2</v>
      </c>
      <c r="BA23" s="28">
        <f t="shared" si="13"/>
        <v>3.3708518340063498E-2</v>
      </c>
      <c r="BB23" s="28">
        <f t="shared" ref="BB23:BB86" si="20">AZ23+BA23</f>
        <v>1.1978065213149296E-2</v>
      </c>
      <c r="BC23" s="29">
        <f t="shared" ref="BC23:BC86" si="21">BC22+BB23</f>
        <v>1.1978065213149296E-2</v>
      </c>
      <c r="BE23" s="29">
        <f t="shared" ref="BE23:BE86" si="22">AQ23+BB23</f>
        <v>1.1978065213149296E-2</v>
      </c>
      <c r="BF23" s="29">
        <f t="shared" ref="BF23:BF86" si="23">BF22+BE23</f>
        <v>1.1978065213149296E-2</v>
      </c>
      <c r="BH23" s="29"/>
    </row>
    <row r="24" spans="1:124" x14ac:dyDescent="0.25">
      <c r="A24" s="1">
        <v>46057</v>
      </c>
      <c r="B24" s="33">
        <v>107.5</v>
      </c>
      <c r="C24" s="33">
        <v>115.27</v>
      </c>
      <c r="D24" s="15">
        <v>3.56030786444635E-2</v>
      </c>
      <c r="E24" s="15">
        <v>2.4057349851015399E-2</v>
      </c>
      <c r="F24" s="33">
        <v>0</v>
      </c>
      <c r="G24" s="33">
        <v>0</v>
      </c>
      <c r="H24" s="33">
        <v>0</v>
      </c>
      <c r="I24" s="33">
        <v>0</v>
      </c>
      <c r="J24" s="33">
        <v>0</v>
      </c>
      <c r="K24" s="33">
        <v>0</v>
      </c>
      <c r="L24" s="33">
        <v>107.5</v>
      </c>
      <c r="M24" s="33">
        <v>115.27</v>
      </c>
      <c r="N24" s="34">
        <v>1.07227906976744</v>
      </c>
      <c r="O24" s="34">
        <v>1.03934289630393</v>
      </c>
      <c r="P24" s="34">
        <v>1.07518846495987</v>
      </c>
      <c r="Q24" s="34">
        <v>1.0865658236042599</v>
      </c>
      <c r="R24" s="33">
        <v>111.729361352673</v>
      </c>
      <c r="S24" s="33">
        <v>115.78050348998001</v>
      </c>
      <c r="T24" s="33">
        <v>116.874061220565</v>
      </c>
      <c r="U24" s="15">
        <v>-3.1197672057900101E-2</v>
      </c>
      <c r="V24" s="15">
        <v>4.4189847068418003E-3</v>
      </c>
      <c r="W24" s="15">
        <v>1.3819752626265801E-2</v>
      </c>
      <c r="X24" s="34">
        <v>1.07227906976744</v>
      </c>
      <c r="Y24" s="34">
        <v>1.03934289630393</v>
      </c>
      <c r="Z24" s="34">
        <v>1.07518846495987</v>
      </c>
      <c r="AA24" s="34">
        <v>1.0865658236042599</v>
      </c>
      <c r="AB24" s="33">
        <v>111.729361352673</v>
      </c>
      <c r="AC24" s="33">
        <v>115.78050348998001</v>
      </c>
      <c r="AD24" s="33">
        <v>116.874061220565</v>
      </c>
      <c r="AE24" s="15">
        <v>-3.1197672057900101E-2</v>
      </c>
      <c r="AF24" s="15">
        <v>4.4189847068418003E-3</v>
      </c>
      <c r="AG24" s="15">
        <v>1.3819752626265801E-2</v>
      </c>
      <c r="AI24" s="12"/>
      <c r="AJ24">
        <f t="shared" si="6"/>
        <v>0</v>
      </c>
      <c r="AK24">
        <f t="shared" si="7"/>
        <v>1</v>
      </c>
      <c r="AL24">
        <f t="shared" si="14"/>
        <v>0</v>
      </c>
      <c r="AM24">
        <f t="shared" si="4"/>
        <v>1</v>
      </c>
      <c r="AN24">
        <f t="shared" si="15"/>
        <v>0</v>
      </c>
      <c r="AO24" s="28">
        <f t="shared" si="8"/>
        <v>0</v>
      </c>
      <c r="AP24" s="28">
        <f t="shared" si="9"/>
        <v>0</v>
      </c>
      <c r="AQ24" s="28">
        <f t="shared" si="16"/>
        <v>0</v>
      </c>
      <c r="AR24" s="29">
        <f t="shared" si="17"/>
        <v>0</v>
      </c>
      <c r="AT24" s="12"/>
      <c r="AU24">
        <f t="shared" si="10"/>
        <v>1</v>
      </c>
      <c r="AV24">
        <f t="shared" si="11"/>
        <v>0</v>
      </c>
      <c r="AW24">
        <f t="shared" si="18"/>
        <v>0</v>
      </c>
      <c r="AX24">
        <f t="shared" si="5"/>
        <v>1</v>
      </c>
      <c r="AY24">
        <f t="shared" si="19"/>
        <v>0</v>
      </c>
      <c r="AZ24" s="28">
        <f t="shared" si="12"/>
        <v>0</v>
      </c>
      <c r="BA24" s="28">
        <f t="shared" si="13"/>
        <v>0</v>
      </c>
      <c r="BB24" s="28">
        <f t="shared" si="20"/>
        <v>0</v>
      </c>
      <c r="BC24" s="29">
        <f t="shared" si="21"/>
        <v>1.1978065213149296E-2</v>
      </c>
      <c r="BE24" s="29">
        <f t="shared" si="22"/>
        <v>0</v>
      </c>
      <c r="BF24" s="29">
        <f t="shared" si="23"/>
        <v>1.1978065213149296E-2</v>
      </c>
      <c r="BH24" s="29"/>
    </row>
    <row r="25" spans="1:124" x14ac:dyDescent="0.25">
      <c r="A25" s="1">
        <v>46058</v>
      </c>
      <c r="B25" s="33">
        <v>106.46</v>
      </c>
      <c r="C25" s="33">
        <v>115.37</v>
      </c>
      <c r="D25" s="15">
        <v>-9.7215198231062304E-3</v>
      </c>
      <c r="E25" s="15">
        <v>8.6715232627720398E-4</v>
      </c>
      <c r="F25" s="33">
        <v>0</v>
      </c>
      <c r="G25" s="33">
        <v>0</v>
      </c>
      <c r="H25" s="33">
        <v>0</v>
      </c>
      <c r="I25" s="33">
        <v>0</v>
      </c>
      <c r="J25" s="33">
        <v>0</v>
      </c>
      <c r="K25" s="33">
        <v>0</v>
      </c>
      <c r="L25" s="33">
        <v>106.46</v>
      </c>
      <c r="M25" s="33">
        <v>115.37</v>
      </c>
      <c r="N25" s="34">
        <v>1.0836934059740699</v>
      </c>
      <c r="O25" s="34">
        <v>1.03934289630393</v>
      </c>
      <c r="P25" s="34">
        <v>1.0753408244252101</v>
      </c>
      <c r="Q25" s="34">
        <v>1.0867328223852899</v>
      </c>
      <c r="R25" s="33">
        <v>110.64844474051699</v>
      </c>
      <c r="S25" s="33">
        <v>114.464563979628</v>
      </c>
      <c r="T25" s="33">
        <v>115.67579758091</v>
      </c>
      <c r="U25" s="15">
        <v>-4.1786344207283603E-2</v>
      </c>
      <c r="V25" s="15">
        <v>-7.8790647393100106E-3</v>
      </c>
      <c r="W25" s="15">
        <v>2.6470748455270999E-3</v>
      </c>
      <c r="X25" s="34">
        <v>1.0836934059740699</v>
      </c>
      <c r="Y25" s="34">
        <v>1.03934289630393</v>
      </c>
      <c r="Z25" s="34">
        <v>1.0753408244252101</v>
      </c>
      <c r="AA25" s="34">
        <v>1.0867328223852899</v>
      </c>
      <c r="AB25" s="33">
        <v>110.64844474051699</v>
      </c>
      <c r="AC25" s="33">
        <v>114.464563979628</v>
      </c>
      <c r="AD25" s="33">
        <v>115.67579758091</v>
      </c>
      <c r="AE25" s="15">
        <v>-4.1786344207283603E-2</v>
      </c>
      <c r="AF25" s="15">
        <v>-7.8790647393100106E-3</v>
      </c>
      <c r="AG25" s="15">
        <v>2.6470748455270999E-3</v>
      </c>
      <c r="AI25" s="12"/>
      <c r="AJ25">
        <f t="shared" si="6"/>
        <v>0</v>
      </c>
      <c r="AK25">
        <f t="shared" si="7"/>
        <v>1</v>
      </c>
      <c r="AL25">
        <f t="shared" si="14"/>
        <v>0</v>
      </c>
      <c r="AM25">
        <f t="shared" si="4"/>
        <v>1</v>
      </c>
      <c r="AN25">
        <f t="shared" si="15"/>
        <v>0</v>
      </c>
      <c r="AO25" s="28">
        <f t="shared" si="8"/>
        <v>0</v>
      </c>
      <c r="AP25" s="28">
        <f t="shared" si="9"/>
        <v>0</v>
      </c>
      <c r="AQ25" s="28">
        <f t="shared" si="16"/>
        <v>0</v>
      </c>
      <c r="AR25" s="29">
        <f t="shared" si="17"/>
        <v>0</v>
      </c>
      <c r="AT25" s="12"/>
      <c r="AU25">
        <f t="shared" si="10"/>
        <v>0</v>
      </c>
      <c r="AV25">
        <f t="shared" si="11"/>
        <v>0</v>
      </c>
      <c r="AW25">
        <f t="shared" si="18"/>
        <v>1</v>
      </c>
      <c r="AX25">
        <f t="shared" si="5"/>
        <v>1</v>
      </c>
      <c r="AY25">
        <f t="shared" si="19"/>
        <v>1</v>
      </c>
      <c r="AZ25" s="28">
        <f t="shared" si="12"/>
        <v>9.7215198231062304E-3</v>
      </c>
      <c r="BA25" s="28">
        <f t="shared" si="13"/>
        <v>8.6715232627720398E-4</v>
      </c>
      <c r="BB25" s="28">
        <f t="shared" si="20"/>
        <v>1.0588672149383435E-2</v>
      </c>
      <c r="BC25" s="29">
        <f t="shared" si="21"/>
        <v>2.2566737362532729E-2</v>
      </c>
      <c r="BE25" s="29">
        <f t="shared" si="22"/>
        <v>1.0588672149383435E-2</v>
      </c>
      <c r="BF25" s="29">
        <f t="shared" si="23"/>
        <v>2.2566737362532729E-2</v>
      </c>
      <c r="BH25" s="29"/>
      <c r="DL25" s="4"/>
      <c r="DM25" s="4"/>
      <c r="DN25" s="4"/>
      <c r="DO25" s="4"/>
      <c r="DP25" s="4"/>
      <c r="DR25" s="4"/>
      <c r="DS25" s="4"/>
      <c r="DT25" s="4"/>
    </row>
    <row r="26" spans="1:124" x14ac:dyDescent="0.25">
      <c r="A26" s="1">
        <v>46059</v>
      </c>
      <c r="B26" s="33">
        <v>106.67</v>
      </c>
      <c r="C26" s="33">
        <v>114.02</v>
      </c>
      <c r="D26" s="15">
        <v>1.9706288927801401E-3</v>
      </c>
      <c r="E26" s="15">
        <v>-1.1770483335762499E-2</v>
      </c>
      <c r="F26" s="33">
        <v>0</v>
      </c>
      <c r="G26" s="33">
        <v>0</v>
      </c>
      <c r="H26" s="33">
        <v>0</v>
      </c>
      <c r="I26" s="33">
        <v>0</v>
      </c>
      <c r="J26" s="33">
        <v>0</v>
      </c>
      <c r="K26" s="33">
        <v>0</v>
      </c>
      <c r="L26" s="33">
        <v>106.67</v>
      </c>
      <c r="M26" s="33">
        <v>114.02</v>
      </c>
      <c r="N26" s="34">
        <v>1.0689040967469701</v>
      </c>
      <c r="O26" s="34">
        <v>1.03934289630393</v>
      </c>
      <c r="P26" s="34">
        <v>1.07513557193386</v>
      </c>
      <c r="Q26" s="34">
        <v>1.08590774088558</v>
      </c>
      <c r="R26" s="33">
        <v>110.86670674874</v>
      </c>
      <c r="S26" s="33">
        <v>114.706605741437</v>
      </c>
      <c r="T26" s="33">
        <v>115.92179016383901</v>
      </c>
      <c r="U26" s="15">
        <v>-2.80452319787407E-2</v>
      </c>
      <c r="V26" s="15">
        <v>6.0037423420664197E-3</v>
      </c>
      <c r="W26" s="15">
        <v>1.6541869387054299E-2</v>
      </c>
      <c r="X26" s="34">
        <v>1.0689040967469701</v>
      </c>
      <c r="Y26" s="34">
        <v>1.03934289630393</v>
      </c>
      <c r="Z26" s="34">
        <v>1.07513557193386</v>
      </c>
      <c r="AA26" s="34">
        <v>1.08590774088558</v>
      </c>
      <c r="AB26" s="33">
        <v>110.86670674874</v>
      </c>
      <c r="AC26" s="33">
        <v>114.706605741437</v>
      </c>
      <c r="AD26" s="33">
        <v>115.92179016383901</v>
      </c>
      <c r="AE26" s="15">
        <v>-2.80452319787407E-2</v>
      </c>
      <c r="AF26" s="15">
        <v>6.0037423420664197E-3</v>
      </c>
      <c r="AG26" s="15">
        <v>1.6541869387054299E-2</v>
      </c>
      <c r="AI26" s="12"/>
      <c r="AJ26">
        <f t="shared" si="6"/>
        <v>0</v>
      </c>
      <c r="AK26">
        <f t="shared" si="7"/>
        <v>1</v>
      </c>
      <c r="AL26">
        <f t="shared" si="14"/>
        <v>0</v>
      </c>
      <c r="AM26">
        <f t="shared" si="4"/>
        <v>1</v>
      </c>
      <c r="AN26">
        <f t="shared" si="15"/>
        <v>0</v>
      </c>
      <c r="AO26" s="28">
        <f t="shared" si="8"/>
        <v>0</v>
      </c>
      <c r="AP26" s="28">
        <f t="shared" si="9"/>
        <v>0</v>
      </c>
      <c r="AQ26" s="28">
        <f t="shared" si="16"/>
        <v>0</v>
      </c>
      <c r="AR26" s="29">
        <f t="shared" si="17"/>
        <v>0</v>
      </c>
      <c r="AT26" s="12"/>
      <c r="AU26">
        <f t="shared" si="10"/>
        <v>1</v>
      </c>
      <c r="AV26">
        <f t="shared" si="11"/>
        <v>0</v>
      </c>
      <c r="AW26">
        <f t="shared" si="18"/>
        <v>1</v>
      </c>
      <c r="AX26">
        <f t="shared" si="5"/>
        <v>1</v>
      </c>
      <c r="AY26">
        <f t="shared" si="19"/>
        <v>1</v>
      </c>
      <c r="AZ26" s="28">
        <f t="shared" si="12"/>
        <v>-1.9706288927801401E-3</v>
      </c>
      <c r="BA26" s="28">
        <f t="shared" si="13"/>
        <v>-1.1770483335762499E-2</v>
      </c>
      <c r="BB26" s="28">
        <f t="shared" si="20"/>
        <v>-1.3741112228542639E-2</v>
      </c>
      <c r="BC26" s="29">
        <f t="shared" si="21"/>
        <v>8.82562513399009E-3</v>
      </c>
      <c r="BE26" s="29">
        <f t="shared" si="22"/>
        <v>-1.3741112228542639E-2</v>
      </c>
      <c r="BF26" s="29">
        <f t="shared" si="23"/>
        <v>8.82562513399009E-3</v>
      </c>
      <c r="BH26" s="29"/>
      <c r="DL26" s="4"/>
      <c r="DM26" s="10"/>
      <c r="DN26" s="10"/>
      <c r="DO26" s="10"/>
      <c r="DP26" s="10"/>
      <c r="DR26" s="10"/>
      <c r="DS26" s="10"/>
      <c r="DT26" s="10"/>
    </row>
    <row r="27" spans="1:124" x14ac:dyDescent="0.25">
      <c r="A27" s="1">
        <v>46062</v>
      </c>
      <c r="B27" s="33">
        <v>106.4</v>
      </c>
      <c r="C27" s="33">
        <v>114.08</v>
      </c>
      <c r="D27" s="15">
        <v>-2.5343797298473599E-3</v>
      </c>
      <c r="E27" s="15">
        <v>5.26085062549912E-4</v>
      </c>
      <c r="F27" s="33">
        <v>0</v>
      </c>
      <c r="G27" s="33">
        <v>0</v>
      </c>
      <c r="H27" s="33">
        <v>0</v>
      </c>
      <c r="I27" s="33">
        <v>0</v>
      </c>
      <c r="J27" s="33">
        <v>0</v>
      </c>
      <c r="K27" s="33">
        <v>0</v>
      </c>
      <c r="L27" s="33">
        <v>106.4</v>
      </c>
      <c r="M27" s="33">
        <v>114.08</v>
      </c>
      <c r="N27" s="34">
        <v>1.0721804511278099</v>
      </c>
      <c r="O27" s="34">
        <v>1.03934289630393</v>
      </c>
      <c r="P27" s="34">
        <v>1.07569852445405</v>
      </c>
      <c r="Q27" s="34">
        <v>1.0844308432645799</v>
      </c>
      <c r="R27" s="33">
        <v>110.586084166738</v>
      </c>
      <c r="S27" s="33">
        <v>114.394424853763</v>
      </c>
      <c r="T27" s="33">
        <v>115.540583630225</v>
      </c>
      <c r="U27" s="15">
        <v>-3.11056967711381E-2</v>
      </c>
      <c r="V27" s="15">
        <v>2.7523872964046602E-3</v>
      </c>
      <c r="W27" s="15">
        <v>1.2721885000547601E-2</v>
      </c>
      <c r="X27" s="34">
        <v>1.0721804511278099</v>
      </c>
      <c r="Y27" s="34">
        <v>1.03934289630393</v>
      </c>
      <c r="Z27" s="34">
        <v>1.07569852445405</v>
      </c>
      <c r="AA27" s="34">
        <v>1.0844308432645799</v>
      </c>
      <c r="AB27" s="33">
        <v>110.586084166738</v>
      </c>
      <c r="AC27" s="33">
        <v>114.394424853763</v>
      </c>
      <c r="AD27" s="33">
        <v>115.540583630225</v>
      </c>
      <c r="AE27" s="15">
        <v>-3.11056967711381E-2</v>
      </c>
      <c r="AF27" s="15">
        <v>2.7523872964046602E-3</v>
      </c>
      <c r="AG27" s="15">
        <v>1.2721885000547601E-2</v>
      </c>
      <c r="AI27" s="12"/>
      <c r="AJ27">
        <f t="shared" si="6"/>
        <v>0</v>
      </c>
      <c r="AK27">
        <f t="shared" si="7"/>
        <v>1</v>
      </c>
      <c r="AL27">
        <f t="shared" si="14"/>
        <v>0</v>
      </c>
      <c r="AM27">
        <f t="shared" si="4"/>
        <v>1</v>
      </c>
      <c r="AN27">
        <f t="shared" si="15"/>
        <v>0</v>
      </c>
      <c r="AO27" s="28">
        <f t="shared" si="8"/>
        <v>0</v>
      </c>
      <c r="AP27" s="28">
        <f t="shared" si="9"/>
        <v>0</v>
      </c>
      <c r="AQ27" s="28">
        <f t="shared" si="16"/>
        <v>0</v>
      </c>
      <c r="AR27" s="29">
        <f t="shared" si="17"/>
        <v>0</v>
      </c>
      <c r="AT27" s="12"/>
      <c r="AU27">
        <f t="shared" si="10"/>
        <v>1</v>
      </c>
      <c r="AV27">
        <f t="shared" si="11"/>
        <v>0</v>
      </c>
      <c r="AW27">
        <f t="shared" si="18"/>
        <v>1</v>
      </c>
      <c r="AX27">
        <f t="shared" si="5"/>
        <v>1</v>
      </c>
      <c r="AY27">
        <f t="shared" si="19"/>
        <v>1</v>
      </c>
      <c r="AZ27" s="28">
        <f t="shared" si="12"/>
        <v>2.5343797298473599E-3</v>
      </c>
      <c r="BA27" s="28">
        <f t="shared" si="13"/>
        <v>5.26085062549912E-4</v>
      </c>
      <c r="BB27" s="28">
        <f t="shared" si="20"/>
        <v>3.0604647923972716E-3</v>
      </c>
      <c r="BC27" s="29">
        <f t="shared" si="21"/>
        <v>1.1886089926387362E-2</v>
      </c>
      <c r="BE27" s="29">
        <f t="shared" si="22"/>
        <v>3.0604647923972716E-3</v>
      </c>
      <c r="BF27" s="29">
        <f t="shared" si="23"/>
        <v>1.1886089926387362E-2</v>
      </c>
      <c r="BH27" s="29"/>
      <c r="DL27" s="4"/>
      <c r="DM27" s="10"/>
      <c r="DN27" s="10"/>
      <c r="DO27" s="10"/>
      <c r="DP27" s="10"/>
      <c r="DR27" s="10"/>
      <c r="DS27" s="10"/>
      <c r="DT27" s="10"/>
    </row>
    <row r="28" spans="1:124" x14ac:dyDescent="0.25">
      <c r="A28" s="1">
        <v>46063</v>
      </c>
      <c r="B28" s="33">
        <v>111</v>
      </c>
      <c r="C28" s="33">
        <v>119.4</v>
      </c>
      <c r="D28" s="15">
        <v>4.2324624404789998E-2</v>
      </c>
      <c r="E28" s="15">
        <v>4.5579244292515801E-2</v>
      </c>
      <c r="F28" s="33">
        <v>0</v>
      </c>
      <c r="G28" s="33">
        <v>0</v>
      </c>
      <c r="H28" s="33">
        <v>0</v>
      </c>
      <c r="I28" s="33">
        <v>0</v>
      </c>
      <c r="J28" s="33">
        <v>0</v>
      </c>
      <c r="K28" s="33">
        <v>0</v>
      </c>
      <c r="L28" s="33">
        <v>111</v>
      </c>
      <c r="M28" s="33">
        <v>119.4</v>
      </c>
      <c r="N28" s="34">
        <v>1.07567567567567</v>
      </c>
      <c r="O28" s="34">
        <v>1.03934289630393</v>
      </c>
      <c r="P28" s="34">
        <v>1.0754177675066201</v>
      </c>
      <c r="Q28" s="34">
        <v>1.0830242682425599</v>
      </c>
      <c r="R28" s="33">
        <v>115.367061489736</v>
      </c>
      <c r="S28" s="33">
        <v>119.40253621439901</v>
      </c>
      <c r="T28" s="33">
        <v>120.37182360236901</v>
      </c>
      <c r="U28" s="15">
        <v>-3.4360316658864E-2</v>
      </c>
      <c r="V28" s="15">
        <v>2.1241101038498002E-5</v>
      </c>
      <c r="W28" s="15">
        <v>8.1062812923739496E-3</v>
      </c>
      <c r="X28" s="34">
        <v>1.07567567567567</v>
      </c>
      <c r="Y28" s="34">
        <v>1.03934289630393</v>
      </c>
      <c r="Z28" s="34">
        <v>1.0754177675066201</v>
      </c>
      <c r="AA28" s="34">
        <v>1.0830242682425599</v>
      </c>
      <c r="AB28" s="33">
        <v>115.367061489736</v>
      </c>
      <c r="AC28" s="33">
        <v>119.40253621439901</v>
      </c>
      <c r="AD28" s="33">
        <v>120.37182360236901</v>
      </c>
      <c r="AE28" s="15">
        <v>-3.4360316658864E-2</v>
      </c>
      <c r="AF28" s="15">
        <v>2.1241101038498002E-5</v>
      </c>
      <c r="AG28" s="15">
        <v>8.1062812923739496E-3</v>
      </c>
      <c r="AI28" s="12"/>
      <c r="AJ28">
        <f t="shared" si="6"/>
        <v>0</v>
      </c>
      <c r="AK28">
        <f t="shared" si="7"/>
        <v>1</v>
      </c>
      <c r="AL28">
        <f t="shared" si="14"/>
        <v>0</v>
      </c>
      <c r="AM28">
        <f t="shared" si="4"/>
        <v>1</v>
      </c>
      <c r="AN28">
        <f t="shared" si="15"/>
        <v>0</v>
      </c>
      <c r="AO28" s="28">
        <f t="shared" si="8"/>
        <v>0</v>
      </c>
      <c r="AP28" s="28">
        <f t="shared" si="9"/>
        <v>0</v>
      </c>
      <c r="AQ28" s="28">
        <f t="shared" si="16"/>
        <v>0</v>
      </c>
      <c r="AR28" s="29">
        <f t="shared" si="17"/>
        <v>0</v>
      </c>
      <c r="AT28" s="12"/>
      <c r="AU28">
        <f t="shared" si="10"/>
        <v>1</v>
      </c>
      <c r="AV28">
        <f t="shared" si="11"/>
        <v>0</v>
      </c>
      <c r="AW28">
        <f t="shared" si="18"/>
        <v>1</v>
      </c>
      <c r="AX28">
        <f t="shared" si="5"/>
        <v>1</v>
      </c>
      <c r="AY28">
        <f t="shared" si="19"/>
        <v>1</v>
      </c>
      <c r="AZ28" s="28">
        <f t="shared" si="12"/>
        <v>-4.2324624404789998E-2</v>
      </c>
      <c r="BA28" s="28">
        <f t="shared" si="13"/>
        <v>4.5579244292515801E-2</v>
      </c>
      <c r="BB28" s="28">
        <f t="shared" si="20"/>
        <v>3.2546198877258029E-3</v>
      </c>
      <c r="BC28" s="29">
        <f t="shared" si="21"/>
        <v>1.5140709814113164E-2</v>
      </c>
      <c r="BE28" s="29">
        <f t="shared" si="22"/>
        <v>3.2546198877258029E-3</v>
      </c>
      <c r="BF28" s="29">
        <f t="shared" si="23"/>
        <v>1.5140709814113164E-2</v>
      </c>
      <c r="BH28" s="29"/>
      <c r="DL28" s="4"/>
      <c r="DM28" s="10"/>
      <c r="DN28" s="10"/>
      <c r="DO28" s="10"/>
      <c r="DP28" s="11"/>
      <c r="DR28" s="10"/>
      <c r="DS28" s="10"/>
      <c r="DT28" s="10"/>
    </row>
    <row r="29" spans="1:124" x14ac:dyDescent="0.25">
      <c r="A29" s="1">
        <v>46064</v>
      </c>
      <c r="B29" s="33">
        <v>112.13</v>
      </c>
      <c r="C29" s="33">
        <v>120.99</v>
      </c>
      <c r="D29" s="15">
        <v>1.01287111604552E-2</v>
      </c>
      <c r="E29" s="15">
        <v>1.32286965948846E-2</v>
      </c>
      <c r="F29" s="33">
        <v>0</v>
      </c>
      <c r="G29" s="33">
        <v>0</v>
      </c>
      <c r="H29" s="33">
        <v>0</v>
      </c>
      <c r="I29" s="33">
        <v>0</v>
      </c>
      <c r="J29" s="33">
        <v>0</v>
      </c>
      <c r="K29" s="33">
        <v>0</v>
      </c>
      <c r="L29" s="33">
        <v>112.13</v>
      </c>
      <c r="M29" s="33">
        <v>120.99</v>
      </c>
      <c r="N29" s="34">
        <v>1.0790154285204601</v>
      </c>
      <c r="O29" s="34">
        <v>1.03934289630393</v>
      </c>
      <c r="P29" s="34">
        <v>1.0751470783727299</v>
      </c>
      <c r="Q29" s="34">
        <v>1.08149047204508</v>
      </c>
      <c r="R29" s="33">
        <v>116.54151896256</v>
      </c>
      <c r="S29" s="33">
        <v>120.58659427051801</v>
      </c>
      <c r="T29" s="33">
        <v>121.43951119803801</v>
      </c>
      <c r="U29" s="15">
        <v>-3.7460302093293499E-2</v>
      </c>
      <c r="V29" s="15">
        <v>-3.3397780581294299E-3</v>
      </c>
      <c r="W29" s="15">
        <v>3.7083910367464099E-3</v>
      </c>
      <c r="X29" s="34">
        <v>1.0790154285204601</v>
      </c>
      <c r="Y29" s="34">
        <v>1.03934289630393</v>
      </c>
      <c r="Z29" s="34">
        <v>1.0751470783727299</v>
      </c>
      <c r="AA29" s="34">
        <v>1.08149047204508</v>
      </c>
      <c r="AB29" s="33">
        <v>116.54151896256</v>
      </c>
      <c r="AC29" s="33">
        <v>120.58659427051801</v>
      </c>
      <c r="AD29" s="33">
        <v>121.43951119803801</v>
      </c>
      <c r="AE29" s="15">
        <v>-3.7460302093293499E-2</v>
      </c>
      <c r="AF29" s="15">
        <v>-3.3397780581294299E-3</v>
      </c>
      <c r="AG29" s="15">
        <v>3.7083910367464099E-3</v>
      </c>
      <c r="AI29" s="12"/>
      <c r="AJ29">
        <f t="shared" si="6"/>
        <v>0</v>
      </c>
      <c r="AK29">
        <f t="shared" si="7"/>
        <v>1</v>
      </c>
      <c r="AL29">
        <f t="shared" si="14"/>
        <v>0</v>
      </c>
      <c r="AM29">
        <f t="shared" si="4"/>
        <v>1</v>
      </c>
      <c r="AN29">
        <f t="shared" si="15"/>
        <v>0</v>
      </c>
      <c r="AO29" s="28">
        <f t="shared" si="8"/>
        <v>0</v>
      </c>
      <c r="AP29" s="28">
        <f t="shared" si="9"/>
        <v>0</v>
      </c>
      <c r="AQ29" s="28">
        <f t="shared" si="16"/>
        <v>0</v>
      </c>
      <c r="AR29" s="29">
        <f t="shared" si="17"/>
        <v>0</v>
      </c>
      <c r="AT29" s="12"/>
      <c r="AU29">
        <f t="shared" si="10"/>
        <v>0</v>
      </c>
      <c r="AV29">
        <f t="shared" si="11"/>
        <v>0</v>
      </c>
      <c r="AW29">
        <f t="shared" si="18"/>
        <v>1</v>
      </c>
      <c r="AX29">
        <f t="shared" si="5"/>
        <v>1</v>
      </c>
      <c r="AY29">
        <f t="shared" si="19"/>
        <v>1</v>
      </c>
      <c r="AZ29" s="28">
        <f t="shared" si="12"/>
        <v>-1.01287111604552E-2</v>
      </c>
      <c r="BA29" s="28">
        <f t="shared" si="13"/>
        <v>1.32286965948846E-2</v>
      </c>
      <c r="BB29" s="28">
        <f t="shared" si="20"/>
        <v>3.0999854344294E-3</v>
      </c>
      <c r="BC29" s="29">
        <f t="shared" si="21"/>
        <v>1.8240695248542563E-2</v>
      </c>
      <c r="BE29" s="29">
        <f t="shared" si="22"/>
        <v>3.0999854344294E-3</v>
      </c>
      <c r="BF29" s="29">
        <f t="shared" si="23"/>
        <v>1.8240695248542563E-2</v>
      </c>
      <c r="BH29" s="29"/>
      <c r="DL29" s="4"/>
      <c r="DM29" s="10"/>
      <c r="DN29" s="10"/>
      <c r="DO29" s="10"/>
      <c r="DP29" s="10"/>
      <c r="DR29" s="10"/>
      <c r="DS29" s="10"/>
      <c r="DT29" s="10"/>
    </row>
    <row r="30" spans="1:124" x14ac:dyDescent="0.25">
      <c r="A30" s="1">
        <v>46065</v>
      </c>
      <c r="B30" s="33">
        <v>111.82</v>
      </c>
      <c r="C30" s="33">
        <v>120.83</v>
      </c>
      <c r="D30" s="15">
        <v>-2.7684768742900802E-3</v>
      </c>
      <c r="E30" s="15">
        <v>-1.32329851416961E-3</v>
      </c>
      <c r="F30" s="33">
        <v>0</v>
      </c>
      <c r="G30" s="33">
        <v>0</v>
      </c>
      <c r="H30" s="33">
        <v>0</v>
      </c>
      <c r="I30" s="33">
        <v>0</v>
      </c>
      <c r="J30" s="33">
        <v>0</v>
      </c>
      <c r="K30" s="33">
        <v>0</v>
      </c>
      <c r="L30" s="33">
        <v>111.82</v>
      </c>
      <c r="M30" s="33">
        <v>120.83</v>
      </c>
      <c r="N30" s="34">
        <v>1.0805759255947001</v>
      </c>
      <c r="O30" s="34">
        <v>1.03934289630393</v>
      </c>
      <c r="P30" s="34">
        <v>1.0768764040361101</v>
      </c>
      <c r="Q30" s="34">
        <v>1.0802062272239299</v>
      </c>
      <c r="R30" s="33">
        <v>116.219322664706</v>
      </c>
      <c r="S30" s="33">
        <v>120.22294630363901</v>
      </c>
      <c r="T30" s="33">
        <v>120.932264584081</v>
      </c>
      <c r="U30" s="15">
        <v>-3.8905480453414E-2</v>
      </c>
      <c r="V30" s="15">
        <v>-5.0366941287789601E-3</v>
      </c>
      <c r="W30" s="15">
        <v>8.4599298700868198E-4</v>
      </c>
      <c r="X30" s="34">
        <v>1.0805759255947001</v>
      </c>
      <c r="Y30" s="34">
        <v>1.03934289630393</v>
      </c>
      <c r="Z30" s="34">
        <v>1.0768764040361101</v>
      </c>
      <c r="AA30" s="34">
        <v>1.0802062272239299</v>
      </c>
      <c r="AB30" s="33">
        <v>116.219322664706</v>
      </c>
      <c r="AC30" s="33">
        <v>120.22294630363901</v>
      </c>
      <c r="AD30" s="33">
        <v>120.932264584081</v>
      </c>
      <c r="AE30" s="15">
        <v>-3.8905480453414E-2</v>
      </c>
      <c r="AF30" s="15">
        <v>-5.0366941287789601E-3</v>
      </c>
      <c r="AG30" s="15">
        <v>8.4599298700868198E-4</v>
      </c>
      <c r="AI30" s="12"/>
      <c r="AJ30">
        <f t="shared" si="6"/>
        <v>0</v>
      </c>
      <c r="AK30">
        <f t="shared" si="7"/>
        <v>1</v>
      </c>
      <c r="AL30">
        <f t="shared" si="14"/>
        <v>0</v>
      </c>
      <c r="AM30">
        <f t="shared" si="4"/>
        <v>1</v>
      </c>
      <c r="AN30">
        <f t="shared" si="15"/>
        <v>0</v>
      </c>
      <c r="AO30" s="28">
        <f t="shared" si="8"/>
        <v>0</v>
      </c>
      <c r="AP30" s="28">
        <f t="shared" si="9"/>
        <v>0</v>
      </c>
      <c r="AQ30" s="28">
        <f t="shared" si="16"/>
        <v>0</v>
      </c>
      <c r="AR30" s="29">
        <f t="shared" si="17"/>
        <v>0</v>
      </c>
      <c r="AT30" s="12"/>
      <c r="AU30">
        <f t="shared" si="10"/>
        <v>0</v>
      </c>
      <c r="AV30">
        <f t="shared" si="11"/>
        <v>1</v>
      </c>
      <c r="AW30">
        <f t="shared" si="18"/>
        <v>1</v>
      </c>
      <c r="AX30">
        <f t="shared" si="5"/>
        <v>1</v>
      </c>
      <c r="AY30">
        <f t="shared" si="19"/>
        <v>1</v>
      </c>
      <c r="AZ30" s="28">
        <f t="shared" si="12"/>
        <v>2.7684768742900802E-3</v>
      </c>
      <c r="BA30" s="28">
        <f t="shared" si="13"/>
        <v>-1.32329851416961E-3</v>
      </c>
      <c r="BB30" s="28">
        <f t="shared" si="20"/>
        <v>1.4451783601204702E-3</v>
      </c>
      <c r="BC30" s="29">
        <f t="shared" si="21"/>
        <v>1.9685873608663033E-2</v>
      </c>
      <c r="BE30" s="29">
        <f t="shared" si="22"/>
        <v>1.4451783601204702E-3</v>
      </c>
      <c r="BF30" s="29">
        <f t="shared" si="23"/>
        <v>1.9685873608663033E-2</v>
      </c>
      <c r="BH30" s="29"/>
      <c r="DL30" s="4"/>
      <c r="DM30" s="10"/>
      <c r="DN30" s="10"/>
      <c r="DO30" s="10"/>
      <c r="DP30" s="10"/>
      <c r="DR30" s="10"/>
      <c r="DS30" s="10"/>
      <c r="DT30" s="10"/>
    </row>
    <row r="31" spans="1:124" x14ac:dyDescent="0.25">
      <c r="A31" s="1">
        <v>46066</v>
      </c>
      <c r="B31" s="33">
        <v>114.25</v>
      </c>
      <c r="C31" s="33">
        <v>122.28</v>
      </c>
      <c r="D31" s="15">
        <v>2.14985941758149E-2</v>
      </c>
      <c r="E31" s="15">
        <v>1.1928897983416901E-2</v>
      </c>
      <c r="F31" s="33">
        <v>0</v>
      </c>
      <c r="G31" s="33">
        <v>0</v>
      </c>
      <c r="H31" s="33">
        <v>0</v>
      </c>
      <c r="I31" s="33">
        <v>0</v>
      </c>
      <c r="J31" s="33">
        <v>0</v>
      </c>
      <c r="K31" s="33">
        <v>0</v>
      </c>
      <c r="L31" s="33">
        <v>114.25</v>
      </c>
      <c r="M31" s="33">
        <v>122.28</v>
      </c>
      <c r="N31" s="34">
        <v>1.07028446389496</v>
      </c>
      <c r="O31" s="34">
        <v>1.03934289630393</v>
      </c>
      <c r="P31" s="34">
        <v>1.07591551603888</v>
      </c>
      <c r="Q31" s="34">
        <v>1.0786231004998099</v>
      </c>
      <c r="R31" s="33">
        <v>118.74492590272401</v>
      </c>
      <c r="S31" s="33">
        <v>123.033129161126</v>
      </c>
      <c r="T31" s="33">
        <v>123.41356146033399</v>
      </c>
      <c r="U31" s="15">
        <v>-2.9335784261016198E-2</v>
      </c>
      <c r="V31" s="15">
        <v>6.1401648569155498E-3</v>
      </c>
      <c r="W31" s="15">
        <v>9.2275067922368507E-3</v>
      </c>
      <c r="X31" s="34">
        <v>1.07028446389496</v>
      </c>
      <c r="Y31" s="34">
        <v>1.03934289630393</v>
      </c>
      <c r="Z31" s="34">
        <v>1.07591551603888</v>
      </c>
      <c r="AA31" s="34">
        <v>1.0786231004998099</v>
      </c>
      <c r="AB31" s="33">
        <v>118.74492590272401</v>
      </c>
      <c r="AC31" s="33">
        <v>123.033129161126</v>
      </c>
      <c r="AD31" s="33">
        <v>123.41356146033399</v>
      </c>
      <c r="AE31" s="15">
        <v>-2.9335784261016198E-2</v>
      </c>
      <c r="AF31" s="15">
        <v>6.1401648569155498E-3</v>
      </c>
      <c r="AG31" s="15">
        <v>9.2275067922368507E-3</v>
      </c>
      <c r="AI31" s="12"/>
      <c r="AJ31">
        <f t="shared" si="6"/>
        <v>0</v>
      </c>
      <c r="AK31">
        <f t="shared" si="7"/>
        <v>1</v>
      </c>
      <c r="AL31">
        <f t="shared" si="14"/>
        <v>0</v>
      </c>
      <c r="AM31">
        <f t="shared" si="4"/>
        <v>1</v>
      </c>
      <c r="AN31">
        <f t="shared" si="15"/>
        <v>0</v>
      </c>
      <c r="AO31" s="28">
        <f t="shared" si="8"/>
        <v>0</v>
      </c>
      <c r="AP31" s="28">
        <f t="shared" si="9"/>
        <v>0</v>
      </c>
      <c r="AQ31" s="28">
        <f t="shared" si="16"/>
        <v>0</v>
      </c>
      <c r="AR31" s="29">
        <f t="shared" si="17"/>
        <v>0</v>
      </c>
      <c r="AT31" s="12"/>
      <c r="AU31">
        <f t="shared" si="10"/>
        <v>1</v>
      </c>
      <c r="AV31">
        <f t="shared" si="11"/>
        <v>0</v>
      </c>
      <c r="AW31">
        <f t="shared" si="18"/>
        <v>0</v>
      </c>
      <c r="AX31">
        <f t="shared" si="5"/>
        <v>1</v>
      </c>
      <c r="AY31">
        <f t="shared" si="19"/>
        <v>0</v>
      </c>
      <c r="AZ31" s="28">
        <f t="shared" si="12"/>
        <v>0</v>
      </c>
      <c r="BA31" s="28">
        <f t="shared" si="13"/>
        <v>0</v>
      </c>
      <c r="BB31" s="28">
        <f t="shared" si="20"/>
        <v>0</v>
      </c>
      <c r="BC31" s="29">
        <f t="shared" si="21"/>
        <v>1.9685873608663033E-2</v>
      </c>
      <c r="BE31" s="29">
        <f t="shared" si="22"/>
        <v>0</v>
      </c>
      <c r="BF31" s="29">
        <f t="shared" si="23"/>
        <v>1.9685873608663033E-2</v>
      </c>
      <c r="BH31" s="29"/>
      <c r="DL31" s="4"/>
      <c r="DM31" s="10"/>
      <c r="DN31" s="10"/>
      <c r="DO31" s="10"/>
      <c r="DP31" s="10"/>
      <c r="DR31" s="10"/>
      <c r="DS31" s="10"/>
      <c r="DT31" s="10"/>
    </row>
    <row r="32" spans="1:124" x14ac:dyDescent="0.25">
      <c r="A32" s="1">
        <v>46070</v>
      </c>
      <c r="B32" s="33">
        <v>113.99</v>
      </c>
      <c r="C32" s="33">
        <v>121.44</v>
      </c>
      <c r="D32" s="15">
        <v>-2.2783045256269201E-3</v>
      </c>
      <c r="E32" s="15">
        <v>-6.8931833753139802E-3</v>
      </c>
      <c r="F32" s="33">
        <v>0</v>
      </c>
      <c r="G32" s="33">
        <v>0</v>
      </c>
      <c r="H32" s="33">
        <v>0</v>
      </c>
      <c r="I32" s="33">
        <v>0</v>
      </c>
      <c r="J32" s="33">
        <v>0</v>
      </c>
      <c r="K32" s="33">
        <v>0</v>
      </c>
      <c r="L32" s="33">
        <v>113.99</v>
      </c>
      <c r="M32" s="33">
        <v>121.44</v>
      </c>
      <c r="N32" s="34">
        <v>1.06535661022896</v>
      </c>
      <c r="O32" s="34">
        <v>1.03934289630393</v>
      </c>
      <c r="P32" s="34">
        <v>1.07526961859463</v>
      </c>
      <c r="Q32" s="34">
        <v>1.0765629474337599</v>
      </c>
      <c r="R32" s="33">
        <v>118.47469674968499</v>
      </c>
      <c r="S32" s="33">
        <v>122.643609673272</v>
      </c>
      <c r="T32" s="33">
        <v>122.952247225973</v>
      </c>
      <c r="U32" s="15">
        <v>-2.4720905411329E-2</v>
      </c>
      <c r="V32" s="15">
        <v>9.8623535658781403E-3</v>
      </c>
      <c r="W32" s="15">
        <v>1.2375732407616099E-2</v>
      </c>
      <c r="X32" s="34">
        <v>1.06535661022896</v>
      </c>
      <c r="Y32" s="34">
        <v>1.03934289630393</v>
      </c>
      <c r="Z32" s="34">
        <v>1.07526961859463</v>
      </c>
      <c r="AA32" s="34">
        <v>1.0765629474337599</v>
      </c>
      <c r="AB32" s="33">
        <v>118.47469674968499</v>
      </c>
      <c r="AC32" s="33">
        <v>122.643609673272</v>
      </c>
      <c r="AD32" s="33">
        <v>122.952247225973</v>
      </c>
      <c r="AE32" s="15">
        <v>-2.4720905411329E-2</v>
      </c>
      <c r="AF32" s="15">
        <v>9.8623535658781403E-3</v>
      </c>
      <c r="AG32" s="15">
        <v>1.2375732407616099E-2</v>
      </c>
      <c r="AI32" s="12"/>
      <c r="AJ32">
        <f t="shared" si="6"/>
        <v>0</v>
      </c>
      <c r="AK32">
        <f t="shared" si="7"/>
        <v>1</v>
      </c>
      <c r="AL32">
        <f t="shared" si="14"/>
        <v>0</v>
      </c>
      <c r="AM32">
        <f t="shared" si="4"/>
        <v>1</v>
      </c>
      <c r="AN32">
        <f t="shared" si="15"/>
        <v>0</v>
      </c>
      <c r="AO32" s="28">
        <f t="shared" si="8"/>
        <v>0</v>
      </c>
      <c r="AP32" s="28">
        <f t="shared" si="9"/>
        <v>0</v>
      </c>
      <c r="AQ32" s="28">
        <f t="shared" si="16"/>
        <v>0</v>
      </c>
      <c r="AR32" s="29">
        <f t="shared" si="17"/>
        <v>0</v>
      </c>
      <c r="AT32" s="12"/>
      <c r="AU32">
        <f t="shared" si="10"/>
        <v>1</v>
      </c>
      <c r="AV32">
        <f t="shared" si="11"/>
        <v>0</v>
      </c>
      <c r="AW32">
        <f t="shared" si="18"/>
        <v>1</v>
      </c>
      <c r="AX32">
        <f t="shared" si="5"/>
        <v>1</v>
      </c>
      <c r="AY32">
        <f t="shared" si="19"/>
        <v>1</v>
      </c>
      <c r="AZ32" s="28">
        <f t="shared" si="12"/>
        <v>2.2783045256269201E-3</v>
      </c>
      <c r="BA32" s="28">
        <f t="shared" si="13"/>
        <v>-6.8931833753139802E-3</v>
      </c>
      <c r="BB32" s="28">
        <f t="shared" si="20"/>
        <v>-4.6148788496870596E-3</v>
      </c>
      <c r="BC32" s="29">
        <f t="shared" si="21"/>
        <v>1.5070994758975973E-2</v>
      </c>
      <c r="BE32" s="29">
        <f t="shared" si="22"/>
        <v>-4.6148788496870596E-3</v>
      </c>
      <c r="BF32" s="29">
        <f t="shared" si="23"/>
        <v>1.5070994758975973E-2</v>
      </c>
      <c r="BH32" s="29"/>
      <c r="DL32" s="4"/>
      <c r="DM32" s="10"/>
      <c r="DN32" s="10"/>
      <c r="DO32" s="10"/>
      <c r="DP32" s="10"/>
      <c r="DR32" s="10"/>
      <c r="DS32" s="10"/>
      <c r="DT32" s="10"/>
    </row>
    <row r="33" spans="1:124" x14ac:dyDescent="0.25">
      <c r="A33" s="1">
        <v>46071</v>
      </c>
      <c r="B33" s="33">
        <v>113.45</v>
      </c>
      <c r="C33" s="33">
        <v>121.26</v>
      </c>
      <c r="D33" s="15">
        <v>-4.7485140228363601E-3</v>
      </c>
      <c r="E33" s="15">
        <v>-1.4833130037350799E-3</v>
      </c>
      <c r="F33" s="33">
        <v>0</v>
      </c>
      <c r="G33" s="33">
        <v>0</v>
      </c>
      <c r="H33" s="33">
        <v>0</v>
      </c>
      <c r="I33" s="33">
        <v>0</v>
      </c>
      <c r="J33" s="33">
        <v>0</v>
      </c>
      <c r="K33" s="33">
        <v>0</v>
      </c>
      <c r="L33" s="33">
        <v>113.45</v>
      </c>
      <c r="M33" s="33">
        <v>121.26</v>
      </c>
      <c r="N33" s="34">
        <v>1.06884089907448</v>
      </c>
      <c r="O33" s="34">
        <v>1.03934289630393</v>
      </c>
      <c r="P33" s="34">
        <v>1.0736806026605501</v>
      </c>
      <c r="Q33" s="34">
        <v>1.0753542710511099</v>
      </c>
      <c r="R33" s="33">
        <v>117.913451585681</v>
      </c>
      <c r="S33" s="33">
        <v>121.989338229561</v>
      </c>
      <c r="T33" s="33">
        <v>122.13606638636</v>
      </c>
      <c r="U33" s="15">
        <v>-2.79861064304304E-2</v>
      </c>
      <c r="V33" s="15">
        <v>5.9966487098358197E-3</v>
      </c>
      <c r="W33" s="15">
        <v>7.1987208554871096E-3</v>
      </c>
      <c r="X33" s="34">
        <v>1.06884089907448</v>
      </c>
      <c r="Y33" s="34">
        <v>1.03934289630393</v>
      </c>
      <c r="Z33" s="34">
        <v>1.0736806026605501</v>
      </c>
      <c r="AA33" s="34">
        <v>1.0753542710511099</v>
      </c>
      <c r="AB33" s="33">
        <v>117.913451585681</v>
      </c>
      <c r="AC33" s="33">
        <v>121.989338229561</v>
      </c>
      <c r="AD33" s="33">
        <v>122.13606638636</v>
      </c>
      <c r="AE33" s="15">
        <v>-2.79861064304304E-2</v>
      </c>
      <c r="AF33" s="15">
        <v>5.9966487098358197E-3</v>
      </c>
      <c r="AG33" s="15">
        <v>7.1987208554871096E-3</v>
      </c>
      <c r="AI33" s="12"/>
      <c r="AJ33">
        <f t="shared" si="6"/>
        <v>0</v>
      </c>
      <c r="AK33">
        <f t="shared" si="7"/>
        <v>1</v>
      </c>
      <c r="AL33">
        <f t="shared" si="14"/>
        <v>0</v>
      </c>
      <c r="AM33">
        <f t="shared" si="4"/>
        <v>1</v>
      </c>
      <c r="AN33">
        <f t="shared" si="15"/>
        <v>0</v>
      </c>
      <c r="AO33" s="28">
        <f t="shared" si="8"/>
        <v>0</v>
      </c>
      <c r="AP33" s="28">
        <f t="shared" si="9"/>
        <v>0</v>
      </c>
      <c r="AQ33" s="28">
        <f t="shared" si="16"/>
        <v>0</v>
      </c>
      <c r="AR33" s="29">
        <f t="shared" si="17"/>
        <v>0</v>
      </c>
      <c r="AT33" s="12"/>
      <c r="AU33">
        <f t="shared" si="10"/>
        <v>1</v>
      </c>
      <c r="AV33">
        <f t="shared" si="11"/>
        <v>0</v>
      </c>
      <c r="AW33">
        <f t="shared" si="18"/>
        <v>1</v>
      </c>
      <c r="AX33">
        <f t="shared" si="5"/>
        <v>1</v>
      </c>
      <c r="AY33">
        <f t="shared" si="19"/>
        <v>1</v>
      </c>
      <c r="AZ33" s="28">
        <f t="shared" si="12"/>
        <v>4.7485140228363601E-3</v>
      </c>
      <c r="BA33" s="28">
        <f t="shared" si="13"/>
        <v>-1.4833130037350799E-3</v>
      </c>
      <c r="BB33" s="28">
        <f t="shared" si="20"/>
        <v>3.2652010191012801E-3</v>
      </c>
      <c r="BC33" s="29">
        <f t="shared" si="21"/>
        <v>1.8336195778077255E-2</v>
      </c>
      <c r="BE33" s="29">
        <f t="shared" si="22"/>
        <v>3.2652010191012801E-3</v>
      </c>
      <c r="BF33" s="29">
        <f t="shared" si="23"/>
        <v>1.8336195778077255E-2</v>
      </c>
      <c r="BH33" s="29"/>
      <c r="DL33" s="4"/>
      <c r="DM33" s="10"/>
      <c r="DN33" s="10"/>
      <c r="DO33" s="10"/>
      <c r="DP33" s="10"/>
      <c r="DQ33" s="10"/>
      <c r="DR33" s="10"/>
      <c r="DS33" s="10"/>
      <c r="DT33" s="10"/>
    </row>
    <row r="34" spans="1:124" x14ac:dyDescent="0.25">
      <c r="A34" s="1">
        <v>46072</v>
      </c>
      <c r="B34" s="33">
        <v>108.64</v>
      </c>
      <c r="C34" s="33">
        <v>116.12</v>
      </c>
      <c r="D34" s="15">
        <v>-4.33225474154647E-2</v>
      </c>
      <c r="E34" s="15">
        <v>-4.3312861487155498E-2</v>
      </c>
      <c r="F34" s="33">
        <v>0</v>
      </c>
      <c r="G34" s="33">
        <v>0</v>
      </c>
      <c r="H34" s="33">
        <v>0</v>
      </c>
      <c r="I34" s="33">
        <v>0</v>
      </c>
      <c r="J34" s="33">
        <v>0</v>
      </c>
      <c r="K34" s="33">
        <v>0</v>
      </c>
      <c r="L34" s="33">
        <v>108.64</v>
      </c>
      <c r="M34" s="33">
        <v>116.12</v>
      </c>
      <c r="N34" s="34">
        <v>1.0688512518409401</v>
      </c>
      <c r="O34" s="34">
        <v>1.03934289630393</v>
      </c>
      <c r="P34" s="34">
        <v>1.0733378208679001</v>
      </c>
      <c r="Q34" s="34">
        <v>1.07426314291389</v>
      </c>
      <c r="R34" s="33">
        <v>112.914212254459</v>
      </c>
      <c r="S34" s="33">
        <v>116.64466067304301</v>
      </c>
      <c r="T34" s="33">
        <v>116.826488006993</v>
      </c>
      <c r="U34" s="15">
        <v>-2.7995792358739599E-2</v>
      </c>
      <c r="V34" s="15">
        <v>4.5080860649137997E-3</v>
      </c>
      <c r="W34" s="15">
        <v>6.0656864085944203E-3</v>
      </c>
      <c r="X34" s="34">
        <v>1.0688512518409401</v>
      </c>
      <c r="Y34" s="34">
        <v>1.03934289630393</v>
      </c>
      <c r="Z34" s="34">
        <v>1.0733378208679001</v>
      </c>
      <c r="AA34" s="34">
        <v>1.07426314291389</v>
      </c>
      <c r="AB34" s="33">
        <v>112.914212254459</v>
      </c>
      <c r="AC34" s="33">
        <v>116.64466067304301</v>
      </c>
      <c r="AD34" s="33">
        <v>116.826488006993</v>
      </c>
      <c r="AE34" s="15">
        <v>-2.7995792358739599E-2</v>
      </c>
      <c r="AF34" s="15">
        <v>4.5080860649137997E-3</v>
      </c>
      <c r="AG34" s="15">
        <v>6.0656864085944203E-3</v>
      </c>
      <c r="AI34" s="12"/>
      <c r="AJ34">
        <f t="shared" si="6"/>
        <v>0</v>
      </c>
      <c r="AK34">
        <f t="shared" si="7"/>
        <v>1</v>
      </c>
      <c r="AL34">
        <f t="shared" si="14"/>
        <v>0</v>
      </c>
      <c r="AM34">
        <f t="shared" si="4"/>
        <v>1</v>
      </c>
      <c r="AN34">
        <f t="shared" si="15"/>
        <v>0</v>
      </c>
      <c r="AO34" s="28">
        <f t="shared" si="8"/>
        <v>0</v>
      </c>
      <c r="AP34" s="28">
        <f t="shared" si="9"/>
        <v>0</v>
      </c>
      <c r="AQ34" s="28">
        <f t="shared" si="16"/>
        <v>0</v>
      </c>
      <c r="AR34" s="29">
        <f t="shared" si="17"/>
        <v>0</v>
      </c>
      <c r="AT34" s="12"/>
      <c r="AU34">
        <f t="shared" si="10"/>
        <v>1</v>
      </c>
      <c r="AV34">
        <f t="shared" si="11"/>
        <v>0</v>
      </c>
      <c r="AW34">
        <f t="shared" si="18"/>
        <v>1</v>
      </c>
      <c r="AX34">
        <f t="shared" si="5"/>
        <v>1</v>
      </c>
      <c r="AY34">
        <f t="shared" si="19"/>
        <v>1</v>
      </c>
      <c r="AZ34" s="28">
        <f t="shared" si="12"/>
        <v>4.33225474154647E-2</v>
      </c>
      <c r="BA34" s="28">
        <f t="shared" si="13"/>
        <v>-4.3312861487155498E-2</v>
      </c>
      <c r="BB34" s="28">
        <f t="shared" si="20"/>
        <v>9.6859283092026738E-6</v>
      </c>
      <c r="BC34" s="29">
        <f t="shared" si="21"/>
        <v>1.8345881706386458E-2</v>
      </c>
      <c r="BE34" s="29">
        <f t="shared" si="22"/>
        <v>9.6859283092026738E-6</v>
      </c>
      <c r="BF34" s="29">
        <f t="shared" si="23"/>
        <v>1.8345881706386458E-2</v>
      </c>
      <c r="BH34" s="29"/>
    </row>
    <row r="35" spans="1:124" x14ac:dyDescent="0.25">
      <c r="A35" s="1">
        <v>46073</v>
      </c>
      <c r="B35" s="33">
        <v>108.62</v>
      </c>
      <c r="C35" s="33">
        <v>116.46</v>
      </c>
      <c r="D35" s="15">
        <v>-1.8411120368677899E-4</v>
      </c>
      <c r="E35" s="15">
        <v>2.9237272525446702E-3</v>
      </c>
      <c r="F35" s="33">
        <v>0</v>
      </c>
      <c r="G35" s="33">
        <v>0</v>
      </c>
      <c r="H35" s="33">
        <v>0</v>
      </c>
      <c r="I35" s="33">
        <v>0</v>
      </c>
      <c r="J35" s="33">
        <v>0</v>
      </c>
      <c r="K35" s="33">
        <v>0</v>
      </c>
      <c r="L35" s="33">
        <v>108.62</v>
      </c>
      <c r="M35" s="33">
        <v>116.46</v>
      </c>
      <c r="N35" s="34">
        <v>1.07217823605229</v>
      </c>
      <c r="O35" s="34">
        <v>1.03934289630393</v>
      </c>
      <c r="P35" s="34">
        <v>1.07218630387572</v>
      </c>
      <c r="Q35" s="34">
        <v>1.0737635641504699</v>
      </c>
      <c r="R35" s="33">
        <v>112.893425396533</v>
      </c>
      <c r="S35" s="33">
        <v>116.58595410267201</v>
      </c>
      <c r="T35" s="33">
        <v>116.68646258330701</v>
      </c>
      <c r="U35" s="15">
        <v>-3.11036308149709E-2</v>
      </c>
      <c r="V35" s="15">
        <v>1.0809380100260399E-3</v>
      </c>
      <c r="W35" s="15">
        <v>1.9426642979632799E-3</v>
      </c>
      <c r="X35" s="34">
        <v>1.07217823605229</v>
      </c>
      <c r="Y35" s="34">
        <v>1.03934289630393</v>
      </c>
      <c r="Z35" s="34">
        <v>1.07218630387572</v>
      </c>
      <c r="AA35" s="34">
        <v>1.0737635641504699</v>
      </c>
      <c r="AB35" s="33">
        <v>112.893425396533</v>
      </c>
      <c r="AC35" s="33">
        <v>116.58595410267201</v>
      </c>
      <c r="AD35" s="33">
        <v>116.68646258330701</v>
      </c>
      <c r="AE35" s="15">
        <v>-3.11036308149709E-2</v>
      </c>
      <c r="AF35" s="15">
        <v>1.0809380100260399E-3</v>
      </c>
      <c r="AG35" s="15">
        <v>1.9426642979632799E-3</v>
      </c>
      <c r="AI35" s="12"/>
      <c r="AJ35">
        <f t="shared" si="6"/>
        <v>0</v>
      </c>
      <c r="AK35">
        <f t="shared" si="7"/>
        <v>1</v>
      </c>
      <c r="AL35">
        <f t="shared" si="14"/>
        <v>0</v>
      </c>
      <c r="AM35">
        <f t="shared" si="4"/>
        <v>1</v>
      </c>
      <c r="AN35">
        <f t="shared" si="15"/>
        <v>0</v>
      </c>
      <c r="AO35" s="28">
        <f t="shared" si="8"/>
        <v>0</v>
      </c>
      <c r="AP35" s="28">
        <f t="shared" si="9"/>
        <v>0</v>
      </c>
      <c r="AQ35" s="28">
        <f t="shared" si="16"/>
        <v>0</v>
      </c>
      <c r="AR35" s="29">
        <f t="shared" si="17"/>
        <v>0</v>
      </c>
      <c r="AT35" s="12"/>
      <c r="AU35">
        <f t="shared" si="10"/>
        <v>0</v>
      </c>
      <c r="AV35">
        <f t="shared" si="11"/>
        <v>1</v>
      </c>
      <c r="AW35">
        <f t="shared" si="18"/>
        <v>1</v>
      </c>
      <c r="AX35">
        <f t="shared" si="5"/>
        <v>1</v>
      </c>
      <c r="AY35">
        <f t="shared" si="19"/>
        <v>1</v>
      </c>
      <c r="AZ35" s="28">
        <f t="shared" si="12"/>
        <v>1.8411120368677899E-4</v>
      </c>
      <c r="BA35" s="28">
        <f t="shared" si="13"/>
        <v>2.9237272525446702E-3</v>
      </c>
      <c r="BB35" s="28">
        <f t="shared" si="20"/>
        <v>3.1078384562314492E-3</v>
      </c>
      <c r="BC35" s="29">
        <f t="shared" si="21"/>
        <v>2.1453720162617908E-2</v>
      </c>
      <c r="BE35" s="29">
        <f t="shared" si="22"/>
        <v>3.1078384562314492E-3</v>
      </c>
      <c r="BF35" s="29">
        <f t="shared" si="23"/>
        <v>2.1453720162617908E-2</v>
      </c>
      <c r="BH35" s="29"/>
    </row>
    <row r="36" spans="1:124" x14ac:dyDescent="0.25">
      <c r="A36" s="1">
        <v>46076</v>
      </c>
      <c r="B36" s="33">
        <v>107.73</v>
      </c>
      <c r="C36" s="33">
        <v>116.2</v>
      </c>
      <c r="D36" s="15">
        <v>-8.2274557005979996E-3</v>
      </c>
      <c r="E36" s="15">
        <v>-2.2350219911629098E-3</v>
      </c>
      <c r="F36" s="33">
        <v>0</v>
      </c>
      <c r="G36" s="33">
        <v>0</v>
      </c>
      <c r="H36" s="33">
        <v>0</v>
      </c>
      <c r="I36" s="33">
        <v>0</v>
      </c>
      <c r="J36" s="33">
        <v>0</v>
      </c>
      <c r="K36" s="33">
        <v>0</v>
      </c>
      <c r="L36" s="33">
        <v>107.73</v>
      </c>
      <c r="M36" s="33">
        <v>116.2</v>
      </c>
      <c r="N36" s="34">
        <v>1.07862248213125</v>
      </c>
      <c r="O36" s="34">
        <v>1.03934289630393</v>
      </c>
      <c r="P36" s="34">
        <v>1.0731581424141501</v>
      </c>
      <c r="Q36" s="34">
        <v>1.07414685717401</v>
      </c>
      <c r="R36" s="33">
        <v>111.968410218823</v>
      </c>
      <c r="S36" s="33">
        <v>115.506630516532</v>
      </c>
      <c r="T36" s="33">
        <v>115.67654876592999</v>
      </c>
      <c r="U36" s="15">
        <v>-3.7096064524406003E-2</v>
      </c>
      <c r="V36" s="15">
        <v>-5.9849090341410997E-3</v>
      </c>
      <c r="W36" s="15">
        <v>-4.5149207718228499E-3</v>
      </c>
      <c r="X36" s="34">
        <v>1.07862248213125</v>
      </c>
      <c r="Y36" s="34">
        <v>1.03934289630393</v>
      </c>
      <c r="Z36" s="34">
        <v>1.0731581424141501</v>
      </c>
      <c r="AA36" s="34">
        <v>1.07414685717401</v>
      </c>
      <c r="AB36" s="33">
        <v>111.968410218823</v>
      </c>
      <c r="AC36" s="33">
        <v>115.506630516532</v>
      </c>
      <c r="AD36" s="33">
        <v>115.67654876592999</v>
      </c>
      <c r="AE36" s="15">
        <v>-3.7096064524406003E-2</v>
      </c>
      <c r="AF36" s="15">
        <v>-5.9849090341410997E-3</v>
      </c>
      <c r="AG36" s="15">
        <v>-4.5149207718228499E-3</v>
      </c>
      <c r="AI36" s="12"/>
      <c r="AJ36">
        <f t="shared" si="6"/>
        <v>1</v>
      </c>
      <c r="AK36">
        <f t="shared" si="7"/>
        <v>0</v>
      </c>
      <c r="AL36">
        <f t="shared" si="14"/>
        <v>0</v>
      </c>
      <c r="AM36">
        <f t="shared" si="4"/>
        <v>1</v>
      </c>
      <c r="AN36">
        <f t="shared" si="15"/>
        <v>0</v>
      </c>
      <c r="AO36" s="28">
        <f t="shared" si="8"/>
        <v>0</v>
      </c>
      <c r="AP36" s="28">
        <f t="shared" si="9"/>
        <v>0</v>
      </c>
      <c r="AQ36" s="28">
        <f t="shared" si="16"/>
        <v>0</v>
      </c>
      <c r="AR36" s="29">
        <f t="shared" si="17"/>
        <v>0</v>
      </c>
      <c r="AT36" s="12"/>
      <c r="AU36">
        <f t="shared" si="10"/>
        <v>0</v>
      </c>
      <c r="AV36">
        <f t="shared" si="11"/>
        <v>1</v>
      </c>
      <c r="AW36">
        <f t="shared" si="18"/>
        <v>0</v>
      </c>
      <c r="AX36">
        <f t="shared" si="5"/>
        <v>1</v>
      </c>
      <c r="AY36">
        <f t="shared" si="19"/>
        <v>0</v>
      </c>
      <c r="AZ36" s="28">
        <f t="shared" si="12"/>
        <v>0</v>
      </c>
      <c r="BA36" s="28">
        <f t="shared" si="13"/>
        <v>0</v>
      </c>
      <c r="BB36" s="28">
        <f t="shared" si="20"/>
        <v>0</v>
      </c>
      <c r="BC36" s="29">
        <f t="shared" si="21"/>
        <v>2.1453720162617908E-2</v>
      </c>
      <c r="BE36" s="29">
        <f t="shared" si="22"/>
        <v>0</v>
      </c>
      <c r="BF36" s="29">
        <f t="shared" si="23"/>
        <v>2.1453720162617908E-2</v>
      </c>
      <c r="BH36" s="29"/>
    </row>
    <row r="37" spans="1:124" x14ac:dyDescent="0.25">
      <c r="A37" s="1">
        <v>46077</v>
      </c>
      <c r="B37" s="33">
        <v>108.34</v>
      </c>
      <c r="C37" s="33">
        <v>116.4</v>
      </c>
      <c r="D37" s="15">
        <v>5.6463333236517E-3</v>
      </c>
      <c r="E37" s="15">
        <v>1.7196908795266701E-3</v>
      </c>
      <c r="F37" s="33">
        <v>0</v>
      </c>
      <c r="G37" s="33">
        <v>0</v>
      </c>
      <c r="H37" s="33">
        <v>0</v>
      </c>
      <c r="I37" s="33">
        <v>0</v>
      </c>
      <c r="J37" s="33">
        <v>0</v>
      </c>
      <c r="K37" s="33">
        <v>0</v>
      </c>
      <c r="L37" s="33">
        <v>108.34</v>
      </c>
      <c r="M37" s="33">
        <v>116.4</v>
      </c>
      <c r="N37" s="34">
        <v>1.0743954218201901</v>
      </c>
      <c r="O37" s="34">
        <v>1.03934289630393</v>
      </c>
      <c r="P37" s="34">
        <v>1.0733796394833901</v>
      </c>
      <c r="Q37" s="34">
        <v>1.0745390819687199</v>
      </c>
      <c r="R37" s="33">
        <v>112.602409385568</v>
      </c>
      <c r="S37" s="33">
        <v>116.265953149149</v>
      </c>
      <c r="T37" s="33">
        <v>116.373070506232</v>
      </c>
      <c r="U37" s="15">
        <v>-3.3169422080281001E-2</v>
      </c>
      <c r="V37" s="15">
        <v>-1.1522688547016299E-3</v>
      </c>
      <c r="W37" s="15">
        <v>-2.3137980548402999E-4</v>
      </c>
      <c r="X37" s="34">
        <v>1.0743954218201901</v>
      </c>
      <c r="Y37" s="34">
        <v>1.03934289630393</v>
      </c>
      <c r="Z37" s="34">
        <v>1.0733796394833901</v>
      </c>
      <c r="AA37" s="34">
        <v>1.0745390819687199</v>
      </c>
      <c r="AB37" s="33">
        <v>112.602409385568</v>
      </c>
      <c r="AC37" s="33">
        <v>116.265953149149</v>
      </c>
      <c r="AD37" s="33">
        <v>116.373070506232</v>
      </c>
      <c r="AE37" s="15">
        <v>-3.3169422080281001E-2</v>
      </c>
      <c r="AF37" s="15">
        <v>-1.1522688547016299E-3</v>
      </c>
      <c r="AG37" s="15">
        <v>-2.3137980548402999E-4</v>
      </c>
      <c r="AI37" s="12"/>
      <c r="AJ37">
        <f t="shared" si="6"/>
        <v>0</v>
      </c>
      <c r="AK37">
        <f t="shared" si="7"/>
        <v>1</v>
      </c>
      <c r="AL37">
        <f t="shared" si="14"/>
        <v>1</v>
      </c>
      <c r="AM37">
        <f t="shared" si="4"/>
        <v>1</v>
      </c>
      <c r="AN37">
        <f t="shared" si="15"/>
        <v>1</v>
      </c>
      <c r="AO37" s="28">
        <f t="shared" si="8"/>
        <v>5.6463333236517E-3</v>
      </c>
      <c r="AP37" s="28">
        <f t="shared" si="9"/>
        <v>-1.7196908795266701E-3</v>
      </c>
      <c r="AQ37" s="28">
        <f t="shared" si="16"/>
        <v>3.9266424441250294E-3</v>
      </c>
      <c r="AR37" s="29">
        <f t="shared" si="17"/>
        <v>3.9266424441250294E-3</v>
      </c>
      <c r="AT37" s="12"/>
      <c r="AU37">
        <f t="shared" si="10"/>
        <v>0</v>
      </c>
      <c r="AV37">
        <f t="shared" si="11"/>
        <v>1</v>
      </c>
      <c r="AW37">
        <f t="shared" si="18"/>
        <v>0</v>
      </c>
      <c r="AX37">
        <f t="shared" si="5"/>
        <v>1</v>
      </c>
      <c r="AY37">
        <f t="shared" si="19"/>
        <v>0</v>
      </c>
      <c r="AZ37" s="28">
        <f t="shared" si="12"/>
        <v>0</v>
      </c>
      <c r="BA37" s="28">
        <f t="shared" si="13"/>
        <v>0</v>
      </c>
      <c r="BB37" s="28">
        <f t="shared" si="20"/>
        <v>0</v>
      </c>
      <c r="BC37" s="29">
        <f t="shared" si="21"/>
        <v>2.1453720162617908E-2</v>
      </c>
      <c r="BE37" s="29">
        <f t="shared" si="22"/>
        <v>3.9266424441250294E-3</v>
      </c>
      <c r="BF37" s="29">
        <f t="shared" si="23"/>
        <v>2.5380362606742937E-2</v>
      </c>
      <c r="BH37" s="29"/>
    </row>
    <row r="38" spans="1:124" x14ac:dyDescent="0.25">
      <c r="A38" s="1">
        <v>46078</v>
      </c>
      <c r="B38" s="33">
        <v>104.12</v>
      </c>
      <c r="C38" s="33">
        <v>110.73</v>
      </c>
      <c r="D38" s="15">
        <v>-3.9730350103388198E-2</v>
      </c>
      <c r="E38" s="15">
        <v>-4.9937729587320602E-2</v>
      </c>
      <c r="F38" s="33">
        <v>0</v>
      </c>
      <c r="G38" s="33">
        <v>0</v>
      </c>
      <c r="H38" s="33">
        <v>0</v>
      </c>
      <c r="I38" s="33">
        <v>0</v>
      </c>
      <c r="J38" s="33">
        <v>0</v>
      </c>
      <c r="K38" s="33">
        <v>0</v>
      </c>
      <c r="L38" s="33">
        <v>104.12</v>
      </c>
      <c r="M38" s="33">
        <v>110.73</v>
      </c>
      <c r="N38" s="34">
        <v>1.0634844410295801</v>
      </c>
      <c r="O38" s="34">
        <v>1.03934289630393</v>
      </c>
      <c r="P38" s="34">
        <v>1.0721605160187799</v>
      </c>
      <c r="Q38" s="34">
        <v>1.0737891417626999</v>
      </c>
      <c r="R38" s="33">
        <v>108.216382363165</v>
      </c>
      <c r="S38" s="33">
        <v>111.760288063011</v>
      </c>
      <c r="T38" s="33">
        <v>111.881009214583</v>
      </c>
      <c r="U38" s="15">
        <v>-2.2962042596348702E-2</v>
      </c>
      <c r="V38" s="15">
        <v>9.2614867497833094E-3</v>
      </c>
      <c r="W38" s="15">
        <v>1.03410830923851E-2</v>
      </c>
      <c r="X38" s="34">
        <v>1.0634844410295801</v>
      </c>
      <c r="Y38" s="34">
        <v>1.03934289630393</v>
      </c>
      <c r="Z38" s="34">
        <v>1.0721605160187799</v>
      </c>
      <c r="AA38" s="34">
        <v>1.0737891417626999</v>
      </c>
      <c r="AB38" s="33">
        <v>108.216382363165</v>
      </c>
      <c r="AC38" s="33">
        <v>111.760288063011</v>
      </c>
      <c r="AD38" s="33">
        <v>111.881009214583</v>
      </c>
      <c r="AE38" s="15">
        <v>-2.2962042596348702E-2</v>
      </c>
      <c r="AF38" s="15">
        <v>9.2614867497833094E-3</v>
      </c>
      <c r="AG38" s="15">
        <v>1.03410830923851E-2</v>
      </c>
      <c r="AI38" s="12"/>
      <c r="AJ38">
        <f t="shared" si="6"/>
        <v>0</v>
      </c>
      <c r="AK38">
        <f t="shared" si="7"/>
        <v>1</v>
      </c>
      <c r="AL38">
        <f t="shared" si="14"/>
        <v>0</v>
      </c>
      <c r="AM38">
        <f t="shared" si="4"/>
        <v>1</v>
      </c>
      <c r="AN38">
        <f t="shared" si="15"/>
        <v>0</v>
      </c>
      <c r="AO38" s="28">
        <f t="shared" si="8"/>
        <v>0</v>
      </c>
      <c r="AP38" s="28">
        <f t="shared" si="9"/>
        <v>0</v>
      </c>
      <c r="AQ38" s="28">
        <f t="shared" si="16"/>
        <v>0</v>
      </c>
      <c r="AR38" s="29">
        <f t="shared" si="17"/>
        <v>3.9266424441250294E-3</v>
      </c>
      <c r="AT38" s="12"/>
      <c r="AU38">
        <f t="shared" si="10"/>
        <v>1</v>
      </c>
      <c r="AV38">
        <f t="shared" si="11"/>
        <v>0</v>
      </c>
      <c r="AW38">
        <f t="shared" si="18"/>
        <v>0</v>
      </c>
      <c r="AX38">
        <f t="shared" si="5"/>
        <v>1</v>
      </c>
      <c r="AY38">
        <f t="shared" si="19"/>
        <v>0</v>
      </c>
      <c r="AZ38" s="28">
        <f t="shared" si="12"/>
        <v>0</v>
      </c>
      <c r="BA38" s="28">
        <f t="shared" si="13"/>
        <v>0</v>
      </c>
      <c r="BB38" s="28">
        <f t="shared" si="20"/>
        <v>0</v>
      </c>
      <c r="BC38" s="29">
        <f t="shared" si="21"/>
        <v>2.1453720162617908E-2</v>
      </c>
      <c r="BE38" s="29">
        <f t="shared" si="22"/>
        <v>0</v>
      </c>
      <c r="BF38" s="29">
        <f t="shared" si="23"/>
        <v>2.5380362606742937E-2</v>
      </c>
      <c r="BH38" s="29"/>
    </row>
    <row r="39" spans="1:124" x14ac:dyDescent="0.25">
      <c r="A39" s="1">
        <v>46079</v>
      </c>
      <c r="B39" s="33">
        <v>105.31</v>
      </c>
      <c r="C39" s="33">
        <v>112</v>
      </c>
      <c r="D39" s="15">
        <v>1.1364301266141E-2</v>
      </c>
      <c r="E39" s="15">
        <v>1.1404065585077601E-2</v>
      </c>
      <c r="F39" s="33">
        <v>0</v>
      </c>
      <c r="G39" s="33">
        <v>0</v>
      </c>
      <c r="H39" s="33">
        <v>0</v>
      </c>
      <c r="I39" s="33">
        <v>0</v>
      </c>
      <c r="J39" s="33">
        <v>0</v>
      </c>
      <c r="K39" s="33">
        <v>0</v>
      </c>
      <c r="L39" s="33">
        <v>105.31</v>
      </c>
      <c r="M39" s="33">
        <v>112</v>
      </c>
      <c r="N39" s="34">
        <v>1.0635267306048799</v>
      </c>
      <c r="O39" s="34">
        <v>1.03934289630393</v>
      </c>
      <c r="P39" s="34">
        <v>1.0706116462272199</v>
      </c>
      <c r="Q39" s="34">
        <v>1.0728793622999799</v>
      </c>
      <c r="R39" s="33">
        <v>109.45320040976701</v>
      </c>
      <c r="S39" s="33">
        <v>112.909223941938</v>
      </c>
      <c r="T39" s="33">
        <v>113.08073451903</v>
      </c>
      <c r="U39" s="15">
        <v>-2.3001806915285101E-2</v>
      </c>
      <c r="V39" s="15">
        <v>8.0852966289923604E-3</v>
      </c>
      <c r="W39" s="15">
        <v>9.6031570789790605E-3</v>
      </c>
      <c r="X39" s="34">
        <v>1.0635267306048799</v>
      </c>
      <c r="Y39" s="34">
        <v>1.03934289630393</v>
      </c>
      <c r="Z39" s="34">
        <v>1.0706116462272199</v>
      </c>
      <c r="AA39" s="34">
        <v>1.0728793622999799</v>
      </c>
      <c r="AB39" s="33">
        <v>109.45320040976701</v>
      </c>
      <c r="AC39" s="33">
        <v>112.909223941938</v>
      </c>
      <c r="AD39" s="33">
        <v>113.08073451903</v>
      </c>
      <c r="AE39" s="15">
        <v>-2.3001806915285101E-2</v>
      </c>
      <c r="AF39" s="15">
        <v>8.0852966289923604E-3</v>
      </c>
      <c r="AG39" s="15">
        <v>9.6031570789790605E-3</v>
      </c>
      <c r="AI39" s="12"/>
      <c r="AJ39">
        <f t="shared" si="6"/>
        <v>0</v>
      </c>
      <c r="AK39">
        <f t="shared" si="7"/>
        <v>1</v>
      </c>
      <c r="AL39">
        <f t="shared" si="14"/>
        <v>0</v>
      </c>
      <c r="AM39">
        <f t="shared" si="4"/>
        <v>1</v>
      </c>
      <c r="AN39">
        <f t="shared" si="15"/>
        <v>0</v>
      </c>
      <c r="AO39" s="28">
        <f t="shared" si="8"/>
        <v>0</v>
      </c>
      <c r="AP39" s="28">
        <f t="shared" si="9"/>
        <v>0</v>
      </c>
      <c r="AQ39" s="28">
        <f t="shared" si="16"/>
        <v>0</v>
      </c>
      <c r="AR39" s="29">
        <f t="shared" si="17"/>
        <v>3.9266424441250294E-3</v>
      </c>
      <c r="AT39" s="12"/>
      <c r="AU39">
        <f t="shared" si="10"/>
        <v>1</v>
      </c>
      <c r="AV39">
        <f t="shared" si="11"/>
        <v>0</v>
      </c>
      <c r="AW39">
        <f t="shared" si="18"/>
        <v>1</v>
      </c>
      <c r="AX39">
        <f t="shared" si="5"/>
        <v>1</v>
      </c>
      <c r="AY39">
        <f t="shared" si="19"/>
        <v>1</v>
      </c>
      <c r="AZ39" s="28">
        <f t="shared" si="12"/>
        <v>-1.1364301266141E-2</v>
      </c>
      <c r="BA39" s="28">
        <f t="shared" si="13"/>
        <v>1.1404065585077601E-2</v>
      </c>
      <c r="BB39" s="28">
        <f t="shared" si="20"/>
        <v>3.9764318936600512E-5</v>
      </c>
      <c r="BC39" s="29">
        <f t="shared" si="21"/>
        <v>2.1493484481554508E-2</v>
      </c>
      <c r="BE39" s="29">
        <f t="shared" si="22"/>
        <v>3.9764318936600512E-5</v>
      </c>
      <c r="BF39" s="29">
        <f t="shared" si="23"/>
        <v>2.5420126925679538E-2</v>
      </c>
      <c r="BH39" s="29"/>
    </row>
    <row r="40" spans="1:124" x14ac:dyDescent="0.25">
      <c r="A40" s="1">
        <v>46080</v>
      </c>
      <c r="B40" s="33">
        <v>106.73</v>
      </c>
      <c r="C40" s="33">
        <v>114.36</v>
      </c>
      <c r="D40" s="15">
        <v>1.33938995333677E-2</v>
      </c>
      <c r="E40" s="15">
        <v>2.0852496159016499E-2</v>
      </c>
      <c r="F40" s="33">
        <v>0</v>
      </c>
      <c r="G40" s="33">
        <v>0</v>
      </c>
      <c r="H40" s="33">
        <v>0</v>
      </c>
      <c r="I40" s="33">
        <v>0</v>
      </c>
      <c r="J40" s="33">
        <v>0</v>
      </c>
      <c r="K40" s="33">
        <v>0</v>
      </c>
      <c r="L40" s="33">
        <v>106.73</v>
      </c>
      <c r="M40" s="33">
        <v>114.36</v>
      </c>
      <c r="N40" s="34">
        <v>1.0714888035229</v>
      </c>
      <c r="O40" s="34">
        <v>1.03934289630393</v>
      </c>
      <c r="P40" s="34">
        <v>1.0697029340200399</v>
      </c>
      <c r="Q40" s="34">
        <v>1.07328966902808</v>
      </c>
      <c r="R40" s="33">
        <v>110.929067322519</v>
      </c>
      <c r="S40" s="33">
        <v>114.26638100183099</v>
      </c>
      <c r="T40" s="33">
        <v>114.50841433827701</v>
      </c>
      <c r="U40" s="15">
        <v>-3.0460403540933802E-2</v>
      </c>
      <c r="V40" s="15">
        <v>-8.1896938568876295E-4</v>
      </c>
      <c r="W40" s="15">
        <v>1.29694051063848E-3</v>
      </c>
      <c r="X40" s="34">
        <v>1.0714888035229</v>
      </c>
      <c r="Y40" s="34">
        <v>1.03934289630393</v>
      </c>
      <c r="Z40" s="34">
        <v>1.0697029340200399</v>
      </c>
      <c r="AA40" s="34">
        <v>1.07328966902808</v>
      </c>
      <c r="AB40" s="33">
        <v>110.929067322519</v>
      </c>
      <c r="AC40" s="33">
        <v>114.26638100183099</v>
      </c>
      <c r="AD40" s="33">
        <v>114.50841433827701</v>
      </c>
      <c r="AE40" s="15">
        <v>-3.0460403540933802E-2</v>
      </c>
      <c r="AF40" s="15">
        <v>-8.1896938568876295E-4</v>
      </c>
      <c r="AG40" s="15">
        <v>1.29694051063848E-3</v>
      </c>
      <c r="AI40" s="12"/>
      <c r="AJ40">
        <f t="shared" si="6"/>
        <v>0</v>
      </c>
      <c r="AK40">
        <f t="shared" si="7"/>
        <v>1</v>
      </c>
      <c r="AL40">
        <f t="shared" si="14"/>
        <v>0</v>
      </c>
      <c r="AM40">
        <f t="shared" si="4"/>
        <v>1</v>
      </c>
      <c r="AN40">
        <f t="shared" si="15"/>
        <v>0</v>
      </c>
      <c r="AO40" s="28">
        <f t="shared" si="8"/>
        <v>0</v>
      </c>
      <c r="AP40" s="28">
        <f t="shared" si="9"/>
        <v>0</v>
      </c>
      <c r="AQ40" s="28">
        <f t="shared" si="16"/>
        <v>0</v>
      </c>
      <c r="AR40" s="29">
        <f t="shared" si="17"/>
        <v>3.9266424441250294E-3</v>
      </c>
      <c r="AT40" s="12"/>
      <c r="AU40">
        <f t="shared" si="10"/>
        <v>0</v>
      </c>
      <c r="AV40">
        <f t="shared" si="11"/>
        <v>1</v>
      </c>
      <c r="AW40">
        <f t="shared" si="18"/>
        <v>1</v>
      </c>
      <c r="AX40">
        <f t="shared" si="5"/>
        <v>1</v>
      </c>
      <c r="AY40">
        <f t="shared" si="19"/>
        <v>1</v>
      </c>
      <c r="AZ40" s="28">
        <f t="shared" si="12"/>
        <v>-1.33938995333677E-2</v>
      </c>
      <c r="BA40" s="28">
        <f t="shared" si="13"/>
        <v>2.0852496159016499E-2</v>
      </c>
      <c r="BB40" s="28">
        <f t="shared" si="20"/>
        <v>7.4585966256487998E-3</v>
      </c>
      <c r="BC40" s="29">
        <f t="shared" si="21"/>
        <v>2.8952081107203306E-2</v>
      </c>
      <c r="BE40" s="29">
        <f t="shared" si="22"/>
        <v>7.4585966256487998E-3</v>
      </c>
      <c r="BF40" s="29">
        <f t="shared" si="23"/>
        <v>3.2878723551328336E-2</v>
      </c>
      <c r="BH40" s="29"/>
    </row>
    <row r="41" spans="1:124" x14ac:dyDescent="0.25">
      <c r="A41" s="1">
        <v>46083</v>
      </c>
      <c r="B41" s="33">
        <v>103.89</v>
      </c>
      <c r="C41" s="33">
        <v>110.61</v>
      </c>
      <c r="D41" s="15">
        <v>-2.6969633843433299E-2</v>
      </c>
      <c r="E41" s="15">
        <v>-3.3340866539948201E-2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103.89</v>
      </c>
      <c r="M41" s="33">
        <v>110.61</v>
      </c>
      <c r="N41" s="34">
        <v>1.0646838001732599</v>
      </c>
      <c r="O41" s="34">
        <v>1.03934289630393</v>
      </c>
      <c r="P41" s="34">
        <v>1.06914286764787</v>
      </c>
      <c r="Q41" s="34">
        <v>1.0725291918433799</v>
      </c>
      <c r="R41" s="33">
        <v>107.977333497015</v>
      </c>
      <c r="S41" s="33">
        <v>111.131437815342</v>
      </c>
      <c r="T41" s="33">
        <v>111.50406371532701</v>
      </c>
      <c r="U41" s="15">
        <v>-2.4089170844418899E-2</v>
      </c>
      <c r="V41" s="15">
        <v>4.7031243382957399E-3</v>
      </c>
      <c r="W41" s="15">
        <v>8.0505351992517394E-3</v>
      </c>
      <c r="X41" s="34">
        <v>1.0646838001732599</v>
      </c>
      <c r="Y41" s="34">
        <v>1.03934289630393</v>
      </c>
      <c r="Z41" s="34">
        <v>1.06914286764787</v>
      </c>
      <c r="AA41" s="34">
        <v>1.0725291918433799</v>
      </c>
      <c r="AB41" s="33">
        <v>107.977333497015</v>
      </c>
      <c r="AC41" s="33">
        <v>111.131437815342</v>
      </c>
      <c r="AD41" s="33">
        <v>111.50406371532701</v>
      </c>
      <c r="AE41" s="15">
        <v>-2.4089170844418899E-2</v>
      </c>
      <c r="AF41" s="15">
        <v>4.7031243382957399E-3</v>
      </c>
      <c r="AG41" s="15">
        <v>8.0505351992517394E-3</v>
      </c>
      <c r="AI41" s="12"/>
      <c r="AJ41">
        <f t="shared" si="6"/>
        <v>0</v>
      </c>
      <c r="AK41">
        <f t="shared" si="7"/>
        <v>1</v>
      </c>
      <c r="AL41">
        <f t="shared" si="14"/>
        <v>0</v>
      </c>
      <c r="AM41">
        <f t="shared" si="4"/>
        <v>1</v>
      </c>
      <c r="AN41">
        <f t="shared" si="15"/>
        <v>0</v>
      </c>
      <c r="AO41" s="28">
        <f t="shared" si="8"/>
        <v>0</v>
      </c>
      <c r="AP41" s="28">
        <f t="shared" si="9"/>
        <v>0</v>
      </c>
      <c r="AQ41" s="28">
        <f t="shared" si="16"/>
        <v>0</v>
      </c>
      <c r="AR41" s="29">
        <f t="shared" si="17"/>
        <v>3.9266424441250294E-3</v>
      </c>
      <c r="AT41" s="12"/>
      <c r="AU41">
        <f t="shared" si="10"/>
        <v>1</v>
      </c>
      <c r="AV41">
        <f t="shared" si="11"/>
        <v>0</v>
      </c>
      <c r="AW41">
        <f t="shared" si="18"/>
        <v>0</v>
      </c>
      <c r="AX41">
        <f t="shared" si="5"/>
        <v>1</v>
      </c>
      <c r="AY41">
        <f t="shared" si="19"/>
        <v>0</v>
      </c>
      <c r="AZ41" s="28">
        <f t="shared" si="12"/>
        <v>0</v>
      </c>
      <c r="BA41" s="28">
        <f t="shared" si="13"/>
        <v>0</v>
      </c>
      <c r="BB41" s="28">
        <f t="shared" si="20"/>
        <v>0</v>
      </c>
      <c r="BC41" s="29">
        <f t="shared" si="21"/>
        <v>2.8952081107203306E-2</v>
      </c>
      <c r="BE41" s="29">
        <f t="shared" si="22"/>
        <v>0</v>
      </c>
      <c r="BF41" s="29">
        <f t="shared" si="23"/>
        <v>3.2878723551328336E-2</v>
      </c>
      <c r="BH41" s="29"/>
    </row>
    <row r="42" spans="1:124" x14ac:dyDescent="0.25">
      <c r="A42" s="1">
        <v>46084</v>
      </c>
      <c r="B42" s="33">
        <v>101.34</v>
      </c>
      <c r="C42" s="33">
        <v>108.41</v>
      </c>
      <c r="D42" s="15">
        <v>-2.48514470346765E-2</v>
      </c>
      <c r="E42" s="15">
        <v>-2.00901652409625E-2</v>
      </c>
      <c r="F42" s="33">
        <v>0</v>
      </c>
      <c r="G42" s="33">
        <v>0</v>
      </c>
      <c r="H42" s="33">
        <v>0</v>
      </c>
      <c r="I42" s="33">
        <v>0</v>
      </c>
      <c r="J42" s="33">
        <v>0</v>
      </c>
      <c r="K42" s="33">
        <v>0</v>
      </c>
      <c r="L42" s="33">
        <v>101.34</v>
      </c>
      <c r="M42" s="33">
        <v>108.41</v>
      </c>
      <c r="N42" s="34">
        <v>1.0697651470298</v>
      </c>
      <c r="O42" s="34">
        <v>1.03934289630393</v>
      </c>
      <c r="P42" s="34">
        <v>1.06958372132795</v>
      </c>
      <c r="Q42" s="34">
        <v>1.0724266699612901</v>
      </c>
      <c r="R42" s="33">
        <v>105.32700911144001</v>
      </c>
      <c r="S42" s="33">
        <v>108.346938207435</v>
      </c>
      <c r="T42" s="33">
        <v>108.690108301408</v>
      </c>
      <c r="U42" s="15">
        <v>-2.8850452638132899E-2</v>
      </c>
      <c r="V42" s="15">
        <v>-5.8186644326061702E-4</v>
      </c>
      <c r="W42" s="15">
        <v>2.5804543261686301E-3</v>
      </c>
      <c r="X42" s="34">
        <v>1.0697651470298</v>
      </c>
      <c r="Y42" s="34">
        <v>1.03934289630393</v>
      </c>
      <c r="Z42" s="34">
        <v>1.06958372132795</v>
      </c>
      <c r="AA42" s="34">
        <v>1.0724266699612901</v>
      </c>
      <c r="AB42" s="33">
        <v>105.32700911144001</v>
      </c>
      <c r="AC42" s="33">
        <v>108.346938207435</v>
      </c>
      <c r="AD42" s="33">
        <v>108.690108301408</v>
      </c>
      <c r="AE42" s="15">
        <v>-2.8850452638132899E-2</v>
      </c>
      <c r="AF42" s="15">
        <v>-5.8186644326061702E-4</v>
      </c>
      <c r="AG42" s="15">
        <v>2.5804543261686301E-3</v>
      </c>
      <c r="AI42" s="12"/>
      <c r="AJ42">
        <f t="shared" si="6"/>
        <v>0</v>
      </c>
      <c r="AK42">
        <f t="shared" si="7"/>
        <v>1</v>
      </c>
      <c r="AL42">
        <f t="shared" si="14"/>
        <v>0</v>
      </c>
      <c r="AM42">
        <f t="shared" si="4"/>
        <v>1</v>
      </c>
      <c r="AN42">
        <f t="shared" si="15"/>
        <v>0</v>
      </c>
      <c r="AO42" s="28">
        <f t="shared" si="8"/>
        <v>0</v>
      </c>
      <c r="AP42" s="28">
        <f t="shared" si="9"/>
        <v>0</v>
      </c>
      <c r="AQ42" s="28">
        <f t="shared" si="16"/>
        <v>0</v>
      </c>
      <c r="AR42" s="29">
        <f t="shared" si="17"/>
        <v>3.9266424441250294E-3</v>
      </c>
      <c r="AT42" s="12"/>
      <c r="AU42">
        <f t="shared" si="10"/>
        <v>0</v>
      </c>
      <c r="AV42">
        <f t="shared" si="11"/>
        <v>0</v>
      </c>
      <c r="AW42">
        <f t="shared" si="18"/>
        <v>1</v>
      </c>
      <c r="AX42">
        <f t="shared" si="5"/>
        <v>1</v>
      </c>
      <c r="AY42">
        <f t="shared" si="19"/>
        <v>1</v>
      </c>
      <c r="AZ42" s="28">
        <f t="shared" si="12"/>
        <v>2.48514470346765E-2</v>
      </c>
      <c r="BA42" s="28">
        <f t="shared" si="13"/>
        <v>-2.00901652409625E-2</v>
      </c>
      <c r="BB42" s="28">
        <f t="shared" si="20"/>
        <v>4.7612817937139999E-3</v>
      </c>
      <c r="BC42" s="29">
        <f t="shared" si="21"/>
        <v>3.371336290091731E-2</v>
      </c>
      <c r="BE42" s="29">
        <f t="shared" si="22"/>
        <v>4.7612817937139999E-3</v>
      </c>
      <c r="BF42" s="29">
        <f t="shared" si="23"/>
        <v>3.7640005345042332E-2</v>
      </c>
      <c r="BH42" s="29"/>
    </row>
    <row r="43" spans="1:124" x14ac:dyDescent="0.25">
      <c r="A43" s="1">
        <v>46085</v>
      </c>
      <c r="B43" s="33">
        <v>100.23</v>
      </c>
      <c r="C43" s="33">
        <v>106.53</v>
      </c>
      <c r="D43" s="15">
        <v>-1.1013655010988801E-2</v>
      </c>
      <c r="E43" s="15">
        <v>-1.74937000500941E-2</v>
      </c>
      <c r="F43" s="33">
        <v>0</v>
      </c>
      <c r="G43" s="33">
        <v>0</v>
      </c>
      <c r="H43" s="33">
        <v>0</v>
      </c>
      <c r="I43" s="33">
        <v>0</v>
      </c>
      <c r="J43" s="33">
        <v>0</v>
      </c>
      <c r="K43" s="33">
        <v>0</v>
      </c>
      <c r="L43" s="33">
        <v>100.23</v>
      </c>
      <c r="M43" s="33">
        <v>106.53</v>
      </c>
      <c r="N43" s="34">
        <v>1.06285543250523</v>
      </c>
      <c r="O43" s="34">
        <v>1.03934289630393</v>
      </c>
      <c r="P43" s="34">
        <v>1.0689851746710299</v>
      </c>
      <c r="Q43" s="34">
        <v>1.07133288866579</v>
      </c>
      <c r="R43" s="33">
        <v>104.173338496543</v>
      </c>
      <c r="S43" s="33">
        <v>107.20437638870099</v>
      </c>
      <c r="T43" s="33">
        <v>107.48932513022</v>
      </c>
      <c r="U43" s="15">
        <v>-2.2370407599027801E-2</v>
      </c>
      <c r="V43" s="15">
        <v>6.3104367017655302E-3</v>
      </c>
      <c r="W43" s="15">
        <v>8.96490589970525E-3</v>
      </c>
      <c r="X43" s="34">
        <v>1.06285543250523</v>
      </c>
      <c r="Y43" s="34">
        <v>1.03934289630393</v>
      </c>
      <c r="Z43" s="34">
        <v>1.0689851746710299</v>
      </c>
      <c r="AA43" s="34">
        <v>1.07133288866579</v>
      </c>
      <c r="AB43" s="33">
        <v>104.173338496543</v>
      </c>
      <c r="AC43" s="33">
        <v>107.20437638870099</v>
      </c>
      <c r="AD43" s="33">
        <v>107.48932513022</v>
      </c>
      <c r="AE43" s="15">
        <v>-2.2370407599027801E-2</v>
      </c>
      <c r="AF43" s="15">
        <v>6.3104367017655302E-3</v>
      </c>
      <c r="AG43" s="15">
        <v>8.96490589970525E-3</v>
      </c>
      <c r="AI43" s="12"/>
      <c r="AJ43">
        <f t="shared" si="6"/>
        <v>0</v>
      </c>
      <c r="AK43">
        <f t="shared" si="7"/>
        <v>1</v>
      </c>
      <c r="AL43">
        <f t="shared" si="14"/>
        <v>0</v>
      </c>
      <c r="AM43">
        <f t="shared" si="4"/>
        <v>1</v>
      </c>
      <c r="AN43">
        <f t="shared" si="15"/>
        <v>0</v>
      </c>
      <c r="AO43" s="28">
        <f t="shared" si="8"/>
        <v>0</v>
      </c>
      <c r="AP43" s="28">
        <f t="shared" si="9"/>
        <v>0</v>
      </c>
      <c r="AQ43" s="28">
        <f t="shared" si="16"/>
        <v>0</v>
      </c>
      <c r="AR43" s="29">
        <f t="shared" si="17"/>
        <v>3.9266424441250294E-3</v>
      </c>
      <c r="AT43" s="12"/>
      <c r="AU43">
        <f t="shared" si="10"/>
        <v>1</v>
      </c>
      <c r="AV43">
        <f t="shared" si="11"/>
        <v>0</v>
      </c>
      <c r="AW43">
        <f t="shared" si="18"/>
        <v>1</v>
      </c>
      <c r="AX43">
        <f t="shared" si="5"/>
        <v>1</v>
      </c>
      <c r="AY43">
        <f t="shared" si="19"/>
        <v>1</v>
      </c>
      <c r="AZ43" s="28">
        <f t="shared" si="12"/>
        <v>1.1013655010988801E-2</v>
      </c>
      <c r="BA43" s="28">
        <f t="shared" si="13"/>
        <v>-1.74937000500941E-2</v>
      </c>
      <c r="BB43" s="28">
        <f t="shared" si="20"/>
        <v>-6.4800450391052991E-3</v>
      </c>
      <c r="BC43" s="29">
        <f t="shared" si="21"/>
        <v>2.7233317861812011E-2</v>
      </c>
      <c r="BE43" s="29">
        <f t="shared" si="22"/>
        <v>-6.4800450391052991E-3</v>
      </c>
      <c r="BF43" s="29">
        <f t="shared" si="23"/>
        <v>3.1159960305937033E-2</v>
      </c>
      <c r="BH43" s="29"/>
    </row>
    <row r="44" spans="1:124" x14ac:dyDescent="0.25">
      <c r="A44" s="1">
        <v>46086</v>
      </c>
      <c r="B44" s="33">
        <v>98.06</v>
      </c>
      <c r="C44" s="33">
        <v>104.3</v>
      </c>
      <c r="D44" s="15">
        <v>-2.1888008813687701E-2</v>
      </c>
      <c r="E44" s="15">
        <v>-2.1155273616379498E-2</v>
      </c>
      <c r="F44" s="33">
        <v>0</v>
      </c>
      <c r="G44" s="33">
        <v>0</v>
      </c>
      <c r="H44" s="33">
        <v>0</v>
      </c>
      <c r="I44" s="33">
        <v>0</v>
      </c>
      <c r="J44" s="33">
        <v>0</v>
      </c>
      <c r="K44" s="33">
        <v>0</v>
      </c>
      <c r="L44" s="33">
        <v>98.06</v>
      </c>
      <c r="M44" s="33">
        <v>104.3</v>
      </c>
      <c r="N44" s="34">
        <v>1.0636345094839801</v>
      </c>
      <c r="O44" s="34">
        <v>1.03934289630393</v>
      </c>
      <c r="P44" s="34">
        <v>1.06846350043534</v>
      </c>
      <c r="Q44" s="34">
        <v>1.07090066065162</v>
      </c>
      <c r="R44" s="33">
        <v>101.91796441156301</v>
      </c>
      <c r="S44" s="33">
        <v>104.82468622824101</v>
      </c>
      <c r="T44" s="33">
        <v>105.054903062568</v>
      </c>
      <c r="U44" s="15">
        <v>-2.31031427963359E-2</v>
      </c>
      <c r="V44" s="15">
        <v>5.0179377543411504E-3</v>
      </c>
      <c r="W44" s="15">
        <v>7.2117378035568497E-3</v>
      </c>
      <c r="X44" s="34">
        <v>1.0636345094839801</v>
      </c>
      <c r="Y44" s="34">
        <v>1.03934289630393</v>
      </c>
      <c r="Z44" s="34">
        <v>1.06846350043534</v>
      </c>
      <c r="AA44" s="34">
        <v>1.07090066065162</v>
      </c>
      <c r="AB44" s="33">
        <v>101.91796441156301</v>
      </c>
      <c r="AC44" s="33">
        <v>104.82468622824101</v>
      </c>
      <c r="AD44" s="33">
        <v>105.054903062568</v>
      </c>
      <c r="AE44" s="15">
        <v>-2.31031427963359E-2</v>
      </c>
      <c r="AF44" s="15">
        <v>5.0179377543411504E-3</v>
      </c>
      <c r="AG44" s="15">
        <v>7.2117378035568497E-3</v>
      </c>
      <c r="AI44" s="12"/>
      <c r="AJ44">
        <f t="shared" si="6"/>
        <v>0</v>
      </c>
      <c r="AK44">
        <f t="shared" si="7"/>
        <v>1</v>
      </c>
      <c r="AL44">
        <f t="shared" si="14"/>
        <v>0</v>
      </c>
      <c r="AM44">
        <f t="shared" si="4"/>
        <v>1</v>
      </c>
      <c r="AN44">
        <f t="shared" si="15"/>
        <v>0</v>
      </c>
      <c r="AO44" s="28">
        <f t="shared" si="8"/>
        <v>0</v>
      </c>
      <c r="AP44" s="28">
        <f t="shared" si="9"/>
        <v>0</v>
      </c>
      <c r="AQ44" s="28">
        <f t="shared" si="16"/>
        <v>0</v>
      </c>
      <c r="AR44" s="29">
        <f t="shared" si="17"/>
        <v>3.9266424441250294E-3</v>
      </c>
      <c r="AT44" s="12"/>
      <c r="AU44">
        <f t="shared" si="10"/>
        <v>1</v>
      </c>
      <c r="AV44">
        <f t="shared" si="11"/>
        <v>0</v>
      </c>
      <c r="AW44">
        <f t="shared" si="18"/>
        <v>1</v>
      </c>
      <c r="AX44">
        <f t="shared" si="5"/>
        <v>1</v>
      </c>
      <c r="AY44">
        <f t="shared" si="19"/>
        <v>1</v>
      </c>
      <c r="AZ44" s="28">
        <f t="shared" si="12"/>
        <v>2.1888008813687701E-2</v>
      </c>
      <c r="BA44" s="28">
        <f t="shared" si="13"/>
        <v>-2.1155273616379498E-2</v>
      </c>
      <c r="BB44" s="28">
        <f t="shared" si="20"/>
        <v>7.3273519730820275E-4</v>
      </c>
      <c r="BC44" s="29">
        <f t="shared" si="21"/>
        <v>2.7966053059120213E-2</v>
      </c>
      <c r="BE44" s="29">
        <f t="shared" si="22"/>
        <v>7.3273519730820275E-4</v>
      </c>
      <c r="BF44" s="29">
        <f t="shared" si="23"/>
        <v>3.1892695503245236E-2</v>
      </c>
      <c r="BH44" s="29"/>
    </row>
    <row r="45" spans="1:124" x14ac:dyDescent="0.25">
      <c r="A45" s="1">
        <v>46087</v>
      </c>
      <c r="B45" s="33">
        <v>95.09</v>
      </c>
      <c r="C45" s="33">
        <v>101.17</v>
      </c>
      <c r="D45" s="15">
        <v>-3.0755724671734298E-2</v>
      </c>
      <c r="E45" s="15">
        <v>-3.0469091788927601E-2</v>
      </c>
      <c r="F45" s="33">
        <v>0</v>
      </c>
      <c r="G45" s="33">
        <v>0</v>
      </c>
      <c r="H45" s="33">
        <v>0</v>
      </c>
      <c r="I45" s="33">
        <v>0</v>
      </c>
      <c r="J45" s="33">
        <v>0</v>
      </c>
      <c r="K45" s="33">
        <v>0</v>
      </c>
      <c r="L45" s="33">
        <v>95.09</v>
      </c>
      <c r="M45" s="33">
        <v>101.17</v>
      </c>
      <c r="N45" s="34">
        <v>1.06393942580713</v>
      </c>
      <c r="O45" s="34">
        <v>1.03934289630393</v>
      </c>
      <c r="P45" s="34">
        <v>1.06763961941082</v>
      </c>
      <c r="Q45" s="34">
        <v>1.0699129616432701</v>
      </c>
      <c r="R45" s="33">
        <v>98.831116009541205</v>
      </c>
      <c r="S45" s="33">
        <v>101.60019425639599</v>
      </c>
      <c r="T45" s="33">
        <v>101.831943821362</v>
      </c>
      <c r="U45" s="15">
        <v>-2.3389775679142501E-2</v>
      </c>
      <c r="V45" s="15">
        <v>4.2431768971609501E-3</v>
      </c>
      <c r="W45" s="15">
        <v>6.5215746705818596E-3</v>
      </c>
      <c r="X45" s="34">
        <v>1.06393942580713</v>
      </c>
      <c r="Y45" s="34">
        <v>1.03934289630393</v>
      </c>
      <c r="Z45" s="34">
        <v>1.06763961941082</v>
      </c>
      <c r="AA45" s="34">
        <v>1.0699129616432701</v>
      </c>
      <c r="AB45" s="33">
        <v>98.831116009541205</v>
      </c>
      <c r="AC45" s="33">
        <v>101.60019425639599</v>
      </c>
      <c r="AD45" s="33">
        <v>101.831943821362</v>
      </c>
      <c r="AE45" s="15">
        <v>-2.3389775679142501E-2</v>
      </c>
      <c r="AF45" s="15">
        <v>4.2431768971609501E-3</v>
      </c>
      <c r="AG45" s="15">
        <v>6.5215746705818596E-3</v>
      </c>
      <c r="AI45" s="12"/>
      <c r="AJ45">
        <f t="shared" si="6"/>
        <v>0</v>
      </c>
      <c r="AK45">
        <f t="shared" si="7"/>
        <v>1</v>
      </c>
      <c r="AL45">
        <f t="shared" si="14"/>
        <v>0</v>
      </c>
      <c r="AM45">
        <f t="shared" si="4"/>
        <v>1</v>
      </c>
      <c r="AN45">
        <f t="shared" si="15"/>
        <v>0</v>
      </c>
      <c r="AO45" s="28">
        <f t="shared" si="8"/>
        <v>0</v>
      </c>
      <c r="AP45" s="28">
        <f t="shared" si="9"/>
        <v>0</v>
      </c>
      <c r="AQ45" s="28">
        <f t="shared" si="16"/>
        <v>0</v>
      </c>
      <c r="AR45" s="29">
        <f t="shared" si="17"/>
        <v>3.9266424441250294E-3</v>
      </c>
      <c r="AT45" s="12"/>
      <c r="AU45">
        <f t="shared" si="10"/>
        <v>1</v>
      </c>
      <c r="AV45">
        <f t="shared" si="11"/>
        <v>0</v>
      </c>
      <c r="AW45">
        <f t="shared" si="18"/>
        <v>1</v>
      </c>
      <c r="AX45">
        <f t="shared" si="5"/>
        <v>1</v>
      </c>
      <c r="AY45">
        <f t="shared" si="19"/>
        <v>1</v>
      </c>
      <c r="AZ45" s="28">
        <f t="shared" si="12"/>
        <v>3.0755724671734298E-2</v>
      </c>
      <c r="BA45" s="28">
        <f t="shared" si="13"/>
        <v>-3.0469091788927601E-2</v>
      </c>
      <c r="BB45" s="28">
        <f t="shared" si="20"/>
        <v>2.8663288280669774E-4</v>
      </c>
      <c r="BC45" s="29">
        <f t="shared" si="21"/>
        <v>2.8252685941926911E-2</v>
      </c>
      <c r="BE45" s="29">
        <f t="shared" si="22"/>
        <v>2.8663288280669774E-4</v>
      </c>
      <c r="BF45" s="29">
        <f t="shared" si="23"/>
        <v>3.2179328386051934E-2</v>
      </c>
      <c r="BH45" s="29"/>
    </row>
    <row r="46" spans="1:124" x14ac:dyDescent="0.25">
      <c r="A46" s="1">
        <v>46090</v>
      </c>
      <c r="B46" s="33">
        <v>93.95</v>
      </c>
      <c r="C46" s="33">
        <v>99.94</v>
      </c>
      <c r="D46" s="15">
        <v>-1.20610856918785E-2</v>
      </c>
      <c r="E46" s="15">
        <v>-1.22322643017401E-2</v>
      </c>
      <c r="F46" s="33">
        <v>0</v>
      </c>
      <c r="G46" s="33">
        <v>0</v>
      </c>
      <c r="H46" s="33">
        <v>0</v>
      </c>
      <c r="I46" s="33">
        <v>0</v>
      </c>
      <c r="J46" s="33">
        <v>0</v>
      </c>
      <c r="K46" s="33">
        <v>0</v>
      </c>
      <c r="L46" s="33">
        <v>93.95</v>
      </c>
      <c r="M46" s="33">
        <v>99.94</v>
      </c>
      <c r="N46" s="34">
        <v>1.06375731772219</v>
      </c>
      <c r="O46" s="34">
        <v>1.03934289630393</v>
      </c>
      <c r="P46" s="34">
        <v>1.0661531029699101</v>
      </c>
      <c r="Q46" s="34">
        <v>1.06965562269203</v>
      </c>
      <c r="R46" s="33">
        <v>97.6462651077548</v>
      </c>
      <c r="S46" s="33">
        <v>100.304742243646</v>
      </c>
      <c r="T46" s="33">
        <v>100.518322746385</v>
      </c>
      <c r="U46" s="15">
        <v>-2.3218597069281002E-2</v>
      </c>
      <c r="V46" s="15">
        <v>3.6429685288237E-3</v>
      </c>
      <c r="W46" s="15">
        <v>5.7700208499869704E-3</v>
      </c>
      <c r="X46" s="34">
        <v>1.06375731772219</v>
      </c>
      <c r="Y46" s="34">
        <v>1.03934289630393</v>
      </c>
      <c r="Z46" s="34">
        <v>1.0661531029699101</v>
      </c>
      <c r="AA46" s="34">
        <v>1.06965562269203</v>
      </c>
      <c r="AB46" s="33">
        <v>97.6462651077548</v>
      </c>
      <c r="AC46" s="33">
        <v>100.304742243646</v>
      </c>
      <c r="AD46" s="33">
        <v>100.518322746385</v>
      </c>
      <c r="AE46" s="15">
        <v>-2.3218597069281002E-2</v>
      </c>
      <c r="AF46" s="15">
        <v>3.6429685288237E-3</v>
      </c>
      <c r="AG46" s="15">
        <v>5.7700208499869704E-3</v>
      </c>
      <c r="AI46" s="12"/>
      <c r="AJ46">
        <f t="shared" si="6"/>
        <v>0</v>
      </c>
      <c r="AK46">
        <f t="shared" si="7"/>
        <v>1</v>
      </c>
      <c r="AL46">
        <f t="shared" si="14"/>
        <v>0</v>
      </c>
      <c r="AM46">
        <f t="shared" si="4"/>
        <v>1</v>
      </c>
      <c r="AN46">
        <f t="shared" si="15"/>
        <v>0</v>
      </c>
      <c r="AO46" s="28">
        <f t="shared" si="8"/>
        <v>0</v>
      </c>
      <c r="AP46" s="28">
        <f t="shared" si="9"/>
        <v>0</v>
      </c>
      <c r="AQ46" s="28">
        <f t="shared" si="16"/>
        <v>0</v>
      </c>
      <c r="AR46" s="29">
        <f t="shared" si="17"/>
        <v>3.9266424441250294E-3</v>
      </c>
      <c r="AT46" s="12"/>
      <c r="AU46">
        <f t="shared" si="10"/>
        <v>1</v>
      </c>
      <c r="AV46">
        <f t="shared" si="11"/>
        <v>0</v>
      </c>
      <c r="AW46">
        <f t="shared" si="18"/>
        <v>1</v>
      </c>
      <c r="AX46">
        <f t="shared" si="5"/>
        <v>1</v>
      </c>
      <c r="AY46">
        <f t="shared" si="19"/>
        <v>1</v>
      </c>
      <c r="AZ46" s="28">
        <f t="shared" si="12"/>
        <v>1.20610856918785E-2</v>
      </c>
      <c r="BA46" s="28">
        <f t="shared" si="13"/>
        <v>-1.22322643017401E-2</v>
      </c>
      <c r="BB46" s="28">
        <f t="shared" si="20"/>
        <v>-1.7117860986159972E-4</v>
      </c>
      <c r="BC46" s="29">
        <f t="shared" si="21"/>
        <v>2.8081507332065311E-2</v>
      </c>
      <c r="BE46" s="29">
        <f t="shared" si="22"/>
        <v>-1.7117860986159972E-4</v>
      </c>
      <c r="BF46" s="29">
        <f t="shared" si="23"/>
        <v>3.2008149776190334E-2</v>
      </c>
      <c r="BH46" s="29"/>
    </row>
    <row r="47" spans="1:124" x14ac:dyDescent="0.25">
      <c r="A47" s="1">
        <v>46091</v>
      </c>
      <c r="B47" s="33">
        <v>92.71</v>
      </c>
      <c r="C47" s="33">
        <v>98.72</v>
      </c>
      <c r="D47" s="15">
        <v>-1.32863842405834E-2</v>
      </c>
      <c r="E47" s="15">
        <v>-1.22824457589812E-2</v>
      </c>
      <c r="F47" s="33">
        <v>0</v>
      </c>
      <c r="G47" s="33">
        <v>0</v>
      </c>
      <c r="H47" s="33">
        <v>0</v>
      </c>
      <c r="I47" s="33">
        <v>0</v>
      </c>
      <c r="J47" s="33">
        <v>0</v>
      </c>
      <c r="K47" s="33">
        <v>0</v>
      </c>
      <c r="L47" s="33">
        <v>92.71</v>
      </c>
      <c r="M47" s="33">
        <v>98.72</v>
      </c>
      <c r="N47" s="34">
        <v>1.06482580088447</v>
      </c>
      <c r="O47" s="34">
        <v>1.03934289630393</v>
      </c>
      <c r="P47" s="34">
        <v>1.06519614087634</v>
      </c>
      <c r="Q47" s="34">
        <v>1.0692878901798699</v>
      </c>
      <c r="R47" s="33">
        <v>96.357479916337894</v>
      </c>
      <c r="S47" s="33">
        <v>98.843054176340999</v>
      </c>
      <c r="T47" s="33">
        <v>99.167772779778701</v>
      </c>
      <c r="U47" s="15">
        <v>-2.4222535550882999E-2</v>
      </c>
      <c r="V47" s="15">
        <v>1.2457206917279001E-3</v>
      </c>
      <c r="W47" s="15">
        <v>4.5255301800936299E-3</v>
      </c>
      <c r="X47" s="34">
        <v>1.06482580088447</v>
      </c>
      <c r="Y47" s="34">
        <v>1.03934289630393</v>
      </c>
      <c r="Z47" s="34">
        <v>1.06519614087634</v>
      </c>
      <c r="AA47" s="34">
        <v>1.0692878901798699</v>
      </c>
      <c r="AB47" s="33">
        <v>96.357479916337894</v>
      </c>
      <c r="AC47" s="33">
        <v>98.843054176340999</v>
      </c>
      <c r="AD47" s="33">
        <v>99.167772779778701</v>
      </c>
      <c r="AE47" s="15">
        <v>-2.4222535550882999E-2</v>
      </c>
      <c r="AF47" s="15">
        <v>1.2457206917279001E-3</v>
      </c>
      <c r="AG47" s="15">
        <v>4.5255301800936299E-3</v>
      </c>
      <c r="AI47" s="12"/>
      <c r="AJ47">
        <f t="shared" si="6"/>
        <v>0</v>
      </c>
      <c r="AK47">
        <f t="shared" si="7"/>
        <v>1</v>
      </c>
      <c r="AL47">
        <f t="shared" si="14"/>
        <v>0</v>
      </c>
      <c r="AM47">
        <f t="shared" si="4"/>
        <v>1</v>
      </c>
      <c r="AN47">
        <f t="shared" si="15"/>
        <v>0</v>
      </c>
      <c r="AO47" s="28">
        <f t="shared" si="8"/>
        <v>0</v>
      </c>
      <c r="AP47" s="28">
        <f t="shared" si="9"/>
        <v>0</v>
      </c>
      <c r="AQ47" s="28">
        <f t="shared" si="16"/>
        <v>0</v>
      </c>
      <c r="AR47" s="29">
        <f t="shared" si="17"/>
        <v>3.9266424441250294E-3</v>
      </c>
      <c r="AT47" s="12"/>
      <c r="AU47">
        <f t="shared" si="10"/>
        <v>1</v>
      </c>
      <c r="AV47">
        <f t="shared" si="11"/>
        <v>0</v>
      </c>
      <c r="AW47">
        <f t="shared" si="18"/>
        <v>1</v>
      </c>
      <c r="AX47">
        <f t="shared" si="5"/>
        <v>1</v>
      </c>
      <c r="AY47">
        <f t="shared" si="19"/>
        <v>1</v>
      </c>
      <c r="AZ47" s="28">
        <f t="shared" si="12"/>
        <v>1.32863842405834E-2</v>
      </c>
      <c r="BA47" s="28">
        <f t="shared" si="13"/>
        <v>-1.22824457589812E-2</v>
      </c>
      <c r="BB47" s="28">
        <f t="shared" si="20"/>
        <v>1.0039384816022002E-3</v>
      </c>
      <c r="BC47" s="29">
        <f t="shared" si="21"/>
        <v>2.908544581366751E-2</v>
      </c>
      <c r="BE47" s="29">
        <f t="shared" si="22"/>
        <v>1.0039384816022002E-3</v>
      </c>
      <c r="BF47" s="29">
        <f t="shared" si="23"/>
        <v>3.3012088257792532E-2</v>
      </c>
      <c r="BH47" s="29"/>
    </row>
    <row r="48" spans="1:124" x14ac:dyDescent="0.25">
      <c r="A48" s="1">
        <v>46092</v>
      </c>
      <c r="B48" s="33">
        <v>90.93</v>
      </c>
      <c r="C48" s="33">
        <v>96.57</v>
      </c>
      <c r="D48" s="15">
        <v>-1.9386361881069399E-2</v>
      </c>
      <c r="E48" s="15">
        <v>-2.20194261782512E-2</v>
      </c>
      <c r="F48" s="33">
        <v>0</v>
      </c>
      <c r="G48" s="33">
        <v>0</v>
      </c>
      <c r="H48" s="33">
        <v>0</v>
      </c>
      <c r="I48" s="33">
        <v>0</v>
      </c>
      <c r="J48" s="33">
        <v>0</v>
      </c>
      <c r="K48" s="33">
        <v>0</v>
      </c>
      <c r="L48" s="33">
        <v>90.93</v>
      </c>
      <c r="M48" s="33">
        <v>96.57</v>
      </c>
      <c r="N48" s="34">
        <v>1.0620257340811601</v>
      </c>
      <c r="O48" s="34">
        <v>1.03934289630393</v>
      </c>
      <c r="P48" s="34">
        <v>1.0650502701814999</v>
      </c>
      <c r="Q48" s="34">
        <v>1.06860539310014</v>
      </c>
      <c r="R48" s="33">
        <v>94.507449560916896</v>
      </c>
      <c r="S48" s="33">
        <v>96.858285089886095</v>
      </c>
      <c r="T48" s="33">
        <v>97.230347854055594</v>
      </c>
      <c r="U48" s="15">
        <v>-2.1589471253701299E-2</v>
      </c>
      <c r="V48" s="15">
        <v>2.9807978001455001E-3</v>
      </c>
      <c r="W48" s="15">
        <v>6.8147494775576897E-3</v>
      </c>
      <c r="X48" s="34">
        <v>1.0620257340811601</v>
      </c>
      <c r="Y48" s="34">
        <v>1.03934289630393</v>
      </c>
      <c r="Z48" s="34">
        <v>1.0650502701814999</v>
      </c>
      <c r="AA48" s="34">
        <v>1.06860539310014</v>
      </c>
      <c r="AB48" s="33">
        <v>94.507449560916896</v>
      </c>
      <c r="AC48" s="33">
        <v>96.858285089886095</v>
      </c>
      <c r="AD48" s="33">
        <v>97.230347854055594</v>
      </c>
      <c r="AE48" s="15">
        <v>-2.1589471253701299E-2</v>
      </c>
      <c r="AF48" s="15">
        <v>2.9807978001455001E-3</v>
      </c>
      <c r="AG48" s="15">
        <v>6.8147494775576897E-3</v>
      </c>
      <c r="AI48" s="12"/>
      <c r="AJ48">
        <f t="shared" si="6"/>
        <v>0</v>
      </c>
      <c r="AK48">
        <f t="shared" si="7"/>
        <v>1</v>
      </c>
      <c r="AL48">
        <f t="shared" si="14"/>
        <v>0</v>
      </c>
      <c r="AM48">
        <f t="shared" si="4"/>
        <v>1</v>
      </c>
      <c r="AN48">
        <f t="shared" si="15"/>
        <v>0</v>
      </c>
      <c r="AO48" s="28">
        <f t="shared" si="8"/>
        <v>0</v>
      </c>
      <c r="AP48" s="28">
        <f t="shared" si="9"/>
        <v>0</v>
      </c>
      <c r="AQ48" s="28">
        <f t="shared" si="16"/>
        <v>0</v>
      </c>
      <c r="AR48" s="29">
        <f t="shared" si="17"/>
        <v>3.9266424441250294E-3</v>
      </c>
      <c r="AT48" s="12"/>
      <c r="AU48">
        <f t="shared" si="10"/>
        <v>1</v>
      </c>
      <c r="AV48">
        <f t="shared" si="11"/>
        <v>0</v>
      </c>
      <c r="AW48">
        <f t="shared" si="18"/>
        <v>1</v>
      </c>
      <c r="AX48">
        <f t="shared" si="5"/>
        <v>1</v>
      </c>
      <c r="AY48">
        <f t="shared" si="19"/>
        <v>1</v>
      </c>
      <c r="AZ48" s="28">
        <f t="shared" si="12"/>
        <v>1.9386361881069399E-2</v>
      </c>
      <c r="BA48" s="28">
        <f t="shared" si="13"/>
        <v>-2.20194261782512E-2</v>
      </c>
      <c r="BB48" s="28">
        <f t="shared" si="20"/>
        <v>-2.6330642971818009E-3</v>
      </c>
      <c r="BC48" s="29">
        <f t="shared" si="21"/>
        <v>2.6452381516485709E-2</v>
      </c>
      <c r="BE48" s="29">
        <f t="shared" si="22"/>
        <v>-2.6330642971818009E-3</v>
      </c>
      <c r="BF48" s="29">
        <f t="shared" si="23"/>
        <v>3.0379023960610731E-2</v>
      </c>
      <c r="BH48" s="29"/>
    </row>
    <row r="49" spans="1:60" x14ac:dyDescent="0.25">
      <c r="A49" s="1">
        <v>46093</v>
      </c>
      <c r="B49" s="33">
        <v>87.56</v>
      </c>
      <c r="C49" s="33">
        <v>92.54</v>
      </c>
      <c r="D49" s="15">
        <v>-3.7765707083159197E-2</v>
      </c>
      <c r="E49" s="15">
        <v>-4.2627150499972802E-2</v>
      </c>
      <c r="F49" s="33">
        <v>0</v>
      </c>
      <c r="G49" s="33">
        <v>0</v>
      </c>
      <c r="H49" s="33">
        <v>0</v>
      </c>
      <c r="I49" s="33">
        <v>0</v>
      </c>
      <c r="J49" s="33">
        <v>0</v>
      </c>
      <c r="K49" s="33">
        <v>0</v>
      </c>
      <c r="L49" s="33">
        <v>87.56</v>
      </c>
      <c r="M49" s="33">
        <v>92.54</v>
      </c>
      <c r="N49" s="34">
        <v>1.0568752855185</v>
      </c>
      <c r="O49" s="34">
        <v>1.03934289630393</v>
      </c>
      <c r="P49" s="34">
        <v>1.06438512567286</v>
      </c>
      <c r="Q49" s="34">
        <v>1.06749838595004</v>
      </c>
      <c r="R49" s="33">
        <v>91.004864000372606</v>
      </c>
      <c r="S49" s="33">
        <v>93.255801657092405</v>
      </c>
      <c r="T49" s="33">
        <v>93.5670882198486</v>
      </c>
      <c r="U49" s="15">
        <v>-1.6728027836887802E-2</v>
      </c>
      <c r="V49" s="15">
        <v>7.7052892715758596E-3</v>
      </c>
      <c r="W49" s="15">
        <v>1.10377165885155E-2</v>
      </c>
      <c r="X49" s="34">
        <v>1.0568752855185</v>
      </c>
      <c r="Y49" s="34">
        <v>1.03934289630393</v>
      </c>
      <c r="Z49" s="34">
        <v>1.06438512567286</v>
      </c>
      <c r="AA49" s="34">
        <v>1.06749838595004</v>
      </c>
      <c r="AB49" s="33">
        <v>91.004864000372606</v>
      </c>
      <c r="AC49" s="33">
        <v>93.255801657092405</v>
      </c>
      <c r="AD49" s="33">
        <v>93.5670882198486</v>
      </c>
      <c r="AE49" s="15">
        <v>-1.6728027836887802E-2</v>
      </c>
      <c r="AF49" s="15">
        <v>7.7052892715758596E-3</v>
      </c>
      <c r="AG49" s="15">
        <v>1.10377165885155E-2</v>
      </c>
      <c r="AI49" s="12"/>
      <c r="AJ49">
        <f t="shared" si="6"/>
        <v>0</v>
      </c>
      <c r="AK49">
        <f t="shared" si="7"/>
        <v>1</v>
      </c>
      <c r="AL49">
        <f t="shared" si="14"/>
        <v>0</v>
      </c>
      <c r="AM49">
        <f t="shared" si="4"/>
        <v>1</v>
      </c>
      <c r="AN49">
        <f t="shared" si="15"/>
        <v>0</v>
      </c>
      <c r="AO49" s="28">
        <f t="shared" si="8"/>
        <v>0</v>
      </c>
      <c r="AP49" s="28">
        <f t="shared" si="9"/>
        <v>0</v>
      </c>
      <c r="AQ49" s="28">
        <f t="shared" si="16"/>
        <v>0</v>
      </c>
      <c r="AR49" s="29">
        <f t="shared" si="17"/>
        <v>3.9266424441250294E-3</v>
      </c>
      <c r="AT49" s="12"/>
      <c r="AU49">
        <f t="shared" si="10"/>
        <v>1</v>
      </c>
      <c r="AV49">
        <f t="shared" si="11"/>
        <v>0</v>
      </c>
      <c r="AW49">
        <f t="shared" si="18"/>
        <v>1</v>
      </c>
      <c r="AX49">
        <f t="shared" si="5"/>
        <v>1</v>
      </c>
      <c r="AY49">
        <f t="shared" si="19"/>
        <v>1</v>
      </c>
      <c r="AZ49" s="28">
        <f t="shared" si="12"/>
        <v>3.7765707083159197E-2</v>
      </c>
      <c r="BA49" s="28">
        <f t="shared" si="13"/>
        <v>-4.2627150499972802E-2</v>
      </c>
      <c r="BB49" s="28">
        <f t="shared" si="20"/>
        <v>-4.8614434168136045E-3</v>
      </c>
      <c r="BC49" s="29">
        <f t="shared" si="21"/>
        <v>2.1590938099672104E-2</v>
      </c>
      <c r="BE49" s="29">
        <f t="shared" si="22"/>
        <v>-4.8614434168136045E-3</v>
      </c>
      <c r="BF49" s="29">
        <f t="shared" si="23"/>
        <v>2.5517580543797127E-2</v>
      </c>
      <c r="BH49" s="29"/>
    </row>
    <row r="50" spans="1:60" x14ac:dyDescent="0.25">
      <c r="A50" s="1">
        <v>46094</v>
      </c>
      <c r="B50" s="33">
        <v>89.74</v>
      </c>
      <c r="C50" s="33">
        <v>94.96</v>
      </c>
      <c r="D50" s="15">
        <v>2.4592327893175E-2</v>
      </c>
      <c r="E50" s="15">
        <v>2.5814766822558899E-2</v>
      </c>
      <c r="F50" s="33">
        <v>0</v>
      </c>
      <c r="G50" s="33">
        <v>0</v>
      </c>
      <c r="H50" s="33">
        <v>0</v>
      </c>
      <c r="I50" s="33">
        <v>0</v>
      </c>
      <c r="J50" s="33">
        <v>0</v>
      </c>
      <c r="K50" s="33">
        <v>0</v>
      </c>
      <c r="L50" s="33">
        <v>89.74</v>
      </c>
      <c r="M50" s="33">
        <v>94.96</v>
      </c>
      <c r="N50" s="34">
        <v>1.05816804100735</v>
      </c>
      <c r="O50" s="34">
        <v>1.03934289630393</v>
      </c>
      <c r="P50" s="34">
        <v>1.06305304942131</v>
      </c>
      <c r="Q50" s="34">
        <v>1.0663779917206699</v>
      </c>
      <c r="R50" s="33">
        <v>93.270631514315198</v>
      </c>
      <c r="S50" s="33">
        <v>95.517921177882997</v>
      </c>
      <c r="T50" s="33">
        <v>95.797305155157105</v>
      </c>
      <c r="U50" s="15">
        <v>-1.7950466766271801E-2</v>
      </c>
      <c r="V50" s="15">
        <v>5.8581358929396497E-3</v>
      </c>
      <c r="W50" s="15">
        <v>8.7788043753354306E-3</v>
      </c>
      <c r="X50" s="34">
        <v>1.05816804100735</v>
      </c>
      <c r="Y50" s="34">
        <v>1.03934289630393</v>
      </c>
      <c r="Z50" s="34">
        <v>1.06305304942131</v>
      </c>
      <c r="AA50" s="34">
        <v>1.0663779917206699</v>
      </c>
      <c r="AB50" s="33">
        <v>93.270631514315198</v>
      </c>
      <c r="AC50" s="33">
        <v>95.517921177882997</v>
      </c>
      <c r="AD50" s="33">
        <v>95.797305155157105</v>
      </c>
      <c r="AE50" s="15">
        <v>-1.7950466766271801E-2</v>
      </c>
      <c r="AF50" s="15">
        <v>5.8581358929396497E-3</v>
      </c>
      <c r="AG50" s="15">
        <v>8.7788043753354306E-3</v>
      </c>
      <c r="AI50" s="12"/>
      <c r="AJ50">
        <f t="shared" si="6"/>
        <v>0</v>
      </c>
      <c r="AK50">
        <f t="shared" si="7"/>
        <v>1</v>
      </c>
      <c r="AL50">
        <f t="shared" si="14"/>
        <v>0</v>
      </c>
      <c r="AM50">
        <f t="shared" si="4"/>
        <v>1</v>
      </c>
      <c r="AN50">
        <f t="shared" si="15"/>
        <v>0</v>
      </c>
      <c r="AO50" s="28">
        <f t="shared" si="8"/>
        <v>0</v>
      </c>
      <c r="AP50" s="28">
        <f t="shared" si="9"/>
        <v>0</v>
      </c>
      <c r="AQ50" s="28">
        <f t="shared" si="16"/>
        <v>0</v>
      </c>
      <c r="AR50" s="29">
        <f t="shared" si="17"/>
        <v>3.9266424441250294E-3</v>
      </c>
      <c r="AT50" s="12"/>
      <c r="AU50">
        <f t="shared" si="10"/>
        <v>1</v>
      </c>
      <c r="AV50">
        <f t="shared" si="11"/>
        <v>0</v>
      </c>
      <c r="AW50">
        <f t="shared" si="18"/>
        <v>1</v>
      </c>
      <c r="AX50">
        <f t="shared" si="5"/>
        <v>1</v>
      </c>
      <c r="AY50">
        <f t="shared" si="19"/>
        <v>1</v>
      </c>
      <c r="AZ50" s="28">
        <f t="shared" si="12"/>
        <v>-2.4592327893175E-2</v>
      </c>
      <c r="BA50" s="28">
        <f t="shared" si="13"/>
        <v>2.5814766822558899E-2</v>
      </c>
      <c r="BB50" s="28">
        <f t="shared" si="20"/>
        <v>1.222438929383899E-3</v>
      </c>
      <c r="BC50" s="29">
        <f t="shared" si="21"/>
        <v>2.2813377029056003E-2</v>
      </c>
      <c r="BE50" s="29">
        <f t="shared" si="22"/>
        <v>1.222438929383899E-3</v>
      </c>
      <c r="BF50" s="29">
        <f t="shared" si="23"/>
        <v>2.6740019473181026E-2</v>
      </c>
      <c r="BH50" s="29"/>
    </row>
    <row r="51" spans="1:60" x14ac:dyDescent="0.25">
      <c r="A51" s="1">
        <v>46097</v>
      </c>
      <c r="B51" s="33">
        <v>90.37</v>
      </c>
      <c r="C51" s="33">
        <v>95.95</v>
      </c>
      <c r="D51" s="15">
        <v>6.9957533660272098E-3</v>
      </c>
      <c r="E51" s="15">
        <v>1.03714721522965E-2</v>
      </c>
      <c r="F51" s="33">
        <v>0</v>
      </c>
      <c r="G51" s="33">
        <v>0</v>
      </c>
      <c r="H51" s="33">
        <v>0</v>
      </c>
      <c r="I51" s="33">
        <v>0</v>
      </c>
      <c r="J51" s="33">
        <v>0</v>
      </c>
      <c r="K51" s="33">
        <v>0</v>
      </c>
      <c r="L51" s="33">
        <v>90.37</v>
      </c>
      <c r="M51" s="33">
        <v>95.95</v>
      </c>
      <c r="N51" s="34">
        <v>1.0617461546973499</v>
      </c>
      <c r="O51" s="34">
        <v>1.03934289630393</v>
      </c>
      <c r="P51" s="34">
        <v>1.06275928487372</v>
      </c>
      <c r="Q51" s="34">
        <v>1.06595107626079</v>
      </c>
      <c r="R51" s="33">
        <v>93.925417538986693</v>
      </c>
      <c r="S51" s="33">
        <v>96.068104076203795</v>
      </c>
      <c r="T51" s="33">
        <v>96.3685791117977</v>
      </c>
      <c r="U51" s="15">
        <v>-2.1326185552540799E-2</v>
      </c>
      <c r="V51" s="15">
        <v>1.2301349569646099E-3</v>
      </c>
      <c r="W51" s="15">
        <v>4.3529832082084803E-3</v>
      </c>
      <c r="X51" s="34">
        <v>1.0617461546973499</v>
      </c>
      <c r="Y51" s="34">
        <v>1.03934289630393</v>
      </c>
      <c r="Z51" s="34">
        <v>1.06275928487372</v>
      </c>
      <c r="AA51" s="34">
        <v>1.06595107626079</v>
      </c>
      <c r="AB51" s="33">
        <v>93.925417538986693</v>
      </c>
      <c r="AC51" s="33">
        <v>96.068104076203795</v>
      </c>
      <c r="AD51" s="33">
        <v>96.3685791117977</v>
      </c>
      <c r="AE51" s="15">
        <v>-2.1326185552540799E-2</v>
      </c>
      <c r="AF51" s="15">
        <v>1.2301349569646099E-3</v>
      </c>
      <c r="AG51" s="15">
        <v>4.3529832082084803E-3</v>
      </c>
      <c r="AI51" s="12"/>
      <c r="AJ51">
        <f t="shared" si="6"/>
        <v>0</v>
      </c>
      <c r="AK51">
        <f t="shared" si="7"/>
        <v>1</v>
      </c>
      <c r="AL51">
        <f t="shared" si="14"/>
        <v>0</v>
      </c>
      <c r="AM51">
        <f t="shared" si="4"/>
        <v>1</v>
      </c>
      <c r="AN51">
        <f t="shared" si="15"/>
        <v>0</v>
      </c>
      <c r="AO51" s="28">
        <f t="shared" si="8"/>
        <v>0</v>
      </c>
      <c r="AP51" s="28">
        <f t="shared" si="9"/>
        <v>0</v>
      </c>
      <c r="AQ51" s="28">
        <f t="shared" si="16"/>
        <v>0</v>
      </c>
      <c r="AR51" s="29">
        <f t="shared" si="17"/>
        <v>3.9266424441250294E-3</v>
      </c>
      <c r="AT51" s="12"/>
      <c r="AU51">
        <f t="shared" si="10"/>
        <v>1</v>
      </c>
      <c r="AV51">
        <f t="shared" si="11"/>
        <v>0</v>
      </c>
      <c r="AW51">
        <f t="shared" si="18"/>
        <v>1</v>
      </c>
      <c r="AX51">
        <f t="shared" si="5"/>
        <v>1</v>
      </c>
      <c r="AY51">
        <f t="shared" si="19"/>
        <v>1</v>
      </c>
      <c r="AZ51" s="28">
        <f t="shared" si="12"/>
        <v>-6.9957533660272098E-3</v>
      </c>
      <c r="BA51" s="28">
        <f t="shared" si="13"/>
        <v>1.03714721522965E-2</v>
      </c>
      <c r="BB51" s="28">
        <f t="shared" si="20"/>
        <v>3.3757187862692899E-3</v>
      </c>
      <c r="BC51" s="29">
        <f t="shared" si="21"/>
        <v>2.6189095815325292E-2</v>
      </c>
      <c r="BE51" s="29">
        <f t="shared" si="22"/>
        <v>3.3757187862692899E-3</v>
      </c>
      <c r="BF51" s="29">
        <f t="shared" si="23"/>
        <v>3.0115738259450315E-2</v>
      </c>
      <c r="BH51" s="29"/>
    </row>
    <row r="52" spans="1:60" x14ac:dyDescent="0.25">
      <c r="A52" s="1">
        <v>46098</v>
      </c>
      <c r="B52" s="33">
        <v>90.48</v>
      </c>
      <c r="C52" s="33">
        <v>97.03</v>
      </c>
      <c r="D52" s="15">
        <v>1.2164778940006501E-3</v>
      </c>
      <c r="E52" s="15">
        <v>1.11929865834991E-2</v>
      </c>
      <c r="F52" s="33">
        <v>0</v>
      </c>
      <c r="G52" s="33">
        <v>0</v>
      </c>
      <c r="H52" s="33">
        <v>0</v>
      </c>
      <c r="I52" s="33">
        <v>0</v>
      </c>
      <c r="J52" s="33">
        <v>0</v>
      </c>
      <c r="K52" s="33">
        <v>0</v>
      </c>
      <c r="L52" s="33">
        <v>90.48</v>
      </c>
      <c r="M52" s="33">
        <v>97.03</v>
      </c>
      <c r="N52" s="34">
        <v>1.0723916887709899</v>
      </c>
      <c r="O52" s="34">
        <v>1.03934289630393</v>
      </c>
      <c r="P52" s="34">
        <v>1.0630219390478399</v>
      </c>
      <c r="Q52" s="34">
        <v>1.0663028301878901</v>
      </c>
      <c r="R52" s="33">
        <v>94.039745257580094</v>
      </c>
      <c r="S52" s="33">
        <v>96.158460095374195</v>
      </c>
      <c r="T52" s="33">
        <v>96.447253380077001</v>
      </c>
      <c r="U52" s="15">
        <v>-3.1302694242039499E-2</v>
      </c>
      <c r="V52" s="15">
        <v>-9.0227523617491603E-3</v>
      </c>
      <c r="W52" s="15">
        <v>-6.0239472285664496E-3</v>
      </c>
      <c r="X52" s="34">
        <v>1.0723916887709899</v>
      </c>
      <c r="Y52" s="34">
        <v>1.03934289630393</v>
      </c>
      <c r="Z52" s="34">
        <v>1.0630219390478399</v>
      </c>
      <c r="AA52" s="34">
        <v>1.0663028301878901</v>
      </c>
      <c r="AB52" s="33">
        <v>94.039745257580094</v>
      </c>
      <c r="AC52" s="33">
        <v>96.158460095374195</v>
      </c>
      <c r="AD52" s="33">
        <v>96.447253380077001</v>
      </c>
      <c r="AE52" s="15">
        <v>-3.1302694242039499E-2</v>
      </c>
      <c r="AF52" s="15">
        <v>-9.0227523617491603E-3</v>
      </c>
      <c r="AG52" s="15">
        <v>-6.0239472285664496E-3</v>
      </c>
      <c r="AI52" s="12"/>
      <c r="AJ52">
        <f t="shared" si="6"/>
        <v>1</v>
      </c>
      <c r="AK52">
        <f t="shared" si="7"/>
        <v>0</v>
      </c>
      <c r="AL52">
        <f t="shared" si="14"/>
        <v>0</v>
      </c>
      <c r="AM52">
        <f t="shared" si="4"/>
        <v>1</v>
      </c>
      <c r="AN52">
        <f t="shared" si="15"/>
        <v>0</v>
      </c>
      <c r="AO52" s="28">
        <f t="shared" si="8"/>
        <v>0</v>
      </c>
      <c r="AP52" s="28">
        <f t="shared" si="9"/>
        <v>0</v>
      </c>
      <c r="AQ52" s="28">
        <f t="shared" si="16"/>
        <v>0</v>
      </c>
      <c r="AR52" s="29">
        <f t="shared" si="17"/>
        <v>3.9266424441250294E-3</v>
      </c>
      <c r="AT52" s="12"/>
      <c r="AU52">
        <f t="shared" si="10"/>
        <v>0</v>
      </c>
      <c r="AV52">
        <f t="shared" si="11"/>
        <v>1</v>
      </c>
      <c r="AW52">
        <f t="shared" si="18"/>
        <v>1</v>
      </c>
      <c r="AX52">
        <f t="shared" si="5"/>
        <v>1</v>
      </c>
      <c r="AY52">
        <f t="shared" si="19"/>
        <v>1</v>
      </c>
      <c r="AZ52" s="28">
        <f t="shared" si="12"/>
        <v>-1.2164778940006501E-3</v>
      </c>
      <c r="BA52" s="28">
        <f t="shared" si="13"/>
        <v>1.11929865834991E-2</v>
      </c>
      <c r="BB52" s="28">
        <f t="shared" si="20"/>
        <v>9.9765086894984499E-3</v>
      </c>
      <c r="BC52" s="29">
        <f t="shared" si="21"/>
        <v>3.6165604504823742E-2</v>
      </c>
      <c r="BE52" s="29">
        <f t="shared" si="22"/>
        <v>9.9765086894984499E-3</v>
      </c>
      <c r="BF52" s="29">
        <f t="shared" si="23"/>
        <v>4.0092246948948765E-2</v>
      </c>
      <c r="BH52" s="29"/>
    </row>
    <row r="53" spans="1:60" x14ac:dyDescent="0.25">
      <c r="A53" s="1">
        <v>46099</v>
      </c>
      <c r="B53" s="33">
        <v>88.97</v>
      </c>
      <c r="C53" s="33">
        <v>94.75</v>
      </c>
      <c r="D53" s="15">
        <v>-1.68295975511891E-2</v>
      </c>
      <c r="E53" s="15">
        <v>-2.3778365074672399E-2</v>
      </c>
      <c r="F53" s="33">
        <v>0</v>
      </c>
      <c r="G53" s="33">
        <v>0</v>
      </c>
      <c r="H53" s="33">
        <v>0</v>
      </c>
      <c r="I53" s="33">
        <v>0</v>
      </c>
      <c r="J53" s="33">
        <v>0</v>
      </c>
      <c r="K53" s="33">
        <v>0</v>
      </c>
      <c r="L53" s="33">
        <v>88.97</v>
      </c>
      <c r="M53" s="33">
        <v>94.75</v>
      </c>
      <c r="N53" s="34">
        <v>1.0649657187816099</v>
      </c>
      <c r="O53" s="34">
        <v>1.03934289630393</v>
      </c>
      <c r="P53" s="34">
        <v>1.0632329676754699</v>
      </c>
      <c r="Q53" s="34">
        <v>1.0661090711732499</v>
      </c>
      <c r="R53" s="33">
        <v>92.470337484161206</v>
      </c>
      <c r="S53" s="33">
        <v>94.577061917086297</v>
      </c>
      <c r="T53" s="33">
        <v>94.868962801817403</v>
      </c>
      <c r="U53" s="15">
        <v>-2.4353926718556101E-2</v>
      </c>
      <c r="V53" s="15">
        <v>-1.8268717557899999E-3</v>
      </c>
      <c r="W53" s="15">
        <v>1.25475654615653E-3</v>
      </c>
      <c r="X53" s="34">
        <v>1.0649657187816099</v>
      </c>
      <c r="Y53" s="34">
        <v>1.03934289630393</v>
      </c>
      <c r="Z53" s="34">
        <v>1.0632329676754699</v>
      </c>
      <c r="AA53" s="34">
        <v>1.0661090711732499</v>
      </c>
      <c r="AB53" s="33">
        <v>92.470337484161206</v>
      </c>
      <c r="AC53" s="33">
        <v>94.577061917086297</v>
      </c>
      <c r="AD53" s="33">
        <v>94.868962801817403</v>
      </c>
      <c r="AE53" s="15">
        <v>-2.4353926718556101E-2</v>
      </c>
      <c r="AF53" s="15">
        <v>-1.8268717557899999E-3</v>
      </c>
      <c r="AG53" s="15">
        <v>1.25475654615653E-3</v>
      </c>
      <c r="AI53" s="12"/>
      <c r="AJ53">
        <f t="shared" si="6"/>
        <v>0</v>
      </c>
      <c r="AK53">
        <f t="shared" si="7"/>
        <v>1</v>
      </c>
      <c r="AL53">
        <f t="shared" si="14"/>
        <v>1</v>
      </c>
      <c r="AM53">
        <f t="shared" si="4"/>
        <v>1</v>
      </c>
      <c r="AN53">
        <f t="shared" si="15"/>
        <v>1</v>
      </c>
      <c r="AO53" s="28">
        <f t="shared" si="8"/>
        <v>-1.68295975511891E-2</v>
      </c>
      <c r="AP53" s="28">
        <f t="shared" si="9"/>
        <v>2.3778365074672399E-2</v>
      </c>
      <c r="AQ53" s="28">
        <f t="shared" si="16"/>
        <v>6.9487675234832999E-3</v>
      </c>
      <c r="AR53" s="29">
        <f t="shared" si="17"/>
        <v>1.0875409967608329E-2</v>
      </c>
      <c r="AT53" s="12"/>
      <c r="AU53">
        <f t="shared" si="10"/>
        <v>0</v>
      </c>
      <c r="AV53">
        <f t="shared" si="11"/>
        <v>1</v>
      </c>
      <c r="AW53">
        <f t="shared" si="18"/>
        <v>0</v>
      </c>
      <c r="AX53">
        <f t="shared" si="5"/>
        <v>1</v>
      </c>
      <c r="AY53">
        <f t="shared" si="19"/>
        <v>0</v>
      </c>
      <c r="AZ53" s="28">
        <f t="shared" si="12"/>
        <v>0</v>
      </c>
      <c r="BA53" s="28">
        <f t="shared" si="13"/>
        <v>0</v>
      </c>
      <c r="BB53" s="28">
        <f t="shared" si="20"/>
        <v>0</v>
      </c>
      <c r="BC53" s="29">
        <f t="shared" si="21"/>
        <v>3.6165604504823742E-2</v>
      </c>
      <c r="BE53" s="29">
        <f t="shared" si="22"/>
        <v>6.9487675234832999E-3</v>
      </c>
      <c r="BF53" s="29">
        <f t="shared" si="23"/>
        <v>4.7041014472432065E-2</v>
      </c>
      <c r="BH53" s="29"/>
    </row>
    <row r="54" spans="1:60" x14ac:dyDescent="0.25">
      <c r="A54" s="1">
        <v>46100</v>
      </c>
      <c r="B54" s="33">
        <v>88.32</v>
      </c>
      <c r="C54" s="33">
        <v>93.72</v>
      </c>
      <c r="D54" s="15">
        <v>-7.3326517278909098E-3</v>
      </c>
      <c r="E54" s="15">
        <v>-1.09302303229408E-2</v>
      </c>
      <c r="F54" s="33">
        <v>0</v>
      </c>
      <c r="G54" s="33">
        <v>0</v>
      </c>
      <c r="H54" s="33">
        <v>0</v>
      </c>
      <c r="I54" s="33">
        <v>0</v>
      </c>
      <c r="J54" s="33">
        <v>0</v>
      </c>
      <c r="K54" s="33">
        <v>0</v>
      </c>
      <c r="L54" s="33">
        <v>88.32</v>
      </c>
      <c r="M54" s="33">
        <v>93.72</v>
      </c>
      <c r="N54" s="34">
        <v>1.0611413043478199</v>
      </c>
      <c r="O54" s="34">
        <v>1.03934289630393</v>
      </c>
      <c r="P54" s="34">
        <v>1.0629836471618599</v>
      </c>
      <c r="Q54" s="34">
        <v>1.0657235737985999</v>
      </c>
      <c r="R54" s="33">
        <v>91.7947646015636</v>
      </c>
      <c r="S54" s="33">
        <v>93.904735705098105</v>
      </c>
      <c r="T54" s="33">
        <v>94.158753166021995</v>
      </c>
      <c r="U54" s="15">
        <v>-2.0756348123506099E-2</v>
      </c>
      <c r="V54" s="15">
        <v>1.9692047970193902E-3</v>
      </c>
      <c r="W54" s="15">
        <v>4.6706075724821799E-3</v>
      </c>
      <c r="X54" s="34">
        <v>1.0611413043478199</v>
      </c>
      <c r="Y54" s="34">
        <v>1.03934289630393</v>
      </c>
      <c r="Z54" s="34">
        <v>1.0629836471618599</v>
      </c>
      <c r="AA54" s="34">
        <v>1.0657235737985999</v>
      </c>
      <c r="AB54" s="33">
        <v>91.7947646015636</v>
      </c>
      <c r="AC54" s="33">
        <v>93.904735705098105</v>
      </c>
      <c r="AD54" s="33">
        <v>94.158753166021995</v>
      </c>
      <c r="AE54" s="15">
        <v>-2.0756348123506099E-2</v>
      </c>
      <c r="AF54" s="15">
        <v>1.9692047970193902E-3</v>
      </c>
      <c r="AG54" s="15">
        <v>4.6706075724821799E-3</v>
      </c>
      <c r="AI54" s="12"/>
      <c r="AJ54">
        <f t="shared" si="6"/>
        <v>0</v>
      </c>
      <c r="AK54">
        <f t="shared" si="7"/>
        <v>1</v>
      </c>
      <c r="AL54">
        <f t="shared" si="14"/>
        <v>0</v>
      </c>
      <c r="AM54">
        <f t="shared" si="4"/>
        <v>1</v>
      </c>
      <c r="AN54">
        <f t="shared" si="15"/>
        <v>0</v>
      </c>
      <c r="AO54" s="28">
        <f t="shared" si="8"/>
        <v>0</v>
      </c>
      <c r="AP54" s="28">
        <f t="shared" si="9"/>
        <v>0</v>
      </c>
      <c r="AQ54" s="28">
        <f t="shared" si="16"/>
        <v>0</v>
      </c>
      <c r="AR54" s="29">
        <f t="shared" si="17"/>
        <v>1.0875409967608329E-2</v>
      </c>
      <c r="AT54" s="12"/>
      <c r="AU54">
        <f t="shared" si="10"/>
        <v>1</v>
      </c>
      <c r="AV54">
        <f t="shared" si="11"/>
        <v>0</v>
      </c>
      <c r="AW54">
        <f t="shared" si="18"/>
        <v>0</v>
      </c>
      <c r="AX54">
        <f t="shared" si="5"/>
        <v>1</v>
      </c>
      <c r="AY54">
        <f t="shared" si="19"/>
        <v>0</v>
      </c>
      <c r="AZ54" s="28">
        <f t="shared" si="12"/>
        <v>0</v>
      </c>
      <c r="BA54" s="28">
        <f t="shared" si="13"/>
        <v>0</v>
      </c>
      <c r="BB54" s="28">
        <f t="shared" si="20"/>
        <v>0</v>
      </c>
      <c r="BC54" s="29">
        <f t="shared" si="21"/>
        <v>3.6165604504823742E-2</v>
      </c>
      <c r="BE54" s="29">
        <f t="shared" si="22"/>
        <v>0</v>
      </c>
      <c r="BF54" s="29">
        <f t="shared" si="23"/>
        <v>4.7041014472432065E-2</v>
      </c>
      <c r="BH54" s="29"/>
    </row>
    <row r="55" spans="1:60" x14ac:dyDescent="0.25">
      <c r="A55" s="1">
        <v>46101</v>
      </c>
      <c r="B55" s="33">
        <v>86.28</v>
      </c>
      <c r="C55" s="33">
        <v>90.55</v>
      </c>
      <c r="D55" s="15">
        <v>-2.3368761007829399E-2</v>
      </c>
      <c r="E55" s="15">
        <v>-3.44094293101724E-2</v>
      </c>
      <c r="F55" s="33">
        <v>0</v>
      </c>
      <c r="G55" s="33">
        <v>0</v>
      </c>
      <c r="H55" s="33">
        <v>0</v>
      </c>
      <c r="I55" s="33">
        <v>0</v>
      </c>
      <c r="J55" s="33">
        <v>0</v>
      </c>
      <c r="K55" s="33">
        <v>0</v>
      </c>
      <c r="L55" s="33">
        <v>86.28</v>
      </c>
      <c r="M55" s="33">
        <v>90.55</v>
      </c>
      <c r="N55" s="34">
        <v>1.0494900324524801</v>
      </c>
      <c r="O55" s="34">
        <v>1.03934289630393</v>
      </c>
      <c r="P55" s="34">
        <v>1.06153870782639</v>
      </c>
      <c r="Q55" s="34">
        <v>1.06458916361861</v>
      </c>
      <c r="R55" s="33">
        <v>89.674505093103605</v>
      </c>
      <c r="S55" s="33">
        <v>91.714229077125296</v>
      </c>
      <c r="T55" s="33">
        <v>91.950629947343202</v>
      </c>
      <c r="U55" s="15">
        <v>-9.7156798211631198E-3</v>
      </c>
      <c r="V55" s="15">
        <v>1.2775352765903299E-2</v>
      </c>
      <c r="W55" s="15">
        <v>1.5349617674527799E-2</v>
      </c>
      <c r="X55" s="34">
        <v>1.0494900324524801</v>
      </c>
      <c r="Y55" s="34">
        <v>1.03934289630393</v>
      </c>
      <c r="Z55" s="34">
        <v>1.06153870782639</v>
      </c>
      <c r="AA55" s="34">
        <v>1.06458916361861</v>
      </c>
      <c r="AB55" s="33">
        <v>89.674505093103605</v>
      </c>
      <c r="AC55" s="33">
        <v>91.714229077125296</v>
      </c>
      <c r="AD55" s="33">
        <v>91.950629947343202</v>
      </c>
      <c r="AE55" s="15">
        <v>-9.7156798211631198E-3</v>
      </c>
      <c r="AF55" s="15">
        <v>1.2775352765903299E-2</v>
      </c>
      <c r="AG55" s="15">
        <v>1.5349617674527799E-2</v>
      </c>
      <c r="AI55" s="12"/>
      <c r="AJ55">
        <f t="shared" si="6"/>
        <v>0</v>
      </c>
      <c r="AK55">
        <f t="shared" si="7"/>
        <v>1</v>
      </c>
      <c r="AL55">
        <f t="shared" si="14"/>
        <v>0</v>
      </c>
      <c r="AM55">
        <f t="shared" si="4"/>
        <v>1</v>
      </c>
      <c r="AN55">
        <f t="shared" si="15"/>
        <v>0</v>
      </c>
      <c r="AO55" s="28">
        <f t="shared" si="8"/>
        <v>0</v>
      </c>
      <c r="AP55" s="28">
        <f t="shared" si="9"/>
        <v>0</v>
      </c>
      <c r="AQ55" s="28">
        <f t="shared" si="16"/>
        <v>0</v>
      </c>
      <c r="AR55" s="29">
        <f t="shared" si="17"/>
        <v>1.0875409967608329E-2</v>
      </c>
      <c r="AT55" s="12"/>
      <c r="AU55">
        <f t="shared" si="10"/>
        <v>1</v>
      </c>
      <c r="AV55">
        <f t="shared" si="11"/>
        <v>0</v>
      </c>
      <c r="AW55">
        <f t="shared" si="18"/>
        <v>1</v>
      </c>
      <c r="AX55">
        <f t="shared" si="5"/>
        <v>1</v>
      </c>
      <c r="AY55">
        <f t="shared" si="19"/>
        <v>1</v>
      </c>
      <c r="AZ55" s="28">
        <f t="shared" si="12"/>
        <v>2.3368761007829399E-2</v>
      </c>
      <c r="BA55" s="28">
        <f t="shared" si="13"/>
        <v>-3.44094293101724E-2</v>
      </c>
      <c r="BB55" s="28">
        <f t="shared" si="20"/>
        <v>-1.1040668302343001E-2</v>
      </c>
      <c r="BC55" s="29">
        <f t="shared" si="21"/>
        <v>2.5124936202480741E-2</v>
      </c>
      <c r="BE55" s="29">
        <f t="shared" si="22"/>
        <v>-1.1040668302343001E-2</v>
      </c>
      <c r="BF55" s="29">
        <f t="shared" si="23"/>
        <v>3.6000346170089063E-2</v>
      </c>
      <c r="BH55" s="29"/>
    </row>
    <row r="56" spans="1:60" x14ac:dyDescent="0.25">
      <c r="A56" s="1">
        <v>46104</v>
      </c>
      <c r="B56" s="33">
        <v>88.87</v>
      </c>
      <c r="C56" s="33">
        <v>93.46</v>
      </c>
      <c r="D56" s="15">
        <v>2.95768062294283E-2</v>
      </c>
      <c r="E56" s="15">
        <v>3.1631352942857599E-2</v>
      </c>
      <c r="F56" s="33">
        <v>0</v>
      </c>
      <c r="G56" s="33">
        <v>0</v>
      </c>
      <c r="H56" s="33">
        <v>0</v>
      </c>
      <c r="I56" s="33">
        <v>0</v>
      </c>
      <c r="J56" s="33">
        <v>0</v>
      </c>
      <c r="K56" s="33">
        <v>0</v>
      </c>
      <c r="L56" s="33">
        <v>88.87</v>
      </c>
      <c r="M56" s="33">
        <v>93.46</v>
      </c>
      <c r="N56" s="34">
        <v>1.051648475301</v>
      </c>
      <c r="O56" s="34">
        <v>1.03934289630393</v>
      </c>
      <c r="P56" s="34">
        <v>1.0603278235842699</v>
      </c>
      <c r="Q56" s="34">
        <v>1.06324046327709</v>
      </c>
      <c r="R56" s="33">
        <v>92.366403194530804</v>
      </c>
      <c r="S56" s="33">
        <v>94.338944964531805</v>
      </c>
      <c r="T56" s="33">
        <v>94.610038970785794</v>
      </c>
      <c r="U56" s="15">
        <v>-1.17702265345925E-2</v>
      </c>
      <c r="V56" s="15">
        <v>9.3605571900723106E-3</v>
      </c>
      <c r="W56" s="15">
        <v>1.2230053353784799E-2</v>
      </c>
      <c r="X56" s="34">
        <v>1.051648475301</v>
      </c>
      <c r="Y56" s="34">
        <v>1.03934289630393</v>
      </c>
      <c r="Z56" s="34">
        <v>1.0603278235842699</v>
      </c>
      <c r="AA56" s="34">
        <v>1.06324046327709</v>
      </c>
      <c r="AB56" s="33">
        <v>92.366403194530804</v>
      </c>
      <c r="AC56" s="33">
        <v>94.338944964531805</v>
      </c>
      <c r="AD56" s="33">
        <v>94.610038970785794</v>
      </c>
      <c r="AE56" s="15">
        <v>-1.17702265345925E-2</v>
      </c>
      <c r="AF56" s="15">
        <v>9.3605571900723106E-3</v>
      </c>
      <c r="AG56" s="15">
        <v>1.2230053353784799E-2</v>
      </c>
      <c r="AI56" s="12"/>
      <c r="AJ56">
        <f t="shared" si="6"/>
        <v>0</v>
      </c>
      <c r="AK56">
        <f t="shared" si="7"/>
        <v>1</v>
      </c>
      <c r="AL56">
        <f t="shared" si="14"/>
        <v>0</v>
      </c>
      <c r="AM56">
        <f t="shared" si="4"/>
        <v>1</v>
      </c>
      <c r="AN56">
        <f t="shared" si="15"/>
        <v>0</v>
      </c>
      <c r="AO56" s="28">
        <f t="shared" si="8"/>
        <v>0</v>
      </c>
      <c r="AP56" s="28">
        <f t="shared" si="9"/>
        <v>0</v>
      </c>
      <c r="AQ56" s="28">
        <f t="shared" si="16"/>
        <v>0</v>
      </c>
      <c r="AR56" s="29">
        <f t="shared" si="17"/>
        <v>1.0875409967608329E-2</v>
      </c>
      <c r="AT56" s="12"/>
      <c r="AU56">
        <f t="shared" si="10"/>
        <v>1</v>
      </c>
      <c r="AV56">
        <f t="shared" si="11"/>
        <v>0</v>
      </c>
      <c r="AW56">
        <f t="shared" si="18"/>
        <v>1</v>
      </c>
      <c r="AX56">
        <f t="shared" si="5"/>
        <v>1</v>
      </c>
      <c r="AY56">
        <f t="shared" si="19"/>
        <v>1</v>
      </c>
      <c r="AZ56" s="28">
        <f t="shared" si="12"/>
        <v>-2.95768062294283E-2</v>
      </c>
      <c r="BA56" s="28">
        <f t="shared" si="13"/>
        <v>3.1631352942857599E-2</v>
      </c>
      <c r="BB56" s="28">
        <f t="shared" si="20"/>
        <v>2.0545467134292991E-3</v>
      </c>
      <c r="BC56" s="29">
        <f t="shared" si="21"/>
        <v>2.717948291591004E-2</v>
      </c>
      <c r="BE56" s="29">
        <f t="shared" si="22"/>
        <v>2.0545467134292991E-3</v>
      </c>
      <c r="BF56" s="29">
        <f t="shared" si="23"/>
        <v>3.8054892883518363E-2</v>
      </c>
      <c r="BH56" s="29"/>
    </row>
    <row r="57" spans="1:60" x14ac:dyDescent="0.25">
      <c r="A57" s="1">
        <v>46105</v>
      </c>
      <c r="B57" s="33">
        <v>88.32</v>
      </c>
      <c r="C57" s="33">
        <v>92.38</v>
      </c>
      <c r="D57" s="15">
        <v>-6.2080452215987599E-3</v>
      </c>
      <c r="E57" s="15">
        <v>-1.1623032269820701E-2</v>
      </c>
      <c r="F57" s="33">
        <v>0</v>
      </c>
      <c r="G57" s="33">
        <v>0</v>
      </c>
      <c r="H57" s="33">
        <v>0</v>
      </c>
      <c r="I57" s="33">
        <v>0</v>
      </c>
      <c r="J57" s="33">
        <v>0</v>
      </c>
      <c r="K57" s="33">
        <v>0</v>
      </c>
      <c r="L57" s="33">
        <v>88.32</v>
      </c>
      <c r="M57" s="33">
        <v>92.38</v>
      </c>
      <c r="N57" s="34">
        <v>1.0459692028985501</v>
      </c>
      <c r="O57" s="34">
        <v>1.03934289630393</v>
      </c>
      <c r="P57" s="34">
        <v>1.05844216378568</v>
      </c>
      <c r="Q57" s="34">
        <v>1.0618191523310101</v>
      </c>
      <c r="R57" s="33">
        <v>91.7947646015636</v>
      </c>
      <c r="S57" s="33">
        <v>93.6481533789633</v>
      </c>
      <c r="T57" s="33">
        <v>93.905397716633203</v>
      </c>
      <c r="U57" s="15">
        <v>-6.3552394863705701E-3</v>
      </c>
      <c r="V57" s="15">
        <v>1.36342053692929E-2</v>
      </c>
      <c r="W57" s="15">
        <v>1.6377363229850499E-2</v>
      </c>
      <c r="X57" s="34">
        <v>1.0459692028985501</v>
      </c>
      <c r="Y57" s="34">
        <v>1.03934289630393</v>
      </c>
      <c r="Z57" s="34">
        <v>1.05844216378568</v>
      </c>
      <c r="AA57" s="34">
        <v>1.0618191523310101</v>
      </c>
      <c r="AB57" s="33">
        <v>91.7947646015636</v>
      </c>
      <c r="AC57" s="33">
        <v>93.6481533789633</v>
      </c>
      <c r="AD57" s="33">
        <v>93.905397716633203</v>
      </c>
      <c r="AE57" s="15">
        <v>-6.3552394863705701E-3</v>
      </c>
      <c r="AF57" s="15">
        <v>1.36342053692929E-2</v>
      </c>
      <c r="AG57" s="15">
        <v>1.6377363229850499E-2</v>
      </c>
      <c r="AI57" s="12"/>
      <c r="AJ57">
        <f t="shared" si="6"/>
        <v>0</v>
      </c>
      <c r="AK57">
        <f t="shared" si="7"/>
        <v>1</v>
      </c>
      <c r="AL57">
        <f t="shared" si="14"/>
        <v>0</v>
      </c>
      <c r="AM57">
        <f t="shared" si="4"/>
        <v>1</v>
      </c>
      <c r="AN57">
        <f t="shared" si="15"/>
        <v>0</v>
      </c>
      <c r="AO57" s="28">
        <f t="shared" si="8"/>
        <v>0</v>
      </c>
      <c r="AP57" s="28">
        <f t="shared" si="9"/>
        <v>0</v>
      </c>
      <c r="AQ57" s="28">
        <f t="shared" si="16"/>
        <v>0</v>
      </c>
      <c r="AR57" s="29">
        <f t="shared" si="17"/>
        <v>1.0875409967608329E-2</v>
      </c>
      <c r="AT57" s="12"/>
      <c r="AU57">
        <f t="shared" si="10"/>
        <v>1</v>
      </c>
      <c r="AV57">
        <f t="shared" si="11"/>
        <v>0</v>
      </c>
      <c r="AW57">
        <f t="shared" si="18"/>
        <v>1</v>
      </c>
      <c r="AX57">
        <f t="shared" si="5"/>
        <v>1</v>
      </c>
      <c r="AY57">
        <f t="shared" si="19"/>
        <v>1</v>
      </c>
      <c r="AZ57" s="28">
        <f t="shared" si="12"/>
        <v>6.2080452215987599E-3</v>
      </c>
      <c r="BA57" s="28">
        <f t="shared" si="13"/>
        <v>-1.1623032269820701E-2</v>
      </c>
      <c r="BB57" s="28">
        <f t="shared" si="20"/>
        <v>-5.4149870482219408E-3</v>
      </c>
      <c r="BC57" s="29">
        <f t="shared" si="21"/>
        <v>2.17644958676881E-2</v>
      </c>
      <c r="BE57" s="29">
        <f t="shared" si="22"/>
        <v>-5.4149870482219408E-3</v>
      </c>
      <c r="BF57" s="29">
        <f t="shared" si="23"/>
        <v>3.2639905835296419E-2</v>
      </c>
      <c r="BH57" s="29"/>
    </row>
    <row r="58" spans="1:60" x14ac:dyDescent="0.25">
      <c r="A58" s="1">
        <v>46106</v>
      </c>
      <c r="B58" s="33">
        <v>88.33</v>
      </c>
      <c r="C58" s="33">
        <v>92.19</v>
      </c>
      <c r="D58" s="15">
        <v>1.13218228255662E-4</v>
      </c>
      <c r="E58" s="15">
        <v>-2.0588401919563E-3</v>
      </c>
      <c r="F58" s="33">
        <v>0</v>
      </c>
      <c r="G58" s="33">
        <v>0</v>
      </c>
      <c r="H58" s="33">
        <v>0</v>
      </c>
      <c r="I58" s="33">
        <v>0</v>
      </c>
      <c r="J58" s="33">
        <v>0</v>
      </c>
      <c r="K58" s="33">
        <v>0</v>
      </c>
      <c r="L58" s="33">
        <v>88.33</v>
      </c>
      <c r="M58" s="33">
        <v>92.19</v>
      </c>
      <c r="N58" s="34">
        <v>1.04369976225517</v>
      </c>
      <c r="O58" s="34">
        <v>1.03934289630393</v>
      </c>
      <c r="P58" s="34">
        <v>1.0566095666030799</v>
      </c>
      <c r="Q58" s="34">
        <v>1.06082991839229</v>
      </c>
      <c r="R58" s="33">
        <v>91.805158030526599</v>
      </c>
      <c r="S58" s="33">
        <v>93.492196327189404</v>
      </c>
      <c r="T58" s="33">
        <v>93.790485725398497</v>
      </c>
      <c r="U58" s="15">
        <v>-4.1831810661585398E-3</v>
      </c>
      <c r="V58" s="15">
        <v>1.40263062597246E-2</v>
      </c>
      <c r="W58" s="15">
        <v>1.7211754558204201E-2</v>
      </c>
      <c r="X58" s="34">
        <v>1.04369976225517</v>
      </c>
      <c r="Y58" s="34">
        <v>1.03934289630393</v>
      </c>
      <c r="Z58" s="34">
        <v>1.0566095666030799</v>
      </c>
      <c r="AA58" s="34">
        <v>1.06082991839229</v>
      </c>
      <c r="AB58" s="33">
        <v>91.805158030526599</v>
      </c>
      <c r="AC58" s="33">
        <v>93.492196327189404</v>
      </c>
      <c r="AD58" s="33">
        <v>93.790485725398497</v>
      </c>
      <c r="AE58" s="15">
        <v>-4.1831810661585398E-3</v>
      </c>
      <c r="AF58" s="15">
        <v>1.40263062597246E-2</v>
      </c>
      <c r="AG58" s="15">
        <v>1.7211754558204201E-2</v>
      </c>
      <c r="AI58" s="12"/>
      <c r="AJ58">
        <f t="shared" si="6"/>
        <v>0</v>
      </c>
      <c r="AK58">
        <f t="shared" si="7"/>
        <v>1</v>
      </c>
      <c r="AL58">
        <f t="shared" si="14"/>
        <v>0</v>
      </c>
      <c r="AM58">
        <f t="shared" si="4"/>
        <v>1</v>
      </c>
      <c r="AN58">
        <f t="shared" si="15"/>
        <v>0</v>
      </c>
      <c r="AO58" s="28">
        <f t="shared" si="8"/>
        <v>0</v>
      </c>
      <c r="AP58" s="28">
        <f t="shared" si="9"/>
        <v>0</v>
      </c>
      <c r="AQ58" s="28">
        <f t="shared" si="16"/>
        <v>0</v>
      </c>
      <c r="AR58" s="29">
        <f t="shared" si="17"/>
        <v>1.0875409967608329E-2</v>
      </c>
      <c r="AT58" s="12"/>
      <c r="AU58">
        <f t="shared" si="10"/>
        <v>1</v>
      </c>
      <c r="AV58">
        <f t="shared" si="11"/>
        <v>0</v>
      </c>
      <c r="AW58">
        <f t="shared" si="18"/>
        <v>1</v>
      </c>
      <c r="AX58">
        <f t="shared" si="5"/>
        <v>1</v>
      </c>
      <c r="AY58">
        <f t="shared" si="19"/>
        <v>1</v>
      </c>
      <c r="AZ58" s="28">
        <f t="shared" si="12"/>
        <v>-1.13218228255662E-4</v>
      </c>
      <c r="BA58" s="28">
        <f t="shared" si="13"/>
        <v>-2.0588401919563E-3</v>
      </c>
      <c r="BB58" s="28">
        <f t="shared" si="20"/>
        <v>-2.1720584202119622E-3</v>
      </c>
      <c r="BC58" s="29">
        <f t="shared" si="21"/>
        <v>1.9592437447476137E-2</v>
      </c>
      <c r="BE58" s="29">
        <f t="shared" si="22"/>
        <v>-2.1720584202119622E-3</v>
      </c>
      <c r="BF58" s="29">
        <f t="shared" si="23"/>
        <v>3.0467847415084456E-2</v>
      </c>
      <c r="BH58" s="29"/>
    </row>
    <row r="59" spans="1:60" x14ac:dyDescent="0.25">
      <c r="A59" s="1">
        <v>46107</v>
      </c>
      <c r="B59" s="33">
        <v>87.11</v>
      </c>
      <c r="C59" s="33">
        <v>91.11</v>
      </c>
      <c r="D59" s="15">
        <v>-1.3908112926240199E-2</v>
      </c>
      <c r="E59" s="15">
        <v>-1.17840970847358E-2</v>
      </c>
      <c r="F59" s="33">
        <v>0</v>
      </c>
      <c r="G59" s="33">
        <v>0</v>
      </c>
      <c r="H59" s="33">
        <v>0</v>
      </c>
      <c r="I59" s="33">
        <v>0</v>
      </c>
      <c r="J59" s="33">
        <v>0</v>
      </c>
      <c r="K59" s="33">
        <v>0</v>
      </c>
      <c r="L59" s="33">
        <v>87.11</v>
      </c>
      <c r="M59" s="33">
        <v>91.11</v>
      </c>
      <c r="N59" s="34">
        <v>1.0459189530478701</v>
      </c>
      <c r="O59" s="34">
        <v>1.03934289630393</v>
      </c>
      <c r="P59" s="34">
        <v>1.05551393335602</v>
      </c>
      <c r="Q59" s="34">
        <v>1.0599495295144401</v>
      </c>
      <c r="R59" s="33">
        <v>90.537159697035804</v>
      </c>
      <c r="S59" s="33">
        <v>92.041259346794803</v>
      </c>
      <c r="T59" s="33">
        <v>92.408894191152797</v>
      </c>
      <c r="U59" s="15">
        <v>-6.3071969076629901E-3</v>
      </c>
      <c r="V59" s="15">
        <v>1.01693799509519E-2</v>
      </c>
      <c r="W59" s="15">
        <v>1.41556637694264E-2</v>
      </c>
      <c r="X59" s="34">
        <v>1.0459189530478701</v>
      </c>
      <c r="Y59" s="34">
        <v>1.03934289630393</v>
      </c>
      <c r="Z59" s="34">
        <v>1.05551393335602</v>
      </c>
      <c r="AA59" s="34">
        <v>1.0599495295144401</v>
      </c>
      <c r="AB59" s="33">
        <v>90.537159697035804</v>
      </c>
      <c r="AC59" s="33">
        <v>92.041259346794803</v>
      </c>
      <c r="AD59" s="33">
        <v>92.408894191152797</v>
      </c>
      <c r="AE59" s="15">
        <v>-6.3071969076629901E-3</v>
      </c>
      <c r="AF59" s="15">
        <v>1.01693799509519E-2</v>
      </c>
      <c r="AG59" s="15">
        <v>1.41556637694264E-2</v>
      </c>
      <c r="AI59" s="12"/>
      <c r="AJ59">
        <f t="shared" si="6"/>
        <v>0</v>
      </c>
      <c r="AK59">
        <f t="shared" si="7"/>
        <v>1</v>
      </c>
      <c r="AL59">
        <f t="shared" si="14"/>
        <v>0</v>
      </c>
      <c r="AM59">
        <f t="shared" si="4"/>
        <v>1</v>
      </c>
      <c r="AN59">
        <f t="shared" si="15"/>
        <v>0</v>
      </c>
      <c r="AO59" s="28">
        <f t="shared" si="8"/>
        <v>0</v>
      </c>
      <c r="AP59" s="28">
        <f t="shared" si="9"/>
        <v>0</v>
      </c>
      <c r="AQ59" s="28">
        <f t="shared" si="16"/>
        <v>0</v>
      </c>
      <c r="AR59" s="29">
        <f t="shared" si="17"/>
        <v>1.0875409967608329E-2</v>
      </c>
      <c r="AT59" s="12"/>
      <c r="AU59">
        <f t="shared" si="10"/>
        <v>1</v>
      </c>
      <c r="AV59">
        <f t="shared" si="11"/>
        <v>0</v>
      </c>
      <c r="AW59">
        <f t="shared" si="18"/>
        <v>1</v>
      </c>
      <c r="AX59">
        <f t="shared" si="5"/>
        <v>1</v>
      </c>
      <c r="AY59">
        <f t="shared" si="19"/>
        <v>1</v>
      </c>
      <c r="AZ59" s="28">
        <f t="shared" si="12"/>
        <v>1.3908112926240199E-2</v>
      </c>
      <c r="BA59" s="28">
        <f t="shared" si="13"/>
        <v>-1.17840970847358E-2</v>
      </c>
      <c r="BB59" s="28">
        <f t="shared" si="20"/>
        <v>2.1240158415043991E-3</v>
      </c>
      <c r="BC59" s="29">
        <f t="shared" si="21"/>
        <v>2.1716453288980538E-2</v>
      </c>
      <c r="BE59" s="29">
        <f t="shared" si="22"/>
        <v>2.1240158415043991E-3</v>
      </c>
      <c r="BF59" s="29">
        <f t="shared" si="23"/>
        <v>3.2591863256588853E-2</v>
      </c>
      <c r="BH59" s="29"/>
    </row>
    <row r="60" spans="1:60" x14ac:dyDescent="0.25">
      <c r="A60" s="1">
        <v>46108</v>
      </c>
      <c r="B60" s="33">
        <v>86.2</v>
      </c>
      <c r="C60" s="33">
        <v>90.25</v>
      </c>
      <c r="D60" s="15">
        <v>-1.0501510161153201E-2</v>
      </c>
      <c r="E60" s="15">
        <v>-9.4839705127768206E-3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86.2</v>
      </c>
      <c r="M60" s="33">
        <v>90.25</v>
      </c>
      <c r="N60" s="34">
        <v>1.04698375870069</v>
      </c>
      <c r="O60" s="34">
        <v>1.03934289630393</v>
      </c>
      <c r="P60" s="34">
        <v>1.05439550512535</v>
      </c>
      <c r="Q60" s="34">
        <v>1.0587242772733301</v>
      </c>
      <c r="R60" s="33">
        <v>89.5913576613993</v>
      </c>
      <c r="S60" s="33">
        <v>90.985301055289099</v>
      </c>
      <c r="T60" s="33">
        <v>91.367649444145101</v>
      </c>
      <c r="U60" s="15">
        <v>-7.3247365560393102E-3</v>
      </c>
      <c r="V60" s="15">
        <v>8.1143693920366303E-3</v>
      </c>
      <c r="W60" s="15">
        <v>1.2307873781448E-2</v>
      </c>
      <c r="X60" s="34">
        <v>1.04698375870069</v>
      </c>
      <c r="Y60" s="34">
        <v>1.03934289630393</v>
      </c>
      <c r="Z60" s="34">
        <v>1.05439550512535</v>
      </c>
      <c r="AA60" s="34">
        <v>1.0587242772733301</v>
      </c>
      <c r="AB60" s="33">
        <v>89.5913576613993</v>
      </c>
      <c r="AC60" s="33">
        <v>90.985301055289099</v>
      </c>
      <c r="AD60" s="33">
        <v>91.367649444145101</v>
      </c>
      <c r="AE60" s="15">
        <v>-7.3247365560393102E-3</v>
      </c>
      <c r="AF60" s="15">
        <v>8.1143693920366303E-3</v>
      </c>
      <c r="AG60" s="15">
        <v>1.2307873781448E-2</v>
      </c>
      <c r="AI60" s="12"/>
      <c r="AJ60">
        <f t="shared" si="6"/>
        <v>0</v>
      </c>
      <c r="AK60">
        <f t="shared" si="7"/>
        <v>1</v>
      </c>
      <c r="AL60">
        <f t="shared" si="14"/>
        <v>0</v>
      </c>
      <c r="AM60">
        <f t="shared" si="4"/>
        <v>1</v>
      </c>
      <c r="AN60">
        <f t="shared" si="15"/>
        <v>0</v>
      </c>
      <c r="AO60" s="28">
        <f t="shared" si="8"/>
        <v>0</v>
      </c>
      <c r="AP60" s="28">
        <f t="shared" si="9"/>
        <v>0</v>
      </c>
      <c r="AQ60" s="28">
        <f t="shared" si="16"/>
        <v>0</v>
      </c>
      <c r="AR60" s="29">
        <f t="shared" si="17"/>
        <v>1.0875409967608329E-2</v>
      </c>
      <c r="AT60" s="12"/>
      <c r="AU60">
        <f t="shared" si="10"/>
        <v>1</v>
      </c>
      <c r="AV60">
        <f t="shared" si="11"/>
        <v>0</v>
      </c>
      <c r="AW60">
        <f t="shared" si="18"/>
        <v>1</v>
      </c>
      <c r="AX60">
        <f t="shared" si="5"/>
        <v>1</v>
      </c>
      <c r="AY60">
        <f t="shared" si="19"/>
        <v>1</v>
      </c>
      <c r="AZ60" s="28">
        <f t="shared" si="12"/>
        <v>1.0501510161153201E-2</v>
      </c>
      <c r="BA60" s="28">
        <f t="shared" si="13"/>
        <v>-9.4839705127768206E-3</v>
      </c>
      <c r="BB60" s="28">
        <f t="shared" si="20"/>
        <v>1.01753964837638E-3</v>
      </c>
      <c r="BC60" s="29">
        <f t="shared" si="21"/>
        <v>2.2733992937356916E-2</v>
      </c>
      <c r="BE60" s="29">
        <f t="shared" si="22"/>
        <v>1.01753964837638E-3</v>
      </c>
      <c r="BF60" s="29">
        <f t="shared" si="23"/>
        <v>3.3609402904965231E-2</v>
      </c>
      <c r="BH60" s="29"/>
    </row>
    <row r="61" spans="1:60" x14ac:dyDescent="0.25">
      <c r="A61" s="1">
        <v>46111</v>
      </c>
      <c r="B61" s="33">
        <v>81.84</v>
      </c>
      <c r="C61" s="33">
        <v>84.88</v>
      </c>
      <c r="D61" s="15">
        <v>-5.1904056026276298E-2</v>
      </c>
      <c r="E61" s="15">
        <v>-6.1345102907262701E-2</v>
      </c>
      <c r="F61" s="33">
        <v>0</v>
      </c>
      <c r="G61" s="33">
        <v>0</v>
      </c>
      <c r="H61" s="33">
        <v>0</v>
      </c>
      <c r="I61" s="33">
        <v>0</v>
      </c>
      <c r="J61" s="33">
        <v>0</v>
      </c>
      <c r="K61" s="33">
        <v>0</v>
      </c>
      <c r="L61" s="33">
        <v>81.84</v>
      </c>
      <c r="M61" s="33">
        <v>84.88</v>
      </c>
      <c r="N61" s="34">
        <v>1.03714565004887</v>
      </c>
      <c r="O61" s="34">
        <v>1.03934289630393</v>
      </c>
      <c r="P61" s="34">
        <v>1.0519354546605</v>
      </c>
      <c r="Q61" s="34">
        <v>1.0573473697671101</v>
      </c>
      <c r="R61" s="33">
        <v>85.059822633514102</v>
      </c>
      <c r="S61" s="33">
        <v>86.291728139459195</v>
      </c>
      <c r="T61" s="33">
        <v>86.645994852049597</v>
      </c>
      <c r="U61" s="15">
        <v>2.1163103249470898E-3</v>
      </c>
      <c r="V61" s="15">
        <v>1.6495249125539901E-2</v>
      </c>
      <c r="W61" s="15">
        <v>2.0592298653158501E-2</v>
      </c>
      <c r="X61" s="34">
        <v>1.03714565004887</v>
      </c>
      <c r="Y61" s="34">
        <v>1.03934289630393</v>
      </c>
      <c r="Z61" s="34">
        <v>1.0519354546605</v>
      </c>
      <c r="AA61" s="34">
        <v>1.0573473697671101</v>
      </c>
      <c r="AB61" s="33">
        <v>85.059822633514102</v>
      </c>
      <c r="AC61" s="33">
        <v>86.291728139459195</v>
      </c>
      <c r="AD61" s="33">
        <v>86.645994852049597</v>
      </c>
      <c r="AE61" s="15">
        <v>2.1163103249470898E-3</v>
      </c>
      <c r="AF61" s="15">
        <v>1.6495249125539901E-2</v>
      </c>
      <c r="AG61" s="15">
        <v>2.0592298653158501E-2</v>
      </c>
      <c r="AI61" s="12"/>
      <c r="AJ61">
        <f t="shared" si="6"/>
        <v>0</v>
      </c>
      <c r="AK61">
        <f t="shared" si="7"/>
        <v>1</v>
      </c>
      <c r="AL61">
        <f t="shared" si="14"/>
        <v>0</v>
      </c>
      <c r="AM61">
        <f t="shared" si="4"/>
        <v>1</v>
      </c>
      <c r="AN61">
        <f t="shared" si="15"/>
        <v>0</v>
      </c>
      <c r="AO61" s="28">
        <f t="shared" si="8"/>
        <v>0</v>
      </c>
      <c r="AP61" s="28">
        <f t="shared" si="9"/>
        <v>0</v>
      </c>
      <c r="AQ61" s="28">
        <f t="shared" si="16"/>
        <v>0</v>
      </c>
      <c r="AR61" s="29">
        <f t="shared" si="17"/>
        <v>1.0875409967608329E-2</v>
      </c>
      <c r="AT61" s="12"/>
      <c r="AU61">
        <f t="shared" si="10"/>
        <v>1</v>
      </c>
      <c r="AV61">
        <f t="shared" si="11"/>
        <v>0</v>
      </c>
      <c r="AW61">
        <f t="shared" si="18"/>
        <v>1</v>
      </c>
      <c r="AX61">
        <f t="shared" si="5"/>
        <v>1</v>
      </c>
      <c r="AY61">
        <f t="shared" si="19"/>
        <v>1</v>
      </c>
      <c r="AZ61" s="28">
        <f t="shared" si="12"/>
        <v>5.1904056026276298E-2</v>
      </c>
      <c r="BA61" s="28">
        <f t="shared" si="13"/>
        <v>-6.1345102907262701E-2</v>
      </c>
      <c r="BB61" s="28">
        <f t="shared" si="20"/>
        <v>-9.4410468809864034E-3</v>
      </c>
      <c r="BC61" s="29">
        <f t="shared" si="21"/>
        <v>1.3292946056370512E-2</v>
      </c>
      <c r="BE61" s="29">
        <f t="shared" si="22"/>
        <v>-9.4410468809864034E-3</v>
      </c>
      <c r="BF61" s="29">
        <f t="shared" si="23"/>
        <v>2.4168356023978828E-2</v>
      </c>
      <c r="BH61" s="29"/>
    </row>
    <row r="62" spans="1:60" x14ac:dyDescent="0.25">
      <c r="A62" s="1">
        <v>46112</v>
      </c>
      <c r="B62" s="33">
        <v>84.12</v>
      </c>
      <c r="C62" s="33">
        <v>86.84</v>
      </c>
      <c r="D62" s="15">
        <v>2.7478229191127902E-2</v>
      </c>
      <c r="E62" s="15">
        <v>2.2828850704363499E-2</v>
      </c>
      <c r="F62" s="33">
        <v>0</v>
      </c>
      <c r="G62" s="33">
        <v>0</v>
      </c>
      <c r="H62" s="33">
        <v>0</v>
      </c>
      <c r="I62" s="33">
        <v>0</v>
      </c>
      <c r="J62" s="33">
        <v>0</v>
      </c>
      <c r="K62" s="33">
        <v>0</v>
      </c>
      <c r="L62" s="33">
        <v>84.12</v>
      </c>
      <c r="M62" s="33">
        <v>86.84</v>
      </c>
      <c r="N62" s="34">
        <v>1.03233475986685</v>
      </c>
      <c r="O62" s="34">
        <v>1.03934289630393</v>
      </c>
      <c r="P62" s="34">
        <v>1.04792976177009</v>
      </c>
      <c r="Q62" s="34">
        <v>1.0554758504089601</v>
      </c>
      <c r="R62" s="33">
        <v>87.429524437087096</v>
      </c>
      <c r="S62" s="33">
        <v>88.488810446041995</v>
      </c>
      <c r="T62" s="33">
        <v>88.944060744809605</v>
      </c>
      <c r="U62" s="15">
        <v>6.7656888117114903E-3</v>
      </c>
      <c r="V62" s="15">
        <v>1.8808763372190399E-2</v>
      </c>
      <c r="W62" s="15">
        <v>2.3940296156465798E-2</v>
      </c>
      <c r="X62" s="34">
        <v>1.03233475986685</v>
      </c>
      <c r="Y62" s="34">
        <v>1.03934289630393</v>
      </c>
      <c r="Z62" s="34">
        <v>1.04792976177009</v>
      </c>
      <c r="AA62" s="34">
        <v>1.0554758504089601</v>
      </c>
      <c r="AB62" s="33">
        <v>87.429524437087096</v>
      </c>
      <c r="AC62" s="33">
        <v>88.488810446041995</v>
      </c>
      <c r="AD62" s="33">
        <v>88.944060744809605</v>
      </c>
      <c r="AE62" s="15">
        <v>6.7656888117114903E-3</v>
      </c>
      <c r="AF62" s="15">
        <v>1.8808763372190399E-2</v>
      </c>
      <c r="AG62" s="15">
        <v>2.3940296156465798E-2</v>
      </c>
      <c r="AI62" s="12"/>
      <c r="AJ62">
        <f t="shared" si="6"/>
        <v>0</v>
      </c>
      <c r="AK62">
        <f t="shared" si="7"/>
        <v>1</v>
      </c>
      <c r="AL62">
        <f t="shared" si="14"/>
        <v>0</v>
      </c>
      <c r="AM62">
        <f t="shared" si="4"/>
        <v>1</v>
      </c>
      <c r="AN62">
        <f t="shared" si="15"/>
        <v>0</v>
      </c>
      <c r="AO62" s="28">
        <f t="shared" si="8"/>
        <v>0</v>
      </c>
      <c r="AP62" s="28">
        <f t="shared" si="9"/>
        <v>0</v>
      </c>
      <c r="AQ62" s="28">
        <f t="shared" si="16"/>
        <v>0</v>
      </c>
      <c r="AR62" s="29">
        <f t="shared" si="17"/>
        <v>1.0875409967608329E-2</v>
      </c>
      <c r="AT62" s="12"/>
      <c r="AU62">
        <f t="shared" si="10"/>
        <v>1</v>
      </c>
      <c r="AV62">
        <f t="shared" si="11"/>
        <v>0</v>
      </c>
      <c r="AW62">
        <f t="shared" si="18"/>
        <v>1</v>
      </c>
      <c r="AX62">
        <f t="shared" si="5"/>
        <v>1</v>
      </c>
      <c r="AY62">
        <f t="shared" si="19"/>
        <v>1</v>
      </c>
      <c r="AZ62" s="28">
        <f t="shared" si="12"/>
        <v>-2.7478229191127902E-2</v>
      </c>
      <c r="BA62" s="28">
        <f t="shared" si="13"/>
        <v>2.2828850704363499E-2</v>
      </c>
      <c r="BB62" s="28">
        <f t="shared" si="20"/>
        <v>-4.6493784867644022E-3</v>
      </c>
      <c r="BC62" s="29">
        <f t="shared" si="21"/>
        <v>8.6435675696061101E-3</v>
      </c>
      <c r="BE62" s="29">
        <f t="shared" si="22"/>
        <v>-4.6493784867644022E-3</v>
      </c>
      <c r="BF62" s="29">
        <f t="shared" si="23"/>
        <v>1.9518977537214426E-2</v>
      </c>
      <c r="BH62" s="29"/>
    </row>
    <row r="63" spans="1:60" x14ac:dyDescent="0.25">
      <c r="A63" s="1">
        <v>46113</v>
      </c>
      <c r="B63" s="33">
        <v>83.27</v>
      </c>
      <c r="C63" s="33">
        <v>85.44</v>
      </c>
      <c r="D63" s="15">
        <v>-1.0156010586771199E-2</v>
      </c>
      <c r="E63" s="15">
        <v>-1.6252969798206399E-2</v>
      </c>
      <c r="F63" s="33">
        <v>0</v>
      </c>
      <c r="G63" s="33">
        <v>0</v>
      </c>
      <c r="H63" s="33">
        <v>0</v>
      </c>
      <c r="I63" s="33">
        <v>0</v>
      </c>
      <c r="J63" s="33">
        <v>0</v>
      </c>
      <c r="K63" s="33">
        <v>0</v>
      </c>
      <c r="L63" s="33">
        <v>83.27</v>
      </c>
      <c r="M63" s="33">
        <v>85.44</v>
      </c>
      <c r="N63" s="34">
        <v>1.0260598054521399</v>
      </c>
      <c r="O63" s="34">
        <v>1.03934289630393</v>
      </c>
      <c r="P63" s="34">
        <v>1.0440391704371399</v>
      </c>
      <c r="Q63" s="34">
        <v>1.05363606905631</v>
      </c>
      <c r="R63" s="33">
        <v>86.5460829752287</v>
      </c>
      <c r="S63" s="33">
        <v>87.261111262595804</v>
      </c>
      <c r="T63" s="33">
        <v>87.889474063554701</v>
      </c>
      <c r="U63" s="15">
        <v>1.2862648023146701E-2</v>
      </c>
      <c r="V63" s="15">
        <v>2.10905274769305E-2</v>
      </c>
      <c r="W63" s="15">
        <v>2.8265673316211899E-2</v>
      </c>
      <c r="X63" s="34">
        <v>1.0260598054521399</v>
      </c>
      <c r="Y63" s="34">
        <v>1.03934289630393</v>
      </c>
      <c r="Z63" s="34">
        <v>1.0440391704371399</v>
      </c>
      <c r="AA63" s="34">
        <v>1.05363606905631</v>
      </c>
      <c r="AB63" s="33">
        <v>86.5460829752287</v>
      </c>
      <c r="AC63" s="33">
        <v>87.261111262595804</v>
      </c>
      <c r="AD63" s="33">
        <v>87.889474063554701</v>
      </c>
      <c r="AE63" s="15">
        <v>1.2862648023146701E-2</v>
      </c>
      <c r="AF63" s="15">
        <v>2.10905274769305E-2</v>
      </c>
      <c r="AG63" s="15">
        <v>2.8265673316211899E-2</v>
      </c>
      <c r="AI63" s="12"/>
      <c r="AJ63">
        <f t="shared" si="6"/>
        <v>0</v>
      </c>
      <c r="AK63">
        <f t="shared" si="7"/>
        <v>1</v>
      </c>
      <c r="AL63">
        <f t="shared" si="14"/>
        <v>0</v>
      </c>
      <c r="AM63">
        <f t="shared" si="4"/>
        <v>1</v>
      </c>
      <c r="AN63">
        <f t="shared" si="15"/>
        <v>0</v>
      </c>
      <c r="AO63" s="28">
        <f t="shared" si="8"/>
        <v>0</v>
      </c>
      <c r="AP63" s="28">
        <f t="shared" si="9"/>
        <v>0</v>
      </c>
      <c r="AQ63" s="28">
        <f t="shared" si="16"/>
        <v>0</v>
      </c>
      <c r="AR63" s="29">
        <f t="shared" si="17"/>
        <v>1.0875409967608329E-2</v>
      </c>
      <c r="AT63" s="12"/>
      <c r="AU63">
        <f t="shared" si="10"/>
        <v>1</v>
      </c>
      <c r="AV63">
        <f t="shared" si="11"/>
        <v>0</v>
      </c>
      <c r="AW63">
        <f t="shared" si="18"/>
        <v>1</v>
      </c>
      <c r="AX63">
        <f t="shared" si="5"/>
        <v>1</v>
      </c>
      <c r="AY63">
        <f t="shared" si="19"/>
        <v>1</v>
      </c>
      <c r="AZ63" s="28">
        <f t="shared" si="12"/>
        <v>1.0156010586771199E-2</v>
      </c>
      <c r="BA63" s="28">
        <f t="shared" si="13"/>
        <v>-1.6252969798206399E-2</v>
      </c>
      <c r="BB63" s="28">
        <f t="shared" si="20"/>
        <v>-6.0969592114352E-3</v>
      </c>
      <c r="BC63" s="29">
        <f t="shared" si="21"/>
        <v>2.5466083581709101E-3</v>
      </c>
      <c r="BE63" s="29">
        <f t="shared" si="22"/>
        <v>-6.0969592114352E-3</v>
      </c>
      <c r="BF63" s="29">
        <f t="shared" si="23"/>
        <v>1.3422018325779226E-2</v>
      </c>
      <c r="BH63" s="29"/>
    </row>
    <row r="64" spans="1:60" x14ac:dyDescent="0.25">
      <c r="A64" s="1">
        <v>46114</v>
      </c>
      <c r="B64" s="33">
        <v>84.32</v>
      </c>
      <c r="C64" s="33">
        <v>86.49</v>
      </c>
      <c r="D64" s="15">
        <v>1.2530744545324201E-2</v>
      </c>
      <c r="E64" s="15">
        <v>1.22144251065357E-2</v>
      </c>
      <c r="F64" s="33">
        <v>0</v>
      </c>
      <c r="G64" s="33">
        <v>0</v>
      </c>
      <c r="H64" s="33">
        <v>0</v>
      </c>
      <c r="I64" s="33">
        <v>0</v>
      </c>
      <c r="J64" s="33">
        <v>0</v>
      </c>
      <c r="K64" s="33">
        <v>0</v>
      </c>
      <c r="L64" s="33">
        <v>84.32</v>
      </c>
      <c r="M64" s="33">
        <v>86.49</v>
      </c>
      <c r="N64" s="34">
        <v>1.0257352941176401</v>
      </c>
      <c r="O64" s="34">
        <v>1.03934289630393</v>
      </c>
      <c r="P64" s="34">
        <v>1.04049856941413</v>
      </c>
      <c r="Q64" s="34">
        <v>1.0517411082879899</v>
      </c>
      <c r="R64" s="33">
        <v>87.637393016347801</v>
      </c>
      <c r="S64" s="33">
        <v>88.033382851260299</v>
      </c>
      <c r="T64" s="33">
        <v>88.842593342828195</v>
      </c>
      <c r="U64" s="15">
        <v>1.31789674619352E-2</v>
      </c>
      <c r="V64" s="15">
        <v>1.7687292807049299E-2</v>
      </c>
      <c r="W64" s="15">
        <v>2.6837389443709801E-2</v>
      </c>
      <c r="X64" s="34">
        <v>1.0257352941176401</v>
      </c>
      <c r="Y64" s="34">
        <v>1.03934289630393</v>
      </c>
      <c r="Z64" s="34">
        <v>1.04049856941413</v>
      </c>
      <c r="AA64" s="34">
        <v>1.0517411082879899</v>
      </c>
      <c r="AB64" s="33">
        <v>87.637393016347801</v>
      </c>
      <c r="AC64" s="33">
        <v>88.033382851260299</v>
      </c>
      <c r="AD64" s="33">
        <v>88.842593342828195</v>
      </c>
      <c r="AE64" s="15">
        <v>1.31789674619352E-2</v>
      </c>
      <c r="AF64" s="15">
        <v>1.7687292807049299E-2</v>
      </c>
      <c r="AG64" s="15">
        <v>2.6837389443709801E-2</v>
      </c>
      <c r="AI64" s="12"/>
      <c r="AJ64">
        <f t="shared" si="6"/>
        <v>0</v>
      </c>
      <c r="AK64">
        <f t="shared" si="7"/>
        <v>1</v>
      </c>
      <c r="AL64">
        <f t="shared" si="14"/>
        <v>0</v>
      </c>
      <c r="AM64">
        <f t="shared" si="4"/>
        <v>1</v>
      </c>
      <c r="AN64">
        <f t="shared" si="15"/>
        <v>0</v>
      </c>
      <c r="AO64" s="28">
        <f t="shared" si="8"/>
        <v>0</v>
      </c>
      <c r="AP64" s="28">
        <f t="shared" si="9"/>
        <v>0</v>
      </c>
      <c r="AQ64" s="28">
        <f t="shared" si="16"/>
        <v>0</v>
      </c>
      <c r="AR64" s="29">
        <f t="shared" si="17"/>
        <v>1.0875409967608329E-2</v>
      </c>
      <c r="AT64" s="12"/>
      <c r="AU64">
        <f t="shared" si="10"/>
        <v>1</v>
      </c>
      <c r="AV64">
        <f t="shared" si="11"/>
        <v>0</v>
      </c>
      <c r="AW64">
        <f t="shared" si="18"/>
        <v>1</v>
      </c>
      <c r="AX64">
        <f t="shared" si="5"/>
        <v>1</v>
      </c>
      <c r="AY64">
        <f t="shared" si="19"/>
        <v>1</v>
      </c>
      <c r="AZ64" s="28">
        <f t="shared" si="12"/>
        <v>-1.2530744545324201E-2</v>
      </c>
      <c r="BA64" s="28">
        <f t="shared" si="13"/>
        <v>1.22144251065357E-2</v>
      </c>
      <c r="BB64" s="28">
        <f t="shared" si="20"/>
        <v>-3.16319438788501E-4</v>
      </c>
      <c r="BC64" s="29">
        <f t="shared" si="21"/>
        <v>2.2302889193824092E-3</v>
      </c>
      <c r="BE64" s="29">
        <f t="shared" si="22"/>
        <v>-3.16319438788501E-4</v>
      </c>
      <c r="BF64" s="29">
        <f t="shared" si="23"/>
        <v>1.3105698886990725E-2</v>
      </c>
      <c r="BH64" s="29"/>
    </row>
    <row r="65" spans="1:60" x14ac:dyDescent="0.25">
      <c r="A65" s="1">
        <v>46118</v>
      </c>
      <c r="B65" s="33">
        <v>86.53</v>
      </c>
      <c r="C65" s="33">
        <v>88.57</v>
      </c>
      <c r="D65" s="15">
        <v>2.5872089825595398E-2</v>
      </c>
      <c r="E65" s="15">
        <v>2.3764399503071E-2</v>
      </c>
      <c r="F65" s="33">
        <v>0</v>
      </c>
      <c r="G65" s="33">
        <v>0</v>
      </c>
      <c r="H65" s="33">
        <v>0</v>
      </c>
      <c r="I65" s="33">
        <v>0</v>
      </c>
      <c r="J65" s="33">
        <v>0</v>
      </c>
      <c r="K65" s="33">
        <v>0</v>
      </c>
      <c r="L65" s="33">
        <v>86.53</v>
      </c>
      <c r="M65" s="33">
        <v>88.57</v>
      </c>
      <c r="N65" s="34">
        <v>1.0235756385068699</v>
      </c>
      <c r="O65" s="34">
        <v>1.03934289630393</v>
      </c>
      <c r="P65" s="34">
        <v>1.0379071300195699</v>
      </c>
      <c r="Q65" s="34">
        <v>1.04972291892298</v>
      </c>
      <c r="R65" s="33">
        <v>89.934340817179603</v>
      </c>
      <c r="S65" s="33">
        <v>90.034341211404694</v>
      </c>
      <c r="T65" s="33">
        <v>91.007158100160197</v>
      </c>
      <c r="U65" s="15">
        <v>1.5286657784459499E-2</v>
      </c>
      <c r="V65" s="15">
        <v>1.6397966745437299E-2</v>
      </c>
      <c r="W65" s="15">
        <v>2.7144964043109801E-2</v>
      </c>
      <c r="X65" s="34">
        <v>1.0235756385068699</v>
      </c>
      <c r="Y65" s="34">
        <v>1.03934289630393</v>
      </c>
      <c r="Z65" s="34">
        <v>1.0379071300195699</v>
      </c>
      <c r="AA65" s="34">
        <v>1.04972291892298</v>
      </c>
      <c r="AB65" s="33">
        <v>89.934340817179603</v>
      </c>
      <c r="AC65" s="33">
        <v>90.034341211404694</v>
      </c>
      <c r="AD65" s="33">
        <v>91.007158100160197</v>
      </c>
      <c r="AE65" s="15">
        <v>1.5286657784459499E-2</v>
      </c>
      <c r="AF65" s="15">
        <v>1.6397966745437299E-2</v>
      </c>
      <c r="AG65" s="15">
        <v>2.7144964043109801E-2</v>
      </c>
      <c r="AI65" s="12"/>
      <c r="AJ65">
        <f t="shared" si="6"/>
        <v>0</v>
      </c>
      <c r="AK65">
        <f t="shared" si="7"/>
        <v>1</v>
      </c>
      <c r="AL65">
        <f t="shared" si="14"/>
        <v>0</v>
      </c>
      <c r="AM65">
        <f t="shared" si="4"/>
        <v>1</v>
      </c>
      <c r="AN65">
        <f t="shared" si="15"/>
        <v>0</v>
      </c>
      <c r="AO65" s="28">
        <f t="shared" si="8"/>
        <v>0</v>
      </c>
      <c r="AP65" s="28">
        <f t="shared" si="9"/>
        <v>0</v>
      </c>
      <c r="AQ65" s="28">
        <f t="shared" si="16"/>
        <v>0</v>
      </c>
      <c r="AR65" s="29">
        <f t="shared" si="17"/>
        <v>1.0875409967608329E-2</v>
      </c>
      <c r="AT65" s="12"/>
      <c r="AU65">
        <f t="shared" si="10"/>
        <v>1</v>
      </c>
      <c r="AV65">
        <f t="shared" si="11"/>
        <v>0</v>
      </c>
      <c r="AW65">
        <f t="shared" si="18"/>
        <v>1</v>
      </c>
      <c r="AX65">
        <f t="shared" si="5"/>
        <v>1</v>
      </c>
      <c r="AY65">
        <f t="shared" si="19"/>
        <v>1</v>
      </c>
      <c r="AZ65" s="28">
        <f t="shared" si="12"/>
        <v>-2.5872089825595398E-2</v>
      </c>
      <c r="BA65" s="28">
        <f t="shared" si="13"/>
        <v>2.3764399503071E-2</v>
      </c>
      <c r="BB65" s="28">
        <f t="shared" si="20"/>
        <v>-2.1076903225243984E-3</v>
      </c>
      <c r="BC65" s="29">
        <f t="shared" si="21"/>
        <v>1.2259859685801074E-4</v>
      </c>
      <c r="BE65" s="29">
        <f t="shared" si="22"/>
        <v>-2.1076903225243984E-3</v>
      </c>
      <c r="BF65" s="29">
        <f t="shared" si="23"/>
        <v>1.0998008564466326E-2</v>
      </c>
      <c r="BH65" s="29"/>
    </row>
    <row r="66" spans="1:60" x14ac:dyDescent="0.25">
      <c r="A66" s="1">
        <v>46119</v>
      </c>
      <c r="B66" s="33">
        <v>83.19</v>
      </c>
      <c r="C66" s="33">
        <v>85.62</v>
      </c>
      <c r="D66" s="15">
        <v>-3.9364026322851103E-2</v>
      </c>
      <c r="E66" s="15">
        <v>-3.3874299104691398E-2</v>
      </c>
      <c r="F66" s="33">
        <v>0</v>
      </c>
      <c r="G66" s="33">
        <v>0</v>
      </c>
      <c r="H66" s="33">
        <v>0</v>
      </c>
      <c r="I66" s="33">
        <v>0</v>
      </c>
      <c r="J66" s="33">
        <v>0</v>
      </c>
      <c r="K66" s="33">
        <v>0</v>
      </c>
      <c r="L66" s="33">
        <v>83.19</v>
      </c>
      <c r="M66" s="33">
        <v>85.62</v>
      </c>
      <c r="N66" s="34">
        <v>1.02921024161557</v>
      </c>
      <c r="O66" s="34">
        <v>1.03934289630393</v>
      </c>
      <c r="P66" s="34">
        <v>1.0356633066510199</v>
      </c>
      <c r="Q66" s="34">
        <v>1.04799556511765</v>
      </c>
      <c r="R66" s="33">
        <v>86.462935543524395</v>
      </c>
      <c r="S66" s="33">
        <v>86.343494146327998</v>
      </c>
      <c r="T66" s="33">
        <v>87.326449625202898</v>
      </c>
      <c r="U66" s="15">
        <v>9.7969305662997108E-3</v>
      </c>
      <c r="V66" s="15">
        <v>8.4145582039821393E-3</v>
      </c>
      <c r="W66" s="15">
        <v>1.9734490184179498E-2</v>
      </c>
      <c r="X66" s="34">
        <v>1.02921024161557</v>
      </c>
      <c r="Y66" s="34">
        <v>1.03934289630393</v>
      </c>
      <c r="Z66" s="34">
        <v>1.0356633066510199</v>
      </c>
      <c r="AA66" s="34">
        <v>1.04799556511765</v>
      </c>
      <c r="AB66" s="33">
        <v>86.462935543524395</v>
      </c>
      <c r="AC66" s="33">
        <v>86.343494146327998</v>
      </c>
      <c r="AD66" s="33">
        <v>87.326449625202898</v>
      </c>
      <c r="AE66" s="15">
        <v>9.7969305662997108E-3</v>
      </c>
      <c r="AF66" s="15">
        <v>8.4145582039821393E-3</v>
      </c>
      <c r="AG66" s="15">
        <v>1.9734490184179498E-2</v>
      </c>
      <c r="AI66" s="12"/>
      <c r="AJ66">
        <f t="shared" si="6"/>
        <v>0</v>
      </c>
      <c r="AK66">
        <f t="shared" si="7"/>
        <v>1</v>
      </c>
      <c r="AL66">
        <f t="shared" si="14"/>
        <v>0</v>
      </c>
      <c r="AM66">
        <f t="shared" si="4"/>
        <v>1</v>
      </c>
      <c r="AN66">
        <f t="shared" si="15"/>
        <v>0</v>
      </c>
      <c r="AO66" s="28">
        <f t="shared" si="8"/>
        <v>0</v>
      </c>
      <c r="AP66" s="28">
        <f t="shared" si="9"/>
        <v>0</v>
      </c>
      <c r="AQ66" s="28">
        <f t="shared" si="16"/>
        <v>0</v>
      </c>
      <c r="AR66" s="29">
        <f t="shared" si="17"/>
        <v>1.0875409967608329E-2</v>
      </c>
      <c r="AT66" s="12"/>
      <c r="AU66">
        <f t="shared" si="10"/>
        <v>1</v>
      </c>
      <c r="AV66">
        <f t="shared" si="11"/>
        <v>0</v>
      </c>
      <c r="AW66">
        <f t="shared" si="18"/>
        <v>1</v>
      </c>
      <c r="AX66">
        <f t="shared" si="5"/>
        <v>1</v>
      </c>
      <c r="AY66">
        <f t="shared" si="19"/>
        <v>1</v>
      </c>
      <c r="AZ66" s="28">
        <f t="shared" si="12"/>
        <v>3.9364026322851103E-2</v>
      </c>
      <c r="BA66" s="28">
        <f t="shared" si="13"/>
        <v>-3.3874299104691398E-2</v>
      </c>
      <c r="BB66" s="28">
        <f t="shared" si="20"/>
        <v>5.4897272181597054E-3</v>
      </c>
      <c r="BC66" s="29">
        <f t="shared" si="21"/>
        <v>5.6123258150177161E-3</v>
      </c>
      <c r="BE66" s="29">
        <f t="shared" si="22"/>
        <v>5.4897272181597054E-3</v>
      </c>
      <c r="BF66" s="29">
        <f t="shared" si="23"/>
        <v>1.648773578262603E-2</v>
      </c>
      <c r="BH66" s="29"/>
    </row>
    <row r="67" spans="1:60" x14ac:dyDescent="0.25">
      <c r="A67" s="1">
        <v>46120</v>
      </c>
      <c r="B67" s="33">
        <v>86.75</v>
      </c>
      <c r="C67" s="33">
        <v>88.63</v>
      </c>
      <c r="D67" s="15">
        <v>4.1903270531172203E-2</v>
      </c>
      <c r="E67" s="15">
        <v>3.4551500033506398E-2</v>
      </c>
      <c r="F67" s="33">
        <v>0</v>
      </c>
      <c r="G67" s="33">
        <v>0</v>
      </c>
      <c r="H67" s="33">
        <v>0</v>
      </c>
      <c r="I67" s="33">
        <v>0</v>
      </c>
      <c r="J67" s="33">
        <v>0</v>
      </c>
      <c r="K67" s="33">
        <v>0</v>
      </c>
      <c r="L67" s="33">
        <v>86.75</v>
      </c>
      <c r="M67" s="33">
        <v>88.63</v>
      </c>
      <c r="N67" s="34">
        <v>1.0216714697406299</v>
      </c>
      <c r="O67" s="34">
        <v>1.03934289630393</v>
      </c>
      <c r="P67" s="34">
        <v>1.03323353333523</v>
      </c>
      <c r="Q67" s="34">
        <v>1.04583784856046</v>
      </c>
      <c r="R67" s="33">
        <v>90.162996254366405</v>
      </c>
      <c r="S67" s="33">
        <v>89.843791851976604</v>
      </c>
      <c r="T67" s="33">
        <v>90.913615273956296</v>
      </c>
      <c r="U67" s="15">
        <v>1.7148701063965498E-2</v>
      </c>
      <c r="V67" s="15">
        <v>1.3602115512005601E-2</v>
      </c>
      <c r="W67" s="15">
        <v>2.5439372208592801E-2</v>
      </c>
      <c r="X67" s="34">
        <v>1.0216714697406299</v>
      </c>
      <c r="Y67" s="34">
        <v>1.03934289630393</v>
      </c>
      <c r="Z67" s="34">
        <v>1.03323353333523</v>
      </c>
      <c r="AA67" s="34">
        <v>1.04583784856046</v>
      </c>
      <c r="AB67" s="33">
        <v>90.162996254366405</v>
      </c>
      <c r="AC67" s="33">
        <v>89.843791851976604</v>
      </c>
      <c r="AD67" s="33">
        <v>90.913615273956296</v>
      </c>
      <c r="AE67" s="15">
        <v>1.7148701063965498E-2</v>
      </c>
      <c r="AF67" s="15">
        <v>1.3602115512005601E-2</v>
      </c>
      <c r="AG67" s="15">
        <v>2.5439372208592801E-2</v>
      </c>
      <c r="AI67" s="12"/>
      <c r="AJ67">
        <f t="shared" si="6"/>
        <v>0</v>
      </c>
      <c r="AK67">
        <f t="shared" si="7"/>
        <v>1</v>
      </c>
      <c r="AL67">
        <f t="shared" si="14"/>
        <v>0</v>
      </c>
      <c r="AM67">
        <f t="shared" si="4"/>
        <v>1</v>
      </c>
      <c r="AN67">
        <f t="shared" si="15"/>
        <v>0</v>
      </c>
      <c r="AO67" s="28">
        <f t="shared" si="8"/>
        <v>0</v>
      </c>
      <c r="AP67" s="28">
        <f t="shared" si="9"/>
        <v>0</v>
      </c>
      <c r="AQ67" s="28">
        <f t="shared" si="16"/>
        <v>0</v>
      </c>
      <c r="AR67" s="29">
        <f t="shared" si="17"/>
        <v>1.0875409967608329E-2</v>
      </c>
      <c r="AT67" s="12"/>
      <c r="AU67">
        <f t="shared" si="10"/>
        <v>1</v>
      </c>
      <c r="AV67">
        <f t="shared" si="11"/>
        <v>0</v>
      </c>
      <c r="AW67">
        <f t="shared" si="18"/>
        <v>1</v>
      </c>
      <c r="AX67">
        <f t="shared" si="5"/>
        <v>1</v>
      </c>
      <c r="AY67">
        <f t="shared" si="19"/>
        <v>1</v>
      </c>
      <c r="AZ67" s="28">
        <f t="shared" si="12"/>
        <v>-4.1903270531172203E-2</v>
      </c>
      <c r="BA67" s="28">
        <f t="shared" si="13"/>
        <v>3.4551500033506398E-2</v>
      </c>
      <c r="BB67" s="28">
        <f t="shared" si="20"/>
        <v>-7.3517704976658049E-3</v>
      </c>
      <c r="BC67" s="29">
        <f t="shared" si="21"/>
        <v>-1.7394446826480888E-3</v>
      </c>
      <c r="BE67" s="29">
        <f t="shared" si="22"/>
        <v>-7.3517704976658049E-3</v>
      </c>
      <c r="BF67" s="29">
        <f t="shared" si="23"/>
        <v>9.1359652849602249E-3</v>
      </c>
      <c r="BH67" s="29"/>
    </row>
    <row r="68" spans="1:60" x14ac:dyDescent="0.25">
      <c r="A68" s="1">
        <v>46121</v>
      </c>
      <c r="B68" s="33">
        <v>86.85</v>
      </c>
      <c r="C68" s="33">
        <v>88.93</v>
      </c>
      <c r="D68" s="15">
        <v>1.15207386014538E-3</v>
      </c>
      <c r="E68" s="15">
        <v>3.3791426612422302E-3</v>
      </c>
      <c r="F68" s="33">
        <v>0</v>
      </c>
      <c r="G68" s="33">
        <v>0</v>
      </c>
      <c r="H68" s="33">
        <v>0</v>
      </c>
      <c r="I68" s="33">
        <v>0</v>
      </c>
      <c r="J68" s="33">
        <v>0</v>
      </c>
      <c r="K68" s="33">
        <v>0</v>
      </c>
      <c r="L68" s="33">
        <v>86.85</v>
      </c>
      <c r="M68" s="33">
        <v>88.93</v>
      </c>
      <c r="N68" s="34">
        <v>1.0239493379389699</v>
      </c>
      <c r="O68" s="34">
        <v>1.03934289630393</v>
      </c>
      <c r="P68" s="34">
        <v>1.03125849090361</v>
      </c>
      <c r="Q68" s="34">
        <v>1.0439340287533501</v>
      </c>
      <c r="R68" s="33">
        <v>90.266930543996807</v>
      </c>
      <c r="S68" s="33">
        <v>89.736332370165201</v>
      </c>
      <c r="T68" s="33">
        <v>90.831017147475904</v>
      </c>
      <c r="U68" s="15">
        <v>1.4921632262868601E-2</v>
      </c>
      <c r="V68" s="15">
        <v>9.0261867910251294E-3</v>
      </c>
      <c r="W68" s="15">
        <v>2.1151282404684901E-2</v>
      </c>
      <c r="X68" s="34">
        <v>1.0239493379389699</v>
      </c>
      <c r="Y68" s="34">
        <v>1.03934289630393</v>
      </c>
      <c r="Z68" s="34">
        <v>1.03125849090361</v>
      </c>
      <c r="AA68" s="34">
        <v>1.0439340287533501</v>
      </c>
      <c r="AB68" s="33">
        <v>90.266930543996807</v>
      </c>
      <c r="AC68" s="33">
        <v>89.736332370165201</v>
      </c>
      <c r="AD68" s="33">
        <v>90.831017147475904</v>
      </c>
      <c r="AE68" s="15">
        <v>1.4921632262868601E-2</v>
      </c>
      <c r="AF68" s="15">
        <v>9.0261867910251294E-3</v>
      </c>
      <c r="AG68" s="15">
        <v>2.1151282404684901E-2</v>
      </c>
      <c r="AI68" s="12"/>
      <c r="AJ68">
        <f t="shared" si="6"/>
        <v>0</v>
      </c>
      <c r="AK68">
        <f t="shared" si="7"/>
        <v>1</v>
      </c>
      <c r="AL68">
        <f t="shared" si="14"/>
        <v>0</v>
      </c>
      <c r="AM68">
        <f t="shared" si="4"/>
        <v>1</v>
      </c>
      <c r="AN68">
        <f t="shared" si="15"/>
        <v>0</v>
      </c>
      <c r="AO68" s="28">
        <f t="shared" si="8"/>
        <v>0</v>
      </c>
      <c r="AP68" s="28">
        <f t="shared" si="9"/>
        <v>0</v>
      </c>
      <c r="AQ68" s="28">
        <f t="shared" si="16"/>
        <v>0</v>
      </c>
      <c r="AR68" s="29">
        <f t="shared" si="17"/>
        <v>1.0875409967608329E-2</v>
      </c>
      <c r="AT68" s="12"/>
      <c r="AU68">
        <f t="shared" si="10"/>
        <v>1</v>
      </c>
      <c r="AV68">
        <f t="shared" si="11"/>
        <v>0</v>
      </c>
      <c r="AW68">
        <f t="shared" si="18"/>
        <v>1</v>
      </c>
      <c r="AX68">
        <f t="shared" si="5"/>
        <v>1</v>
      </c>
      <c r="AY68">
        <f t="shared" si="19"/>
        <v>1</v>
      </c>
      <c r="AZ68" s="28">
        <f t="shared" si="12"/>
        <v>-1.15207386014538E-3</v>
      </c>
      <c r="BA68" s="28">
        <f t="shared" si="13"/>
        <v>3.3791426612422302E-3</v>
      </c>
      <c r="BB68" s="28">
        <f t="shared" si="20"/>
        <v>2.2270688010968499E-3</v>
      </c>
      <c r="BC68" s="29">
        <f t="shared" si="21"/>
        <v>4.8762411844876109E-4</v>
      </c>
      <c r="BE68" s="29">
        <f t="shared" si="22"/>
        <v>2.2270688010968499E-3</v>
      </c>
      <c r="BF68" s="29">
        <f t="shared" si="23"/>
        <v>1.1363034086057076E-2</v>
      </c>
      <c r="BH68" s="29"/>
    </row>
    <row r="69" spans="1:60" x14ac:dyDescent="0.25">
      <c r="A69" s="1">
        <v>46122</v>
      </c>
      <c r="B69" s="33">
        <v>86.62</v>
      </c>
      <c r="C69" s="33">
        <v>88.97</v>
      </c>
      <c r="D69" s="15">
        <v>-2.6517569006332298E-3</v>
      </c>
      <c r="E69" s="15">
        <v>4.4969084512717802E-4</v>
      </c>
      <c r="F69" s="33">
        <v>0</v>
      </c>
      <c r="G69" s="33">
        <v>0</v>
      </c>
      <c r="H69" s="33">
        <v>0</v>
      </c>
      <c r="I69" s="33">
        <v>0</v>
      </c>
      <c r="J69" s="33">
        <v>0</v>
      </c>
      <c r="K69" s="33">
        <v>0</v>
      </c>
      <c r="L69" s="33">
        <v>86.62</v>
      </c>
      <c r="M69" s="33">
        <v>88.97</v>
      </c>
      <c r="N69" s="34">
        <v>1.0271299930731901</v>
      </c>
      <c r="O69" s="34">
        <v>1.03934289630393</v>
      </c>
      <c r="P69" s="34">
        <v>1.0293795949061399</v>
      </c>
      <c r="Q69" s="34">
        <v>1.04244676413108</v>
      </c>
      <c r="R69" s="33">
        <v>90.027881677846906</v>
      </c>
      <c r="S69" s="33">
        <v>89.327610482071094</v>
      </c>
      <c r="T69" s="33">
        <v>90.425565570615206</v>
      </c>
      <c r="U69" s="15">
        <v>1.18201845171081E-2</v>
      </c>
      <c r="V69" s="15">
        <v>4.0113937661682298E-3</v>
      </c>
      <c r="W69" s="15">
        <v>1.6227798144344899E-2</v>
      </c>
      <c r="X69" s="34">
        <v>1.0271299930731901</v>
      </c>
      <c r="Y69" s="34">
        <v>1.03934289630393</v>
      </c>
      <c r="Z69" s="34">
        <v>1.0293795949061399</v>
      </c>
      <c r="AA69" s="34">
        <v>1.04244676413108</v>
      </c>
      <c r="AB69" s="33">
        <v>90.027881677846906</v>
      </c>
      <c r="AC69" s="33">
        <v>89.327610482071094</v>
      </c>
      <c r="AD69" s="33">
        <v>90.425565570615206</v>
      </c>
      <c r="AE69" s="15">
        <v>1.18201845171081E-2</v>
      </c>
      <c r="AF69" s="15">
        <v>4.0113937661682298E-3</v>
      </c>
      <c r="AG69" s="15">
        <v>1.6227798144344899E-2</v>
      </c>
      <c r="AI69" s="12"/>
      <c r="AJ69">
        <f t="shared" si="6"/>
        <v>0</v>
      </c>
      <c r="AK69">
        <f t="shared" si="7"/>
        <v>1</v>
      </c>
      <c r="AL69">
        <f t="shared" si="14"/>
        <v>0</v>
      </c>
      <c r="AM69">
        <f t="shared" si="4"/>
        <v>1</v>
      </c>
      <c r="AN69">
        <f t="shared" si="15"/>
        <v>0</v>
      </c>
      <c r="AO69" s="28">
        <f t="shared" si="8"/>
        <v>0</v>
      </c>
      <c r="AP69" s="28">
        <f t="shared" si="9"/>
        <v>0</v>
      </c>
      <c r="AQ69" s="28">
        <f t="shared" si="16"/>
        <v>0</v>
      </c>
      <c r="AR69" s="29">
        <f t="shared" si="17"/>
        <v>1.0875409967608329E-2</v>
      </c>
      <c r="AT69" s="12"/>
      <c r="AU69">
        <f t="shared" si="10"/>
        <v>1</v>
      </c>
      <c r="AV69">
        <f t="shared" si="11"/>
        <v>0</v>
      </c>
      <c r="AW69">
        <f t="shared" si="18"/>
        <v>1</v>
      </c>
      <c r="AX69">
        <f t="shared" si="5"/>
        <v>1</v>
      </c>
      <c r="AY69">
        <f t="shared" si="19"/>
        <v>1</v>
      </c>
      <c r="AZ69" s="28">
        <f t="shared" si="12"/>
        <v>2.6517569006332298E-3</v>
      </c>
      <c r="BA69" s="28">
        <f t="shared" si="13"/>
        <v>4.4969084512717802E-4</v>
      </c>
      <c r="BB69" s="28">
        <f t="shared" si="20"/>
        <v>3.1014477457604077E-3</v>
      </c>
      <c r="BC69" s="29">
        <f t="shared" si="21"/>
        <v>3.5890718642091687E-3</v>
      </c>
      <c r="BE69" s="29">
        <f t="shared" si="22"/>
        <v>3.1014477457604077E-3</v>
      </c>
      <c r="BF69" s="29">
        <f t="shared" si="23"/>
        <v>1.4464481831817484E-2</v>
      </c>
      <c r="BH69" s="29"/>
    </row>
    <row r="70" spans="1:60" x14ac:dyDescent="0.25">
      <c r="A70" s="1">
        <v>46125</v>
      </c>
      <c r="B70" s="33">
        <v>87.38</v>
      </c>
      <c r="C70" s="33">
        <v>89.79</v>
      </c>
      <c r="D70" s="15">
        <v>8.7356877368091699E-3</v>
      </c>
      <c r="E70" s="15">
        <v>9.1743762760414498E-3</v>
      </c>
      <c r="F70" s="33">
        <v>0</v>
      </c>
      <c r="G70" s="33">
        <v>0</v>
      </c>
      <c r="H70" s="33">
        <v>0</v>
      </c>
      <c r="I70" s="33">
        <v>0</v>
      </c>
      <c r="J70" s="33">
        <v>0</v>
      </c>
      <c r="K70" s="33">
        <v>0</v>
      </c>
      <c r="L70" s="33">
        <v>87.38</v>
      </c>
      <c r="M70" s="33">
        <v>89.79</v>
      </c>
      <c r="N70" s="34">
        <v>1.02758068207827</v>
      </c>
      <c r="O70" s="34">
        <v>1.03934289630393</v>
      </c>
      <c r="P70" s="34">
        <v>1.0274392872439</v>
      </c>
      <c r="Q70" s="34">
        <v>1.0409173961846301</v>
      </c>
      <c r="R70" s="33">
        <v>90.8177822790379</v>
      </c>
      <c r="S70" s="33">
        <v>89.947189002899094</v>
      </c>
      <c r="T70" s="33">
        <v>91.088998249774207</v>
      </c>
      <c r="U70" s="15">
        <v>1.13814959778759E-2</v>
      </c>
      <c r="V70" s="15">
        <v>1.7490987129130499E-3</v>
      </c>
      <c r="W70" s="15">
        <v>1.43634207958078E-2</v>
      </c>
      <c r="X70" s="34">
        <v>1.02758068207827</v>
      </c>
      <c r="Y70" s="34">
        <v>1.03934289630393</v>
      </c>
      <c r="Z70" s="34">
        <v>1.0274392872439</v>
      </c>
      <c r="AA70" s="34">
        <v>1.0409173961846301</v>
      </c>
      <c r="AB70" s="33">
        <v>90.8177822790379</v>
      </c>
      <c r="AC70" s="33">
        <v>89.947189002899094</v>
      </c>
      <c r="AD70" s="33">
        <v>91.088998249774207</v>
      </c>
      <c r="AE70" s="15">
        <v>1.13814959778759E-2</v>
      </c>
      <c r="AF70" s="15">
        <v>1.7490987129130499E-3</v>
      </c>
      <c r="AG70" s="15">
        <v>1.43634207958078E-2</v>
      </c>
      <c r="AI70" s="12"/>
      <c r="AJ70">
        <f t="shared" si="6"/>
        <v>0</v>
      </c>
      <c r="AK70">
        <f t="shared" si="7"/>
        <v>1</v>
      </c>
      <c r="AL70">
        <f t="shared" si="14"/>
        <v>0</v>
      </c>
      <c r="AM70">
        <f t="shared" si="4"/>
        <v>1</v>
      </c>
      <c r="AN70">
        <f t="shared" si="15"/>
        <v>0</v>
      </c>
      <c r="AO70" s="28">
        <f t="shared" si="8"/>
        <v>0</v>
      </c>
      <c r="AP70" s="28">
        <f t="shared" si="9"/>
        <v>0</v>
      </c>
      <c r="AQ70" s="28">
        <f t="shared" si="16"/>
        <v>0</v>
      </c>
      <c r="AR70" s="29">
        <f t="shared" si="17"/>
        <v>1.0875409967608329E-2</v>
      </c>
      <c r="AT70" s="12"/>
      <c r="AU70">
        <f t="shared" si="10"/>
        <v>1</v>
      </c>
      <c r="AV70">
        <f t="shared" si="11"/>
        <v>0</v>
      </c>
      <c r="AW70">
        <f t="shared" si="18"/>
        <v>1</v>
      </c>
      <c r="AX70">
        <f t="shared" si="5"/>
        <v>1</v>
      </c>
      <c r="AY70">
        <f t="shared" si="19"/>
        <v>1</v>
      </c>
      <c r="AZ70" s="28">
        <f t="shared" si="12"/>
        <v>-8.7356877368091699E-3</v>
      </c>
      <c r="BA70" s="28">
        <f t="shared" si="13"/>
        <v>9.1743762760414498E-3</v>
      </c>
      <c r="BB70" s="28">
        <f t="shared" si="20"/>
        <v>4.3868853923227993E-4</v>
      </c>
      <c r="BC70" s="29">
        <f t="shared" si="21"/>
        <v>4.0277604034414487E-3</v>
      </c>
      <c r="BE70" s="29">
        <f t="shared" si="22"/>
        <v>4.3868853923227993E-4</v>
      </c>
      <c r="BF70" s="29">
        <f t="shared" si="23"/>
        <v>1.4903170371049764E-2</v>
      </c>
      <c r="BH70" s="29"/>
    </row>
    <row r="71" spans="1:60" x14ac:dyDescent="0.25">
      <c r="A71" s="1">
        <v>46126</v>
      </c>
      <c r="B71" s="33">
        <v>86.61</v>
      </c>
      <c r="C71" s="33">
        <v>88.83</v>
      </c>
      <c r="D71" s="15">
        <v>-8.8511411803363707E-3</v>
      </c>
      <c r="E71" s="15">
        <v>-1.07491797511077E-2</v>
      </c>
      <c r="F71" s="33">
        <v>0</v>
      </c>
      <c r="G71" s="33">
        <v>0</v>
      </c>
      <c r="H71" s="33">
        <v>0</v>
      </c>
      <c r="I71" s="33">
        <v>0</v>
      </c>
      <c r="J71" s="33">
        <v>0</v>
      </c>
      <c r="K71" s="33">
        <v>0</v>
      </c>
      <c r="L71" s="33">
        <v>86.61</v>
      </c>
      <c r="M71" s="33">
        <v>88.83</v>
      </c>
      <c r="N71" s="34">
        <v>1.02563214409421</v>
      </c>
      <c r="O71" s="34">
        <v>1.03934289630393</v>
      </c>
      <c r="P71" s="34">
        <v>1.0262879366484301</v>
      </c>
      <c r="Q71" s="34">
        <v>1.0391116956544699</v>
      </c>
      <c r="R71" s="33">
        <v>90.017488248883893</v>
      </c>
      <c r="S71" s="33">
        <v>88.986516668194596</v>
      </c>
      <c r="T71" s="33">
        <v>90.153855683550901</v>
      </c>
      <c r="U71" s="15">
        <v>1.3279534548647399E-2</v>
      </c>
      <c r="V71" s="15">
        <v>1.76042936336035E-3</v>
      </c>
      <c r="W71" s="15">
        <v>1.47932875987226E-2</v>
      </c>
      <c r="X71" s="34">
        <v>1.02563214409421</v>
      </c>
      <c r="Y71" s="34">
        <v>1.03934289630393</v>
      </c>
      <c r="Z71" s="34">
        <v>1.0262879366484301</v>
      </c>
      <c r="AA71" s="34">
        <v>1.0391116956544699</v>
      </c>
      <c r="AB71" s="33">
        <v>90.017488248883893</v>
      </c>
      <c r="AC71" s="33">
        <v>88.986516668194596</v>
      </c>
      <c r="AD71" s="33">
        <v>90.153855683550901</v>
      </c>
      <c r="AE71" s="15">
        <v>1.3279534548647399E-2</v>
      </c>
      <c r="AF71" s="15">
        <v>1.76042936336035E-3</v>
      </c>
      <c r="AG71" s="15">
        <v>1.47932875987226E-2</v>
      </c>
      <c r="AI71" s="12"/>
      <c r="AJ71">
        <f t="shared" si="6"/>
        <v>0</v>
      </c>
      <c r="AK71">
        <f t="shared" si="7"/>
        <v>1</v>
      </c>
      <c r="AL71">
        <f t="shared" si="14"/>
        <v>0</v>
      </c>
      <c r="AM71">
        <f t="shared" si="4"/>
        <v>1</v>
      </c>
      <c r="AN71">
        <f t="shared" si="15"/>
        <v>0</v>
      </c>
      <c r="AO71" s="28">
        <f t="shared" si="8"/>
        <v>0</v>
      </c>
      <c r="AP71" s="28">
        <f t="shared" si="9"/>
        <v>0</v>
      </c>
      <c r="AQ71" s="28">
        <f t="shared" si="16"/>
        <v>0</v>
      </c>
      <c r="AR71" s="29">
        <f t="shared" si="17"/>
        <v>1.0875409967608329E-2</v>
      </c>
      <c r="AT71" s="12"/>
      <c r="AU71">
        <f t="shared" si="10"/>
        <v>1</v>
      </c>
      <c r="AV71">
        <f t="shared" si="11"/>
        <v>0</v>
      </c>
      <c r="AW71">
        <f t="shared" si="18"/>
        <v>1</v>
      </c>
      <c r="AX71">
        <f t="shared" si="5"/>
        <v>1</v>
      </c>
      <c r="AY71">
        <f t="shared" si="19"/>
        <v>1</v>
      </c>
      <c r="AZ71" s="28">
        <f t="shared" si="12"/>
        <v>8.8511411803363707E-3</v>
      </c>
      <c r="BA71" s="28">
        <f t="shared" si="13"/>
        <v>-1.07491797511077E-2</v>
      </c>
      <c r="BB71" s="28">
        <f t="shared" si="20"/>
        <v>-1.898038570771329E-3</v>
      </c>
      <c r="BC71" s="29">
        <f t="shared" si="21"/>
        <v>2.1297218326701197E-3</v>
      </c>
      <c r="BE71" s="29">
        <f t="shared" si="22"/>
        <v>-1.898038570771329E-3</v>
      </c>
      <c r="BF71" s="29">
        <f t="shared" si="23"/>
        <v>1.3005131800278435E-2</v>
      </c>
      <c r="BH71" s="29"/>
    </row>
    <row r="72" spans="1:60" x14ac:dyDescent="0.25">
      <c r="A72" s="1">
        <v>46127</v>
      </c>
      <c r="B72" s="33">
        <v>86.07</v>
      </c>
      <c r="C72" s="33">
        <v>88.44</v>
      </c>
      <c r="D72" s="15">
        <v>-6.2543636815703702E-3</v>
      </c>
      <c r="E72" s="15">
        <v>-4.4000747923640697E-3</v>
      </c>
      <c r="F72" s="33">
        <v>0</v>
      </c>
      <c r="G72" s="33">
        <v>0</v>
      </c>
      <c r="H72" s="33">
        <v>0</v>
      </c>
      <c r="I72" s="33">
        <v>0</v>
      </c>
      <c r="J72" s="33">
        <v>0</v>
      </c>
      <c r="K72" s="33">
        <v>0</v>
      </c>
      <c r="L72" s="33">
        <v>86.07</v>
      </c>
      <c r="M72" s="33">
        <v>88.44</v>
      </c>
      <c r="N72" s="34">
        <v>1.0275357267340499</v>
      </c>
      <c r="O72" s="34">
        <v>1.03934289630393</v>
      </c>
      <c r="P72" s="34">
        <v>1.02580803333515</v>
      </c>
      <c r="Q72" s="34">
        <v>1.0368688975526199</v>
      </c>
      <c r="R72" s="33">
        <v>89.456243084879702</v>
      </c>
      <c r="S72" s="33">
        <v>88.332602707331205</v>
      </c>
      <c r="T72" s="33">
        <v>89.436343644980596</v>
      </c>
      <c r="U72" s="15">
        <v>1.14252456594409E-2</v>
      </c>
      <c r="V72" s="15">
        <v>-1.2150899430996599E-3</v>
      </c>
      <c r="W72" s="15">
        <v>1.1202772047258299E-2</v>
      </c>
      <c r="X72" s="34">
        <v>1.0275357267340499</v>
      </c>
      <c r="Y72" s="34">
        <v>1.03934289630393</v>
      </c>
      <c r="Z72" s="34">
        <v>1.02580803333515</v>
      </c>
      <c r="AA72" s="34">
        <v>1.0368688975526199</v>
      </c>
      <c r="AB72" s="33">
        <v>89.456243084879702</v>
      </c>
      <c r="AC72" s="33">
        <v>88.332602707331205</v>
      </c>
      <c r="AD72" s="33">
        <v>89.436343644980596</v>
      </c>
      <c r="AE72" s="15">
        <v>1.14252456594409E-2</v>
      </c>
      <c r="AF72" s="15">
        <v>-1.2150899430996599E-3</v>
      </c>
      <c r="AG72" s="15">
        <v>1.1202772047258299E-2</v>
      </c>
      <c r="AI72" s="12"/>
      <c r="AJ72">
        <f t="shared" si="6"/>
        <v>0</v>
      </c>
      <c r="AK72">
        <f t="shared" si="7"/>
        <v>1</v>
      </c>
      <c r="AL72">
        <f t="shared" si="14"/>
        <v>0</v>
      </c>
      <c r="AM72">
        <f t="shared" si="4"/>
        <v>1</v>
      </c>
      <c r="AN72">
        <f t="shared" si="15"/>
        <v>0</v>
      </c>
      <c r="AO72" s="28">
        <f t="shared" si="8"/>
        <v>0</v>
      </c>
      <c r="AP72" s="28">
        <f t="shared" si="9"/>
        <v>0</v>
      </c>
      <c r="AQ72" s="28">
        <f t="shared" si="16"/>
        <v>0</v>
      </c>
      <c r="AR72" s="29">
        <f t="shared" si="17"/>
        <v>1.0875409967608329E-2</v>
      </c>
      <c r="AT72" s="12"/>
      <c r="AU72">
        <f t="shared" si="10"/>
        <v>1</v>
      </c>
      <c r="AV72">
        <f t="shared" si="11"/>
        <v>0</v>
      </c>
      <c r="AW72">
        <f t="shared" si="18"/>
        <v>1</v>
      </c>
      <c r="AX72">
        <f t="shared" si="5"/>
        <v>1</v>
      </c>
      <c r="AY72">
        <f t="shared" si="19"/>
        <v>1</v>
      </c>
      <c r="AZ72" s="28">
        <f t="shared" si="12"/>
        <v>6.2543636815703702E-3</v>
      </c>
      <c r="BA72" s="28">
        <f t="shared" si="13"/>
        <v>-4.4000747923640697E-3</v>
      </c>
      <c r="BB72" s="28">
        <f t="shared" si="20"/>
        <v>1.8542888892063005E-3</v>
      </c>
      <c r="BC72" s="29">
        <f t="shared" si="21"/>
        <v>3.9840107218764203E-3</v>
      </c>
      <c r="BE72" s="29">
        <f t="shared" si="22"/>
        <v>1.8542888892063005E-3</v>
      </c>
      <c r="BF72" s="29">
        <f t="shared" si="23"/>
        <v>1.4859420689484735E-2</v>
      </c>
      <c r="BH72" s="29"/>
    </row>
    <row r="73" spans="1:60" x14ac:dyDescent="0.25">
      <c r="A73" s="1">
        <v>46128</v>
      </c>
      <c r="B73" s="33">
        <v>86.67</v>
      </c>
      <c r="C73" s="33">
        <v>88.8</v>
      </c>
      <c r="D73" s="15">
        <v>6.9468844848705903E-3</v>
      </c>
      <c r="E73" s="15">
        <v>4.0622940088789203E-3</v>
      </c>
      <c r="F73" s="33">
        <v>0</v>
      </c>
      <c r="G73" s="33">
        <v>0</v>
      </c>
      <c r="H73" s="33">
        <v>0</v>
      </c>
      <c r="I73" s="33">
        <v>0</v>
      </c>
      <c r="J73" s="33">
        <v>0</v>
      </c>
      <c r="K73" s="33">
        <v>0</v>
      </c>
      <c r="L73" s="33">
        <v>86.67</v>
      </c>
      <c r="M73" s="33">
        <v>88.8</v>
      </c>
      <c r="N73" s="34">
        <v>1.0245759778470001</v>
      </c>
      <c r="O73" s="34">
        <v>1.03934289630393</v>
      </c>
      <c r="P73" s="34">
        <v>1.02565965057464</v>
      </c>
      <c r="Q73" s="34">
        <v>1.0348494105058901</v>
      </c>
      <c r="R73" s="33">
        <v>90.0798488226621</v>
      </c>
      <c r="S73" s="33">
        <v>88.906782249158198</v>
      </c>
      <c r="T73" s="33">
        <v>89.865427350886193</v>
      </c>
      <c r="U73" s="15">
        <v>1.43098361354326E-2</v>
      </c>
      <c r="V73" s="15">
        <v>1.20178037842675E-3</v>
      </c>
      <c r="W73" s="15">
        <v>1.1926649670961201E-2</v>
      </c>
      <c r="X73" s="34">
        <v>1.0245759778470001</v>
      </c>
      <c r="Y73" s="34">
        <v>1.03934289630393</v>
      </c>
      <c r="Z73" s="34">
        <v>1.02565965057464</v>
      </c>
      <c r="AA73" s="34">
        <v>1.0348494105058901</v>
      </c>
      <c r="AB73" s="33">
        <v>90.0798488226621</v>
      </c>
      <c r="AC73" s="33">
        <v>88.906782249158198</v>
      </c>
      <c r="AD73" s="33">
        <v>89.865427350886193</v>
      </c>
      <c r="AE73" s="15">
        <v>1.43098361354326E-2</v>
      </c>
      <c r="AF73" s="15">
        <v>1.20178037842675E-3</v>
      </c>
      <c r="AG73" s="15">
        <v>1.1926649670961201E-2</v>
      </c>
      <c r="AI73" s="12"/>
      <c r="AJ73">
        <f t="shared" si="6"/>
        <v>0</v>
      </c>
      <c r="AK73">
        <f t="shared" si="7"/>
        <v>1</v>
      </c>
      <c r="AL73">
        <f t="shared" si="14"/>
        <v>0</v>
      </c>
      <c r="AM73">
        <f t="shared" si="4"/>
        <v>1</v>
      </c>
      <c r="AN73">
        <f t="shared" si="15"/>
        <v>0</v>
      </c>
      <c r="AO73" s="28">
        <f t="shared" si="8"/>
        <v>0</v>
      </c>
      <c r="AP73" s="28">
        <f t="shared" si="9"/>
        <v>0</v>
      </c>
      <c r="AQ73" s="28">
        <f t="shared" si="16"/>
        <v>0</v>
      </c>
      <c r="AR73" s="29">
        <f t="shared" si="17"/>
        <v>1.0875409967608329E-2</v>
      </c>
      <c r="AT73" s="12"/>
      <c r="AU73">
        <f t="shared" si="10"/>
        <v>1</v>
      </c>
      <c r="AV73">
        <f t="shared" si="11"/>
        <v>0</v>
      </c>
      <c r="AW73">
        <f t="shared" si="18"/>
        <v>1</v>
      </c>
      <c r="AX73">
        <f t="shared" si="5"/>
        <v>1</v>
      </c>
      <c r="AY73">
        <f t="shared" si="19"/>
        <v>1</v>
      </c>
      <c r="AZ73" s="28">
        <f t="shared" si="12"/>
        <v>-6.9468844848705903E-3</v>
      </c>
      <c r="BA73" s="28">
        <f t="shared" si="13"/>
        <v>4.0622940088789203E-3</v>
      </c>
      <c r="BB73" s="28">
        <f t="shared" si="20"/>
        <v>-2.8845904759916699E-3</v>
      </c>
      <c r="BC73" s="29">
        <f t="shared" si="21"/>
        <v>1.0994202458847503E-3</v>
      </c>
      <c r="BE73" s="29">
        <f t="shared" si="22"/>
        <v>-2.8845904759916699E-3</v>
      </c>
      <c r="BF73" s="29">
        <f t="shared" si="23"/>
        <v>1.1974830213493066E-2</v>
      </c>
      <c r="BH73" s="29"/>
    </row>
    <row r="74" spans="1:60" x14ac:dyDescent="0.25">
      <c r="A74" s="1">
        <v>46129</v>
      </c>
      <c r="B74" s="33">
        <v>90.15</v>
      </c>
      <c r="C74" s="33">
        <v>92.79</v>
      </c>
      <c r="D74" s="15">
        <v>3.93671465030727E-2</v>
      </c>
      <c r="E74" s="15">
        <v>4.3952225366963603E-2</v>
      </c>
      <c r="F74" s="33">
        <v>0</v>
      </c>
      <c r="G74" s="33">
        <v>0</v>
      </c>
      <c r="H74" s="33">
        <v>0</v>
      </c>
      <c r="I74" s="33">
        <v>0</v>
      </c>
      <c r="J74" s="33">
        <v>0</v>
      </c>
      <c r="K74" s="33">
        <v>0</v>
      </c>
      <c r="L74" s="33">
        <v>90.15</v>
      </c>
      <c r="M74" s="33">
        <v>92.79</v>
      </c>
      <c r="N74" s="34">
        <v>1.02928452579034</v>
      </c>
      <c r="O74" s="34">
        <v>1.03934289630393</v>
      </c>
      <c r="P74" s="34">
        <v>1.02601457374191</v>
      </c>
      <c r="Q74" s="34">
        <v>1.03325657157802</v>
      </c>
      <c r="R74" s="33">
        <v>93.696762101799806</v>
      </c>
      <c r="S74" s="33">
        <v>92.463217499304307</v>
      </c>
      <c r="T74" s="33">
        <v>93.291674357106601</v>
      </c>
      <c r="U74" s="15">
        <v>9.7247572715417497E-3</v>
      </c>
      <c r="V74" s="15">
        <v>-3.5279585860704698E-3</v>
      </c>
      <c r="W74" s="15">
        <v>5.3919933200895402E-3</v>
      </c>
      <c r="X74" s="34">
        <v>1.02928452579034</v>
      </c>
      <c r="Y74" s="34">
        <v>1.03934289630393</v>
      </c>
      <c r="Z74" s="34">
        <v>1.02601457374191</v>
      </c>
      <c r="AA74" s="34">
        <v>1.03325657157802</v>
      </c>
      <c r="AB74" s="33">
        <v>93.696762101799806</v>
      </c>
      <c r="AC74" s="33">
        <v>92.463217499304307</v>
      </c>
      <c r="AD74" s="33">
        <v>93.291674357106601</v>
      </c>
      <c r="AE74" s="15">
        <v>9.7247572715417497E-3</v>
      </c>
      <c r="AF74" s="15">
        <v>-3.5279585860704698E-3</v>
      </c>
      <c r="AG74" s="15">
        <v>5.3919933200895402E-3</v>
      </c>
      <c r="AI74" s="12"/>
      <c r="AJ74">
        <f t="shared" si="6"/>
        <v>0</v>
      </c>
      <c r="AK74">
        <f t="shared" si="7"/>
        <v>1</v>
      </c>
      <c r="AL74">
        <f t="shared" si="14"/>
        <v>0</v>
      </c>
      <c r="AM74">
        <f t="shared" si="4"/>
        <v>1</v>
      </c>
      <c r="AN74">
        <f t="shared" si="15"/>
        <v>0</v>
      </c>
      <c r="AO74" s="28">
        <f t="shared" si="8"/>
        <v>0</v>
      </c>
      <c r="AP74" s="28">
        <f t="shared" si="9"/>
        <v>0</v>
      </c>
      <c r="AQ74" s="28">
        <f t="shared" si="16"/>
        <v>0</v>
      </c>
      <c r="AR74" s="29">
        <f t="shared" si="17"/>
        <v>1.0875409967608329E-2</v>
      </c>
      <c r="AT74" s="12"/>
      <c r="AU74">
        <f t="shared" si="10"/>
        <v>1</v>
      </c>
      <c r="AV74">
        <f t="shared" si="11"/>
        <v>0</v>
      </c>
      <c r="AW74">
        <f t="shared" si="18"/>
        <v>1</v>
      </c>
      <c r="AX74">
        <f t="shared" si="5"/>
        <v>1</v>
      </c>
      <c r="AY74">
        <f t="shared" si="19"/>
        <v>1</v>
      </c>
      <c r="AZ74" s="28">
        <f t="shared" si="12"/>
        <v>-3.93671465030727E-2</v>
      </c>
      <c r="BA74" s="28">
        <f t="shared" si="13"/>
        <v>4.3952225366963603E-2</v>
      </c>
      <c r="BB74" s="28">
        <f t="shared" si="20"/>
        <v>4.5850788638909026E-3</v>
      </c>
      <c r="BC74" s="29">
        <f t="shared" si="21"/>
        <v>5.684499109775653E-3</v>
      </c>
      <c r="BE74" s="29">
        <f t="shared" si="22"/>
        <v>4.5850788638909026E-3</v>
      </c>
      <c r="BF74" s="29">
        <f t="shared" si="23"/>
        <v>1.6559909077383968E-2</v>
      </c>
      <c r="BH74" s="29"/>
    </row>
    <row r="75" spans="1:60" x14ac:dyDescent="0.25">
      <c r="A75" s="1">
        <v>46132</v>
      </c>
      <c r="B75" s="33">
        <v>91.96</v>
      </c>
      <c r="C75" s="33">
        <v>94.12</v>
      </c>
      <c r="D75" s="15">
        <v>1.98787502456543E-2</v>
      </c>
      <c r="E75" s="15">
        <v>1.42316884940737E-2</v>
      </c>
      <c r="F75" s="33">
        <v>0</v>
      </c>
      <c r="G75" s="33">
        <v>0</v>
      </c>
      <c r="H75" s="33">
        <v>0</v>
      </c>
      <c r="I75" s="33">
        <v>0</v>
      </c>
      <c r="J75" s="33">
        <v>0</v>
      </c>
      <c r="K75" s="33">
        <v>0</v>
      </c>
      <c r="L75" s="33">
        <v>91.96</v>
      </c>
      <c r="M75" s="33">
        <v>94.12</v>
      </c>
      <c r="N75" s="34">
        <v>1.02348847324923</v>
      </c>
      <c r="O75" s="34">
        <v>1.03934289630393</v>
      </c>
      <c r="P75" s="34">
        <v>1.0260058572161499</v>
      </c>
      <c r="Q75" s="34">
        <v>1.03195649361786</v>
      </c>
      <c r="R75" s="33">
        <v>95.5779727441099</v>
      </c>
      <c r="S75" s="33">
        <v>94.352300201306505</v>
      </c>
      <c r="T75" s="33">
        <v>95.018274322314994</v>
      </c>
      <c r="U75" s="15">
        <v>1.53718190231224E-2</v>
      </c>
      <c r="V75" s="15">
        <v>2.4650871103336501E-3</v>
      </c>
      <c r="W75" s="15">
        <v>9.4986705298454408E-3</v>
      </c>
      <c r="X75" s="34">
        <v>1.02348847324923</v>
      </c>
      <c r="Y75" s="34">
        <v>1.03934289630393</v>
      </c>
      <c r="Z75" s="34">
        <v>1.0260058572161499</v>
      </c>
      <c r="AA75" s="34">
        <v>1.03195649361786</v>
      </c>
      <c r="AB75" s="33">
        <v>95.5779727441099</v>
      </c>
      <c r="AC75" s="33">
        <v>94.352300201306505</v>
      </c>
      <c r="AD75" s="33">
        <v>95.018274322314994</v>
      </c>
      <c r="AE75" s="15">
        <v>1.53718190231224E-2</v>
      </c>
      <c r="AF75" s="15">
        <v>2.4650871103336501E-3</v>
      </c>
      <c r="AG75" s="15">
        <v>9.4986705298454408E-3</v>
      </c>
      <c r="AI75" s="12"/>
      <c r="AJ75">
        <f t="shared" si="6"/>
        <v>0</v>
      </c>
      <c r="AK75">
        <f t="shared" si="7"/>
        <v>1</v>
      </c>
      <c r="AL75">
        <f t="shared" si="14"/>
        <v>0</v>
      </c>
      <c r="AM75">
        <f t="shared" si="4"/>
        <v>1</v>
      </c>
      <c r="AN75">
        <f t="shared" si="15"/>
        <v>0</v>
      </c>
      <c r="AO75" s="28">
        <f t="shared" si="8"/>
        <v>0</v>
      </c>
      <c r="AP75" s="28">
        <f t="shared" si="9"/>
        <v>0</v>
      </c>
      <c r="AQ75" s="28">
        <f t="shared" si="16"/>
        <v>0</v>
      </c>
      <c r="AR75" s="29">
        <f t="shared" si="17"/>
        <v>1.0875409967608329E-2</v>
      </c>
      <c r="AT75" s="12"/>
      <c r="AU75">
        <f t="shared" si="10"/>
        <v>1</v>
      </c>
      <c r="AV75">
        <f t="shared" si="11"/>
        <v>0</v>
      </c>
      <c r="AW75">
        <f t="shared" si="18"/>
        <v>1</v>
      </c>
      <c r="AX75">
        <f t="shared" si="5"/>
        <v>1</v>
      </c>
      <c r="AY75">
        <f t="shared" si="19"/>
        <v>1</v>
      </c>
      <c r="AZ75" s="28">
        <f t="shared" si="12"/>
        <v>-1.98787502456543E-2</v>
      </c>
      <c r="BA75" s="28">
        <f t="shared" si="13"/>
        <v>1.42316884940737E-2</v>
      </c>
      <c r="BB75" s="28">
        <f t="shared" si="20"/>
        <v>-5.6470617515805999E-3</v>
      </c>
      <c r="BC75" s="29">
        <f t="shared" si="21"/>
        <v>3.7437358195053019E-5</v>
      </c>
      <c r="BE75" s="29">
        <f t="shared" si="22"/>
        <v>-5.6470617515805999E-3</v>
      </c>
      <c r="BF75" s="29">
        <f t="shared" si="23"/>
        <v>1.0912847325803368E-2</v>
      </c>
      <c r="BH75" s="29"/>
    </row>
    <row r="76" spans="1:60" x14ac:dyDescent="0.25">
      <c r="A76" s="1">
        <v>46133</v>
      </c>
      <c r="B76" s="33">
        <v>92.22</v>
      </c>
      <c r="C76" s="33">
        <v>94.81</v>
      </c>
      <c r="D76" s="15">
        <v>2.8233268835787099E-3</v>
      </c>
      <c r="E76" s="15">
        <v>7.3043250707060499E-3</v>
      </c>
      <c r="F76" s="33">
        <v>0</v>
      </c>
      <c r="G76" s="33">
        <v>0</v>
      </c>
      <c r="H76" s="33">
        <v>0</v>
      </c>
      <c r="I76" s="33">
        <v>0</v>
      </c>
      <c r="J76" s="33">
        <v>0</v>
      </c>
      <c r="K76" s="33">
        <v>0</v>
      </c>
      <c r="L76" s="33">
        <v>92.22</v>
      </c>
      <c r="M76" s="33">
        <v>94.81</v>
      </c>
      <c r="N76" s="34">
        <v>1.0280850140967199</v>
      </c>
      <c r="O76" s="34">
        <v>1.03934289630393</v>
      </c>
      <c r="P76" s="34">
        <v>1.02589333446426</v>
      </c>
      <c r="Q76" s="34">
        <v>1.03077832055764</v>
      </c>
      <c r="R76" s="33">
        <v>95.848201897148996</v>
      </c>
      <c r="S76" s="33">
        <v>94.618260152473496</v>
      </c>
      <c r="T76" s="33">
        <v>95.167027841439094</v>
      </c>
      <c r="U76" s="15">
        <v>1.0890820835995201E-2</v>
      </c>
      <c r="V76" s="15">
        <v>-2.0244066313527599E-3</v>
      </c>
      <c r="W76" s="15">
        <v>3.7586466723827702E-3</v>
      </c>
      <c r="X76" s="34">
        <v>1.0280850140967199</v>
      </c>
      <c r="Y76" s="34">
        <v>1.03934289630393</v>
      </c>
      <c r="Z76" s="34">
        <v>1.02589333446426</v>
      </c>
      <c r="AA76" s="34">
        <v>1.03077832055764</v>
      </c>
      <c r="AB76" s="33">
        <v>95.848201897148996</v>
      </c>
      <c r="AC76" s="33">
        <v>94.618260152473496</v>
      </c>
      <c r="AD76" s="33">
        <v>95.167027841439094</v>
      </c>
      <c r="AE76" s="15">
        <v>1.0890820835995201E-2</v>
      </c>
      <c r="AF76" s="15">
        <v>-2.0244066313527599E-3</v>
      </c>
      <c r="AG76" s="15">
        <v>3.7586466723827702E-3</v>
      </c>
      <c r="AI76" s="12"/>
      <c r="AJ76">
        <f t="shared" si="6"/>
        <v>0</v>
      </c>
      <c r="AK76">
        <f t="shared" si="7"/>
        <v>1</v>
      </c>
      <c r="AL76">
        <f t="shared" si="14"/>
        <v>0</v>
      </c>
      <c r="AM76">
        <f t="shared" si="4"/>
        <v>1</v>
      </c>
      <c r="AN76">
        <f t="shared" si="15"/>
        <v>0</v>
      </c>
      <c r="AO76" s="28">
        <f t="shared" si="8"/>
        <v>0</v>
      </c>
      <c r="AP76" s="28">
        <f t="shared" si="9"/>
        <v>0</v>
      </c>
      <c r="AQ76" s="28">
        <f t="shared" si="16"/>
        <v>0</v>
      </c>
      <c r="AR76" s="29">
        <f t="shared" si="17"/>
        <v>1.0875409967608329E-2</v>
      </c>
      <c r="AT76" s="12"/>
      <c r="AU76">
        <f t="shared" si="10"/>
        <v>0</v>
      </c>
      <c r="AV76">
        <f t="shared" si="11"/>
        <v>0</v>
      </c>
      <c r="AW76">
        <f t="shared" si="18"/>
        <v>1</v>
      </c>
      <c r="AX76">
        <f t="shared" si="5"/>
        <v>1</v>
      </c>
      <c r="AY76">
        <f t="shared" si="19"/>
        <v>1</v>
      </c>
      <c r="AZ76" s="28">
        <f t="shared" si="12"/>
        <v>-2.8233268835787099E-3</v>
      </c>
      <c r="BA76" s="28">
        <f t="shared" si="13"/>
        <v>7.3043250707060499E-3</v>
      </c>
      <c r="BB76" s="28">
        <f t="shared" si="20"/>
        <v>4.4809981871273396E-3</v>
      </c>
      <c r="BC76" s="29">
        <f t="shared" si="21"/>
        <v>4.5184355453223926E-3</v>
      </c>
      <c r="BE76" s="29">
        <f t="shared" si="22"/>
        <v>4.4809981871273396E-3</v>
      </c>
      <c r="BF76" s="29">
        <f t="shared" si="23"/>
        <v>1.5393845512930708E-2</v>
      </c>
      <c r="BH76" s="29"/>
    </row>
    <row r="77" spans="1:60" x14ac:dyDescent="0.25">
      <c r="A77" s="1">
        <v>46134</v>
      </c>
      <c r="B77" s="33">
        <v>91.83</v>
      </c>
      <c r="C77" s="33">
        <v>94.45</v>
      </c>
      <c r="D77" s="15">
        <v>-4.23798515312867E-3</v>
      </c>
      <c r="E77" s="15">
        <v>-3.8042949823492E-3</v>
      </c>
      <c r="F77" s="33">
        <v>0</v>
      </c>
      <c r="G77" s="33">
        <v>0</v>
      </c>
      <c r="H77" s="33">
        <v>0</v>
      </c>
      <c r="I77" s="33">
        <v>0</v>
      </c>
      <c r="J77" s="33">
        <v>0</v>
      </c>
      <c r="K77" s="33">
        <v>0</v>
      </c>
      <c r="L77" s="33">
        <v>91.83</v>
      </c>
      <c r="M77" s="33">
        <v>94.45</v>
      </c>
      <c r="N77" s="34">
        <v>1.0285309811608401</v>
      </c>
      <c r="O77" s="34">
        <v>1.03934289630393</v>
      </c>
      <c r="P77" s="34">
        <v>1.0265792856062801</v>
      </c>
      <c r="Q77" s="34">
        <v>1.02990640947076</v>
      </c>
      <c r="R77" s="33">
        <v>95.442858167590401</v>
      </c>
      <c r="S77" s="33">
        <v>94.207784903853593</v>
      </c>
      <c r="T77" s="33">
        <v>94.6563731768087</v>
      </c>
      <c r="U77" s="15">
        <v>1.04571306652157E-2</v>
      </c>
      <c r="V77" s="15">
        <v>-2.5677734884472598E-3</v>
      </c>
      <c r="W77" s="15">
        <v>2.1826155858076599E-3</v>
      </c>
      <c r="X77" s="34">
        <v>1.0285309811608401</v>
      </c>
      <c r="Y77" s="34">
        <v>1.03934289630393</v>
      </c>
      <c r="Z77" s="34">
        <v>1.0265792856062801</v>
      </c>
      <c r="AA77" s="34">
        <v>1.02990640947076</v>
      </c>
      <c r="AB77" s="33">
        <v>95.442858167590401</v>
      </c>
      <c r="AC77" s="33">
        <v>94.207784903853593</v>
      </c>
      <c r="AD77" s="33">
        <v>94.6563731768087</v>
      </c>
      <c r="AE77" s="15">
        <v>1.04571306652157E-2</v>
      </c>
      <c r="AF77" s="15">
        <v>-2.5677734884472598E-3</v>
      </c>
      <c r="AG77" s="15">
        <v>2.1826155858076599E-3</v>
      </c>
      <c r="AI77" s="12"/>
      <c r="AJ77">
        <f t="shared" si="6"/>
        <v>0</v>
      </c>
      <c r="AK77">
        <f t="shared" si="7"/>
        <v>1</v>
      </c>
      <c r="AL77">
        <f t="shared" si="14"/>
        <v>0</v>
      </c>
      <c r="AM77">
        <f t="shared" si="4"/>
        <v>1</v>
      </c>
      <c r="AN77">
        <f t="shared" si="15"/>
        <v>0</v>
      </c>
      <c r="AO77" s="28">
        <f t="shared" si="8"/>
        <v>0</v>
      </c>
      <c r="AP77" s="28">
        <f t="shared" si="9"/>
        <v>0</v>
      </c>
      <c r="AQ77" s="28">
        <f t="shared" si="16"/>
        <v>0</v>
      </c>
      <c r="AR77" s="29">
        <f t="shared" si="17"/>
        <v>1.0875409967608329E-2</v>
      </c>
      <c r="AT77" s="12"/>
      <c r="AU77">
        <f t="shared" si="10"/>
        <v>0</v>
      </c>
      <c r="AV77">
        <f t="shared" si="11"/>
        <v>0</v>
      </c>
      <c r="AW77">
        <f t="shared" si="18"/>
        <v>1</v>
      </c>
      <c r="AX77">
        <f t="shared" si="5"/>
        <v>1</v>
      </c>
      <c r="AY77">
        <f t="shared" si="19"/>
        <v>1</v>
      </c>
      <c r="AZ77" s="28">
        <f t="shared" si="12"/>
        <v>4.23798515312867E-3</v>
      </c>
      <c r="BA77" s="28">
        <f t="shared" si="13"/>
        <v>-3.8042949823492E-3</v>
      </c>
      <c r="BB77" s="28">
        <f t="shared" si="20"/>
        <v>4.3369017077947002E-4</v>
      </c>
      <c r="BC77" s="29">
        <f t="shared" si="21"/>
        <v>4.9521257161018626E-3</v>
      </c>
      <c r="BE77" s="29">
        <f t="shared" si="22"/>
        <v>4.3369017077947002E-4</v>
      </c>
      <c r="BF77" s="29">
        <f t="shared" si="23"/>
        <v>1.5827535683710179E-2</v>
      </c>
      <c r="BH77" s="29"/>
    </row>
    <row r="78" spans="1:60" x14ac:dyDescent="0.25">
      <c r="A78" s="1">
        <v>46135</v>
      </c>
      <c r="B78" s="33">
        <v>92.14</v>
      </c>
      <c r="C78" s="33">
        <v>94.18</v>
      </c>
      <c r="D78" s="15">
        <v>3.3701178823401E-3</v>
      </c>
      <c r="E78" s="15">
        <v>-2.86274913210997E-3</v>
      </c>
      <c r="F78" s="33">
        <v>0</v>
      </c>
      <c r="G78" s="33">
        <v>0</v>
      </c>
      <c r="H78" s="33">
        <v>0</v>
      </c>
      <c r="I78" s="33">
        <v>0</v>
      </c>
      <c r="J78" s="33">
        <v>0</v>
      </c>
      <c r="K78" s="33">
        <v>0</v>
      </c>
      <c r="L78" s="33">
        <v>92.14</v>
      </c>
      <c r="M78" s="33">
        <v>94.18</v>
      </c>
      <c r="N78" s="34">
        <v>1.0221402214022099</v>
      </c>
      <c r="O78" s="34">
        <v>1.03934289630393</v>
      </c>
      <c r="P78" s="34">
        <v>1.0263983739526099</v>
      </c>
      <c r="Q78" s="34">
        <v>1.0288284324281101</v>
      </c>
      <c r="R78" s="33">
        <v>95.765054465444607</v>
      </c>
      <c r="S78" s="33">
        <v>94.589015375763296</v>
      </c>
      <c r="T78" s="33">
        <v>94.895576568635903</v>
      </c>
      <c r="U78" s="15">
        <v>1.6689997679665801E-2</v>
      </c>
      <c r="V78" s="15">
        <v>4.3335079651060397E-3</v>
      </c>
      <c r="W78" s="15">
        <v>7.5692482139762896E-3</v>
      </c>
      <c r="X78" s="34">
        <v>1.0221402214022099</v>
      </c>
      <c r="Y78" s="34">
        <v>1.03934289630393</v>
      </c>
      <c r="Z78" s="34">
        <v>1.0263983739526099</v>
      </c>
      <c r="AA78" s="34">
        <v>1.0288284324281101</v>
      </c>
      <c r="AB78" s="33">
        <v>95.765054465444607</v>
      </c>
      <c r="AC78" s="33">
        <v>94.589015375763296</v>
      </c>
      <c r="AD78" s="33">
        <v>94.895576568635903</v>
      </c>
      <c r="AE78" s="15">
        <v>1.6689997679665801E-2</v>
      </c>
      <c r="AF78" s="15">
        <v>4.3335079651060397E-3</v>
      </c>
      <c r="AG78" s="15">
        <v>7.5692482139762896E-3</v>
      </c>
      <c r="AI78" s="12"/>
      <c r="AJ78">
        <f t="shared" si="6"/>
        <v>0</v>
      </c>
      <c r="AK78">
        <f t="shared" si="7"/>
        <v>1</v>
      </c>
      <c r="AL78">
        <f t="shared" si="14"/>
        <v>0</v>
      </c>
      <c r="AM78">
        <f t="shared" si="4"/>
        <v>1</v>
      </c>
      <c r="AN78">
        <f t="shared" si="15"/>
        <v>0</v>
      </c>
      <c r="AO78" s="28">
        <f t="shared" si="8"/>
        <v>0</v>
      </c>
      <c r="AP78" s="28">
        <f t="shared" si="9"/>
        <v>0</v>
      </c>
      <c r="AQ78" s="28">
        <f t="shared" si="16"/>
        <v>0</v>
      </c>
      <c r="AR78" s="29">
        <f t="shared" si="17"/>
        <v>1.0875409967608329E-2</v>
      </c>
      <c r="AT78" s="12"/>
      <c r="AU78">
        <f t="shared" si="10"/>
        <v>1</v>
      </c>
      <c r="AV78">
        <f t="shared" si="11"/>
        <v>0</v>
      </c>
      <c r="AW78">
        <f t="shared" si="18"/>
        <v>1</v>
      </c>
      <c r="AX78">
        <f t="shared" si="5"/>
        <v>1</v>
      </c>
      <c r="AY78">
        <f t="shared" si="19"/>
        <v>1</v>
      </c>
      <c r="AZ78" s="28">
        <f t="shared" si="12"/>
        <v>-3.3701178823401E-3</v>
      </c>
      <c r="BA78" s="28">
        <f t="shared" si="13"/>
        <v>-2.86274913210997E-3</v>
      </c>
      <c r="BB78" s="28">
        <f t="shared" si="20"/>
        <v>-6.2328670144500701E-3</v>
      </c>
      <c r="BC78" s="29">
        <f t="shared" si="21"/>
        <v>-1.2807412983482074E-3</v>
      </c>
      <c r="BE78" s="29">
        <f t="shared" si="22"/>
        <v>-6.2328670144500701E-3</v>
      </c>
      <c r="BF78" s="29">
        <f t="shared" si="23"/>
        <v>9.5946686692601098E-3</v>
      </c>
      <c r="BH78" s="29"/>
    </row>
    <row r="79" spans="1:60" x14ac:dyDescent="0.25">
      <c r="A79" s="1">
        <v>46136</v>
      </c>
      <c r="B79" s="33">
        <v>91.5</v>
      </c>
      <c r="C79" s="33">
        <v>94.05</v>
      </c>
      <c r="D79" s="15">
        <v>-6.9701872262952604E-3</v>
      </c>
      <c r="E79" s="15">
        <v>-1.3812890683692299E-3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91.5</v>
      </c>
      <c r="M79" s="33">
        <v>94.05</v>
      </c>
      <c r="N79" s="34">
        <v>1.0278688524590101</v>
      </c>
      <c r="O79" s="34">
        <v>1.03934289630393</v>
      </c>
      <c r="P79" s="34">
        <v>1.02647225989119</v>
      </c>
      <c r="Q79" s="34">
        <v>1.0279259273986701</v>
      </c>
      <c r="R79" s="33">
        <v>95.099875011810099</v>
      </c>
      <c r="S79" s="33">
        <v>93.915451216663897</v>
      </c>
      <c r="T79" s="33">
        <v>94.137801567172303</v>
      </c>
      <c r="U79" s="15">
        <v>1.11010995217397E-2</v>
      </c>
      <c r="V79" s="15">
        <v>-1.4316333714070499E-3</v>
      </c>
      <c r="W79" s="15">
        <v>9.3312715077299095E-4</v>
      </c>
      <c r="X79" s="34">
        <v>1.0278688524590101</v>
      </c>
      <c r="Y79" s="34">
        <v>1.03934289630393</v>
      </c>
      <c r="Z79" s="34">
        <v>1.02647225989119</v>
      </c>
      <c r="AA79" s="34">
        <v>1.0279259273986701</v>
      </c>
      <c r="AB79" s="33">
        <v>95.099875011810099</v>
      </c>
      <c r="AC79" s="33">
        <v>93.915451216663897</v>
      </c>
      <c r="AD79" s="33">
        <v>94.137801567172303</v>
      </c>
      <c r="AE79" s="15">
        <v>1.11010995217397E-2</v>
      </c>
      <c r="AF79" s="15">
        <v>-1.4316333714070499E-3</v>
      </c>
      <c r="AG79" s="15">
        <v>9.3312715077299095E-4</v>
      </c>
      <c r="AI79" s="12"/>
      <c r="AJ79">
        <f t="shared" si="6"/>
        <v>0</v>
      </c>
      <c r="AK79">
        <f t="shared" si="7"/>
        <v>1</v>
      </c>
      <c r="AL79">
        <f t="shared" si="14"/>
        <v>0</v>
      </c>
      <c r="AM79">
        <f t="shared" si="4"/>
        <v>1</v>
      </c>
      <c r="AN79">
        <f t="shared" si="15"/>
        <v>0</v>
      </c>
      <c r="AO79" s="28">
        <f t="shared" si="8"/>
        <v>0</v>
      </c>
      <c r="AP79" s="28">
        <f t="shared" si="9"/>
        <v>0</v>
      </c>
      <c r="AQ79" s="28">
        <f t="shared" si="16"/>
        <v>0</v>
      </c>
      <c r="AR79" s="29">
        <f t="shared" si="17"/>
        <v>1.0875409967608329E-2</v>
      </c>
      <c r="AT79" s="12"/>
      <c r="AU79">
        <f t="shared" si="10"/>
        <v>0</v>
      </c>
      <c r="AV79">
        <f t="shared" si="11"/>
        <v>1</v>
      </c>
      <c r="AW79">
        <f t="shared" si="18"/>
        <v>1</v>
      </c>
      <c r="AX79">
        <f t="shared" si="5"/>
        <v>1</v>
      </c>
      <c r="AY79">
        <f t="shared" si="19"/>
        <v>1</v>
      </c>
      <c r="AZ79" s="28">
        <f t="shared" si="12"/>
        <v>6.9701872262952604E-3</v>
      </c>
      <c r="BA79" s="28">
        <f t="shared" si="13"/>
        <v>-1.3812890683692299E-3</v>
      </c>
      <c r="BB79" s="28">
        <f t="shared" si="20"/>
        <v>5.58889815792603E-3</v>
      </c>
      <c r="BC79" s="29">
        <f t="shared" si="21"/>
        <v>4.3081568595778226E-3</v>
      </c>
      <c r="BE79" s="29">
        <f t="shared" si="22"/>
        <v>5.58889815792603E-3</v>
      </c>
      <c r="BF79" s="29">
        <f t="shared" si="23"/>
        <v>1.518356682718614E-2</v>
      </c>
      <c r="BH79" s="29"/>
    </row>
    <row r="80" spans="1:60" x14ac:dyDescent="0.25">
      <c r="A80" s="1">
        <v>46139</v>
      </c>
      <c r="B80" s="33">
        <v>90.98</v>
      </c>
      <c r="C80" s="33">
        <v>93.25</v>
      </c>
      <c r="D80" s="15">
        <v>-5.69927013961752E-3</v>
      </c>
      <c r="E80" s="15">
        <v>-8.54249722311449E-3</v>
      </c>
      <c r="F80" s="33">
        <v>0</v>
      </c>
      <c r="G80" s="33">
        <v>0</v>
      </c>
      <c r="H80" s="33">
        <v>0</v>
      </c>
      <c r="I80" s="33">
        <v>0</v>
      </c>
      <c r="J80" s="33">
        <v>0</v>
      </c>
      <c r="K80" s="33">
        <v>0</v>
      </c>
      <c r="L80" s="33">
        <v>90.98</v>
      </c>
      <c r="M80" s="33">
        <v>93.25</v>
      </c>
      <c r="N80" s="34">
        <v>1.0249505385799</v>
      </c>
      <c r="O80" s="34">
        <v>1.03934289630393</v>
      </c>
      <c r="P80" s="34">
        <v>1.0262092455413501</v>
      </c>
      <c r="Q80" s="34">
        <v>1.0268242663926299</v>
      </c>
      <c r="R80" s="33">
        <v>94.559416705732104</v>
      </c>
      <c r="S80" s="33">
        <v>93.388446204900802</v>
      </c>
      <c r="T80" s="33">
        <v>93.520700874731006</v>
      </c>
      <c r="U80" s="15">
        <v>1.3944326605236699E-2</v>
      </c>
      <c r="V80" s="15">
        <v>1.48357675612209E-3</v>
      </c>
      <c r="W80" s="15">
        <v>2.8987529951572202E-3</v>
      </c>
      <c r="X80" s="34">
        <v>1.0249505385799</v>
      </c>
      <c r="Y80" s="34">
        <v>1.03934289630393</v>
      </c>
      <c r="Z80" s="34">
        <v>1.0262092455413501</v>
      </c>
      <c r="AA80" s="34">
        <v>1.0268242663926299</v>
      </c>
      <c r="AB80" s="33">
        <v>94.559416705732104</v>
      </c>
      <c r="AC80" s="33">
        <v>93.388446204900802</v>
      </c>
      <c r="AD80" s="33">
        <v>93.520700874731006</v>
      </c>
      <c r="AE80" s="15">
        <v>1.3944326605236699E-2</v>
      </c>
      <c r="AF80" s="15">
        <v>1.48357675612209E-3</v>
      </c>
      <c r="AG80" s="15">
        <v>2.8987529951572202E-3</v>
      </c>
      <c r="AI80" s="12"/>
      <c r="AJ80">
        <f t="shared" si="6"/>
        <v>0</v>
      </c>
      <c r="AK80">
        <f t="shared" si="7"/>
        <v>1</v>
      </c>
      <c r="AL80">
        <f t="shared" si="14"/>
        <v>0</v>
      </c>
      <c r="AM80">
        <f t="shared" si="4"/>
        <v>1</v>
      </c>
      <c r="AN80">
        <f t="shared" si="15"/>
        <v>0</v>
      </c>
      <c r="AO80" s="28">
        <f t="shared" si="8"/>
        <v>0</v>
      </c>
      <c r="AP80" s="28">
        <f t="shared" si="9"/>
        <v>0</v>
      </c>
      <c r="AQ80" s="28">
        <f t="shared" si="16"/>
        <v>0</v>
      </c>
      <c r="AR80" s="29">
        <f t="shared" si="17"/>
        <v>1.0875409967608329E-2</v>
      </c>
      <c r="AT80" s="12"/>
      <c r="AU80">
        <f t="shared" si="10"/>
        <v>0</v>
      </c>
      <c r="AV80">
        <f t="shared" si="11"/>
        <v>0</v>
      </c>
      <c r="AW80">
        <f t="shared" si="18"/>
        <v>0</v>
      </c>
      <c r="AX80">
        <f t="shared" si="5"/>
        <v>1</v>
      </c>
      <c r="AY80">
        <f t="shared" si="19"/>
        <v>0</v>
      </c>
      <c r="AZ80" s="28">
        <f t="shared" si="12"/>
        <v>0</v>
      </c>
      <c r="BA80" s="28">
        <f t="shared" si="13"/>
        <v>0</v>
      </c>
      <c r="BB80" s="28">
        <f t="shared" si="20"/>
        <v>0</v>
      </c>
      <c r="BC80" s="29">
        <f t="shared" si="21"/>
        <v>4.3081568595778226E-3</v>
      </c>
      <c r="BE80" s="29">
        <f t="shared" si="22"/>
        <v>0</v>
      </c>
      <c r="BF80" s="29">
        <f t="shared" si="23"/>
        <v>1.518356682718614E-2</v>
      </c>
      <c r="BH80" s="29"/>
    </row>
    <row r="81" spans="1:60" x14ac:dyDescent="0.25">
      <c r="A81" s="1">
        <v>46140</v>
      </c>
      <c r="B81" s="33">
        <v>89.93</v>
      </c>
      <c r="C81" s="33">
        <v>92.32</v>
      </c>
      <c r="D81" s="15">
        <v>-1.16081122154339E-2</v>
      </c>
      <c r="E81" s="15">
        <v>-1.00232557641355E-2</v>
      </c>
      <c r="F81" s="33">
        <v>0</v>
      </c>
      <c r="G81" s="33">
        <v>0</v>
      </c>
      <c r="H81" s="33">
        <v>0</v>
      </c>
      <c r="I81" s="33">
        <v>0</v>
      </c>
      <c r="J81" s="33">
        <v>0</v>
      </c>
      <c r="K81" s="33">
        <v>0</v>
      </c>
      <c r="L81" s="33">
        <v>89.93</v>
      </c>
      <c r="M81" s="33">
        <v>92.32</v>
      </c>
      <c r="N81" s="34">
        <v>1.0265762259535101</v>
      </c>
      <c r="O81" s="34">
        <v>1.03934289630393</v>
      </c>
      <c r="P81" s="34">
        <v>1.0263036537272801</v>
      </c>
      <c r="Q81" s="34">
        <v>1.02629579518786</v>
      </c>
      <c r="R81" s="33">
        <v>93.468106664612904</v>
      </c>
      <c r="S81" s="33">
        <v>92.286997451534205</v>
      </c>
      <c r="T81" s="33">
        <v>92.3423062766893</v>
      </c>
      <c r="U81" s="15">
        <v>1.23594701539383E-2</v>
      </c>
      <c r="V81" s="15">
        <v>-3.5754385557370302E-4</v>
      </c>
      <c r="W81" s="15">
        <v>2.41589929722181E-4</v>
      </c>
      <c r="X81" s="34">
        <v>1.0265762259535101</v>
      </c>
      <c r="Y81" s="34">
        <v>1.03934289630393</v>
      </c>
      <c r="Z81" s="34">
        <v>1.0263036537272801</v>
      </c>
      <c r="AA81" s="34">
        <v>1.02629579518786</v>
      </c>
      <c r="AB81" s="33">
        <v>93.468106664612904</v>
      </c>
      <c r="AC81" s="33">
        <v>92.286997451534205</v>
      </c>
      <c r="AD81" s="33">
        <v>92.3423062766893</v>
      </c>
      <c r="AE81" s="15">
        <v>1.23594701539383E-2</v>
      </c>
      <c r="AF81" s="15">
        <v>-3.5754385557370302E-4</v>
      </c>
      <c r="AG81" s="15">
        <v>2.41589929722181E-4</v>
      </c>
      <c r="AI81" s="12"/>
      <c r="AJ81">
        <f t="shared" si="6"/>
        <v>0</v>
      </c>
      <c r="AK81">
        <f t="shared" si="7"/>
        <v>1</v>
      </c>
      <c r="AL81">
        <f t="shared" si="14"/>
        <v>0</v>
      </c>
      <c r="AM81">
        <f t="shared" si="4"/>
        <v>1</v>
      </c>
      <c r="AN81">
        <f t="shared" si="15"/>
        <v>0</v>
      </c>
      <c r="AO81" s="28">
        <f t="shared" si="8"/>
        <v>0</v>
      </c>
      <c r="AP81" s="28">
        <f t="shared" si="9"/>
        <v>0</v>
      </c>
      <c r="AQ81" s="28">
        <f t="shared" si="16"/>
        <v>0</v>
      </c>
      <c r="AR81" s="29">
        <f t="shared" si="17"/>
        <v>1.0875409967608329E-2</v>
      </c>
      <c r="AT81" s="12"/>
      <c r="AU81">
        <f t="shared" si="10"/>
        <v>0</v>
      </c>
      <c r="AV81">
        <f t="shared" si="11"/>
        <v>1</v>
      </c>
      <c r="AW81">
        <f t="shared" si="18"/>
        <v>0</v>
      </c>
      <c r="AX81">
        <f t="shared" si="5"/>
        <v>1</v>
      </c>
      <c r="AY81">
        <f t="shared" si="19"/>
        <v>0</v>
      </c>
      <c r="AZ81" s="28">
        <f t="shared" si="12"/>
        <v>0</v>
      </c>
      <c r="BA81" s="28">
        <f t="shared" si="13"/>
        <v>0</v>
      </c>
      <c r="BB81" s="28">
        <f t="shared" si="20"/>
        <v>0</v>
      </c>
      <c r="BC81" s="29">
        <f t="shared" si="21"/>
        <v>4.3081568595778226E-3</v>
      </c>
      <c r="BE81" s="29">
        <f t="shared" si="22"/>
        <v>0</v>
      </c>
      <c r="BF81" s="29">
        <f t="shared" si="23"/>
        <v>1.518356682718614E-2</v>
      </c>
      <c r="BH81" s="29"/>
    </row>
    <row r="82" spans="1:60" x14ac:dyDescent="0.25">
      <c r="A82" s="1">
        <v>46141</v>
      </c>
      <c r="B82" s="33">
        <v>86.17</v>
      </c>
      <c r="C82" s="33">
        <v>88.71</v>
      </c>
      <c r="D82" s="15">
        <v>-4.2709500674748699E-2</v>
      </c>
      <c r="E82" s="15">
        <v>-3.9888180227293797E-2</v>
      </c>
      <c r="F82" s="33">
        <v>0</v>
      </c>
      <c r="G82" s="33">
        <v>0</v>
      </c>
      <c r="H82" s="33">
        <v>0</v>
      </c>
      <c r="I82" s="33">
        <v>0</v>
      </c>
      <c r="J82" s="33">
        <v>0</v>
      </c>
      <c r="K82" s="33">
        <v>0</v>
      </c>
      <c r="L82" s="33">
        <v>86.17</v>
      </c>
      <c r="M82" s="33">
        <v>88.71</v>
      </c>
      <c r="N82" s="34">
        <v>1.02947661599164</v>
      </c>
      <c r="O82" s="34">
        <v>1.03934289630393</v>
      </c>
      <c r="P82" s="34">
        <v>1.0264977426530399</v>
      </c>
      <c r="Q82" s="34">
        <v>1.0261528879941</v>
      </c>
      <c r="R82" s="33">
        <v>89.560177374510104</v>
      </c>
      <c r="S82" s="33">
        <v>88.436585841680298</v>
      </c>
      <c r="T82" s="33">
        <v>88.435908671338197</v>
      </c>
      <c r="U82" s="15">
        <v>9.5381497064835601E-3</v>
      </c>
      <c r="V82" s="15">
        <v>-3.0868715208826202E-3</v>
      </c>
      <c r="W82" s="15">
        <v>-3.0945286791536899E-3</v>
      </c>
      <c r="X82" s="34">
        <v>1.02947661599164</v>
      </c>
      <c r="Y82" s="34">
        <v>1.03934289630393</v>
      </c>
      <c r="Z82" s="34">
        <v>1.0264977426530399</v>
      </c>
      <c r="AA82" s="34">
        <v>1.0261528879941</v>
      </c>
      <c r="AB82" s="33">
        <v>89.560177374510104</v>
      </c>
      <c r="AC82" s="33">
        <v>88.436585841680298</v>
      </c>
      <c r="AD82" s="33">
        <v>88.435908671338197</v>
      </c>
      <c r="AE82" s="15">
        <v>9.5381497064835601E-3</v>
      </c>
      <c r="AF82" s="15">
        <v>-3.0868715208826202E-3</v>
      </c>
      <c r="AG82" s="15">
        <v>-3.0945286791536899E-3</v>
      </c>
      <c r="AI82" s="12"/>
      <c r="AJ82">
        <f t="shared" si="6"/>
        <v>0</v>
      </c>
      <c r="AK82">
        <f t="shared" si="7"/>
        <v>0</v>
      </c>
      <c r="AL82">
        <f t="shared" si="14"/>
        <v>0</v>
      </c>
      <c r="AM82">
        <f t="shared" si="4"/>
        <v>1</v>
      </c>
      <c r="AN82">
        <f t="shared" si="15"/>
        <v>0</v>
      </c>
      <c r="AO82" s="28">
        <f t="shared" si="8"/>
        <v>0</v>
      </c>
      <c r="AP82" s="28">
        <f t="shared" si="9"/>
        <v>0</v>
      </c>
      <c r="AQ82" s="28">
        <f t="shared" si="16"/>
        <v>0</v>
      </c>
      <c r="AR82" s="29">
        <f t="shared" si="17"/>
        <v>1.0875409967608329E-2</v>
      </c>
      <c r="AT82" s="12"/>
      <c r="AU82">
        <f t="shared" si="10"/>
        <v>0</v>
      </c>
      <c r="AV82">
        <f t="shared" si="11"/>
        <v>1</v>
      </c>
      <c r="AW82">
        <f t="shared" si="18"/>
        <v>0</v>
      </c>
      <c r="AX82">
        <f t="shared" si="5"/>
        <v>1</v>
      </c>
      <c r="AY82">
        <f t="shared" si="19"/>
        <v>0</v>
      </c>
      <c r="AZ82" s="28">
        <f t="shared" si="12"/>
        <v>0</v>
      </c>
      <c r="BA82" s="28">
        <f t="shared" si="13"/>
        <v>0</v>
      </c>
      <c r="BB82" s="28">
        <f t="shared" si="20"/>
        <v>0</v>
      </c>
      <c r="BC82" s="29">
        <f t="shared" si="21"/>
        <v>4.3081568595778226E-3</v>
      </c>
      <c r="BE82" s="29">
        <f t="shared" si="22"/>
        <v>0</v>
      </c>
      <c r="BF82" s="29">
        <f t="shared" si="23"/>
        <v>1.518356682718614E-2</v>
      </c>
      <c r="BH82" s="29"/>
    </row>
    <row r="83" spans="1:60" x14ac:dyDescent="0.25">
      <c r="A83" s="1">
        <v>46142</v>
      </c>
      <c r="B83" s="33">
        <v>88.38</v>
      </c>
      <c r="C83" s="33">
        <v>90.3</v>
      </c>
      <c r="D83" s="15">
        <v>2.53236104509184E-2</v>
      </c>
      <c r="E83" s="15">
        <v>1.7764837890444099E-2</v>
      </c>
      <c r="F83" s="33">
        <v>0</v>
      </c>
      <c r="G83" s="33">
        <v>0</v>
      </c>
      <c r="H83" s="33">
        <v>0</v>
      </c>
      <c r="I83" s="33">
        <v>0</v>
      </c>
      <c r="J83" s="33">
        <v>0</v>
      </c>
      <c r="K83" s="33">
        <v>0</v>
      </c>
      <c r="L83" s="33">
        <v>88.38</v>
      </c>
      <c r="M83" s="33">
        <v>90.3</v>
      </c>
      <c r="N83" s="34">
        <v>1.0217243720298701</v>
      </c>
      <c r="O83" s="34">
        <v>1.03934289630393</v>
      </c>
      <c r="P83" s="34">
        <v>1.0262125820713299</v>
      </c>
      <c r="Q83" s="34">
        <v>1.0259361163229801</v>
      </c>
      <c r="R83" s="33">
        <v>91.857125175341807</v>
      </c>
      <c r="S83" s="33">
        <v>90.7218704956762</v>
      </c>
      <c r="T83" s="33">
        <v>90.691392240918802</v>
      </c>
      <c r="U83" s="15">
        <v>1.70969222669577E-2</v>
      </c>
      <c r="V83" s="15">
        <v>4.6609976825297298E-3</v>
      </c>
      <c r="W83" s="15">
        <v>4.3249885662788598E-3</v>
      </c>
      <c r="X83" s="34">
        <v>1.0217243720298701</v>
      </c>
      <c r="Y83" s="34">
        <v>1.03934289630393</v>
      </c>
      <c r="Z83" s="34">
        <v>1.0262125820713299</v>
      </c>
      <c r="AA83" s="34">
        <v>1.0259361163229801</v>
      </c>
      <c r="AB83" s="33">
        <v>91.857125175341807</v>
      </c>
      <c r="AC83" s="33">
        <v>90.7218704956762</v>
      </c>
      <c r="AD83" s="33">
        <v>90.691392240918802</v>
      </c>
      <c r="AE83" s="15">
        <v>1.70969222669577E-2</v>
      </c>
      <c r="AF83" s="15">
        <v>4.6609976825297298E-3</v>
      </c>
      <c r="AG83" s="15">
        <v>4.3249885662788598E-3</v>
      </c>
      <c r="AI83" s="12"/>
      <c r="AJ83">
        <f t="shared" si="6"/>
        <v>0</v>
      </c>
      <c r="AK83">
        <f t="shared" si="7"/>
        <v>1</v>
      </c>
      <c r="AL83">
        <f t="shared" si="14"/>
        <v>0</v>
      </c>
      <c r="AM83">
        <f t="shared" si="4"/>
        <v>1</v>
      </c>
      <c r="AN83">
        <f t="shared" si="15"/>
        <v>0</v>
      </c>
      <c r="AO83" s="28">
        <f t="shared" si="8"/>
        <v>0</v>
      </c>
      <c r="AP83" s="28">
        <f t="shared" si="9"/>
        <v>0</v>
      </c>
      <c r="AQ83" s="28">
        <f t="shared" si="16"/>
        <v>0</v>
      </c>
      <c r="AR83" s="29">
        <f t="shared" si="17"/>
        <v>1.0875409967608329E-2</v>
      </c>
      <c r="AT83" s="12"/>
      <c r="AU83">
        <f t="shared" si="10"/>
        <v>1</v>
      </c>
      <c r="AV83">
        <f t="shared" si="11"/>
        <v>0</v>
      </c>
      <c r="AW83">
        <f t="shared" si="18"/>
        <v>0</v>
      </c>
      <c r="AX83">
        <f t="shared" si="5"/>
        <v>1</v>
      </c>
      <c r="AY83">
        <f t="shared" si="19"/>
        <v>0</v>
      </c>
      <c r="AZ83" s="28">
        <f t="shared" si="12"/>
        <v>0</v>
      </c>
      <c r="BA83" s="28">
        <f t="shared" si="13"/>
        <v>0</v>
      </c>
      <c r="BB83" s="28">
        <f t="shared" si="20"/>
        <v>0</v>
      </c>
      <c r="BC83" s="29">
        <f t="shared" si="21"/>
        <v>4.3081568595778226E-3</v>
      </c>
      <c r="BE83" s="29">
        <f t="shared" si="22"/>
        <v>0</v>
      </c>
      <c r="BF83" s="29">
        <f t="shared" si="23"/>
        <v>1.518356682718614E-2</v>
      </c>
      <c r="BH83" s="29"/>
    </row>
    <row r="84" spans="1:60" x14ac:dyDescent="0.25">
      <c r="A84" s="1">
        <v>46143</v>
      </c>
      <c r="B84" s="33">
        <v>86.31</v>
      </c>
      <c r="C84" s="33">
        <v>88.45</v>
      </c>
      <c r="D84" s="15">
        <v>-2.3700233471027499E-2</v>
      </c>
      <c r="E84" s="15">
        <v>-2.0700039817145299E-2</v>
      </c>
      <c r="F84" s="33">
        <v>0</v>
      </c>
      <c r="G84" s="33">
        <v>0</v>
      </c>
      <c r="H84" s="33">
        <v>0</v>
      </c>
      <c r="I84" s="33">
        <v>0</v>
      </c>
      <c r="J84" s="33">
        <v>0</v>
      </c>
      <c r="K84" s="33">
        <v>0</v>
      </c>
      <c r="L84" s="33">
        <v>86.31</v>
      </c>
      <c r="M84" s="33">
        <v>88.45</v>
      </c>
      <c r="N84" s="34">
        <v>1.02479434596222</v>
      </c>
      <c r="O84" s="34">
        <v>1.03934289630393</v>
      </c>
      <c r="P84" s="34">
        <v>1.0257635640885201</v>
      </c>
      <c r="Q84" s="34">
        <v>1.02588906891521</v>
      </c>
      <c r="R84" s="33">
        <v>89.705685379992701</v>
      </c>
      <c r="S84" s="33">
        <v>88.572407958576704</v>
      </c>
      <c r="T84" s="33">
        <v>88.548546199837205</v>
      </c>
      <c r="U84" s="15">
        <v>1.40967286130753E-2</v>
      </c>
      <c r="V84" s="15">
        <v>1.3829659137287E-3</v>
      </c>
      <c r="W84" s="15">
        <v>1.11352564340902E-3</v>
      </c>
      <c r="X84" s="34">
        <v>1.02479434596222</v>
      </c>
      <c r="Y84" s="34">
        <v>1.03934289630393</v>
      </c>
      <c r="Z84" s="34">
        <v>1.0257635640885201</v>
      </c>
      <c r="AA84" s="34">
        <v>1.02588906891521</v>
      </c>
      <c r="AB84" s="33">
        <v>89.705685379992701</v>
      </c>
      <c r="AC84" s="33">
        <v>88.572407958576704</v>
      </c>
      <c r="AD84" s="33">
        <v>88.548546199837205</v>
      </c>
      <c r="AE84" s="15">
        <v>1.40967286130753E-2</v>
      </c>
      <c r="AF84" s="15">
        <v>1.3829659137287E-3</v>
      </c>
      <c r="AG84" s="15">
        <v>1.11352564340902E-3</v>
      </c>
      <c r="AI84" s="12"/>
      <c r="AJ84">
        <f t="shared" si="6"/>
        <v>0</v>
      </c>
      <c r="AK84">
        <f t="shared" si="7"/>
        <v>1</v>
      </c>
      <c r="AL84">
        <f t="shared" si="14"/>
        <v>0</v>
      </c>
      <c r="AM84">
        <f t="shared" si="4"/>
        <v>1</v>
      </c>
      <c r="AN84">
        <f t="shared" si="15"/>
        <v>0</v>
      </c>
      <c r="AO84" s="28">
        <f t="shared" si="8"/>
        <v>0</v>
      </c>
      <c r="AP84" s="28">
        <f t="shared" si="9"/>
        <v>0</v>
      </c>
      <c r="AQ84" s="28">
        <f t="shared" si="16"/>
        <v>0</v>
      </c>
      <c r="AR84" s="29">
        <f t="shared" si="17"/>
        <v>1.0875409967608329E-2</v>
      </c>
      <c r="AT84" s="12"/>
      <c r="AU84">
        <f t="shared" si="10"/>
        <v>0</v>
      </c>
      <c r="AV84">
        <f t="shared" si="11"/>
        <v>1</v>
      </c>
      <c r="AW84">
        <f t="shared" si="18"/>
        <v>1</v>
      </c>
      <c r="AX84">
        <f t="shared" si="5"/>
        <v>1</v>
      </c>
      <c r="AY84">
        <f t="shared" si="19"/>
        <v>1</v>
      </c>
      <c r="AZ84" s="28">
        <f t="shared" si="12"/>
        <v>2.3700233471027499E-2</v>
      </c>
      <c r="BA84" s="28">
        <f t="shared" si="13"/>
        <v>-2.0700039817145299E-2</v>
      </c>
      <c r="BB84" s="28">
        <f t="shared" si="20"/>
        <v>3.0001936538822001E-3</v>
      </c>
      <c r="BC84" s="29">
        <f t="shared" si="21"/>
        <v>7.3083505134600227E-3</v>
      </c>
      <c r="BE84" s="29">
        <f t="shared" si="22"/>
        <v>3.0001936538822001E-3</v>
      </c>
      <c r="BF84" s="29">
        <f t="shared" si="23"/>
        <v>1.8183760481068338E-2</v>
      </c>
      <c r="BH84" s="29"/>
    </row>
    <row r="85" spans="1:60" x14ac:dyDescent="0.25">
      <c r="A85" s="1">
        <v>46146</v>
      </c>
      <c r="B85" s="33">
        <v>82.06</v>
      </c>
      <c r="C85" s="33">
        <v>84.36</v>
      </c>
      <c r="D85" s="15">
        <v>-5.0494779217526202E-2</v>
      </c>
      <c r="E85" s="15">
        <v>-4.7344064995220501E-2</v>
      </c>
      <c r="F85" s="33">
        <v>0</v>
      </c>
      <c r="G85" s="33">
        <v>0</v>
      </c>
      <c r="H85" s="33">
        <v>0</v>
      </c>
      <c r="I85" s="33">
        <v>0</v>
      </c>
      <c r="J85" s="33">
        <v>0</v>
      </c>
      <c r="K85" s="33">
        <v>0</v>
      </c>
      <c r="L85" s="33">
        <v>82.06</v>
      </c>
      <c r="M85" s="33">
        <v>84.36</v>
      </c>
      <c r="N85" s="34">
        <v>1.0280282719961</v>
      </c>
      <c r="O85" s="34">
        <v>1.03934289630393</v>
      </c>
      <c r="P85" s="34">
        <v>1.0262175439632</v>
      </c>
      <c r="Q85" s="34">
        <v>1.0261117005896701</v>
      </c>
      <c r="R85" s="33">
        <v>85.288478070701004</v>
      </c>
      <c r="S85" s="33">
        <v>84.174158069103996</v>
      </c>
      <c r="T85" s="33">
        <v>84.184456995182799</v>
      </c>
      <c r="U85" s="15">
        <v>1.0946014390769599E-2</v>
      </c>
      <c r="V85" s="15">
        <v>-2.2053927625039701E-3</v>
      </c>
      <c r="W85" s="15">
        <v>-2.0830476590149899E-3</v>
      </c>
      <c r="X85" s="34">
        <v>1.0280282719961</v>
      </c>
      <c r="Y85" s="34">
        <v>1.03934289630393</v>
      </c>
      <c r="Z85" s="34">
        <v>1.0262175439632</v>
      </c>
      <c r="AA85" s="34">
        <v>1.0261117005896701</v>
      </c>
      <c r="AB85" s="33">
        <v>85.288478070701004</v>
      </c>
      <c r="AC85" s="33">
        <v>84.174158069103996</v>
      </c>
      <c r="AD85" s="33">
        <v>84.184456995182799</v>
      </c>
      <c r="AE85" s="15">
        <v>1.0946014390769599E-2</v>
      </c>
      <c r="AF85" s="15">
        <v>-2.2053927625039701E-3</v>
      </c>
      <c r="AG85" s="15">
        <v>-2.0830476590149899E-3</v>
      </c>
      <c r="AI85" s="12"/>
      <c r="AJ85">
        <f t="shared" si="6"/>
        <v>0</v>
      </c>
      <c r="AK85">
        <f t="shared" si="7"/>
        <v>0</v>
      </c>
      <c r="AL85">
        <f t="shared" si="14"/>
        <v>0</v>
      </c>
      <c r="AM85">
        <f t="shared" ref="AM85:AM148" si="24">IF(F86+H86&gt;0,0,1)</f>
        <v>1</v>
      </c>
      <c r="AN85">
        <f t="shared" si="15"/>
        <v>0</v>
      </c>
      <c r="AO85" s="28">
        <f t="shared" si="8"/>
        <v>0</v>
      </c>
      <c r="AP85" s="28">
        <f t="shared" si="9"/>
        <v>0</v>
      </c>
      <c r="AQ85" s="28">
        <f t="shared" si="16"/>
        <v>0</v>
      </c>
      <c r="AR85" s="29">
        <f t="shared" si="17"/>
        <v>1.0875409967608329E-2</v>
      </c>
      <c r="AT85" s="12"/>
      <c r="AU85">
        <f t="shared" si="10"/>
        <v>0</v>
      </c>
      <c r="AV85">
        <f t="shared" si="11"/>
        <v>1</v>
      </c>
      <c r="AW85">
        <f t="shared" si="18"/>
        <v>0</v>
      </c>
      <c r="AX85">
        <f t="shared" ref="AX85:AX148" si="25">IF(F86+H86&gt;0,0,1)</f>
        <v>1</v>
      </c>
      <c r="AY85">
        <f t="shared" si="19"/>
        <v>0</v>
      </c>
      <c r="AZ85" s="28">
        <f t="shared" si="12"/>
        <v>0</v>
      </c>
      <c r="BA85" s="28">
        <f t="shared" si="13"/>
        <v>0</v>
      </c>
      <c r="BB85" s="28">
        <f t="shared" si="20"/>
        <v>0</v>
      </c>
      <c r="BC85" s="29">
        <f t="shared" si="21"/>
        <v>7.3083505134600227E-3</v>
      </c>
      <c r="BE85" s="29">
        <f t="shared" si="22"/>
        <v>0</v>
      </c>
      <c r="BF85" s="29">
        <f t="shared" si="23"/>
        <v>1.8183760481068338E-2</v>
      </c>
      <c r="BH85" s="29"/>
    </row>
    <row r="86" spans="1:60" x14ac:dyDescent="0.25">
      <c r="A86" s="1">
        <v>46147</v>
      </c>
      <c r="B86" s="33">
        <v>84.13</v>
      </c>
      <c r="C86" s="33">
        <v>86.2</v>
      </c>
      <c r="D86" s="15">
        <v>2.49125345486821E-2</v>
      </c>
      <c r="E86" s="15">
        <v>2.1576822059073599E-2</v>
      </c>
      <c r="F86" s="33">
        <v>0</v>
      </c>
      <c r="G86" s="33">
        <v>0</v>
      </c>
      <c r="H86" s="33">
        <v>0</v>
      </c>
      <c r="I86" s="33">
        <v>0</v>
      </c>
      <c r="J86" s="33">
        <v>0</v>
      </c>
      <c r="K86" s="33">
        <v>0</v>
      </c>
      <c r="L86" s="33">
        <v>84.13</v>
      </c>
      <c r="M86" s="33">
        <v>86.2</v>
      </c>
      <c r="N86" s="34">
        <v>1.02460477831926</v>
      </c>
      <c r="O86" s="34">
        <v>1.03934289630393</v>
      </c>
      <c r="P86" s="34">
        <v>1.02586952038546</v>
      </c>
      <c r="Q86" s="34">
        <v>1.02588142742486</v>
      </c>
      <c r="R86" s="33">
        <v>87.439917866050095</v>
      </c>
      <c r="S86" s="33">
        <v>86.335681973624503</v>
      </c>
      <c r="T86" s="33">
        <v>86.326777370609705</v>
      </c>
      <c r="U86" s="15">
        <v>1.42817268803783E-2</v>
      </c>
      <c r="V86" s="15">
        <v>1.5727993194475101E-3</v>
      </c>
      <c r="W86" s="15">
        <v>1.4696546861950499E-3</v>
      </c>
      <c r="X86" s="34">
        <v>1.02460477831926</v>
      </c>
      <c r="Y86" s="34">
        <v>1.03934289630393</v>
      </c>
      <c r="Z86" s="34">
        <v>1.02586952038546</v>
      </c>
      <c r="AA86" s="34">
        <v>1.02588142742486</v>
      </c>
      <c r="AB86" s="33">
        <v>87.439917866050095</v>
      </c>
      <c r="AC86" s="33">
        <v>86.335681973624503</v>
      </c>
      <c r="AD86" s="33">
        <v>86.326777370609705</v>
      </c>
      <c r="AE86" s="15">
        <v>1.42817268803783E-2</v>
      </c>
      <c r="AF86" s="15">
        <v>1.5727993194475101E-3</v>
      </c>
      <c r="AG86" s="15">
        <v>1.4696546861950499E-3</v>
      </c>
      <c r="AI86" s="12"/>
      <c r="AJ86">
        <f t="shared" ref="AJ86:AJ149" si="26">IF($AG86&lt;AI$21,1,0)</f>
        <v>0</v>
      </c>
      <c r="AK86">
        <f t="shared" ref="AK86:AK149" si="27">IF($AG86&gt;AI$22,1,0)</f>
        <v>1</v>
      </c>
      <c r="AL86">
        <f t="shared" si="14"/>
        <v>0</v>
      </c>
      <c r="AM86">
        <f t="shared" si="24"/>
        <v>1</v>
      </c>
      <c r="AN86">
        <f t="shared" si="15"/>
        <v>0</v>
      </c>
      <c r="AO86" s="28">
        <f t="shared" ref="AO86:AO149" si="28">AN86*D86</f>
        <v>0</v>
      </c>
      <c r="AP86" s="28">
        <f t="shared" ref="AP86:AP149" si="29">-AN86*$E86</f>
        <v>0</v>
      </c>
      <c r="AQ86" s="28">
        <f t="shared" si="16"/>
        <v>0</v>
      </c>
      <c r="AR86" s="29">
        <f t="shared" si="17"/>
        <v>1.0875409967608329E-2</v>
      </c>
      <c r="AT86" s="12"/>
      <c r="AU86">
        <f t="shared" ref="AU86:AU149" si="30">IF($AG86&gt;AT$21,1,0)</f>
        <v>0</v>
      </c>
      <c r="AV86">
        <f t="shared" ref="AV86:AV149" si="31">IF($AG86&lt;AT$22,1,0)</f>
        <v>1</v>
      </c>
      <c r="AW86">
        <f t="shared" si="18"/>
        <v>0</v>
      </c>
      <c r="AX86">
        <f t="shared" si="25"/>
        <v>1</v>
      </c>
      <c r="AY86">
        <f t="shared" si="19"/>
        <v>0</v>
      </c>
      <c r="AZ86" s="28">
        <f t="shared" ref="AZ86:AZ149" si="32">-AY86*D86</f>
        <v>0</v>
      </c>
      <c r="BA86" s="28">
        <f t="shared" ref="BA86:BA149" si="33">AY86*$E86</f>
        <v>0</v>
      </c>
      <c r="BB86" s="28">
        <f t="shared" si="20"/>
        <v>0</v>
      </c>
      <c r="BC86" s="29">
        <f t="shared" si="21"/>
        <v>7.3083505134600227E-3</v>
      </c>
      <c r="BE86" s="29">
        <f t="shared" si="22"/>
        <v>0</v>
      </c>
      <c r="BF86" s="29">
        <f t="shared" si="23"/>
        <v>1.8183760481068338E-2</v>
      </c>
      <c r="BH86" s="29"/>
    </row>
    <row r="87" spans="1:60" x14ac:dyDescent="0.25">
      <c r="A87" s="1">
        <v>46148</v>
      </c>
      <c r="B87" s="33">
        <v>88.07</v>
      </c>
      <c r="C87" s="33">
        <v>90.54</v>
      </c>
      <c r="D87" s="15">
        <v>4.5768731254645902E-2</v>
      </c>
      <c r="E87" s="15">
        <v>4.9121564338165197E-2</v>
      </c>
      <c r="F87" s="33">
        <v>0</v>
      </c>
      <c r="G87" s="33">
        <v>0</v>
      </c>
      <c r="H87" s="33">
        <v>0</v>
      </c>
      <c r="I87" s="33">
        <v>0</v>
      </c>
      <c r="J87" s="33">
        <v>0</v>
      </c>
      <c r="K87" s="33">
        <v>0</v>
      </c>
      <c r="L87" s="33">
        <v>88.07</v>
      </c>
      <c r="M87" s="33">
        <v>90.54</v>
      </c>
      <c r="N87" s="34">
        <v>1.0280458726013399</v>
      </c>
      <c r="O87" s="34">
        <v>1.03934289630393</v>
      </c>
      <c r="P87" s="34">
        <v>1.0258210095295099</v>
      </c>
      <c r="Q87" s="34">
        <v>1.0262001475678899</v>
      </c>
      <c r="R87" s="33">
        <v>91.534928877487602</v>
      </c>
      <c r="S87" s="33">
        <v>90.348328660347505</v>
      </c>
      <c r="T87" s="33">
        <v>90.349377313307699</v>
      </c>
      <c r="U87" s="15">
        <v>1.0928893796858999E-2</v>
      </c>
      <c r="V87" s="15">
        <v>-2.1192236426385699E-3</v>
      </c>
      <c r="W87" s="15">
        <v>-2.1076169323642302E-3</v>
      </c>
      <c r="X87" s="34">
        <v>1.0280458726013399</v>
      </c>
      <c r="Y87" s="34">
        <v>1.03934289630393</v>
      </c>
      <c r="Z87" s="34">
        <v>1.0258210095295099</v>
      </c>
      <c r="AA87" s="34">
        <v>1.0262001475678899</v>
      </c>
      <c r="AB87" s="33">
        <v>91.534928877487602</v>
      </c>
      <c r="AC87" s="33">
        <v>90.348328660347505</v>
      </c>
      <c r="AD87" s="33">
        <v>90.349377313307699</v>
      </c>
      <c r="AE87" s="15">
        <v>1.0928893796858999E-2</v>
      </c>
      <c r="AF87" s="15">
        <v>-2.1192236426385699E-3</v>
      </c>
      <c r="AG87" s="15">
        <v>-2.1076169323642302E-3</v>
      </c>
      <c r="AI87" s="12"/>
      <c r="AJ87">
        <f t="shared" si="26"/>
        <v>0</v>
      </c>
      <c r="AK87">
        <f t="shared" si="27"/>
        <v>0</v>
      </c>
      <c r="AL87">
        <f t="shared" ref="AL87:AL150" si="34">AN87</f>
        <v>0</v>
      </c>
      <c r="AM87">
        <f t="shared" si="24"/>
        <v>1</v>
      </c>
      <c r="AN87">
        <f t="shared" ref="AN87:AN150" si="35">IF(AJ86,1,IF(AK86,0,AL86))*AM86</f>
        <v>0</v>
      </c>
      <c r="AO87" s="28">
        <f t="shared" si="28"/>
        <v>0</v>
      </c>
      <c r="AP87" s="28">
        <f t="shared" si="29"/>
        <v>0</v>
      </c>
      <c r="AQ87" s="28">
        <f t="shared" ref="AQ87:AQ150" si="36">AO87+AP87</f>
        <v>0</v>
      </c>
      <c r="AR87" s="29">
        <f t="shared" ref="AR87:AR150" si="37">AR86+AQ87</f>
        <v>1.0875409967608329E-2</v>
      </c>
      <c r="AT87" s="12"/>
      <c r="AU87">
        <f t="shared" si="30"/>
        <v>0</v>
      </c>
      <c r="AV87">
        <f t="shared" si="31"/>
        <v>1</v>
      </c>
      <c r="AW87">
        <f t="shared" ref="AW87:AW150" si="38">AY87</f>
        <v>0</v>
      </c>
      <c r="AX87">
        <f t="shared" si="25"/>
        <v>1</v>
      </c>
      <c r="AY87">
        <f t="shared" ref="AY87:AY150" si="39">IF(AU86,1,IF(AV86,0,AW86))*AX86</f>
        <v>0</v>
      </c>
      <c r="AZ87" s="28">
        <f t="shared" si="32"/>
        <v>0</v>
      </c>
      <c r="BA87" s="28">
        <f t="shared" si="33"/>
        <v>0</v>
      </c>
      <c r="BB87" s="28">
        <f t="shared" ref="BB87:BB150" si="40">AZ87+BA87</f>
        <v>0</v>
      </c>
      <c r="BC87" s="29">
        <f t="shared" ref="BC87:BC150" si="41">BC86+BB87</f>
        <v>7.3083505134600227E-3</v>
      </c>
      <c r="BE87" s="29">
        <f t="shared" ref="BE87:BE150" si="42">AQ87+BB87</f>
        <v>0</v>
      </c>
      <c r="BF87" s="29">
        <f t="shared" ref="BF87:BF150" si="43">BF86+BE87</f>
        <v>1.8183760481068338E-2</v>
      </c>
      <c r="BH87" s="29"/>
    </row>
    <row r="88" spans="1:60" x14ac:dyDescent="0.25">
      <c r="A88" s="1">
        <v>46149</v>
      </c>
      <c r="B88" s="33">
        <v>84.68</v>
      </c>
      <c r="C88" s="33">
        <v>87.74</v>
      </c>
      <c r="D88" s="15">
        <v>-3.9252506550703503E-2</v>
      </c>
      <c r="E88" s="15">
        <v>-3.1413846269744701E-2</v>
      </c>
      <c r="F88" s="33">
        <v>0</v>
      </c>
      <c r="G88" s="33">
        <v>0</v>
      </c>
      <c r="H88" s="33">
        <v>0</v>
      </c>
      <c r="I88" s="33">
        <v>0</v>
      </c>
      <c r="J88" s="33">
        <v>0</v>
      </c>
      <c r="K88" s="33">
        <v>0</v>
      </c>
      <c r="L88" s="33">
        <v>84.68</v>
      </c>
      <c r="M88" s="33">
        <v>87.74</v>
      </c>
      <c r="N88" s="34">
        <v>1.0361360415682499</v>
      </c>
      <c r="O88" s="34">
        <v>1.03934289630393</v>
      </c>
      <c r="P88" s="34">
        <v>1.0272205915461099</v>
      </c>
      <c r="Q88" s="34">
        <v>1.0268094827493599</v>
      </c>
      <c r="R88" s="33">
        <v>88.011556459017299</v>
      </c>
      <c r="S88" s="33">
        <v>86.866523086959006</v>
      </c>
      <c r="T88" s="33">
        <v>86.898628496049696</v>
      </c>
      <c r="U88" s="15">
        <v>3.0902335159001901E-3</v>
      </c>
      <c r="V88" s="15">
        <v>-1.00051725914073E-2</v>
      </c>
      <c r="W88" s="15">
        <v>-9.6356461453558691E-3</v>
      </c>
      <c r="X88" s="34">
        <v>1.0361360415682499</v>
      </c>
      <c r="Y88" s="34">
        <v>1.03934289630393</v>
      </c>
      <c r="Z88" s="34">
        <v>1.0272205915461099</v>
      </c>
      <c r="AA88" s="34">
        <v>1.0268094827493599</v>
      </c>
      <c r="AB88" s="33">
        <v>88.011556459017299</v>
      </c>
      <c r="AC88" s="33">
        <v>86.866523086959006</v>
      </c>
      <c r="AD88" s="33">
        <v>86.898628496049696</v>
      </c>
      <c r="AE88" s="15">
        <v>3.0902335159001901E-3</v>
      </c>
      <c r="AF88" s="15">
        <v>-1.00051725914073E-2</v>
      </c>
      <c r="AG88" s="15">
        <v>-9.6356461453558691E-3</v>
      </c>
      <c r="AI88" s="12"/>
      <c r="AJ88">
        <f t="shared" si="26"/>
        <v>1</v>
      </c>
      <c r="AK88">
        <f t="shared" si="27"/>
        <v>0</v>
      </c>
      <c r="AL88">
        <f t="shared" si="34"/>
        <v>0</v>
      </c>
      <c r="AM88">
        <f t="shared" si="24"/>
        <v>1</v>
      </c>
      <c r="AN88">
        <f t="shared" si="35"/>
        <v>0</v>
      </c>
      <c r="AO88" s="28">
        <f t="shared" si="28"/>
        <v>0</v>
      </c>
      <c r="AP88" s="28">
        <f t="shared" si="29"/>
        <v>0</v>
      </c>
      <c r="AQ88" s="28">
        <f t="shared" si="36"/>
        <v>0</v>
      </c>
      <c r="AR88" s="29">
        <f t="shared" si="37"/>
        <v>1.0875409967608329E-2</v>
      </c>
      <c r="AT88" s="12"/>
      <c r="AU88">
        <f t="shared" si="30"/>
        <v>0</v>
      </c>
      <c r="AV88">
        <f t="shared" si="31"/>
        <v>1</v>
      </c>
      <c r="AW88">
        <f t="shared" si="38"/>
        <v>0</v>
      </c>
      <c r="AX88">
        <f t="shared" si="25"/>
        <v>1</v>
      </c>
      <c r="AY88">
        <f t="shared" si="39"/>
        <v>0</v>
      </c>
      <c r="AZ88" s="28">
        <f t="shared" si="32"/>
        <v>0</v>
      </c>
      <c r="BA88" s="28">
        <f t="shared" si="33"/>
        <v>0</v>
      </c>
      <c r="BB88" s="28">
        <f t="shared" si="40"/>
        <v>0</v>
      </c>
      <c r="BC88" s="29">
        <f t="shared" si="41"/>
        <v>7.3083505134600227E-3</v>
      </c>
      <c r="BE88" s="29">
        <f t="shared" si="42"/>
        <v>0</v>
      </c>
      <c r="BF88" s="29">
        <f t="shared" si="43"/>
        <v>1.8183760481068338E-2</v>
      </c>
      <c r="BH88" s="29"/>
    </row>
    <row r="89" spans="1:60" x14ac:dyDescent="0.25">
      <c r="A89" s="1">
        <v>46150</v>
      </c>
      <c r="B89" s="33">
        <v>86.09</v>
      </c>
      <c r="C89" s="33">
        <v>88.38</v>
      </c>
      <c r="D89" s="15">
        <v>1.6513814403198698E-2</v>
      </c>
      <c r="E89" s="15">
        <v>7.2678039645259398E-3</v>
      </c>
      <c r="F89" s="33">
        <v>0</v>
      </c>
      <c r="G89" s="33">
        <v>0</v>
      </c>
      <c r="H89" s="33">
        <v>0</v>
      </c>
      <c r="I89" s="33">
        <v>0</v>
      </c>
      <c r="J89" s="33">
        <v>0</v>
      </c>
      <c r="K89" s="33">
        <v>0</v>
      </c>
      <c r="L89" s="33">
        <v>86.09</v>
      </c>
      <c r="M89" s="33">
        <v>88.38</v>
      </c>
      <c r="N89" s="34">
        <v>1.0266000696944999</v>
      </c>
      <c r="O89" s="34">
        <v>1.03934289630393</v>
      </c>
      <c r="P89" s="34">
        <v>1.02709371326966</v>
      </c>
      <c r="Q89" s="34">
        <v>1.0267829865804201</v>
      </c>
      <c r="R89" s="33">
        <v>89.4770299428058</v>
      </c>
      <c r="S89" s="33">
        <v>88.433420726205</v>
      </c>
      <c r="T89" s="33">
        <v>88.3980283698927</v>
      </c>
      <c r="U89" s="15">
        <v>1.2336243954573001E-2</v>
      </c>
      <c r="V89" s="15">
        <v>6.04261007011134E-4</v>
      </c>
      <c r="W89" s="15">
        <v>2.03966184275771E-4</v>
      </c>
      <c r="X89" s="34">
        <v>1.0266000696944999</v>
      </c>
      <c r="Y89" s="34">
        <v>1.03934289630393</v>
      </c>
      <c r="Z89" s="34">
        <v>1.02709371326966</v>
      </c>
      <c r="AA89" s="34">
        <v>1.0267829865804201</v>
      </c>
      <c r="AB89" s="33">
        <v>89.4770299428058</v>
      </c>
      <c r="AC89" s="33">
        <v>88.433420726205</v>
      </c>
      <c r="AD89" s="33">
        <v>88.3980283698927</v>
      </c>
      <c r="AE89" s="15">
        <v>1.2336243954573001E-2</v>
      </c>
      <c r="AF89" s="15">
        <v>6.04261007011134E-4</v>
      </c>
      <c r="AG89" s="15">
        <v>2.03966184275771E-4</v>
      </c>
      <c r="AI89" s="12"/>
      <c r="AJ89">
        <f t="shared" si="26"/>
        <v>0</v>
      </c>
      <c r="AK89">
        <f t="shared" si="27"/>
        <v>1</v>
      </c>
      <c r="AL89">
        <f t="shared" si="34"/>
        <v>1</v>
      </c>
      <c r="AM89">
        <f t="shared" si="24"/>
        <v>1</v>
      </c>
      <c r="AN89">
        <f t="shared" si="35"/>
        <v>1</v>
      </c>
      <c r="AO89" s="28">
        <f t="shared" si="28"/>
        <v>1.6513814403198698E-2</v>
      </c>
      <c r="AP89" s="28">
        <f t="shared" si="29"/>
        <v>-7.2678039645259398E-3</v>
      </c>
      <c r="AQ89" s="28">
        <f t="shared" si="36"/>
        <v>9.2460104386727585E-3</v>
      </c>
      <c r="AR89" s="29">
        <f t="shared" si="37"/>
        <v>2.0121420406281086E-2</v>
      </c>
      <c r="AT89" s="12"/>
      <c r="AU89">
        <f t="shared" si="30"/>
        <v>0</v>
      </c>
      <c r="AV89">
        <f t="shared" si="31"/>
        <v>1</v>
      </c>
      <c r="AW89">
        <f t="shared" si="38"/>
        <v>0</v>
      </c>
      <c r="AX89">
        <f t="shared" si="25"/>
        <v>1</v>
      </c>
      <c r="AY89">
        <f t="shared" si="39"/>
        <v>0</v>
      </c>
      <c r="AZ89" s="28">
        <f t="shared" si="32"/>
        <v>0</v>
      </c>
      <c r="BA89" s="28">
        <f t="shared" si="33"/>
        <v>0</v>
      </c>
      <c r="BB89" s="28">
        <f t="shared" si="40"/>
        <v>0</v>
      </c>
      <c r="BC89" s="29">
        <f t="shared" si="41"/>
        <v>7.3083505134600227E-3</v>
      </c>
      <c r="BE89" s="29">
        <f t="shared" si="42"/>
        <v>9.2460104386727585E-3</v>
      </c>
      <c r="BF89" s="29">
        <f t="shared" si="43"/>
        <v>2.7429770919741095E-2</v>
      </c>
      <c r="BH89" s="29"/>
    </row>
    <row r="90" spans="1:60" x14ac:dyDescent="0.25">
      <c r="A90" s="1">
        <v>46153</v>
      </c>
      <c r="B90" s="33">
        <v>84.88</v>
      </c>
      <c r="C90" s="33">
        <v>87.09</v>
      </c>
      <c r="D90" s="15">
        <v>-1.41547663641357E-2</v>
      </c>
      <c r="E90" s="15">
        <v>-1.4703632997945601E-2</v>
      </c>
      <c r="F90" s="33">
        <v>0</v>
      </c>
      <c r="G90" s="33">
        <v>0</v>
      </c>
      <c r="H90" s="33">
        <v>0</v>
      </c>
      <c r="I90" s="33">
        <v>0</v>
      </c>
      <c r="J90" s="33">
        <v>0</v>
      </c>
      <c r="K90" s="33">
        <v>0</v>
      </c>
      <c r="L90" s="33">
        <v>84.88</v>
      </c>
      <c r="M90" s="33">
        <v>87.09</v>
      </c>
      <c r="N90" s="34">
        <v>1.0260367577756799</v>
      </c>
      <c r="O90" s="34">
        <v>1.03934289630393</v>
      </c>
      <c r="P90" s="34">
        <v>1.0272023351892401</v>
      </c>
      <c r="Q90" s="34">
        <v>1.0267057903652901</v>
      </c>
      <c r="R90" s="33">
        <v>88.219425038278104</v>
      </c>
      <c r="S90" s="33">
        <v>87.179714382328996</v>
      </c>
      <c r="T90" s="33">
        <v>87.153339900946804</v>
      </c>
      <c r="U90" s="15">
        <v>1.2885110588382801E-2</v>
      </c>
      <c r="V90" s="15">
        <v>1.02960391680731E-3</v>
      </c>
      <c r="W90" s="15">
        <v>7.2702811795037397E-4</v>
      </c>
      <c r="X90" s="34">
        <v>1.0260367577756799</v>
      </c>
      <c r="Y90" s="34">
        <v>1.03934289630393</v>
      </c>
      <c r="Z90" s="34">
        <v>1.0272023351892401</v>
      </c>
      <c r="AA90" s="34">
        <v>1.0267057903652901</v>
      </c>
      <c r="AB90" s="33">
        <v>88.219425038278104</v>
      </c>
      <c r="AC90" s="33">
        <v>87.179714382328996</v>
      </c>
      <c r="AD90" s="33">
        <v>87.153339900946804</v>
      </c>
      <c r="AE90" s="15">
        <v>1.2885110588382801E-2</v>
      </c>
      <c r="AF90" s="15">
        <v>1.02960391680731E-3</v>
      </c>
      <c r="AG90" s="15">
        <v>7.2702811795037397E-4</v>
      </c>
      <c r="AI90" s="12"/>
      <c r="AJ90">
        <f t="shared" si="26"/>
        <v>0</v>
      </c>
      <c r="AK90">
        <f t="shared" si="27"/>
        <v>1</v>
      </c>
      <c r="AL90">
        <f t="shared" si="34"/>
        <v>0</v>
      </c>
      <c r="AM90">
        <f t="shared" si="24"/>
        <v>1</v>
      </c>
      <c r="AN90">
        <f t="shared" si="35"/>
        <v>0</v>
      </c>
      <c r="AO90" s="28">
        <f t="shared" si="28"/>
        <v>0</v>
      </c>
      <c r="AP90" s="28">
        <f t="shared" si="29"/>
        <v>0</v>
      </c>
      <c r="AQ90" s="28">
        <f t="shared" si="36"/>
        <v>0</v>
      </c>
      <c r="AR90" s="29">
        <f t="shared" si="37"/>
        <v>2.0121420406281086E-2</v>
      </c>
      <c r="AT90" s="12"/>
      <c r="AU90">
        <f t="shared" si="30"/>
        <v>0</v>
      </c>
      <c r="AV90">
        <f t="shared" si="31"/>
        <v>1</v>
      </c>
      <c r="AW90">
        <f t="shared" si="38"/>
        <v>0</v>
      </c>
      <c r="AX90">
        <f t="shared" si="25"/>
        <v>1</v>
      </c>
      <c r="AY90">
        <f t="shared" si="39"/>
        <v>0</v>
      </c>
      <c r="AZ90" s="28">
        <f t="shared" si="32"/>
        <v>0</v>
      </c>
      <c r="BA90" s="28">
        <f t="shared" si="33"/>
        <v>0</v>
      </c>
      <c r="BB90" s="28">
        <f t="shared" si="40"/>
        <v>0</v>
      </c>
      <c r="BC90" s="29">
        <f t="shared" si="41"/>
        <v>7.3083505134600227E-3</v>
      </c>
      <c r="BE90" s="29">
        <f t="shared" si="42"/>
        <v>0</v>
      </c>
      <c r="BF90" s="29">
        <f t="shared" si="43"/>
        <v>2.7429770919741095E-2</v>
      </c>
      <c r="BH90" s="29"/>
    </row>
    <row r="91" spans="1:60" x14ac:dyDescent="0.25">
      <c r="A91" s="1">
        <v>46154</v>
      </c>
      <c r="B91" s="33">
        <v>83.99</v>
      </c>
      <c r="C91" s="33">
        <v>85.86</v>
      </c>
      <c r="D91" s="15">
        <v>-1.0540750168191899E-2</v>
      </c>
      <c r="E91" s="15">
        <v>-1.4224003908233701E-2</v>
      </c>
      <c r="F91" s="33">
        <v>0</v>
      </c>
      <c r="G91" s="33">
        <v>0</v>
      </c>
      <c r="H91" s="33">
        <v>0</v>
      </c>
      <c r="I91" s="33">
        <v>0</v>
      </c>
      <c r="J91" s="33">
        <v>0</v>
      </c>
      <c r="K91" s="33">
        <v>0</v>
      </c>
      <c r="L91" s="33">
        <v>83.99</v>
      </c>
      <c r="M91" s="33">
        <v>85.86</v>
      </c>
      <c r="N91" s="34">
        <v>1.0222645553042</v>
      </c>
      <c r="O91" s="34">
        <v>1.03934289630393</v>
      </c>
      <c r="P91" s="34">
        <v>1.0267711681243099</v>
      </c>
      <c r="Q91" s="34">
        <v>1.0265374109257901</v>
      </c>
      <c r="R91" s="33">
        <v>87.294409860567598</v>
      </c>
      <c r="S91" s="33">
        <v>86.274724132544407</v>
      </c>
      <c r="T91" s="33">
        <v>86.233019332781396</v>
      </c>
      <c r="U91" s="15">
        <v>1.6568364328424699E-2</v>
      </c>
      <c r="V91" s="15">
        <v>4.8186086461094804E-3</v>
      </c>
      <c r="W91" s="15">
        <v>4.3350964310901498E-3</v>
      </c>
      <c r="X91" s="34">
        <v>1.0222645553042</v>
      </c>
      <c r="Y91" s="34">
        <v>1.03934289630393</v>
      </c>
      <c r="Z91" s="34">
        <v>1.0267711681243099</v>
      </c>
      <c r="AA91" s="34">
        <v>1.0265374109257901</v>
      </c>
      <c r="AB91" s="33">
        <v>87.294409860567598</v>
      </c>
      <c r="AC91" s="33">
        <v>86.274724132544407</v>
      </c>
      <c r="AD91" s="33">
        <v>86.233019332781396</v>
      </c>
      <c r="AE91" s="15">
        <v>1.6568364328424699E-2</v>
      </c>
      <c r="AF91" s="15">
        <v>4.8186086461094804E-3</v>
      </c>
      <c r="AG91" s="15">
        <v>4.3350964310901498E-3</v>
      </c>
      <c r="AI91" s="12"/>
      <c r="AJ91">
        <f t="shared" si="26"/>
        <v>0</v>
      </c>
      <c r="AK91">
        <f t="shared" si="27"/>
        <v>1</v>
      </c>
      <c r="AL91">
        <f t="shared" si="34"/>
        <v>0</v>
      </c>
      <c r="AM91">
        <f t="shared" si="24"/>
        <v>1</v>
      </c>
      <c r="AN91">
        <f t="shared" si="35"/>
        <v>0</v>
      </c>
      <c r="AO91" s="28">
        <f t="shared" si="28"/>
        <v>0</v>
      </c>
      <c r="AP91" s="28">
        <f t="shared" si="29"/>
        <v>0</v>
      </c>
      <c r="AQ91" s="28">
        <f t="shared" si="36"/>
        <v>0</v>
      </c>
      <c r="AR91" s="29">
        <f t="shared" si="37"/>
        <v>2.0121420406281086E-2</v>
      </c>
      <c r="AT91" s="12"/>
      <c r="AU91">
        <f t="shared" si="30"/>
        <v>1</v>
      </c>
      <c r="AV91">
        <f t="shared" si="31"/>
        <v>0</v>
      </c>
      <c r="AW91">
        <f t="shared" si="38"/>
        <v>0</v>
      </c>
      <c r="AX91">
        <f t="shared" si="25"/>
        <v>1</v>
      </c>
      <c r="AY91">
        <f t="shared" si="39"/>
        <v>0</v>
      </c>
      <c r="AZ91" s="28">
        <f t="shared" si="32"/>
        <v>0</v>
      </c>
      <c r="BA91" s="28">
        <f t="shared" si="33"/>
        <v>0</v>
      </c>
      <c r="BB91" s="28">
        <f t="shared" si="40"/>
        <v>0</v>
      </c>
      <c r="BC91" s="29">
        <f t="shared" si="41"/>
        <v>7.3083505134600227E-3</v>
      </c>
      <c r="BE91" s="29">
        <f t="shared" si="42"/>
        <v>0</v>
      </c>
      <c r="BF91" s="29">
        <f t="shared" si="43"/>
        <v>2.7429770919741095E-2</v>
      </c>
      <c r="BH91" s="29"/>
    </row>
    <row r="92" spans="1:60" x14ac:dyDescent="0.25">
      <c r="A92" s="1">
        <v>46155</v>
      </c>
      <c r="B92" s="33">
        <v>82.99</v>
      </c>
      <c r="C92" s="33">
        <v>84.97</v>
      </c>
      <c r="D92" s="15">
        <v>-1.1977625527179099E-2</v>
      </c>
      <c r="E92" s="15">
        <v>-1.04198097809645E-2</v>
      </c>
      <c r="F92" s="33">
        <v>0</v>
      </c>
      <c r="G92" s="33">
        <v>0</v>
      </c>
      <c r="H92" s="33">
        <v>0</v>
      </c>
      <c r="I92" s="33">
        <v>0</v>
      </c>
      <c r="J92" s="33">
        <v>0</v>
      </c>
      <c r="K92" s="33">
        <v>0</v>
      </c>
      <c r="L92" s="33">
        <v>82.99</v>
      </c>
      <c r="M92" s="33">
        <v>84.97</v>
      </c>
      <c r="N92" s="34">
        <v>1.02385829618026</v>
      </c>
      <c r="O92" s="34">
        <v>1.03934289630393</v>
      </c>
      <c r="P92" s="34">
        <v>1.0262093361431699</v>
      </c>
      <c r="Q92" s="34">
        <v>1.0263535393981</v>
      </c>
      <c r="R92" s="33">
        <v>86.255066964263605</v>
      </c>
      <c r="S92" s="33">
        <v>85.211739242636497</v>
      </c>
      <c r="T92" s="33">
        <v>85.192339732731995</v>
      </c>
      <c r="U92" s="15">
        <v>1.50105485822102E-2</v>
      </c>
      <c r="V92" s="15">
        <v>2.8409558663896701E-3</v>
      </c>
      <c r="W92" s="15">
        <v>2.6132675375076602E-3</v>
      </c>
      <c r="X92" s="34">
        <v>1.02385829618026</v>
      </c>
      <c r="Y92" s="34">
        <v>1.03934289630393</v>
      </c>
      <c r="Z92" s="34">
        <v>1.0262093361431699</v>
      </c>
      <c r="AA92" s="34">
        <v>1.0263535393981</v>
      </c>
      <c r="AB92" s="33">
        <v>86.255066964263605</v>
      </c>
      <c r="AC92" s="33">
        <v>85.211739242636497</v>
      </c>
      <c r="AD92" s="33">
        <v>85.192339732731995</v>
      </c>
      <c r="AE92" s="15">
        <v>1.50105485822102E-2</v>
      </c>
      <c r="AF92" s="15">
        <v>2.8409558663896701E-3</v>
      </c>
      <c r="AG92" s="15">
        <v>2.6132675375076602E-3</v>
      </c>
      <c r="AI92" s="12"/>
      <c r="AJ92">
        <f t="shared" si="26"/>
        <v>0</v>
      </c>
      <c r="AK92">
        <f t="shared" si="27"/>
        <v>1</v>
      </c>
      <c r="AL92">
        <f t="shared" si="34"/>
        <v>0</v>
      </c>
      <c r="AM92">
        <f t="shared" si="24"/>
        <v>1</v>
      </c>
      <c r="AN92">
        <f t="shared" si="35"/>
        <v>0</v>
      </c>
      <c r="AO92" s="28">
        <f t="shared" si="28"/>
        <v>0</v>
      </c>
      <c r="AP92" s="28">
        <f t="shared" si="29"/>
        <v>0</v>
      </c>
      <c r="AQ92" s="28">
        <f t="shared" si="36"/>
        <v>0</v>
      </c>
      <c r="AR92" s="29">
        <f t="shared" si="37"/>
        <v>2.0121420406281086E-2</v>
      </c>
      <c r="AT92" s="12"/>
      <c r="AU92">
        <f t="shared" si="30"/>
        <v>0</v>
      </c>
      <c r="AV92">
        <f t="shared" si="31"/>
        <v>0</v>
      </c>
      <c r="AW92">
        <f t="shared" si="38"/>
        <v>1</v>
      </c>
      <c r="AX92">
        <f t="shared" si="25"/>
        <v>1</v>
      </c>
      <c r="AY92">
        <f t="shared" si="39"/>
        <v>1</v>
      </c>
      <c r="AZ92" s="28">
        <f t="shared" si="32"/>
        <v>1.1977625527179099E-2</v>
      </c>
      <c r="BA92" s="28">
        <f t="shared" si="33"/>
        <v>-1.04198097809645E-2</v>
      </c>
      <c r="BB92" s="28">
        <f t="shared" si="40"/>
        <v>1.5578157462145994E-3</v>
      </c>
      <c r="BC92" s="29">
        <f t="shared" si="41"/>
        <v>8.8661662596746221E-3</v>
      </c>
      <c r="BE92" s="29">
        <f t="shared" si="42"/>
        <v>1.5578157462145994E-3</v>
      </c>
      <c r="BF92" s="29">
        <f t="shared" si="43"/>
        <v>2.8987586665955696E-2</v>
      </c>
      <c r="BH92" s="29"/>
    </row>
    <row r="93" spans="1:60" x14ac:dyDescent="0.25">
      <c r="A93" s="1">
        <v>46156</v>
      </c>
      <c r="B93" s="33">
        <v>83.27</v>
      </c>
      <c r="C93" s="33">
        <v>85.25</v>
      </c>
      <c r="D93" s="15">
        <v>3.3682216373714402E-3</v>
      </c>
      <c r="E93" s="15">
        <v>3.28986314817625E-3</v>
      </c>
      <c r="F93" s="33">
        <v>0</v>
      </c>
      <c r="G93" s="33">
        <v>0</v>
      </c>
      <c r="H93" s="33">
        <v>0</v>
      </c>
      <c r="I93" s="33">
        <v>0</v>
      </c>
      <c r="J93" s="33">
        <v>0</v>
      </c>
      <c r="K93" s="33">
        <v>0</v>
      </c>
      <c r="L93" s="33">
        <v>83.27</v>
      </c>
      <c r="M93" s="33">
        <v>85.25</v>
      </c>
      <c r="N93" s="34">
        <v>1.0237780713342099</v>
      </c>
      <c r="O93" s="34">
        <v>1.03934289630393</v>
      </c>
      <c r="P93" s="34">
        <v>1.0264147060736</v>
      </c>
      <c r="Q93" s="34">
        <v>1.0263136440724601</v>
      </c>
      <c r="R93" s="33">
        <v>86.5460829752287</v>
      </c>
      <c r="S93" s="33">
        <v>85.452451420641907</v>
      </c>
      <c r="T93" s="33">
        <v>85.4644592256805</v>
      </c>
      <c r="U93" s="15">
        <v>1.50889070714052E-2</v>
      </c>
      <c r="V93" s="15">
        <v>2.3719813497464601E-3</v>
      </c>
      <c r="W93" s="15">
        <v>2.5124917885669001E-3</v>
      </c>
      <c r="X93" s="34">
        <v>1.0237780713342099</v>
      </c>
      <c r="Y93" s="34">
        <v>1.03934289630393</v>
      </c>
      <c r="Z93" s="34">
        <v>1.0264147060736</v>
      </c>
      <c r="AA93" s="34">
        <v>1.0263136440724601</v>
      </c>
      <c r="AB93" s="33">
        <v>86.5460829752287</v>
      </c>
      <c r="AC93" s="33">
        <v>85.452451420641907</v>
      </c>
      <c r="AD93" s="33">
        <v>85.4644592256805</v>
      </c>
      <c r="AE93" s="15">
        <v>1.50889070714052E-2</v>
      </c>
      <c r="AF93" s="15">
        <v>2.3719813497464601E-3</v>
      </c>
      <c r="AG93" s="15">
        <v>2.5124917885669001E-3</v>
      </c>
      <c r="AI93" s="12"/>
      <c r="AJ93">
        <f t="shared" si="26"/>
        <v>0</v>
      </c>
      <c r="AK93">
        <f t="shared" si="27"/>
        <v>1</v>
      </c>
      <c r="AL93">
        <f t="shared" si="34"/>
        <v>0</v>
      </c>
      <c r="AM93">
        <f t="shared" si="24"/>
        <v>1</v>
      </c>
      <c r="AN93">
        <f t="shared" si="35"/>
        <v>0</v>
      </c>
      <c r="AO93" s="28">
        <f t="shared" si="28"/>
        <v>0</v>
      </c>
      <c r="AP93" s="28">
        <f t="shared" si="29"/>
        <v>0</v>
      </c>
      <c r="AQ93" s="28">
        <f t="shared" si="36"/>
        <v>0</v>
      </c>
      <c r="AR93" s="29">
        <f t="shared" si="37"/>
        <v>2.0121420406281086E-2</v>
      </c>
      <c r="AT93" s="12"/>
      <c r="AU93">
        <f t="shared" si="30"/>
        <v>0</v>
      </c>
      <c r="AV93">
        <f t="shared" si="31"/>
        <v>0</v>
      </c>
      <c r="AW93">
        <f t="shared" si="38"/>
        <v>1</v>
      </c>
      <c r="AX93">
        <f t="shared" si="25"/>
        <v>1</v>
      </c>
      <c r="AY93">
        <f t="shared" si="39"/>
        <v>1</v>
      </c>
      <c r="AZ93" s="28">
        <f t="shared" si="32"/>
        <v>-3.3682216373714402E-3</v>
      </c>
      <c r="BA93" s="28">
        <f t="shared" si="33"/>
        <v>3.28986314817625E-3</v>
      </c>
      <c r="BB93" s="28">
        <f t="shared" si="40"/>
        <v>-7.8358489195190159E-5</v>
      </c>
      <c r="BC93" s="29">
        <f t="shared" si="41"/>
        <v>8.7878077704794319E-3</v>
      </c>
      <c r="BE93" s="29">
        <f t="shared" si="42"/>
        <v>-7.8358489195190159E-5</v>
      </c>
      <c r="BF93" s="29">
        <f t="shared" si="43"/>
        <v>2.8909228176760504E-2</v>
      </c>
      <c r="BH93" s="29"/>
    </row>
    <row r="94" spans="1:60" x14ac:dyDescent="0.25">
      <c r="A94" s="1">
        <v>46157</v>
      </c>
      <c r="B94" s="33">
        <v>80.319999999999993</v>
      </c>
      <c r="C94" s="33">
        <v>82.3</v>
      </c>
      <c r="D94" s="15">
        <v>-3.6069684304308902E-2</v>
      </c>
      <c r="E94" s="15">
        <v>-3.5217008480602101E-2</v>
      </c>
      <c r="F94" s="33">
        <v>0</v>
      </c>
      <c r="G94" s="33">
        <v>0</v>
      </c>
      <c r="H94" s="33">
        <v>0</v>
      </c>
      <c r="I94" s="33">
        <v>0</v>
      </c>
      <c r="J94" s="33">
        <v>0</v>
      </c>
      <c r="K94" s="33">
        <v>0</v>
      </c>
      <c r="L94" s="33">
        <v>80.319999999999993</v>
      </c>
      <c r="M94" s="33">
        <v>82.3</v>
      </c>
      <c r="N94" s="34">
        <v>1.0246513944223099</v>
      </c>
      <c r="O94" s="34">
        <v>1.03934289630393</v>
      </c>
      <c r="P94" s="34">
        <v>1.0264004109196101</v>
      </c>
      <c r="Q94" s="34">
        <v>1.0260819875040601</v>
      </c>
      <c r="R94" s="33">
        <v>83.480021431132101</v>
      </c>
      <c r="S94" s="33">
        <v>82.441629191832007</v>
      </c>
      <c r="T94" s="33">
        <v>82.433511891900693</v>
      </c>
      <c r="U94" s="15">
        <v>1.42362312476983E-2</v>
      </c>
      <c r="V94" s="15">
        <v>1.71941029622194E-3</v>
      </c>
      <c r="W94" s="15">
        <v>1.6209442705433601E-3</v>
      </c>
      <c r="X94" s="34">
        <v>1.0246513944223099</v>
      </c>
      <c r="Y94" s="34">
        <v>1.03934289630393</v>
      </c>
      <c r="Z94" s="34">
        <v>1.0264004109196101</v>
      </c>
      <c r="AA94" s="34">
        <v>1.0260819875040601</v>
      </c>
      <c r="AB94" s="33">
        <v>83.480021431132101</v>
      </c>
      <c r="AC94" s="33">
        <v>82.441629191832007</v>
      </c>
      <c r="AD94" s="33">
        <v>82.433511891900693</v>
      </c>
      <c r="AE94" s="15">
        <v>1.42362312476983E-2</v>
      </c>
      <c r="AF94" s="15">
        <v>1.71941029622194E-3</v>
      </c>
      <c r="AG94" s="15">
        <v>1.6209442705433601E-3</v>
      </c>
      <c r="AI94" s="12"/>
      <c r="AJ94">
        <f t="shared" si="26"/>
        <v>0</v>
      </c>
      <c r="AK94">
        <f t="shared" si="27"/>
        <v>1</v>
      </c>
      <c r="AL94">
        <f t="shared" si="34"/>
        <v>0</v>
      </c>
      <c r="AM94">
        <f t="shared" si="24"/>
        <v>1</v>
      </c>
      <c r="AN94">
        <f t="shared" si="35"/>
        <v>0</v>
      </c>
      <c r="AO94" s="28">
        <f t="shared" si="28"/>
        <v>0</v>
      </c>
      <c r="AP94" s="28">
        <f t="shared" si="29"/>
        <v>0</v>
      </c>
      <c r="AQ94" s="28">
        <f t="shared" si="36"/>
        <v>0</v>
      </c>
      <c r="AR94" s="29">
        <f t="shared" si="37"/>
        <v>2.0121420406281086E-2</v>
      </c>
      <c r="AT94" s="12"/>
      <c r="AU94">
        <f t="shared" si="30"/>
        <v>0</v>
      </c>
      <c r="AV94">
        <f t="shared" si="31"/>
        <v>1</v>
      </c>
      <c r="AW94">
        <f t="shared" si="38"/>
        <v>1</v>
      </c>
      <c r="AX94">
        <f t="shared" si="25"/>
        <v>1</v>
      </c>
      <c r="AY94">
        <f t="shared" si="39"/>
        <v>1</v>
      </c>
      <c r="AZ94" s="28">
        <f t="shared" si="32"/>
        <v>3.6069684304308902E-2</v>
      </c>
      <c r="BA94" s="28">
        <f t="shared" si="33"/>
        <v>-3.5217008480602101E-2</v>
      </c>
      <c r="BB94" s="28">
        <f t="shared" si="40"/>
        <v>8.5267582370680134E-4</v>
      </c>
      <c r="BC94" s="29">
        <f t="shared" si="41"/>
        <v>9.6404835941862332E-3</v>
      </c>
      <c r="BE94" s="29">
        <f t="shared" si="42"/>
        <v>8.5267582370680134E-4</v>
      </c>
      <c r="BF94" s="29">
        <f t="shared" si="43"/>
        <v>2.9761904000467305E-2</v>
      </c>
      <c r="BH94" s="29"/>
    </row>
    <row r="95" spans="1:60" x14ac:dyDescent="0.25">
      <c r="A95" s="1">
        <v>46160</v>
      </c>
      <c r="B95" s="33">
        <v>82.27</v>
      </c>
      <c r="C95" s="33">
        <v>83.82</v>
      </c>
      <c r="D95" s="15">
        <v>2.39878652374198E-2</v>
      </c>
      <c r="E95" s="15">
        <v>1.83005348139012E-2</v>
      </c>
      <c r="F95" s="33">
        <v>0</v>
      </c>
      <c r="G95" s="33">
        <v>0</v>
      </c>
      <c r="H95" s="33">
        <v>0</v>
      </c>
      <c r="I95" s="33">
        <v>0</v>
      </c>
      <c r="J95" s="33">
        <v>0</v>
      </c>
      <c r="K95" s="33">
        <v>0</v>
      </c>
      <c r="L95" s="33">
        <v>82.27</v>
      </c>
      <c r="M95" s="33">
        <v>83.82</v>
      </c>
      <c r="N95" s="34">
        <v>1.01884040354928</v>
      </c>
      <c r="O95" s="34">
        <v>1.03934289630393</v>
      </c>
      <c r="P95" s="34">
        <v>1.02548162407493</v>
      </c>
      <c r="Q95" s="34">
        <v>1.02584958401907</v>
      </c>
      <c r="R95" s="33">
        <v>85.506740078924807</v>
      </c>
      <c r="S95" s="33">
        <v>84.441961806356602</v>
      </c>
      <c r="T95" s="33">
        <v>84.415765111959601</v>
      </c>
      <c r="U95" s="15">
        <v>1.9923561671217001E-2</v>
      </c>
      <c r="V95" s="15">
        <v>7.3928133534878499E-3</v>
      </c>
      <c r="W95" s="15">
        <v>7.0825320878885999E-3</v>
      </c>
      <c r="X95" s="34">
        <v>1.01884040354928</v>
      </c>
      <c r="Y95" s="34">
        <v>1.03934289630393</v>
      </c>
      <c r="Z95" s="34">
        <v>1.02548162407493</v>
      </c>
      <c r="AA95" s="34">
        <v>1.02584958401907</v>
      </c>
      <c r="AB95" s="33">
        <v>85.506740078924807</v>
      </c>
      <c r="AC95" s="33">
        <v>84.441961806356602</v>
      </c>
      <c r="AD95" s="33">
        <v>84.415765111959601</v>
      </c>
      <c r="AE95" s="15">
        <v>1.9923561671217001E-2</v>
      </c>
      <c r="AF95" s="15">
        <v>7.3928133534878499E-3</v>
      </c>
      <c r="AG95" s="15">
        <v>7.0825320878885999E-3</v>
      </c>
      <c r="AI95" s="12"/>
      <c r="AJ95">
        <f t="shared" si="26"/>
        <v>0</v>
      </c>
      <c r="AK95">
        <f t="shared" si="27"/>
        <v>1</v>
      </c>
      <c r="AL95">
        <f t="shared" si="34"/>
        <v>0</v>
      </c>
      <c r="AM95">
        <f t="shared" si="24"/>
        <v>1</v>
      </c>
      <c r="AN95">
        <f t="shared" si="35"/>
        <v>0</v>
      </c>
      <c r="AO95" s="28">
        <f t="shared" si="28"/>
        <v>0</v>
      </c>
      <c r="AP95" s="28">
        <f t="shared" si="29"/>
        <v>0</v>
      </c>
      <c r="AQ95" s="28">
        <f t="shared" si="36"/>
        <v>0</v>
      </c>
      <c r="AR95" s="29">
        <f t="shared" si="37"/>
        <v>2.0121420406281086E-2</v>
      </c>
      <c r="AT95" s="12"/>
      <c r="AU95">
        <f t="shared" si="30"/>
        <v>1</v>
      </c>
      <c r="AV95">
        <f t="shared" si="31"/>
        <v>0</v>
      </c>
      <c r="AW95">
        <f t="shared" si="38"/>
        <v>0</v>
      </c>
      <c r="AX95">
        <f t="shared" si="25"/>
        <v>1</v>
      </c>
      <c r="AY95">
        <f t="shared" si="39"/>
        <v>0</v>
      </c>
      <c r="AZ95" s="28">
        <f t="shared" si="32"/>
        <v>0</v>
      </c>
      <c r="BA95" s="28">
        <f t="shared" si="33"/>
        <v>0</v>
      </c>
      <c r="BB95" s="28">
        <f t="shared" si="40"/>
        <v>0</v>
      </c>
      <c r="BC95" s="29">
        <f t="shared" si="41"/>
        <v>9.6404835941862332E-3</v>
      </c>
      <c r="BE95" s="29">
        <f t="shared" si="42"/>
        <v>0</v>
      </c>
      <c r="BF95" s="29">
        <f t="shared" si="43"/>
        <v>2.9761904000467305E-2</v>
      </c>
      <c r="BH95" s="29"/>
    </row>
    <row r="96" spans="1:60" x14ac:dyDescent="0.25">
      <c r="A96" s="1">
        <v>46161</v>
      </c>
      <c r="B96" s="33">
        <v>81.209999999999994</v>
      </c>
      <c r="C96" s="33">
        <v>83</v>
      </c>
      <c r="D96" s="15">
        <v>-1.2968128886519501E-2</v>
      </c>
      <c r="E96" s="15">
        <v>-9.83103470032742E-3</v>
      </c>
      <c r="F96" s="33">
        <v>0</v>
      </c>
      <c r="G96" s="33">
        <v>0</v>
      </c>
      <c r="H96" s="33">
        <v>0</v>
      </c>
      <c r="I96" s="33">
        <v>0</v>
      </c>
      <c r="J96" s="33">
        <v>0</v>
      </c>
      <c r="K96" s="33">
        <v>0</v>
      </c>
      <c r="L96" s="33">
        <v>81.209999999999994</v>
      </c>
      <c r="M96" s="33">
        <v>83</v>
      </c>
      <c r="N96" s="34">
        <v>1.02204162049008</v>
      </c>
      <c r="O96" s="34">
        <v>1.03934289630393</v>
      </c>
      <c r="P96" s="34">
        <v>1.02522530829201</v>
      </c>
      <c r="Q96" s="34">
        <v>1.02554741433873</v>
      </c>
      <c r="R96" s="33">
        <v>84.405036608842593</v>
      </c>
      <c r="S96" s="33">
        <v>83.2793626911253</v>
      </c>
      <c r="T96" s="33">
        <v>83.309244718188594</v>
      </c>
      <c r="U96" s="15">
        <v>1.6786467485025099E-2</v>
      </c>
      <c r="V96" s="15">
        <v>3.3601638766714102E-3</v>
      </c>
      <c r="W96" s="15">
        <v>3.7189162289306501E-3</v>
      </c>
      <c r="X96" s="34">
        <v>1.02204162049008</v>
      </c>
      <c r="Y96" s="34">
        <v>1.03934289630393</v>
      </c>
      <c r="Z96" s="34">
        <v>1.02522530829201</v>
      </c>
      <c r="AA96" s="34">
        <v>1.02554741433873</v>
      </c>
      <c r="AB96" s="33">
        <v>84.405036608842593</v>
      </c>
      <c r="AC96" s="33">
        <v>83.2793626911253</v>
      </c>
      <c r="AD96" s="33">
        <v>83.309244718188594</v>
      </c>
      <c r="AE96" s="15">
        <v>1.6786467485025099E-2</v>
      </c>
      <c r="AF96" s="15">
        <v>3.3601638766714102E-3</v>
      </c>
      <c r="AG96" s="15">
        <v>3.7189162289306501E-3</v>
      </c>
      <c r="AI96" s="12"/>
      <c r="AJ96">
        <f t="shared" si="26"/>
        <v>0</v>
      </c>
      <c r="AK96">
        <f t="shared" si="27"/>
        <v>1</v>
      </c>
      <c r="AL96">
        <f t="shared" si="34"/>
        <v>0</v>
      </c>
      <c r="AM96">
        <f t="shared" si="24"/>
        <v>1</v>
      </c>
      <c r="AN96">
        <f t="shared" si="35"/>
        <v>0</v>
      </c>
      <c r="AO96" s="28">
        <f t="shared" si="28"/>
        <v>0</v>
      </c>
      <c r="AP96" s="28">
        <f t="shared" si="29"/>
        <v>0</v>
      </c>
      <c r="AQ96" s="28">
        <f t="shared" si="36"/>
        <v>0</v>
      </c>
      <c r="AR96" s="29">
        <f t="shared" si="37"/>
        <v>2.0121420406281086E-2</v>
      </c>
      <c r="AT96" s="12"/>
      <c r="AU96">
        <f t="shared" si="30"/>
        <v>0</v>
      </c>
      <c r="AV96">
        <f t="shared" si="31"/>
        <v>0</v>
      </c>
      <c r="AW96">
        <f t="shared" si="38"/>
        <v>1</v>
      </c>
      <c r="AX96">
        <f t="shared" si="25"/>
        <v>1</v>
      </c>
      <c r="AY96">
        <f t="shared" si="39"/>
        <v>1</v>
      </c>
      <c r="AZ96" s="28">
        <f t="shared" si="32"/>
        <v>1.2968128886519501E-2</v>
      </c>
      <c r="BA96" s="28">
        <f t="shared" si="33"/>
        <v>-9.83103470032742E-3</v>
      </c>
      <c r="BB96" s="28">
        <f t="shared" si="40"/>
        <v>3.1370941861920808E-3</v>
      </c>
      <c r="BC96" s="29">
        <f t="shared" si="41"/>
        <v>1.2777577780378314E-2</v>
      </c>
      <c r="BE96" s="29">
        <f t="shared" si="42"/>
        <v>3.1370941861920808E-3</v>
      </c>
      <c r="BF96" s="29">
        <f t="shared" si="43"/>
        <v>3.2898998186659388E-2</v>
      </c>
      <c r="BH96" s="29"/>
    </row>
    <row r="97" spans="1:60" x14ac:dyDescent="0.25">
      <c r="A97" s="1">
        <v>46162</v>
      </c>
      <c r="B97" s="33">
        <v>85.95</v>
      </c>
      <c r="C97" s="33">
        <v>87.31</v>
      </c>
      <c r="D97" s="15">
        <v>5.6727339534538797E-2</v>
      </c>
      <c r="E97" s="15">
        <v>5.0624396026118401E-2</v>
      </c>
      <c r="F97" s="33">
        <v>0</v>
      </c>
      <c r="G97" s="33">
        <v>0</v>
      </c>
      <c r="H97" s="33">
        <v>0</v>
      </c>
      <c r="I97" s="33">
        <v>0</v>
      </c>
      <c r="J97" s="33">
        <v>0</v>
      </c>
      <c r="K97" s="33">
        <v>0</v>
      </c>
      <c r="L97" s="33">
        <v>85.95</v>
      </c>
      <c r="M97" s="33">
        <v>87.31</v>
      </c>
      <c r="N97" s="34">
        <v>1.0158231529959201</v>
      </c>
      <c r="O97" s="34">
        <v>1.03934289630393</v>
      </c>
      <c r="P97" s="34">
        <v>1.0240030363314701</v>
      </c>
      <c r="Q97" s="34">
        <v>1.02491202293049</v>
      </c>
      <c r="R97" s="33">
        <v>89.331521937323302</v>
      </c>
      <c r="S97" s="33">
        <v>88.118115247698697</v>
      </c>
      <c r="T97" s="33">
        <v>88.145800262414497</v>
      </c>
      <c r="U97" s="15">
        <v>2.2889410993445599E-2</v>
      </c>
      <c r="V97" s="15">
        <v>9.2131294090027297E-3</v>
      </c>
      <c r="W97" s="15">
        <v>9.5272608052486898E-3</v>
      </c>
      <c r="X97" s="34">
        <v>1.0158231529959201</v>
      </c>
      <c r="Y97" s="34">
        <v>1.03934289630393</v>
      </c>
      <c r="Z97" s="34">
        <v>1.0240030363314701</v>
      </c>
      <c r="AA97" s="34">
        <v>1.02491202293049</v>
      </c>
      <c r="AB97" s="33">
        <v>89.331521937323302</v>
      </c>
      <c r="AC97" s="33">
        <v>88.118115247698697</v>
      </c>
      <c r="AD97" s="33">
        <v>88.145800262414497</v>
      </c>
      <c r="AE97" s="15">
        <v>2.2889410993445599E-2</v>
      </c>
      <c r="AF97" s="15">
        <v>9.2131294090027297E-3</v>
      </c>
      <c r="AG97" s="15">
        <v>9.5272608052486898E-3</v>
      </c>
      <c r="AI97" s="12"/>
      <c r="AJ97">
        <f t="shared" si="26"/>
        <v>0</v>
      </c>
      <c r="AK97">
        <f t="shared" si="27"/>
        <v>1</v>
      </c>
      <c r="AL97">
        <f t="shared" si="34"/>
        <v>0</v>
      </c>
      <c r="AM97">
        <f t="shared" si="24"/>
        <v>1</v>
      </c>
      <c r="AN97">
        <f t="shared" si="35"/>
        <v>0</v>
      </c>
      <c r="AO97" s="28">
        <f t="shared" si="28"/>
        <v>0</v>
      </c>
      <c r="AP97" s="28">
        <f t="shared" si="29"/>
        <v>0</v>
      </c>
      <c r="AQ97" s="28">
        <f t="shared" si="36"/>
        <v>0</v>
      </c>
      <c r="AR97" s="29">
        <f t="shared" si="37"/>
        <v>2.0121420406281086E-2</v>
      </c>
      <c r="AT97" s="12"/>
      <c r="AU97">
        <f t="shared" si="30"/>
        <v>1</v>
      </c>
      <c r="AV97">
        <f t="shared" si="31"/>
        <v>0</v>
      </c>
      <c r="AW97">
        <f t="shared" si="38"/>
        <v>1</v>
      </c>
      <c r="AX97">
        <f t="shared" si="25"/>
        <v>1</v>
      </c>
      <c r="AY97">
        <f t="shared" si="39"/>
        <v>1</v>
      </c>
      <c r="AZ97" s="28">
        <f t="shared" si="32"/>
        <v>-5.6727339534538797E-2</v>
      </c>
      <c r="BA97" s="28">
        <f t="shared" si="33"/>
        <v>5.0624396026118401E-2</v>
      </c>
      <c r="BB97" s="28">
        <f t="shared" si="40"/>
        <v>-6.1029435084203956E-3</v>
      </c>
      <c r="BC97" s="29">
        <f t="shared" si="41"/>
        <v>6.6746342719579185E-3</v>
      </c>
      <c r="BE97" s="29">
        <f t="shared" si="42"/>
        <v>-6.1029435084203956E-3</v>
      </c>
      <c r="BF97" s="29">
        <f t="shared" si="43"/>
        <v>2.6796054678238992E-2</v>
      </c>
      <c r="BH97" s="29"/>
    </row>
    <row r="98" spans="1:60" x14ac:dyDescent="0.25">
      <c r="A98" s="1">
        <v>46163</v>
      </c>
      <c r="B98" s="33">
        <v>87.03</v>
      </c>
      <c r="C98" s="33">
        <v>88.83</v>
      </c>
      <c r="D98" s="15">
        <v>1.2487154972564101E-2</v>
      </c>
      <c r="E98" s="15">
        <v>1.7259426958893199E-2</v>
      </c>
      <c r="F98" s="33">
        <v>0</v>
      </c>
      <c r="G98" s="33">
        <v>0</v>
      </c>
      <c r="H98" s="33">
        <v>0</v>
      </c>
      <c r="I98" s="33">
        <v>0</v>
      </c>
      <c r="J98" s="33">
        <v>0</v>
      </c>
      <c r="K98" s="33">
        <v>0</v>
      </c>
      <c r="L98" s="33">
        <v>87.03</v>
      </c>
      <c r="M98" s="33">
        <v>88.83</v>
      </c>
      <c r="N98" s="34">
        <v>1.02068252326783</v>
      </c>
      <c r="O98" s="34">
        <v>1.03934289630393</v>
      </c>
      <c r="P98" s="34">
        <v>1.0224576845014299</v>
      </c>
      <c r="Q98" s="34">
        <v>1.02483913802377</v>
      </c>
      <c r="R98" s="33">
        <v>90.4540122653315</v>
      </c>
      <c r="S98" s="33">
        <v>89.118984251928097</v>
      </c>
      <c r="T98" s="33">
        <v>89.198093355640694</v>
      </c>
      <c r="U98" s="15">
        <v>1.8117139007116301E-2</v>
      </c>
      <c r="V98" s="15">
        <v>3.24794780018773E-3</v>
      </c>
      <c r="W98" s="15">
        <v>4.13523363914425E-3</v>
      </c>
      <c r="X98" s="34">
        <v>1.02068252326783</v>
      </c>
      <c r="Y98" s="34">
        <v>1.03934289630393</v>
      </c>
      <c r="Z98" s="34">
        <v>1.0224576845014299</v>
      </c>
      <c r="AA98" s="34">
        <v>1.02483913802377</v>
      </c>
      <c r="AB98" s="33">
        <v>90.4540122653315</v>
      </c>
      <c r="AC98" s="33">
        <v>89.118984251928097</v>
      </c>
      <c r="AD98" s="33">
        <v>89.198093355640694</v>
      </c>
      <c r="AE98" s="15">
        <v>1.8117139007116301E-2</v>
      </c>
      <c r="AF98" s="15">
        <v>3.24794780018773E-3</v>
      </c>
      <c r="AG98" s="15">
        <v>4.13523363914425E-3</v>
      </c>
      <c r="AI98" s="12"/>
      <c r="AJ98">
        <f t="shared" si="26"/>
        <v>0</v>
      </c>
      <c r="AK98">
        <f t="shared" si="27"/>
        <v>1</v>
      </c>
      <c r="AL98">
        <f t="shared" si="34"/>
        <v>0</v>
      </c>
      <c r="AM98">
        <f t="shared" si="24"/>
        <v>1</v>
      </c>
      <c r="AN98">
        <f t="shared" si="35"/>
        <v>0</v>
      </c>
      <c r="AO98" s="28">
        <f t="shared" si="28"/>
        <v>0</v>
      </c>
      <c r="AP98" s="28">
        <f t="shared" si="29"/>
        <v>0</v>
      </c>
      <c r="AQ98" s="28">
        <f t="shared" si="36"/>
        <v>0</v>
      </c>
      <c r="AR98" s="29">
        <f t="shared" si="37"/>
        <v>2.0121420406281086E-2</v>
      </c>
      <c r="AT98" s="12"/>
      <c r="AU98">
        <f t="shared" si="30"/>
        <v>1</v>
      </c>
      <c r="AV98">
        <f t="shared" si="31"/>
        <v>0</v>
      </c>
      <c r="AW98">
        <f t="shared" si="38"/>
        <v>1</v>
      </c>
      <c r="AX98">
        <f t="shared" si="25"/>
        <v>1</v>
      </c>
      <c r="AY98">
        <f t="shared" si="39"/>
        <v>1</v>
      </c>
      <c r="AZ98" s="28">
        <f t="shared" si="32"/>
        <v>-1.2487154972564101E-2</v>
      </c>
      <c r="BA98" s="28">
        <f t="shared" si="33"/>
        <v>1.7259426958893199E-2</v>
      </c>
      <c r="BB98" s="28">
        <f t="shared" si="40"/>
        <v>4.7722719863290981E-3</v>
      </c>
      <c r="BC98" s="29">
        <f t="shared" si="41"/>
        <v>1.1446906258287017E-2</v>
      </c>
      <c r="BE98" s="29">
        <f t="shared" si="42"/>
        <v>4.7722719863290981E-3</v>
      </c>
      <c r="BF98" s="29">
        <f t="shared" si="43"/>
        <v>3.1568326664568089E-2</v>
      </c>
      <c r="BH98" s="29"/>
    </row>
    <row r="99" spans="1:60" x14ac:dyDescent="0.25">
      <c r="A99" s="1">
        <v>46164</v>
      </c>
      <c r="B99" s="33">
        <v>86.82</v>
      </c>
      <c r="C99" s="33">
        <v>88.86</v>
      </c>
      <c r="D99" s="15">
        <v>-2.4158769299748801E-3</v>
      </c>
      <c r="E99" s="15">
        <v>3.37666726152801E-4</v>
      </c>
      <c r="F99" s="33">
        <v>0</v>
      </c>
      <c r="G99" s="33">
        <v>0</v>
      </c>
      <c r="H99" s="33">
        <v>0</v>
      </c>
      <c r="I99" s="33">
        <v>0</v>
      </c>
      <c r="J99" s="33">
        <v>0</v>
      </c>
      <c r="K99" s="33">
        <v>0</v>
      </c>
      <c r="L99" s="33">
        <v>86.82</v>
      </c>
      <c r="M99" s="33">
        <v>88.86</v>
      </c>
      <c r="N99" s="34">
        <v>1.0234968901174799</v>
      </c>
      <c r="O99" s="34">
        <v>1.03934289630393</v>
      </c>
      <c r="P99" s="34">
        <v>1.02214736654373</v>
      </c>
      <c r="Q99" s="34">
        <v>1.0246205399066901</v>
      </c>
      <c r="R99" s="33">
        <v>90.235750257107696</v>
      </c>
      <c r="S99" s="33">
        <v>88.769776168414296</v>
      </c>
      <c r="T99" s="33">
        <v>88.976533963224</v>
      </c>
      <c r="U99" s="15">
        <v>1.5363595350988401E-2</v>
      </c>
      <c r="V99" s="15">
        <v>-1.0158639085286001E-3</v>
      </c>
      <c r="W99" s="15">
        <v>1.31057412452802E-3</v>
      </c>
      <c r="X99" s="34">
        <v>1.0234968901174799</v>
      </c>
      <c r="Y99" s="34">
        <v>1.03934289630393</v>
      </c>
      <c r="Z99" s="34">
        <v>1.02214736654373</v>
      </c>
      <c r="AA99" s="34">
        <v>1.0246205399066901</v>
      </c>
      <c r="AB99" s="33">
        <v>90.235750257107696</v>
      </c>
      <c r="AC99" s="33">
        <v>88.769776168414296</v>
      </c>
      <c r="AD99" s="33">
        <v>88.976533963224</v>
      </c>
      <c r="AE99" s="15">
        <v>1.5363595350988401E-2</v>
      </c>
      <c r="AF99" s="15">
        <v>-1.0158639085286001E-3</v>
      </c>
      <c r="AG99" s="15">
        <v>1.31057412452802E-3</v>
      </c>
      <c r="AI99" s="12"/>
      <c r="AJ99">
        <f t="shared" si="26"/>
        <v>0</v>
      </c>
      <c r="AK99">
        <f t="shared" si="27"/>
        <v>1</v>
      </c>
      <c r="AL99">
        <f t="shared" si="34"/>
        <v>0</v>
      </c>
      <c r="AM99">
        <f t="shared" si="24"/>
        <v>1</v>
      </c>
      <c r="AN99">
        <f t="shared" si="35"/>
        <v>0</v>
      </c>
      <c r="AO99" s="28">
        <f t="shared" si="28"/>
        <v>0</v>
      </c>
      <c r="AP99" s="28">
        <f t="shared" si="29"/>
        <v>0</v>
      </c>
      <c r="AQ99" s="28">
        <f t="shared" si="36"/>
        <v>0</v>
      </c>
      <c r="AR99" s="29">
        <f t="shared" si="37"/>
        <v>2.0121420406281086E-2</v>
      </c>
      <c r="AT99" s="12"/>
      <c r="AU99">
        <f t="shared" si="30"/>
        <v>0</v>
      </c>
      <c r="AV99">
        <f t="shared" si="31"/>
        <v>1</v>
      </c>
      <c r="AW99">
        <f t="shared" si="38"/>
        <v>1</v>
      </c>
      <c r="AX99">
        <f t="shared" si="25"/>
        <v>1</v>
      </c>
      <c r="AY99">
        <f t="shared" si="39"/>
        <v>1</v>
      </c>
      <c r="AZ99" s="28">
        <f t="shared" si="32"/>
        <v>2.4158769299748801E-3</v>
      </c>
      <c r="BA99" s="28">
        <f t="shared" si="33"/>
        <v>3.37666726152801E-4</v>
      </c>
      <c r="BB99" s="28">
        <f t="shared" si="40"/>
        <v>2.7535436561276811E-3</v>
      </c>
      <c r="BC99" s="29">
        <f t="shared" si="41"/>
        <v>1.4200449914414697E-2</v>
      </c>
      <c r="BE99" s="29">
        <f t="shared" si="42"/>
        <v>2.7535436561276811E-3</v>
      </c>
      <c r="BF99" s="29">
        <f t="shared" si="43"/>
        <v>3.4321870320695773E-2</v>
      </c>
      <c r="BH99" s="29"/>
    </row>
    <row r="100" spans="1:60" x14ac:dyDescent="0.25">
      <c r="A100" s="1">
        <v>46168</v>
      </c>
      <c r="B100" s="33">
        <v>87.52</v>
      </c>
      <c r="C100" s="33">
        <v>89.29</v>
      </c>
      <c r="D100" s="15">
        <v>8.0303288022236796E-3</v>
      </c>
      <c r="E100" s="15">
        <v>4.8274020213627403E-3</v>
      </c>
      <c r="F100" s="33">
        <v>0</v>
      </c>
      <c r="G100" s="33">
        <v>0</v>
      </c>
      <c r="H100" s="33">
        <v>0</v>
      </c>
      <c r="I100" s="33">
        <v>0</v>
      </c>
      <c r="J100" s="33">
        <v>0</v>
      </c>
      <c r="K100" s="33">
        <v>0</v>
      </c>
      <c r="L100" s="33">
        <v>87.52</v>
      </c>
      <c r="M100" s="33">
        <v>89.29</v>
      </c>
      <c r="N100" s="34">
        <v>1.0202239488117</v>
      </c>
      <c r="O100" s="34">
        <v>1.03934289630393</v>
      </c>
      <c r="P100" s="34">
        <v>1.0215660856473301</v>
      </c>
      <c r="Q100" s="34">
        <v>1.0243842104182801</v>
      </c>
      <c r="R100" s="33">
        <v>90.963290284520397</v>
      </c>
      <c r="S100" s="33">
        <v>89.458337519907204</v>
      </c>
      <c r="T100" s="33">
        <v>89.674789652634104</v>
      </c>
      <c r="U100" s="15">
        <v>1.8566522131849301E-2</v>
      </c>
      <c r="V100" s="15">
        <v>1.8835148008587801E-3</v>
      </c>
      <c r="W100" s="15">
        <v>4.3001782230648999E-3</v>
      </c>
      <c r="X100" s="34">
        <v>1.0202239488117</v>
      </c>
      <c r="Y100" s="34">
        <v>1.03934289630393</v>
      </c>
      <c r="Z100" s="34">
        <v>1.0215660856473301</v>
      </c>
      <c r="AA100" s="34">
        <v>1.0243842104182801</v>
      </c>
      <c r="AB100" s="33">
        <v>90.963290284520397</v>
      </c>
      <c r="AC100" s="33">
        <v>89.458337519907204</v>
      </c>
      <c r="AD100" s="33">
        <v>89.674789652634104</v>
      </c>
      <c r="AE100" s="15">
        <v>1.8566522131849301E-2</v>
      </c>
      <c r="AF100" s="15">
        <v>1.8835148008587801E-3</v>
      </c>
      <c r="AG100" s="15">
        <v>4.3001782230648999E-3</v>
      </c>
      <c r="AI100" s="12"/>
      <c r="AJ100">
        <f t="shared" si="26"/>
        <v>0</v>
      </c>
      <c r="AK100">
        <f t="shared" si="27"/>
        <v>1</v>
      </c>
      <c r="AL100">
        <f t="shared" si="34"/>
        <v>0</v>
      </c>
      <c r="AM100">
        <f t="shared" si="24"/>
        <v>1</v>
      </c>
      <c r="AN100">
        <f t="shared" si="35"/>
        <v>0</v>
      </c>
      <c r="AO100" s="28">
        <f t="shared" si="28"/>
        <v>0</v>
      </c>
      <c r="AP100" s="28">
        <f t="shared" si="29"/>
        <v>0</v>
      </c>
      <c r="AQ100" s="28">
        <f t="shared" si="36"/>
        <v>0</v>
      </c>
      <c r="AR100" s="29">
        <f t="shared" si="37"/>
        <v>2.0121420406281086E-2</v>
      </c>
      <c r="AT100" s="12"/>
      <c r="AU100">
        <f t="shared" si="30"/>
        <v>1</v>
      </c>
      <c r="AV100">
        <f t="shared" si="31"/>
        <v>0</v>
      </c>
      <c r="AW100">
        <f t="shared" si="38"/>
        <v>0</v>
      </c>
      <c r="AX100">
        <f t="shared" si="25"/>
        <v>1</v>
      </c>
      <c r="AY100">
        <f t="shared" si="39"/>
        <v>0</v>
      </c>
      <c r="AZ100" s="28">
        <f t="shared" si="32"/>
        <v>0</v>
      </c>
      <c r="BA100" s="28">
        <f t="shared" si="33"/>
        <v>0</v>
      </c>
      <c r="BB100" s="28">
        <f t="shared" si="40"/>
        <v>0</v>
      </c>
      <c r="BC100" s="29">
        <f t="shared" si="41"/>
        <v>1.4200449914414697E-2</v>
      </c>
      <c r="BE100" s="29">
        <f t="shared" si="42"/>
        <v>0</v>
      </c>
      <c r="BF100" s="29">
        <f t="shared" si="43"/>
        <v>3.4321870320695773E-2</v>
      </c>
      <c r="BH100" s="29"/>
    </row>
    <row r="101" spans="1:60" x14ac:dyDescent="0.25">
      <c r="A101" s="1">
        <v>46169</v>
      </c>
      <c r="B101" s="33">
        <v>88.35</v>
      </c>
      <c r="C101" s="33">
        <v>90.96</v>
      </c>
      <c r="D101" s="15">
        <v>9.43886009203437E-3</v>
      </c>
      <c r="E101" s="15">
        <v>1.8530349913155299E-2</v>
      </c>
      <c r="F101" s="33">
        <v>0</v>
      </c>
      <c r="G101" s="33">
        <v>0</v>
      </c>
      <c r="H101" s="33">
        <v>0</v>
      </c>
      <c r="I101" s="33">
        <v>0</v>
      </c>
      <c r="J101" s="33">
        <v>0</v>
      </c>
      <c r="K101" s="33">
        <v>0</v>
      </c>
      <c r="L101" s="33">
        <v>88.35</v>
      </c>
      <c r="M101" s="33">
        <v>90.96</v>
      </c>
      <c r="N101" s="34">
        <v>1.02954159592529</v>
      </c>
      <c r="O101" s="34">
        <v>1.03934289630393</v>
      </c>
      <c r="P101" s="34">
        <v>1.02229378970944</v>
      </c>
      <c r="Q101" s="34">
        <v>1.0245324789168699</v>
      </c>
      <c r="R101" s="33">
        <v>91.825944888452696</v>
      </c>
      <c r="S101" s="33">
        <v>90.255363666941705</v>
      </c>
      <c r="T101" s="33">
        <v>90.504344990455607</v>
      </c>
      <c r="U101" s="15">
        <v>9.4750323107282292E-3</v>
      </c>
      <c r="V101" s="15">
        <v>-7.77682278260364E-3</v>
      </c>
      <c r="W101" s="15">
        <v>-5.0219889446274403E-3</v>
      </c>
      <c r="X101" s="34">
        <v>1.02954159592529</v>
      </c>
      <c r="Y101" s="34">
        <v>1.03934289630393</v>
      </c>
      <c r="Z101" s="34">
        <v>1.02229378970944</v>
      </c>
      <c r="AA101" s="34">
        <v>1.0245324789168699</v>
      </c>
      <c r="AB101" s="33">
        <v>91.825944888452696</v>
      </c>
      <c r="AC101" s="33">
        <v>90.255363666941705</v>
      </c>
      <c r="AD101" s="33">
        <v>90.504344990455607</v>
      </c>
      <c r="AE101" s="15">
        <v>9.4750323107282292E-3</v>
      </c>
      <c r="AF101" s="15">
        <v>-7.77682278260364E-3</v>
      </c>
      <c r="AG101" s="15">
        <v>-5.0219889446274403E-3</v>
      </c>
      <c r="AI101" s="12"/>
      <c r="AJ101">
        <f t="shared" si="26"/>
        <v>1</v>
      </c>
      <c r="AK101">
        <f t="shared" si="27"/>
        <v>0</v>
      </c>
      <c r="AL101">
        <f t="shared" si="34"/>
        <v>0</v>
      </c>
      <c r="AM101">
        <f t="shared" si="24"/>
        <v>1</v>
      </c>
      <c r="AN101">
        <f t="shared" si="35"/>
        <v>0</v>
      </c>
      <c r="AO101" s="28">
        <f t="shared" si="28"/>
        <v>0</v>
      </c>
      <c r="AP101" s="28">
        <f t="shared" si="29"/>
        <v>0</v>
      </c>
      <c r="AQ101" s="28">
        <f t="shared" si="36"/>
        <v>0</v>
      </c>
      <c r="AR101" s="29">
        <f t="shared" si="37"/>
        <v>2.0121420406281086E-2</v>
      </c>
      <c r="AT101" s="12"/>
      <c r="AU101">
        <f t="shared" si="30"/>
        <v>0</v>
      </c>
      <c r="AV101">
        <f t="shared" si="31"/>
        <v>1</v>
      </c>
      <c r="AW101">
        <f t="shared" si="38"/>
        <v>1</v>
      </c>
      <c r="AX101">
        <f t="shared" si="25"/>
        <v>1</v>
      </c>
      <c r="AY101">
        <f t="shared" si="39"/>
        <v>1</v>
      </c>
      <c r="AZ101" s="28">
        <f t="shared" si="32"/>
        <v>-9.43886009203437E-3</v>
      </c>
      <c r="BA101" s="28">
        <f t="shared" si="33"/>
        <v>1.8530349913155299E-2</v>
      </c>
      <c r="BB101" s="28">
        <f t="shared" si="40"/>
        <v>9.0914898211209294E-3</v>
      </c>
      <c r="BC101" s="29">
        <f t="shared" si="41"/>
        <v>2.3291939735535627E-2</v>
      </c>
      <c r="BE101" s="29">
        <f t="shared" si="42"/>
        <v>9.0914898211209294E-3</v>
      </c>
      <c r="BF101" s="29">
        <f t="shared" si="43"/>
        <v>4.3413360141816702E-2</v>
      </c>
      <c r="BH101" s="29"/>
    </row>
    <row r="102" spans="1:60" x14ac:dyDescent="0.25">
      <c r="A102" s="1">
        <v>46170</v>
      </c>
      <c r="B102" s="33">
        <v>87.59</v>
      </c>
      <c r="C102" s="33">
        <v>89.75</v>
      </c>
      <c r="D102" s="15">
        <v>-8.6393625907077408E-3</v>
      </c>
      <c r="E102" s="15">
        <v>-1.33918220738923E-2</v>
      </c>
      <c r="F102" s="33">
        <v>0</v>
      </c>
      <c r="G102" s="33">
        <v>0</v>
      </c>
      <c r="H102" s="33">
        <v>0</v>
      </c>
      <c r="I102" s="33">
        <v>0</v>
      </c>
      <c r="J102" s="33">
        <v>0</v>
      </c>
      <c r="K102" s="33">
        <v>0</v>
      </c>
      <c r="L102" s="33">
        <v>87.59</v>
      </c>
      <c r="M102" s="33">
        <v>89.75</v>
      </c>
      <c r="N102" s="34">
        <v>1.02466034935494</v>
      </c>
      <c r="O102" s="34">
        <v>1.03934289630393</v>
      </c>
      <c r="P102" s="34">
        <v>1.02237399502691</v>
      </c>
      <c r="Q102" s="34">
        <v>1.02429166558504</v>
      </c>
      <c r="R102" s="33">
        <v>91.036044287261703</v>
      </c>
      <c r="S102" s="33">
        <v>89.5427130406499</v>
      </c>
      <c r="T102" s="33">
        <v>89.738799828329107</v>
      </c>
      <c r="U102" s="15">
        <v>1.4227491793912901E-2</v>
      </c>
      <c r="V102" s="15">
        <v>-2.3122752530384898E-3</v>
      </c>
      <c r="W102" s="15">
        <v>-1.24800786412349E-4</v>
      </c>
      <c r="X102" s="34">
        <v>1.02466034935494</v>
      </c>
      <c r="Y102" s="34">
        <v>1.03934289630393</v>
      </c>
      <c r="Z102" s="34">
        <v>1.02237399502691</v>
      </c>
      <c r="AA102" s="34">
        <v>1.02429166558504</v>
      </c>
      <c r="AB102" s="33">
        <v>91.036044287261703</v>
      </c>
      <c r="AC102" s="33">
        <v>89.5427130406499</v>
      </c>
      <c r="AD102" s="33">
        <v>89.738799828329107</v>
      </c>
      <c r="AE102" s="15">
        <v>1.4227491793912901E-2</v>
      </c>
      <c r="AF102" s="15">
        <v>-2.3122752530384898E-3</v>
      </c>
      <c r="AG102" s="15">
        <v>-1.24800786412349E-4</v>
      </c>
      <c r="AI102" s="12"/>
      <c r="AJ102">
        <f t="shared" si="26"/>
        <v>0</v>
      </c>
      <c r="AK102">
        <f t="shared" si="27"/>
        <v>1</v>
      </c>
      <c r="AL102">
        <f t="shared" si="34"/>
        <v>1</v>
      </c>
      <c r="AM102">
        <f t="shared" si="24"/>
        <v>1</v>
      </c>
      <c r="AN102">
        <f t="shared" si="35"/>
        <v>1</v>
      </c>
      <c r="AO102" s="28">
        <f t="shared" si="28"/>
        <v>-8.6393625907077408E-3</v>
      </c>
      <c r="AP102" s="28">
        <f t="shared" si="29"/>
        <v>1.33918220738923E-2</v>
      </c>
      <c r="AQ102" s="28">
        <f t="shared" si="36"/>
        <v>4.7524594831845589E-3</v>
      </c>
      <c r="AR102" s="29">
        <f t="shared" si="37"/>
        <v>2.4873879889465645E-2</v>
      </c>
      <c r="AT102" s="12"/>
      <c r="AU102">
        <f t="shared" si="30"/>
        <v>0</v>
      </c>
      <c r="AV102">
        <f t="shared" si="31"/>
        <v>1</v>
      </c>
      <c r="AW102">
        <f t="shared" si="38"/>
        <v>0</v>
      </c>
      <c r="AX102">
        <f t="shared" si="25"/>
        <v>1</v>
      </c>
      <c r="AY102">
        <f t="shared" si="39"/>
        <v>0</v>
      </c>
      <c r="AZ102" s="28">
        <f t="shared" si="32"/>
        <v>0</v>
      </c>
      <c r="BA102" s="28">
        <f t="shared" si="33"/>
        <v>0</v>
      </c>
      <c r="BB102" s="28">
        <f t="shared" si="40"/>
        <v>0</v>
      </c>
      <c r="BC102" s="29">
        <f t="shared" si="41"/>
        <v>2.3291939735535627E-2</v>
      </c>
      <c r="BE102" s="29">
        <f t="shared" si="42"/>
        <v>4.7524594831845589E-3</v>
      </c>
      <c r="BF102" s="29">
        <f t="shared" si="43"/>
        <v>4.8165819625001258E-2</v>
      </c>
      <c r="BH102" s="29"/>
    </row>
    <row r="103" spans="1:60" x14ac:dyDescent="0.25">
      <c r="A103" s="1">
        <v>46171</v>
      </c>
      <c r="B103" s="33">
        <v>88.08</v>
      </c>
      <c r="C103" s="33">
        <v>89.78</v>
      </c>
      <c r="D103" s="15">
        <v>5.5786562394267401E-3</v>
      </c>
      <c r="E103" s="15">
        <v>3.3420598539779203E-4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88.08</v>
      </c>
      <c r="M103" s="33">
        <v>89.78</v>
      </c>
      <c r="N103" s="34">
        <v>1.01930063578564</v>
      </c>
      <c r="O103" s="34">
        <v>1.03934289630393</v>
      </c>
      <c r="P103" s="34">
        <v>1.02192625147205</v>
      </c>
      <c r="Q103" s="34">
        <v>1.0241704787728201</v>
      </c>
      <c r="R103" s="33">
        <v>91.5453223064507</v>
      </c>
      <c r="S103" s="33">
        <v>90.050701481970194</v>
      </c>
      <c r="T103" s="33">
        <v>90.219609904730405</v>
      </c>
      <c r="U103" s="15">
        <v>1.9471942047942E-2</v>
      </c>
      <c r="V103" s="15">
        <v>3.0106281542200499E-3</v>
      </c>
      <c r="W103" s="15">
        <v>4.8845747945755798E-3</v>
      </c>
      <c r="X103" s="34">
        <v>1.01930063578564</v>
      </c>
      <c r="Y103" s="34">
        <v>1.03934289630393</v>
      </c>
      <c r="Z103" s="34">
        <v>1.02192625147205</v>
      </c>
      <c r="AA103" s="34">
        <v>1.0241704787728201</v>
      </c>
      <c r="AB103" s="33">
        <v>91.5453223064507</v>
      </c>
      <c r="AC103" s="33">
        <v>90.050701481970194</v>
      </c>
      <c r="AD103" s="33">
        <v>90.219609904730405</v>
      </c>
      <c r="AE103" s="15">
        <v>1.9471942047942E-2</v>
      </c>
      <c r="AF103" s="15">
        <v>3.0106281542200499E-3</v>
      </c>
      <c r="AG103" s="15">
        <v>4.8845747945755798E-3</v>
      </c>
      <c r="AI103" s="12"/>
      <c r="AJ103">
        <f t="shared" si="26"/>
        <v>0</v>
      </c>
      <c r="AK103">
        <f t="shared" si="27"/>
        <v>1</v>
      </c>
      <c r="AL103">
        <f t="shared" si="34"/>
        <v>0</v>
      </c>
      <c r="AM103">
        <f t="shared" si="24"/>
        <v>1</v>
      </c>
      <c r="AN103">
        <f t="shared" si="35"/>
        <v>0</v>
      </c>
      <c r="AO103" s="28">
        <f t="shared" si="28"/>
        <v>0</v>
      </c>
      <c r="AP103" s="28">
        <f t="shared" si="29"/>
        <v>0</v>
      </c>
      <c r="AQ103" s="28">
        <f t="shared" si="36"/>
        <v>0</v>
      </c>
      <c r="AR103" s="29">
        <f t="shared" si="37"/>
        <v>2.4873879889465645E-2</v>
      </c>
      <c r="AT103" s="12"/>
      <c r="AU103">
        <f t="shared" si="30"/>
        <v>1</v>
      </c>
      <c r="AV103">
        <f t="shared" si="31"/>
        <v>0</v>
      </c>
      <c r="AW103">
        <f t="shared" si="38"/>
        <v>0</v>
      </c>
      <c r="AX103">
        <f t="shared" si="25"/>
        <v>1</v>
      </c>
      <c r="AY103">
        <f t="shared" si="39"/>
        <v>0</v>
      </c>
      <c r="AZ103" s="28">
        <f t="shared" si="32"/>
        <v>0</v>
      </c>
      <c r="BA103" s="28">
        <f t="shared" si="33"/>
        <v>0</v>
      </c>
      <c r="BB103" s="28">
        <f t="shared" si="40"/>
        <v>0</v>
      </c>
      <c r="BC103" s="29">
        <f t="shared" si="41"/>
        <v>2.3291939735535627E-2</v>
      </c>
      <c r="BE103" s="29">
        <f t="shared" si="42"/>
        <v>0</v>
      </c>
      <c r="BF103" s="29">
        <f t="shared" si="43"/>
        <v>4.8165819625001258E-2</v>
      </c>
      <c r="BH103" s="29"/>
    </row>
    <row r="104" spans="1:60" x14ac:dyDescent="0.25">
      <c r="A104" s="1">
        <v>46174</v>
      </c>
      <c r="B104" s="33">
        <v>87.85</v>
      </c>
      <c r="C104" s="33">
        <v>90.11</v>
      </c>
      <c r="D104" s="15">
        <v>-2.61467778131837E-3</v>
      </c>
      <c r="E104" s="15">
        <v>3.6689128931598099E-3</v>
      </c>
      <c r="F104" s="33">
        <v>0</v>
      </c>
      <c r="G104" s="33">
        <v>0</v>
      </c>
      <c r="H104" s="33">
        <v>0</v>
      </c>
      <c r="I104" s="33">
        <v>0</v>
      </c>
      <c r="J104" s="33">
        <v>0</v>
      </c>
      <c r="K104" s="33">
        <v>0</v>
      </c>
      <c r="L104" s="33">
        <v>87.85</v>
      </c>
      <c r="M104" s="33">
        <v>90.11</v>
      </c>
      <c r="N104" s="34">
        <v>1.0257256687535501</v>
      </c>
      <c r="O104" s="34">
        <v>1.03934289630393</v>
      </c>
      <c r="P104" s="34">
        <v>1.0220336789051701</v>
      </c>
      <c r="Q104" s="34">
        <v>1.02421704491239</v>
      </c>
      <c r="R104" s="33">
        <v>91.3062734403007</v>
      </c>
      <c r="S104" s="33">
        <v>89.776221191819801</v>
      </c>
      <c r="T104" s="33">
        <v>89.973376560193103</v>
      </c>
      <c r="U104" s="15">
        <v>1.31883513734636E-2</v>
      </c>
      <c r="V104" s="15">
        <v>-3.7110034223056801E-3</v>
      </c>
      <c r="W104" s="15">
        <v>-1.5173356767181399E-3</v>
      </c>
      <c r="X104" s="34">
        <v>1.0257256687535501</v>
      </c>
      <c r="Y104" s="34">
        <v>1.03934289630393</v>
      </c>
      <c r="Z104" s="34">
        <v>1.0220336789051701</v>
      </c>
      <c r="AA104" s="34">
        <v>1.02421704491239</v>
      </c>
      <c r="AB104" s="33">
        <v>91.3062734403007</v>
      </c>
      <c r="AC104" s="33">
        <v>89.776221191819801</v>
      </c>
      <c r="AD104" s="33">
        <v>89.973376560193103</v>
      </c>
      <c r="AE104" s="15">
        <v>1.31883513734636E-2</v>
      </c>
      <c r="AF104" s="15">
        <v>-3.7110034223056801E-3</v>
      </c>
      <c r="AG104" s="15">
        <v>-1.5173356767181399E-3</v>
      </c>
      <c r="AI104" s="12"/>
      <c r="AJ104">
        <f t="shared" si="26"/>
        <v>0</v>
      </c>
      <c r="AK104">
        <f t="shared" si="27"/>
        <v>1</v>
      </c>
      <c r="AL104">
        <f t="shared" si="34"/>
        <v>0</v>
      </c>
      <c r="AM104">
        <f t="shared" si="24"/>
        <v>1</v>
      </c>
      <c r="AN104">
        <f t="shared" si="35"/>
        <v>0</v>
      </c>
      <c r="AO104" s="28">
        <f t="shared" si="28"/>
        <v>0</v>
      </c>
      <c r="AP104" s="28">
        <f t="shared" si="29"/>
        <v>0</v>
      </c>
      <c r="AQ104" s="28">
        <f t="shared" si="36"/>
        <v>0</v>
      </c>
      <c r="AR104" s="29">
        <f t="shared" si="37"/>
        <v>2.4873879889465645E-2</v>
      </c>
      <c r="AT104" s="12"/>
      <c r="AU104">
        <f t="shared" si="30"/>
        <v>0</v>
      </c>
      <c r="AV104">
        <f t="shared" si="31"/>
        <v>1</v>
      </c>
      <c r="AW104">
        <f t="shared" si="38"/>
        <v>1</v>
      </c>
      <c r="AX104">
        <f t="shared" si="25"/>
        <v>1</v>
      </c>
      <c r="AY104">
        <f t="shared" si="39"/>
        <v>1</v>
      </c>
      <c r="AZ104" s="28">
        <f t="shared" si="32"/>
        <v>2.61467778131837E-3</v>
      </c>
      <c r="BA104" s="28">
        <f t="shared" si="33"/>
        <v>3.6689128931598099E-3</v>
      </c>
      <c r="BB104" s="28">
        <f t="shared" si="40"/>
        <v>6.2835906744781803E-3</v>
      </c>
      <c r="BC104" s="29">
        <f t="shared" si="41"/>
        <v>2.9575530410013807E-2</v>
      </c>
      <c r="BE104" s="29">
        <f t="shared" si="42"/>
        <v>6.2835906744781803E-3</v>
      </c>
      <c r="BF104" s="29">
        <f t="shared" si="43"/>
        <v>5.4449410299479438E-2</v>
      </c>
      <c r="BH104" s="29"/>
    </row>
    <row r="105" spans="1:60" x14ac:dyDescent="0.25">
      <c r="A105" s="1">
        <v>46175</v>
      </c>
      <c r="B105" s="33">
        <v>89.18</v>
      </c>
      <c r="C105" s="33">
        <v>90.9</v>
      </c>
      <c r="D105" s="15">
        <v>1.50259845662244E-2</v>
      </c>
      <c r="E105" s="15">
        <v>8.7288549364873194E-3</v>
      </c>
      <c r="F105" s="33">
        <v>0</v>
      </c>
      <c r="G105" s="33">
        <v>0</v>
      </c>
      <c r="H105" s="33">
        <v>0</v>
      </c>
      <c r="I105" s="33">
        <v>0</v>
      </c>
      <c r="J105" s="33">
        <v>0</v>
      </c>
      <c r="K105" s="33">
        <v>0</v>
      </c>
      <c r="L105" s="33">
        <v>89.18</v>
      </c>
      <c r="M105" s="33">
        <v>90.9</v>
      </c>
      <c r="N105" s="34">
        <v>1.01928683561336</v>
      </c>
      <c r="O105" s="34">
        <v>1.03934289630393</v>
      </c>
      <c r="P105" s="34">
        <v>1.0220783221115799</v>
      </c>
      <c r="Q105" s="34">
        <v>1.02377997309325</v>
      </c>
      <c r="R105" s="33">
        <v>92.688599492384995</v>
      </c>
      <c r="S105" s="33">
        <v>91.144963484763693</v>
      </c>
      <c r="T105" s="33">
        <v>91.339676065287406</v>
      </c>
      <c r="U105" s="15">
        <v>1.9485481003201001E-2</v>
      </c>
      <c r="V105" s="15">
        <v>2.6912431734024802E-3</v>
      </c>
      <c r="W105" s="15">
        <v>4.8252600955686403E-3</v>
      </c>
      <c r="X105" s="34">
        <v>1.01928683561336</v>
      </c>
      <c r="Y105" s="34">
        <v>1.03934289630393</v>
      </c>
      <c r="Z105" s="34">
        <v>1.0220783221115799</v>
      </c>
      <c r="AA105" s="34">
        <v>1.02377997309325</v>
      </c>
      <c r="AB105" s="33">
        <v>92.688599492384995</v>
      </c>
      <c r="AC105" s="33">
        <v>91.144963484763693</v>
      </c>
      <c r="AD105" s="33">
        <v>91.339676065287406</v>
      </c>
      <c r="AE105" s="15">
        <v>1.9485481003201001E-2</v>
      </c>
      <c r="AF105" s="15">
        <v>2.6912431734024802E-3</v>
      </c>
      <c r="AG105" s="15">
        <v>4.8252600955686403E-3</v>
      </c>
      <c r="AI105" s="12"/>
      <c r="AJ105">
        <f t="shared" si="26"/>
        <v>0</v>
      </c>
      <c r="AK105">
        <f t="shared" si="27"/>
        <v>1</v>
      </c>
      <c r="AL105">
        <f t="shared" si="34"/>
        <v>0</v>
      </c>
      <c r="AM105">
        <f t="shared" si="24"/>
        <v>1</v>
      </c>
      <c r="AN105">
        <f t="shared" si="35"/>
        <v>0</v>
      </c>
      <c r="AO105" s="28">
        <f t="shared" si="28"/>
        <v>0</v>
      </c>
      <c r="AP105" s="28">
        <f t="shared" si="29"/>
        <v>0</v>
      </c>
      <c r="AQ105" s="28">
        <f t="shared" si="36"/>
        <v>0</v>
      </c>
      <c r="AR105" s="29">
        <f t="shared" si="37"/>
        <v>2.4873879889465645E-2</v>
      </c>
      <c r="AT105" s="12"/>
      <c r="AU105">
        <f t="shared" si="30"/>
        <v>1</v>
      </c>
      <c r="AV105">
        <f t="shared" si="31"/>
        <v>0</v>
      </c>
      <c r="AW105">
        <f t="shared" si="38"/>
        <v>0</v>
      </c>
      <c r="AX105">
        <f t="shared" si="25"/>
        <v>1</v>
      </c>
      <c r="AY105">
        <f t="shared" si="39"/>
        <v>0</v>
      </c>
      <c r="AZ105" s="28">
        <f t="shared" si="32"/>
        <v>0</v>
      </c>
      <c r="BA105" s="28">
        <f t="shared" si="33"/>
        <v>0</v>
      </c>
      <c r="BB105" s="28">
        <f t="shared" si="40"/>
        <v>0</v>
      </c>
      <c r="BC105" s="29">
        <f t="shared" si="41"/>
        <v>2.9575530410013807E-2</v>
      </c>
      <c r="BE105" s="29">
        <f t="shared" si="42"/>
        <v>0</v>
      </c>
      <c r="BF105" s="29">
        <f t="shared" si="43"/>
        <v>5.4449410299479438E-2</v>
      </c>
      <c r="BH105" s="29"/>
    </row>
    <row r="106" spans="1:60" x14ac:dyDescent="0.25">
      <c r="A106" s="1">
        <v>46176</v>
      </c>
      <c r="B106" s="33">
        <v>87.57</v>
      </c>
      <c r="C106" s="33">
        <v>89.46</v>
      </c>
      <c r="D106" s="15">
        <v>-1.8218325665197599E-2</v>
      </c>
      <c r="E106" s="15">
        <v>-1.5968403178731199E-2</v>
      </c>
      <c r="F106" s="33">
        <v>0</v>
      </c>
      <c r="G106" s="33">
        <v>0</v>
      </c>
      <c r="H106" s="33">
        <v>0</v>
      </c>
      <c r="I106" s="33">
        <v>0</v>
      </c>
      <c r="J106" s="33">
        <v>0</v>
      </c>
      <c r="K106" s="33">
        <v>0</v>
      </c>
      <c r="L106" s="33">
        <v>87.57</v>
      </c>
      <c r="M106" s="33">
        <v>89.46</v>
      </c>
      <c r="N106" s="34">
        <v>1.02158273381294</v>
      </c>
      <c r="O106" s="34">
        <v>1.03934289630393</v>
      </c>
      <c r="P106" s="34">
        <v>1.02203243344387</v>
      </c>
      <c r="Q106" s="34">
        <v>1.02362887086794</v>
      </c>
      <c r="R106" s="33">
        <v>91.015257429335605</v>
      </c>
      <c r="S106" s="33">
        <v>89.503398667311501</v>
      </c>
      <c r="T106" s="33">
        <v>89.652412243776695</v>
      </c>
      <c r="U106" s="15">
        <v>1.72355585167344E-2</v>
      </c>
      <c r="V106" s="15">
        <v>4.8500049155796498E-4</v>
      </c>
      <c r="W106" s="15">
        <v>2.1485090327622398E-3</v>
      </c>
      <c r="X106" s="34">
        <v>1.02158273381294</v>
      </c>
      <c r="Y106" s="34">
        <v>1.03934289630393</v>
      </c>
      <c r="Z106" s="34">
        <v>1.02203243344387</v>
      </c>
      <c r="AA106" s="34">
        <v>1.02362887086794</v>
      </c>
      <c r="AB106" s="33">
        <v>91.015257429335605</v>
      </c>
      <c r="AC106" s="33">
        <v>89.503398667311501</v>
      </c>
      <c r="AD106" s="33">
        <v>89.652412243776695</v>
      </c>
      <c r="AE106" s="15">
        <v>1.72355585167344E-2</v>
      </c>
      <c r="AF106" s="15">
        <v>4.8500049155796498E-4</v>
      </c>
      <c r="AG106" s="15">
        <v>2.1485090327622398E-3</v>
      </c>
      <c r="AI106" s="12"/>
      <c r="AJ106">
        <f t="shared" si="26"/>
        <v>0</v>
      </c>
      <c r="AK106">
        <f t="shared" si="27"/>
        <v>1</v>
      </c>
      <c r="AL106">
        <f t="shared" si="34"/>
        <v>0</v>
      </c>
      <c r="AM106">
        <f t="shared" si="24"/>
        <v>1</v>
      </c>
      <c r="AN106">
        <f t="shared" si="35"/>
        <v>0</v>
      </c>
      <c r="AO106" s="28">
        <f t="shared" si="28"/>
        <v>0</v>
      </c>
      <c r="AP106" s="28">
        <f t="shared" si="29"/>
        <v>0</v>
      </c>
      <c r="AQ106" s="28">
        <f t="shared" si="36"/>
        <v>0</v>
      </c>
      <c r="AR106" s="29">
        <f t="shared" si="37"/>
        <v>2.4873879889465645E-2</v>
      </c>
      <c r="AT106" s="12"/>
      <c r="AU106">
        <f t="shared" si="30"/>
        <v>0</v>
      </c>
      <c r="AV106">
        <f t="shared" si="31"/>
        <v>0</v>
      </c>
      <c r="AW106">
        <f t="shared" si="38"/>
        <v>1</v>
      </c>
      <c r="AX106">
        <f t="shared" si="25"/>
        <v>1</v>
      </c>
      <c r="AY106">
        <f t="shared" si="39"/>
        <v>1</v>
      </c>
      <c r="AZ106" s="28">
        <f t="shared" si="32"/>
        <v>1.8218325665197599E-2</v>
      </c>
      <c r="BA106" s="28">
        <f t="shared" si="33"/>
        <v>-1.5968403178731199E-2</v>
      </c>
      <c r="BB106" s="28">
        <f t="shared" si="40"/>
        <v>2.2499224864663998E-3</v>
      </c>
      <c r="BC106" s="29">
        <f t="shared" si="41"/>
        <v>3.1825452896480207E-2</v>
      </c>
      <c r="BE106" s="29">
        <f t="shared" si="42"/>
        <v>2.2499224864663998E-3</v>
      </c>
      <c r="BF106" s="29">
        <f t="shared" si="43"/>
        <v>5.6699332785945841E-2</v>
      </c>
      <c r="BH106" s="29"/>
    </row>
    <row r="107" spans="1:60" x14ac:dyDescent="0.25">
      <c r="A107" s="1">
        <v>46177</v>
      </c>
      <c r="B107" s="33">
        <v>89.78</v>
      </c>
      <c r="C107" s="33">
        <v>91.88</v>
      </c>
      <c r="D107" s="15">
        <v>2.4923759819653099E-2</v>
      </c>
      <c r="E107" s="15">
        <v>2.6691779816195398E-2</v>
      </c>
      <c r="F107" s="33">
        <v>0</v>
      </c>
      <c r="G107" s="33">
        <v>0</v>
      </c>
      <c r="H107" s="33">
        <v>0</v>
      </c>
      <c r="I107" s="33">
        <v>0</v>
      </c>
      <c r="J107" s="33">
        <v>0</v>
      </c>
      <c r="K107" s="33">
        <v>0</v>
      </c>
      <c r="L107" s="33">
        <v>89.78</v>
      </c>
      <c r="M107" s="33">
        <v>91.88</v>
      </c>
      <c r="N107" s="34">
        <v>1.02339051013588</v>
      </c>
      <c r="O107" s="34">
        <v>1.03934289630393</v>
      </c>
      <c r="P107" s="34">
        <v>1.0227891691578599</v>
      </c>
      <c r="Q107" s="34">
        <v>1.0233961027446701</v>
      </c>
      <c r="R107" s="33">
        <v>93.312205230167393</v>
      </c>
      <c r="S107" s="33">
        <v>91.758071874590797</v>
      </c>
      <c r="T107" s="33">
        <v>91.901400026523902</v>
      </c>
      <c r="U107" s="15">
        <v>1.5467538520192E-2</v>
      </c>
      <c r="V107" s="15">
        <v>-1.32791792117512E-3</v>
      </c>
      <c r="W107" s="15">
        <v>2.3288566326768199E-4</v>
      </c>
      <c r="X107" s="34">
        <v>1.02339051013588</v>
      </c>
      <c r="Y107" s="34">
        <v>1.03934289630393</v>
      </c>
      <c r="Z107" s="34">
        <v>1.0227891691578599</v>
      </c>
      <c r="AA107" s="34">
        <v>1.0233961027446701</v>
      </c>
      <c r="AB107" s="33">
        <v>93.312205230167393</v>
      </c>
      <c r="AC107" s="33">
        <v>91.758071874590797</v>
      </c>
      <c r="AD107" s="33">
        <v>91.901400026523902</v>
      </c>
      <c r="AE107" s="15">
        <v>1.5467538520192E-2</v>
      </c>
      <c r="AF107" s="15">
        <v>-1.32791792117512E-3</v>
      </c>
      <c r="AG107" s="15">
        <v>2.3288566326768199E-4</v>
      </c>
      <c r="AI107" s="12"/>
      <c r="AJ107">
        <f t="shared" si="26"/>
        <v>0</v>
      </c>
      <c r="AK107">
        <f t="shared" si="27"/>
        <v>1</v>
      </c>
      <c r="AL107">
        <f t="shared" si="34"/>
        <v>0</v>
      </c>
      <c r="AM107">
        <f t="shared" si="24"/>
        <v>1</v>
      </c>
      <c r="AN107">
        <f t="shared" si="35"/>
        <v>0</v>
      </c>
      <c r="AO107" s="28">
        <f t="shared" si="28"/>
        <v>0</v>
      </c>
      <c r="AP107" s="28">
        <f t="shared" si="29"/>
        <v>0</v>
      </c>
      <c r="AQ107" s="28">
        <f t="shared" si="36"/>
        <v>0</v>
      </c>
      <c r="AR107" s="29">
        <f t="shared" si="37"/>
        <v>2.4873879889465645E-2</v>
      </c>
      <c r="AT107" s="12"/>
      <c r="AU107">
        <f t="shared" si="30"/>
        <v>0</v>
      </c>
      <c r="AV107">
        <f t="shared" si="31"/>
        <v>1</v>
      </c>
      <c r="AW107">
        <f t="shared" si="38"/>
        <v>1</v>
      </c>
      <c r="AX107">
        <f t="shared" si="25"/>
        <v>1</v>
      </c>
      <c r="AY107">
        <f t="shared" si="39"/>
        <v>1</v>
      </c>
      <c r="AZ107" s="28">
        <f t="shared" si="32"/>
        <v>-2.4923759819653099E-2</v>
      </c>
      <c r="BA107" s="28">
        <f t="shared" si="33"/>
        <v>2.6691779816195398E-2</v>
      </c>
      <c r="BB107" s="28">
        <f t="shared" si="40"/>
        <v>1.7680199965422992E-3</v>
      </c>
      <c r="BC107" s="29">
        <f t="shared" si="41"/>
        <v>3.3593472893022502E-2</v>
      </c>
      <c r="BE107" s="29">
        <f t="shared" si="42"/>
        <v>1.7680199965422992E-3</v>
      </c>
      <c r="BF107" s="29">
        <f t="shared" si="43"/>
        <v>5.8467352782488144E-2</v>
      </c>
      <c r="BH107" s="29"/>
    </row>
    <row r="108" spans="1:60" x14ac:dyDescent="0.25">
      <c r="A108" s="1">
        <v>46178</v>
      </c>
      <c r="B108" s="33">
        <v>88.66</v>
      </c>
      <c r="C108" s="33">
        <v>90.49</v>
      </c>
      <c r="D108" s="15">
        <v>-1.25534040368786E-2</v>
      </c>
      <c r="E108" s="15">
        <v>-1.5244030457855599E-2</v>
      </c>
      <c r="F108" s="33">
        <v>0</v>
      </c>
      <c r="G108" s="33">
        <v>0</v>
      </c>
      <c r="H108" s="33">
        <v>0</v>
      </c>
      <c r="I108" s="33">
        <v>0</v>
      </c>
      <c r="J108" s="33">
        <v>0</v>
      </c>
      <c r="K108" s="33">
        <v>0</v>
      </c>
      <c r="L108" s="33">
        <v>88.66</v>
      </c>
      <c r="M108" s="33">
        <v>90.49</v>
      </c>
      <c r="N108" s="34">
        <v>1.0206406496728999</v>
      </c>
      <c r="O108" s="34">
        <v>1.03934289630393</v>
      </c>
      <c r="P108" s="34">
        <v>1.0227849817983701</v>
      </c>
      <c r="Q108" s="34">
        <v>1.0226213331498999</v>
      </c>
      <c r="R108" s="33">
        <v>92.148141186306901</v>
      </c>
      <c r="S108" s="33">
        <v>90.680487737536495</v>
      </c>
      <c r="T108" s="33">
        <v>90.734298469342505</v>
      </c>
      <c r="U108" s="15">
        <v>1.8158164941168901E-2</v>
      </c>
      <c r="V108" s="15">
        <v>2.1028569289648102E-3</v>
      </c>
      <c r="W108" s="15">
        <v>2.6960911907269302E-3</v>
      </c>
      <c r="X108" s="34">
        <v>1.0206406496728999</v>
      </c>
      <c r="Y108" s="34">
        <v>1.03934289630393</v>
      </c>
      <c r="Z108" s="34">
        <v>1.0227849817983701</v>
      </c>
      <c r="AA108" s="34">
        <v>1.0226213331498999</v>
      </c>
      <c r="AB108" s="33">
        <v>92.148141186306901</v>
      </c>
      <c r="AC108" s="33">
        <v>90.680487737536495</v>
      </c>
      <c r="AD108" s="33">
        <v>90.734298469342505</v>
      </c>
      <c r="AE108" s="15">
        <v>1.8158164941168901E-2</v>
      </c>
      <c r="AF108" s="15">
        <v>2.1028569289648102E-3</v>
      </c>
      <c r="AG108" s="15">
        <v>2.6960911907269302E-3</v>
      </c>
      <c r="AI108" s="12"/>
      <c r="AJ108">
        <f t="shared" si="26"/>
        <v>0</v>
      </c>
      <c r="AK108">
        <f t="shared" si="27"/>
        <v>1</v>
      </c>
      <c r="AL108">
        <f t="shared" si="34"/>
        <v>0</v>
      </c>
      <c r="AM108">
        <f t="shared" si="24"/>
        <v>1</v>
      </c>
      <c r="AN108">
        <f t="shared" si="35"/>
        <v>0</v>
      </c>
      <c r="AO108" s="28">
        <f t="shared" si="28"/>
        <v>0</v>
      </c>
      <c r="AP108" s="28">
        <f t="shared" si="29"/>
        <v>0</v>
      </c>
      <c r="AQ108" s="28">
        <f t="shared" si="36"/>
        <v>0</v>
      </c>
      <c r="AR108" s="29">
        <f t="shared" si="37"/>
        <v>2.4873879889465645E-2</v>
      </c>
      <c r="AT108" s="12"/>
      <c r="AU108">
        <f t="shared" si="30"/>
        <v>0</v>
      </c>
      <c r="AV108">
        <f t="shared" si="31"/>
        <v>0</v>
      </c>
      <c r="AW108">
        <f t="shared" si="38"/>
        <v>0</v>
      </c>
      <c r="AX108">
        <f t="shared" si="25"/>
        <v>1</v>
      </c>
      <c r="AY108">
        <f t="shared" si="39"/>
        <v>0</v>
      </c>
      <c r="AZ108" s="28">
        <f t="shared" si="32"/>
        <v>0</v>
      </c>
      <c r="BA108" s="28">
        <f t="shared" si="33"/>
        <v>0</v>
      </c>
      <c r="BB108" s="28">
        <f t="shared" si="40"/>
        <v>0</v>
      </c>
      <c r="BC108" s="29">
        <f t="shared" si="41"/>
        <v>3.3593472893022502E-2</v>
      </c>
      <c r="BE108" s="29">
        <f t="shared" si="42"/>
        <v>0</v>
      </c>
      <c r="BF108" s="29">
        <f t="shared" si="43"/>
        <v>5.8467352782488144E-2</v>
      </c>
      <c r="BH108" s="29"/>
    </row>
    <row r="109" spans="1:60" x14ac:dyDescent="0.25">
      <c r="A109" s="1">
        <v>46181</v>
      </c>
      <c r="B109" s="33">
        <v>89.03</v>
      </c>
      <c r="C109" s="33">
        <v>90.74</v>
      </c>
      <c r="D109" s="15">
        <v>4.16456226867241E-3</v>
      </c>
      <c r="E109" s="15">
        <v>2.7589268727758499E-3</v>
      </c>
      <c r="F109" s="33">
        <v>0</v>
      </c>
      <c r="G109" s="33">
        <v>0</v>
      </c>
      <c r="H109" s="33">
        <v>0</v>
      </c>
      <c r="I109" s="33">
        <v>0</v>
      </c>
      <c r="J109" s="33">
        <v>0</v>
      </c>
      <c r="K109" s="33">
        <v>0</v>
      </c>
      <c r="L109" s="33">
        <v>89.03</v>
      </c>
      <c r="M109" s="33">
        <v>90.74</v>
      </c>
      <c r="N109" s="34">
        <v>1.01920700887341</v>
      </c>
      <c r="O109" s="34">
        <v>1.03934289630393</v>
      </c>
      <c r="P109" s="34">
        <v>1.0223559936739599</v>
      </c>
      <c r="Q109" s="34">
        <v>1.0222516801088399</v>
      </c>
      <c r="R109" s="33">
        <v>92.532698057939399</v>
      </c>
      <c r="S109" s="33">
        <v>91.058546929509305</v>
      </c>
      <c r="T109" s="33">
        <v>91.043977290335903</v>
      </c>
      <c r="U109" s="15">
        <v>1.95638003370655E-2</v>
      </c>
      <c r="V109" s="15">
        <v>3.50439825719699E-3</v>
      </c>
      <c r="W109" s="15">
        <v>3.3443824719476601E-3</v>
      </c>
      <c r="X109" s="34">
        <v>1.01920700887341</v>
      </c>
      <c r="Y109" s="34">
        <v>1.03934289630393</v>
      </c>
      <c r="Z109" s="34">
        <v>1.0223559936739599</v>
      </c>
      <c r="AA109" s="34">
        <v>1.0222516801088399</v>
      </c>
      <c r="AB109" s="33">
        <v>92.532698057939399</v>
      </c>
      <c r="AC109" s="33">
        <v>91.058546929509305</v>
      </c>
      <c r="AD109" s="33">
        <v>91.043977290335903</v>
      </c>
      <c r="AE109" s="15">
        <v>1.95638003370655E-2</v>
      </c>
      <c r="AF109" s="15">
        <v>3.50439825719699E-3</v>
      </c>
      <c r="AG109" s="15">
        <v>3.3443824719476601E-3</v>
      </c>
      <c r="AI109" s="12"/>
      <c r="AJ109">
        <f t="shared" si="26"/>
        <v>0</v>
      </c>
      <c r="AK109">
        <f t="shared" si="27"/>
        <v>1</v>
      </c>
      <c r="AL109">
        <f t="shared" si="34"/>
        <v>0</v>
      </c>
      <c r="AM109">
        <f t="shared" si="24"/>
        <v>1</v>
      </c>
      <c r="AN109">
        <f t="shared" si="35"/>
        <v>0</v>
      </c>
      <c r="AO109" s="28">
        <f t="shared" si="28"/>
        <v>0</v>
      </c>
      <c r="AP109" s="28">
        <f t="shared" si="29"/>
        <v>0</v>
      </c>
      <c r="AQ109" s="28">
        <f t="shared" si="36"/>
        <v>0</v>
      </c>
      <c r="AR109" s="29">
        <f t="shared" si="37"/>
        <v>2.4873879889465645E-2</v>
      </c>
      <c r="AT109" s="12"/>
      <c r="AU109">
        <f t="shared" si="30"/>
        <v>0</v>
      </c>
      <c r="AV109">
        <f t="shared" si="31"/>
        <v>0</v>
      </c>
      <c r="AW109">
        <f t="shared" si="38"/>
        <v>0</v>
      </c>
      <c r="AX109">
        <f t="shared" si="25"/>
        <v>1</v>
      </c>
      <c r="AY109">
        <f t="shared" si="39"/>
        <v>0</v>
      </c>
      <c r="AZ109" s="28">
        <f t="shared" si="32"/>
        <v>0</v>
      </c>
      <c r="BA109" s="28">
        <f t="shared" si="33"/>
        <v>0</v>
      </c>
      <c r="BB109" s="28">
        <f t="shared" si="40"/>
        <v>0</v>
      </c>
      <c r="BC109" s="29">
        <f t="shared" si="41"/>
        <v>3.3593472893022502E-2</v>
      </c>
      <c r="BE109" s="29">
        <f t="shared" si="42"/>
        <v>0</v>
      </c>
      <c r="BF109" s="29">
        <f t="shared" si="43"/>
        <v>5.8467352782488144E-2</v>
      </c>
      <c r="BH109" s="29"/>
    </row>
    <row r="110" spans="1:60" x14ac:dyDescent="0.25">
      <c r="A110" s="1">
        <v>46182</v>
      </c>
      <c r="B110" s="33">
        <v>90.88</v>
      </c>
      <c r="C110" s="33">
        <v>92.56</v>
      </c>
      <c r="D110" s="15">
        <v>2.0566563387261299E-2</v>
      </c>
      <c r="E110" s="15">
        <v>1.9858808649603401E-2</v>
      </c>
      <c r="F110" s="33">
        <v>0</v>
      </c>
      <c r="G110" s="33">
        <v>0</v>
      </c>
      <c r="H110" s="33">
        <v>0</v>
      </c>
      <c r="I110" s="33">
        <v>0</v>
      </c>
      <c r="J110" s="33">
        <v>0</v>
      </c>
      <c r="K110" s="33">
        <v>0</v>
      </c>
      <c r="L110" s="33">
        <v>90.88</v>
      </c>
      <c r="M110" s="33">
        <v>92.56</v>
      </c>
      <c r="N110" s="34">
        <v>1.01848591549295</v>
      </c>
      <c r="O110" s="34">
        <v>1.03934289630393</v>
      </c>
      <c r="P110" s="34">
        <v>1.02218219034209</v>
      </c>
      <c r="Q110" s="34">
        <v>1.0218741379947101</v>
      </c>
      <c r="R110" s="33">
        <v>94.455482416101702</v>
      </c>
      <c r="S110" s="33">
        <v>92.911712705090096</v>
      </c>
      <c r="T110" s="33">
        <v>92.902232688292102</v>
      </c>
      <c r="U110" s="15">
        <v>2.0271555074723498E-2</v>
      </c>
      <c r="V110" s="15">
        <v>3.7926336210379599E-3</v>
      </c>
      <c r="W110" s="15">
        <v>3.6905958887658999E-3</v>
      </c>
      <c r="X110" s="34">
        <v>1.01848591549295</v>
      </c>
      <c r="Y110" s="34">
        <v>1.03934289630393</v>
      </c>
      <c r="Z110" s="34">
        <v>1.02218219034209</v>
      </c>
      <c r="AA110" s="34">
        <v>1.0218741379947101</v>
      </c>
      <c r="AB110" s="33">
        <v>94.455482416101702</v>
      </c>
      <c r="AC110" s="33">
        <v>92.911712705090096</v>
      </c>
      <c r="AD110" s="33">
        <v>92.902232688292102</v>
      </c>
      <c r="AE110" s="15">
        <v>2.0271555074723498E-2</v>
      </c>
      <c r="AF110" s="15">
        <v>3.7926336210379599E-3</v>
      </c>
      <c r="AG110" s="15">
        <v>3.6905958887658999E-3</v>
      </c>
      <c r="AI110" s="12"/>
      <c r="AJ110">
        <f t="shared" si="26"/>
        <v>0</v>
      </c>
      <c r="AK110">
        <f t="shared" si="27"/>
        <v>1</v>
      </c>
      <c r="AL110">
        <f t="shared" si="34"/>
        <v>0</v>
      </c>
      <c r="AM110">
        <f t="shared" si="24"/>
        <v>1</v>
      </c>
      <c r="AN110">
        <f t="shared" si="35"/>
        <v>0</v>
      </c>
      <c r="AO110" s="28">
        <f t="shared" si="28"/>
        <v>0</v>
      </c>
      <c r="AP110" s="28">
        <f t="shared" si="29"/>
        <v>0</v>
      </c>
      <c r="AQ110" s="28">
        <f t="shared" si="36"/>
        <v>0</v>
      </c>
      <c r="AR110" s="29">
        <f t="shared" si="37"/>
        <v>2.4873879889465645E-2</v>
      </c>
      <c r="AT110" s="12"/>
      <c r="AU110">
        <f t="shared" si="30"/>
        <v>0</v>
      </c>
      <c r="AV110">
        <f t="shared" si="31"/>
        <v>0</v>
      </c>
      <c r="AW110">
        <f t="shared" si="38"/>
        <v>0</v>
      </c>
      <c r="AX110">
        <f t="shared" si="25"/>
        <v>1</v>
      </c>
      <c r="AY110">
        <f t="shared" si="39"/>
        <v>0</v>
      </c>
      <c r="AZ110" s="28">
        <f t="shared" si="32"/>
        <v>0</v>
      </c>
      <c r="BA110" s="28">
        <f t="shared" si="33"/>
        <v>0</v>
      </c>
      <c r="BB110" s="28">
        <f t="shared" si="40"/>
        <v>0</v>
      </c>
      <c r="BC110" s="29">
        <f t="shared" si="41"/>
        <v>3.3593472893022502E-2</v>
      </c>
      <c r="BE110" s="29">
        <f t="shared" si="42"/>
        <v>0</v>
      </c>
      <c r="BF110" s="29">
        <f t="shared" si="43"/>
        <v>5.8467352782488144E-2</v>
      </c>
      <c r="BH110" s="29"/>
    </row>
    <row r="111" spans="1:60" x14ac:dyDescent="0.25">
      <c r="A111" s="1">
        <v>46183</v>
      </c>
      <c r="B111" s="33">
        <v>87.83</v>
      </c>
      <c r="C111" s="33">
        <v>89.85</v>
      </c>
      <c r="D111" s="15">
        <v>-3.4136827043815099E-2</v>
      </c>
      <c r="E111" s="15">
        <v>-2.9715469655853099E-2</v>
      </c>
      <c r="F111" s="33">
        <v>0</v>
      </c>
      <c r="G111" s="33">
        <v>0</v>
      </c>
      <c r="H111" s="33">
        <v>0</v>
      </c>
      <c r="I111" s="33">
        <v>0</v>
      </c>
      <c r="J111" s="33">
        <v>0</v>
      </c>
      <c r="K111" s="33">
        <v>0</v>
      </c>
      <c r="L111" s="33">
        <v>87.83</v>
      </c>
      <c r="M111" s="33">
        <v>89.85</v>
      </c>
      <c r="N111" s="34">
        <v>1.0229989752931801</v>
      </c>
      <c r="O111" s="34">
        <v>1.03934289630393</v>
      </c>
      <c r="P111" s="34">
        <v>1.0215279282788801</v>
      </c>
      <c r="Q111" s="34">
        <v>1.0219108589941599</v>
      </c>
      <c r="R111" s="33">
        <v>91.285486582374702</v>
      </c>
      <c r="S111" s="33">
        <v>89.778261777745996</v>
      </c>
      <c r="T111" s="33">
        <v>89.751205540075603</v>
      </c>
      <c r="U111" s="15">
        <v>1.5850197686761502E-2</v>
      </c>
      <c r="V111" s="15">
        <v>-7.98740970467962E-4</v>
      </c>
      <c r="W111" s="15">
        <v>-1.10015374999147E-3</v>
      </c>
      <c r="X111" s="34">
        <v>1.0229989752931801</v>
      </c>
      <c r="Y111" s="34">
        <v>1.03934289630393</v>
      </c>
      <c r="Z111" s="34">
        <v>1.0215279282788801</v>
      </c>
      <c r="AA111" s="34">
        <v>1.0219108589941599</v>
      </c>
      <c r="AB111" s="33">
        <v>91.285486582374702</v>
      </c>
      <c r="AC111" s="33">
        <v>89.778261777745996</v>
      </c>
      <c r="AD111" s="33">
        <v>89.751205540075603</v>
      </c>
      <c r="AE111" s="15">
        <v>1.5850197686761502E-2</v>
      </c>
      <c r="AF111" s="15">
        <v>-7.98740970467962E-4</v>
      </c>
      <c r="AG111" s="15">
        <v>-1.10015374999147E-3</v>
      </c>
      <c r="AI111" s="12"/>
      <c r="AJ111">
        <f t="shared" si="26"/>
        <v>0</v>
      </c>
      <c r="AK111">
        <f t="shared" si="27"/>
        <v>1</v>
      </c>
      <c r="AL111">
        <f t="shared" si="34"/>
        <v>0</v>
      </c>
      <c r="AM111">
        <f t="shared" si="24"/>
        <v>1</v>
      </c>
      <c r="AN111">
        <f t="shared" si="35"/>
        <v>0</v>
      </c>
      <c r="AO111" s="28">
        <f t="shared" si="28"/>
        <v>0</v>
      </c>
      <c r="AP111" s="28">
        <f t="shared" si="29"/>
        <v>0</v>
      </c>
      <c r="AQ111" s="28">
        <f t="shared" si="36"/>
        <v>0</v>
      </c>
      <c r="AR111" s="29">
        <f t="shared" si="37"/>
        <v>2.4873879889465645E-2</v>
      </c>
      <c r="AT111" s="12"/>
      <c r="AU111">
        <f t="shared" si="30"/>
        <v>0</v>
      </c>
      <c r="AV111">
        <f t="shared" si="31"/>
        <v>1</v>
      </c>
      <c r="AW111">
        <f t="shared" si="38"/>
        <v>0</v>
      </c>
      <c r="AX111">
        <f t="shared" si="25"/>
        <v>1</v>
      </c>
      <c r="AY111">
        <f t="shared" si="39"/>
        <v>0</v>
      </c>
      <c r="AZ111" s="28">
        <f t="shared" si="32"/>
        <v>0</v>
      </c>
      <c r="BA111" s="28">
        <f t="shared" si="33"/>
        <v>0</v>
      </c>
      <c r="BB111" s="28">
        <f t="shared" si="40"/>
        <v>0</v>
      </c>
      <c r="BC111" s="29">
        <f t="shared" si="41"/>
        <v>3.3593472893022502E-2</v>
      </c>
      <c r="BE111" s="29">
        <f t="shared" si="42"/>
        <v>0</v>
      </c>
      <c r="BF111" s="29">
        <f t="shared" si="43"/>
        <v>5.8467352782488144E-2</v>
      </c>
      <c r="BH111" s="29"/>
    </row>
    <row r="112" spans="1:60" x14ac:dyDescent="0.25">
      <c r="A112" s="1">
        <v>46184</v>
      </c>
      <c r="B112" s="33">
        <v>92.93</v>
      </c>
      <c r="C112" s="33">
        <v>94.95</v>
      </c>
      <c r="D112" s="15">
        <v>5.6443393640222002E-2</v>
      </c>
      <c r="E112" s="15">
        <v>5.5208824028726802E-2</v>
      </c>
      <c r="F112" s="33">
        <v>0</v>
      </c>
      <c r="G112" s="33">
        <v>0</v>
      </c>
      <c r="H112" s="33">
        <v>0</v>
      </c>
      <c r="I112" s="33">
        <v>0</v>
      </c>
      <c r="J112" s="33">
        <v>0</v>
      </c>
      <c r="K112" s="33">
        <v>0</v>
      </c>
      <c r="L112" s="33">
        <v>92.93</v>
      </c>
      <c r="M112" s="33">
        <v>94.95</v>
      </c>
      <c r="N112" s="34">
        <v>1.0217367911331099</v>
      </c>
      <c r="O112" s="34">
        <v>1.03934289630393</v>
      </c>
      <c r="P112" s="34">
        <v>1.0212355724566899</v>
      </c>
      <c r="Q112" s="34">
        <v>1.0218047837418001</v>
      </c>
      <c r="R112" s="33">
        <v>96.586135353524796</v>
      </c>
      <c r="S112" s="33">
        <v>94.930590374956495</v>
      </c>
      <c r="T112" s="33">
        <v>94.966176126327397</v>
      </c>
      <c r="U112" s="15">
        <v>1.7084767298256601E-2</v>
      </c>
      <c r="V112" s="15">
        <v>-2.0444032823773001E-4</v>
      </c>
      <c r="W112" s="15">
        <v>1.7035016917962801E-4</v>
      </c>
      <c r="X112" s="34">
        <v>1.0217367911331099</v>
      </c>
      <c r="Y112" s="34">
        <v>1.03934289630393</v>
      </c>
      <c r="Z112" s="34">
        <v>1.0212355724566899</v>
      </c>
      <c r="AA112" s="34">
        <v>1.0218047837418001</v>
      </c>
      <c r="AB112" s="33">
        <v>96.586135353524796</v>
      </c>
      <c r="AC112" s="33">
        <v>94.930590374956495</v>
      </c>
      <c r="AD112" s="33">
        <v>94.966176126327397</v>
      </c>
      <c r="AE112" s="15">
        <v>1.7084767298256601E-2</v>
      </c>
      <c r="AF112" s="15">
        <v>-2.0444032823773001E-4</v>
      </c>
      <c r="AG112" s="15">
        <v>1.7035016917962801E-4</v>
      </c>
      <c r="AI112" s="12"/>
      <c r="AJ112">
        <f t="shared" si="26"/>
        <v>0</v>
      </c>
      <c r="AK112">
        <f t="shared" si="27"/>
        <v>1</v>
      </c>
      <c r="AL112">
        <f t="shared" si="34"/>
        <v>0</v>
      </c>
      <c r="AM112">
        <f t="shared" si="24"/>
        <v>1</v>
      </c>
      <c r="AN112">
        <f t="shared" si="35"/>
        <v>0</v>
      </c>
      <c r="AO112" s="28">
        <f t="shared" si="28"/>
        <v>0</v>
      </c>
      <c r="AP112" s="28">
        <f t="shared" si="29"/>
        <v>0</v>
      </c>
      <c r="AQ112" s="28">
        <f t="shared" si="36"/>
        <v>0</v>
      </c>
      <c r="AR112" s="29">
        <f t="shared" si="37"/>
        <v>2.4873879889465645E-2</v>
      </c>
      <c r="AT112" s="12"/>
      <c r="AU112">
        <f t="shared" si="30"/>
        <v>0</v>
      </c>
      <c r="AV112">
        <f t="shared" si="31"/>
        <v>1</v>
      </c>
      <c r="AW112">
        <f t="shared" si="38"/>
        <v>0</v>
      </c>
      <c r="AX112">
        <f t="shared" si="25"/>
        <v>1</v>
      </c>
      <c r="AY112">
        <f t="shared" si="39"/>
        <v>0</v>
      </c>
      <c r="AZ112" s="28">
        <f t="shared" si="32"/>
        <v>0</v>
      </c>
      <c r="BA112" s="28">
        <f t="shared" si="33"/>
        <v>0</v>
      </c>
      <c r="BB112" s="28">
        <f t="shared" si="40"/>
        <v>0</v>
      </c>
      <c r="BC112" s="29">
        <f t="shared" si="41"/>
        <v>3.3593472893022502E-2</v>
      </c>
      <c r="BE112" s="29">
        <f t="shared" si="42"/>
        <v>0</v>
      </c>
      <c r="BF112" s="29">
        <f t="shared" si="43"/>
        <v>5.8467352782488144E-2</v>
      </c>
      <c r="BH112" s="29"/>
    </row>
    <row r="113" spans="1:60" x14ac:dyDescent="0.25">
      <c r="A113" s="1">
        <v>46185</v>
      </c>
      <c r="B113" s="33">
        <v>88.5</v>
      </c>
      <c r="C113" s="33">
        <v>90.3</v>
      </c>
      <c r="D113" s="15">
        <v>-4.8843969555364103E-2</v>
      </c>
      <c r="E113" s="15">
        <v>-5.0212976835355201E-2</v>
      </c>
      <c r="F113" s="33">
        <v>0</v>
      </c>
      <c r="G113" s="33">
        <v>0</v>
      </c>
      <c r="H113" s="33">
        <v>0</v>
      </c>
      <c r="I113" s="33">
        <v>0</v>
      </c>
      <c r="J113" s="33">
        <v>0</v>
      </c>
      <c r="K113" s="33">
        <v>0</v>
      </c>
      <c r="L113" s="33">
        <v>88.5</v>
      </c>
      <c r="M113" s="33">
        <v>90.3</v>
      </c>
      <c r="N113" s="34">
        <v>1.02033898305084</v>
      </c>
      <c r="O113" s="34">
        <v>1.03934289630393</v>
      </c>
      <c r="P113" s="34">
        <v>1.02133940718321</v>
      </c>
      <c r="Q113" s="34">
        <v>1.02163282932763</v>
      </c>
      <c r="R113" s="33">
        <v>91.981846322898306</v>
      </c>
      <c r="S113" s="33">
        <v>90.379348162417699</v>
      </c>
      <c r="T113" s="33">
        <v>90.429723361149598</v>
      </c>
      <c r="U113" s="15">
        <v>1.8453774578247501E-2</v>
      </c>
      <c r="V113" s="15">
        <v>8.7833134584520403E-4</v>
      </c>
      <c r="W113" s="15">
        <v>1.43555117570021E-3</v>
      </c>
      <c r="X113" s="34">
        <v>1.02033898305084</v>
      </c>
      <c r="Y113" s="34">
        <v>1.03934289630393</v>
      </c>
      <c r="Z113" s="34">
        <v>1.02133940718321</v>
      </c>
      <c r="AA113" s="34">
        <v>1.02163282932763</v>
      </c>
      <c r="AB113" s="33">
        <v>91.981846322898306</v>
      </c>
      <c r="AC113" s="33">
        <v>90.379348162417699</v>
      </c>
      <c r="AD113" s="33">
        <v>90.429723361149598</v>
      </c>
      <c r="AE113" s="15">
        <v>1.8453774578247501E-2</v>
      </c>
      <c r="AF113" s="15">
        <v>8.7833134584520403E-4</v>
      </c>
      <c r="AG113" s="15">
        <v>1.43555117570021E-3</v>
      </c>
      <c r="AI113" s="12"/>
      <c r="AJ113">
        <f t="shared" si="26"/>
        <v>0</v>
      </c>
      <c r="AK113">
        <f t="shared" si="27"/>
        <v>1</v>
      </c>
      <c r="AL113">
        <f t="shared" si="34"/>
        <v>0</v>
      </c>
      <c r="AM113">
        <f t="shared" si="24"/>
        <v>1</v>
      </c>
      <c r="AN113">
        <f t="shared" si="35"/>
        <v>0</v>
      </c>
      <c r="AO113" s="28">
        <f t="shared" si="28"/>
        <v>0</v>
      </c>
      <c r="AP113" s="28">
        <f t="shared" si="29"/>
        <v>0</v>
      </c>
      <c r="AQ113" s="28">
        <f t="shared" si="36"/>
        <v>0</v>
      </c>
      <c r="AR113" s="29">
        <f t="shared" si="37"/>
        <v>2.4873879889465645E-2</v>
      </c>
      <c r="AT113" s="12"/>
      <c r="AU113">
        <f t="shared" si="30"/>
        <v>0</v>
      </c>
      <c r="AV113">
        <f t="shared" si="31"/>
        <v>1</v>
      </c>
      <c r="AW113">
        <f t="shared" si="38"/>
        <v>0</v>
      </c>
      <c r="AX113">
        <f t="shared" si="25"/>
        <v>1</v>
      </c>
      <c r="AY113">
        <f t="shared" si="39"/>
        <v>0</v>
      </c>
      <c r="AZ113" s="28">
        <f t="shared" si="32"/>
        <v>0</v>
      </c>
      <c r="BA113" s="28">
        <f t="shared" si="33"/>
        <v>0</v>
      </c>
      <c r="BB113" s="28">
        <f t="shared" si="40"/>
        <v>0</v>
      </c>
      <c r="BC113" s="29">
        <f t="shared" si="41"/>
        <v>3.3593472893022502E-2</v>
      </c>
      <c r="BE113" s="29">
        <f t="shared" si="42"/>
        <v>0</v>
      </c>
      <c r="BF113" s="29">
        <f t="shared" si="43"/>
        <v>5.8467352782488144E-2</v>
      </c>
      <c r="BH113" s="29"/>
    </row>
    <row r="114" spans="1:60" x14ac:dyDescent="0.25">
      <c r="A114" s="1">
        <v>46188</v>
      </c>
      <c r="B114" s="33">
        <v>87.93</v>
      </c>
      <c r="C114" s="33">
        <v>89.75</v>
      </c>
      <c r="D114" s="15">
        <v>-6.4615086229729696E-3</v>
      </c>
      <c r="E114" s="15">
        <v>-6.1094330545514199E-3</v>
      </c>
      <c r="F114" s="33">
        <v>0</v>
      </c>
      <c r="G114" s="33">
        <v>0</v>
      </c>
      <c r="H114" s="33">
        <v>0</v>
      </c>
      <c r="I114" s="33">
        <v>0</v>
      </c>
      <c r="J114" s="33">
        <v>0</v>
      </c>
      <c r="K114" s="33">
        <v>0</v>
      </c>
      <c r="L114" s="33">
        <v>87.93</v>
      </c>
      <c r="M114" s="33">
        <v>89.75</v>
      </c>
      <c r="N114" s="34">
        <v>1.02069828272489</v>
      </c>
      <c r="O114" s="34">
        <v>1.03934289630393</v>
      </c>
      <c r="P114" s="34">
        <v>1.02083666858035</v>
      </c>
      <c r="Q114" s="34">
        <v>1.02143517374276</v>
      </c>
      <c r="R114" s="33">
        <v>91.389420872005104</v>
      </c>
      <c r="S114" s="33">
        <v>89.806374073620304</v>
      </c>
      <c r="T114" s="33">
        <v>89.832174682778998</v>
      </c>
      <c r="U114" s="15">
        <v>1.8101699009826E-2</v>
      </c>
      <c r="V114" s="15">
        <v>6.2792619603197397E-4</v>
      </c>
      <c r="W114" s="15">
        <v>9.1517644955142795E-4</v>
      </c>
      <c r="X114" s="34">
        <v>1.02069828272489</v>
      </c>
      <c r="Y114" s="34">
        <v>1.03934289630393</v>
      </c>
      <c r="Z114" s="34">
        <v>1.02083666858035</v>
      </c>
      <c r="AA114" s="34">
        <v>1.02143517374276</v>
      </c>
      <c r="AB114" s="33">
        <v>91.389420872005104</v>
      </c>
      <c r="AC114" s="33">
        <v>89.806374073620304</v>
      </c>
      <c r="AD114" s="33">
        <v>89.832174682778998</v>
      </c>
      <c r="AE114" s="15">
        <v>1.8101699009826E-2</v>
      </c>
      <c r="AF114" s="15">
        <v>6.2792619603197397E-4</v>
      </c>
      <c r="AG114" s="15">
        <v>9.1517644955142795E-4</v>
      </c>
      <c r="AI114" s="12"/>
      <c r="AJ114">
        <f t="shared" si="26"/>
        <v>0</v>
      </c>
      <c r="AK114">
        <f t="shared" si="27"/>
        <v>1</v>
      </c>
      <c r="AL114">
        <f t="shared" si="34"/>
        <v>0</v>
      </c>
      <c r="AM114">
        <f t="shared" si="24"/>
        <v>1</v>
      </c>
      <c r="AN114">
        <f t="shared" si="35"/>
        <v>0</v>
      </c>
      <c r="AO114" s="28">
        <f t="shared" si="28"/>
        <v>0</v>
      </c>
      <c r="AP114" s="28">
        <f t="shared" si="29"/>
        <v>0</v>
      </c>
      <c r="AQ114" s="28">
        <f t="shared" si="36"/>
        <v>0</v>
      </c>
      <c r="AR114" s="29">
        <f t="shared" si="37"/>
        <v>2.4873879889465645E-2</v>
      </c>
      <c r="AT114" s="12"/>
      <c r="AU114">
        <f t="shared" si="30"/>
        <v>0</v>
      </c>
      <c r="AV114">
        <f t="shared" si="31"/>
        <v>1</v>
      </c>
      <c r="AW114">
        <f t="shared" si="38"/>
        <v>0</v>
      </c>
      <c r="AX114">
        <f t="shared" si="25"/>
        <v>1</v>
      </c>
      <c r="AY114">
        <f t="shared" si="39"/>
        <v>0</v>
      </c>
      <c r="AZ114" s="28">
        <f t="shared" si="32"/>
        <v>0</v>
      </c>
      <c r="BA114" s="28">
        <f t="shared" si="33"/>
        <v>0</v>
      </c>
      <c r="BB114" s="28">
        <f t="shared" si="40"/>
        <v>0</v>
      </c>
      <c r="BC114" s="29">
        <f t="shared" si="41"/>
        <v>3.3593472893022502E-2</v>
      </c>
      <c r="BE114" s="29">
        <f t="shared" si="42"/>
        <v>0</v>
      </c>
      <c r="BF114" s="29">
        <f t="shared" si="43"/>
        <v>5.8467352782488144E-2</v>
      </c>
      <c r="BH114" s="29"/>
    </row>
    <row r="115" spans="1:60" x14ac:dyDescent="0.25">
      <c r="A115" s="1">
        <v>46189</v>
      </c>
      <c r="B115" s="33">
        <v>87.66</v>
      </c>
      <c r="C115" s="33">
        <v>89.78</v>
      </c>
      <c r="D115" s="15">
        <v>-3.0753484002477602E-3</v>
      </c>
      <c r="E115" s="15">
        <v>3.3420598539779203E-4</v>
      </c>
      <c r="F115" s="33">
        <v>0</v>
      </c>
      <c r="G115" s="33">
        <v>0</v>
      </c>
      <c r="H115" s="33">
        <v>0</v>
      </c>
      <c r="I115" s="33">
        <v>0</v>
      </c>
      <c r="J115" s="33">
        <v>0</v>
      </c>
      <c r="K115" s="33">
        <v>0</v>
      </c>
      <c r="L115" s="33">
        <v>87.66</v>
      </c>
      <c r="M115" s="33">
        <v>89.78</v>
      </c>
      <c r="N115" s="34">
        <v>1.02418434861966</v>
      </c>
      <c r="O115" s="34">
        <v>1.03934289630393</v>
      </c>
      <c r="P115" s="34">
        <v>1.0213264198809799</v>
      </c>
      <c r="Q115" s="34">
        <v>1.02170237099628</v>
      </c>
      <c r="R115" s="33">
        <v>91.108798290002994</v>
      </c>
      <c r="S115" s="33">
        <v>89.4865423677536</v>
      </c>
      <c r="T115" s="33">
        <v>89.539007330290701</v>
      </c>
      <c r="U115" s="15">
        <v>1.46921446241805E-2</v>
      </c>
      <c r="V115" s="15">
        <v>-3.2739839849719901E-3</v>
      </c>
      <c r="W115" s="15">
        <v>-2.68786692930478E-3</v>
      </c>
      <c r="X115" s="34">
        <v>1.02418434861966</v>
      </c>
      <c r="Y115" s="34">
        <v>1.03934289630393</v>
      </c>
      <c r="Z115" s="34">
        <v>1.0213264198809799</v>
      </c>
      <c r="AA115" s="34">
        <v>1.02170237099628</v>
      </c>
      <c r="AB115" s="33">
        <v>91.108798290002994</v>
      </c>
      <c r="AC115" s="33">
        <v>89.4865423677536</v>
      </c>
      <c r="AD115" s="33">
        <v>89.539007330290701</v>
      </c>
      <c r="AE115" s="15">
        <v>1.46921446241805E-2</v>
      </c>
      <c r="AF115" s="15">
        <v>-3.2739839849719901E-3</v>
      </c>
      <c r="AG115" s="15">
        <v>-2.68786692930478E-3</v>
      </c>
      <c r="AI115" s="12"/>
      <c r="AJ115">
        <f t="shared" si="26"/>
        <v>0</v>
      </c>
      <c r="AK115">
        <f t="shared" si="27"/>
        <v>0</v>
      </c>
      <c r="AL115">
        <f t="shared" si="34"/>
        <v>0</v>
      </c>
      <c r="AM115">
        <f t="shared" si="24"/>
        <v>1</v>
      </c>
      <c r="AN115">
        <f t="shared" si="35"/>
        <v>0</v>
      </c>
      <c r="AO115" s="28">
        <f t="shared" si="28"/>
        <v>0</v>
      </c>
      <c r="AP115" s="28">
        <f t="shared" si="29"/>
        <v>0</v>
      </c>
      <c r="AQ115" s="28">
        <f t="shared" si="36"/>
        <v>0</v>
      </c>
      <c r="AR115" s="29">
        <f t="shared" si="37"/>
        <v>2.4873879889465645E-2</v>
      </c>
      <c r="AT115" s="12"/>
      <c r="AU115">
        <f t="shared" si="30"/>
        <v>0</v>
      </c>
      <c r="AV115">
        <f t="shared" si="31"/>
        <v>1</v>
      </c>
      <c r="AW115">
        <f t="shared" si="38"/>
        <v>0</v>
      </c>
      <c r="AX115">
        <f t="shared" si="25"/>
        <v>1</v>
      </c>
      <c r="AY115">
        <f t="shared" si="39"/>
        <v>0</v>
      </c>
      <c r="AZ115" s="28">
        <f t="shared" si="32"/>
        <v>0</v>
      </c>
      <c r="BA115" s="28">
        <f t="shared" si="33"/>
        <v>0</v>
      </c>
      <c r="BB115" s="28">
        <f t="shared" si="40"/>
        <v>0</v>
      </c>
      <c r="BC115" s="29">
        <f t="shared" si="41"/>
        <v>3.3593472893022502E-2</v>
      </c>
      <c r="BE115" s="29">
        <f t="shared" si="42"/>
        <v>0</v>
      </c>
      <c r="BF115" s="29">
        <f t="shared" si="43"/>
        <v>5.8467352782488144E-2</v>
      </c>
      <c r="BH115" s="29"/>
    </row>
    <row r="116" spans="1:60" x14ac:dyDescent="0.25">
      <c r="A116" s="1">
        <v>46190</v>
      </c>
      <c r="B116" s="33">
        <v>84.77</v>
      </c>
      <c r="C116" s="33">
        <v>86.48</v>
      </c>
      <c r="D116" s="15">
        <v>-3.3523988370348798E-2</v>
      </c>
      <c r="E116" s="15">
        <v>-3.74490600228332E-2</v>
      </c>
      <c r="F116" s="33">
        <v>0</v>
      </c>
      <c r="G116" s="33">
        <v>0</v>
      </c>
      <c r="H116" s="33">
        <v>0</v>
      </c>
      <c r="I116" s="33">
        <v>0</v>
      </c>
      <c r="J116" s="33">
        <v>0</v>
      </c>
      <c r="K116" s="33">
        <v>0</v>
      </c>
      <c r="L116" s="33">
        <v>84.77</v>
      </c>
      <c r="M116" s="33">
        <v>86.48</v>
      </c>
      <c r="N116" s="34">
        <v>1.020172230742</v>
      </c>
      <c r="O116" s="34">
        <v>1.03934289630393</v>
      </c>
      <c r="P116" s="34">
        <v>1.02118536957388</v>
      </c>
      <c r="Q116" s="34">
        <v>1.0216089015088701</v>
      </c>
      <c r="R116" s="33">
        <v>88.105097319684603</v>
      </c>
      <c r="S116" s="33">
        <v>86.577840613310798</v>
      </c>
      <c r="T116" s="33">
        <v>86.609709989354897</v>
      </c>
      <c r="U116" s="15">
        <v>1.86172162766647E-2</v>
      </c>
      <c r="V116" s="15">
        <v>1.13072743065011E-3</v>
      </c>
      <c r="W116" s="15">
        <v>1.49876054033907E-3</v>
      </c>
      <c r="X116" s="34">
        <v>1.020172230742</v>
      </c>
      <c r="Y116" s="34">
        <v>1.03934289630393</v>
      </c>
      <c r="Z116" s="34">
        <v>1.02118536957388</v>
      </c>
      <c r="AA116" s="34">
        <v>1.0216089015088701</v>
      </c>
      <c r="AB116" s="33">
        <v>88.105097319684603</v>
      </c>
      <c r="AC116" s="33">
        <v>86.577840613310798</v>
      </c>
      <c r="AD116" s="33">
        <v>86.609709989354897</v>
      </c>
      <c r="AE116" s="15">
        <v>1.86172162766647E-2</v>
      </c>
      <c r="AF116" s="15">
        <v>1.13072743065011E-3</v>
      </c>
      <c r="AG116" s="15">
        <v>1.49876054033907E-3</v>
      </c>
      <c r="AI116" s="12"/>
      <c r="AJ116">
        <f t="shared" si="26"/>
        <v>0</v>
      </c>
      <c r="AK116">
        <f t="shared" si="27"/>
        <v>1</v>
      </c>
      <c r="AL116">
        <f t="shared" si="34"/>
        <v>0</v>
      </c>
      <c r="AM116">
        <f t="shared" si="24"/>
        <v>1</v>
      </c>
      <c r="AN116">
        <f t="shared" si="35"/>
        <v>0</v>
      </c>
      <c r="AO116" s="28">
        <f t="shared" si="28"/>
        <v>0</v>
      </c>
      <c r="AP116" s="28">
        <f t="shared" si="29"/>
        <v>0</v>
      </c>
      <c r="AQ116" s="28">
        <f t="shared" si="36"/>
        <v>0</v>
      </c>
      <c r="AR116" s="29">
        <f t="shared" si="37"/>
        <v>2.4873879889465645E-2</v>
      </c>
      <c r="AT116" s="12"/>
      <c r="AU116">
        <f t="shared" si="30"/>
        <v>0</v>
      </c>
      <c r="AV116">
        <f t="shared" si="31"/>
        <v>1</v>
      </c>
      <c r="AW116">
        <f t="shared" si="38"/>
        <v>0</v>
      </c>
      <c r="AX116">
        <f t="shared" si="25"/>
        <v>1</v>
      </c>
      <c r="AY116">
        <f t="shared" si="39"/>
        <v>0</v>
      </c>
      <c r="AZ116" s="28">
        <f t="shared" si="32"/>
        <v>0</v>
      </c>
      <c r="BA116" s="28">
        <f t="shared" si="33"/>
        <v>0</v>
      </c>
      <c r="BB116" s="28">
        <f t="shared" si="40"/>
        <v>0</v>
      </c>
      <c r="BC116" s="29">
        <f t="shared" si="41"/>
        <v>3.3593472893022502E-2</v>
      </c>
      <c r="BE116" s="29">
        <f t="shared" si="42"/>
        <v>0</v>
      </c>
      <c r="BF116" s="29">
        <f t="shared" si="43"/>
        <v>5.8467352782488144E-2</v>
      </c>
      <c r="BH116" s="29"/>
    </row>
    <row r="117" spans="1:60" x14ac:dyDescent="0.25">
      <c r="A117" s="1">
        <v>46191</v>
      </c>
      <c r="B117" s="33">
        <v>87.44</v>
      </c>
      <c r="C117" s="33">
        <v>89.73</v>
      </c>
      <c r="D117" s="15">
        <v>3.1011137247969001E-2</v>
      </c>
      <c r="E117" s="15">
        <v>3.68919879790136E-2</v>
      </c>
      <c r="F117" s="33">
        <v>0</v>
      </c>
      <c r="G117" s="33">
        <v>0</v>
      </c>
      <c r="H117" s="33">
        <v>0</v>
      </c>
      <c r="I117" s="33">
        <v>0</v>
      </c>
      <c r="J117" s="33">
        <v>0</v>
      </c>
      <c r="K117" s="33">
        <v>0</v>
      </c>
      <c r="L117" s="33">
        <v>87.44</v>
      </c>
      <c r="M117" s="33">
        <v>89.73</v>
      </c>
      <c r="N117" s="34">
        <v>1.0261893870082299</v>
      </c>
      <c r="O117" s="34">
        <v>1.03934289630393</v>
      </c>
      <c r="P117" s="34">
        <v>1.02146525726112</v>
      </c>
      <c r="Q117" s="34">
        <v>1.0221272132094901</v>
      </c>
      <c r="R117" s="33">
        <v>90.880142852816107</v>
      </c>
      <c r="S117" s="33">
        <v>89.292448715540701</v>
      </c>
      <c r="T117" s="33">
        <v>89.329482347936406</v>
      </c>
      <c r="U117" s="15">
        <v>1.27363655456202E-2</v>
      </c>
      <c r="V117" s="15">
        <v>-4.8882378591907803E-3</v>
      </c>
      <c r="W117" s="15">
        <v>-4.4735784418854403E-3</v>
      </c>
      <c r="X117" s="34">
        <v>1.0261893870082299</v>
      </c>
      <c r="Y117" s="34">
        <v>1.03934289630393</v>
      </c>
      <c r="Z117" s="34">
        <v>1.02146525726112</v>
      </c>
      <c r="AA117" s="34">
        <v>1.0221272132094901</v>
      </c>
      <c r="AB117" s="33">
        <v>90.880142852816107</v>
      </c>
      <c r="AC117" s="33">
        <v>89.292448715540701</v>
      </c>
      <c r="AD117" s="33">
        <v>89.329482347936406</v>
      </c>
      <c r="AE117" s="15">
        <v>1.27363655456202E-2</v>
      </c>
      <c r="AF117" s="15">
        <v>-4.8882378591907803E-3</v>
      </c>
      <c r="AG117" s="15">
        <v>-4.4735784418854403E-3</v>
      </c>
      <c r="AI117" s="12"/>
      <c r="AJ117">
        <f t="shared" si="26"/>
        <v>1</v>
      </c>
      <c r="AK117">
        <f t="shared" si="27"/>
        <v>0</v>
      </c>
      <c r="AL117">
        <f t="shared" si="34"/>
        <v>0</v>
      </c>
      <c r="AM117">
        <f t="shared" si="24"/>
        <v>1</v>
      </c>
      <c r="AN117">
        <f t="shared" si="35"/>
        <v>0</v>
      </c>
      <c r="AO117" s="28">
        <f t="shared" si="28"/>
        <v>0</v>
      </c>
      <c r="AP117" s="28">
        <f t="shared" si="29"/>
        <v>0</v>
      </c>
      <c r="AQ117" s="28">
        <f t="shared" si="36"/>
        <v>0</v>
      </c>
      <c r="AR117" s="29">
        <f t="shared" si="37"/>
        <v>2.4873879889465645E-2</v>
      </c>
      <c r="AT117" s="12"/>
      <c r="AU117">
        <f t="shared" si="30"/>
        <v>0</v>
      </c>
      <c r="AV117">
        <f t="shared" si="31"/>
        <v>1</v>
      </c>
      <c r="AW117">
        <f t="shared" si="38"/>
        <v>0</v>
      </c>
      <c r="AX117">
        <f t="shared" si="25"/>
        <v>1</v>
      </c>
      <c r="AY117">
        <f t="shared" si="39"/>
        <v>0</v>
      </c>
      <c r="AZ117" s="28">
        <f t="shared" si="32"/>
        <v>0</v>
      </c>
      <c r="BA117" s="28">
        <f t="shared" si="33"/>
        <v>0</v>
      </c>
      <c r="BB117" s="28">
        <f t="shared" si="40"/>
        <v>0</v>
      </c>
      <c r="BC117" s="29">
        <f t="shared" si="41"/>
        <v>3.3593472893022502E-2</v>
      </c>
      <c r="BE117" s="29">
        <f t="shared" si="42"/>
        <v>0</v>
      </c>
      <c r="BF117" s="29">
        <f t="shared" si="43"/>
        <v>5.8467352782488144E-2</v>
      </c>
      <c r="BH117" s="29"/>
    </row>
    <row r="118" spans="1:60" x14ac:dyDescent="0.25">
      <c r="A118" s="1">
        <v>46195</v>
      </c>
      <c r="B118" s="33">
        <v>85.23</v>
      </c>
      <c r="C118" s="33">
        <v>87.44</v>
      </c>
      <c r="D118" s="15">
        <v>-2.5599359334076699E-2</v>
      </c>
      <c r="E118" s="15">
        <v>-2.58523174416832E-2</v>
      </c>
      <c r="F118" s="33">
        <v>0</v>
      </c>
      <c r="G118" s="33">
        <v>0</v>
      </c>
      <c r="H118" s="33">
        <v>0</v>
      </c>
      <c r="I118" s="33">
        <v>0</v>
      </c>
      <c r="J118" s="33">
        <v>0</v>
      </c>
      <c r="K118" s="33">
        <v>0</v>
      </c>
      <c r="L118" s="33">
        <v>85.23</v>
      </c>
      <c r="M118" s="33">
        <v>87.44</v>
      </c>
      <c r="N118" s="34">
        <v>1.0259298369118801</v>
      </c>
      <c r="O118" s="34">
        <v>1.03934289630393</v>
      </c>
      <c r="P118" s="34">
        <v>1.02199417598502</v>
      </c>
      <c r="Q118" s="34">
        <v>1.0223895788916899</v>
      </c>
      <c r="R118" s="33">
        <v>88.583195051984404</v>
      </c>
      <c r="S118" s="33">
        <v>87.059483876365405</v>
      </c>
      <c r="T118" s="33">
        <v>87.115902381845203</v>
      </c>
      <c r="U118" s="15">
        <v>1.29893236532268E-2</v>
      </c>
      <c r="V118" s="15">
        <v>-4.3612361287449801E-3</v>
      </c>
      <c r="W118" s="15">
        <v>-3.71340053423242E-3</v>
      </c>
      <c r="X118" s="34">
        <v>1.0259298369118801</v>
      </c>
      <c r="Y118" s="34">
        <v>1.03934289630393</v>
      </c>
      <c r="Z118" s="34">
        <v>1.02199417598502</v>
      </c>
      <c r="AA118" s="34">
        <v>1.0223895788916899</v>
      </c>
      <c r="AB118" s="33">
        <v>88.583195051984404</v>
      </c>
      <c r="AC118" s="33">
        <v>87.059483876365405</v>
      </c>
      <c r="AD118" s="33">
        <v>87.115902381845203</v>
      </c>
      <c r="AE118" s="15">
        <v>1.29893236532268E-2</v>
      </c>
      <c r="AF118" s="15">
        <v>-4.3612361287449801E-3</v>
      </c>
      <c r="AG118" s="15">
        <v>-3.71340053423242E-3</v>
      </c>
      <c r="AI118" s="12"/>
      <c r="AJ118">
        <f t="shared" si="26"/>
        <v>0</v>
      </c>
      <c r="AK118">
        <f t="shared" si="27"/>
        <v>0</v>
      </c>
      <c r="AL118">
        <f t="shared" si="34"/>
        <v>1</v>
      </c>
      <c r="AM118">
        <f t="shared" si="24"/>
        <v>1</v>
      </c>
      <c r="AN118">
        <f t="shared" si="35"/>
        <v>1</v>
      </c>
      <c r="AO118" s="28">
        <f t="shared" si="28"/>
        <v>-2.5599359334076699E-2</v>
      </c>
      <c r="AP118" s="28">
        <f t="shared" si="29"/>
        <v>2.58523174416832E-2</v>
      </c>
      <c r="AQ118" s="28">
        <f t="shared" si="36"/>
        <v>2.5295810760650114E-4</v>
      </c>
      <c r="AR118" s="29">
        <f t="shared" si="37"/>
        <v>2.5126837997072146E-2</v>
      </c>
      <c r="AT118" s="12"/>
      <c r="AU118">
        <f t="shared" si="30"/>
        <v>0</v>
      </c>
      <c r="AV118">
        <f t="shared" si="31"/>
        <v>1</v>
      </c>
      <c r="AW118">
        <f t="shared" si="38"/>
        <v>0</v>
      </c>
      <c r="AX118">
        <f t="shared" si="25"/>
        <v>1</v>
      </c>
      <c r="AY118">
        <f t="shared" si="39"/>
        <v>0</v>
      </c>
      <c r="AZ118" s="28">
        <f t="shared" si="32"/>
        <v>0</v>
      </c>
      <c r="BA118" s="28">
        <f t="shared" si="33"/>
        <v>0</v>
      </c>
      <c r="BB118" s="28">
        <f t="shared" si="40"/>
        <v>0</v>
      </c>
      <c r="BC118" s="29">
        <f t="shared" si="41"/>
        <v>3.3593472893022502E-2</v>
      </c>
      <c r="BE118" s="29">
        <f t="shared" si="42"/>
        <v>2.5295810760650114E-4</v>
      </c>
      <c r="BF118" s="29">
        <f t="shared" si="43"/>
        <v>5.8720310890094649E-2</v>
      </c>
      <c r="BH118" s="29"/>
    </row>
    <row r="119" spans="1:60" x14ac:dyDescent="0.25">
      <c r="A119" s="1">
        <v>46196</v>
      </c>
      <c r="B119" s="33">
        <v>85.03</v>
      </c>
      <c r="C119" s="33">
        <v>87.35</v>
      </c>
      <c r="D119" s="15">
        <v>-2.3493491365051198E-3</v>
      </c>
      <c r="E119" s="15">
        <v>-1.0298072882176199E-3</v>
      </c>
      <c r="F119" s="33">
        <v>0</v>
      </c>
      <c r="G119" s="33">
        <v>0</v>
      </c>
      <c r="H119" s="33">
        <v>0</v>
      </c>
      <c r="I119" s="33">
        <v>0</v>
      </c>
      <c r="J119" s="33">
        <v>0</v>
      </c>
      <c r="K119" s="33">
        <v>0</v>
      </c>
      <c r="L119" s="33">
        <v>85.03</v>
      </c>
      <c r="M119" s="33">
        <v>87.35</v>
      </c>
      <c r="N119" s="34">
        <v>1.02728448782782</v>
      </c>
      <c r="O119" s="34">
        <v>1.03934289630393</v>
      </c>
      <c r="P119" s="34">
        <v>1.02280192388046</v>
      </c>
      <c r="Q119" s="34">
        <v>1.0225789587772101</v>
      </c>
      <c r="R119" s="33">
        <v>88.3753264727237</v>
      </c>
      <c r="S119" s="33">
        <v>86.900164784006193</v>
      </c>
      <c r="T119" s="33">
        <v>86.933785893161001</v>
      </c>
      <c r="U119" s="15">
        <v>1.1669781804939199E-2</v>
      </c>
      <c r="V119" s="15">
        <v>-5.1631080618835899E-3</v>
      </c>
      <c r="W119" s="15">
        <v>-4.7762893829888997E-3</v>
      </c>
      <c r="X119" s="34">
        <v>1.02728448782782</v>
      </c>
      <c r="Y119" s="34">
        <v>1.03934289630393</v>
      </c>
      <c r="Z119" s="34">
        <v>1.02280192388046</v>
      </c>
      <c r="AA119" s="34">
        <v>1.0225789587772101</v>
      </c>
      <c r="AB119" s="33">
        <v>88.3753264727237</v>
      </c>
      <c r="AC119" s="33">
        <v>86.900164784006193</v>
      </c>
      <c r="AD119" s="33">
        <v>86.933785893161001</v>
      </c>
      <c r="AE119" s="15">
        <v>1.1669781804939199E-2</v>
      </c>
      <c r="AF119" s="15">
        <v>-5.1631080618835899E-3</v>
      </c>
      <c r="AG119" s="15">
        <v>-4.7762893829888997E-3</v>
      </c>
      <c r="AI119" s="12"/>
      <c r="AJ119">
        <f t="shared" si="26"/>
        <v>1</v>
      </c>
      <c r="AK119">
        <f t="shared" si="27"/>
        <v>0</v>
      </c>
      <c r="AL119">
        <f t="shared" si="34"/>
        <v>1</v>
      </c>
      <c r="AM119">
        <f t="shared" si="24"/>
        <v>1</v>
      </c>
      <c r="AN119">
        <f t="shared" si="35"/>
        <v>1</v>
      </c>
      <c r="AO119" s="28">
        <f t="shared" si="28"/>
        <v>-2.3493491365051198E-3</v>
      </c>
      <c r="AP119" s="28">
        <f t="shared" si="29"/>
        <v>1.0298072882176199E-3</v>
      </c>
      <c r="AQ119" s="28">
        <f t="shared" si="36"/>
        <v>-1.3195418482875E-3</v>
      </c>
      <c r="AR119" s="29">
        <f t="shared" si="37"/>
        <v>2.3807296148784646E-2</v>
      </c>
      <c r="AT119" s="12"/>
      <c r="AU119">
        <f t="shared" si="30"/>
        <v>0</v>
      </c>
      <c r="AV119">
        <f t="shared" si="31"/>
        <v>1</v>
      </c>
      <c r="AW119">
        <f t="shared" si="38"/>
        <v>0</v>
      </c>
      <c r="AX119">
        <f t="shared" si="25"/>
        <v>1</v>
      </c>
      <c r="AY119">
        <f t="shared" si="39"/>
        <v>0</v>
      </c>
      <c r="AZ119" s="28">
        <f t="shared" si="32"/>
        <v>0</v>
      </c>
      <c r="BA119" s="28">
        <f t="shared" si="33"/>
        <v>0</v>
      </c>
      <c r="BB119" s="28">
        <f t="shared" si="40"/>
        <v>0</v>
      </c>
      <c r="BC119" s="29">
        <f t="shared" si="41"/>
        <v>3.3593472893022502E-2</v>
      </c>
      <c r="BE119" s="29">
        <f t="shared" si="42"/>
        <v>-1.3195418482875E-3</v>
      </c>
      <c r="BF119" s="29">
        <f t="shared" si="43"/>
        <v>5.7400769041807145E-2</v>
      </c>
      <c r="BH119" s="29"/>
    </row>
    <row r="120" spans="1:60" x14ac:dyDescent="0.25">
      <c r="A120" s="1">
        <v>46197</v>
      </c>
      <c r="B120" s="33">
        <v>91.17</v>
      </c>
      <c r="C120" s="33">
        <v>92.95</v>
      </c>
      <c r="D120" s="15">
        <v>6.9721760199110194E-2</v>
      </c>
      <c r="E120" s="15">
        <v>6.21386775873876E-2</v>
      </c>
      <c r="F120" s="33">
        <v>0</v>
      </c>
      <c r="G120" s="33">
        <v>0</v>
      </c>
      <c r="H120" s="33">
        <v>0</v>
      </c>
      <c r="I120" s="33">
        <v>0</v>
      </c>
      <c r="J120" s="33">
        <v>0</v>
      </c>
      <c r="K120" s="33">
        <v>0</v>
      </c>
      <c r="L120" s="33">
        <v>91.17</v>
      </c>
      <c r="M120" s="33">
        <v>92.95</v>
      </c>
      <c r="N120" s="34">
        <v>1.01952396621695</v>
      </c>
      <c r="O120" s="34">
        <v>1.03934289630393</v>
      </c>
      <c r="P120" s="34">
        <v>1.02290572895286</v>
      </c>
      <c r="Q120" s="34">
        <v>1.0225439596474699</v>
      </c>
      <c r="R120" s="33">
        <v>94.756891856029796</v>
      </c>
      <c r="S120" s="33">
        <v>93.248851400181593</v>
      </c>
      <c r="T120" s="33">
        <v>93.228523671718605</v>
      </c>
      <c r="U120" s="15">
        <v>1.92528644166618E-2</v>
      </c>
      <c r="V120" s="15">
        <v>3.2100268562860498E-3</v>
      </c>
      <c r="W120" s="15">
        <v>2.9920086807762101E-3</v>
      </c>
      <c r="X120" s="34">
        <v>1.01952396621695</v>
      </c>
      <c r="Y120" s="34">
        <v>1.03934289630393</v>
      </c>
      <c r="Z120" s="34">
        <v>1.02290572895286</v>
      </c>
      <c r="AA120" s="34">
        <v>1.0225439596474699</v>
      </c>
      <c r="AB120" s="33">
        <v>94.756891856029796</v>
      </c>
      <c r="AC120" s="33">
        <v>93.248851400181593</v>
      </c>
      <c r="AD120" s="33">
        <v>93.228523671718605</v>
      </c>
      <c r="AE120" s="15">
        <v>1.92528644166618E-2</v>
      </c>
      <c r="AF120" s="15">
        <v>3.2100268562860498E-3</v>
      </c>
      <c r="AG120" s="15">
        <v>2.9920086807762101E-3</v>
      </c>
      <c r="AI120" s="12"/>
      <c r="AJ120">
        <f t="shared" si="26"/>
        <v>0</v>
      </c>
      <c r="AK120">
        <f t="shared" si="27"/>
        <v>1</v>
      </c>
      <c r="AL120">
        <f t="shared" si="34"/>
        <v>1</v>
      </c>
      <c r="AM120">
        <f t="shared" si="24"/>
        <v>1</v>
      </c>
      <c r="AN120">
        <f t="shared" si="35"/>
        <v>1</v>
      </c>
      <c r="AO120" s="28">
        <f t="shared" si="28"/>
        <v>6.9721760199110194E-2</v>
      </c>
      <c r="AP120" s="28">
        <f t="shared" si="29"/>
        <v>-6.21386775873876E-2</v>
      </c>
      <c r="AQ120" s="28">
        <f t="shared" si="36"/>
        <v>7.5830826117225941E-3</v>
      </c>
      <c r="AR120" s="29">
        <f t="shared" si="37"/>
        <v>3.1390378760507237E-2</v>
      </c>
      <c r="AT120" s="12"/>
      <c r="AU120">
        <f t="shared" si="30"/>
        <v>0</v>
      </c>
      <c r="AV120">
        <f t="shared" si="31"/>
        <v>0</v>
      </c>
      <c r="AW120">
        <f t="shared" si="38"/>
        <v>0</v>
      </c>
      <c r="AX120">
        <f t="shared" si="25"/>
        <v>1</v>
      </c>
      <c r="AY120">
        <f t="shared" si="39"/>
        <v>0</v>
      </c>
      <c r="AZ120" s="28">
        <f t="shared" si="32"/>
        <v>0</v>
      </c>
      <c r="BA120" s="28">
        <f t="shared" si="33"/>
        <v>0</v>
      </c>
      <c r="BB120" s="28">
        <f t="shared" si="40"/>
        <v>0</v>
      </c>
      <c r="BC120" s="29">
        <f t="shared" si="41"/>
        <v>3.3593472893022502E-2</v>
      </c>
      <c r="BE120" s="29">
        <f t="shared" si="42"/>
        <v>7.5830826117225941E-3</v>
      </c>
      <c r="BF120" s="29">
        <f t="shared" si="43"/>
        <v>6.4983851653529739E-2</v>
      </c>
      <c r="BH120" s="29"/>
    </row>
    <row r="121" spans="1:60" x14ac:dyDescent="0.25">
      <c r="A121" s="1">
        <v>46198</v>
      </c>
      <c r="B121" s="33">
        <v>91.72</v>
      </c>
      <c r="C121" s="33">
        <v>93.86</v>
      </c>
      <c r="D121" s="15">
        <v>6.0145623928921999E-3</v>
      </c>
      <c r="E121" s="15">
        <v>9.7425961988186205E-3</v>
      </c>
      <c r="F121" s="33">
        <v>0</v>
      </c>
      <c r="G121" s="33">
        <v>0</v>
      </c>
      <c r="H121" s="33">
        <v>0</v>
      </c>
      <c r="I121" s="33">
        <v>0</v>
      </c>
      <c r="J121" s="33">
        <v>0</v>
      </c>
      <c r="K121" s="33">
        <v>0</v>
      </c>
      <c r="L121" s="33">
        <v>91.72</v>
      </c>
      <c r="M121" s="33">
        <v>93.86</v>
      </c>
      <c r="N121" s="34">
        <v>1.0233318796336599</v>
      </c>
      <c r="O121" s="34">
        <v>1.03934289630393</v>
      </c>
      <c r="P121" s="34">
        <v>1.0229390193868999</v>
      </c>
      <c r="Q121" s="34">
        <v>1.02223347383289</v>
      </c>
      <c r="R121" s="33">
        <v>95.328530448997</v>
      </c>
      <c r="S121" s="33">
        <v>93.820913459556394</v>
      </c>
      <c r="T121" s="33">
        <v>93.787731978866603</v>
      </c>
      <c r="U121" s="15">
        <v>1.55248306107355E-2</v>
      </c>
      <c r="V121" s="15">
        <v>-4.1652121452517599E-4</v>
      </c>
      <c r="W121" s="15">
        <v>-7.7025204562032102E-4</v>
      </c>
      <c r="X121" s="34">
        <v>1.0233318796336599</v>
      </c>
      <c r="Y121" s="34">
        <v>1.03934289630393</v>
      </c>
      <c r="Z121" s="34">
        <v>1.0229390193868999</v>
      </c>
      <c r="AA121" s="34">
        <v>1.02223347383289</v>
      </c>
      <c r="AB121" s="33">
        <v>95.328530448997</v>
      </c>
      <c r="AC121" s="33">
        <v>93.820913459556394</v>
      </c>
      <c r="AD121" s="33">
        <v>93.787731978866603</v>
      </c>
      <c r="AE121" s="15">
        <v>1.55248306107355E-2</v>
      </c>
      <c r="AF121" s="15">
        <v>-4.1652121452517599E-4</v>
      </c>
      <c r="AG121" s="15">
        <v>-7.7025204562032102E-4</v>
      </c>
      <c r="AI121" s="12"/>
      <c r="AJ121">
        <f t="shared" si="26"/>
        <v>0</v>
      </c>
      <c r="AK121">
        <f t="shared" si="27"/>
        <v>1</v>
      </c>
      <c r="AL121">
        <f t="shared" si="34"/>
        <v>0</v>
      </c>
      <c r="AM121">
        <f t="shared" si="24"/>
        <v>1</v>
      </c>
      <c r="AN121">
        <f t="shared" si="35"/>
        <v>0</v>
      </c>
      <c r="AO121" s="28">
        <f t="shared" si="28"/>
        <v>0</v>
      </c>
      <c r="AP121" s="28">
        <f t="shared" si="29"/>
        <v>0</v>
      </c>
      <c r="AQ121" s="28">
        <f t="shared" si="36"/>
        <v>0</v>
      </c>
      <c r="AR121" s="29">
        <f t="shared" si="37"/>
        <v>3.1390378760507237E-2</v>
      </c>
      <c r="AT121" s="12"/>
      <c r="AU121">
        <f t="shared" si="30"/>
        <v>0</v>
      </c>
      <c r="AV121">
        <f t="shared" si="31"/>
        <v>1</v>
      </c>
      <c r="AW121">
        <f t="shared" si="38"/>
        <v>0</v>
      </c>
      <c r="AX121">
        <f t="shared" si="25"/>
        <v>1</v>
      </c>
      <c r="AY121">
        <f t="shared" si="39"/>
        <v>0</v>
      </c>
      <c r="AZ121" s="28">
        <f t="shared" si="32"/>
        <v>0</v>
      </c>
      <c r="BA121" s="28">
        <f t="shared" si="33"/>
        <v>0</v>
      </c>
      <c r="BB121" s="28">
        <f t="shared" si="40"/>
        <v>0</v>
      </c>
      <c r="BC121" s="29">
        <f t="shared" si="41"/>
        <v>3.3593472893022502E-2</v>
      </c>
      <c r="BE121" s="29">
        <f t="shared" si="42"/>
        <v>0</v>
      </c>
      <c r="BF121" s="29">
        <f t="shared" si="43"/>
        <v>6.4983851653529739E-2</v>
      </c>
      <c r="BH121" s="29"/>
    </row>
    <row r="122" spans="1:60" x14ac:dyDescent="0.25">
      <c r="A122" s="1">
        <v>46199</v>
      </c>
      <c r="B122" s="33">
        <v>91.9</v>
      </c>
      <c r="C122" s="33">
        <v>93.52</v>
      </c>
      <c r="D122" s="15">
        <v>1.9605713719377102E-3</v>
      </c>
      <c r="E122" s="15">
        <v>-3.6289932024586402E-3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91.9</v>
      </c>
      <c r="M122" s="33">
        <v>93.52</v>
      </c>
      <c r="N122" s="34">
        <v>1.01762785636561</v>
      </c>
      <c r="O122" s="34">
        <v>1.03934289630393</v>
      </c>
      <c r="P122" s="34">
        <v>1.02252812591016</v>
      </c>
      <c r="Q122" s="34">
        <v>1.0218818491834201</v>
      </c>
      <c r="R122" s="33">
        <v>95.515612170331707</v>
      </c>
      <c r="S122" s="33">
        <v>94.008095881656999</v>
      </c>
      <c r="T122" s="33">
        <v>93.943256245243106</v>
      </c>
      <c r="U122" s="15">
        <v>2.11143951851319E-2</v>
      </c>
      <c r="V122" s="15">
        <v>5.2055877981317901E-3</v>
      </c>
      <c r="W122" s="15">
        <v>4.5156258664684097E-3</v>
      </c>
      <c r="X122" s="34">
        <v>1.01762785636561</v>
      </c>
      <c r="Y122" s="34">
        <v>1.03934289630393</v>
      </c>
      <c r="Z122" s="34">
        <v>1.02252812591016</v>
      </c>
      <c r="AA122" s="34">
        <v>1.0218818491834201</v>
      </c>
      <c r="AB122" s="33">
        <v>95.515612170331707</v>
      </c>
      <c r="AC122" s="33">
        <v>94.008095881656999</v>
      </c>
      <c r="AD122" s="33">
        <v>93.943256245243106</v>
      </c>
      <c r="AE122" s="15">
        <v>2.11143951851319E-2</v>
      </c>
      <c r="AF122" s="15">
        <v>5.2055877981317901E-3</v>
      </c>
      <c r="AG122" s="15">
        <v>4.5156258664684097E-3</v>
      </c>
      <c r="AI122" s="12"/>
      <c r="AJ122">
        <f t="shared" si="26"/>
        <v>0</v>
      </c>
      <c r="AK122">
        <f t="shared" si="27"/>
        <v>1</v>
      </c>
      <c r="AL122">
        <f t="shared" si="34"/>
        <v>0</v>
      </c>
      <c r="AM122">
        <f t="shared" si="24"/>
        <v>1</v>
      </c>
      <c r="AN122">
        <f t="shared" si="35"/>
        <v>0</v>
      </c>
      <c r="AO122" s="28">
        <f t="shared" si="28"/>
        <v>0</v>
      </c>
      <c r="AP122" s="28">
        <f t="shared" si="29"/>
        <v>0</v>
      </c>
      <c r="AQ122" s="28">
        <f t="shared" si="36"/>
        <v>0</v>
      </c>
      <c r="AR122" s="29">
        <f t="shared" si="37"/>
        <v>3.1390378760507237E-2</v>
      </c>
      <c r="AT122" s="12"/>
      <c r="AU122">
        <f t="shared" si="30"/>
        <v>1</v>
      </c>
      <c r="AV122">
        <f t="shared" si="31"/>
        <v>0</v>
      </c>
      <c r="AW122">
        <f t="shared" si="38"/>
        <v>0</v>
      </c>
      <c r="AX122">
        <f t="shared" si="25"/>
        <v>1</v>
      </c>
      <c r="AY122">
        <f t="shared" si="39"/>
        <v>0</v>
      </c>
      <c r="AZ122" s="28">
        <f t="shared" si="32"/>
        <v>0</v>
      </c>
      <c r="BA122" s="28">
        <f t="shared" si="33"/>
        <v>0</v>
      </c>
      <c r="BB122" s="28">
        <f t="shared" si="40"/>
        <v>0</v>
      </c>
      <c r="BC122" s="29">
        <f t="shared" si="41"/>
        <v>3.3593472893022502E-2</v>
      </c>
      <c r="BE122" s="29">
        <f t="shared" si="42"/>
        <v>0</v>
      </c>
      <c r="BF122" s="29">
        <f t="shared" si="43"/>
        <v>6.4983851653529739E-2</v>
      </c>
      <c r="BH122" s="29"/>
    </row>
    <row r="123" spans="1:60" x14ac:dyDescent="0.25">
      <c r="A123" s="1">
        <v>46202</v>
      </c>
      <c r="B123" s="33">
        <v>88.89</v>
      </c>
      <c r="C123" s="33">
        <v>90.85</v>
      </c>
      <c r="D123" s="15">
        <v>-3.3301379108057798E-2</v>
      </c>
      <c r="E123" s="15">
        <v>-2.89655223216327E-2</v>
      </c>
      <c r="F123" s="33">
        <v>0</v>
      </c>
      <c r="G123" s="33">
        <v>0</v>
      </c>
      <c r="H123" s="33">
        <v>0</v>
      </c>
      <c r="I123" s="33">
        <v>0</v>
      </c>
      <c r="J123" s="33">
        <v>0</v>
      </c>
      <c r="K123" s="33">
        <v>0</v>
      </c>
      <c r="L123" s="33">
        <v>88.89</v>
      </c>
      <c r="M123" s="33">
        <v>90.85</v>
      </c>
      <c r="N123" s="34">
        <v>1.0220497243784401</v>
      </c>
      <c r="O123" s="34">
        <v>1.03934289630393</v>
      </c>
      <c r="P123" s="34">
        <v>1.02269920004291</v>
      </c>
      <c r="Q123" s="34">
        <v>1.02201930361306</v>
      </c>
      <c r="R123" s="33">
        <v>92.387190052456802</v>
      </c>
      <c r="S123" s="33">
        <v>90.892525112154104</v>
      </c>
      <c r="T123" s="33">
        <v>90.835077573915001</v>
      </c>
      <c r="U123" s="15">
        <v>1.67785383987069E-2</v>
      </c>
      <c r="V123" s="15">
        <v>4.6797097051400998E-4</v>
      </c>
      <c r="W123" s="15">
        <v>-1.64266942753882E-4</v>
      </c>
      <c r="X123" s="34">
        <v>1.0220497243784401</v>
      </c>
      <c r="Y123" s="34">
        <v>1.03934289630393</v>
      </c>
      <c r="Z123" s="34">
        <v>1.02269920004291</v>
      </c>
      <c r="AA123" s="34">
        <v>1.02201930361306</v>
      </c>
      <c r="AB123" s="33">
        <v>92.387190052456802</v>
      </c>
      <c r="AC123" s="33">
        <v>90.892525112154104</v>
      </c>
      <c r="AD123" s="33">
        <v>90.835077573915001</v>
      </c>
      <c r="AE123" s="15">
        <v>1.67785383987069E-2</v>
      </c>
      <c r="AF123" s="15">
        <v>4.6797097051400998E-4</v>
      </c>
      <c r="AG123" s="15">
        <v>-1.64266942753882E-4</v>
      </c>
      <c r="AI123" s="12"/>
      <c r="AJ123">
        <f t="shared" si="26"/>
        <v>0</v>
      </c>
      <c r="AK123">
        <f t="shared" si="27"/>
        <v>1</v>
      </c>
      <c r="AL123">
        <f t="shared" si="34"/>
        <v>0</v>
      </c>
      <c r="AM123">
        <f t="shared" si="24"/>
        <v>1</v>
      </c>
      <c r="AN123">
        <f t="shared" si="35"/>
        <v>0</v>
      </c>
      <c r="AO123" s="28">
        <f t="shared" si="28"/>
        <v>0</v>
      </c>
      <c r="AP123" s="28">
        <f t="shared" si="29"/>
        <v>0</v>
      </c>
      <c r="AQ123" s="28">
        <f t="shared" si="36"/>
        <v>0</v>
      </c>
      <c r="AR123" s="29">
        <f t="shared" si="37"/>
        <v>3.1390378760507237E-2</v>
      </c>
      <c r="AT123" s="12"/>
      <c r="AU123">
        <f t="shared" si="30"/>
        <v>0</v>
      </c>
      <c r="AV123">
        <f t="shared" si="31"/>
        <v>1</v>
      </c>
      <c r="AW123">
        <f t="shared" si="38"/>
        <v>1</v>
      </c>
      <c r="AX123">
        <f t="shared" si="25"/>
        <v>1</v>
      </c>
      <c r="AY123">
        <f t="shared" si="39"/>
        <v>1</v>
      </c>
      <c r="AZ123" s="28">
        <f t="shared" si="32"/>
        <v>3.3301379108057798E-2</v>
      </c>
      <c r="BA123" s="28">
        <f t="shared" si="33"/>
        <v>-2.89655223216327E-2</v>
      </c>
      <c r="BB123" s="28">
        <f t="shared" si="40"/>
        <v>4.3358567864250977E-3</v>
      </c>
      <c r="BC123" s="29">
        <f t="shared" si="41"/>
        <v>3.79293296794476E-2</v>
      </c>
      <c r="BE123" s="29">
        <f t="shared" si="42"/>
        <v>4.3358567864250977E-3</v>
      </c>
      <c r="BF123" s="29">
        <f t="shared" si="43"/>
        <v>6.931970843995483E-2</v>
      </c>
      <c r="BH123" s="29"/>
    </row>
    <row r="124" spans="1:60" x14ac:dyDescent="0.25">
      <c r="A124" s="1">
        <v>46203</v>
      </c>
      <c r="B124" s="33">
        <v>88.71</v>
      </c>
      <c r="C124" s="33">
        <v>90.49</v>
      </c>
      <c r="D124" s="15">
        <v>-2.0270277210881001E-3</v>
      </c>
      <c r="E124" s="15">
        <v>-3.9704474791383204E-3</v>
      </c>
      <c r="F124" s="33">
        <v>0</v>
      </c>
      <c r="G124" s="33">
        <v>0</v>
      </c>
      <c r="H124" s="33">
        <v>0</v>
      </c>
      <c r="I124" s="33">
        <v>0</v>
      </c>
      <c r="J124" s="33">
        <v>0</v>
      </c>
      <c r="K124" s="33">
        <v>0</v>
      </c>
      <c r="L124" s="33">
        <v>88.71</v>
      </c>
      <c r="M124" s="33">
        <v>90.49</v>
      </c>
      <c r="N124" s="34">
        <v>1.0200653815804299</v>
      </c>
      <c r="O124" s="34">
        <v>1.03934289630393</v>
      </c>
      <c r="P124" s="34">
        <v>1.0226359099284701</v>
      </c>
      <c r="Q124" s="34">
        <v>1.02173628925441</v>
      </c>
      <c r="R124" s="33">
        <v>92.200108331122095</v>
      </c>
      <c r="S124" s="33">
        <v>90.723646035807405</v>
      </c>
      <c r="T124" s="33">
        <v>90.6633324235153</v>
      </c>
      <c r="U124" s="15">
        <v>1.8721958156757E-2</v>
      </c>
      <c r="V124" s="15">
        <v>2.5786817978627899E-3</v>
      </c>
      <c r="W124" s="15">
        <v>1.9136548479988401E-3</v>
      </c>
      <c r="X124" s="34">
        <v>1.0200653815804299</v>
      </c>
      <c r="Y124" s="34">
        <v>1.03934289630393</v>
      </c>
      <c r="Z124" s="34">
        <v>1.0226359099284701</v>
      </c>
      <c r="AA124" s="34">
        <v>1.02173628925441</v>
      </c>
      <c r="AB124" s="33">
        <v>92.200108331122095</v>
      </c>
      <c r="AC124" s="33">
        <v>90.723646035807405</v>
      </c>
      <c r="AD124" s="33">
        <v>90.6633324235153</v>
      </c>
      <c r="AE124" s="15">
        <v>1.8721958156757E-2</v>
      </c>
      <c r="AF124" s="15">
        <v>2.5786817978627899E-3</v>
      </c>
      <c r="AG124" s="15">
        <v>1.9136548479988401E-3</v>
      </c>
      <c r="AI124" s="12"/>
      <c r="AJ124">
        <f t="shared" si="26"/>
        <v>0</v>
      </c>
      <c r="AK124">
        <f t="shared" si="27"/>
        <v>1</v>
      </c>
      <c r="AL124">
        <f t="shared" si="34"/>
        <v>0</v>
      </c>
      <c r="AM124">
        <f t="shared" si="24"/>
        <v>1</v>
      </c>
      <c r="AN124">
        <f t="shared" si="35"/>
        <v>0</v>
      </c>
      <c r="AO124" s="28">
        <f t="shared" si="28"/>
        <v>0</v>
      </c>
      <c r="AP124" s="28">
        <f t="shared" si="29"/>
        <v>0</v>
      </c>
      <c r="AQ124" s="28">
        <f t="shared" si="36"/>
        <v>0</v>
      </c>
      <c r="AR124" s="29">
        <f t="shared" si="37"/>
        <v>3.1390378760507237E-2</v>
      </c>
      <c r="AT124" s="12"/>
      <c r="AU124">
        <f t="shared" si="30"/>
        <v>0</v>
      </c>
      <c r="AV124">
        <f t="shared" si="31"/>
        <v>1</v>
      </c>
      <c r="AW124">
        <f t="shared" si="38"/>
        <v>0</v>
      </c>
      <c r="AX124">
        <f t="shared" si="25"/>
        <v>1</v>
      </c>
      <c r="AY124">
        <f t="shared" si="39"/>
        <v>0</v>
      </c>
      <c r="AZ124" s="28">
        <f t="shared" si="32"/>
        <v>0</v>
      </c>
      <c r="BA124" s="28">
        <f t="shared" si="33"/>
        <v>0</v>
      </c>
      <c r="BB124" s="28">
        <f t="shared" si="40"/>
        <v>0</v>
      </c>
      <c r="BC124" s="29">
        <f t="shared" si="41"/>
        <v>3.79293296794476E-2</v>
      </c>
      <c r="BE124" s="29">
        <f t="shared" si="42"/>
        <v>0</v>
      </c>
      <c r="BF124" s="29">
        <f t="shared" si="43"/>
        <v>6.931970843995483E-2</v>
      </c>
      <c r="BH124" s="29"/>
    </row>
    <row r="125" spans="1:60" x14ac:dyDescent="0.25">
      <c r="A125" s="1">
        <v>46204</v>
      </c>
      <c r="B125" s="33">
        <v>85.04</v>
      </c>
      <c r="C125" s="33">
        <v>87.06</v>
      </c>
      <c r="D125" s="15">
        <v>-4.2250888498802902E-2</v>
      </c>
      <c r="E125" s="15">
        <v>-3.8641811238890197E-2</v>
      </c>
      <c r="F125" s="33">
        <v>0</v>
      </c>
      <c r="G125" s="33">
        <v>0</v>
      </c>
      <c r="H125" s="33">
        <v>0</v>
      </c>
      <c r="I125" s="33">
        <v>0</v>
      </c>
      <c r="J125" s="33">
        <v>0</v>
      </c>
      <c r="K125" s="33">
        <v>0</v>
      </c>
      <c r="L125" s="33">
        <v>85.04</v>
      </c>
      <c r="M125" s="33">
        <v>87.06</v>
      </c>
      <c r="N125" s="34">
        <v>1.0237535277516401</v>
      </c>
      <c r="O125" s="34">
        <v>1.03934289630393</v>
      </c>
      <c r="P125" s="34">
        <v>1.02259282784167</v>
      </c>
      <c r="Q125" s="34">
        <v>1.02195962386132</v>
      </c>
      <c r="R125" s="33">
        <v>88.385719901686699</v>
      </c>
      <c r="S125" s="33">
        <v>86.964957780317405</v>
      </c>
      <c r="T125" s="33">
        <v>86.888454038195206</v>
      </c>
      <c r="U125" s="15">
        <v>1.51128808968447E-2</v>
      </c>
      <c r="V125" s="15">
        <v>-1.0922827431683599E-3</v>
      </c>
      <c r="W125" s="15">
        <v>-1.97237760308549E-3</v>
      </c>
      <c r="X125" s="34">
        <v>1.0237535277516401</v>
      </c>
      <c r="Y125" s="34">
        <v>1.03934289630393</v>
      </c>
      <c r="Z125" s="34">
        <v>1.02259282784167</v>
      </c>
      <c r="AA125" s="34">
        <v>1.02195962386132</v>
      </c>
      <c r="AB125" s="33">
        <v>88.385719901686699</v>
      </c>
      <c r="AC125" s="33">
        <v>86.964957780317405</v>
      </c>
      <c r="AD125" s="33">
        <v>86.888454038195206</v>
      </c>
      <c r="AE125" s="15">
        <v>1.51128808968447E-2</v>
      </c>
      <c r="AF125" s="15">
        <v>-1.0922827431683599E-3</v>
      </c>
      <c r="AG125" s="15">
        <v>-1.97237760308549E-3</v>
      </c>
      <c r="AI125" s="12"/>
      <c r="AJ125">
        <f t="shared" si="26"/>
        <v>0</v>
      </c>
      <c r="AK125">
        <f t="shared" si="27"/>
        <v>1</v>
      </c>
      <c r="AL125">
        <f t="shared" si="34"/>
        <v>0</v>
      </c>
      <c r="AM125">
        <f t="shared" si="24"/>
        <v>1</v>
      </c>
      <c r="AN125">
        <f t="shared" si="35"/>
        <v>0</v>
      </c>
      <c r="AO125" s="28">
        <f t="shared" si="28"/>
        <v>0</v>
      </c>
      <c r="AP125" s="28">
        <f t="shared" si="29"/>
        <v>0</v>
      </c>
      <c r="AQ125" s="28">
        <f t="shared" si="36"/>
        <v>0</v>
      </c>
      <c r="AR125" s="29">
        <f t="shared" si="37"/>
        <v>3.1390378760507237E-2</v>
      </c>
      <c r="AT125" s="12"/>
      <c r="AU125">
        <f t="shared" si="30"/>
        <v>0</v>
      </c>
      <c r="AV125">
        <f t="shared" si="31"/>
        <v>1</v>
      </c>
      <c r="AW125">
        <f t="shared" si="38"/>
        <v>0</v>
      </c>
      <c r="AX125">
        <f t="shared" si="25"/>
        <v>1</v>
      </c>
      <c r="AY125">
        <f t="shared" si="39"/>
        <v>0</v>
      </c>
      <c r="AZ125" s="28">
        <f t="shared" si="32"/>
        <v>0</v>
      </c>
      <c r="BA125" s="28">
        <f t="shared" si="33"/>
        <v>0</v>
      </c>
      <c r="BB125" s="28">
        <f t="shared" si="40"/>
        <v>0</v>
      </c>
      <c r="BC125" s="29">
        <f t="shared" si="41"/>
        <v>3.79293296794476E-2</v>
      </c>
      <c r="BE125" s="29">
        <f t="shared" si="42"/>
        <v>0</v>
      </c>
      <c r="BF125" s="29">
        <f t="shared" si="43"/>
        <v>6.931970843995483E-2</v>
      </c>
      <c r="BH125" s="29"/>
    </row>
    <row r="126" spans="1:60" x14ac:dyDescent="0.25">
      <c r="A126" s="1">
        <v>46205</v>
      </c>
      <c r="B126" s="33">
        <v>86.27</v>
      </c>
      <c r="C126" s="33">
        <v>88.21</v>
      </c>
      <c r="D126" s="15">
        <v>1.4360179054794701E-2</v>
      </c>
      <c r="E126" s="15">
        <v>1.3122799146524E-2</v>
      </c>
      <c r="F126" s="33">
        <v>0</v>
      </c>
      <c r="G126" s="33">
        <v>0</v>
      </c>
      <c r="H126" s="33">
        <v>0</v>
      </c>
      <c r="I126" s="33">
        <v>0</v>
      </c>
      <c r="J126" s="33">
        <v>0</v>
      </c>
      <c r="K126" s="33">
        <v>0</v>
      </c>
      <c r="L126" s="33">
        <v>86.27</v>
      </c>
      <c r="M126" s="33">
        <v>88.21</v>
      </c>
      <c r="N126" s="34">
        <v>1.0224875391213599</v>
      </c>
      <c r="O126" s="34">
        <v>1.03934289630393</v>
      </c>
      <c r="P126" s="34">
        <v>1.0228243586796</v>
      </c>
      <c r="Q126" s="34">
        <v>1.0220048641267401</v>
      </c>
      <c r="R126" s="33">
        <v>89.664111664140506</v>
      </c>
      <c r="S126" s="33">
        <v>88.219083257901005</v>
      </c>
      <c r="T126" s="33">
        <v>88.164456750516607</v>
      </c>
      <c r="U126" s="15">
        <v>1.6350260805115199E-2</v>
      </c>
      <c r="V126" s="15">
        <v>1.0296780713588199E-4</v>
      </c>
      <c r="W126" s="15">
        <v>-5.1643816610046902E-4</v>
      </c>
      <c r="X126" s="34">
        <v>1.0224875391213599</v>
      </c>
      <c r="Y126" s="34">
        <v>1.03934289630393</v>
      </c>
      <c r="Z126" s="34">
        <v>1.0228243586796</v>
      </c>
      <c r="AA126" s="34">
        <v>1.0220048641267401</v>
      </c>
      <c r="AB126" s="33">
        <v>89.664111664140506</v>
      </c>
      <c r="AC126" s="33">
        <v>88.219083257901005</v>
      </c>
      <c r="AD126" s="33">
        <v>88.164456750516607</v>
      </c>
      <c r="AE126" s="15">
        <v>1.6350260805115199E-2</v>
      </c>
      <c r="AF126" s="15">
        <v>1.0296780713588199E-4</v>
      </c>
      <c r="AG126" s="15">
        <v>-5.1643816610046902E-4</v>
      </c>
      <c r="AI126" s="12"/>
      <c r="AJ126">
        <f t="shared" si="26"/>
        <v>0</v>
      </c>
      <c r="AK126">
        <f t="shared" si="27"/>
        <v>1</v>
      </c>
      <c r="AL126">
        <f t="shared" si="34"/>
        <v>0</v>
      </c>
      <c r="AM126">
        <f t="shared" si="24"/>
        <v>1</v>
      </c>
      <c r="AN126">
        <f t="shared" si="35"/>
        <v>0</v>
      </c>
      <c r="AO126" s="28">
        <f t="shared" si="28"/>
        <v>0</v>
      </c>
      <c r="AP126" s="28">
        <f t="shared" si="29"/>
        <v>0</v>
      </c>
      <c r="AQ126" s="28">
        <f t="shared" si="36"/>
        <v>0</v>
      </c>
      <c r="AR126" s="29">
        <f t="shared" si="37"/>
        <v>3.1390378760507237E-2</v>
      </c>
      <c r="AT126" s="12"/>
      <c r="AU126">
        <f t="shared" si="30"/>
        <v>0</v>
      </c>
      <c r="AV126">
        <f t="shared" si="31"/>
        <v>1</v>
      </c>
      <c r="AW126">
        <f t="shared" si="38"/>
        <v>0</v>
      </c>
      <c r="AX126">
        <f t="shared" si="25"/>
        <v>1</v>
      </c>
      <c r="AY126">
        <f t="shared" si="39"/>
        <v>0</v>
      </c>
      <c r="AZ126" s="28">
        <f t="shared" si="32"/>
        <v>0</v>
      </c>
      <c r="BA126" s="28">
        <f t="shared" si="33"/>
        <v>0</v>
      </c>
      <c r="BB126" s="28">
        <f t="shared" si="40"/>
        <v>0</v>
      </c>
      <c r="BC126" s="29">
        <f t="shared" si="41"/>
        <v>3.79293296794476E-2</v>
      </c>
      <c r="BE126" s="29">
        <f t="shared" si="42"/>
        <v>0</v>
      </c>
      <c r="BF126" s="29">
        <f t="shared" si="43"/>
        <v>6.931970843995483E-2</v>
      </c>
      <c r="BH126" s="29"/>
    </row>
    <row r="127" spans="1:60" x14ac:dyDescent="0.25">
      <c r="A127" s="1">
        <v>46209</v>
      </c>
      <c r="B127" s="33">
        <v>85.92</v>
      </c>
      <c r="C127" s="33">
        <v>87.65</v>
      </c>
      <c r="D127" s="15">
        <v>-4.0652823279327399E-3</v>
      </c>
      <c r="E127" s="15">
        <v>-6.3687239034319297E-3</v>
      </c>
      <c r="F127" s="33">
        <v>0</v>
      </c>
      <c r="G127" s="33">
        <v>0</v>
      </c>
      <c r="H127" s="33">
        <v>0</v>
      </c>
      <c r="I127" s="33">
        <v>0</v>
      </c>
      <c r="J127" s="33">
        <v>0</v>
      </c>
      <c r="K127" s="33">
        <v>0</v>
      </c>
      <c r="L127" s="33">
        <v>85.92</v>
      </c>
      <c r="M127" s="33">
        <v>87.65</v>
      </c>
      <c r="N127" s="34">
        <v>1.02013500931098</v>
      </c>
      <c r="O127" s="34">
        <v>1.03934289630393</v>
      </c>
      <c r="P127" s="34">
        <v>1.02221892090988</v>
      </c>
      <c r="Q127" s="34">
        <v>1.0218420890855</v>
      </c>
      <c r="R127" s="33">
        <v>89.300341650434106</v>
      </c>
      <c r="S127" s="33">
        <v>87.881068897751803</v>
      </c>
      <c r="T127" s="33">
        <v>87.810657925770101</v>
      </c>
      <c r="U127" s="15">
        <v>1.8653702380614399E-2</v>
      </c>
      <c r="V127" s="15">
        <v>2.63279922667254E-3</v>
      </c>
      <c r="W127" s="15">
        <v>1.83127058301536E-3</v>
      </c>
      <c r="X127" s="34">
        <v>1.02013500931098</v>
      </c>
      <c r="Y127" s="34">
        <v>1.03934289630393</v>
      </c>
      <c r="Z127" s="34">
        <v>1.02221892090988</v>
      </c>
      <c r="AA127" s="34">
        <v>1.0218420890855</v>
      </c>
      <c r="AB127" s="33">
        <v>89.300341650434106</v>
      </c>
      <c r="AC127" s="33">
        <v>87.881068897751803</v>
      </c>
      <c r="AD127" s="33">
        <v>87.810657925770101</v>
      </c>
      <c r="AE127" s="15">
        <v>1.8653702380614399E-2</v>
      </c>
      <c r="AF127" s="15">
        <v>2.63279922667254E-3</v>
      </c>
      <c r="AG127" s="15">
        <v>1.83127058301536E-3</v>
      </c>
      <c r="AI127" s="12"/>
      <c r="AJ127">
        <f t="shared" si="26"/>
        <v>0</v>
      </c>
      <c r="AK127">
        <f t="shared" si="27"/>
        <v>1</v>
      </c>
      <c r="AL127">
        <f t="shared" si="34"/>
        <v>0</v>
      </c>
      <c r="AM127">
        <f t="shared" si="24"/>
        <v>1</v>
      </c>
      <c r="AN127">
        <f t="shared" si="35"/>
        <v>0</v>
      </c>
      <c r="AO127" s="28">
        <f t="shared" si="28"/>
        <v>0</v>
      </c>
      <c r="AP127" s="28">
        <f t="shared" si="29"/>
        <v>0</v>
      </c>
      <c r="AQ127" s="28">
        <f t="shared" si="36"/>
        <v>0</v>
      </c>
      <c r="AR127" s="29">
        <f t="shared" si="37"/>
        <v>3.1390378760507237E-2</v>
      </c>
      <c r="AT127" s="12"/>
      <c r="AU127">
        <f t="shared" si="30"/>
        <v>0</v>
      </c>
      <c r="AV127">
        <f t="shared" si="31"/>
        <v>1</v>
      </c>
      <c r="AW127">
        <f t="shared" si="38"/>
        <v>0</v>
      </c>
      <c r="AX127">
        <f t="shared" si="25"/>
        <v>1</v>
      </c>
      <c r="AY127">
        <f t="shared" si="39"/>
        <v>0</v>
      </c>
      <c r="AZ127" s="28">
        <f t="shared" si="32"/>
        <v>0</v>
      </c>
      <c r="BA127" s="28">
        <f t="shared" si="33"/>
        <v>0</v>
      </c>
      <c r="BB127" s="28">
        <f t="shared" si="40"/>
        <v>0</v>
      </c>
      <c r="BC127" s="29">
        <f t="shared" si="41"/>
        <v>3.79293296794476E-2</v>
      </c>
      <c r="BE127" s="29">
        <f t="shared" si="42"/>
        <v>0</v>
      </c>
      <c r="BF127" s="29">
        <f t="shared" si="43"/>
        <v>6.931970843995483E-2</v>
      </c>
      <c r="BH127" s="29"/>
    </row>
    <row r="128" spans="1:60" x14ac:dyDescent="0.25">
      <c r="A128" s="1">
        <v>46210</v>
      </c>
      <c r="B128" s="33">
        <v>85.02</v>
      </c>
      <c r="C128" s="33">
        <v>86.74</v>
      </c>
      <c r="D128" s="15">
        <v>-1.05301078299105E-2</v>
      </c>
      <c r="E128" s="15">
        <v>-1.04364729600234E-2</v>
      </c>
      <c r="F128" s="33">
        <v>0</v>
      </c>
      <c r="G128" s="33">
        <v>0</v>
      </c>
      <c r="H128" s="33">
        <v>0</v>
      </c>
      <c r="I128" s="33">
        <v>0</v>
      </c>
      <c r="J128" s="33">
        <v>0</v>
      </c>
      <c r="K128" s="33">
        <v>0</v>
      </c>
      <c r="L128" s="33">
        <v>85.02</v>
      </c>
      <c r="M128" s="33">
        <v>86.74</v>
      </c>
      <c r="N128" s="34">
        <v>1.0202305339919999</v>
      </c>
      <c r="O128" s="34">
        <v>1.03934289630393</v>
      </c>
      <c r="P128" s="34">
        <v>1.0216489906178901</v>
      </c>
      <c r="Q128" s="34">
        <v>1.0218215833014499</v>
      </c>
      <c r="R128" s="33">
        <v>88.364933043760601</v>
      </c>
      <c r="S128" s="33">
        <v>86.909052655758103</v>
      </c>
      <c r="T128" s="33">
        <v>86.877014414049398</v>
      </c>
      <c r="U128" s="15">
        <v>1.85600675107273E-2</v>
      </c>
      <c r="V128" s="15">
        <v>1.9470616923035399E-3</v>
      </c>
      <c r="W128" s="15">
        <v>1.57835270875925E-3</v>
      </c>
      <c r="X128" s="34">
        <v>1.0202305339919999</v>
      </c>
      <c r="Y128" s="34">
        <v>1.03934289630393</v>
      </c>
      <c r="Z128" s="34">
        <v>1.0216489906178901</v>
      </c>
      <c r="AA128" s="34">
        <v>1.0218215833014499</v>
      </c>
      <c r="AB128" s="33">
        <v>88.364933043760601</v>
      </c>
      <c r="AC128" s="33">
        <v>86.909052655758103</v>
      </c>
      <c r="AD128" s="33">
        <v>86.877014414049398</v>
      </c>
      <c r="AE128" s="15">
        <v>1.85600675107273E-2</v>
      </c>
      <c r="AF128" s="15">
        <v>1.9470616923035399E-3</v>
      </c>
      <c r="AG128" s="15">
        <v>1.57835270875925E-3</v>
      </c>
      <c r="AI128" s="12"/>
      <c r="AJ128">
        <f t="shared" si="26"/>
        <v>0</v>
      </c>
      <c r="AK128">
        <f t="shared" si="27"/>
        <v>1</v>
      </c>
      <c r="AL128">
        <f t="shared" si="34"/>
        <v>0</v>
      </c>
      <c r="AM128">
        <f t="shared" si="24"/>
        <v>1</v>
      </c>
      <c r="AN128">
        <f t="shared" si="35"/>
        <v>0</v>
      </c>
      <c r="AO128" s="28">
        <f t="shared" si="28"/>
        <v>0</v>
      </c>
      <c r="AP128" s="28">
        <f t="shared" si="29"/>
        <v>0</v>
      </c>
      <c r="AQ128" s="28">
        <f t="shared" si="36"/>
        <v>0</v>
      </c>
      <c r="AR128" s="29">
        <f t="shared" si="37"/>
        <v>3.1390378760507237E-2</v>
      </c>
      <c r="AT128" s="12"/>
      <c r="AU128">
        <f t="shared" si="30"/>
        <v>0</v>
      </c>
      <c r="AV128">
        <f t="shared" si="31"/>
        <v>1</v>
      </c>
      <c r="AW128">
        <f t="shared" si="38"/>
        <v>0</v>
      </c>
      <c r="AX128">
        <f t="shared" si="25"/>
        <v>1</v>
      </c>
      <c r="AY128">
        <f t="shared" si="39"/>
        <v>0</v>
      </c>
      <c r="AZ128" s="28">
        <f t="shared" si="32"/>
        <v>0</v>
      </c>
      <c r="BA128" s="28">
        <f t="shared" si="33"/>
        <v>0</v>
      </c>
      <c r="BB128" s="28">
        <f t="shared" si="40"/>
        <v>0</v>
      </c>
      <c r="BC128" s="29">
        <f t="shared" si="41"/>
        <v>3.79293296794476E-2</v>
      </c>
      <c r="BE128" s="29">
        <f t="shared" si="42"/>
        <v>0</v>
      </c>
      <c r="BF128" s="29">
        <f t="shared" si="43"/>
        <v>6.931970843995483E-2</v>
      </c>
      <c r="BH128" s="29"/>
    </row>
    <row r="129" spans="1:60" x14ac:dyDescent="0.25">
      <c r="A129" s="1">
        <v>46211</v>
      </c>
      <c r="B129" s="33">
        <v>81.599999999999994</v>
      </c>
      <c r="C129" s="33">
        <v>83.59</v>
      </c>
      <c r="D129" s="15">
        <v>-4.1057260960582799E-2</v>
      </c>
      <c r="E129" s="15">
        <v>-3.6991242696155301E-2</v>
      </c>
      <c r="F129" s="33">
        <v>0</v>
      </c>
      <c r="G129" s="33">
        <v>0</v>
      </c>
      <c r="H129" s="33">
        <v>0</v>
      </c>
      <c r="I129" s="33">
        <v>0</v>
      </c>
      <c r="J129" s="33">
        <v>0</v>
      </c>
      <c r="K129" s="33">
        <v>0</v>
      </c>
      <c r="L129" s="33">
        <v>81.599999999999994</v>
      </c>
      <c r="M129" s="33">
        <v>83.59</v>
      </c>
      <c r="N129" s="34">
        <v>1.0243872549019599</v>
      </c>
      <c r="O129" s="34">
        <v>1.03934289630393</v>
      </c>
      <c r="P129" s="34">
        <v>1.0213592673253</v>
      </c>
      <c r="Q129" s="34">
        <v>1.02208059560288</v>
      </c>
      <c r="R129" s="33">
        <v>84.810380338401103</v>
      </c>
      <c r="S129" s="33">
        <v>83.366557634420104</v>
      </c>
      <c r="T129" s="33">
        <v>83.380641197398802</v>
      </c>
      <c r="U129" s="15">
        <v>1.44940492463E-2</v>
      </c>
      <c r="V129" s="15">
        <v>-2.6766543602692499E-3</v>
      </c>
      <c r="W129" s="15">
        <v>-2.5077332256308099E-3</v>
      </c>
      <c r="X129" s="34">
        <v>1.0243872549019599</v>
      </c>
      <c r="Y129" s="34">
        <v>1.03934289630393</v>
      </c>
      <c r="Z129" s="34">
        <v>1.0213592673253</v>
      </c>
      <c r="AA129" s="34">
        <v>1.02208059560288</v>
      </c>
      <c r="AB129" s="33">
        <v>84.810380338401103</v>
      </c>
      <c r="AC129" s="33">
        <v>83.366557634420104</v>
      </c>
      <c r="AD129" s="33">
        <v>83.380641197398802</v>
      </c>
      <c r="AE129" s="15">
        <v>1.44940492463E-2</v>
      </c>
      <c r="AF129" s="15">
        <v>-2.6766543602692499E-3</v>
      </c>
      <c r="AG129" s="15">
        <v>-2.5077332256308099E-3</v>
      </c>
      <c r="AI129" s="12"/>
      <c r="AJ129">
        <f t="shared" si="26"/>
        <v>0</v>
      </c>
      <c r="AK129">
        <f t="shared" si="27"/>
        <v>0</v>
      </c>
      <c r="AL129">
        <f t="shared" si="34"/>
        <v>0</v>
      </c>
      <c r="AM129">
        <f t="shared" si="24"/>
        <v>1</v>
      </c>
      <c r="AN129">
        <f t="shared" si="35"/>
        <v>0</v>
      </c>
      <c r="AO129" s="28">
        <f t="shared" si="28"/>
        <v>0</v>
      </c>
      <c r="AP129" s="28">
        <f t="shared" si="29"/>
        <v>0</v>
      </c>
      <c r="AQ129" s="28">
        <f t="shared" si="36"/>
        <v>0</v>
      </c>
      <c r="AR129" s="29">
        <f t="shared" si="37"/>
        <v>3.1390378760507237E-2</v>
      </c>
      <c r="AT129" s="12"/>
      <c r="AU129">
        <f t="shared" si="30"/>
        <v>0</v>
      </c>
      <c r="AV129">
        <f t="shared" si="31"/>
        <v>1</v>
      </c>
      <c r="AW129">
        <f t="shared" si="38"/>
        <v>0</v>
      </c>
      <c r="AX129">
        <f t="shared" si="25"/>
        <v>1</v>
      </c>
      <c r="AY129">
        <f t="shared" si="39"/>
        <v>0</v>
      </c>
      <c r="AZ129" s="28">
        <f t="shared" si="32"/>
        <v>0</v>
      </c>
      <c r="BA129" s="28">
        <f t="shared" si="33"/>
        <v>0</v>
      </c>
      <c r="BB129" s="28">
        <f t="shared" si="40"/>
        <v>0</v>
      </c>
      <c r="BC129" s="29">
        <f t="shared" si="41"/>
        <v>3.79293296794476E-2</v>
      </c>
      <c r="BE129" s="29">
        <f t="shared" si="42"/>
        <v>0</v>
      </c>
      <c r="BF129" s="29">
        <f t="shared" si="43"/>
        <v>6.931970843995483E-2</v>
      </c>
      <c r="BH129" s="29"/>
    </row>
    <row r="130" spans="1:60" x14ac:dyDescent="0.25">
      <c r="A130" s="1">
        <v>46212</v>
      </c>
      <c r="B130" s="33">
        <v>82.67</v>
      </c>
      <c r="C130" s="33">
        <v>84.35</v>
      </c>
      <c r="D130" s="15">
        <v>1.30275172945229E-2</v>
      </c>
      <c r="E130" s="15">
        <v>9.0509132809124294E-3</v>
      </c>
      <c r="F130" s="33">
        <v>0</v>
      </c>
      <c r="G130" s="33">
        <v>0</v>
      </c>
      <c r="H130" s="33">
        <v>0</v>
      </c>
      <c r="I130" s="33">
        <v>0</v>
      </c>
      <c r="J130" s="33">
        <v>0</v>
      </c>
      <c r="K130" s="33">
        <v>0</v>
      </c>
      <c r="L130" s="33">
        <v>82.67</v>
      </c>
      <c r="M130" s="33">
        <v>84.35</v>
      </c>
      <c r="N130" s="34">
        <v>1.0203217612193001</v>
      </c>
      <c r="O130" s="34">
        <v>1.03934289630393</v>
      </c>
      <c r="P130" s="34">
        <v>1.0214390468255401</v>
      </c>
      <c r="Q130" s="34">
        <v>1.0221723878892</v>
      </c>
      <c r="R130" s="33">
        <v>85.922477237446401</v>
      </c>
      <c r="S130" s="33">
        <v>84.435770629783093</v>
      </c>
      <c r="T130" s="33">
        <v>84.495402838490406</v>
      </c>
      <c r="U130" s="15">
        <v>1.8470653259910399E-2</v>
      </c>
      <c r="V130" s="15">
        <v>1.0163254502555299E-3</v>
      </c>
      <c r="W130" s="15">
        <v>1.7223196129648099E-3</v>
      </c>
      <c r="X130" s="34">
        <v>1.0203217612193001</v>
      </c>
      <c r="Y130" s="34">
        <v>1.03934289630393</v>
      </c>
      <c r="Z130" s="34">
        <v>1.0214390468255401</v>
      </c>
      <c r="AA130" s="34">
        <v>1.0221723878892</v>
      </c>
      <c r="AB130" s="33">
        <v>85.922477237446401</v>
      </c>
      <c r="AC130" s="33">
        <v>84.435770629783093</v>
      </c>
      <c r="AD130" s="33">
        <v>84.495402838490406</v>
      </c>
      <c r="AE130" s="15">
        <v>1.8470653259910399E-2</v>
      </c>
      <c r="AF130" s="15">
        <v>1.0163254502555299E-3</v>
      </c>
      <c r="AG130" s="15">
        <v>1.7223196129648099E-3</v>
      </c>
      <c r="AI130" s="12"/>
      <c r="AJ130">
        <f t="shared" si="26"/>
        <v>0</v>
      </c>
      <c r="AK130">
        <f t="shared" si="27"/>
        <v>1</v>
      </c>
      <c r="AL130">
        <f t="shared" si="34"/>
        <v>0</v>
      </c>
      <c r="AM130">
        <f t="shared" si="24"/>
        <v>1</v>
      </c>
      <c r="AN130">
        <f t="shared" si="35"/>
        <v>0</v>
      </c>
      <c r="AO130" s="28">
        <f t="shared" si="28"/>
        <v>0</v>
      </c>
      <c r="AP130" s="28">
        <f t="shared" si="29"/>
        <v>0</v>
      </c>
      <c r="AQ130" s="28">
        <f t="shared" si="36"/>
        <v>0</v>
      </c>
      <c r="AR130" s="29">
        <f t="shared" si="37"/>
        <v>3.1390378760507237E-2</v>
      </c>
      <c r="AT130" s="12"/>
      <c r="AU130">
        <f t="shared" si="30"/>
        <v>0</v>
      </c>
      <c r="AV130">
        <f t="shared" si="31"/>
        <v>1</v>
      </c>
      <c r="AW130">
        <f t="shared" si="38"/>
        <v>0</v>
      </c>
      <c r="AX130">
        <f t="shared" si="25"/>
        <v>1</v>
      </c>
      <c r="AY130">
        <f t="shared" si="39"/>
        <v>0</v>
      </c>
      <c r="AZ130" s="28">
        <f t="shared" si="32"/>
        <v>0</v>
      </c>
      <c r="BA130" s="28">
        <f t="shared" si="33"/>
        <v>0</v>
      </c>
      <c r="BB130" s="28">
        <f t="shared" si="40"/>
        <v>0</v>
      </c>
      <c r="BC130" s="29">
        <f t="shared" si="41"/>
        <v>3.79293296794476E-2</v>
      </c>
      <c r="BE130" s="29">
        <f t="shared" si="42"/>
        <v>0</v>
      </c>
      <c r="BF130" s="29">
        <f t="shared" si="43"/>
        <v>6.931970843995483E-2</v>
      </c>
      <c r="BH130" s="29"/>
    </row>
    <row r="131" spans="1:60" x14ac:dyDescent="0.25">
      <c r="A131" s="1">
        <v>46213</v>
      </c>
      <c r="B131" s="33">
        <v>82.55</v>
      </c>
      <c r="C131" s="33">
        <v>84.27</v>
      </c>
      <c r="D131" s="15">
        <v>-1.45260889844731E-3</v>
      </c>
      <c r="E131" s="15">
        <v>-9.4887920771531198E-4</v>
      </c>
      <c r="F131" s="33">
        <v>0</v>
      </c>
      <c r="G131" s="33">
        <v>0</v>
      </c>
      <c r="H131" s="33">
        <v>0</v>
      </c>
      <c r="I131" s="33">
        <v>0</v>
      </c>
      <c r="J131" s="33">
        <v>0</v>
      </c>
      <c r="K131" s="33">
        <v>0</v>
      </c>
      <c r="L131" s="33">
        <v>82.55</v>
      </c>
      <c r="M131" s="33">
        <v>84.27</v>
      </c>
      <c r="N131" s="34">
        <v>1.0208358570563201</v>
      </c>
      <c r="O131" s="34">
        <v>1.03934289630393</v>
      </c>
      <c r="P131" s="34">
        <v>1.0211894445678</v>
      </c>
      <c r="Q131" s="34">
        <v>1.0220642319773501</v>
      </c>
      <c r="R131" s="33">
        <v>85.797756089889901</v>
      </c>
      <c r="S131" s="33">
        <v>84.319793315448507</v>
      </c>
      <c r="T131" s="33">
        <v>84.380330620253602</v>
      </c>
      <c r="U131" s="15">
        <v>1.7966923569178499E-2</v>
      </c>
      <c r="V131" s="15">
        <v>5.9070381328745999E-4</v>
      </c>
      <c r="W131" s="15">
        <v>1.3083951343280001E-3</v>
      </c>
      <c r="X131" s="34">
        <v>1.0208358570563201</v>
      </c>
      <c r="Y131" s="34">
        <v>1.03934289630393</v>
      </c>
      <c r="Z131" s="34">
        <v>1.0211894445678</v>
      </c>
      <c r="AA131" s="34">
        <v>1.0220642319773501</v>
      </c>
      <c r="AB131" s="33">
        <v>85.797756089889901</v>
      </c>
      <c r="AC131" s="33">
        <v>84.319793315448507</v>
      </c>
      <c r="AD131" s="33">
        <v>84.380330620253602</v>
      </c>
      <c r="AE131" s="15">
        <v>1.7966923569178499E-2</v>
      </c>
      <c r="AF131" s="15">
        <v>5.9070381328745999E-4</v>
      </c>
      <c r="AG131" s="15">
        <v>1.3083951343280001E-3</v>
      </c>
      <c r="AI131" s="12"/>
      <c r="AJ131">
        <f t="shared" si="26"/>
        <v>0</v>
      </c>
      <c r="AK131">
        <f t="shared" si="27"/>
        <v>1</v>
      </c>
      <c r="AL131">
        <f t="shared" si="34"/>
        <v>0</v>
      </c>
      <c r="AM131">
        <f t="shared" si="24"/>
        <v>1</v>
      </c>
      <c r="AN131">
        <f t="shared" si="35"/>
        <v>0</v>
      </c>
      <c r="AO131" s="28">
        <f t="shared" si="28"/>
        <v>0</v>
      </c>
      <c r="AP131" s="28">
        <f t="shared" si="29"/>
        <v>0</v>
      </c>
      <c r="AQ131" s="28">
        <f t="shared" si="36"/>
        <v>0</v>
      </c>
      <c r="AR131" s="29">
        <f t="shared" si="37"/>
        <v>3.1390378760507237E-2</v>
      </c>
      <c r="AT131" s="12"/>
      <c r="AU131">
        <f t="shared" si="30"/>
        <v>0</v>
      </c>
      <c r="AV131">
        <f t="shared" si="31"/>
        <v>1</v>
      </c>
      <c r="AW131">
        <f t="shared" si="38"/>
        <v>0</v>
      </c>
      <c r="AX131">
        <f t="shared" si="25"/>
        <v>1</v>
      </c>
      <c r="AY131">
        <f t="shared" si="39"/>
        <v>0</v>
      </c>
      <c r="AZ131" s="28">
        <f t="shared" si="32"/>
        <v>0</v>
      </c>
      <c r="BA131" s="28">
        <f t="shared" si="33"/>
        <v>0</v>
      </c>
      <c r="BB131" s="28">
        <f t="shared" si="40"/>
        <v>0</v>
      </c>
      <c r="BC131" s="29">
        <f t="shared" si="41"/>
        <v>3.79293296794476E-2</v>
      </c>
      <c r="BE131" s="29">
        <f t="shared" si="42"/>
        <v>0</v>
      </c>
      <c r="BF131" s="29">
        <f t="shared" si="43"/>
        <v>6.931970843995483E-2</v>
      </c>
      <c r="BH131" s="29"/>
    </row>
    <row r="132" spans="1:60" x14ac:dyDescent="0.25">
      <c r="A132" s="1">
        <v>46216</v>
      </c>
      <c r="B132" s="33">
        <v>81.19</v>
      </c>
      <c r="C132" s="33">
        <v>82.84</v>
      </c>
      <c r="D132" s="15">
        <v>-1.66120834917819E-2</v>
      </c>
      <c r="E132" s="15">
        <v>-1.71148932568784E-2</v>
      </c>
      <c r="F132" s="33">
        <v>0</v>
      </c>
      <c r="G132" s="33">
        <v>0</v>
      </c>
      <c r="H132" s="33">
        <v>0</v>
      </c>
      <c r="I132" s="33">
        <v>0</v>
      </c>
      <c r="J132" s="33">
        <v>0</v>
      </c>
      <c r="K132" s="33">
        <v>0</v>
      </c>
      <c r="L132" s="33">
        <v>81.19</v>
      </c>
      <c r="M132" s="33">
        <v>82.84</v>
      </c>
      <c r="N132" s="34">
        <v>1.02032269983988</v>
      </c>
      <c r="O132" s="34">
        <v>1.03934289630393</v>
      </c>
      <c r="P132" s="34">
        <v>1.02145892891523</v>
      </c>
      <c r="Q132" s="34">
        <v>1.0219935274126899</v>
      </c>
      <c r="R132" s="33">
        <v>84.384249750916496</v>
      </c>
      <c r="S132" s="33">
        <v>82.910371004460302</v>
      </c>
      <c r="T132" s="33">
        <v>82.981394994241796</v>
      </c>
      <c r="U132" s="15">
        <v>1.8469733334275099E-2</v>
      </c>
      <c r="V132" s="15">
        <v>8.4912037616662105E-4</v>
      </c>
      <c r="W132" s="15">
        <v>1.70538944646545E-3</v>
      </c>
      <c r="X132" s="34">
        <v>1.02032269983988</v>
      </c>
      <c r="Y132" s="34">
        <v>1.03934289630393</v>
      </c>
      <c r="Z132" s="34">
        <v>1.02145892891523</v>
      </c>
      <c r="AA132" s="34">
        <v>1.0219935274126899</v>
      </c>
      <c r="AB132" s="33">
        <v>84.384249750916496</v>
      </c>
      <c r="AC132" s="33">
        <v>82.910371004460302</v>
      </c>
      <c r="AD132" s="33">
        <v>82.981394994241796</v>
      </c>
      <c r="AE132" s="15">
        <v>1.8469733334275099E-2</v>
      </c>
      <c r="AF132" s="15">
        <v>8.4912037616662105E-4</v>
      </c>
      <c r="AG132" s="15">
        <v>1.70538944646545E-3</v>
      </c>
      <c r="AI132" s="12"/>
      <c r="AJ132">
        <f t="shared" si="26"/>
        <v>0</v>
      </c>
      <c r="AK132">
        <f t="shared" si="27"/>
        <v>1</v>
      </c>
      <c r="AL132">
        <f t="shared" si="34"/>
        <v>0</v>
      </c>
      <c r="AM132">
        <f t="shared" si="24"/>
        <v>1</v>
      </c>
      <c r="AN132">
        <f t="shared" si="35"/>
        <v>0</v>
      </c>
      <c r="AO132" s="28">
        <f t="shared" si="28"/>
        <v>0</v>
      </c>
      <c r="AP132" s="28">
        <f t="shared" si="29"/>
        <v>0</v>
      </c>
      <c r="AQ132" s="28">
        <f t="shared" si="36"/>
        <v>0</v>
      </c>
      <c r="AR132" s="29">
        <f t="shared" si="37"/>
        <v>3.1390378760507237E-2</v>
      </c>
      <c r="AT132" s="12"/>
      <c r="AU132">
        <f t="shared" si="30"/>
        <v>0</v>
      </c>
      <c r="AV132">
        <f t="shared" si="31"/>
        <v>1</v>
      </c>
      <c r="AW132">
        <f t="shared" si="38"/>
        <v>0</v>
      </c>
      <c r="AX132">
        <f t="shared" si="25"/>
        <v>1</v>
      </c>
      <c r="AY132">
        <f t="shared" si="39"/>
        <v>0</v>
      </c>
      <c r="AZ132" s="28">
        <f t="shared" si="32"/>
        <v>0</v>
      </c>
      <c r="BA132" s="28">
        <f t="shared" si="33"/>
        <v>0</v>
      </c>
      <c r="BB132" s="28">
        <f t="shared" si="40"/>
        <v>0</v>
      </c>
      <c r="BC132" s="29">
        <f t="shared" si="41"/>
        <v>3.79293296794476E-2</v>
      </c>
      <c r="BE132" s="29">
        <f t="shared" si="42"/>
        <v>0</v>
      </c>
      <c r="BF132" s="29">
        <f t="shared" si="43"/>
        <v>6.931970843995483E-2</v>
      </c>
      <c r="BH132" s="29"/>
    </row>
    <row r="133" spans="1:60" x14ac:dyDescent="0.25">
      <c r="A133" s="1">
        <v>46217</v>
      </c>
      <c r="B133" s="33">
        <v>82.2</v>
      </c>
      <c r="C133" s="33">
        <v>83.71</v>
      </c>
      <c r="D133" s="15">
        <v>1.23632151877791E-2</v>
      </c>
      <c r="E133" s="15">
        <v>1.04474081445815E-2</v>
      </c>
      <c r="F133" s="33">
        <v>0</v>
      </c>
      <c r="G133" s="33">
        <v>0</v>
      </c>
      <c r="H133" s="33">
        <v>0</v>
      </c>
      <c r="I133" s="33">
        <v>0</v>
      </c>
      <c r="J133" s="33">
        <v>0</v>
      </c>
      <c r="K133" s="33">
        <v>0</v>
      </c>
      <c r="L133" s="33">
        <v>82.2</v>
      </c>
      <c r="M133" s="33">
        <v>83.71</v>
      </c>
      <c r="N133" s="34">
        <v>1.0183698296836901</v>
      </c>
      <c r="O133" s="34">
        <v>1.03934289630393</v>
      </c>
      <c r="P133" s="34">
        <v>1.0210909394457599</v>
      </c>
      <c r="Q133" s="34">
        <v>1.0218950697443401</v>
      </c>
      <c r="R133" s="33">
        <v>85.433986076183501</v>
      </c>
      <c r="S133" s="33">
        <v>83.963923956832303</v>
      </c>
      <c r="T133" s="33">
        <v>84.007867953323696</v>
      </c>
      <c r="U133" s="15">
        <v>2.0385540377472901E-2</v>
      </c>
      <c r="V133" s="15">
        <v>3.0287852154375801E-3</v>
      </c>
      <c r="W133" s="15">
        <v>3.5520158959493702E-3</v>
      </c>
      <c r="X133" s="34">
        <v>1.0183698296836901</v>
      </c>
      <c r="Y133" s="34">
        <v>1.03934289630393</v>
      </c>
      <c r="Z133" s="34">
        <v>1.0210909394457599</v>
      </c>
      <c r="AA133" s="34">
        <v>1.0218950697443401</v>
      </c>
      <c r="AB133" s="33">
        <v>85.433986076183501</v>
      </c>
      <c r="AC133" s="33">
        <v>83.963923956832303</v>
      </c>
      <c r="AD133" s="33">
        <v>84.007867953323696</v>
      </c>
      <c r="AE133" s="15">
        <v>2.0385540377472901E-2</v>
      </c>
      <c r="AF133" s="15">
        <v>3.0287852154375801E-3</v>
      </c>
      <c r="AG133" s="15">
        <v>3.5520158959493702E-3</v>
      </c>
      <c r="AI133" s="12"/>
      <c r="AJ133">
        <f t="shared" si="26"/>
        <v>0</v>
      </c>
      <c r="AK133">
        <f t="shared" si="27"/>
        <v>1</v>
      </c>
      <c r="AL133">
        <f t="shared" si="34"/>
        <v>0</v>
      </c>
      <c r="AM133">
        <f t="shared" si="24"/>
        <v>1</v>
      </c>
      <c r="AN133">
        <f t="shared" si="35"/>
        <v>0</v>
      </c>
      <c r="AO133" s="28">
        <f t="shared" si="28"/>
        <v>0</v>
      </c>
      <c r="AP133" s="28">
        <f t="shared" si="29"/>
        <v>0</v>
      </c>
      <c r="AQ133" s="28">
        <f t="shared" si="36"/>
        <v>0</v>
      </c>
      <c r="AR133" s="29">
        <f t="shared" si="37"/>
        <v>3.1390378760507237E-2</v>
      </c>
      <c r="AT133" s="12"/>
      <c r="AU133">
        <f t="shared" si="30"/>
        <v>0</v>
      </c>
      <c r="AV133">
        <f t="shared" si="31"/>
        <v>0</v>
      </c>
      <c r="AW133">
        <f t="shared" si="38"/>
        <v>0</v>
      </c>
      <c r="AX133">
        <f t="shared" si="25"/>
        <v>1</v>
      </c>
      <c r="AY133">
        <f t="shared" si="39"/>
        <v>0</v>
      </c>
      <c r="AZ133" s="28">
        <f t="shared" si="32"/>
        <v>0</v>
      </c>
      <c r="BA133" s="28">
        <f t="shared" si="33"/>
        <v>0</v>
      </c>
      <c r="BB133" s="28">
        <f t="shared" si="40"/>
        <v>0</v>
      </c>
      <c r="BC133" s="29">
        <f t="shared" si="41"/>
        <v>3.79293296794476E-2</v>
      </c>
      <c r="BE133" s="29">
        <f t="shared" si="42"/>
        <v>0</v>
      </c>
      <c r="BF133" s="29">
        <f t="shared" si="43"/>
        <v>6.931970843995483E-2</v>
      </c>
      <c r="BH133" s="29"/>
    </row>
    <row r="134" spans="1:60" x14ac:dyDescent="0.25">
      <c r="A134" s="1">
        <v>46218</v>
      </c>
      <c r="B134" s="33">
        <v>83.4</v>
      </c>
      <c r="C134" s="33">
        <v>85.29</v>
      </c>
      <c r="D134" s="15">
        <v>1.44930073025668E-2</v>
      </c>
      <c r="E134" s="15">
        <v>1.8698769659053101E-2</v>
      </c>
      <c r="F134" s="33">
        <v>0</v>
      </c>
      <c r="G134" s="33">
        <v>0</v>
      </c>
      <c r="H134" s="33">
        <v>0</v>
      </c>
      <c r="I134" s="33">
        <v>0</v>
      </c>
      <c r="J134" s="33">
        <v>0</v>
      </c>
      <c r="K134" s="33">
        <v>0</v>
      </c>
      <c r="L134" s="33">
        <v>83.4</v>
      </c>
      <c r="M134" s="33">
        <v>85.29</v>
      </c>
      <c r="N134" s="34">
        <v>1.0226618705035899</v>
      </c>
      <c r="O134" s="34">
        <v>1.03934289630393</v>
      </c>
      <c r="P134" s="34">
        <v>1.02135058833807</v>
      </c>
      <c r="Q134" s="34">
        <v>1.0219932491332699</v>
      </c>
      <c r="R134" s="33">
        <v>86.681197551748198</v>
      </c>
      <c r="S134" s="33">
        <v>85.158984349776404</v>
      </c>
      <c r="T134" s="33">
        <v>85.226048816677903</v>
      </c>
      <c r="U134" s="15">
        <v>1.6179778020986399E-2</v>
      </c>
      <c r="V134" s="15">
        <v>-1.5373007533689201E-3</v>
      </c>
      <c r="W134" s="15">
        <v>-7.5008993891482599E-4</v>
      </c>
      <c r="X134" s="34">
        <v>1.0226618705035899</v>
      </c>
      <c r="Y134" s="34">
        <v>1.03934289630393</v>
      </c>
      <c r="Z134" s="34">
        <v>1.02135058833807</v>
      </c>
      <c r="AA134" s="34">
        <v>1.0219932491332699</v>
      </c>
      <c r="AB134" s="33">
        <v>86.681197551748198</v>
      </c>
      <c r="AC134" s="33">
        <v>85.158984349776404</v>
      </c>
      <c r="AD134" s="33">
        <v>85.226048816677903</v>
      </c>
      <c r="AE134" s="15">
        <v>1.6179778020986399E-2</v>
      </c>
      <c r="AF134" s="15">
        <v>-1.5373007533689201E-3</v>
      </c>
      <c r="AG134" s="15">
        <v>-7.5008993891482599E-4</v>
      </c>
      <c r="AI134" s="12"/>
      <c r="AJ134">
        <f t="shared" si="26"/>
        <v>0</v>
      </c>
      <c r="AK134">
        <f t="shared" si="27"/>
        <v>1</v>
      </c>
      <c r="AL134">
        <f t="shared" si="34"/>
        <v>0</v>
      </c>
      <c r="AM134">
        <f t="shared" si="24"/>
        <v>1</v>
      </c>
      <c r="AN134">
        <f t="shared" si="35"/>
        <v>0</v>
      </c>
      <c r="AO134" s="28">
        <f t="shared" si="28"/>
        <v>0</v>
      </c>
      <c r="AP134" s="28">
        <f t="shared" si="29"/>
        <v>0</v>
      </c>
      <c r="AQ134" s="28">
        <f t="shared" si="36"/>
        <v>0</v>
      </c>
      <c r="AR134" s="29">
        <f t="shared" si="37"/>
        <v>3.1390378760507237E-2</v>
      </c>
      <c r="AT134" s="12"/>
      <c r="AU134">
        <f t="shared" si="30"/>
        <v>0</v>
      </c>
      <c r="AV134">
        <f t="shared" si="31"/>
        <v>1</v>
      </c>
      <c r="AW134">
        <f t="shared" si="38"/>
        <v>0</v>
      </c>
      <c r="AX134">
        <f t="shared" si="25"/>
        <v>1</v>
      </c>
      <c r="AY134">
        <f t="shared" si="39"/>
        <v>0</v>
      </c>
      <c r="AZ134" s="28">
        <f t="shared" si="32"/>
        <v>0</v>
      </c>
      <c r="BA134" s="28">
        <f t="shared" si="33"/>
        <v>0</v>
      </c>
      <c r="BB134" s="28">
        <f t="shared" si="40"/>
        <v>0</v>
      </c>
      <c r="BC134" s="29">
        <f t="shared" si="41"/>
        <v>3.79293296794476E-2</v>
      </c>
      <c r="BE134" s="29">
        <f t="shared" si="42"/>
        <v>0</v>
      </c>
      <c r="BF134" s="29">
        <f t="shared" si="43"/>
        <v>6.931970843995483E-2</v>
      </c>
      <c r="BH134" s="29"/>
    </row>
    <row r="135" spans="1:60" x14ac:dyDescent="0.25">
      <c r="A135" s="1">
        <v>46219</v>
      </c>
      <c r="B135" s="33">
        <v>84.74</v>
      </c>
      <c r="C135" s="33">
        <v>86.4</v>
      </c>
      <c r="D135" s="15">
        <v>1.5939435833712001E-2</v>
      </c>
      <c r="E135" s="15">
        <v>1.29304614789918E-2</v>
      </c>
      <c r="F135" s="33">
        <v>0</v>
      </c>
      <c r="G135" s="33">
        <v>0</v>
      </c>
      <c r="H135" s="33">
        <v>0</v>
      </c>
      <c r="I135" s="33">
        <v>0</v>
      </c>
      <c r="J135" s="33">
        <v>0</v>
      </c>
      <c r="K135" s="33">
        <v>0</v>
      </c>
      <c r="L135" s="33">
        <v>84.74</v>
      </c>
      <c r="M135" s="33">
        <v>86.4</v>
      </c>
      <c r="N135" s="34">
        <v>1.0195893320745799</v>
      </c>
      <c r="O135" s="34">
        <v>1.03934289630393</v>
      </c>
      <c r="P135" s="34">
        <v>1.0209341687703699</v>
      </c>
      <c r="Q135" s="34">
        <v>1.02176349830602</v>
      </c>
      <c r="R135" s="33">
        <v>88.073917032795507</v>
      </c>
      <c r="S135" s="33">
        <v>86.549248855768596</v>
      </c>
      <c r="T135" s="33">
        <v>86.6037079315537</v>
      </c>
      <c r="U135" s="15">
        <v>1.9188752375706601E-2</v>
      </c>
      <c r="V135" s="15">
        <v>1.7259270428164901E-3</v>
      </c>
      <c r="W135" s="15">
        <v>2.3549556033587598E-3</v>
      </c>
      <c r="X135" s="34">
        <v>1.0195893320745799</v>
      </c>
      <c r="Y135" s="34">
        <v>1.03934289630393</v>
      </c>
      <c r="Z135" s="34">
        <v>1.0209341687703699</v>
      </c>
      <c r="AA135" s="34">
        <v>1.02176349830602</v>
      </c>
      <c r="AB135" s="33">
        <v>88.073917032795507</v>
      </c>
      <c r="AC135" s="33">
        <v>86.549248855768596</v>
      </c>
      <c r="AD135" s="33">
        <v>86.6037079315537</v>
      </c>
      <c r="AE135" s="15">
        <v>1.9188752375706601E-2</v>
      </c>
      <c r="AF135" s="15">
        <v>1.7259270428164901E-3</v>
      </c>
      <c r="AG135" s="15">
        <v>2.3549556033587598E-3</v>
      </c>
      <c r="AI135" s="12"/>
      <c r="AJ135">
        <f t="shared" si="26"/>
        <v>0</v>
      </c>
      <c r="AK135">
        <f t="shared" si="27"/>
        <v>1</v>
      </c>
      <c r="AL135">
        <f t="shared" si="34"/>
        <v>0</v>
      </c>
      <c r="AM135">
        <f t="shared" si="24"/>
        <v>1</v>
      </c>
      <c r="AN135">
        <f t="shared" si="35"/>
        <v>0</v>
      </c>
      <c r="AO135" s="28">
        <f t="shared" si="28"/>
        <v>0</v>
      </c>
      <c r="AP135" s="28">
        <f t="shared" si="29"/>
        <v>0</v>
      </c>
      <c r="AQ135" s="28">
        <f t="shared" si="36"/>
        <v>0</v>
      </c>
      <c r="AR135" s="29">
        <f t="shared" si="37"/>
        <v>3.1390378760507237E-2</v>
      </c>
      <c r="AT135" s="12"/>
      <c r="AU135">
        <f t="shared" si="30"/>
        <v>0</v>
      </c>
      <c r="AV135">
        <f t="shared" si="31"/>
        <v>0</v>
      </c>
      <c r="AW135">
        <f t="shared" si="38"/>
        <v>0</v>
      </c>
      <c r="AX135">
        <f t="shared" si="25"/>
        <v>1</v>
      </c>
      <c r="AY135">
        <f t="shared" si="39"/>
        <v>0</v>
      </c>
      <c r="AZ135" s="28">
        <f t="shared" si="32"/>
        <v>0</v>
      </c>
      <c r="BA135" s="28">
        <f t="shared" si="33"/>
        <v>0</v>
      </c>
      <c r="BB135" s="28">
        <f t="shared" si="40"/>
        <v>0</v>
      </c>
      <c r="BC135" s="29">
        <f t="shared" si="41"/>
        <v>3.79293296794476E-2</v>
      </c>
      <c r="BE135" s="29">
        <f t="shared" si="42"/>
        <v>0</v>
      </c>
      <c r="BF135" s="29">
        <f t="shared" si="43"/>
        <v>6.931970843995483E-2</v>
      </c>
      <c r="BH135" s="29"/>
    </row>
    <row r="136" spans="1:60" x14ac:dyDescent="0.25">
      <c r="A136" s="1">
        <v>46220</v>
      </c>
      <c r="B136" s="33">
        <v>82.17</v>
      </c>
      <c r="C136" s="33">
        <v>83.89</v>
      </c>
      <c r="D136" s="15">
        <v>-3.07974732553166E-2</v>
      </c>
      <c r="E136" s="15">
        <v>-2.9481258951806699E-2</v>
      </c>
      <c r="F136" s="33">
        <v>0</v>
      </c>
      <c r="G136" s="33">
        <v>0</v>
      </c>
      <c r="H136" s="33">
        <v>0</v>
      </c>
      <c r="I136" s="33">
        <v>0</v>
      </c>
      <c r="J136" s="33">
        <v>0</v>
      </c>
      <c r="K136" s="33">
        <v>0</v>
      </c>
      <c r="L136" s="33">
        <v>82.17</v>
      </c>
      <c r="M136" s="33">
        <v>83.89</v>
      </c>
      <c r="N136" s="34">
        <v>1.0209322137032899</v>
      </c>
      <c r="O136" s="34">
        <v>1.03934289630393</v>
      </c>
      <c r="P136" s="34">
        <v>1.02077863622856</v>
      </c>
      <c r="Q136" s="34">
        <v>1.0218014974540801</v>
      </c>
      <c r="R136" s="33">
        <v>85.402805789294405</v>
      </c>
      <c r="S136" s="33">
        <v>83.890160647861293</v>
      </c>
      <c r="T136" s="33">
        <v>83.9583066558057</v>
      </c>
      <c r="U136" s="15">
        <v>1.7872538072196801E-2</v>
      </c>
      <c r="V136" s="15">
        <v>1.91498042119309E-6</v>
      </c>
      <c r="W136" s="15">
        <v>8.1390942735725703E-4</v>
      </c>
      <c r="X136" s="34">
        <v>1.0209322137032899</v>
      </c>
      <c r="Y136" s="34">
        <v>1.03934289630393</v>
      </c>
      <c r="Z136" s="34">
        <v>1.02077863622856</v>
      </c>
      <c r="AA136" s="34">
        <v>1.0218014974540801</v>
      </c>
      <c r="AB136" s="33">
        <v>85.402805789294405</v>
      </c>
      <c r="AC136" s="33">
        <v>83.890160647861293</v>
      </c>
      <c r="AD136" s="33">
        <v>83.9583066558057</v>
      </c>
      <c r="AE136" s="15">
        <v>1.7872538072196801E-2</v>
      </c>
      <c r="AF136" s="15">
        <v>1.91498042119309E-6</v>
      </c>
      <c r="AG136" s="15">
        <v>8.1390942735725703E-4</v>
      </c>
      <c r="AI136" s="12"/>
      <c r="AJ136">
        <f t="shared" si="26"/>
        <v>0</v>
      </c>
      <c r="AK136">
        <f t="shared" si="27"/>
        <v>1</v>
      </c>
      <c r="AL136">
        <f t="shared" si="34"/>
        <v>0</v>
      </c>
      <c r="AM136">
        <f t="shared" si="24"/>
        <v>1</v>
      </c>
      <c r="AN136">
        <f t="shared" si="35"/>
        <v>0</v>
      </c>
      <c r="AO136" s="28">
        <f t="shared" si="28"/>
        <v>0</v>
      </c>
      <c r="AP136" s="28">
        <f t="shared" si="29"/>
        <v>0</v>
      </c>
      <c r="AQ136" s="28">
        <f t="shared" si="36"/>
        <v>0</v>
      </c>
      <c r="AR136" s="29">
        <f t="shared" si="37"/>
        <v>3.1390378760507237E-2</v>
      </c>
      <c r="AT136" s="12"/>
      <c r="AU136">
        <f t="shared" si="30"/>
        <v>0</v>
      </c>
      <c r="AV136">
        <f t="shared" si="31"/>
        <v>1</v>
      </c>
      <c r="AW136">
        <f t="shared" si="38"/>
        <v>0</v>
      </c>
      <c r="AX136">
        <f t="shared" si="25"/>
        <v>1</v>
      </c>
      <c r="AY136">
        <f t="shared" si="39"/>
        <v>0</v>
      </c>
      <c r="AZ136" s="28">
        <f t="shared" si="32"/>
        <v>0</v>
      </c>
      <c r="BA136" s="28">
        <f t="shared" si="33"/>
        <v>0</v>
      </c>
      <c r="BB136" s="28">
        <f t="shared" si="40"/>
        <v>0</v>
      </c>
      <c r="BC136" s="29">
        <f t="shared" si="41"/>
        <v>3.79293296794476E-2</v>
      </c>
      <c r="BE136" s="29">
        <f t="shared" si="42"/>
        <v>0</v>
      </c>
      <c r="BF136" s="29">
        <f t="shared" si="43"/>
        <v>6.931970843995483E-2</v>
      </c>
      <c r="BH136" s="29"/>
    </row>
    <row r="137" spans="1:60" x14ac:dyDescent="0.25">
      <c r="A137" s="1">
        <v>46223</v>
      </c>
      <c r="B137" s="33">
        <v>81.349999999999994</v>
      </c>
      <c r="C137" s="33">
        <v>82.9</v>
      </c>
      <c r="D137" s="15">
        <v>-1.0029438278049699E-2</v>
      </c>
      <c r="E137" s="15">
        <v>-1.18713547169539E-2</v>
      </c>
      <c r="F137" s="33">
        <v>0</v>
      </c>
      <c r="G137" s="33">
        <v>0</v>
      </c>
      <c r="H137" s="33">
        <v>0</v>
      </c>
      <c r="I137" s="33">
        <v>0</v>
      </c>
      <c r="J137" s="33">
        <v>0</v>
      </c>
      <c r="K137" s="33">
        <v>0</v>
      </c>
      <c r="L137" s="33">
        <v>81.349999999999994</v>
      </c>
      <c r="M137" s="33">
        <v>82.9</v>
      </c>
      <c r="N137" s="34">
        <v>1.0190534726490399</v>
      </c>
      <c r="O137" s="34">
        <v>1.03934289630393</v>
      </c>
      <c r="P137" s="34">
        <v>1.02067048256237</v>
      </c>
      <c r="Q137" s="34">
        <v>1.0214447017361199</v>
      </c>
      <c r="R137" s="33">
        <v>84.550544614325204</v>
      </c>
      <c r="S137" s="33">
        <v>83.040342057193598</v>
      </c>
      <c r="T137" s="33">
        <v>83.123551817889805</v>
      </c>
      <c r="U137" s="15">
        <v>1.97144545111009E-2</v>
      </c>
      <c r="V137" s="15">
        <v>1.6914764537037301E-3</v>
      </c>
      <c r="W137" s="15">
        <v>2.6930149433374798E-3</v>
      </c>
      <c r="X137" s="34">
        <v>1.0190534726490399</v>
      </c>
      <c r="Y137" s="34">
        <v>1.03934289630393</v>
      </c>
      <c r="Z137" s="34">
        <v>1.02067048256237</v>
      </c>
      <c r="AA137" s="34">
        <v>1.0214447017361199</v>
      </c>
      <c r="AB137" s="33">
        <v>84.550544614325204</v>
      </c>
      <c r="AC137" s="33">
        <v>83.040342057193598</v>
      </c>
      <c r="AD137" s="33">
        <v>83.123551817889805</v>
      </c>
      <c r="AE137" s="15">
        <v>1.97144545111009E-2</v>
      </c>
      <c r="AF137" s="15">
        <v>1.6914764537037301E-3</v>
      </c>
      <c r="AG137" s="15">
        <v>2.6930149433374798E-3</v>
      </c>
      <c r="AI137" s="12"/>
      <c r="AJ137">
        <f t="shared" si="26"/>
        <v>0</v>
      </c>
      <c r="AK137">
        <f t="shared" si="27"/>
        <v>1</v>
      </c>
      <c r="AL137">
        <f t="shared" si="34"/>
        <v>0</v>
      </c>
      <c r="AM137">
        <f t="shared" si="24"/>
        <v>1</v>
      </c>
      <c r="AN137">
        <f t="shared" si="35"/>
        <v>0</v>
      </c>
      <c r="AO137" s="28">
        <f t="shared" si="28"/>
        <v>0</v>
      </c>
      <c r="AP137" s="28">
        <f t="shared" si="29"/>
        <v>0</v>
      </c>
      <c r="AQ137" s="28">
        <f t="shared" si="36"/>
        <v>0</v>
      </c>
      <c r="AR137" s="29">
        <f t="shared" si="37"/>
        <v>3.1390378760507237E-2</v>
      </c>
      <c r="AT137" s="12"/>
      <c r="AU137">
        <f t="shared" si="30"/>
        <v>0</v>
      </c>
      <c r="AV137">
        <f t="shared" si="31"/>
        <v>0</v>
      </c>
      <c r="AW137">
        <f t="shared" si="38"/>
        <v>0</v>
      </c>
      <c r="AX137">
        <f t="shared" si="25"/>
        <v>1</v>
      </c>
      <c r="AY137">
        <f t="shared" si="39"/>
        <v>0</v>
      </c>
      <c r="AZ137" s="28">
        <f t="shared" si="32"/>
        <v>0</v>
      </c>
      <c r="BA137" s="28">
        <f t="shared" si="33"/>
        <v>0</v>
      </c>
      <c r="BB137" s="28">
        <f t="shared" si="40"/>
        <v>0</v>
      </c>
      <c r="BC137" s="29">
        <f t="shared" si="41"/>
        <v>3.79293296794476E-2</v>
      </c>
      <c r="BE137" s="29">
        <f t="shared" si="42"/>
        <v>0</v>
      </c>
      <c r="BF137" s="29">
        <f t="shared" si="43"/>
        <v>6.931970843995483E-2</v>
      </c>
      <c r="BH137" s="29"/>
    </row>
    <row r="138" spans="1:60" x14ac:dyDescent="0.25">
      <c r="A138" s="1">
        <v>46224</v>
      </c>
      <c r="B138" s="33">
        <v>80.41</v>
      </c>
      <c r="C138" s="33">
        <v>81.84</v>
      </c>
      <c r="D138" s="15">
        <v>-1.1622287104989E-2</v>
      </c>
      <c r="E138" s="15">
        <v>-1.2868940497878199E-2</v>
      </c>
      <c r="F138" s="33">
        <v>0</v>
      </c>
      <c r="G138" s="33">
        <v>0</v>
      </c>
      <c r="H138" s="33">
        <v>0</v>
      </c>
      <c r="I138" s="33">
        <v>0</v>
      </c>
      <c r="J138" s="33">
        <v>0</v>
      </c>
      <c r="K138" s="33">
        <v>0</v>
      </c>
      <c r="L138" s="33">
        <v>80.41</v>
      </c>
      <c r="M138" s="33">
        <v>81.84</v>
      </c>
      <c r="N138" s="34">
        <v>1.01778385772913</v>
      </c>
      <c r="O138" s="34">
        <v>1.03934289630393</v>
      </c>
      <c r="P138" s="34">
        <v>1.0204258149360801</v>
      </c>
      <c r="Q138" s="34">
        <v>1.02103740277698</v>
      </c>
      <c r="R138" s="33">
        <v>83.573562291799504</v>
      </c>
      <c r="S138" s="33">
        <v>82.072113502840097</v>
      </c>
      <c r="T138" s="33">
        <v>82.134368466601899</v>
      </c>
      <c r="U138" s="15">
        <v>2.0961107903990101E-2</v>
      </c>
      <c r="V138" s="15">
        <v>2.83217210774994E-3</v>
      </c>
      <c r="W138" s="15">
        <v>3.5904243520928701E-3</v>
      </c>
      <c r="X138" s="34">
        <v>1.01778385772913</v>
      </c>
      <c r="Y138" s="34">
        <v>1.03934289630393</v>
      </c>
      <c r="Z138" s="34">
        <v>1.0204258149360801</v>
      </c>
      <c r="AA138" s="34">
        <v>1.02103740277698</v>
      </c>
      <c r="AB138" s="33">
        <v>83.573562291799504</v>
      </c>
      <c r="AC138" s="33">
        <v>82.072113502840097</v>
      </c>
      <c r="AD138" s="33">
        <v>82.134368466601899</v>
      </c>
      <c r="AE138" s="15">
        <v>2.0961107903990101E-2</v>
      </c>
      <c r="AF138" s="15">
        <v>2.83217210774994E-3</v>
      </c>
      <c r="AG138" s="15">
        <v>3.5904243520928701E-3</v>
      </c>
      <c r="AI138" s="12"/>
      <c r="AJ138">
        <f t="shared" si="26"/>
        <v>0</v>
      </c>
      <c r="AK138">
        <f t="shared" si="27"/>
        <v>1</v>
      </c>
      <c r="AL138">
        <f t="shared" si="34"/>
        <v>0</v>
      </c>
      <c r="AM138">
        <f t="shared" si="24"/>
        <v>1</v>
      </c>
      <c r="AN138">
        <f t="shared" si="35"/>
        <v>0</v>
      </c>
      <c r="AO138" s="28">
        <f t="shared" si="28"/>
        <v>0</v>
      </c>
      <c r="AP138" s="28">
        <f t="shared" si="29"/>
        <v>0</v>
      </c>
      <c r="AQ138" s="28">
        <f t="shared" si="36"/>
        <v>0</v>
      </c>
      <c r="AR138" s="29">
        <f t="shared" si="37"/>
        <v>3.1390378760507237E-2</v>
      </c>
      <c r="AT138" s="12"/>
      <c r="AU138">
        <f t="shared" si="30"/>
        <v>0</v>
      </c>
      <c r="AV138">
        <f t="shared" si="31"/>
        <v>0</v>
      </c>
      <c r="AW138">
        <f t="shared" si="38"/>
        <v>0</v>
      </c>
      <c r="AX138">
        <f t="shared" si="25"/>
        <v>1</v>
      </c>
      <c r="AY138">
        <f t="shared" si="39"/>
        <v>0</v>
      </c>
      <c r="AZ138" s="28">
        <f t="shared" si="32"/>
        <v>0</v>
      </c>
      <c r="BA138" s="28">
        <f t="shared" si="33"/>
        <v>0</v>
      </c>
      <c r="BB138" s="28">
        <f t="shared" si="40"/>
        <v>0</v>
      </c>
      <c r="BC138" s="29">
        <f t="shared" si="41"/>
        <v>3.79293296794476E-2</v>
      </c>
      <c r="BE138" s="29">
        <f t="shared" si="42"/>
        <v>0</v>
      </c>
      <c r="BF138" s="29">
        <f t="shared" si="43"/>
        <v>6.931970843995483E-2</v>
      </c>
      <c r="BH138" s="29"/>
    </row>
    <row r="139" spans="1:60" x14ac:dyDescent="0.25">
      <c r="A139" s="1">
        <v>46225</v>
      </c>
      <c r="B139" s="33">
        <v>80.569999999999993</v>
      </c>
      <c r="C139" s="33">
        <v>82.15</v>
      </c>
      <c r="D139" s="15">
        <v>1.9878252290467802E-3</v>
      </c>
      <c r="E139" s="15">
        <v>3.7807228399061501E-3</v>
      </c>
      <c r="F139" s="33">
        <v>0</v>
      </c>
      <c r="G139" s="33">
        <v>0</v>
      </c>
      <c r="H139" s="33">
        <v>0</v>
      </c>
      <c r="I139" s="33">
        <v>0</v>
      </c>
      <c r="J139" s="33">
        <v>0</v>
      </c>
      <c r="K139" s="33">
        <v>0</v>
      </c>
      <c r="L139" s="33">
        <v>80.569999999999993</v>
      </c>
      <c r="M139" s="33">
        <v>82.15</v>
      </c>
      <c r="N139" s="34">
        <v>1.01961027677795</v>
      </c>
      <c r="O139" s="34">
        <v>1.03934289630393</v>
      </c>
      <c r="P139" s="34">
        <v>1.0199481171236799</v>
      </c>
      <c r="Q139" s="34">
        <v>1.02065369222449</v>
      </c>
      <c r="R139" s="33">
        <v>83.739857155208099</v>
      </c>
      <c r="S139" s="33">
        <v>82.215707909400194</v>
      </c>
      <c r="T139" s="33">
        <v>82.264983541741898</v>
      </c>
      <c r="U139" s="15">
        <v>1.9168210293130799E-2</v>
      </c>
      <c r="V139" s="15">
        <v>7.9953311108917101E-4</v>
      </c>
      <c r="W139" s="15">
        <v>1.3986992914006399E-3</v>
      </c>
      <c r="X139" s="34">
        <v>1.01961027677795</v>
      </c>
      <c r="Y139" s="34">
        <v>1.03934289630393</v>
      </c>
      <c r="Z139" s="34">
        <v>1.0199481171236799</v>
      </c>
      <c r="AA139" s="34">
        <v>1.02065369222449</v>
      </c>
      <c r="AB139" s="33">
        <v>83.739857155208099</v>
      </c>
      <c r="AC139" s="33">
        <v>82.215707909400194</v>
      </c>
      <c r="AD139" s="33">
        <v>82.264983541741898</v>
      </c>
      <c r="AE139" s="15">
        <v>1.9168210293130799E-2</v>
      </c>
      <c r="AF139" s="15">
        <v>7.9953311108917101E-4</v>
      </c>
      <c r="AG139" s="15">
        <v>1.3986992914006399E-3</v>
      </c>
      <c r="AI139" s="12"/>
      <c r="AJ139">
        <f t="shared" si="26"/>
        <v>0</v>
      </c>
      <c r="AK139">
        <f t="shared" si="27"/>
        <v>1</v>
      </c>
      <c r="AL139">
        <f t="shared" si="34"/>
        <v>0</v>
      </c>
      <c r="AM139">
        <f t="shared" si="24"/>
        <v>1</v>
      </c>
      <c r="AN139">
        <f t="shared" si="35"/>
        <v>0</v>
      </c>
      <c r="AO139" s="28">
        <f t="shared" si="28"/>
        <v>0</v>
      </c>
      <c r="AP139" s="28">
        <f t="shared" si="29"/>
        <v>0</v>
      </c>
      <c r="AQ139" s="28">
        <f t="shared" si="36"/>
        <v>0</v>
      </c>
      <c r="AR139" s="29">
        <f t="shared" si="37"/>
        <v>3.1390378760507237E-2</v>
      </c>
      <c r="AT139" s="12"/>
      <c r="AU139">
        <f t="shared" si="30"/>
        <v>0</v>
      </c>
      <c r="AV139">
        <f t="shared" si="31"/>
        <v>1</v>
      </c>
      <c r="AW139">
        <f t="shared" si="38"/>
        <v>0</v>
      </c>
      <c r="AX139">
        <f t="shared" si="25"/>
        <v>1</v>
      </c>
      <c r="AY139">
        <f t="shared" si="39"/>
        <v>0</v>
      </c>
      <c r="AZ139" s="28">
        <f t="shared" si="32"/>
        <v>0</v>
      </c>
      <c r="BA139" s="28">
        <f t="shared" si="33"/>
        <v>0</v>
      </c>
      <c r="BB139" s="28">
        <f t="shared" si="40"/>
        <v>0</v>
      </c>
      <c r="BC139" s="29">
        <f t="shared" si="41"/>
        <v>3.79293296794476E-2</v>
      </c>
      <c r="BE139" s="29">
        <f t="shared" si="42"/>
        <v>0</v>
      </c>
      <c r="BF139" s="29">
        <f t="shared" si="43"/>
        <v>6.931970843995483E-2</v>
      </c>
      <c r="BH139" s="29"/>
    </row>
    <row r="140" spans="1:60" x14ac:dyDescent="0.25">
      <c r="A140" s="1">
        <v>46226</v>
      </c>
      <c r="B140" s="33">
        <v>80.72</v>
      </c>
      <c r="C140" s="33">
        <v>82.13</v>
      </c>
      <c r="D140" s="15">
        <v>1.86000425624904E-3</v>
      </c>
      <c r="E140" s="15">
        <v>-2.4348673117624E-4</v>
      </c>
      <c r="F140" s="33">
        <v>0</v>
      </c>
      <c r="G140" s="33">
        <v>0</v>
      </c>
      <c r="H140" s="33">
        <v>0</v>
      </c>
      <c r="I140" s="33">
        <v>0</v>
      </c>
      <c r="J140" s="33">
        <v>0</v>
      </c>
      <c r="K140" s="33">
        <v>0</v>
      </c>
      <c r="L140" s="33">
        <v>80.72</v>
      </c>
      <c r="M140" s="33">
        <v>82.13</v>
      </c>
      <c r="N140" s="34">
        <v>1.0174677898909801</v>
      </c>
      <c r="O140" s="34">
        <v>1.03934289630393</v>
      </c>
      <c r="P140" s="34">
        <v>1.0196627199908499</v>
      </c>
      <c r="Q140" s="34">
        <v>1.02055088340819</v>
      </c>
      <c r="R140" s="33">
        <v>83.895758589653695</v>
      </c>
      <c r="S140" s="33">
        <v>82.330212014223704</v>
      </c>
      <c r="T140" s="33">
        <v>82.387166036361194</v>
      </c>
      <c r="U140" s="15">
        <v>2.1271701280555999E-2</v>
      </c>
      <c r="V140" s="15">
        <v>2.4347787307193699E-3</v>
      </c>
      <c r="W140" s="15">
        <v>3.1263150468181602E-3</v>
      </c>
      <c r="X140" s="34">
        <v>1.0174677898909801</v>
      </c>
      <c r="Y140" s="34">
        <v>1.03934289630393</v>
      </c>
      <c r="Z140" s="34">
        <v>1.0196627199908499</v>
      </c>
      <c r="AA140" s="34">
        <v>1.02055088340819</v>
      </c>
      <c r="AB140" s="33">
        <v>83.895758589653695</v>
      </c>
      <c r="AC140" s="33">
        <v>82.330212014223704</v>
      </c>
      <c r="AD140" s="33">
        <v>82.387166036361194</v>
      </c>
      <c r="AE140" s="15">
        <v>2.1271701280555999E-2</v>
      </c>
      <c r="AF140" s="15">
        <v>2.4347787307193699E-3</v>
      </c>
      <c r="AG140" s="15">
        <v>3.1263150468181602E-3</v>
      </c>
      <c r="AI140" s="12"/>
      <c r="AJ140">
        <f t="shared" si="26"/>
        <v>0</v>
      </c>
      <c r="AK140">
        <f t="shared" si="27"/>
        <v>1</v>
      </c>
      <c r="AL140">
        <f t="shared" si="34"/>
        <v>0</v>
      </c>
      <c r="AM140">
        <f t="shared" si="24"/>
        <v>1</v>
      </c>
      <c r="AN140">
        <f t="shared" si="35"/>
        <v>0</v>
      </c>
      <c r="AO140" s="28">
        <f t="shared" si="28"/>
        <v>0</v>
      </c>
      <c r="AP140" s="28">
        <f t="shared" si="29"/>
        <v>0</v>
      </c>
      <c r="AQ140" s="28">
        <f t="shared" si="36"/>
        <v>0</v>
      </c>
      <c r="AR140" s="29">
        <f t="shared" si="37"/>
        <v>3.1390378760507237E-2</v>
      </c>
      <c r="AT140" s="12"/>
      <c r="AU140">
        <f t="shared" si="30"/>
        <v>0</v>
      </c>
      <c r="AV140">
        <f t="shared" si="31"/>
        <v>0</v>
      </c>
      <c r="AW140">
        <f t="shared" si="38"/>
        <v>0</v>
      </c>
      <c r="AX140">
        <f t="shared" si="25"/>
        <v>1</v>
      </c>
      <c r="AY140">
        <f t="shared" si="39"/>
        <v>0</v>
      </c>
      <c r="AZ140" s="28">
        <f t="shared" si="32"/>
        <v>0</v>
      </c>
      <c r="BA140" s="28">
        <f t="shared" si="33"/>
        <v>0</v>
      </c>
      <c r="BB140" s="28">
        <f t="shared" si="40"/>
        <v>0</v>
      </c>
      <c r="BC140" s="29">
        <f t="shared" si="41"/>
        <v>3.79293296794476E-2</v>
      </c>
      <c r="BE140" s="29">
        <f t="shared" si="42"/>
        <v>0</v>
      </c>
      <c r="BF140" s="29">
        <f t="shared" si="43"/>
        <v>6.931970843995483E-2</v>
      </c>
      <c r="BH140" s="29"/>
    </row>
    <row r="141" spans="1:60" x14ac:dyDescent="0.25">
      <c r="A141" s="1">
        <v>46227</v>
      </c>
      <c r="B141" s="33">
        <v>82.92</v>
      </c>
      <c r="C141" s="33">
        <v>84.64</v>
      </c>
      <c r="D141" s="15">
        <v>2.68899115222252E-2</v>
      </c>
      <c r="E141" s="15">
        <v>3.0103610357888399E-2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82.92</v>
      </c>
      <c r="M141" s="33">
        <v>84.64</v>
      </c>
      <c r="N141" s="34">
        <v>1.0207428847081499</v>
      </c>
      <c r="O141" s="34">
        <v>1.03934289630393</v>
      </c>
      <c r="P141" s="34">
        <v>1.0196534227560301</v>
      </c>
      <c r="Q141" s="34">
        <v>1.02042143366192</v>
      </c>
      <c r="R141" s="33">
        <v>86.1823129615223</v>
      </c>
      <c r="S141" s="33">
        <v>84.550432741641302</v>
      </c>
      <c r="T141" s="33">
        <v>84.624079252207594</v>
      </c>
      <c r="U141" s="15">
        <v>1.8058002444893102E-2</v>
      </c>
      <c r="V141" s="15">
        <v>-1.0587746041471899E-3</v>
      </c>
      <c r="W141" s="15">
        <v>-1.8811726515891901E-4</v>
      </c>
      <c r="X141" s="34">
        <v>1.0207428847081499</v>
      </c>
      <c r="Y141" s="34">
        <v>1.03934289630393</v>
      </c>
      <c r="Z141" s="34">
        <v>1.0196534227560301</v>
      </c>
      <c r="AA141" s="34">
        <v>1.02042143366192</v>
      </c>
      <c r="AB141" s="33">
        <v>86.1823129615223</v>
      </c>
      <c r="AC141" s="33">
        <v>84.550432741641302</v>
      </c>
      <c r="AD141" s="33">
        <v>84.624079252207594</v>
      </c>
      <c r="AE141" s="15">
        <v>1.8058002444893102E-2</v>
      </c>
      <c r="AF141" s="15">
        <v>-1.0587746041471899E-3</v>
      </c>
      <c r="AG141" s="15">
        <v>-1.8811726515891901E-4</v>
      </c>
      <c r="AI141" s="12"/>
      <c r="AJ141">
        <f t="shared" si="26"/>
        <v>0</v>
      </c>
      <c r="AK141">
        <f t="shared" si="27"/>
        <v>1</v>
      </c>
      <c r="AL141">
        <f t="shared" si="34"/>
        <v>0</v>
      </c>
      <c r="AM141">
        <f t="shared" si="24"/>
        <v>1</v>
      </c>
      <c r="AN141">
        <f t="shared" si="35"/>
        <v>0</v>
      </c>
      <c r="AO141" s="28">
        <f t="shared" si="28"/>
        <v>0</v>
      </c>
      <c r="AP141" s="28">
        <f t="shared" si="29"/>
        <v>0</v>
      </c>
      <c r="AQ141" s="28">
        <f t="shared" si="36"/>
        <v>0</v>
      </c>
      <c r="AR141" s="29">
        <f t="shared" si="37"/>
        <v>3.1390378760507237E-2</v>
      </c>
      <c r="AT141" s="12"/>
      <c r="AU141">
        <f t="shared" si="30"/>
        <v>0</v>
      </c>
      <c r="AV141">
        <f t="shared" si="31"/>
        <v>1</v>
      </c>
      <c r="AW141">
        <f t="shared" si="38"/>
        <v>0</v>
      </c>
      <c r="AX141">
        <f t="shared" si="25"/>
        <v>1</v>
      </c>
      <c r="AY141">
        <f t="shared" si="39"/>
        <v>0</v>
      </c>
      <c r="AZ141" s="28">
        <f t="shared" si="32"/>
        <v>0</v>
      </c>
      <c r="BA141" s="28">
        <f t="shared" si="33"/>
        <v>0</v>
      </c>
      <c r="BB141" s="28">
        <f t="shared" si="40"/>
        <v>0</v>
      </c>
      <c r="BC141" s="29">
        <f t="shared" si="41"/>
        <v>3.79293296794476E-2</v>
      </c>
      <c r="BE141" s="29">
        <f t="shared" si="42"/>
        <v>0</v>
      </c>
      <c r="BF141" s="29">
        <f t="shared" si="43"/>
        <v>6.931970843995483E-2</v>
      </c>
      <c r="BH141" s="29"/>
    </row>
    <row r="142" spans="1:60" x14ac:dyDescent="0.25">
      <c r="A142" s="1">
        <v>46230</v>
      </c>
      <c r="B142" s="33">
        <v>83.3</v>
      </c>
      <c r="C142" s="33">
        <v>85.04</v>
      </c>
      <c r="D142" s="15">
        <v>4.5722616052181596E-3</v>
      </c>
      <c r="E142" s="15">
        <v>4.7147659237033899E-3</v>
      </c>
      <c r="F142" s="33">
        <v>0</v>
      </c>
      <c r="G142" s="33">
        <v>0</v>
      </c>
      <c r="H142" s="33">
        <v>0</v>
      </c>
      <c r="I142" s="33">
        <v>0</v>
      </c>
      <c r="J142" s="33">
        <v>0</v>
      </c>
      <c r="K142" s="33">
        <v>0</v>
      </c>
      <c r="L142" s="33">
        <v>83.3</v>
      </c>
      <c r="M142" s="33">
        <v>85.04</v>
      </c>
      <c r="N142" s="34">
        <v>1.02088835534213</v>
      </c>
      <c r="O142" s="34">
        <v>1.03934289630393</v>
      </c>
      <c r="P142" s="34">
        <v>1.0197099883062499</v>
      </c>
      <c r="Q142" s="34">
        <v>1.02058445861074</v>
      </c>
      <c r="R142" s="33">
        <v>86.577263262117796</v>
      </c>
      <c r="S142" s="33">
        <v>84.937130115577503</v>
      </c>
      <c r="T142" s="33">
        <v>85.001105424038002</v>
      </c>
      <c r="U142" s="15">
        <v>1.79154981264079E-2</v>
      </c>
      <c r="V142" s="15">
        <v>-1.21039691529937E-3</v>
      </c>
      <c r="W142" s="15">
        <v>-4.5747263925786301E-4</v>
      </c>
      <c r="X142" s="34">
        <v>1.02088835534213</v>
      </c>
      <c r="Y142" s="34">
        <v>1.03934289630393</v>
      </c>
      <c r="Z142" s="34">
        <v>1.0197099883062499</v>
      </c>
      <c r="AA142" s="34">
        <v>1.02058445861074</v>
      </c>
      <c r="AB142" s="33">
        <v>86.577263262117796</v>
      </c>
      <c r="AC142" s="33">
        <v>84.937130115577503</v>
      </c>
      <c r="AD142" s="33">
        <v>85.001105424038002</v>
      </c>
      <c r="AE142" s="15">
        <v>1.79154981264079E-2</v>
      </c>
      <c r="AF142" s="15">
        <v>-1.21039691529937E-3</v>
      </c>
      <c r="AG142" s="15">
        <v>-4.5747263925786301E-4</v>
      </c>
      <c r="AI142" s="12"/>
      <c r="AJ142">
        <f t="shared" si="26"/>
        <v>0</v>
      </c>
      <c r="AK142">
        <f t="shared" si="27"/>
        <v>1</v>
      </c>
      <c r="AL142">
        <f t="shared" si="34"/>
        <v>0</v>
      </c>
      <c r="AM142">
        <f t="shared" si="24"/>
        <v>1</v>
      </c>
      <c r="AN142">
        <f t="shared" si="35"/>
        <v>0</v>
      </c>
      <c r="AO142" s="28">
        <f t="shared" si="28"/>
        <v>0</v>
      </c>
      <c r="AP142" s="28">
        <f t="shared" si="29"/>
        <v>0</v>
      </c>
      <c r="AQ142" s="28">
        <f t="shared" si="36"/>
        <v>0</v>
      </c>
      <c r="AR142" s="29">
        <f t="shared" si="37"/>
        <v>3.1390378760507237E-2</v>
      </c>
      <c r="AT142" s="12"/>
      <c r="AU142">
        <f t="shared" si="30"/>
        <v>0</v>
      </c>
      <c r="AV142">
        <f t="shared" si="31"/>
        <v>1</v>
      </c>
      <c r="AW142">
        <f t="shared" si="38"/>
        <v>0</v>
      </c>
      <c r="AX142">
        <f t="shared" si="25"/>
        <v>1</v>
      </c>
      <c r="AY142">
        <f t="shared" si="39"/>
        <v>0</v>
      </c>
      <c r="AZ142" s="28">
        <f t="shared" si="32"/>
        <v>0</v>
      </c>
      <c r="BA142" s="28">
        <f t="shared" si="33"/>
        <v>0</v>
      </c>
      <c r="BB142" s="28">
        <f t="shared" si="40"/>
        <v>0</v>
      </c>
      <c r="BC142" s="29">
        <f t="shared" si="41"/>
        <v>3.79293296794476E-2</v>
      </c>
      <c r="BE142" s="29">
        <f t="shared" si="42"/>
        <v>0</v>
      </c>
      <c r="BF142" s="29">
        <f t="shared" si="43"/>
        <v>6.931970843995483E-2</v>
      </c>
      <c r="BH142" s="29"/>
    </row>
    <row r="143" spans="1:60" x14ac:dyDescent="0.25">
      <c r="A143" s="1">
        <v>46231</v>
      </c>
      <c r="B143" s="33">
        <v>86.12</v>
      </c>
      <c r="C143" s="33">
        <v>87.65</v>
      </c>
      <c r="D143" s="15">
        <v>3.3293123323365398E-2</v>
      </c>
      <c r="E143" s="15">
        <v>3.0229877333550901E-2</v>
      </c>
      <c r="F143" s="33">
        <v>0</v>
      </c>
      <c r="G143" s="33">
        <v>0</v>
      </c>
      <c r="H143" s="33">
        <v>0</v>
      </c>
      <c r="I143" s="33">
        <v>0</v>
      </c>
      <c r="J143" s="33">
        <v>0</v>
      </c>
      <c r="K143" s="33">
        <v>0</v>
      </c>
      <c r="L143" s="33">
        <v>86.12</v>
      </c>
      <c r="M143" s="33">
        <v>87.65</v>
      </c>
      <c r="N143" s="34">
        <v>1.0177659080352901</v>
      </c>
      <c r="O143" s="34">
        <v>1.03934289630393</v>
      </c>
      <c r="P143" s="34">
        <v>1.01964959614141</v>
      </c>
      <c r="Q143" s="34">
        <v>1.02037026779358</v>
      </c>
      <c r="R143" s="33">
        <v>89.508210229694896</v>
      </c>
      <c r="S143" s="33">
        <v>87.817424192934993</v>
      </c>
      <c r="T143" s="33">
        <v>87.8927335755575</v>
      </c>
      <c r="U143" s="15">
        <v>2.0978744116222098E-2</v>
      </c>
      <c r="V143" s="15">
        <v>1.9083228070858099E-3</v>
      </c>
      <c r="W143" s="15">
        <v>2.7655229620494799E-3</v>
      </c>
      <c r="X143" s="34">
        <v>1.0177659080352901</v>
      </c>
      <c r="Y143" s="34">
        <v>1.03934289630393</v>
      </c>
      <c r="Z143" s="34">
        <v>1.01964959614141</v>
      </c>
      <c r="AA143" s="34">
        <v>1.02037026779358</v>
      </c>
      <c r="AB143" s="33">
        <v>89.508210229694896</v>
      </c>
      <c r="AC143" s="33">
        <v>87.817424192934993</v>
      </c>
      <c r="AD143" s="33">
        <v>87.8927335755575</v>
      </c>
      <c r="AE143" s="15">
        <v>2.0978744116222098E-2</v>
      </c>
      <c r="AF143" s="15">
        <v>1.9083228070858099E-3</v>
      </c>
      <c r="AG143" s="15">
        <v>2.7655229620494799E-3</v>
      </c>
      <c r="AI143" s="12"/>
      <c r="AJ143">
        <f t="shared" si="26"/>
        <v>0</v>
      </c>
      <c r="AK143">
        <f t="shared" si="27"/>
        <v>1</v>
      </c>
      <c r="AL143">
        <f t="shared" si="34"/>
        <v>0</v>
      </c>
      <c r="AM143">
        <f t="shared" si="24"/>
        <v>1</v>
      </c>
      <c r="AN143">
        <f t="shared" si="35"/>
        <v>0</v>
      </c>
      <c r="AO143" s="28">
        <f t="shared" si="28"/>
        <v>0</v>
      </c>
      <c r="AP143" s="28">
        <f t="shared" si="29"/>
        <v>0</v>
      </c>
      <c r="AQ143" s="28">
        <f t="shared" si="36"/>
        <v>0</v>
      </c>
      <c r="AR143" s="29">
        <f t="shared" si="37"/>
        <v>3.1390378760507237E-2</v>
      </c>
      <c r="AT143" s="12"/>
      <c r="AU143">
        <f t="shared" si="30"/>
        <v>0</v>
      </c>
      <c r="AV143">
        <f t="shared" si="31"/>
        <v>0</v>
      </c>
      <c r="AW143">
        <f t="shared" si="38"/>
        <v>0</v>
      </c>
      <c r="AX143">
        <f t="shared" si="25"/>
        <v>1</v>
      </c>
      <c r="AY143">
        <f t="shared" si="39"/>
        <v>0</v>
      </c>
      <c r="AZ143" s="28">
        <f t="shared" si="32"/>
        <v>0</v>
      </c>
      <c r="BA143" s="28">
        <f t="shared" si="33"/>
        <v>0</v>
      </c>
      <c r="BB143" s="28">
        <f t="shared" si="40"/>
        <v>0</v>
      </c>
      <c r="BC143" s="29">
        <f t="shared" si="41"/>
        <v>3.79293296794476E-2</v>
      </c>
      <c r="BE143" s="29">
        <f t="shared" si="42"/>
        <v>0</v>
      </c>
      <c r="BF143" s="29">
        <f t="shared" si="43"/>
        <v>6.931970843995483E-2</v>
      </c>
      <c r="BH143" s="29"/>
    </row>
    <row r="144" spans="1:60" x14ac:dyDescent="0.25">
      <c r="A144" s="1">
        <v>46232</v>
      </c>
      <c r="B144" s="33">
        <v>82.49</v>
      </c>
      <c r="C144" s="33">
        <v>84.56</v>
      </c>
      <c r="D144" s="15">
        <v>-4.3064598623522E-2</v>
      </c>
      <c r="E144" s="15">
        <v>-3.5890269805261298E-2</v>
      </c>
      <c r="F144" s="33">
        <v>0</v>
      </c>
      <c r="G144" s="33">
        <v>0</v>
      </c>
      <c r="H144" s="33">
        <v>0</v>
      </c>
      <c r="I144" s="33">
        <v>0</v>
      </c>
      <c r="J144" s="33">
        <v>0</v>
      </c>
      <c r="K144" s="33">
        <v>0</v>
      </c>
      <c r="L144" s="33">
        <v>82.49</v>
      </c>
      <c r="M144" s="33">
        <v>84.56</v>
      </c>
      <c r="N144" s="34">
        <v>1.0250939507819099</v>
      </c>
      <c r="O144" s="34">
        <v>1.03934289630393</v>
      </c>
      <c r="P144" s="34">
        <v>1.0198928041692501</v>
      </c>
      <c r="Q144" s="34">
        <v>1.0206216962536601</v>
      </c>
      <c r="R144" s="33">
        <v>85.735395516111694</v>
      </c>
      <c r="S144" s="33">
        <v>84.110895185705601</v>
      </c>
      <c r="T144" s="33">
        <v>84.170343390293198</v>
      </c>
      <c r="U144" s="15">
        <v>1.38044152979616E-2</v>
      </c>
      <c r="V144" s="15">
        <v>-5.3252326088949501E-3</v>
      </c>
      <c r="W144" s="15">
        <v>-4.6186986237209101E-3</v>
      </c>
      <c r="X144" s="34">
        <v>1.0250939507819099</v>
      </c>
      <c r="Y144" s="34">
        <v>1.03934289630393</v>
      </c>
      <c r="Z144" s="34">
        <v>1.0198928041692501</v>
      </c>
      <c r="AA144" s="34">
        <v>1.0206216962536601</v>
      </c>
      <c r="AB144" s="33">
        <v>85.735395516111694</v>
      </c>
      <c r="AC144" s="33">
        <v>84.110895185705601</v>
      </c>
      <c r="AD144" s="33">
        <v>84.170343390293198</v>
      </c>
      <c r="AE144" s="15">
        <v>1.38044152979616E-2</v>
      </c>
      <c r="AF144" s="15">
        <v>-5.3252326088949501E-3</v>
      </c>
      <c r="AG144" s="15">
        <v>-4.6186986237209101E-3</v>
      </c>
      <c r="AI144" s="12"/>
      <c r="AJ144">
        <f t="shared" si="26"/>
        <v>1</v>
      </c>
      <c r="AK144">
        <f t="shared" si="27"/>
        <v>0</v>
      </c>
      <c r="AL144">
        <f t="shared" si="34"/>
        <v>0</v>
      </c>
      <c r="AM144">
        <f t="shared" si="24"/>
        <v>1</v>
      </c>
      <c r="AN144">
        <f t="shared" si="35"/>
        <v>0</v>
      </c>
      <c r="AO144" s="28">
        <f t="shared" si="28"/>
        <v>0</v>
      </c>
      <c r="AP144" s="28">
        <f t="shared" si="29"/>
        <v>0</v>
      </c>
      <c r="AQ144" s="28">
        <f t="shared" si="36"/>
        <v>0</v>
      </c>
      <c r="AR144" s="29">
        <f t="shared" si="37"/>
        <v>3.1390378760507237E-2</v>
      </c>
      <c r="AT144" s="12"/>
      <c r="AU144">
        <f t="shared" si="30"/>
        <v>0</v>
      </c>
      <c r="AV144">
        <f t="shared" si="31"/>
        <v>1</v>
      </c>
      <c r="AW144">
        <f t="shared" si="38"/>
        <v>0</v>
      </c>
      <c r="AX144">
        <f t="shared" si="25"/>
        <v>1</v>
      </c>
      <c r="AY144">
        <f t="shared" si="39"/>
        <v>0</v>
      </c>
      <c r="AZ144" s="28">
        <f t="shared" si="32"/>
        <v>0</v>
      </c>
      <c r="BA144" s="28">
        <f t="shared" si="33"/>
        <v>0</v>
      </c>
      <c r="BB144" s="28">
        <f t="shared" si="40"/>
        <v>0</v>
      </c>
      <c r="BC144" s="29">
        <f t="shared" si="41"/>
        <v>3.79293296794476E-2</v>
      </c>
      <c r="BE144" s="29">
        <f t="shared" si="42"/>
        <v>0</v>
      </c>
      <c r="BF144" s="29">
        <f t="shared" si="43"/>
        <v>6.931970843995483E-2</v>
      </c>
      <c r="BH144" s="29"/>
    </row>
    <row r="145" spans="1:60" x14ac:dyDescent="0.25">
      <c r="A145" s="1">
        <v>46233</v>
      </c>
      <c r="B145" s="33">
        <v>81.760000000000005</v>
      </c>
      <c r="C145" s="33">
        <v>83.75</v>
      </c>
      <c r="D145" s="15">
        <v>-8.8889474172459196E-3</v>
      </c>
      <c r="E145" s="15">
        <v>-9.6251708568064406E-3</v>
      </c>
      <c r="F145" s="33">
        <v>0</v>
      </c>
      <c r="G145" s="33">
        <v>0</v>
      </c>
      <c r="H145" s="33">
        <v>0</v>
      </c>
      <c r="I145" s="33">
        <v>0</v>
      </c>
      <c r="J145" s="33">
        <v>0</v>
      </c>
      <c r="K145" s="33">
        <v>0</v>
      </c>
      <c r="L145" s="33">
        <v>81.760000000000005</v>
      </c>
      <c r="M145" s="33">
        <v>83.75</v>
      </c>
      <c r="N145" s="34">
        <v>1.0243395303326801</v>
      </c>
      <c r="O145" s="34">
        <v>1.03934289630393</v>
      </c>
      <c r="P145" s="34">
        <v>1.02036782399506</v>
      </c>
      <c r="Q145" s="34">
        <v>1.02065099638271</v>
      </c>
      <c r="R145" s="33">
        <v>84.976675201809797</v>
      </c>
      <c r="S145" s="33">
        <v>83.386435668877894</v>
      </c>
      <c r="T145" s="33">
        <v>83.446029885699502</v>
      </c>
      <c r="U145" s="15">
        <v>1.4540638737522101E-2</v>
      </c>
      <c r="V145" s="15">
        <v>-4.3505164280731E-3</v>
      </c>
      <c r="W145" s="15">
        <v>-3.63609649597839E-3</v>
      </c>
      <c r="X145" s="34">
        <v>1.0243395303326801</v>
      </c>
      <c r="Y145" s="34">
        <v>1.03934289630393</v>
      </c>
      <c r="Z145" s="34">
        <v>1.02036782399506</v>
      </c>
      <c r="AA145" s="34">
        <v>1.02065099638271</v>
      </c>
      <c r="AB145" s="33">
        <v>84.976675201809797</v>
      </c>
      <c r="AC145" s="33">
        <v>83.386435668877894</v>
      </c>
      <c r="AD145" s="33">
        <v>83.446029885699502</v>
      </c>
      <c r="AE145" s="15">
        <v>1.4540638737522101E-2</v>
      </c>
      <c r="AF145" s="15">
        <v>-4.3505164280731E-3</v>
      </c>
      <c r="AG145" s="15">
        <v>-3.63609649597839E-3</v>
      </c>
      <c r="AI145" s="12"/>
      <c r="AJ145">
        <f t="shared" si="26"/>
        <v>0</v>
      </c>
      <c r="AK145">
        <f t="shared" si="27"/>
        <v>0</v>
      </c>
      <c r="AL145">
        <f t="shared" si="34"/>
        <v>1</v>
      </c>
      <c r="AM145">
        <f t="shared" si="24"/>
        <v>1</v>
      </c>
      <c r="AN145">
        <f t="shared" si="35"/>
        <v>1</v>
      </c>
      <c r="AO145" s="28">
        <f t="shared" si="28"/>
        <v>-8.8889474172459196E-3</v>
      </c>
      <c r="AP145" s="28">
        <f t="shared" si="29"/>
        <v>9.6251708568064406E-3</v>
      </c>
      <c r="AQ145" s="28">
        <f t="shared" si="36"/>
        <v>7.3622343956052105E-4</v>
      </c>
      <c r="AR145" s="29">
        <f t="shared" si="37"/>
        <v>3.2126602200067758E-2</v>
      </c>
      <c r="AT145" s="12"/>
      <c r="AU145">
        <f t="shared" si="30"/>
        <v>0</v>
      </c>
      <c r="AV145">
        <f t="shared" si="31"/>
        <v>1</v>
      </c>
      <c r="AW145">
        <f t="shared" si="38"/>
        <v>0</v>
      </c>
      <c r="AX145">
        <f t="shared" si="25"/>
        <v>1</v>
      </c>
      <c r="AY145">
        <f t="shared" si="39"/>
        <v>0</v>
      </c>
      <c r="AZ145" s="28">
        <f t="shared" si="32"/>
        <v>0</v>
      </c>
      <c r="BA145" s="28">
        <f t="shared" si="33"/>
        <v>0</v>
      </c>
      <c r="BB145" s="28">
        <f t="shared" si="40"/>
        <v>0</v>
      </c>
      <c r="BC145" s="29">
        <f t="shared" si="41"/>
        <v>3.79293296794476E-2</v>
      </c>
      <c r="BE145" s="29">
        <f t="shared" si="42"/>
        <v>7.3622343956052105E-4</v>
      </c>
      <c r="BF145" s="29">
        <f t="shared" si="43"/>
        <v>7.0055931879515351E-2</v>
      </c>
      <c r="BH145" s="29"/>
    </row>
    <row r="146" spans="1:60" x14ac:dyDescent="0.25">
      <c r="A146" s="1">
        <v>46234</v>
      </c>
      <c r="B146" s="33">
        <v>80.7</v>
      </c>
      <c r="C146" s="33">
        <v>82.35</v>
      </c>
      <c r="D146" s="15">
        <v>-1.3049551179491199E-2</v>
      </c>
      <c r="E146" s="15">
        <v>-1.68577140815265E-2</v>
      </c>
      <c r="F146" s="33">
        <v>0</v>
      </c>
      <c r="G146" s="33">
        <v>0</v>
      </c>
      <c r="H146" s="33">
        <v>0</v>
      </c>
      <c r="I146" s="33">
        <v>0</v>
      </c>
      <c r="J146" s="33">
        <v>0</v>
      </c>
      <c r="K146" s="33">
        <v>0</v>
      </c>
      <c r="L146" s="33">
        <v>80.7</v>
      </c>
      <c r="M146" s="33">
        <v>82.35</v>
      </c>
      <c r="N146" s="34">
        <v>1.0204460966542701</v>
      </c>
      <c r="O146" s="34">
        <v>1.03934289630393</v>
      </c>
      <c r="P146" s="34">
        <v>1.0203192122901501</v>
      </c>
      <c r="Q146" s="34">
        <v>1.0205489242593599</v>
      </c>
      <c r="R146" s="33">
        <v>83.874971731727598</v>
      </c>
      <c r="S146" s="33">
        <v>82.343683396401303</v>
      </c>
      <c r="T146" s="33">
        <v>82.366535408085099</v>
      </c>
      <c r="U146" s="15">
        <v>1.8348801639557499E-2</v>
      </c>
      <c r="V146" s="15">
        <v>-7.6707296496747899E-5</v>
      </c>
      <c r="W146" s="15">
        <v>2.00774112929517E-4</v>
      </c>
      <c r="X146" s="34">
        <v>1.0204460966542701</v>
      </c>
      <c r="Y146" s="34">
        <v>1.03934289630393</v>
      </c>
      <c r="Z146" s="34">
        <v>1.0203192122901501</v>
      </c>
      <c r="AA146" s="34">
        <v>1.0205489242593599</v>
      </c>
      <c r="AB146" s="33">
        <v>83.874971731727598</v>
      </c>
      <c r="AC146" s="33">
        <v>82.343683396401303</v>
      </c>
      <c r="AD146" s="33">
        <v>82.366535408085099</v>
      </c>
      <c r="AE146" s="15">
        <v>1.8348801639557499E-2</v>
      </c>
      <c r="AF146" s="15">
        <v>-7.6707296496747899E-5</v>
      </c>
      <c r="AG146" s="15">
        <v>2.00774112929517E-4</v>
      </c>
      <c r="AI146" s="12"/>
      <c r="AJ146">
        <f t="shared" si="26"/>
        <v>0</v>
      </c>
      <c r="AK146">
        <f t="shared" si="27"/>
        <v>1</v>
      </c>
      <c r="AL146">
        <f t="shared" si="34"/>
        <v>1</v>
      </c>
      <c r="AM146">
        <f t="shared" si="24"/>
        <v>1</v>
      </c>
      <c r="AN146">
        <f t="shared" si="35"/>
        <v>1</v>
      </c>
      <c r="AO146" s="28">
        <f t="shared" si="28"/>
        <v>-1.3049551179491199E-2</v>
      </c>
      <c r="AP146" s="28">
        <f t="shared" si="29"/>
        <v>1.68577140815265E-2</v>
      </c>
      <c r="AQ146" s="28">
        <f t="shared" si="36"/>
        <v>3.808162902035301E-3</v>
      </c>
      <c r="AR146" s="29">
        <f t="shared" si="37"/>
        <v>3.5934765102103056E-2</v>
      </c>
      <c r="AT146" s="12"/>
      <c r="AU146">
        <f t="shared" si="30"/>
        <v>0</v>
      </c>
      <c r="AV146">
        <f t="shared" si="31"/>
        <v>1</v>
      </c>
      <c r="AW146">
        <f t="shared" si="38"/>
        <v>0</v>
      </c>
      <c r="AX146">
        <f t="shared" si="25"/>
        <v>1</v>
      </c>
      <c r="AY146">
        <f t="shared" si="39"/>
        <v>0</v>
      </c>
      <c r="AZ146" s="28">
        <f t="shared" si="32"/>
        <v>0</v>
      </c>
      <c r="BA146" s="28">
        <f t="shared" si="33"/>
        <v>0</v>
      </c>
      <c r="BB146" s="28">
        <f t="shared" si="40"/>
        <v>0</v>
      </c>
      <c r="BC146" s="29">
        <f t="shared" si="41"/>
        <v>3.79293296794476E-2</v>
      </c>
      <c r="BE146" s="29">
        <f t="shared" si="42"/>
        <v>3.808162902035301E-3</v>
      </c>
      <c r="BF146" s="29">
        <f t="shared" si="43"/>
        <v>7.3864094781550649E-2</v>
      </c>
      <c r="BH146" s="29"/>
    </row>
    <row r="147" spans="1:60" x14ac:dyDescent="0.25">
      <c r="A147" s="1">
        <v>46237</v>
      </c>
      <c r="B147" s="33">
        <v>83.39</v>
      </c>
      <c r="C147" s="33">
        <v>85.2</v>
      </c>
      <c r="D147" s="15">
        <v>3.27898228229907E-2</v>
      </c>
      <c r="E147" s="15">
        <v>3.4022977211620897E-2</v>
      </c>
      <c r="F147" s="33">
        <v>0</v>
      </c>
      <c r="G147" s="33">
        <v>0</v>
      </c>
      <c r="H147" s="33">
        <v>0</v>
      </c>
      <c r="I147" s="33">
        <v>0</v>
      </c>
      <c r="J147" s="33">
        <v>0</v>
      </c>
      <c r="K147" s="33">
        <v>0</v>
      </c>
      <c r="L147" s="33">
        <v>83.39</v>
      </c>
      <c r="M147" s="33">
        <v>85.2</v>
      </c>
      <c r="N147" s="34">
        <v>1.0217052404364999</v>
      </c>
      <c r="O147" s="34">
        <v>1.03934289630393</v>
      </c>
      <c r="P147" s="34">
        <v>1.0205843890688999</v>
      </c>
      <c r="Q147" s="34">
        <v>1.02062743581563</v>
      </c>
      <c r="R147" s="33">
        <v>86.670804122785199</v>
      </c>
      <c r="S147" s="33">
        <v>85.084419112876205</v>
      </c>
      <c r="T147" s="33">
        <v>85.103574793988102</v>
      </c>
      <c r="U147" s="15">
        <v>1.7115647250927402E-2</v>
      </c>
      <c r="V147" s="15">
        <v>-1.3575041741974E-3</v>
      </c>
      <c r="W147" s="15">
        <v>-1.1323921583259399E-3</v>
      </c>
      <c r="X147" s="34">
        <v>1.0217052404364999</v>
      </c>
      <c r="Y147" s="34">
        <v>1.03934289630393</v>
      </c>
      <c r="Z147" s="34">
        <v>1.0205843890688999</v>
      </c>
      <c r="AA147" s="34">
        <v>1.02062743581563</v>
      </c>
      <c r="AB147" s="33">
        <v>86.670804122785199</v>
      </c>
      <c r="AC147" s="33">
        <v>85.084419112876205</v>
      </c>
      <c r="AD147" s="33">
        <v>85.103574793988102</v>
      </c>
      <c r="AE147" s="15">
        <v>1.7115647250927402E-2</v>
      </c>
      <c r="AF147" s="15">
        <v>-1.3575041741974E-3</v>
      </c>
      <c r="AG147" s="15">
        <v>-1.1323921583259399E-3</v>
      </c>
      <c r="AI147" s="12"/>
      <c r="AJ147">
        <f t="shared" si="26"/>
        <v>0</v>
      </c>
      <c r="AK147">
        <f t="shared" si="27"/>
        <v>1</v>
      </c>
      <c r="AL147">
        <f t="shared" si="34"/>
        <v>0</v>
      </c>
      <c r="AM147">
        <f t="shared" si="24"/>
        <v>1</v>
      </c>
      <c r="AN147">
        <f t="shared" si="35"/>
        <v>0</v>
      </c>
      <c r="AO147" s="28">
        <f t="shared" si="28"/>
        <v>0</v>
      </c>
      <c r="AP147" s="28">
        <f t="shared" si="29"/>
        <v>0</v>
      </c>
      <c r="AQ147" s="28">
        <f t="shared" si="36"/>
        <v>0</v>
      </c>
      <c r="AR147" s="29">
        <f t="shared" si="37"/>
        <v>3.5934765102103056E-2</v>
      </c>
      <c r="AT147" s="12"/>
      <c r="AU147">
        <f t="shared" si="30"/>
        <v>0</v>
      </c>
      <c r="AV147">
        <f t="shared" si="31"/>
        <v>1</v>
      </c>
      <c r="AW147">
        <f t="shared" si="38"/>
        <v>0</v>
      </c>
      <c r="AX147">
        <f t="shared" si="25"/>
        <v>1</v>
      </c>
      <c r="AY147">
        <f t="shared" si="39"/>
        <v>0</v>
      </c>
      <c r="AZ147" s="28">
        <f t="shared" si="32"/>
        <v>0</v>
      </c>
      <c r="BA147" s="28">
        <f t="shared" si="33"/>
        <v>0</v>
      </c>
      <c r="BB147" s="28">
        <f t="shared" si="40"/>
        <v>0</v>
      </c>
      <c r="BC147" s="29">
        <f t="shared" si="41"/>
        <v>3.79293296794476E-2</v>
      </c>
      <c r="BE147" s="29">
        <f t="shared" si="42"/>
        <v>0</v>
      </c>
      <c r="BF147" s="29">
        <f t="shared" si="43"/>
        <v>7.3864094781550649E-2</v>
      </c>
      <c r="BH147" s="29"/>
    </row>
    <row r="148" spans="1:60" x14ac:dyDescent="0.25">
      <c r="A148" s="1">
        <v>46238</v>
      </c>
      <c r="B148" s="33">
        <v>85.41</v>
      </c>
      <c r="C148" s="33">
        <v>87.02</v>
      </c>
      <c r="D148" s="15">
        <v>2.3934791859161801E-2</v>
      </c>
      <c r="E148" s="15">
        <v>2.1136543457264002E-2</v>
      </c>
      <c r="F148" s="33">
        <v>0</v>
      </c>
      <c r="G148" s="33">
        <v>0</v>
      </c>
      <c r="H148" s="33">
        <v>0</v>
      </c>
      <c r="I148" s="33">
        <v>0</v>
      </c>
      <c r="J148" s="33">
        <v>0</v>
      </c>
      <c r="K148" s="33">
        <v>0</v>
      </c>
      <c r="L148" s="33">
        <v>85.41</v>
      </c>
      <c r="M148" s="33">
        <v>87.02</v>
      </c>
      <c r="N148" s="34">
        <v>1.01885025172696</v>
      </c>
      <c r="O148" s="34">
        <v>1.03934289630393</v>
      </c>
      <c r="P148" s="34">
        <v>1.0206910284686801</v>
      </c>
      <c r="Q148" s="34">
        <v>1.02055842170238</v>
      </c>
      <c r="R148" s="33">
        <v>88.770276773319097</v>
      </c>
      <c r="S148" s="33">
        <v>87.168112670374995</v>
      </c>
      <c r="T148" s="33">
        <v>87.171789293013504</v>
      </c>
      <c r="U148" s="15">
        <v>1.9913895652825201E-2</v>
      </c>
      <c r="V148" s="15">
        <v>1.70060635941638E-3</v>
      </c>
      <c r="W148" s="15">
        <v>1.74278399743987E-3</v>
      </c>
      <c r="X148" s="34">
        <v>1.01885025172696</v>
      </c>
      <c r="Y148" s="34">
        <v>1.03934289630393</v>
      </c>
      <c r="Z148" s="34">
        <v>1.0206910284686801</v>
      </c>
      <c r="AA148" s="34">
        <v>1.02055842170238</v>
      </c>
      <c r="AB148" s="33">
        <v>88.770276773319097</v>
      </c>
      <c r="AC148" s="33">
        <v>87.168112670374995</v>
      </c>
      <c r="AD148" s="33">
        <v>87.171789293013504</v>
      </c>
      <c r="AE148" s="15">
        <v>1.9913895652825201E-2</v>
      </c>
      <c r="AF148" s="15">
        <v>1.70060635941638E-3</v>
      </c>
      <c r="AG148" s="15">
        <v>1.74278399743987E-3</v>
      </c>
      <c r="AI148" s="12"/>
      <c r="AJ148">
        <f t="shared" si="26"/>
        <v>0</v>
      </c>
      <c r="AK148">
        <f t="shared" si="27"/>
        <v>1</v>
      </c>
      <c r="AL148">
        <f t="shared" si="34"/>
        <v>0</v>
      </c>
      <c r="AM148">
        <f t="shared" si="24"/>
        <v>1</v>
      </c>
      <c r="AN148">
        <f t="shared" si="35"/>
        <v>0</v>
      </c>
      <c r="AO148" s="28">
        <f t="shared" si="28"/>
        <v>0</v>
      </c>
      <c r="AP148" s="28">
        <f t="shared" si="29"/>
        <v>0</v>
      </c>
      <c r="AQ148" s="28">
        <f t="shared" si="36"/>
        <v>0</v>
      </c>
      <c r="AR148" s="29">
        <f t="shared" si="37"/>
        <v>3.5934765102103056E-2</v>
      </c>
      <c r="AT148" s="12"/>
      <c r="AU148">
        <f t="shared" si="30"/>
        <v>0</v>
      </c>
      <c r="AV148">
        <f t="shared" si="31"/>
        <v>1</v>
      </c>
      <c r="AW148">
        <f t="shared" si="38"/>
        <v>0</v>
      </c>
      <c r="AX148">
        <f t="shared" si="25"/>
        <v>1</v>
      </c>
      <c r="AY148">
        <f t="shared" si="39"/>
        <v>0</v>
      </c>
      <c r="AZ148" s="28">
        <f t="shared" si="32"/>
        <v>0</v>
      </c>
      <c r="BA148" s="28">
        <f t="shared" si="33"/>
        <v>0</v>
      </c>
      <c r="BB148" s="28">
        <f t="shared" si="40"/>
        <v>0</v>
      </c>
      <c r="BC148" s="29">
        <f t="shared" si="41"/>
        <v>3.79293296794476E-2</v>
      </c>
      <c r="BE148" s="29">
        <f t="shared" si="42"/>
        <v>0</v>
      </c>
      <c r="BF148" s="29">
        <f t="shared" si="43"/>
        <v>7.3864094781550649E-2</v>
      </c>
      <c r="BH148" s="29"/>
    </row>
    <row r="149" spans="1:60" x14ac:dyDescent="0.25">
      <c r="A149" s="1">
        <v>46239</v>
      </c>
      <c r="B149" s="33">
        <v>86.44</v>
      </c>
      <c r="C149" s="33">
        <v>87.88</v>
      </c>
      <c r="D149" s="15">
        <v>1.1987341680629199E-2</v>
      </c>
      <c r="E149" s="15">
        <v>9.8342702238754104E-3</v>
      </c>
      <c r="F149" s="33">
        <v>0</v>
      </c>
      <c r="G149" s="33">
        <v>0</v>
      </c>
      <c r="H149" s="33">
        <v>0</v>
      </c>
      <c r="I149" s="33">
        <v>0</v>
      </c>
      <c r="J149" s="33">
        <v>0</v>
      </c>
      <c r="K149" s="33">
        <v>0</v>
      </c>
      <c r="L149" s="33">
        <v>86.44</v>
      </c>
      <c r="M149" s="33">
        <v>87.88</v>
      </c>
      <c r="N149" s="34">
        <v>1.0166589541878699</v>
      </c>
      <c r="O149" s="34">
        <v>1.03934289630393</v>
      </c>
      <c r="P149" s="34">
        <v>1.02039589620967</v>
      </c>
      <c r="Q149" s="34">
        <v>1.02017200666668</v>
      </c>
      <c r="R149" s="33">
        <v>89.8407999565122</v>
      </c>
      <c r="S149" s="33">
        <v>88.228532500833197</v>
      </c>
      <c r="T149" s="33">
        <v>88.217069971954103</v>
      </c>
      <c r="U149" s="15">
        <v>2.20669671095793E-2</v>
      </c>
      <c r="V149" s="15">
        <v>3.9581609240971604E-3</v>
      </c>
      <c r="W149" s="15">
        <v>3.82823386743416E-3</v>
      </c>
      <c r="X149" s="34">
        <v>1.0166589541878699</v>
      </c>
      <c r="Y149" s="34">
        <v>1.03934289630393</v>
      </c>
      <c r="Z149" s="34">
        <v>1.02039589620967</v>
      </c>
      <c r="AA149" s="34">
        <v>1.02017200666668</v>
      </c>
      <c r="AB149" s="33">
        <v>89.8407999565122</v>
      </c>
      <c r="AC149" s="33">
        <v>88.228532500833197</v>
      </c>
      <c r="AD149" s="33">
        <v>88.217069971954103</v>
      </c>
      <c r="AE149" s="15">
        <v>2.20669671095793E-2</v>
      </c>
      <c r="AF149" s="15">
        <v>3.9581609240971604E-3</v>
      </c>
      <c r="AG149" s="15">
        <v>3.82823386743416E-3</v>
      </c>
      <c r="AI149" s="12"/>
      <c r="AJ149">
        <f t="shared" si="26"/>
        <v>0</v>
      </c>
      <c r="AK149">
        <f t="shared" si="27"/>
        <v>1</v>
      </c>
      <c r="AL149">
        <f t="shared" si="34"/>
        <v>0</v>
      </c>
      <c r="AM149">
        <f t="shared" ref="AM149:AM176" si="44">IF(F150+H150&gt;0,0,1)</f>
        <v>1</v>
      </c>
      <c r="AN149">
        <f t="shared" si="35"/>
        <v>0</v>
      </c>
      <c r="AO149" s="28">
        <f t="shared" si="28"/>
        <v>0</v>
      </c>
      <c r="AP149" s="28">
        <f t="shared" si="29"/>
        <v>0</v>
      </c>
      <c r="AQ149" s="28">
        <f t="shared" si="36"/>
        <v>0</v>
      </c>
      <c r="AR149" s="29">
        <f t="shared" si="37"/>
        <v>3.5934765102103056E-2</v>
      </c>
      <c r="AT149" s="12"/>
      <c r="AU149">
        <f t="shared" si="30"/>
        <v>0</v>
      </c>
      <c r="AV149">
        <f t="shared" si="31"/>
        <v>0</v>
      </c>
      <c r="AW149">
        <f t="shared" si="38"/>
        <v>0</v>
      </c>
      <c r="AX149">
        <f t="shared" ref="AX149:AX176" si="45">IF(F150+H150&gt;0,0,1)</f>
        <v>1</v>
      </c>
      <c r="AY149">
        <f t="shared" si="39"/>
        <v>0</v>
      </c>
      <c r="AZ149" s="28">
        <f t="shared" si="32"/>
        <v>0</v>
      </c>
      <c r="BA149" s="28">
        <f t="shared" si="33"/>
        <v>0</v>
      </c>
      <c r="BB149" s="28">
        <f t="shared" si="40"/>
        <v>0</v>
      </c>
      <c r="BC149" s="29">
        <f t="shared" si="41"/>
        <v>3.79293296794476E-2</v>
      </c>
      <c r="BE149" s="29">
        <f t="shared" si="42"/>
        <v>0</v>
      </c>
      <c r="BF149" s="29">
        <f t="shared" si="43"/>
        <v>7.3864094781550649E-2</v>
      </c>
      <c r="BH149" s="29"/>
    </row>
    <row r="150" spans="1:60" x14ac:dyDescent="0.25">
      <c r="A150" s="1">
        <v>46240</v>
      </c>
      <c r="B150" s="33">
        <v>83.28</v>
      </c>
      <c r="C150" s="33">
        <v>84.82</v>
      </c>
      <c r="D150" s="15">
        <v>-3.7242107331971697E-2</v>
      </c>
      <c r="E150" s="15">
        <v>-3.5440883469964699E-2</v>
      </c>
      <c r="F150" s="33">
        <v>0</v>
      </c>
      <c r="G150" s="33">
        <v>0</v>
      </c>
      <c r="H150" s="33">
        <v>0</v>
      </c>
      <c r="I150" s="33">
        <v>0</v>
      </c>
      <c r="J150" s="33">
        <v>0</v>
      </c>
      <c r="K150" s="33">
        <v>0</v>
      </c>
      <c r="L150" s="33">
        <v>83.28</v>
      </c>
      <c r="M150" s="33">
        <v>84.82</v>
      </c>
      <c r="N150" s="34">
        <v>1.01849183477425</v>
      </c>
      <c r="O150" s="34">
        <v>1.03934289630393</v>
      </c>
      <c r="P150" s="34">
        <v>1.020498300698</v>
      </c>
      <c r="Q150" s="34">
        <v>1.0200805103444199</v>
      </c>
      <c r="R150" s="33">
        <v>86.556476404191798</v>
      </c>
      <c r="S150" s="33">
        <v>84.978570236341994</v>
      </c>
      <c r="T150" s="33">
        <v>84.959924715201097</v>
      </c>
      <c r="U150" s="15">
        <v>2.0265743247572299E-2</v>
      </c>
      <c r="V150" s="15">
        <v>1.8677457910115901E-3</v>
      </c>
      <c r="W150" s="15">
        <v>1.64830732627814E-3</v>
      </c>
      <c r="X150" s="34">
        <v>1.01849183477425</v>
      </c>
      <c r="Y150" s="34">
        <v>1.03934289630393</v>
      </c>
      <c r="Z150" s="34">
        <v>1.020498300698</v>
      </c>
      <c r="AA150" s="34">
        <v>1.0200805103444199</v>
      </c>
      <c r="AB150" s="33">
        <v>86.556476404191798</v>
      </c>
      <c r="AC150" s="33">
        <v>84.978570236341994</v>
      </c>
      <c r="AD150" s="33">
        <v>84.959924715201097</v>
      </c>
      <c r="AE150" s="15">
        <v>2.0265743247572299E-2</v>
      </c>
      <c r="AF150" s="15">
        <v>1.8677457910115901E-3</v>
      </c>
      <c r="AG150" s="15">
        <v>1.64830732627814E-3</v>
      </c>
      <c r="AI150" s="12"/>
      <c r="AJ150">
        <f t="shared" ref="AJ150:AJ176" si="46">IF($AG150&lt;AI$21,1,0)</f>
        <v>0</v>
      </c>
      <c r="AK150">
        <f t="shared" ref="AK150:AK176" si="47">IF($AG150&gt;AI$22,1,0)</f>
        <v>1</v>
      </c>
      <c r="AL150">
        <f t="shared" si="34"/>
        <v>0</v>
      </c>
      <c r="AM150">
        <f t="shared" si="44"/>
        <v>1</v>
      </c>
      <c r="AN150">
        <f t="shared" si="35"/>
        <v>0</v>
      </c>
      <c r="AO150" s="28">
        <f t="shared" ref="AO150:AO176" si="48">AN150*D150</f>
        <v>0</v>
      </c>
      <c r="AP150" s="28">
        <f t="shared" ref="AP150:AP176" si="49">-AN150*$E150</f>
        <v>0</v>
      </c>
      <c r="AQ150" s="28">
        <f t="shared" si="36"/>
        <v>0</v>
      </c>
      <c r="AR150" s="29">
        <f t="shared" si="37"/>
        <v>3.5934765102103056E-2</v>
      </c>
      <c r="AT150" s="12"/>
      <c r="AU150">
        <f t="shared" ref="AU150:AU176" si="50">IF($AG150&gt;AT$21,1,0)</f>
        <v>0</v>
      </c>
      <c r="AV150">
        <f t="shared" ref="AV150:AV176" si="51">IF($AG150&lt;AT$22,1,0)</f>
        <v>1</v>
      </c>
      <c r="AW150">
        <f t="shared" si="38"/>
        <v>0</v>
      </c>
      <c r="AX150">
        <f t="shared" si="45"/>
        <v>1</v>
      </c>
      <c r="AY150">
        <f t="shared" si="39"/>
        <v>0</v>
      </c>
      <c r="AZ150" s="28">
        <f t="shared" ref="AZ150:AZ176" si="52">-AY150*D150</f>
        <v>0</v>
      </c>
      <c r="BA150" s="28">
        <f t="shared" ref="BA150:BA176" si="53">AY150*$E150</f>
        <v>0</v>
      </c>
      <c r="BB150" s="28">
        <f t="shared" si="40"/>
        <v>0</v>
      </c>
      <c r="BC150" s="29">
        <f t="shared" si="41"/>
        <v>3.79293296794476E-2</v>
      </c>
      <c r="BE150" s="29">
        <f t="shared" si="42"/>
        <v>0</v>
      </c>
      <c r="BF150" s="29">
        <f t="shared" si="43"/>
        <v>7.3864094781550649E-2</v>
      </c>
      <c r="BH150" s="29"/>
    </row>
    <row r="151" spans="1:60" x14ac:dyDescent="0.25">
      <c r="A151" s="1">
        <v>46241</v>
      </c>
      <c r="B151" s="33">
        <v>86.48</v>
      </c>
      <c r="C151" s="33">
        <v>88.18</v>
      </c>
      <c r="D151" s="15">
        <v>3.7704749024239301E-2</v>
      </c>
      <c r="E151" s="15">
        <v>3.8848815883347002E-2</v>
      </c>
      <c r="F151" s="33">
        <v>0</v>
      </c>
      <c r="G151" s="33">
        <v>0</v>
      </c>
      <c r="H151" s="33">
        <v>0</v>
      </c>
      <c r="I151" s="33">
        <v>0</v>
      </c>
      <c r="J151" s="33">
        <v>0</v>
      </c>
      <c r="K151" s="33">
        <v>0</v>
      </c>
      <c r="L151" s="33">
        <v>86.48</v>
      </c>
      <c r="M151" s="33">
        <v>88.18</v>
      </c>
      <c r="N151" s="34">
        <v>1.0196577243293199</v>
      </c>
      <c r="O151" s="34">
        <v>1.03934289630393</v>
      </c>
      <c r="P151" s="34">
        <v>1.02038978466012</v>
      </c>
      <c r="Q151" s="34">
        <v>1.02002160370807</v>
      </c>
      <c r="R151" s="33">
        <v>89.882373672364395</v>
      </c>
      <c r="S151" s="33">
        <v>88.252693044363497</v>
      </c>
      <c r="T151" s="33">
        <v>88.216562534586103</v>
      </c>
      <c r="U151" s="15">
        <v>1.9121676388464699E-2</v>
      </c>
      <c r="V151" s="15">
        <v>8.2403150144786199E-4</v>
      </c>
      <c r="W151" s="15">
        <v>4.1454929262133098E-4</v>
      </c>
      <c r="X151" s="34">
        <v>1.0196577243293199</v>
      </c>
      <c r="Y151" s="34">
        <v>1.03934289630393</v>
      </c>
      <c r="Z151" s="34">
        <v>1.02038978466012</v>
      </c>
      <c r="AA151" s="34">
        <v>1.02002160370807</v>
      </c>
      <c r="AB151" s="33">
        <v>89.882373672364395</v>
      </c>
      <c r="AC151" s="33">
        <v>88.252693044363497</v>
      </c>
      <c r="AD151" s="33">
        <v>88.216562534586103</v>
      </c>
      <c r="AE151" s="15">
        <v>1.9121676388464699E-2</v>
      </c>
      <c r="AF151" s="15">
        <v>8.2403150144786199E-4</v>
      </c>
      <c r="AG151" s="15">
        <v>4.1454929262133098E-4</v>
      </c>
      <c r="AI151" s="12"/>
      <c r="AJ151">
        <f t="shared" si="46"/>
        <v>0</v>
      </c>
      <c r="AK151">
        <f t="shared" si="47"/>
        <v>1</v>
      </c>
      <c r="AL151">
        <f t="shared" ref="AL151:AL176" si="54">AN151</f>
        <v>0</v>
      </c>
      <c r="AM151">
        <f t="shared" si="44"/>
        <v>1</v>
      </c>
      <c r="AN151">
        <f t="shared" ref="AN151:AN176" si="55">IF(AJ150,1,IF(AK150,0,AL150))*AM150</f>
        <v>0</v>
      </c>
      <c r="AO151" s="28">
        <f t="shared" si="48"/>
        <v>0</v>
      </c>
      <c r="AP151" s="28">
        <f t="shared" si="49"/>
        <v>0</v>
      </c>
      <c r="AQ151" s="28">
        <f t="shared" ref="AQ151:AQ176" si="56">AO151+AP151</f>
        <v>0</v>
      </c>
      <c r="AR151" s="29">
        <f t="shared" ref="AR151:AR176" si="57">AR150+AQ151</f>
        <v>3.5934765102103056E-2</v>
      </c>
      <c r="AT151" s="12"/>
      <c r="AU151">
        <f t="shared" si="50"/>
        <v>0</v>
      </c>
      <c r="AV151">
        <f t="shared" si="51"/>
        <v>1</v>
      </c>
      <c r="AW151">
        <f t="shared" ref="AW151:AW176" si="58">AY151</f>
        <v>0</v>
      </c>
      <c r="AX151">
        <f t="shared" si="45"/>
        <v>1</v>
      </c>
      <c r="AY151">
        <f t="shared" ref="AY151:AY176" si="59">IF(AU150,1,IF(AV150,0,AW150))*AX150</f>
        <v>0</v>
      </c>
      <c r="AZ151" s="28">
        <f t="shared" si="52"/>
        <v>0</v>
      </c>
      <c r="BA151" s="28">
        <f t="shared" si="53"/>
        <v>0</v>
      </c>
      <c r="BB151" s="28">
        <f t="shared" ref="BB151:BB176" si="60">AZ151+BA151</f>
        <v>0</v>
      </c>
      <c r="BC151" s="29">
        <f t="shared" ref="BC151:BC176" si="61">BC150+BB151</f>
        <v>3.79293296794476E-2</v>
      </c>
      <c r="BE151" s="29">
        <f t="shared" ref="BE151:BE176" si="62">AQ151+BB151</f>
        <v>0</v>
      </c>
      <c r="BF151" s="29">
        <f t="shared" ref="BF151:BF176" si="63">BF150+BE151</f>
        <v>7.3864094781550649E-2</v>
      </c>
      <c r="BH151" s="29"/>
    </row>
    <row r="152" spans="1:60" x14ac:dyDescent="0.25">
      <c r="A152" s="1">
        <v>46244</v>
      </c>
      <c r="B152" s="33">
        <v>83.82</v>
      </c>
      <c r="C152" s="33">
        <v>85.6</v>
      </c>
      <c r="D152" s="15">
        <v>-3.1241530834027399E-2</v>
      </c>
      <c r="E152" s="15">
        <v>-2.96948967820953E-2</v>
      </c>
      <c r="F152" s="33">
        <v>0</v>
      </c>
      <c r="G152" s="33">
        <v>0</v>
      </c>
      <c r="H152" s="33">
        <v>0</v>
      </c>
      <c r="I152" s="33">
        <v>0</v>
      </c>
      <c r="J152" s="33">
        <v>0</v>
      </c>
      <c r="K152" s="33">
        <v>0</v>
      </c>
      <c r="L152" s="33">
        <v>83.82</v>
      </c>
      <c r="M152" s="33">
        <v>85.6</v>
      </c>
      <c r="N152" s="34">
        <v>1.0212359818659</v>
      </c>
      <c r="O152" s="34">
        <v>1.03934289630393</v>
      </c>
      <c r="P152" s="34">
        <v>1.02042454731249</v>
      </c>
      <c r="Q152" s="34">
        <v>1.0200672678093701</v>
      </c>
      <c r="R152" s="33">
        <v>87.117721568195904</v>
      </c>
      <c r="S152" s="33">
        <v>85.529071750211401</v>
      </c>
      <c r="T152" s="33">
        <v>85.498210822811004</v>
      </c>
      <c r="U152" s="15">
        <v>1.7575042336532402E-2</v>
      </c>
      <c r="V152" s="15">
        <v>-8.2894452853174503E-4</v>
      </c>
      <c r="W152" s="15">
        <v>-1.18983347292778E-3</v>
      </c>
      <c r="X152" s="34">
        <v>1.0212359818659</v>
      </c>
      <c r="Y152" s="34">
        <v>1.03934289630393</v>
      </c>
      <c r="Z152" s="34">
        <v>1.02042454731249</v>
      </c>
      <c r="AA152" s="34">
        <v>1.0200672678093701</v>
      </c>
      <c r="AB152" s="33">
        <v>87.117721568195904</v>
      </c>
      <c r="AC152" s="33">
        <v>85.529071750211401</v>
      </c>
      <c r="AD152" s="33">
        <v>85.498210822811004</v>
      </c>
      <c r="AE152" s="15">
        <v>1.7575042336532402E-2</v>
      </c>
      <c r="AF152" s="15">
        <v>-8.2894452853174503E-4</v>
      </c>
      <c r="AG152" s="15">
        <v>-1.18983347292778E-3</v>
      </c>
      <c r="AI152" s="12"/>
      <c r="AJ152">
        <f t="shared" si="46"/>
        <v>0</v>
      </c>
      <c r="AK152">
        <f t="shared" si="47"/>
        <v>1</v>
      </c>
      <c r="AL152">
        <f t="shared" si="54"/>
        <v>0</v>
      </c>
      <c r="AM152">
        <f t="shared" si="44"/>
        <v>1</v>
      </c>
      <c r="AN152">
        <f t="shared" si="55"/>
        <v>0</v>
      </c>
      <c r="AO152" s="28">
        <f t="shared" si="48"/>
        <v>0</v>
      </c>
      <c r="AP152" s="28">
        <f t="shared" si="49"/>
        <v>0</v>
      </c>
      <c r="AQ152" s="28">
        <f t="shared" si="56"/>
        <v>0</v>
      </c>
      <c r="AR152" s="29">
        <f t="shared" si="57"/>
        <v>3.5934765102103056E-2</v>
      </c>
      <c r="AT152" s="12"/>
      <c r="AU152">
        <f t="shared" si="50"/>
        <v>0</v>
      </c>
      <c r="AV152">
        <f t="shared" si="51"/>
        <v>1</v>
      </c>
      <c r="AW152">
        <f t="shared" si="58"/>
        <v>0</v>
      </c>
      <c r="AX152">
        <f t="shared" si="45"/>
        <v>1</v>
      </c>
      <c r="AY152">
        <f t="shared" si="59"/>
        <v>0</v>
      </c>
      <c r="AZ152" s="28">
        <f t="shared" si="52"/>
        <v>0</v>
      </c>
      <c r="BA152" s="28">
        <f t="shared" si="53"/>
        <v>0</v>
      </c>
      <c r="BB152" s="28">
        <f t="shared" si="60"/>
        <v>0</v>
      </c>
      <c r="BC152" s="29">
        <f t="shared" si="61"/>
        <v>3.79293296794476E-2</v>
      </c>
      <c r="BE152" s="29">
        <f t="shared" si="62"/>
        <v>0</v>
      </c>
      <c r="BF152" s="29">
        <f t="shared" si="63"/>
        <v>7.3864094781550649E-2</v>
      </c>
      <c r="BH152" s="29"/>
    </row>
    <row r="153" spans="1:60" x14ac:dyDescent="0.25">
      <c r="A153" s="1">
        <v>46245</v>
      </c>
      <c r="B153" s="33">
        <v>86.2</v>
      </c>
      <c r="C153" s="33">
        <v>87.55</v>
      </c>
      <c r="D153" s="15">
        <v>2.7998535172722001E-2</v>
      </c>
      <c r="E153" s="15">
        <v>2.2524775584164498E-2</v>
      </c>
      <c r="F153" s="33">
        <v>0</v>
      </c>
      <c r="G153" s="33">
        <v>0</v>
      </c>
      <c r="H153" s="33">
        <v>0</v>
      </c>
      <c r="I153" s="33">
        <v>0</v>
      </c>
      <c r="J153" s="33">
        <v>0</v>
      </c>
      <c r="K153" s="33">
        <v>0</v>
      </c>
      <c r="L153" s="33">
        <v>86.2</v>
      </c>
      <c r="M153" s="33">
        <v>87.55</v>
      </c>
      <c r="N153" s="34">
        <v>1.01566125290023</v>
      </c>
      <c r="O153" s="34">
        <v>1.03934289630393</v>
      </c>
      <c r="P153" s="34">
        <v>1.02021408179899</v>
      </c>
      <c r="Q153" s="34">
        <v>1.0199318389701999</v>
      </c>
      <c r="R153" s="33">
        <v>89.5913576613993</v>
      </c>
      <c r="S153" s="33">
        <v>87.960595978337395</v>
      </c>
      <c r="T153" s="33">
        <v>87.929798485168405</v>
      </c>
      <c r="U153" s="15">
        <v>2.3048801925089998E-2</v>
      </c>
      <c r="V153" s="15">
        <v>4.6788824926535504E-3</v>
      </c>
      <c r="W153" s="15">
        <v>4.3286928921624796E-3</v>
      </c>
      <c r="X153" s="34">
        <v>1.01566125290023</v>
      </c>
      <c r="Y153" s="34">
        <v>1.03934289630393</v>
      </c>
      <c r="Z153" s="34">
        <v>1.02021408179899</v>
      </c>
      <c r="AA153" s="34">
        <v>1.0199318389701999</v>
      </c>
      <c r="AB153" s="33">
        <v>89.5913576613993</v>
      </c>
      <c r="AC153" s="33">
        <v>87.960595978337395</v>
      </c>
      <c r="AD153" s="33">
        <v>87.929798485168405</v>
      </c>
      <c r="AE153" s="15">
        <v>2.3048801925089998E-2</v>
      </c>
      <c r="AF153" s="15">
        <v>4.6788824926535504E-3</v>
      </c>
      <c r="AG153" s="15">
        <v>4.3286928921624796E-3</v>
      </c>
      <c r="AI153" s="12"/>
      <c r="AJ153">
        <f t="shared" si="46"/>
        <v>0</v>
      </c>
      <c r="AK153">
        <f t="shared" si="47"/>
        <v>1</v>
      </c>
      <c r="AL153">
        <f t="shared" si="54"/>
        <v>0</v>
      </c>
      <c r="AM153">
        <f t="shared" si="44"/>
        <v>1</v>
      </c>
      <c r="AN153">
        <f t="shared" si="55"/>
        <v>0</v>
      </c>
      <c r="AO153" s="28">
        <f t="shared" si="48"/>
        <v>0</v>
      </c>
      <c r="AP153" s="28">
        <f t="shared" si="49"/>
        <v>0</v>
      </c>
      <c r="AQ153" s="28">
        <f t="shared" si="56"/>
        <v>0</v>
      </c>
      <c r="AR153" s="29">
        <f t="shared" si="57"/>
        <v>3.5934765102103056E-2</v>
      </c>
      <c r="AT153" s="12"/>
      <c r="AU153">
        <f t="shared" si="50"/>
        <v>1</v>
      </c>
      <c r="AV153">
        <f t="shared" si="51"/>
        <v>0</v>
      </c>
      <c r="AW153">
        <f t="shared" si="58"/>
        <v>0</v>
      </c>
      <c r="AX153">
        <f t="shared" si="45"/>
        <v>1</v>
      </c>
      <c r="AY153">
        <f t="shared" si="59"/>
        <v>0</v>
      </c>
      <c r="AZ153" s="28">
        <f t="shared" si="52"/>
        <v>0</v>
      </c>
      <c r="BA153" s="28">
        <f t="shared" si="53"/>
        <v>0</v>
      </c>
      <c r="BB153" s="28">
        <f t="shared" si="60"/>
        <v>0</v>
      </c>
      <c r="BC153" s="29">
        <f t="shared" si="61"/>
        <v>3.79293296794476E-2</v>
      </c>
      <c r="BE153" s="29">
        <f t="shared" si="62"/>
        <v>0</v>
      </c>
      <c r="BF153" s="29">
        <f t="shared" si="63"/>
        <v>7.3864094781550649E-2</v>
      </c>
      <c r="BH153" s="29"/>
    </row>
    <row r="154" spans="1:60" x14ac:dyDescent="0.25">
      <c r="A154" s="1">
        <v>46246</v>
      </c>
      <c r="B154" s="33">
        <v>83.42</v>
      </c>
      <c r="C154" s="33">
        <v>85.2</v>
      </c>
      <c r="D154" s="15">
        <v>-3.2782088900848202E-2</v>
      </c>
      <c r="E154" s="15">
        <v>-2.7208624896590702E-2</v>
      </c>
      <c r="F154" s="33">
        <v>0</v>
      </c>
      <c r="G154" s="33">
        <v>0</v>
      </c>
      <c r="H154" s="33">
        <v>0</v>
      </c>
      <c r="I154" s="33">
        <v>0</v>
      </c>
      <c r="J154" s="33">
        <v>0</v>
      </c>
      <c r="K154" s="33">
        <v>0</v>
      </c>
      <c r="L154" s="33">
        <v>83.42</v>
      </c>
      <c r="M154" s="33">
        <v>85.2</v>
      </c>
      <c r="N154" s="34">
        <v>1.0213378086789699</v>
      </c>
      <c r="O154" s="34">
        <v>1.03934289630393</v>
      </c>
      <c r="P154" s="34">
        <v>1.01983846758869</v>
      </c>
      <c r="Q154" s="34">
        <v>1.0198656358789699</v>
      </c>
      <c r="R154" s="33">
        <v>86.701984409674296</v>
      </c>
      <c r="S154" s="33">
        <v>85.106258703671898</v>
      </c>
      <c r="T154" s="33">
        <v>85.082714006894506</v>
      </c>
      <c r="U154" s="15">
        <v>1.7475337920832602E-2</v>
      </c>
      <c r="V154" s="15">
        <v>-1.1008556762215199E-3</v>
      </c>
      <c r="W154" s="15">
        <v>-1.37754454216392E-3</v>
      </c>
      <c r="X154" s="34">
        <v>1.0213378086789699</v>
      </c>
      <c r="Y154" s="34">
        <v>1.03934289630393</v>
      </c>
      <c r="Z154" s="34">
        <v>1.01983846758869</v>
      </c>
      <c r="AA154" s="34">
        <v>1.0198656358789699</v>
      </c>
      <c r="AB154" s="33">
        <v>86.701984409674296</v>
      </c>
      <c r="AC154" s="33">
        <v>85.106258703671898</v>
      </c>
      <c r="AD154" s="33">
        <v>85.082714006894506</v>
      </c>
      <c r="AE154" s="15">
        <v>1.7475337920832602E-2</v>
      </c>
      <c r="AF154" s="15">
        <v>-1.1008556762215199E-3</v>
      </c>
      <c r="AG154" s="15">
        <v>-1.37754454216392E-3</v>
      </c>
      <c r="AI154" s="12"/>
      <c r="AJ154">
        <f t="shared" si="46"/>
        <v>0</v>
      </c>
      <c r="AK154">
        <f t="shared" si="47"/>
        <v>1</v>
      </c>
      <c r="AL154">
        <f t="shared" si="54"/>
        <v>0</v>
      </c>
      <c r="AM154">
        <f t="shared" si="44"/>
        <v>1</v>
      </c>
      <c r="AN154">
        <f t="shared" si="55"/>
        <v>0</v>
      </c>
      <c r="AO154" s="28">
        <f t="shared" si="48"/>
        <v>0</v>
      </c>
      <c r="AP154" s="28">
        <f t="shared" si="49"/>
        <v>0</v>
      </c>
      <c r="AQ154" s="28">
        <f t="shared" si="56"/>
        <v>0</v>
      </c>
      <c r="AR154" s="29">
        <f t="shared" si="57"/>
        <v>3.5934765102103056E-2</v>
      </c>
      <c r="AT154" s="12"/>
      <c r="AU154">
        <f t="shared" si="50"/>
        <v>0</v>
      </c>
      <c r="AV154">
        <f t="shared" si="51"/>
        <v>1</v>
      </c>
      <c r="AW154">
        <f t="shared" si="58"/>
        <v>1</v>
      </c>
      <c r="AX154">
        <f t="shared" si="45"/>
        <v>1</v>
      </c>
      <c r="AY154">
        <f t="shared" si="59"/>
        <v>1</v>
      </c>
      <c r="AZ154" s="28">
        <f t="shared" si="52"/>
        <v>3.2782088900848202E-2</v>
      </c>
      <c r="BA154" s="28">
        <f t="shared" si="53"/>
        <v>-2.7208624896590702E-2</v>
      </c>
      <c r="BB154" s="28">
        <f t="shared" si="60"/>
        <v>5.5734640042575008E-3</v>
      </c>
      <c r="BC154" s="29">
        <f t="shared" si="61"/>
        <v>4.3502793683705104E-2</v>
      </c>
      <c r="BE154" s="29">
        <f t="shared" si="62"/>
        <v>5.5734640042575008E-3</v>
      </c>
      <c r="BF154" s="29">
        <f t="shared" si="63"/>
        <v>7.9437558785808146E-2</v>
      </c>
      <c r="BH154" s="29"/>
    </row>
    <row r="155" spans="1:60" x14ac:dyDescent="0.25">
      <c r="A155" s="1">
        <v>46247</v>
      </c>
      <c r="B155" s="33">
        <v>85.82</v>
      </c>
      <c r="C155" s="33">
        <v>87.54</v>
      </c>
      <c r="D155" s="15">
        <v>2.83639907945793E-2</v>
      </c>
      <c r="E155" s="15">
        <v>2.7094397927479301E-2</v>
      </c>
      <c r="F155" s="33">
        <v>0</v>
      </c>
      <c r="G155" s="33">
        <v>0</v>
      </c>
      <c r="H155" s="33">
        <v>0</v>
      </c>
      <c r="I155" s="33">
        <v>0</v>
      </c>
      <c r="J155" s="33">
        <v>0</v>
      </c>
      <c r="K155" s="33">
        <v>0</v>
      </c>
      <c r="L155" s="33">
        <v>85.82</v>
      </c>
      <c r="M155" s="33">
        <v>87.54</v>
      </c>
      <c r="N155" s="34">
        <v>1.0200419482637999</v>
      </c>
      <c r="O155" s="34">
        <v>1.03934289630393</v>
      </c>
      <c r="P155" s="34">
        <v>1.0194087093818101</v>
      </c>
      <c r="Q155" s="34">
        <v>1.0198882666884299</v>
      </c>
      <c r="R155" s="33">
        <v>89.196407360803704</v>
      </c>
      <c r="S155" s="33">
        <v>87.522537288462104</v>
      </c>
      <c r="T155" s="33">
        <v>87.524868871133506</v>
      </c>
      <c r="U155" s="15">
        <v>1.8744930787932601E-2</v>
      </c>
      <c r="V155" s="15">
        <v>-1.9950255338771499E-4</v>
      </c>
      <c r="W155" s="15">
        <v>-1.72863110704801E-4</v>
      </c>
      <c r="X155" s="34">
        <v>1.0200419482637999</v>
      </c>
      <c r="Y155" s="34">
        <v>1.03934289630393</v>
      </c>
      <c r="Z155" s="34">
        <v>1.0194087093818101</v>
      </c>
      <c r="AA155" s="34">
        <v>1.0198882666884299</v>
      </c>
      <c r="AB155" s="33">
        <v>89.196407360803704</v>
      </c>
      <c r="AC155" s="33">
        <v>87.522537288462104</v>
      </c>
      <c r="AD155" s="33">
        <v>87.524868871133506</v>
      </c>
      <c r="AE155" s="15">
        <v>1.8744930787932601E-2</v>
      </c>
      <c r="AF155" s="15">
        <v>-1.9950255338771499E-4</v>
      </c>
      <c r="AG155" s="15">
        <v>-1.72863110704801E-4</v>
      </c>
      <c r="AI155" s="12"/>
      <c r="AJ155">
        <f t="shared" si="46"/>
        <v>0</v>
      </c>
      <c r="AK155">
        <f t="shared" si="47"/>
        <v>1</v>
      </c>
      <c r="AL155">
        <f t="shared" si="54"/>
        <v>0</v>
      </c>
      <c r="AM155">
        <f t="shared" si="44"/>
        <v>1</v>
      </c>
      <c r="AN155">
        <f t="shared" si="55"/>
        <v>0</v>
      </c>
      <c r="AO155" s="28">
        <f t="shared" si="48"/>
        <v>0</v>
      </c>
      <c r="AP155" s="28">
        <f t="shared" si="49"/>
        <v>0</v>
      </c>
      <c r="AQ155" s="28">
        <f t="shared" si="56"/>
        <v>0</v>
      </c>
      <c r="AR155" s="29">
        <f t="shared" si="57"/>
        <v>3.5934765102103056E-2</v>
      </c>
      <c r="AT155" s="12"/>
      <c r="AU155">
        <f t="shared" si="50"/>
        <v>0</v>
      </c>
      <c r="AV155">
        <f t="shared" si="51"/>
        <v>1</v>
      </c>
      <c r="AW155">
        <f t="shared" si="58"/>
        <v>0</v>
      </c>
      <c r="AX155">
        <f t="shared" si="45"/>
        <v>1</v>
      </c>
      <c r="AY155">
        <f t="shared" si="59"/>
        <v>0</v>
      </c>
      <c r="AZ155" s="28">
        <f t="shared" si="52"/>
        <v>0</v>
      </c>
      <c r="BA155" s="28">
        <f t="shared" si="53"/>
        <v>0</v>
      </c>
      <c r="BB155" s="28">
        <f t="shared" si="60"/>
        <v>0</v>
      </c>
      <c r="BC155" s="29">
        <f t="shared" si="61"/>
        <v>4.3502793683705104E-2</v>
      </c>
      <c r="BE155" s="29">
        <f t="shared" si="62"/>
        <v>0</v>
      </c>
      <c r="BF155" s="29">
        <f t="shared" si="63"/>
        <v>7.9437558785808146E-2</v>
      </c>
      <c r="BH155" s="29"/>
    </row>
    <row r="156" spans="1:60" x14ac:dyDescent="0.25">
      <c r="A156" s="1">
        <v>46248</v>
      </c>
      <c r="B156" s="33">
        <v>85.36</v>
      </c>
      <c r="C156" s="33">
        <v>86.83</v>
      </c>
      <c r="D156" s="15">
        <v>-5.3744725698806001E-3</v>
      </c>
      <c r="E156" s="15">
        <v>-8.1436476901955504E-3</v>
      </c>
      <c r="F156" s="33">
        <v>0</v>
      </c>
      <c r="G156" s="33">
        <v>0</v>
      </c>
      <c r="H156" s="33">
        <v>0</v>
      </c>
      <c r="I156" s="33">
        <v>0</v>
      </c>
      <c r="J156" s="33">
        <v>0</v>
      </c>
      <c r="K156" s="33">
        <v>0</v>
      </c>
      <c r="L156" s="33">
        <v>85.36</v>
      </c>
      <c r="M156" s="33">
        <v>86.83</v>
      </c>
      <c r="N156" s="34">
        <v>1.0172211808809699</v>
      </c>
      <c r="O156" s="34">
        <v>1.03934289630393</v>
      </c>
      <c r="P156" s="34">
        <v>1.0190862178044799</v>
      </c>
      <c r="Q156" s="34">
        <v>1.0197027150473199</v>
      </c>
      <c r="R156" s="33">
        <v>88.718309628503903</v>
      </c>
      <c r="S156" s="33">
        <v>87.016727432831402</v>
      </c>
      <c r="T156" s="33">
        <v>87.057662444524894</v>
      </c>
      <c r="U156" s="15">
        <v>2.15141059082475E-2</v>
      </c>
      <c r="V156" s="15">
        <v>2.1481854435388098E-3</v>
      </c>
      <c r="W156" s="15">
        <v>2.6185017545925201E-3</v>
      </c>
      <c r="X156" s="34">
        <v>1.0172211808809699</v>
      </c>
      <c r="Y156" s="34">
        <v>1.03934289630393</v>
      </c>
      <c r="Z156" s="34">
        <v>1.0190862178044799</v>
      </c>
      <c r="AA156" s="34">
        <v>1.0197027150473199</v>
      </c>
      <c r="AB156" s="33">
        <v>88.718309628503903</v>
      </c>
      <c r="AC156" s="33">
        <v>87.016727432831402</v>
      </c>
      <c r="AD156" s="33">
        <v>87.057662444524894</v>
      </c>
      <c r="AE156" s="15">
        <v>2.15141059082475E-2</v>
      </c>
      <c r="AF156" s="15">
        <v>2.1481854435388098E-3</v>
      </c>
      <c r="AG156" s="15">
        <v>2.6185017545925201E-3</v>
      </c>
      <c r="AI156" s="12"/>
      <c r="AJ156">
        <f t="shared" si="46"/>
        <v>0</v>
      </c>
      <c r="AK156">
        <f t="shared" si="47"/>
        <v>1</v>
      </c>
      <c r="AL156">
        <f t="shared" si="54"/>
        <v>0</v>
      </c>
      <c r="AM156">
        <f t="shared" si="44"/>
        <v>1</v>
      </c>
      <c r="AN156">
        <f t="shared" si="55"/>
        <v>0</v>
      </c>
      <c r="AO156" s="28">
        <f t="shared" si="48"/>
        <v>0</v>
      </c>
      <c r="AP156" s="28">
        <f t="shared" si="49"/>
        <v>0</v>
      </c>
      <c r="AQ156" s="28">
        <f t="shared" si="56"/>
        <v>0</v>
      </c>
      <c r="AR156" s="29">
        <f t="shared" si="57"/>
        <v>3.5934765102103056E-2</v>
      </c>
      <c r="AT156" s="12"/>
      <c r="AU156">
        <f t="shared" si="50"/>
        <v>0</v>
      </c>
      <c r="AV156">
        <f t="shared" si="51"/>
        <v>0</v>
      </c>
      <c r="AW156">
        <f t="shared" si="58"/>
        <v>0</v>
      </c>
      <c r="AX156">
        <f t="shared" si="45"/>
        <v>1</v>
      </c>
      <c r="AY156">
        <f t="shared" si="59"/>
        <v>0</v>
      </c>
      <c r="AZ156" s="28">
        <f t="shared" si="52"/>
        <v>0</v>
      </c>
      <c r="BA156" s="28">
        <f t="shared" si="53"/>
        <v>0</v>
      </c>
      <c r="BB156" s="28">
        <f t="shared" si="60"/>
        <v>0</v>
      </c>
      <c r="BC156" s="29">
        <f t="shared" si="61"/>
        <v>4.3502793683705104E-2</v>
      </c>
      <c r="BE156" s="29">
        <f t="shared" si="62"/>
        <v>0</v>
      </c>
      <c r="BF156" s="29">
        <f t="shared" si="63"/>
        <v>7.9437558785808146E-2</v>
      </c>
      <c r="BH156" s="29"/>
    </row>
    <row r="157" spans="1:60" x14ac:dyDescent="0.25">
      <c r="A157" s="1">
        <v>46251</v>
      </c>
      <c r="B157" s="33">
        <v>84.8</v>
      </c>
      <c r="C157" s="33">
        <v>86.54</v>
      </c>
      <c r="D157" s="15">
        <v>-6.5820641956405501E-3</v>
      </c>
      <c r="E157" s="15">
        <v>-3.3454492758149298E-3</v>
      </c>
      <c r="F157" s="33">
        <v>0</v>
      </c>
      <c r="G157" s="33">
        <v>0</v>
      </c>
      <c r="H157" s="33">
        <v>0</v>
      </c>
      <c r="I157" s="33">
        <v>0</v>
      </c>
      <c r="J157" s="33">
        <v>0</v>
      </c>
      <c r="K157" s="33">
        <v>0</v>
      </c>
      <c r="L157" s="33">
        <v>84.8</v>
      </c>
      <c r="M157" s="33">
        <v>86.54</v>
      </c>
      <c r="N157" s="34">
        <v>1.0205188679245201</v>
      </c>
      <c r="O157" s="34">
        <v>1.03934289630393</v>
      </c>
      <c r="P157" s="34">
        <v>1.0189675805532801</v>
      </c>
      <c r="Q157" s="34">
        <v>1.0197759848110901</v>
      </c>
      <c r="R157" s="33">
        <v>88.136277606573699</v>
      </c>
      <c r="S157" s="33">
        <v>86.418511269820002</v>
      </c>
      <c r="T157" s="33">
        <v>86.470790236012704</v>
      </c>
      <c r="U157" s="15">
        <v>1.8277490988422102E-2</v>
      </c>
      <c r="V157" s="15">
        <v>-1.4048311270532701E-3</v>
      </c>
      <c r="W157" s="15">
        <v>-8.0006302016925402E-4</v>
      </c>
      <c r="X157" s="34">
        <v>1.0205188679245201</v>
      </c>
      <c r="Y157" s="34">
        <v>1.03934289630393</v>
      </c>
      <c r="Z157" s="34">
        <v>1.0189675805532801</v>
      </c>
      <c r="AA157" s="34">
        <v>1.0197759848110901</v>
      </c>
      <c r="AB157" s="33">
        <v>88.136277606573699</v>
      </c>
      <c r="AC157" s="33">
        <v>86.418511269820002</v>
      </c>
      <c r="AD157" s="33">
        <v>86.470790236012704</v>
      </c>
      <c r="AE157" s="15">
        <v>1.8277490988422102E-2</v>
      </c>
      <c r="AF157" s="15">
        <v>-1.4048311270532701E-3</v>
      </c>
      <c r="AG157" s="15">
        <v>-8.0006302016925402E-4</v>
      </c>
      <c r="AI157" s="12"/>
      <c r="AJ157">
        <f t="shared" si="46"/>
        <v>0</v>
      </c>
      <c r="AK157">
        <f t="shared" si="47"/>
        <v>1</v>
      </c>
      <c r="AL157">
        <f t="shared" si="54"/>
        <v>0</v>
      </c>
      <c r="AM157">
        <f t="shared" si="44"/>
        <v>1</v>
      </c>
      <c r="AN157">
        <f t="shared" si="55"/>
        <v>0</v>
      </c>
      <c r="AO157" s="28">
        <f t="shared" si="48"/>
        <v>0</v>
      </c>
      <c r="AP157" s="28">
        <f t="shared" si="49"/>
        <v>0</v>
      </c>
      <c r="AQ157" s="28">
        <f t="shared" si="56"/>
        <v>0</v>
      </c>
      <c r="AR157" s="29">
        <f t="shared" si="57"/>
        <v>3.5934765102103056E-2</v>
      </c>
      <c r="AT157" s="12"/>
      <c r="AU157">
        <f t="shared" si="50"/>
        <v>0</v>
      </c>
      <c r="AV157">
        <f t="shared" si="51"/>
        <v>1</v>
      </c>
      <c r="AW157">
        <f t="shared" si="58"/>
        <v>0</v>
      </c>
      <c r="AX157">
        <f t="shared" si="45"/>
        <v>1</v>
      </c>
      <c r="AY157">
        <f t="shared" si="59"/>
        <v>0</v>
      </c>
      <c r="AZ157" s="28">
        <f t="shared" si="52"/>
        <v>0</v>
      </c>
      <c r="BA157" s="28">
        <f t="shared" si="53"/>
        <v>0</v>
      </c>
      <c r="BB157" s="28">
        <f t="shared" si="60"/>
        <v>0</v>
      </c>
      <c r="BC157" s="29">
        <f t="shared" si="61"/>
        <v>4.3502793683705104E-2</v>
      </c>
      <c r="BE157" s="29">
        <f t="shared" si="62"/>
        <v>0</v>
      </c>
      <c r="BF157" s="29">
        <f t="shared" si="63"/>
        <v>7.9437558785808146E-2</v>
      </c>
      <c r="BH157" s="29"/>
    </row>
    <row r="158" spans="1:60" x14ac:dyDescent="0.25">
      <c r="A158" s="1">
        <v>46252</v>
      </c>
      <c r="B158" s="33">
        <v>83.5</v>
      </c>
      <c r="C158" s="33">
        <v>84.94</v>
      </c>
      <c r="D158" s="15">
        <v>-1.5448910941047601E-2</v>
      </c>
      <c r="E158" s="15">
        <v>-1.86616099116137E-2</v>
      </c>
      <c r="F158" s="33">
        <v>0</v>
      </c>
      <c r="G158" s="33">
        <v>0</v>
      </c>
      <c r="H158" s="33">
        <v>0</v>
      </c>
      <c r="I158" s="33">
        <v>0</v>
      </c>
      <c r="J158" s="33">
        <v>0</v>
      </c>
      <c r="K158" s="33">
        <v>0</v>
      </c>
      <c r="L158" s="33">
        <v>83.5</v>
      </c>
      <c r="M158" s="33">
        <v>84.94</v>
      </c>
      <c r="N158" s="34">
        <v>1.01724550898203</v>
      </c>
      <c r="O158" s="34">
        <v>1.03934289630393</v>
      </c>
      <c r="P158" s="34">
        <v>1.01880710627879</v>
      </c>
      <c r="Q158" s="34">
        <v>1.0197490673737299</v>
      </c>
      <c r="R158" s="33">
        <v>86.7851318413786</v>
      </c>
      <c r="S158" s="33">
        <v>85.083792976199206</v>
      </c>
      <c r="T158" s="33">
        <v>85.151294731726296</v>
      </c>
      <c r="U158" s="15">
        <v>2.1490189958988298E-2</v>
      </c>
      <c r="V158" s="15">
        <v>1.69144574373609E-3</v>
      </c>
      <c r="W158" s="15">
        <v>2.4844874130384499E-3</v>
      </c>
      <c r="X158" s="34">
        <v>1.01724550898203</v>
      </c>
      <c r="Y158" s="34">
        <v>1.03934289630393</v>
      </c>
      <c r="Z158" s="34">
        <v>1.01880710627879</v>
      </c>
      <c r="AA158" s="34">
        <v>1.0197490673737299</v>
      </c>
      <c r="AB158" s="33">
        <v>86.7851318413786</v>
      </c>
      <c r="AC158" s="33">
        <v>85.083792976199206</v>
      </c>
      <c r="AD158" s="33">
        <v>85.151294731726296</v>
      </c>
      <c r="AE158" s="15">
        <v>2.1490189958988298E-2</v>
      </c>
      <c r="AF158" s="15">
        <v>1.69144574373609E-3</v>
      </c>
      <c r="AG158" s="15">
        <v>2.4844874130384499E-3</v>
      </c>
      <c r="AI158" s="12"/>
      <c r="AJ158">
        <f t="shared" si="46"/>
        <v>0</v>
      </c>
      <c r="AK158">
        <f t="shared" si="47"/>
        <v>1</v>
      </c>
      <c r="AL158">
        <f t="shared" si="54"/>
        <v>0</v>
      </c>
      <c r="AM158">
        <f t="shared" si="44"/>
        <v>1</v>
      </c>
      <c r="AN158">
        <f t="shared" si="55"/>
        <v>0</v>
      </c>
      <c r="AO158" s="28">
        <f t="shared" si="48"/>
        <v>0</v>
      </c>
      <c r="AP158" s="28">
        <f t="shared" si="49"/>
        <v>0</v>
      </c>
      <c r="AQ158" s="28">
        <f t="shared" si="56"/>
        <v>0</v>
      </c>
      <c r="AR158" s="29">
        <f t="shared" si="57"/>
        <v>3.5934765102103056E-2</v>
      </c>
      <c r="AT158" s="12"/>
      <c r="AU158">
        <f t="shared" si="50"/>
        <v>0</v>
      </c>
      <c r="AV158">
        <f t="shared" si="51"/>
        <v>0</v>
      </c>
      <c r="AW158">
        <f t="shared" si="58"/>
        <v>0</v>
      </c>
      <c r="AX158">
        <f t="shared" si="45"/>
        <v>1</v>
      </c>
      <c r="AY158">
        <f t="shared" si="59"/>
        <v>0</v>
      </c>
      <c r="AZ158" s="28">
        <f t="shared" si="52"/>
        <v>0</v>
      </c>
      <c r="BA158" s="28">
        <f t="shared" si="53"/>
        <v>0</v>
      </c>
      <c r="BB158" s="28">
        <f t="shared" si="60"/>
        <v>0</v>
      </c>
      <c r="BC158" s="29">
        <f t="shared" si="61"/>
        <v>4.3502793683705104E-2</v>
      </c>
      <c r="BE158" s="29">
        <f t="shared" si="62"/>
        <v>0</v>
      </c>
      <c r="BF158" s="29">
        <f t="shared" si="63"/>
        <v>7.9437558785808146E-2</v>
      </c>
      <c r="BH158" s="29"/>
    </row>
    <row r="159" spans="1:60" x14ac:dyDescent="0.25">
      <c r="A159" s="1">
        <v>46253</v>
      </c>
      <c r="B159" s="33">
        <v>85.87</v>
      </c>
      <c r="C159" s="33">
        <v>87.3</v>
      </c>
      <c r="D159" s="15">
        <v>2.7987892827583499E-2</v>
      </c>
      <c r="E159" s="15">
        <v>2.7405337960431399E-2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85.87</v>
      </c>
      <c r="M159" s="33">
        <v>87.3</v>
      </c>
      <c r="N159" s="34">
        <v>1.01665308023756</v>
      </c>
      <c r="O159" s="34">
        <v>1.03934289630393</v>
      </c>
      <c r="P159" s="34">
        <v>1.0188065188837601</v>
      </c>
      <c r="Q159" s="34">
        <v>1.01960120754671</v>
      </c>
      <c r="R159" s="33">
        <v>89.248374505618997</v>
      </c>
      <c r="S159" s="33">
        <v>87.484966216159805</v>
      </c>
      <c r="T159" s="33">
        <v>87.565852415382906</v>
      </c>
      <c r="U159" s="15">
        <v>2.2072744826140401E-2</v>
      </c>
      <c r="V159" s="15">
        <v>2.1165010837212099E-3</v>
      </c>
      <c r="W159" s="15">
        <v>3.0406464903201401E-3</v>
      </c>
      <c r="X159" s="34">
        <v>1.01665308023756</v>
      </c>
      <c r="Y159" s="34">
        <v>1.03934289630393</v>
      </c>
      <c r="Z159" s="34">
        <v>1.0188065188837601</v>
      </c>
      <c r="AA159" s="34">
        <v>1.01960120754671</v>
      </c>
      <c r="AB159" s="33">
        <v>89.248374505618997</v>
      </c>
      <c r="AC159" s="33">
        <v>87.484966216159805</v>
      </c>
      <c r="AD159" s="33">
        <v>87.565852415382906</v>
      </c>
      <c r="AE159" s="15">
        <v>2.2072744826140401E-2</v>
      </c>
      <c r="AF159" s="15">
        <v>2.1165010837212099E-3</v>
      </c>
      <c r="AG159" s="15">
        <v>3.0406464903201401E-3</v>
      </c>
      <c r="AI159" s="12"/>
      <c r="AJ159">
        <f t="shared" si="46"/>
        <v>0</v>
      </c>
      <c r="AK159">
        <f t="shared" si="47"/>
        <v>1</v>
      </c>
      <c r="AL159">
        <f t="shared" si="54"/>
        <v>0</v>
      </c>
      <c r="AM159">
        <f t="shared" si="44"/>
        <v>1</v>
      </c>
      <c r="AN159">
        <f t="shared" si="55"/>
        <v>0</v>
      </c>
      <c r="AO159" s="28">
        <f t="shared" si="48"/>
        <v>0</v>
      </c>
      <c r="AP159" s="28">
        <f t="shared" si="49"/>
        <v>0</v>
      </c>
      <c r="AQ159" s="28">
        <f t="shared" si="56"/>
        <v>0</v>
      </c>
      <c r="AR159" s="29">
        <f t="shared" si="57"/>
        <v>3.5934765102103056E-2</v>
      </c>
      <c r="AT159" s="12"/>
      <c r="AU159">
        <f t="shared" si="50"/>
        <v>0</v>
      </c>
      <c r="AV159">
        <f t="shared" si="51"/>
        <v>0</v>
      </c>
      <c r="AW159">
        <f t="shared" si="58"/>
        <v>0</v>
      </c>
      <c r="AX159">
        <f t="shared" si="45"/>
        <v>1</v>
      </c>
      <c r="AY159">
        <f t="shared" si="59"/>
        <v>0</v>
      </c>
      <c r="AZ159" s="28">
        <f t="shared" si="52"/>
        <v>0</v>
      </c>
      <c r="BA159" s="28">
        <f t="shared" si="53"/>
        <v>0</v>
      </c>
      <c r="BB159" s="28">
        <f t="shared" si="60"/>
        <v>0</v>
      </c>
      <c r="BC159" s="29">
        <f t="shared" si="61"/>
        <v>4.3502793683705104E-2</v>
      </c>
      <c r="BE159" s="29">
        <f t="shared" si="62"/>
        <v>0</v>
      </c>
      <c r="BF159" s="29">
        <f t="shared" si="63"/>
        <v>7.9437558785808146E-2</v>
      </c>
      <c r="BH159" s="29"/>
    </row>
    <row r="160" spans="1:60" x14ac:dyDescent="0.25">
      <c r="A160" s="1">
        <v>46254</v>
      </c>
      <c r="B160" s="33">
        <v>83.84</v>
      </c>
      <c r="C160" s="33">
        <v>85.42</v>
      </c>
      <c r="D160" s="15">
        <v>-2.3924304111661299E-2</v>
      </c>
      <c r="E160" s="15">
        <v>-2.1770197432235999E-2</v>
      </c>
      <c r="F160" s="33">
        <v>0</v>
      </c>
      <c r="G160" s="33">
        <v>0</v>
      </c>
      <c r="H160" s="33">
        <v>0</v>
      </c>
      <c r="I160" s="33">
        <v>0</v>
      </c>
      <c r="J160" s="33">
        <v>0</v>
      </c>
      <c r="K160" s="33">
        <v>0</v>
      </c>
      <c r="L160" s="33">
        <v>83.84</v>
      </c>
      <c r="M160" s="33">
        <v>85.42</v>
      </c>
      <c r="N160" s="34">
        <v>1.01884541984732</v>
      </c>
      <c r="O160" s="34">
        <v>1.03934289630393</v>
      </c>
      <c r="P160" s="34">
        <v>1.0188418773910599</v>
      </c>
      <c r="Q160" s="34">
        <v>1.01967008904453</v>
      </c>
      <c r="R160" s="33">
        <v>87.138508426122002</v>
      </c>
      <c r="S160" s="33">
        <v>85.416738543214393</v>
      </c>
      <c r="T160" s="33">
        <v>85.483365240716907</v>
      </c>
      <c r="U160" s="15">
        <v>1.9918638146715E-2</v>
      </c>
      <c r="V160" s="15">
        <v>-3.81821476308539E-5</v>
      </c>
      <c r="W160" s="15">
        <v>7.4153301231092003E-4</v>
      </c>
      <c r="X160" s="34">
        <v>1.01884541984732</v>
      </c>
      <c r="Y160" s="34">
        <v>1.03934289630393</v>
      </c>
      <c r="Z160" s="34">
        <v>1.0188418773910599</v>
      </c>
      <c r="AA160" s="34">
        <v>1.01967008904453</v>
      </c>
      <c r="AB160" s="33">
        <v>87.138508426122002</v>
      </c>
      <c r="AC160" s="33">
        <v>85.416738543214393</v>
      </c>
      <c r="AD160" s="33">
        <v>85.483365240716907</v>
      </c>
      <c r="AE160" s="15">
        <v>1.9918638146715E-2</v>
      </c>
      <c r="AF160" s="15">
        <v>-3.81821476308539E-5</v>
      </c>
      <c r="AG160" s="15">
        <v>7.4153301231092003E-4</v>
      </c>
      <c r="AI160" s="12"/>
      <c r="AJ160">
        <f t="shared" si="46"/>
        <v>0</v>
      </c>
      <c r="AK160">
        <f t="shared" si="47"/>
        <v>1</v>
      </c>
      <c r="AL160">
        <f t="shared" si="54"/>
        <v>0</v>
      </c>
      <c r="AM160">
        <f t="shared" si="44"/>
        <v>1</v>
      </c>
      <c r="AN160">
        <f t="shared" si="55"/>
        <v>0</v>
      </c>
      <c r="AO160" s="28">
        <f t="shared" si="48"/>
        <v>0</v>
      </c>
      <c r="AP160" s="28">
        <f t="shared" si="49"/>
        <v>0</v>
      </c>
      <c r="AQ160" s="28">
        <f t="shared" si="56"/>
        <v>0</v>
      </c>
      <c r="AR160" s="29">
        <f t="shared" si="57"/>
        <v>3.5934765102103056E-2</v>
      </c>
      <c r="AT160" s="12"/>
      <c r="AU160">
        <f t="shared" si="50"/>
        <v>0</v>
      </c>
      <c r="AV160">
        <f t="shared" si="51"/>
        <v>1</v>
      </c>
      <c r="AW160">
        <f t="shared" si="58"/>
        <v>0</v>
      </c>
      <c r="AX160">
        <f t="shared" si="45"/>
        <v>1</v>
      </c>
      <c r="AY160">
        <f t="shared" si="59"/>
        <v>0</v>
      </c>
      <c r="AZ160" s="28">
        <f t="shared" si="52"/>
        <v>0</v>
      </c>
      <c r="BA160" s="28">
        <f t="shared" si="53"/>
        <v>0</v>
      </c>
      <c r="BB160" s="28">
        <f t="shared" si="60"/>
        <v>0</v>
      </c>
      <c r="BC160" s="29">
        <f t="shared" si="61"/>
        <v>4.3502793683705104E-2</v>
      </c>
      <c r="BE160" s="29">
        <f t="shared" si="62"/>
        <v>0</v>
      </c>
      <c r="BF160" s="29">
        <f t="shared" si="63"/>
        <v>7.9437558785808146E-2</v>
      </c>
      <c r="BH160" s="29"/>
    </row>
    <row r="161" spans="1:60" x14ac:dyDescent="0.25">
      <c r="A161" s="1">
        <v>46255</v>
      </c>
      <c r="B161" s="33">
        <v>85.49</v>
      </c>
      <c r="C161" s="33">
        <v>87.02</v>
      </c>
      <c r="D161" s="15">
        <v>1.94891894654102E-2</v>
      </c>
      <c r="E161" s="15">
        <v>1.8557711879213599E-2</v>
      </c>
      <c r="F161" s="33">
        <v>0</v>
      </c>
      <c r="G161" s="33">
        <v>0</v>
      </c>
      <c r="H161" s="33">
        <v>0</v>
      </c>
      <c r="I161" s="33">
        <v>0</v>
      </c>
      <c r="J161" s="33">
        <v>0</v>
      </c>
      <c r="K161" s="33">
        <v>0</v>
      </c>
      <c r="L161" s="33">
        <v>85.49</v>
      </c>
      <c r="M161" s="33">
        <v>87.02</v>
      </c>
      <c r="N161" s="34">
        <v>1.0178968300386</v>
      </c>
      <c r="O161" s="34">
        <v>1.03934289630393</v>
      </c>
      <c r="P161" s="34">
        <v>1.01866578796199</v>
      </c>
      <c r="Q161" s="34">
        <v>1.0195277863110499</v>
      </c>
      <c r="R161" s="33">
        <v>88.853424205023501</v>
      </c>
      <c r="S161" s="33">
        <v>87.100792098162302</v>
      </c>
      <c r="T161" s="33">
        <v>87.171595912417402</v>
      </c>
      <c r="U161" s="15">
        <v>2.08501157329118E-2</v>
      </c>
      <c r="V161" s="15">
        <v>9.2800064813525196E-4</v>
      </c>
      <c r="W161" s="15">
        <v>1.7405656099067099E-3</v>
      </c>
      <c r="X161" s="34">
        <v>1.0178968300386</v>
      </c>
      <c r="Y161" s="34">
        <v>1.03934289630393</v>
      </c>
      <c r="Z161" s="34">
        <v>1.01866578796199</v>
      </c>
      <c r="AA161" s="34">
        <v>1.0195277863110499</v>
      </c>
      <c r="AB161" s="33">
        <v>88.853424205023501</v>
      </c>
      <c r="AC161" s="33">
        <v>87.100792098162302</v>
      </c>
      <c r="AD161" s="33">
        <v>87.171595912417402</v>
      </c>
      <c r="AE161" s="15">
        <v>2.08501157329118E-2</v>
      </c>
      <c r="AF161" s="15">
        <v>9.2800064813525196E-4</v>
      </c>
      <c r="AG161" s="15">
        <v>1.7405656099067099E-3</v>
      </c>
      <c r="AI161" s="12"/>
      <c r="AJ161">
        <f t="shared" si="46"/>
        <v>0</v>
      </c>
      <c r="AK161">
        <f t="shared" si="47"/>
        <v>1</v>
      </c>
      <c r="AL161">
        <f t="shared" si="54"/>
        <v>0</v>
      </c>
      <c r="AM161">
        <f t="shared" si="44"/>
        <v>1</v>
      </c>
      <c r="AN161">
        <f t="shared" si="55"/>
        <v>0</v>
      </c>
      <c r="AO161" s="28">
        <f t="shared" si="48"/>
        <v>0</v>
      </c>
      <c r="AP161" s="28">
        <f t="shared" si="49"/>
        <v>0</v>
      </c>
      <c r="AQ161" s="28">
        <f t="shared" si="56"/>
        <v>0</v>
      </c>
      <c r="AR161" s="29">
        <f t="shared" si="57"/>
        <v>3.5934765102103056E-2</v>
      </c>
      <c r="AT161" s="12"/>
      <c r="AU161">
        <f t="shared" si="50"/>
        <v>0</v>
      </c>
      <c r="AV161">
        <f t="shared" si="51"/>
        <v>1</v>
      </c>
      <c r="AW161">
        <f t="shared" si="58"/>
        <v>0</v>
      </c>
      <c r="AX161">
        <f t="shared" si="45"/>
        <v>1</v>
      </c>
      <c r="AY161">
        <f t="shared" si="59"/>
        <v>0</v>
      </c>
      <c r="AZ161" s="28">
        <f t="shared" si="52"/>
        <v>0</v>
      </c>
      <c r="BA161" s="28">
        <f t="shared" si="53"/>
        <v>0</v>
      </c>
      <c r="BB161" s="28">
        <f t="shared" si="60"/>
        <v>0</v>
      </c>
      <c r="BC161" s="29">
        <f t="shared" si="61"/>
        <v>4.3502793683705104E-2</v>
      </c>
      <c r="BE161" s="29">
        <f t="shared" si="62"/>
        <v>0</v>
      </c>
      <c r="BF161" s="29">
        <f t="shared" si="63"/>
        <v>7.9437558785808146E-2</v>
      </c>
      <c r="BH161" s="29"/>
    </row>
    <row r="162" spans="1:60" x14ac:dyDescent="0.25">
      <c r="A162" s="1">
        <v>46258</v>
      </c>
      <c r="B162" s="33">
        <v>86.77</v>
      </c>
      <c r="C162" s="33">
        <v>88.16</v>
      </c>
      <c r="D162" s="15">
        <v>1.4861529767256E-2</v>
      </c>
      <c r="E162" s="15">
        <v>1.30153681120702E-2</v>
      </c>
      <c r="F162" s="33">
        <v>0</v>
      </c>
      <c r="G162" s="33">
        <v>0</v>
      </c>
      <c r="H162" s="33">
        <v>0</v>
      </c>
      <c r="I162" s="33">
        <v>0</v>
      </c>
      <c r="J162" s="33">
        <v>0</v>
      </c>
      <c r="K162" s="33">
        <v>0</v>
      </c>
      <c r="L162" s="33">
        <v>86.77</v>
      </c>
      <c r="M162" s="33">
        <v>88.16</v>
      </c>
      <c r="N162" s="34">
        <v>1.01601936153048</v>
      </c>
      <c r="O162" s="34">
        <v>1.03934289630393</v>
      </c>
      <c r="P162" s="34">
        <v>1.0181441259284501</v>
      </c>
      <c r="Q162" s="34">
        <v>1.01928433662047</v>
      </c>
      <c r="R162" s="33">
        <v>90.183783112292502</v>
      </c>
      <c r="S162" s="33">
        <v>88.3896304214623</v>
      </c>
      <c r="T162" s="33">
        <v>88.464426018210602</v>
      </c>
      <c r="U162" s="15">
        <v>2.2696277388097399E-2</v>
      </c>
      <c r="V162" s="15">
        <v>2.6013144338330801E-3</v>
      </c>
      <c r="W162" s="15">
        <v>3.4471599034074799E-3</v>
      </c>
      <c r="X162" s="34">
        <v>1.01601936153048</v>
      </c>
      <c r="Y162" s="34">
        <v>1.03934289630393</v>
      </c>
      <c r="Z162" s="34">
        <v>1.0181441259284501</v>
      </c>
      <c r="AA162" s="34">
        <v>1.01928433662047</v>
      </c>
      <c r="AB162" s="33">
        <v>90.183783112292502</v>
      </c>
      <c r="AC162" s="33">
        <v>88.3896304214623</v>
      </c>
      <c r="AD162" s="33">
        <v>88.464426018210602</v>
      </c>
      <c r="AE162" s="15">
        <v>2.2696277388097399E-2</v>
      </c>
      <c r="AF162" s="15">
        <v>2.6013144338330801E-3</v>
      </c>
      <c r="AG162" s="15">
        <v>3.4471599034074799E-3</v>
      </c>
      <c r="AI162" s="12"/>
      <c r="AJ162">
        <f t="shared" si="46"/>
        <v>0</v>
      </c>
      <c r="AK162">
        <f t="shared" si="47"/>
        <v>1</v>
      </c>
      <c r="AL162">
        <f t="shared" si="54"/>
        <v>0</v>
      </c>
      <c r="AM162">
        <f t="shared" si="44"/>
        <v>1</v>
      </c>
      <c r="AN162">
        <f t="shared" si="55"/>
        <v>0</v>
      </c>
      <c r="AO162" s="28">
        <f t="shared" si="48"/>
        <v>0</v>
      </c>
      <c r="AP162" s="28">
        <f t="shared" si="49"/>
        <v>0</v>
      </c>
      <c r="AQ162" s="28">
        <f t="shared" si="56"/>
        <v>0</v>
      </c>
      <c r="AR162" s="29">
        <f t="shared" si="57"/>
        <v>3.5934765102103056E-2</v>
      </c>
      <c r="AT162" s="12"/>
      <c r="AU162">
        <f t="shared" si="50"/>
        <v>0</v>
      </c>
      <c r="AV162">
        <f t="shared" si="51"/>
        <v>0</v>
      </c>
      <c r="AW162">
        <f t="shared" si="58"/>
        <v>0</v>
      </c>
      <c r="AX162">
        <f t="shared" si="45"/>
        <v>1</v>
      </c>
      <c r="AY162">
        <f t="shared" si="59"/>
        <v>0</v>
      </c>
      <c r="AZ162" s="28">
        <f t="shared" si="52"/>
        <v>0</v>
      </c>
      <c r="BA162" s="28">
        <f t="shared" si="53"/>
        <v>0</v>
      </c>
      <c r="BB162" s="28">
        <f t="shared" si="60"/>
        <v>0</v>
      </c>
      <c r="BC162" s="29">
        <f t="shared" si="61"/>
        <v>4.3502793683705104E-2</v>
      </c>
      <c r="BE162" s="29">
        <f t="shared" si="62"/>
        <v>0</v>
      </c>
      <c r="BF162" s="29">
        <f t="shared" si="63"/>
        <v>7.9437558785808146E-2</v>
      </c>
      <c r="BH162" s="29"/>
    </row>
    <row r="163" spans="1:60" x14ac:dyDescent="0.25">
      <c r="A163" s="1">
        <v>46259</v>
      </c>
      <c r="B163" s="33">
        <v>86.12</v>
      </c>
      <c r="C163" s="33">
        <v>87.68</v>
      </c>
      <c r="D163" s="15">
        <v>-7.5192673092359698E-3</v>
      </c>
      <c r="E163" s="15">
        <v>-5.4595222048988701E-3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86.12</v>
      </c>
      <c r="M163" s="33">
        <v>87.68</v>
      </c>
      <c r="N163" s="34">
        <v>1.0181142591732399</v>
      </c>
      <c r="O163" s="34">
        <v>1.03934289630393</v>
      </c>
      <c r="P163" s="34">
        <v>1.01838942655575</v>
      </c>
      <c r="Q163" s="34">
        <v>1.0193017541773699</v>
      </c>
      <c r="R163" s="33">
        <v>89.508210229694896</v>
      </c>
      <c r="S163" s="33">
        <v>87.682572124958398</v>
      </c>
      <c r="T163" s="33">
        <v>87.780767069755399</v>
      </c>
      <c r="U163" s="15">
        <v>2.06365322837604E-2</v>
      </c>
      <c r="V163" s="15">
        <v>2.9334936496732E-5</v>
      </c>
      <c r="W163" s="15">
        <v>1.1485995703383899E-3</v>
      </c>
      <c r="X163" s="34">
        <v>1.0181142591732399</v>
      </c>
      <c r="Y163" s="34">
        <v>1.03934289630393</v>
      </c>
      <c r="Z163" s="34">
        <v>1.01838942655575</v>
      </c>
      <c r="AA163" s="34">
        <v>1.0193017541773699</v>
      </c>
      <c r="AB163" s="33">
        <v>89.508210229694896</v>
      </c>
      <c r="AC163" s="33">
        <v>87.682572124958398</v>
      </c>
      <c r="AD163" s="33">
        <v>87.780767069755399</v>
      </c>
      <c r="AE163" s="15">
        <v>2.06365322837604E-2</v>
      </c>
      <c r="AF163" s="15">
        <v>2.9334936496732E-5</v>
      </c>
      <c r="AG163" s="15">
        <v>1.1485995703383899E-3</v>
      </c>
      <c r="AI163" s="12"/>
      <c r="AJ163">
        <f t="shared" si="46"/>
        <v>0</v>
      </c>
      <c r="AK163">
        <f t="shared" si="47"/>
        <v>1</v>
      </c>
      <c r="AL163">
        <f t="shared" si="54"/>
        <v>0</v>
      </c>
      <c r="AM163">
        <f t="shared" si="44"/>
        <v>1</v>
      </c>
      <c r="AN163">
        <f t="shared" si="55"/>
        <v>0</v>
      </c>
      <c r="AO163" s="28">
        <f t="shared" si="48"/>
        <v>0</v>
      </c>
      <c r="AP163" s="28">
        <f t="shared" si="49"/>
        <v>0</v>
      </c>
      <c r="AQ163" s="28">
        <f t="shared" si="56"/>
        <v>0</v>
      </c>
      <c r="AR163" s="29">
        <f t="shared" si="57"/>
        <v>3.5934765102103056E-2</v>
      </c>
      <c r="AT163" s="12"/>
      <c r="AU163">
        <f t="shared" si="50"/>
        <v>0</v>
      </c>
      <c r="AV163">
        <f t="shared" si="51"/>
        <v>1</v>
      </c>
      <c r="AW163">
        <f t="shared" si="58"/>
        <v>0</v>
      </c>
      <c r="AX163">
        <f t="shared" si="45"/>
        <v>1</v>
      </c>
      <c r="AY163">
        <f t="shared" si="59"/>
        <v>0</v>
      </c>
      <c r="AZ163" s="28">
        <f t="shared" si="52"/>
        <v>0</v>
      </c>
      <c r="BA163" s="28">
        <f t="shared" si="53"/>
        <v>0</v>
      </c>
      <c r="BB163" s="28">
        <f t="shared" si="60"/>
        <v>0</v>
      </c>
      <c r="BC163" s="29">
        <f t="shared" si="61"/>
        <v>4.3502793683705104E-2</v>
      </c>
      <c r="BE163" s="29">
        <f t="shared" si="62"/>
        <v>0</v>
      </c>
      <c r="BF163" s="29">
        <f t="shared" si="63"/>
        <v>7.9437558785808146E-2</v>
      </c>
      <c r="BH163" s="29"/>
    </row>
    <row r="164" spans="1:60" x14ac:dyDescent="0.25">
      <c r="A164" s="1">
        <v>46260</v>
      </c>
      <c r="B164" s="33">
        <v>85.61</v>
      </c>
      <c r="C164" s="33">
        <v>87.15</v>
      </c>
      <c r="D164" s="15">
        <v>-5.9395737417680403E-3</v>
      </c>
      <c r="E164" s="15">
        <v>-6.0630512336754903E-3</v>
      </c>
      <c r="F164" s="33">
        <v>0</v>
      </c>
      <c r="G164" s="33">
        <v>0</v>
      </c>
      <c r="H164" s="33">
        <v>0</v>
      </c>
      <c r="I164" s="33">
        <v>0</v>
      </c>
      <c r="J164" s="33">
        <v>0</v>
      </c>
      <c r="K164" s="33">
        <v>0</v>
      </c>
      <c r="L164" s="33">
        <v>85.61</v>
      </c>
      <c r="M164" s="33">
        <v>87.15</v>
      </c>
      <c r="N164" s="34">
        <v>1.0179885527391599</v>
      </c>
      <c r="O164" s="34">
        <v>1.03934289630393</v>
      </c>
      <c r="P164" s="34">
        <v>1.0180545009617701</v>
      </c>
      <c r="Q164" s="34">
        <v>1.01894648427523</v>
      </c>
      <c r="R164" s="33">
        <v>88.978145352579901</v>
      </c>
      <c r="S164" s="33">
        <v>87.184318807438103</v>
      </c>
      <c r="T164" s="33">
        <v>87.262423175124894</v>
      </c>
      <c r="U164" s="15">
        <v>2.07600097756677E-2</v>
      </c>
      <c r="V164" s="15">
        <v>3.9371258758722399E-4</v>
      </c>
      <c r="W164" s="15">
        <v>1.2891649419055E-3</v>
      </c>
      <c r="X164" s="34">
        <v>1.0179885527391599</v>
      </c>
      <c r="Y164" s="34">
        <v>1.03934289630393</v>
      </c>
      <c r="Z164" s="34">
        <v>1.0180545009617701</v>
      </c>
      <c r="AA164" s="34">
        <v>1.01894648427523</v>
      </c>
      <c r="AB164" s="33">
        <v>88.978145352579901</v>
      </c>
      <c r="AC164" s="33">
        <v>87.184318807438103</v>
      </c>
      <c r="AD164" s="33">
        <v>87.262423175124894</v>
      </c>
      <c r="AE164" s="15">
        <v>2.07600097756677E-2</v>
      </c>
      <c r="AF164" s="15">
        <v>3.9371258758722399E-4</v>
      </c>
      <c r="AG164" s="15">
        <v>1.2891649419055E-3</v>
      </c>
      <c r="AI164" s="12"/>
      <c r="AJ164">
        <f t="shared" si="46"/>
        <v>0</v>
      </c>
      <c r="AK164">
        <f t="shared" si="47"/>
        <v>1</v>
      </c>
      <c r="AL164">
        <f t="shared" si="54"/>
        <v>0</v>
      </c>
      <c r="AM164">
        <f t="shared" si="44"/>
        <v>1</v>
      </c>
      <c r="AN164">
        <f t="shared" si="55"/>
        <v>0</v>
      </c>
      <c r="AO164" s="28">
        <f t="shared" si="48"/>
        <v>0</v>
      </c>
      <c r="AP164" s="28">
        <f t="shared" si="49"/>
        <v>0</v>
      </c>
      <c r="AQ164" s="28">
        <f t="shared" si="56"/>
        <v>0</v>
      </c>
      <c r="AR164" s="29">
        <f t="shared" si="57"/>
        <v>3.5934765102103056E-2</v>
      </c>
      <c r="AT164" s="12"/>
      <c r="AU164">
        <f t="shared" si="50"/>
        <v>0</v>
      </c>
      <c r="AV164">
        <f t="shared" si="51"/>
        <v>1</v>
      </c>
      <c r="AW164">
        <f t="shared" si="58"/>
        <v>0</v>
      </c>
      <c r="AX164">
        <f t="shared" si="45"/>
        <v>1</v>
      </c>
      <c r="AY164">
        <f t="shared" si="59"/>
        <v>0</v>
      </c>
      <c r="AZ164" s="28">
        <f t="shared" si="52"/>
        <v>0</v>
      </c>
      <c r="BA164" s="28">
        <f t="shared" si="53"/>
        <v>0</v>
      </c>
      <c r="BB164" s="28">
        <f t="shared" si="60"/>
        <v>0</v>
      </c>
      <c r="BC164" s="29">
        <f t="shared" si="61"/>
        <v>4.3502793683705104E-2</v>
      </c>
      <c r="BE164" s="29">
        <f t="shared" si="62"/>
        <v>0</v>
      </c>
      <c r="BF164" s="29">
        <f t="shared" si="63"/>
        <v>7.9437558785808146E-2</v>
      </c>
      <c r="BH164" s="29"/>
    </row>
    <row r="165" spans="1:60" x14ac:dyDescent="0.25">
      <c r="A165" s="1">
        <v>46261</v>
      </c>
      <c r="B165" s="33">
        <v>83.45</v>
      </c>
      <c r="C165" s="33">
        <v>85.11</v>
      </c>
      <c r="D165" s="15">
        <v>-2.5554448646550099E-2</v>
      </c>
      <c r="E165" s="15">
        <v>-2.3686234477160301E-2</v>
      </c>
      <c r="F165" s="33">
        <v>0</v>
      </c>
      <c r="G165" s="33">
        <v>0</v>
      </c>
      <c r="H165" s="33">
        <v>0</v>
      </c>
      <c r="I165" s="33">
        <v>0</v>
      </c>
      <c r="J165" s="33">
        <v>0</v>
      </c>
      <c r="K165" s="33">
        <v>0</v>
      </c>
      <c r="L165" s="33">
        <v>83.45</v>
      </c>
      <c r="M165" s="33">
        <v>85.11</v>
      </c>
      <c r="N165" s="34">
        <v>1.0198921509886101</v>
      </c>
      <c r="O165" s="34">
        <v>1.03934289630393</v>
      </c>
      <c r="P165" s="34">
        <v>1.0180395212342499</v>
      </c>
      <c r="Q165" s="34">
        <v>1.01872411530803</v>
      </c>
      <c r="R165" s="33">
        <v>86.733164696563406</v>
      </c>
      <c r="S165" s="33">
        <v>84.956648105260001</v>
      </c>
      <c r="T165" s="33">
        <v>85.031084112768397</v>
      </c>
      <c r="U165" s="15">
        <v>1.8891795606277899E-2</v>
      </c>
      <c r="V165" s="15">
        <v>-1.80343339521993E-3</v>
      </c>
      <c r="W165" s="15">
        <v>-9.2765240449967903E-4</v>
      </c>
      <c r="X165" s="34">
        <v>1.0198921509886101</v>
      </c>
      <c r="Y165" s="34">
        <v>1.03934289630393</v>
      </c>
      <c r="Z165" s="34">
        <v>1.0180395212342499</v>
      </c>
      <c r="AA165" s="34">
        <v>1.01872411530803</v>
      </c>
      <c r="AB165" s="33">
        <v>86.733164696563406</v>
      </c>
      <c r="AC165" s="33">
        <v>84.956648105260001</v>
      </c>
      <c r="AD165" s="33">
        <v>85.031084112768397</v>
      </c>
      <c r="AE165" s="15">
        <v>1.8891795606277899E-2</v>
      </c>
      <c r="AF165" s="15">
        <v>-1.80343339521993E-3</v>
      </c>
      <c r="AG165" s="15">
        <v>-9.2765240449967903E-4</v>
      </c>
      <c r="AI165" s="12"/>
      <c r="AJ165">
        <f t="shared" si="46"/>
        <v>0</v>
      </c>
      <c r="AK165">
        <f t="shared" si="47"/>
        <v>1</v>
      </c>
      <c r="AL165">
        <f t="shared" si="54"/>
        <v>0</v>
      </c>
      <c r="AM165">
        <f t="shared" si="44"/>
        <v>1</v>
      </c>
      <c r="AN165">
        <f t="shared" si="55"/>
        <v>0</v>
      </c>
      <c r="AO165" s="28">
        <f t="shared" si="48"/>
        <v>0</v>
      </c>
      <c r="AP165" s="28">
        <f t="shared" si="49"/>
        <v>0</v>
      </c>
      <c r="AQ165" s="28">
        <f t="shared" si="56"/>
        <v>0</v>
      </c>
      <c r="AR165" s="29">
        <f t="shared" si="57"/>
        <v>3.5934765102103056E-2</v>
      </c>
      <c r="AT165" s="12"/>
      <c r="AU165">
        <f t="shared" si="50"/>
        <v>0</v>
      </c>
      <c r="AV165">
        <f t="shared" si="51"/>
        <v>1</v>
      </c>
      <c r="AW165">
        <f t="shared" si="58"/>
        <v>0</v>
      </c>
      <c r="AX165">
        <f t="shared" si="45"/>
        <v>1</v>
      </c>
      <c r="AY165">
        <f t="shared" si="59"/>
        <v>0</v>
      </c>
      <c r="AZ165" s="28">
        <f t="shared" si="52"/>
        <v>0</v>
      </c>
      <c r="BA165" s="28">
        <f t="shared" si="53"/>
        <v>0</v>
      </c>
      <c r="BB165" s="28">
        <f t="shared" si="60"/>
        <v>0</v>
      </c>
      <c r="BC165" s="29">
        <f t="shared" si="61"/>
        <v>4.3502793683705104E-2</v>
      </c>
      <c r="BE165" s="29">
        <f t="shared" si="62"/>
        <v>0</v>
      </c>
      <c r="BF165" s="29">
        <f t="shared" si="63"/>
        <v>7.9437558785808146E-2</v>
      </c>
      <c r="BH165" s="29"/>
    </row>
    <row r="166" spans="1:60" x14ac:dyDescent="0.25">
      <c r="A166" s="1">
        <v>46262</v>
      </c>
      <c r="B166" s="33">
        <v>84.95</v>
      </c>
      <c r="C166" s="33">
        <v>86.33</v>
      </c>
      <c r="D166" s="15">
        <v>1.7815198010096799E-2</v>
      </c>
      <c r="E166" s="15">
        <v>1.42326247585616E-2</v>
      </c>
      <c r="F166" s="33">
        <v>0</v>
      </c>
      <c r="G166" s="33">
        <v>0</v>
      </c>
      <c r="H166" s="33">
        <v>0</v>
      </c>
      <c r="I166" s="33">
        <v>0</v>
      </c>
      <c r="J166" s="33">
        <v>0</v>
      </c>
      <c r="K166" s="33">
        <v>0</v>
      </c>
      <c r="L166" s="33">
        <v>84.95</v>
      </c>
      <c r="M166" s="33">
        <v>86.33</v>
      </c>
      <c r="N166" s="34">
        <v>1.01624484991171</v>
      </c>
      <c r="O166" s="34">
        <v>1.03934289630393</v>
      </c>
      <c r="P166" s="34">
        <v>1.0179418881373199</v>
      </c>
      <c r="Q166" s="34">
        <v>1.0185140529709</v>
      </c>
      <c r="R166" s="33">
        <v>88.292179041019295</v>
      </c>
      <c r="S166" s="33">
        <v>86.482457328849904</v>
      </c>
      <c r="T166" s="33">
        <v>86.540613595417398</v>
      </c>
      <c r="U166" s="15">
        <v>2.2474368857813301E-2</v>
      </c>
      <c r="V166" s="15">
        <v>1.7644256757754001E-3</v>
      </c>
      <c r="W166" s="15">
        <v>2.4366628340559398E-3</v>
      </c>
      <c r="X166" s="34">
        <v>1.01624484991171</v>
      </c>
      <c r="Y166" s="34">
        <v>1.03934289630393</v>
      </c>
      <c r="Z166" s="34">
        <v>1.0179418881373199</v>
      </c>
      <c r="AA166" s="34">
        <v>1.0185140529709</v>
      </c>
      <c r="AB166" s="33">
        <v>88.292179041019295</v>
      </c>
      <c r="AC166" s="33">
        <v>86.482457328849904</v>
      </c>
      <c r="AD166" s="33">
        <v>86.540613595417398</v>
      </c>
      <c r="AE166" s="15">
        <v>2.2474368857813301E-2</v>
      </c>
      <c r="AF166" s="15">
        <v>1.7644256757754001E-3</v>
      </c>
      <c r="AG166" s="15">
        <v>2.4366628340559398E-3</v>
      </c>
      <c r="AI166" s="12"/>
      <c r="AJ166">
        <f t="shared" si="46"/>
        <v>0</v>
      </c>
      <c r="AK166">
        <f t="shared" si="47"/>
        <v>1</v>
      </c>
      <c r="AL166">
        <f t="shared" si="54"/>
        <v>0</v>
      </c>
      <c r="AM166">
        <f t="shared" si="44"/>
        <v>1</v>
      </c>
      <c r="AN166">
        <f t="shared" si="55"/>
        <v>0</v>
      </c>
      <c r="AO166" s="28">
        <f t="shared" si="48"/>
        <v>0</v>
      </c>
      <c r="AP166" s="28">
        <f t="shared" si="49"/>
        <v>0</v>
      </c>
      <c r="AQ166" s="28">
        <f t="shared" si="56"/>
        <v>0</v>
      </c>
      <c r="AR166" s="29">
        <f t="shared" si="57"/>
        <v>3.5934765102103056E-2</v>
      </c>
      <c r="AT166" s="12"/>
      <c r="AU166">
        <f t="shared" si="50"/>
        <v>0</v>
      </c>
      <c r="AV166">
        <f t="shared" si="51"/>
        <v>0</v>
      </c>
      <c r="AW166">
        <f t="shared" si="58"/>
        <v>0</v>
      </c>
      <c r="AX166">
        <f t="shared" si="45"/>
        <v>1</v>
      </c>
      <c r="AY166">
        <f t="shared" si="59"/>
        <v>0</v>
      </c>
      <c r="AZ166" s="28">
        <f t="shared" si="52"/>
        <v>0</v>
      </c>
      <c r="BA166" s="28">
        <f t="shared" si="53"/>
        <v>0</v>
      </c>
      <c r="BB166" s="28">
        <f t="shared" si="60"/>
        <v>0</v>
      </c>
      <c r="BC166" s="29">
        <f t="shared" si="61"/>
        <v>4.3502793683705104E-2</v>
      </c>
      <c r="BE166" s="29">
        <f t="shared" si="62"/>
        <v>0</v>
      </c>
      <c r="BF166" s="29">
        <f t="shared" si="63"/>
        <v>7.9437558785808146E-2</v>
      </c>
      <c r="BH166" s="29"/>
    </row>
    <row r="167" spans="1:60" x14ac:dyDescent="0.25">
      <c r="A167" s="1">
        <v>46265</v>
      </c>
      <c r="B167" s="33">
        <v>82.26</v>
      </c>
      <c r="C167" s="33">
        <v>84.11</v>
      </c>
      <c r="D167" s="15">
        <v>-3.2177885315662902E-2</v>
      </c>
      <c r="E167" s="15">
        <v>-2.60516962730853E-2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82.26</v>
      </c>
      <c r="M167" s="33">
        <v>84.11</v>
      </c>
      <c r="N167" s="34">
        <v>1.02248966690979</v>
      </c>
      <c r="O167" s="34">
        <v>1.03934289630393</v>
      </c>
      <c r="P167" s="34">
        <v>1.0181389680358499</v>
      </c>
      <c r="Q167" s="34">
        <v>1.01855327429456</v>
      </c>
      <c r="R167" s="33">
        <v>85.496346649961794</v>
      </c>
      <c r="S167" s="33">
        <v>83.735899718176597</v>
      </c>
      <c r="T167" s="33">
        <v>83.782965997386597</v>
      </c>
      <c r="U167" s="15">
        <v>1.6348179815235699E-2</v>
      </c>
      <c r="V167" s="15">
        <v>-4.4576710175808403E-3</v>
      </c>
      <c r="W167" s="15">
        <v>-3.8957488693211399E-3</v>
      </c>
      <c r="X167" s="34">
        <v>1.02248966690979</v>
      </c>
      <c r="Y167" s="34">
        <v>1.03934289630393</v>
      </c>
      <c r="Z167" s="34">
        <v>1.0181389680358499</v>
      </c>
      <c r="AA167" s="34">
        <v>1.01855327429456</v>
      </c>
      <c r="AB167" s="33">
        <v>85.496346649961794</v>
      </c>
      <c r="AC167" s="33">
        <v>83.735899718176597</v>
      </c>
      <c r="AD167" s="33">
        <v>83.782965997386597</v>
      </c>
      <c r="AE167" s="15">
        <v>1.6348179815235699E-2</v>
      </c>
      <c r="AF167" s="15">
        <v>-4.4576710175808403E-3</v>
      </c>
      <c r="AG167" s="15">
        <v>-3.8957488693211399E-3</v>
      </c>
      <c r="AI167" s="12"/>
      <c r="AJ167">
        <f t="shared" si="46"/>
        <v>0</v>
      </c>
      <c r="AK167">
        <f t="shared" si="47"/>
        <v>0</v>
      </c>
      <c r="AL167">
        <f t="shared" si="54"/>
        <v>0</v>
      </c>
      <c r="AM167">
        <f t="shared" si="44"/>
        <v>1</v>
      </c>
      <c r="AN167">
        <f t="shared" si="55"/>
        <v>0</v>
      </c>
      <c r="AO167" s="28">
        <f t="shared" si="48"/>
        <v>0</v>
      </c>
      <c r="AP167" s="28">
        <f t="shared" si="49"/>
        <v>0</v>
      </c>
      <c r="AQ167" s="28">
        <f t="shared" si="56"/>
        <v>0</v>
      </c>
      <c r="AR167" s="29">
        <f t="shared" si="57"/>
        <v>3.5934765102103056E-2</v>
      </c>
      <c r="AT167" s="12"/>
      <c r="AU167">
        <f t="shared" si="50"/>
        <v>0</v>
      </c>
      <c r="AV167">
        <f t="shared" si="51"/>
        <v>1</v>
      </c>
      <c r="AW167">
        <f t="shared" si="58"/>
        <v>0</v>
      </c>
      <c r="AX167">
        <f t="shared" si="45"/>
        <v>1</v>
      </c>
      <c r="AY167">
        <f t="shared" si="59"/>
        <v>0</v>
      </c>
      <c r="AZ167" s="28">
        <f t="shared" si="52"/>
        <v>0</v>
      </c>
      <c r="BA167" s="28">
        <f t="shared" si="53"/>
        <v>0</v>
      </c>
      <c r="BB167" s="28">
        <f t="shared" si="60"/>
        <v>0</v>
      </c>
      <c r="BC167" s="29">
        <f t="shared" si="61"/>
        <v>4.3502793683705104E-2</v>
      </c>
      <c r="BE167" s="29">
        <f t="shared" si="62"/>
        <v>0</v>
      </c>
      <c r="BF167" s="29">
        <f t="shared" si="63"/>
        <v>7.9437558785808146E-2</v>
      </c>
      <c r="BH167" s="29"/>
    </row>
    <row r="168" spans="1:60" x14ac:dyDescent="0.25">
      <c r="A168" s="1">
        <v>46266</v>
      </c>
      <c r="B168" s="33">
        <v>81.400000000000006</v>
      </c>
      <c r="C168" s="33">
        <v>82.75</v>
      </c>
      <c r="D168" s="15">
        <v>-1.0509689793783399E-2</v>
      </c>
      <c r="E168" s="15">
        <v>-1.6301451717173499E-2</v>
      </c>
      <c r="F168" s="33">
        <v>0</v>
      </c>
      <c r="G168" s="33">
        <v>0</v>
      </c>
      <c r="H168" s="33">
        <v>0</v>
      </c>
      <c r="I168" s="33">
        <v>0</v>
      </c>
      <c r="J168" s="33">
        <v>0</v>
      </c>
      <c r="K168" s="33">
        <v>0</v>
      </c>
      <c r="L168" s="33">
        <v>81.400000000000006</v>
      </c>
      <c r="M168" s="33">
        <v>82.75</v>
      </c>
      <c r="N168" s="34">
        <v>1.01658476658476</v>
      </c>
      <c r="O168" s="34">
        <v>1.03934289630393</v>
      </c>
      <c r="P168" s="34">
        <v>1.0180728937961201</v>
      </c>
      <c r="Q168" s="34">
        <v>1.0184400000374501</v>
      </c>
      <c r="R168" s="33">
        <v>84.602511759140398</v>
      </c>
      <c r="S168" s="33">
        <v>82.876511998118602</v>
      </c>
      <c r="T168" s="33">
        <v>82.910236527577894</v>
      </c>
      <c r="U168" s="15">
        <v>2.21399417386259E-2</v>
      </c>
      <c r="V168" s="15">
        <v>1.52767840361906E-3</v>
      </c>
      <c r="W168" s="15">
        <v>1.93452069016378E-3</v>
      </c>
      <c r="X168" s="34">
        <v>1.01658476658476</v>
      </c>
      <c r="Y168" s="34">
        <v>1.03934289630393</v>
      </c>
      <c r="Z168" s="34">
        <v>1.0180728937961201</v>
      </c>
      <c r="AA168" s="34">
        <v>1.0184400000374501</v>
      </c>
      <c r="AB168" s="33">
        <v>84.602511759140398</v>
      </c>
      <c r="AC168" s="33">
        <v>82.876511998118602</v>
      </c>
      <c r="AD168" s="33">
        <v>82.910236527577894</v>
      </c>
      <c r="AE168" s="15">
        <v>2.21399417386259E-2</v>
      </c>
      <c r="AF168" s="15">
        <v>1.52767840361906E-3</v>
      </c>
      <c r="AG168" s="15">
        <v>1.93452069016378E-3</v>
      </c>
      <c r="AI168" s="12"/>
      <c r="AJ168">
        <f t="shared" si="46"/>
        <v>0</v>
      </c>
      <c r="AK168">
        <f t="shared" si="47"/>
        <v>1</v>
      </c>
      <c r="AL168">
        <f t="shared" si="54"/>
        <v>0</v>
      </c>
      <c r="AM168">
        <f t="shared" si="44"/>
        <v>1</v>
      </c>
      <c r="AN168">
        <f t="shared" si="55"/>
        <v>0</v>
      </c>
      <c r="AO168" s="28">
        <f t="shared" si="48"/>
        <v>0</v>
      </c>
      <c r="AP168" s="28">
        <f t="shared" si="49"/>
        <v>0</v>
      </c>
      <c r="AQ168" s="28">
        <f t="shared" si="56"/>
        <v>0</v>
      </c>
      <c r="AR168" s="29">
        <f t="shared" si="57"/>
        <v>3.5934765102103056E-2</v>
      </c>
      <c r="AT168" s="12"/>
      <c r="AU168">
        <f t="shared" si="50"/>
        <v>0</v>
      </c>
      <c r="AV168">
        <f t="shared" si="51"/>
        <v>1</v>
      </c>
      <c r="AW168">
        <f t="shared" si="58"/>
        <v>0</v>
      </c>
      <c r="AX168">
        <f t="shared" si="45"/>
        <v>1</v>
      </c>
      <c r="AY168">
        <f t="shared" si="59"/>
        <v>0</v>
      </c>
      <c r="AZ168" s="28">
        <f t="shared" si="52"/>
        <v>0</v>
      </c>
      <c r="BA168" s="28">
        <f t="shared" si="53"/>
        <v>0</v>
      </c>
      <c r="BB168" s="28">
        <f t="shared" si="60"/>
        <v>0</v>
      </c>
      <c r="BC168" s="29">
        <f t="shared" si="61"/>
        <v>4.3502793683705104E-2</v>
      </c>
      <c r="BE168" s="29">
        <f t="shared" si="62"/>
        <v>0</v>
      </c>
      <c r="BF168" s="29">
        <f t="shared" si="63"/>
        <v>7.9437558785808146E-2</v>
      </c>
      <c r="BH168" s="29"/>
    </row>
    <row r="169" spans="1:60" x14ac:dyDescent="0.25">
      <c r="A169" s="1">
        <v>46267</v>
      </c>
      <c r="B169" s="33">
        <v>82.15</v>
      </c>
      <c r="C169" s="33">
        <v>83.58</v>
      </c>
      <c r="D169" s="15">
        <v>9.1715714747823696E-3</v>
      </c>
      <c r="E169" s="15">
        <v>9.98024276259705E-3</v>
      </c>
      <c r="F169" s="33">
        <v>0</v>
      </c>
      <c r="G169" s="33">
        <v>0</v>
      </c>
      <c r="H169" s="33">
        <v>0</v>
      </c>
      <c r="I169" s="33">
        <v>0</v>
      </c>
      <c r="J169" s="33">
        <v>0</v>
      </c>
      <c r="K169" s="33">
        <v>0</v>
      </c>
      <c r="L169" s="33">
        <v>82.15</v>
      </c>
      <c r="M169" s="33">
        <v>83.58</v>
      </c>
      <c r="N169" s="34">
        <v>1.0174071819841699</v>
      </c>
      <c r="O169" s="34">
        <v>1.03934289630393</v>
      </c>
      <c r="P169" s="34">
        <v>1.0181483039707799</v>
      </c>
      <c r="Q169" s="34">
        <v>1.0184774114272701</v>
      </c>
      <c r="R169" s="33">
        <v>85.382018931368293</v>
      </c>
      <c r="S169" s="33">
        <v>83.634688225351894</v>
      </c>
      <c r="T169" s="33">
        <v>83.664846003077301</v>
      </c>
      <c r="U169" s="15">
        <v>2.1331270450811401E-2</v>
      </c>
      <c r="V169" s="15">
        <v>6.5410793611835603E-4</v>
      </c>
      <c r="W169" s="15">
        <v>1.0146322877381E-3</v>
      </c>
      <c r="X169" s="34">
        <v>1.0174071819841699</v>
      </c>
      <c r="Y169" s="34">
        <v>1.03934289630393</v>
      </c>
      <c r="Z169" s="34">
        <v>1.0181483039707799</v>
      </c>
      <c r="AA169" s="34">
        <v>1.0184774114272701</v>
      </c>
      <c r="AB169" s="33">
        <v>85.382018931368293</v>
      </c>
      <c r="AC169" s="33">
        <v>83.634688225351894</v>
      </c>
      <c r="AD169" s="33">
        <v>83.664846003077301</v>
      </c>
      <c r="AE169" s="15">
        <v>2.1331270450811401E-2</v>
      </c>
      <c r="AF169" s="15">
        <v>6.5410793611835603E-4</v>
      </c>
      <c r="AG169" s="15">
        <v>1.0146322877381E-3</v>
      </c>
      <c r="AI169" s="12"/>
      <c r="AJ169">
        <f t="shared" si="46"/>
        <v>0</v>
      </c>
      <c r="AK169">
        <f t="shared" si="47"/>
        <v>1</v>
      </c>
      <c r="AL169">
        <f t="shared" si="54"/>
        <v>0</v>
      </c>
      <c r="AM169">
        <f t="shared" si="44"/>
        <v>1</v>
      </c>
      <c r="AN169">
        <f t="shared" si="55"/>
        <v>0</v>
      </c>
      <c r="AO169" s="28">
        <f t="shared" si="48"/>
        <v>0</v>
      </c>
      <c r="AP169" s="28">
        <f t="shared" si="49"/>
        <v>0</v>
      </c>
      <c r="AQ169" s="28">
        <f t="shared" si="56"/>
        <v>0</v>
      </c>
      <c r="AR169" s="29">
        <f t="shared" si="57"/>
        <v>3.5934765102103056E-2</v>
      </c>
      <c r="AT169" s="12"/>
      <c r="AU169">
        <f t="shared" si="50"/>
        <v>0</v>
      </c>
      <c r="AV169">
        <f t="shared" si="51"/>
        <v>1</v>
      </c>
      <c r="AW169">
        <f t="shared" si="58"/>
        <v>0</v>
      </c>
      <c r="AX169">
        <f t="shared" si="45"/>
        <v>1</v>
      </c>
      <c r="AY169">
        <f t="shared" si="59"/>
        <v>0</v>
      </c>
      <c r="AZ169" s="28">
        <f t="shared" si="52"/>
        <v>0</v>
      </c>
      <c r="BA169" s="28">
        <f t="shared" si="53"/>
        <v>0</v>
      </c>
      <c r="BB169" s="28">
        <f t="shared" si="60"/>
        <v>0</v>
      </c>
      <c r="BC169" s="29">
        <f t="shared" si="61"/>
        <v>4.3502793683705104E-2</v>
      </c>
      <c r="BE169" s="29">
        <f t="shared" si="62"/>
        <v>0</v>
      </c>
      <c r="BF169" s="29">
        <f t="shared" si="63"/>
        <v>7.9437558785808146E-2</v>
      </c>
      <c r="BH169" s="29"/>
    </row>
    <row r="170" spans="1:60" x14ac:dyDescent="0.25">
      <c r="A170" s="1">
        <v>46268</v>
      </c>
      <c r="B170" s="33">
        <v>82.84</v>
      </c>
      <c r="C170" s="33">
        <v>84.45</v>
      </c>
      <c r="D170" s="15">
        <v>8.3641920441062199E-3</v>
      </c>
      <c r="E170" s="15">
        <v>1.03553862340397E-2</v>
      </c>
      <c r="F170" s="33">
        <v>0</v>
      </c>
      <c r="G170" s="33">
        <v>0</v>
      </c>
      <c r="H170" s="33">
        <v>0</v>
      </c>
      <c r="I170" s="33">
        <v>0</v>
      </c>
      <c r="J170" s="33">
        <v>0</v>
      </c>
      <c r="K170" s="33">
        <v>0</v>
      </c>
      <c r="L170" s="33">
        <v>82.84</v>
      </c>
      <c r="M170" s="33">
        <v>84.45</v>
      </c>
      <c r="N170" s="34">
        <v>1.0194350555287299</v>
      </c>
      <c r="O170" s="34">
        <v>1.03934289630393</v>
      </c>
      <c r="P170" s="34">
        <v>1.01820726753892</v>
      </c>
      <c r="Q170" s="34">
        <v>1.0185245724649901</v>
      </c>
      <c r="R170" s="33">
        <v>86.099165529817995</v>
      </c>
      <c r="S170" s="33">
        <v>84.343405500940094</v>
      </c>
      <c r="T170" s="33">
        <v>84.370668762635404</v>
      </c>
      <c r="U170" s="15">
        <v>1.93400762608779E-2</v>
      </c>
      <c r="V170" s="15">
        <v>-1.26301750845727E-3</v>
      </c>
      <c r="W170" s="15">
        <v>-9.3982856228804E-4</v>
      </c>
      <c r="X170" s="34">
        <v>1.0194350555287299</v>
      </c>
      <c r="Y170" s="34">
        <v>1.03934289630393</v>
      </c>
      <c r="Z170" s="34">
        <v>1.01820726753892</v>
      </c>
      <c r="AA170" s="34">
        <v>1.0185245724649901</v>
      </c>
      <c r="AB170" s="33">
        <v>86.099165529817995</v>
      </c>
      <c r="AC170" s="33">
        <v>84.343405500940094</v>
      </c>
      <c r="AD170" s="33">
        <v>84.370668762635404</v>
      </c>
      <c r="AE170" s="15">
        <v>1.93400762608779E-2</v>
      </c>
      <c r="AF170" s="15">
        <v>-1.26301750845727E-3</v>
      </c>
      <c r="AG170" s="15">
        <v>-9.3982856228804E-4</v>
      </c>
      <c r="AI170" s="12"/>
      <c r="AJ170">
        <f t="shared" si="46"/>
        <v>0</v>
      </c>
      <c r="AK170">
        <f t="shared" si="47"/>
        <v>1</v>
      </c>
      <c r="AL170">
        <f t="shared" si="54"/>
        <v>0</v>
      </c>
      <c r="AM170">
        <f t="shared" si="44"/>
        <v>1</v>
      </c>
      <c r="AN170">
        <f t="shared" si="55"/>
        <v>0</v>
      </c>
      <c r="AO170" s="28">
        <f t="shared" si="48"/>
        <v>0</v>
      </c>
      <c r="AP170" s="28">
        <f t="shared" si="49"/>
        <v>0</v>
      </c>
      <c r="AQ170" s="28">
        <f t="shared" si="56"/>
        <v>0</v>
      </c>
      <c r="AR170" s="29">
        <f t="shared" si="57"/>
        <v>3.5934765102103056E-2</v>
      </c>
      <c r="AT170" s="12"/>
      <c r="AU170">
        <f t="shared" si="50"/>
        <v>0</v>
      </c>
      <c r="AV170">
        <f t="shared" si="51"/>
        <v>1</v>
      </c>
      <c r="AW170">
        <f t="shared" si="58"/>
        <v>0</v>
      </c>
      <c r="AX170">
        <f t="shared" si="45"/>
        <v>1</v>
      </c>
      <c r="AY170">
        <f t="shared" si="59"/>
        <v>0</v>
      </c>
      <c r="AZ170" s="28">
        <f t="shared" si="52"/>
        <v>0</v>
      </c>
      <c r="BA170" s="28">
        <f t="shared" si="53"/>
        <v>0</v>
      </c>
      <c r="BB170" s="28">
        <f t="shared" si="60"/>
        <v>0</v>
      </c>
      <c r="BC170" s="29">
        <f t="shared" si="61"/>
        <v>4.3502793683705104E-2</v>
      </c>
      <c r="BE170" s="29">
        <f t="shared" si="62"/>
        <v>0</v>
      </c>
      <c r="BF170" s="29">
        <f t="shared" si="63"/>
        <v>7.9437558785808146E-2</v>
      </c>
      <c r="BH170" s="29"/>
    </row>
    <row r="171" spans="1:60" x14ac:dyDescent="0.25">
      <c r="A171" s="1">
        <v>46269</v>
      </c>
      <c r="B171" s="33">
        <v>82.17</v>
      </c>
      <c r="C171" s="33">
        <v>83.58</v>
      </c>
      <c r="D171" s="15">
        <v>-8.1207645842869096E-3</v>
      </c>
      <c r="E171" s="15">
        <v>-1.0355386234039801E-2</v>
      </c>
      <c r="F171" s="33">
        <v>0</v>
      </c>
      <c r="G171" s="33">
        <v>0</v>
      </c>
      <c r="H171" s="33">
        <v>0</v>
      </c>
      <c r="I171" s="33">
        <v>0</v>
      </c>
      <c r="J171" s="33">
        <v>0</v>
      </c>
      <c r="K171" s="33">
        <v>0</v>
      </c>
      <c r="L171" s="33">
        <v>82.17</v>
      </c>
      <c r="M171" s="33">
        <v>83.58</v>
      </c>
      <c r="N171" s="34">
        <v>1.0171595472800199</v>
      </c>
      <c r="O171" s="34">
        <v>1.03934289630393</v>
      </c>
      <c r="P171" s="34">
        <v>1.0181335392630699</v>
      </c>
      <c r="Q171" s="34">
        <v>1.0183996636125301</v>
      </c>
      <c r="R171" s="33">
        <v>85.402805789294405</v>
      </c>
      <c r="S171" s="33">
        <v>83.666091173673806</v>
      </c>
      <c r="T171" s="33">
        <v>83.692164119448904</v>
      </c>
      <c r="U171" s="15">
        <v>2.15746979106307E-2</v>
      </c>
      <c r="V171" s="15">
        <v>1.0295150179438701E-3</v>
      </c>
      <c r="W171" s="15">
        <v>1.34109744858508E-3</v>
      </c>
      <c r="X171" s="34">
        <v>1.0171595472800199</v>
      </c>
      <c r="Y171" s="34">
        <v>1.03934289630393</v>
      </c>
      <c r="Z171" s="34">
        <v>1.0181335392630699</v>
      </c>
      <c r="AA171" s="34">
        <v>1.0183996636125301</v>
      </c>
      <c r="AB171" s="33">
        <v>85.402805789294405</v>
      </c>
      <c r="AC171" s="33">
        <v>83.666091173673806</v>
      </c>
      <c r="AD171" s="33">
        <v>83.692164119448904</v>
      </c>
      <c r="AE171" s="15">
        <v>2.15746979106307E-2</v>
      </c>
      <c r="AF171" s="15">
        <v>1.0295150179438701E-3</v>
      </c>
      <c r="AG171" s="15">
        <v>1.34109744858508E-3</v>
      </c>
      <c r="AI171" s="12"/>
      <c r="AJ171">
        <f t="shared" si="46"/>
        <v>0</v>
      </c>
      <c r="AK171">
        <f t="shared" si="47"/>
        <v>1</v>
      </c>
      <c r="AL171">
        <f t="shared" si="54"/>
        <v>0</v>
      </c>
      <c r="AM171">
        <f t="shared" si="44"/>
        <v>1</v>
      </c>
      <c r="AN171">
        <f t="shared" si="55"/>
        <v>0</v>
      </c>
      <c r="AO171" s="28">
        <f t="shared" si="48"/>
        <v>0</v>
      </c>
      <c r="AP171" s="28">
        <f t="shared" si="49"/>
        <v>0</v>
      </c>
      <c r="AQ171" s="28">
        <f t="shared" si="56"/>
        <v>0</v>
      </c>
      <c r="AR171" s="29">
        <f t="shared" si="57"/>
        <v>3.5934765102103056E-2</v>
      </c>
      <c r="AT171" s="12"/>
      <c r="AU171">
        <f t="shared" si="50"/>
        <v>0</v>
      </c>
      <c r="AV171">
        <f t="shared" si="51"/>
        <v>1</v>
      </c>
      <c r="AW171">
        <f t="shared" si="58"/>
        <v>0</v>
      </c>
      <c r="AX171">
        <f t="shared" si="45"/>
        <v>1</v>
      </c>
      <c r="AY171">
        <f t="shared" si="59"/>
        <v>0</v>
      </c>
      <c r="AZ171" s="28">
        <f t="shared" si="52"/>
        <v>0</v>
      </c>
      <c r="BA171" s="28">
        <f t="shared" si="53"/>
        <v>0</v>
      </c>
      <c r="BB171" s="28">
        <f t="shared" si="60"/>
        <v>0</v>
      </c>
      <c r="BC171" s="29">
        <f t="shared" si="61"/>
        <v>4.3502793683705104E-2</v>
      </c>
      <c r="BE171" s="29">
        <f t="shared" si="62"/>
        <v>0</v>
      </c>
      <c r="BF171" s="29">
        <f t="shared" si="63"/>
        <v>7.9437558785808146E-2</v>
      </c>
      <c r="BH171" s="29"/>
    </row>
    <row r="172" spans="1:60" x14ac:dyDescent="0.25">
      <c r="A172" s="1">
        <v>46273</v>
      </c>
      <c r="B172" s="33">
        <v>78.98</v>
      </c>
      <c r="C172" s="33">
        <v>80.37</v>
      </c>
      <c r="D172" s="15">
        <v>-3.9595616084592999E-2</v>
      </c>
      <c r="E172" s="15">
        <v>-3.9163284795142098E-2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78.98</v>
      </c>
      <c r="M172" s="33">
        <v>80.37</v>
      </c>
      <c r="N172" s="34">
        <v>1.0175993922512001</v>
      </c>
      <c r="O172" s="34">
        <v>1.03934289630393</v>
      </c>
      <c r="P172" s="34">
        <v>1.01829154233514</v>
      </c>
      <c r="Q172" s="34">
        <v>1.01821783413179</v>
      </c>
      <c r="R172" s="33">
        <v>82.087301950084793</v>
      </c>
      <c r="S172" s="33">
        <v>80.412186930997393</v>
      </c>
      <c r="T172" s="33">
        <v>80.433205432117902</v>
      </c>
      <c r="U172" s="15">
        <v>2.1142366621179801E-2</v>
      </c>
      <c r="V172" s="15">
        <v>5.2477121714608697E-4</v>
      </c>
      <c r="W172" s="15">
        <v>7.8612158511494096E-4</v>
      </c>
      <c r="X172" s="34">
        <v>1.0175993922512001</v>
      </c>
      <c r="Y172" s="34">
        <v>1.03934289630393</v>
      </c>
      <c r="Z172" s="34">
        <v>1.01829154233514</v>
      </c>
      <c r="AA172" s="34">
        <v>1.01821783413179</v>
      </c>
      <c r="AB172" s="33">
        <v>82.087301950084793</v>
      </c>
      <c r="AC172" s="33">
        <v>80.412186930997393</v>
      </c>
      <c r="AD172" s="33">
        <v>80.433205432117902</v>
      </c>
      <c r="AE172" s="15">
        <v>2.1142366621179801E-2</v>
      </c>
      <c r="AF172" s="15">
        <v>5.2477121714608697E-4</v>
      </c>
      <c r="AG172" s="15">
        <v>7.8612158511494096E-4</v>
      </c>
      <c r="AI172" s="12"/>
      <c r="AJ172">
        <f t="shared" si="46"/>
        <v>0</v>
      </c>
      <c r="AK172">
        <f t="shared" si="47"/>
        <v>1</v>
      </c>
      <c r="AL172">
        <f t="shared" si="54"/>
        <v>0</v>
      </c>
      <c r="AM172">
        <f t="shared" si="44"/>
        <v>1</v>
      </c>
      <c r="AN172">
        <f t="shared" si="55"/>
        <v>0</v>
      </c>
      <c r="AO172" s="28">
        <f t="shared" si="48"/>
        <v>0</v>
      </c>
      <c r="AP172" s="28">
        <f t="shared" si="49"/>
        <v>0</v>
      </c>
      <c r="AQ172" s="28">
        <f t="shared" si="56"/>
        <v>0</v>
      </c>
      <c r="AR172" s="29">
        <f t="shared" si="57"/>
        <v>3.5934765102103056E-2</v>
      </c>
      <c r="AT172" s="12"/>
      <c r="AU172">
        <f t="shared" si="50"/>
        <v>0</v>
      </c>
      <c r="AV172">
        <f t="shared" si="51"/>
        <v>1</v>
      </c>
      <c r="AW172">
        <f t="shared" si="58"/>
        <v>0</v>
      </c>
      <c r="AX172">
        <f t="shared" si="45"/>
        <v>1</v>
      </c>
      <c r="AY172">
        <f t="shared" si="59"/>
        <v>0</v>
      </c>
      <c r="AZ172" s="28">
        <f t="shared" si="52"/>
        <v>0</v>
      </c>
      <c r="BA172" s="28">
        <f t="shared" si="53"/>
        <v>0</v>
      </c>
      <c r="BB172" s="28">
        <f t="shared" si="60"/>
        <v>0</v>
      </c>
      <c r="BC172" s="29">
        <f t="shared" si="61"/>
        <v>4.3502793683705104E-2</v>
      </c>
      <c r="BE172" s="29">
        <f t="shared" si="62"/>
        <v>0</v>
      </c>
      <c r="BF172" s="29">
        <f t="shared" si="63"/>
        <v>7.9437558785808146E-2</v>
      </c>
      <c r="BH172" s="29"/>
    </row>
    <row r="173" spans="1:60" x14ac:dyDescent="0.25">
      <c r="A173" s="1">
        <v>46274</v>
      </c>
      <c r="B173" s="33">
        <v>79.13</v>
      </c>
      <c r="C173" s="33">
        <v>80.760000000000005</v>
      </c>
      <c r="D173" s="15">
        <v>1.89741376259862E-3</v>
      </c>
      <c r="E173" s="15">
        <v>4.8408212200097096E-3</v>
      </c>
      <c r="F173" s="33">
        <v>0</v>
      </c>
      <c r="G173" s="33">
        <v>0</v>
      </c>
      <c r="H173" s="33">
        <v>0</v>
      </c>
      <c r="I173" s="33">
        <v>0</v>
      </c>
      <c r="J173" s="33">
        <v>0</v>
      </c>
      <c r="K173" s="33">
        <v>0</v>
      </c>
      <c r="L173" s="33">
        <v>79.13</v>
      </c>
      <c r="M173" s="33">
        <v>80.760000000000005</v>
      </c>
      <c r="N173" s="34">
        <v>1.0205990142802901</v>
      </c>
      <c r="O173" s="34">
        <v>1.03934289630393</v>
      </c>
      <c r="P173" s="34">
        <v>1.0185400178458399</v>
      </c>
      <c r="Q173" s="34">
        <v>1.0184647222008001</v>
      </c>
      <c r="R173" s="33">
        <v>82.243203384530403</v>
      </c>
      <c r="S173" s="33">
        <v>80.577409744979903</v>
      </c>
      <c r="T173" s="33">
        <v>80.571577214849199</v>
      </c>
      <c r="U173" s="15">
        <v>1.81989591637686E-2</v>
      </c>
      <c r="V173" s="15">
        <v>-2.2634593336194799E-3</v>
      </c>
      <c r="W173" s="15">
        <v>-2.3358461384427802E-3</v>
      </c>
      <c r="X173" s="34">
        <v>1.0205990142802901</v>
      </c>
      <c r="Y173" s="34">
        <v>1.03934289630393</v>
      </c>
      <c r="Z173" s="34">
        <v>1.0185400178458399</v>
      </c>
      <c r="AA173" s="34">
        <v>1.0184647222008001</v>
      </c>
      <c r="AB173" s="33">
        <v>82.243203384530403</v>
      </c>
      <c r="AC173" s="33">
        <v>80.577409744979903</v>
      </c>
      <c r="AD173" s="33">
        <v>80.571577214849199</v>
      </c>
      <c r="AE173" s="15">
        <v>1.81989591637686E-2</v>
      </c>
      <c r="AF173" s="15">
        <v>-2.2634593336194799E-3</v>
      </c>
      <c r="AG173" s="15">
        <v>-2.3358461384427802E-3</v>
      </c>
      <c r="AI173" s="12"/>
      <c r="AJ173">
        <f t="shared" si="46"/>
        <v>0</v>
      </c>
      <c r="AK173">
        <f t="shared" si="47"/>
        <v>0</v>
      </c>
      <c r="AL173">
        <f t="shared" si="54"/>
        <v>0</v>
      </c>
      <c r="AM173">
        <f t="shared" si="44"/>
        <v>1</v>
      </c>
      <c r="AN173">
        <f t="shared" si="55"/>
        <v>0</v>
      </c>
      <c r="AO173" s="28">
        <f t="shared" si="48"/>
        <v>0</v>
      </c>
      <c r="AP173" s="28">
        <f t="shared" si="49"/>
        <v>0</v>
      </c>
      <c r="AQ173" s="28">
        <f t="shared" si="56"/>
        <v>0</v>
      </c>
      <c r="AR173" s="29">
        <f t="shared" si="57"/>
        <v>3.5934765102103056E-2</v>
      </c>
      <c r="AT173" s="12"/>
      <c r="AU173">
        <f t="shared" si="50"/>
        <v>0</v>
      </c>
      <c r="AV173">
        <f t="shared" si="51"/>
        <v>1</v>
      </c>
      <c r="AW173">
        <f t="shared" si="58"/>
        <v>0</v>
      </c>
      <c r="AX173">
        <f t="shared" si="45"/>
        <v>1</v>
      </c>
      <c r="AY173">
        <f t="shared" si="59"/>
        <v>0</v>
      </c>
      <c r="AZ173" s="28">
        <f t="shared" si="52"/>
        <v>0</v>
      </c>
      <c r="BA173" s="28">
        <f t="shared" si="53"/>
        <v>0</v>
      </c>
      <c r="BB173" s="28">
        <f t="shared" si="60"/>
        <v>0</v>
      </c>
      <c r="BC173" s="29">
        <f t="shared" si="61"/>
        <v>4.3502793683705104E-2</v>
      </c>
      <c r="BE173" s="29">
        <f t="shared" si="62"/>
        <v>0</v>
      </c>
      <c r="BF173" s="29">
        <f t="shared" si="63"/>
        <v>7.9437558785808146E-2</v>
      </c>
      <c r="BH173" s="29"/>
    </row>
    <row r="174" spans="1:60" x14ac:dyDescent="0.25">
      <c r="A174" s="1">
        <v>46275</v>
      </c>
      <c r="B174" s="33">
        <v>76.56</v>
      </c>
      <c r="C174" s="33">
        <v>77.900000000000006</v>
      </c>
      <c r="D174" s="15">
        <v>-3.3017322476403099E-2</v>
      </c>
      <c r="E174" s="15">
        <v>-3.6055840567934101E-2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76.56</v>
      </c>
      <c r="M174" s="33">
        <v>77.900000000000006</v>
      </c>
      <c r="N174" s="34">
        <v>1.01750261233019</v>
      </c>
      <c r="O174" s="34">
        <v>1.03934289630393</v>
      </c>
      <c r="P174" s="34">
        <v>1.0184914238049501</v>
      </c>
      <c r="Q174" s="34">
        <v>1.01827296238336</v>
      </c>
      <c r="R174" s="33">
        <v>79.572092141029302</v>
      </c>
      <c r="S174" s="33">
        <v>77.979423766278202</v>
      </c>
      <c r="T174" s="33">
        <v>77.973659131693395</v>
      </c>
      <c r="U174" s="15">
        <v>2.1237477255299699E-2</v>
      </c>
      <c r="V174" s="15">
        <v>1.01904114388326E-3</v>
      </c>
      <c r="W174" s="15">
        <v>9.4511333841348596E-4</v>
      </c>
      <c r="X174" s="34">
        <v>1.01750261233019</v>
      </c>
      <c r="Y174" s="34">
        <v>1.03934289630393</v>
      </c>
      <c r="Z174" s="34">
        <v>1.0184914238049501</v>
      </c>
      <c r="AA174" s="34">
        <v>1.01827296238336</v>
      </c>
      <c r="AB174" s="33">
        <v>79.572092141029302</v>
      </c>
      <c r="AC174" s="33">
        <v>77.979423766278202</v>
      </c>
      <c r="AD174" s="33">
        <v>77.973659131693395</v>
      </c>
      <c r="AE174" s="15">
        <v>2.1237477255299699E-2</v>
      </c>
      <c r="AF174" s="15">
        <v>1.01904114388326E-3</v>
      </c>
      <c r="AG174" s="15">
        <v>9.4511333841348596E-4</v>
      </c>
      <c r="AI174" s="12"/>
      <c r="AJ174">
        <f t="shared" si="46"/>
        <v>0</v>
      </c>
      <c r="AK174">
        <f t="shared" si="47"/>
        <v>1</v>
      </c>
      <c r="AL174">
        <f t="shared" si="54"/>
        <v>0</v>
      </c>
      <c r="AM174">
        <f t="shared" si="44"/>
        <v>1</v>
      </c>
      <c r="AN174">
        <f t="shared" si="55"/>
        <v>0</v>
      </c>
      <c r="AO174" s="28">
        <f t="shared" si="48"/>
        <v>0</v>
      </c>
      <c r="AP174" s="28">
        <f t="shared" si="49"/>
        <v>0</v>
      </c>
      <c r="AQ174" s="28">
        <f t="shared" si="56"/>
        <v>0</v>
      </c>
      <c r="AR174" s="29">
        <f t="shared" si="57"/>
        <v>3.5934765102103056E-2</v>
      </c>
      <c r="AT174" s="12"/>
      <c r="AU174">
        <f t="shared" si="50"/>
        <v>0</v>
      </c>
      <c r="AV174">
        <f t="shared" si="51"/>
        <v>1</v>
      </c>
      <c r="AW174">
        <f t="shared" si="58"/>
        <v>0</v>
      </c>
      <c r="AX174">
        <f t="shared" si="45"/>
        <v>1</v>
      </c>
      <c r="AY174">
        <f t="shared" si="59"/>
        <v>0</v>
      </c>
      <c r="AZ174" s="28">
        <f t="shared" si="52"/>
        <v>0</v>
      </c>
      <c r="BA174" s="28">
        <f t="shared" si="53"/>
        <v>0</v>
      </c>
      <c r="BB174" s="28">
        <f t="shared" si="60"/>
        <v>0</v>
      </c>
      <c r="BC174" s="29">
        <f t="shared" si="61"/>
        <v>4.3502793683705104E-2</v>
      </c>
      <c r="BE174" s="29">
        <f t="shared" si="62"/>
        <v>0</v>
      </c>
      <c r="BF174" s="29">
        <f t="shared" si="63"/>
        <v>7.9437558785808146E-2</v>
      </c>
      <c r="BH174" s="29"/>
    </row>
    <row r="175" spans="1:60" x14ac:dyDescent="0.25">
      <c r="A175" s="1">
        <v>46276</v>
      </c>
      <c r="B175" s="33">
        <v>78.27</v>
      </c>
      <c r="C175" s="33">
        <v>79.599999999999994</v>
      </c>
      <c r="D175" s="15">
        <v>2.2089640672047901E-2</v>
      </c>
      <c r="E175" s="15">
        <v>2.1588139973634599E-2</v>
      </c>
      <c r="F175" s="33">
        <v>0</v>
      </c>
      <c r="G175" s="33">
        <v>0</v>
      </c>
      <c r="H175" s="33">
        <v>0</v>
      </c>
      <c r="I175" s="33">
        <v>0</v>
      </c>
      <c r="J175" s="33">
        <v>0</v>
      </c>
      <c r="K175" s="33">
        <v>0</v>
      </c>
      <c r="L175" s="33">
        <v>78.27</v>
      </c>
      <c r="M175" s="33">
        <v>79.599999999999994</v>
      </c>
      <c r="N175" s="34">
        <v>1.0169924619905399</v>
      </c>
      <c r="O175" s="34">
        <v>1.03934289630393</v>
      </c>
      <c r="P175" s="34">
        <v>1.0182014549051399</v>
      </c>
      <c r="Q175" s="34">
        <v>1.0181204880696999</v>
      </c>
      <c r="R175" s="33">
        <v>81.349368493708994</v>
      </c>
      <c r="S175" s="33">
        <v>79.717323741213605</v>
      </c>
      <c r="T175" s="33">
        <v>79.700224765745801</v>
      </c>
      <c r="U175" s="15">
        <v>2.1738977953712799E-2</v>
      </c>
      <c r="V175" s="15">
        <v>1.4728311983541701E-3</v>
      </c>
      <c r="W175" s="15">
        <v>1.25831308923117E-3</v>
      </c>
      <c r="X175" s="34">
        <v>1.0169924619905399</v>
      </c>
      <c r="Y175" s="34">
        <v>1.03934289630393</v>
      </c>
      <c r="Z175" s="34">
        <v>1.0182014549051399</v>
      </c>
      <c r="AA175" s="34">
        <v>1.0181204880696999</v>
      </c>
      <c r="AB175" s="33">
        <v>81.349368493708994</v>
      </c>
      <c r="AC175" s="33">
        <v>79.717323741213605</v>
      </c>
      <c r="AD175" s="33">
        <v>79.700224765745801</v>
      </c>
      <c r="AE175" s="15">
        <v>2.1738977953712799E-2</v>
      </c>
      <c r="AF175" s="15">
        <v>1.4728311983541701E-3</v>
      </c>
      <c r="AG175" s="15">
        <v>1.25831308923117E-3</v>
      </c>
      <c r="AI175" s="12"/>
      <c r="AJ175">
        <f t="shared" si="46"/>
        <v>0</v>
      </c>
      <c r="AK175">
        <f t="shared" si="47"/>
        <v>1</v>
      </c>
      <c r="AL175">
        <f t="shared" si="54"/>
        <v>0</v>
      </c>
      <c r="AM175">
        <f t="shared" si="44"/>
        <v>1</v>
      </c>
      <c r="AN175">
        <f t="shared" si="55"/>
        <v>0</v>
      </c>
      <c r="AO175" s="28">
        <f t="shared" si="48"/>
        <v>0</v>
      </c>
      <c r="AP175" s="28">
        <f t="shared" si="49"/>
        <v>0</v>
      </c>
      <c r="AQ175" s="28">
        <f t="shared" si="56"/>
        <v>0</v>
      </c>
      <c r="AR175" s="29">
        <f t="shared" si="57"/>
        <v>3.5934765102103056E-2</v>
      </c>
      <c r="AT175" s="12"/>
      <c r="AU175">
        <f t="shared" si="50"/>
        <v>0</v>
      </c>
      <c r="AV175">
        <f t="shared" si="51"/>
        <v>1</v>
      </c>
      <c r="AW175">
        <f t="shared" si="58"/>
        <v>0</v>
      </c>
      <c r="AX175">
        <f t="shared" si="45"/>
        <v>1</v>
      </c>
      <c r="AY175">
        <f t="shared" si="59"/>
        <v>0</v>
      </c>
      <c r="AZ175" s="28">
        <f t="shared" si="52"/>
        <v>0</v>
      </c>
      <c r="BA175" s="28">
        <f t="shared" si="53"/>
        <v>0</v>
      </c>
      <c r="BB175" s="28">
        <f t="shared" si="60"/>
        <v>0</v>
      </c>
      <c r="BC175" s="29">
        <f t="shared" si="61"/>
        <v>4.3502793683705104E-2</v>
      </c>
      <c r="BE175" s="29">
        <f t="shared" si="62"/>
        <v>0</v>
      </c>
      <c r="BF175" s="29">
        <f t="shared" si="63"/>
        <v>7.9437558785808146E-2</v>
      </c>
      <c r="BH175" s="29"/>
    </row>
    <row r="176" spans="1:60" x14ac:dyDescent="0.25">
      <c r="A176" s="1">
        <v>46279</v>
      </c>
      <c r="B176" s="33">
        <v>78.67</v>
      </c>
      <c r="C176" s="33">
        <v>79.989999999999995</v>
      </c>
      <c r="D176" s="15">
        <v>5.0975005244044101E-3</v>
      </c>
      <c r="E176" s="15">
        <v>4.8875340103932199E-3</v>
      </c>
      <c r="F176" s="33">
        <v>0</v>
      </c>
      <c r="G176" s="33">
        <v>0</v>
      </c>
      <c r="H176" s="33">
        <v>0</v>
      </c>
      <c r="I176" s="33">
        <v>0</v>
      </c>
      <c r="J176" s="33">
        <v>0</v>
      </c>
      <c r="K176" s="33">
        <v>0</v>
      </c>
      <c r="L176" s="33">
        <v>78.67</v>
      </c>
      <c r="M176" s="33">
        <v>79.989999999999995</v>
      </c>
      <c r="N176" s="34">
        <v>1.0167789500444799</v>
      </c>
      <c r="O176" s="34">
        <v>1.03934289630393</v>
      </c>
      <c r="P176" s="34">
        <v>1.01825486491842</v>
      </c>
      <c r="Q176" s="34">
        <v>1.0180983765278699</v>
      </c>
      <c r="R176" s="33">
        <v>81.765105652230602</v>
      </c>
      <c r="S176" s="33">
        <v>80.101908457387793</v>
      </c>
      <c r="T176" s="33">
        <v>80.095538796443293</v>
      </c>
      <c r="U176" s="15">
        <v>2.1948944467724201E-2</v>
      </c>
      <c r="V176" s="15">
        <v>1.39805286467873E-3</v>
      </c>
      <c r="W176" s="15">
        <v>1.31853023735818E-3</v>
      </c>
      <c r="X176" s="34">
        <v>1.0167789500444799</v>
      </c>
      <c r="Y176" s="34">
        <v>1.03934289630393</v>
      </c>
      <c r="Z176" s="34">
        <v>1.01825486491842</v>
      </c>
      <c r="AA176" s="34">
        <v>1.0180983765278699</v>
      </c>
      <c r="AB176" s="33">
        <v>81.765105652230602</v>
      </c>
      <c r="AC176" s="33">
        <v>80.101908457387793</v>
      </c>
      <c r="AD176" s="33">
        <v>80.095538796443293</v>
      </c>
      <c r="AE176" s="15">
        <v>2.1948944467724201E-2</v>
      </c>
      <c r="AF176" s="15">
        <v>1.39805286467873E-3</v>
      </c>
      <c r="AG176" s="15">
        <v>1.31853023735818E-3</v>
      </c>
      <c r="AI176" s="12"/>
      <c r="AJ176">
        <f t="shared" si="46"/>
        <v>0</v>
      </c>
      <c r="AK176">
        <f t="shared" si="47"/>
        <v>1</v>
      </c>
      <c r="AL176">
        <f t="shared" si="54"/>
        <v>0</v>
      </c>
      <c r="AM176">
        <f t="shared" si="44"/>
        <v>1</v>
      </c>
      <c r="AN176">
        <f t="shared" si="55"/>
        <v>0</v>
      </c>
      <c r="AO176" s="28">
        <f t="shared" si="48"/>
        <v>0</v>
      </c>
      <c r="AP176" s="28">
        <f t="shared" si="49"/>
        <v>0</v>
      </c>
      <c r="AQ176" s="28">
        <f t="shared" si="56"/>
        <v>0</v>
      </c>
      <c r="AR176" s="29">
        <f t="shared" si="57"/>
        <v>3.5934765102103056E-2</v>
      </c>
      <c r="AT176" s="12"/>
      <c r="AU176">
        <f t="shared" si="50"/>
        <v>0</v>
      </c>
      <c r="AV176">
        <f t="shared" si="51"/>
        <v>1</v>
      </c>
      <c r="AW176">
        <f t="shared" si="58"/>
        <v>0</v>
      </c>
      <c r="AX176">
        <f t="shared" si="45"/>
        <v>1</v>
      </c>
      <c r="AY176">
        <f t="shared" si="59"/>
        <v>0</v>
      </c>
      <c r="AZ176" s="28">
        <f t="shared" si="52"/>
        <v>0</v>
      </c>
      <c r="BA176" s="28">
        <f t="shared" si="53"/>
        <v>0</v>
      </c>
      <c r="BB176" s="28">
        <f t="shared" si="60"/>
        <v>0</v>
      </c>
      <c r="BC176" s="29">
        <f t="shared" si="61"/>
        <v>4.3502793683705104E-2</v>
      </c>
      <c r="BE176" s="29">
        <f t="shared" si="62"/>
        <v>0</v>
      </c>
      <c r="BF176" s="29">
        <f t="shared" si="63"/>
        <v>7.9437558785808146E-2</v>
      </c>
      <c r="BH176" s="29"/>
    </row>
    <row r="177" spans="85:100" x14ac:dyDescent="0.25">
      <c r="CG177" s="28"/>
      <c r="CH177" s="28"/>
      <c r="CI177" s="28"/>
      <c r="CJ177" s="29"/>
      <c r="CL177" s="28"/>
      <c r="CS177" s="28"/>
      <c r="CT177" s="28"/>
      <c r="CU177" s="28"/>
      <c r="CV177" s="29"/>
    </row>
    <row r="178" spans="85:100" x14ac:dyDescent="0.25">
      <c r="CG178" s="28"/>
      <c r="CH178" s="28"/>
      <c r="CI178" s="28"/>
      <c r="CJ178" s="29"/>
      <c r="CL178" s="28"/>
      <c r="CS178" s="28"/>
      <c r="CT178" s="28"/>
      <c r="CU178" s="28"/>
      <c r="CV178" s="29"/>
    </row>
    <row r="179" spans="85:100" x14ac:dyDescent="0.25">
      <c r="CG179" s="28"/>
      <c r="CH179" s="28"/>
      <c r="CI179" s="28"/>
      <c r="CJ179" s="29"/>
      <c r="CL179" s="28"/>
      <c r="CS179" s="28"/>
      <c r="CT179" s="28"/>
      <c r="CU179" s="28"/>
      <c r="CV179" s="29"/>
    </row>
  </sheetData>
  <conditionalFormatting sqref="AJ2:AQ9">
    <cfRule type="top10" dxfId="2" priority="3" rank="3"/>
  </conditionalFormatting>
  <conditionalFormatting sqref="AU2:BB9">
    <cfRule type="top10" dxfId="1" priority="2" rank="3"/>
  </conditionalFormatting>
  <conditionalFormatting sqref="DM33:DT33 DM26:DP32 DR26:DT32">
    <cfRule type="top10" dxfId="0" priority="1" rank="3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Hyland</cp:lastModifiedBy>
  <dcterms:created xsi:type="dcterms:W3CDTF">2026-09-22T19:38:06Z</dcterms:created>
  <dcterms:modified xsi:type="dcterms:W3CDTF">2026-09-22T21:57:59Z</dcterms:modified>
</cp:coreProperties>
</file>