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backtests\"/>
    </mc:Choice>
  </mc:AlternateContent>
  <xr:revisionPtr revIDLastSave="0" documentId="13_ncr:1_{19F5BF40-8251-4D3D-83F9-AFEAF2DB40C4}" xr6:coauthVersionLast="47" xr6:coauthVersionMax="47" xr10:uidLastSave="{00000000-0000-0000-0000-000000000000}"/>
  <bookViews>
    <workbookView xWindow="28680" yWindow="-120" windowWidth="29040" windowHeight="15720" xr2:uid="{770B8B57-144B-4E68-B903-668737A47E08}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176" i="1" l="1"/>
  <c r="AV176" i="1"/>
  <c r="AU176" i="1"/>
  <c r="AM176" i="1"/>
  <c r="AK176" i="1"/>
  <c r="AJ176" i="1"/>
  <c r="AX175" i="1"/>
  <c r="AV175" i="1"/>
  <c r="AU175" i="1"/>
  <c r="AY176" i="1" s="1"/>
  <c r="AM175" i="1"/>
  <c r="AK175" i="1"/>
  <c r="AJ175" i="1"/>
  <c r="AN176" i="1" s="1"/>
  <c r="AX174" i="1"/>
  <c r="AV174" i="1"/>
  <c r="AU174" i="1"/>
  <c r="AY175" i="1" s="1"/>
  <c r="AM174" i="1"/>
  <c r="AK174" i="1"/>
  <c r="AJ174" i="1"/>
  <c r="AN175" i="1" s="1"/>
  <c r="AX173" i="1"/>
  <c r="AV173" i="1"/>
  <c r="AU173" i="1"/>
  <c r="AY174" i="1" s="1"/>
  <c r="AM173" i="1"/>
  <c r="AK173" i="1"/>
  <c r="AJ173" i="1"/>
  <c r="AN174" i="1" s="1"/>
  <c r="AX172" i="1"/>
  <c r="AV172" i="1"/>
  <c r="AU172" i="1"/>
  <c r="AY173" i="1" s="1"/>
  <c r="AM172" i="1"/>
  <c r="AK172" i="1"/>
  <c r="AJ172" i="1"/>
  <c r="AN173" i="1" s="1"/>
  <c r="AX171" i="1"/>
  <c r="AV171" i="1"/>
  <c r="AU171" i="1"/>
  <c r="AY172" i="1" s="1"/>
  <c r="AM171" i="1"/>
  <c r="AK171" i="1"/>
  <c r="AJ171" i="1"/>
  <c r="AN172" i="1" s="1"/>
  <c r="AX170" i="1"/>
  <c r="AV170" i="1"/>
  <c r="AU170" i="1"/>
  <c r="AY171" i="1" s="1"/>
  <c r="AM170" i="1"/>
  <c r="AK170" i="1"/>
  <c r="AJ170" i="1"/>
  <c r="AX169" i="1"/>
  <c r="AV169" i="1"/>
  <c r="AU169" i="1"/>
  <c r="AY170" i="1" s="1"/>
  <c r="AM169" i="1"/>
  <c r="AK169" i="1"/>
  <c r="AJ169" i="1"/>
  <c r="AX168" i="1"/>
  <c r="AV168" i="1"/>
  <c r="AU168" i="1"/>
  <c r="AY169" i="1" s="1"/>
  <c r="AM168" i="1"/>
  <c r="AK168" i="1"/>
  <c r="AJ168" i="1"/>
  <c r="AN169" i="1" s="1"/>
  <c r="AX167" i="1"/>
  <c r="AV167" i="1"/>
  <c r="AU167" i="1"/>
  <c r="AY168" i="1" s="1"/>
  <c r="AM167" i="1"/>
  <c r="AK167" i="1"/>
  <c r="AJ167" i="1"/>
  <c r="AN168" i="1" s="1"/>
  <c r="AX166" i="1"/>
  <c r="AV166" i="1"/>
  <c r="AU166" i="1"/>
  <c r="AY167" i="1" s="1"/>
  <c r="AM166" i="1"/>
  <c r="AK166" i="1"/>
  <c r="AJ166" i="1"/>
  <c r="AN167" i="1" s="1"/>
  <c r="AX165" i="1"/>
  <c r="AV165" i="1"/>
  <c r="AU165" i="1"/>
  <c r="AY166" i="1" s="1"/>
  <c r="AM165" i="1"/>
  <c r="AK165" i="1"/>
  <c r="AJ165" i="1"/>
  <c r="AN166" i="1" s="1"/>
  <c r="AX164" i="1"/>
  <c r="AV164" i="1"/>
  <c r="AU164" i="1"/>
  <c r="AY165" i="1" s="1"/>
  <c r="AM164" i="1"/>
  <c r="AK164" i="1"/>
  <c r="AJ164" i="1"/>
  <c r="AN165" i="1" s="1"/>
  <c r="AX163" i="1"/>
  <c r="AV163" i="1"/>
  <c r="AU163" i="1"/>
  <c r="AY164" i="1" s="1"/>
  <c r="AM163" i="1"/>
  <c r="AK163" i="1"/>
  <c r="AJ163" i="1"/>
  <c r="AN164" i="1" s="1"/>
  <c r="AX162" i="1"/>
  <c r="AV162" i="1"/>
  <c r="AU162" i="1"/>
  <c r="AY163" i="1" s="1"/>
  <c r="AM162" i="1"/>
  <c r="AK162" i="1"/>
  <c r="AJ162" i="1"/>
  <c r="AX161" i="1"/>
  <c r="AV161" i="1"/>
  <c r="AU161" i="1"/>
  <c r="AY162" i="1" s="1"/>
  <c r="AM161" i="1"/>
  <c r="AK161" i="1"/>
  <c r="AJ161" i="1"/>
  <c r="AX160" i="1"/>
  <c r="AV160" i="1"/>
  <c r="AU160" i="1"/>
  <c r="AY161" i="1" s="1"/>
  <c r="AM160" i="1"/>
  <c r="AK160" i="1"/>
  <c r="AJ160" i="1"/>
  <c r="AX159" i="1"/>
  <c r="AV159" i="1"/>
  <c r="AU159" i="1"/>
  <c r="AY160" i="1" s="1"/>
  <c r="AM159" i="1"/>
  <c r="AK159" i="1"/>
  <c r="AJ159" i="1"/>
  <c r="AX158" i="1"/>
  <c r="AV158" i="1"/>
  <c r="AU158" i="1"/>
  <c r="AY159" i="1" s="1"/>
  <c r="AM158" i="1"/>
  <c r="AK158" i="1"/>
  <c r="AJ158" i="1"/>
  <c r="AN159" i="1" s="1"/>
  <c r="AX157" i="1"/>
  <c r="AV157" i="1"/>
  <c r="AU157" i="1"/>
  <c r="AY158" i="1" s="1"/>
  <c r="AM157" i="1"/>
  <c r="AK157" i="1"/>
  <c r="AJ157" i="1"/>
  <c r="AN158" i="1" s="1"/>
  <c r="AX156" i="1"/>
  <c r="AV156" i="1"/>
  <c r="AU156" i="1"/>
  <c r="AY157" i="1" s="1"/>
  <c r="AM156" i="1"/>
  <c r="AK156" i="1"/>
  <c r="AJ156" i="1"/>
  <c r="AN157" i="1" s="1"/>
  <c r="AX155" i="1"/>
  <c r="AV155" i="1"/>
  <c r="AU155" i="1"/>
  <c r="AY156" i="1" s="1"/>
  <c r="AM155" i="1"/>
  <c r="AK155" i="1"/>
  <c r="AJ155" i="1"/>
  <c r="AN156" i="1" s="1"/>
  <c r="AX154" i="1"/>
  <c r="AV154" i="1"/>
  <c r="AU154" i="1"/>
  <c r="AY155" i="1" s="1"/>
  <c r="AM154" i="1"/>
  <c r="AK154" i="1"/>
  <c r="AJ154" i="1"/>
  <c r="AN155" i="1" s="1"/>
  <c r="AX153" i="1"/>
  <c r="AV153" i="1"/>
  <c r="AU153" i="1"/>
  <c r="AY154" i="1" s="1"/>
  <c r="AM153" i="1"/>
  <c r="AK153" i="1"/>
  <c r="AJ153" i="1"/>
  <c r="AN154" i="1" s="1"/>
  <c r="AX152" i="1"/>
  <c r="AV152" i="1"/>
  <c r="AU152" i="1"/>
  <c r="AY153" i="1" s="1"/>
  <c r="AM152" i="1"/>
  <c r="AK152" i="1"/>
  <c r="AJ152" i="1"/>
  <c r="AX151" i="1"/>
  <c r="AV151" i="1"/>
  <c r="AU151" i="1"/>
  <c r="AY152" i="1" s="1"/>
  <c r="AM151" i="1"/>
  <c r="AK151" i="1"/>
  <c r="AJ151" i="1"/>
  <c r="AN152" i="1" s="1"/>
  <c r="AX150" i="1"/>
  <c r="AV150" i="1"/>
  <c r="AU150" i="1"/>
  <c r="AY151" i="1" s="1"/>
  <c r="AM150" i="1"/>
  <c r="AK150" i="1"/>
  <c r="AJ150" i="1"/>
  <c r="AN151" i="1" s="1"/>
  <c r="AX149" i="1"/>
  <c r="AV149" i="1"/>
  <c r="AU149" i="1"/>
  <c r="AY150" i="1" s="1"/>
  <c r="AM149" i="1"/>
  <c r="AK149" i="1"/>
  <c r="AJ149" i="1"/>
  <c r="AN150" i="1" s="1"/>
  <c r="AX148" i="1"/>
  <c r="AV148" i="1"/>
  <c r="AU148" i="1"/>
  <c r="AY149" i="1" s="1"/>
  <c r="AM148" i="1"/>
  <c r="AK148" i="1"/>
  <c r="AJ148" i="1"/>
  <c r="AN149" i="1" s="1"/>
  <c r="AX147" i="1"/>
  <c r="AV147" i="1"/>
  <c r="AU147" i="1"/>
  <c r="AY148" i="1" s="1"/>
  <c r="AM147" i="1"/>
  <c r="AK147" i="1"/>
  <c r="AJ147" i="1"/>
  <c r="AX146" i="1"/>
  <c r="AV146" i="1"/>
  <c r="AU146" i="1"/>
  <c r="AY147" i="1" s="1"/>
  <c r="AM146" i="1"/>
  <c r="AK146" i="1"/>
  <c r="AJ146" i="1"/>
  <c r="AN147" i="1" s="1"/>
  <c r="AX145" i="1"/>
  <c r="AV145" i="1"/>
  <c r="AU145" i="1"/>
  <c r="AY146" i="1" s="1"/>
  <c r="AM145" i="1"/>
  <c r="AK145" i="1"/>
  <c r="AJ145" i="1"/>
  <c r="AX144" i="1"/>
  <c r="AV144" i="1"/>
  <c r="AU144" i="1"/>
  <c r="AY145" i="1" s="1"/>
  <c r="AM144" i="1"/>
  <c r="AK144" i="1"/>
  <c r="AJ144" i="1"/>
  <c r="AN145" i="1" s="1"/>
  <c r="AX143" i="1"/>
  <c r="AV143" i="1"/>
  <c r="AU143" i="1"/>
  <c r="AY144" i="1" s="1"/>
  <c r="AM143" i="1"/>
  <c r="AK143" i="1"/>
  <c r="AJ143" i="1"/>
  <c r="AN144" i="1" s="1"/>
  <c r="AX142" i="1"/>
  <c r="AV142" i="1"/>
  <c r="AU142" i="1"/>
  <c r="AY143" i="1" s="1"/>
  <c r="AM142" i="1"/>
  <c r="AK142" i="1"/>
  <c r="AJ142" i="1"/>
  <c r="AN143" i="1" s="1"/>
  <c r="AX141" i="1"/>
  <c r="AV141" i="1"/>
  <c r="AU141" i="1"/>
  <c r="AY142" i="1" s="1"/>
  <c r="AM141" i="1"/>
  <c r="AK141" i="1"/>
  <c r="AJ141" i="1"/>
  <c r="AN142" i="1" s="1"/>
  <c r="AX140" i="1"/>
  <c r="AV140" i="1"/>
  <c r="AU140" i="1"/>
  <c r="AY141" i="1" s="1"/>
  <c r="AM140" i="1"/>
  <c r="AK140" i="1"/>
  <c r="AJ140" i="1"/>
  <c r="AX139" i="1"/>
  <c r="AV139" i="1"/>
  <c r="AU139" i="1"/>
  <c r="AY140" i="1" s="1"/>
  <c r="AM139" i="1"/>
  <c r="AK139" i="1"/>
  <c r="AJ139" i="1"/>
  <c r="AN140" i="1" s="1"/>
  <c r="AX138" i="1"/>
  <c r="AV138" i="1"/>
  <c r="AU138" i="1"/>
  <c r="AY139" i="1" s="1"/>
  <c r="AM138" i="1"/>
  <c r="AK138" i="1"/>
  <c r="AJ138" i="1"/>
  <c r="AN139" i="1" s="1"/>
  <c r="AX137" i="1"/>
  <c r="AV137" i="1"/>
  <c r="AU137" i="1"/>
  <c r="AY138" i="1" s="1"/>
  <c r="AM137" i="1"/>
  <c r="AK137" i="1"/>
  <c r="AJ137" i="1"/>
  <c r="AX136" i="1"/>
  <c r="AV136" i="1"/>
  <c r="AU136" i="1"/>
  <c r="AY137" i="1" s="1"/>
  <c r="AM136" i="1"/>
  <c r="AK136" i="1"/>
  <c r="AJ136" i="1"/>
  <c r="AN137" i="1" s="1"/>
  <c r="AX135" i="1"/>
  <c r="AV135" i="1"/>
  <c r="AU135" i="1"/>
  <c r="AY136" i="1" s="1"/>
  <c r="AM135" i="1"/>
  <c r="AK135" i="1"/>
  <c r="AJ135" i="1"/>
  <c r="AX134" i="1"/>
  <c r="AV134" i="1"/>
  <c r="AU134" i="1"/>
  <c r="AY135" i="1" s="1"/>
  <c r="AM134" i="1"/>
  <c r="AK134" i="1"/>
  <c r="AJ134" i="1"/>
  <c r="AN135" i="1" s="1"/>
  <c r="AX133" i="1"/>
  <c r="AV133" i="1"/>
  <c r="AU133" i="1"/>
  <c r="AM133" i="1"/>
  <c r="AK133" i="1"/>
  <c r="AJ133" i="1"/>
  <c r="AN134" i="1" s="1"/>
  <c r="AX132" i="1"/>
  <c r="AV132" i="1"/>
  <c r="AU132" i="1"/>
  <c r="AY133" i="1" s="1"/>
  <c r="AM132" i="1"/>
  <c r="AK132" i="1"/>
  <c r="AJ132" i="1"/>
  <c r="AN133" i="1" s="1"/>
  <c r="AX131" i="1"/>
  <c r="AV131" i="1"/>
  <c r="AU131" i="1"/>
  <c r="AY132" i="1" s="1"/>
  <c r="AM131" i="1"/>
  <c r="AK131" i="1"/>
  <c r="AJ131" i="1"/>
  <c r="AN132" i="1" s="1"/>
  <c r="AX130" i="1"/>
  <c r="AV130" i="1"/>
  <c r="AU130" i="1"/>
  <c r="AY131" i="1" s="1"/>
  <c r="AM130" i="1"/>
  <c r="AK130" i="1"/>
  <c r="AJ130" i="1"/>
  <c r="AN131" i="1" s="1"/>
  <c r="AX129" i="1"/>
  <c r="AV129" i="1"/>
  <c r="AU129" i="1"/>
  <c r="AY130" i="1" s="1"/>
  <c r="AM129" i="1"/>
  <c r="AK129" i="1"/>
  <c r="AJ129" i="1"/>
  <c r="AN130" i="1" s="1"/>
  <c r="AX128" i="1"/>
  <c r="AV128" i="1"/>
  <c r="AU128" i="1"/>
  <c r="AY129" i="1" s="1"/>
  <c r="AM128" i="1"/>
  <c r="AK128" i="1"/>
  <c r="AJ128" i="1"/>
  <c r="AN129" i="1" s="1"/>
  <c r="AX127" i="1"/>
  <c r="AV127" i="1"/>
  <c r="AU127" i="1"/>
  <c r="AY128" i="1" s="1"/>
  <c r="AM127" i="1"/>
  <c r="AK127" i="1"/>
  <c r="AJ127" i="1"/>
  <c r="AN128" i="1" s="1"/>
  <c r="AX126" i="1"/>
  <c r="AV126" i="1"/>
  <c r="AU126" i="1"/>
  <c r="AY127" i="1" s="1"/>
  <c r="AM126" i="1"/>
  <c r="AK126" i="1"/>
  <c r="AJ126" i="1"/>
  <c r="AN127" i="1" s="1"/>
  <c r="AX125" i="1"/>
  <c r="AV125" i="1"/>
  <c r="AU125" i="1"/>
  <c r="AY126" i="1" s="1"/>
  <c r="AM125" i="1"/>
  <c r="AK125" i="1"/>
  <c r="AJ125" i="1"/>
  <c r="AN126" i="1" s="1"/>
  <c r="AX124" i="1"/>
  <c r="AV124" i="1"/>
  <c r="AU124" i="1"/>
  <c r="AY125" i="1" s="1"/>
  <c r="AM124" i="1"/>
  <c r="AK124" i="1"/>
  <c r="AJ124" i="1"/>
  <c r="AN125" i="1" s="1"/>
  <c r="AX123" i="1"/>
  <c r="AV123" i="1"/>
  <c r="AU123" i="1"/>
  <c r="AY124" i="1" s="1"/>
  <c r="AM123" i="1"/>
  <c r="AK123" i="1"/>
  <c r="AJ123" i="1"/>
  <c r="AN124" i="1" s="1"/>
  <c r="AX122" i="1"/>
  <c r="AV122" i="1"/>
  <c r="AU122" i="1"/>
  <c r="AY123" i="1" s="1"/>
  <c r="AM122" i="1"/>
  <c r="AK122" i="1"/>
  <c r="AJ122" i="1"/>
  <c r="AN123" i="1" s="1"/>
  <c r="AX121" i="1"/>
  <c r="AV121" i="1"/>
  <c r="AU121" i="1"/>
  <c r="AY122" i="1" s="1"/>
  <c r="AM121" i="1"/>
  <c r="AK121" i="1"/>
  <c r="AJ121" i="1"/>
  <c r="AN122" i="1" s="1"/>
  <c r="AX120" i="1"/>
  <c r="AV120" i="1"/>
  <c r="AU120" i="1"/>
  <c r="AY121" i="1" s="1"/>
  <c r="AM120" i="1"/>
  <c r="AK120" i="1"/>
  <c r="AJ120" i="1"/>
  <c r="AN121" i="1" s="1"/>
  <c r="AX119" i="1"/>
  <c r="AV119" i="1"/>
  <c r="AU119" i="1"/>
  <c r="AY120" i="1" s="1"/>
  <c r="AM119" i="1"/>
  <c r="AK119" i="1"/>
  <c r="AJ119" i="1"/>
  <c r="AN120" i="1" s="1"/>
  <c r="AX118" i="1"/>
  <c r="AV118" i="1"/>
  <c r="AU118" i="1"/>
  <c r="AY119" i="1" s="1"/>
  <c r="AM118" i="1"/>
  <c r="AK118" i="1"/>
  <c r="AJ118" i="1"/>
  <c r="AN119" i="1" s="1"/>
  <c r="AX117" i="1"/>
  <c r="AV117" i="1"/>
  <c r="AU117" i="1"/>
  <c r="AY118" i="1" s="1"/>
  <c r="AM117" i="1"/>
  <c r="AK117" i="1"/>
  <c r="AJ117" i="1"/>
  <c r="AN118" i="1" s="1"/>
  <c r="AX116" i="1"/>
  <c r="AV116" i="1"/>
  <c r="AU116" i="1"/>
  <c r="AY117" i="1" s="1"/>
  <c r="AM116" i="1"/>
  <c r="AK116" i="1"/>
  <c r="AJ116" i="1"/>
  <c r="AN117" i="1" s="1"/>
  <c r="AX115" i="1"/>
  <c r="AV115" i="1"/>
  <c r="AU115" i="1"/>
  <c r="AM115" i="1"/>
  <c r="AK115" i="1"/>
  <c r="AJ115" i="1"/>
  <c r="AN116" i="1" s="1"/>
  <c r="AX114" i="1"/>
  <c r="AV114" i="1"/>
  <c r="AU114" i="1"/>
  <c r="AM114" i="1"/>
  <c r="AK114" i="1"/>
  <c r="AJ114" i="1"/>
  <c r="AN115" i="1" s="1"/>
  <c r="AX113" i="1"/>
  <c r="AV113" i="1"/>
  <c r="AU113" i="1"/>
  <c r="AY114" i="1" s="1"/>
  <c r="AM113" i="1"/>
  <c r="AK113" i="1"/>
  <c r="AJ113" i="1"/>
  <c r="AN114" i="1" s="1"/>
  <c r="AX112" i="1"/>
  <c r="AV112" i="1"/>
  <c r="AU112" i="1"/>
  <c r="AY113" i="1" s="1"/>
  <c r="AM112" i="1"/>
  <c r="AK112" i="1"/>
  <c r="AJ112" i="1"/>
  <c r="AN113" i="1" s="1"/>
  <c r="AX111" i="1"/>
  <c r="AV111" i="1"/>
  <c r="AU111" i="1"/>
  <c r="AY112" i="1" s="1"/>
  <c r="AM111" i="1"/>
  <c r="AK111" i="1"/>
  <c r="AJ111" i="1"/>
  <c r="AN112" i="1" s="1"/>
  <c r="AX110" i="1"/>
  <c r="AV110" i="1"/>
  <c r="AU110" i="1"/>
  <c r="AY111" i="1" s="1"/>
  <c r="AM110" i="1"/>
  <c r="AK110" i="1"/>
  <c r="AJ110" i="1"/>
  <c r="AN111" i="1" s="1"/>
  <c r="AX109" i="1"/>
  <c r="AV109" i="1"/>
  <c r="AU109" i="1"/>
  <c r="AY110" i="1" s="1"/>
  <c r="AM109" i="1"/>
  <c r="AK109" i="1"/>
  <c r="AJ109" i="1"/>
  <c r="AX108" i="1"/>
  <c r="AV108" i="1"/>
  <c r="AU108" i="1"/>
  <c r="AM108" i="1"/>
  <c r="AK108" i="1"/>
  <c r="AJ108" i="1"/>
  <c r="AN109" i="1" s="1"/>
  <c r="AX107" i="1"/>
  <c r="AV107" i="1"/>
  <c r="AU107" i="1"/>
  <c r="AM107" i="1"/>
  <c r="AK107" i="1"/>
  <c r="AJ107" i="1"/>
  <c r="AN108" i="1" s="1"/>
  <c r="AX106" i="1"/>
  <c r="AV106" i="1"/>
  <c r="AU106" i="1"/>
  <c r="AY107" i="1" s="1"/>
  <c r="AM106" i="1"/>
  <c r="AK106" i="1"/>
  <c r="AJ106" i="1"/>
  <c r="AN107" i="1" s="1"/>
  <c r="AX105" i="1"/>
  <c r="AV105" i="1"/>
  <c r="AU105" i="1"/>
  <c r="AY106" i="1" s="1"/>
  <c r="AM105" i="1"/>
  <c r="AK105" i="1"/>
  <c r="AJ105" i="1"/>
  <c r="AN106" i="1" s="1"/>
  <c r="AX104" i="1"/>
  <c r="AV104" i="1"/>
  <c r="AU104" i="1"/>
  <c r="AY105" i="1" s="1"/>
  <c r="AM104" i="1"/>
  <c r="AK104" i="1"/>
  <c r="AJ104" i="1"/>
  <c r="AN105" i="1" s="1"/>
  <c r="AX103" i="1"/>
  <c r="AV103" i="1"/>
  <c r="AU103" i="1"/>
  <c r="AM103" i="1"/>
  <c r="AK103" i="1"/>
  <c r="AJ103" i="1"/>
  <c r="AN104" i="1" s="1"/>
  <c r="AX102" i="1"/>
  <c r="AV102" i="1"/>
  <c r="AU102" i="1"/>
  <c r="AM102" i="1"/>
  <c r="AK102" i="1"/>
  <c r="AJ102" i="1"/>
  <c r="AX101" i="1"/>
  <c r="AV101" i="1"/>
  <c r="AU101" i="1"/>
  <c r="AM101" i="1"/>
  <c r="AK101" i="1"/>
  <c r="AJ101" i="1"/>
  <c r="AN102" i="1" s="1"/>
  <c r="AX100" i="1"/>
  <c r="AV100" i="1"/>
  <c r="AU100" i="1"/>
  <c r="AY101" i="1" s="1"/>
  <c r="AM100" i="1"/>
  <c r="AK100" i="1"/>
  <c r="AJ100" i="1"/>
  <c r="AN101" i="1" s="1"/>
  <c r="AX99" i="1"/>
  <c r="AV99" i="1"/>
  <c r="AU99" i="1"/>
  <c r="AY100" i="1" s="1"/>
  <c r="AM99" i="1"/>
  <c r="AK99" i="1"/>
  <c r="AJ99" i="1"/>
  <c r="AN100" i="1" s="1"/>
  <c r="AX98" i="1"/>
  <c r="AV98" i="1"/>
  <c r="AU98" i="1"/>
  <c r="AY99" i="1" s="1"/>
  <c r="AM98" i="1"/>
  <c r="AK98" i="1"/>
  <c r="AJ98" i="1"/>
  <c r="AN99" i="1" s="1"/>
  <c r="AX97" i="1"/>
  <c r="AV97" i="1"/>
  <c r="AU97" i="1"/>
  <c r="AY98" i="1" s="1"/>
  <c r="AM97" i="1"/>
  <c r="AK97" i="1"/>
  <c r="AJ97" i="1"/>
  <c r="AN98" i="1" s="1"/>
  <c r="AX96" i="1"/>
  <c r="AV96" i="1"/>
  <c r="AU96" i="1"/>
  <c r="AY97" i="1" s="1"/>
  <c r="AM96" i="1"/>
  <c r="AK96" i="1"/>
  <c r="AJ96" i="1"/>
  <c r="AX95" i="1"/>
  <c r="AV95" i="1"/>
  <c r="AU95" i="1"/>
  <c r="AY96" i="1" s="1"/>
  <c r="AM95" i="1"/>
  <c r="AK95" i="1"/>
  <c r="AJ95" i="1"/>
  <c r="AN96" i="1" s="1"/>
  <c r="AX94" i="1"/>
  <c r="AV94" i="1"/>
  <c r="AU94" i="1"/>
  <c r="AY95" i="1" s="1"/>
  <c r="AM94" i="1"/>
  <c r="AK94" i="1"/>
  <c r="AJ94" i="1"/>
  <c r="AN95" i="1" s="1"/>
  <c r="AX93" i="1"/>
  <c r="AV93" i="1"/>
  <c r="AU93" i="1"/>
  <c r="AY94" i="1" s="1"/>
  <c r="AM93" i="1"/>
  <c r="AK93" i="1"/>
  <c r="AJ93" i="1"/>
  <c r="AN94" i="1" s="1"/>
  <c r="AX92" i="1"/>
  <c r="AV92" i="1"/>
  <c r="AU92" i="1"/>
  <c r="AY93" i="1" s="1"/>
  <c r="AM92" i="1"/>
  <c r="AK92" i="1"/>
  <c r="AJ92" i="1"/>
  <c r="AN93" i="1" s="1"/>
  <c r="AX91" i="1"/>
  <c r="AV91" i="1"/>
  <c r="AU91" i="1"/>
  <c r="AY92" i="1" s="1"/>
  <c r="AM91" i="1"/>
  <c r="AK91" i="1"/>
  <c r="AJ91" i="1"/>
  <c r="AN92" i="1" s="1"/>
  <c r="AX90" i="1"/>
  <c r="AV90" i="1"/>
  <c r="AU90" i="1"/>
  <c r="AM90" i="1"/>
  <c r="AK90" i="1"/>
  <c r="AJ90" i="1"/>
  <c r="AN91" i="1" s="1"/>
  <c r="AX89" i="1"/>
  <c r="AV89" i="1"/>
  <c r="AU89" i="1"/>
  <c r="AM89" i="1"/>
  <c r="AK89" i="1"/>
  <c r="AJ89" i="1"/>
  <c r="AN90" i="1" s="1"/>
  <c r="AX88" i="1"/>
  <c r="AV88" i="1"/>
  <c r="AU88" i="1"/>
  <c r="AM88" i="1"/>
  <c r="AK88" i="1"/>
  <c r="AJ88" i="1"/>
  <c r="AN89" i="1" s="1"/>
  <c r="AX87" i="1"/>
  <c r="AV87" i="1"/>
  <c r="AU87" i="1"/>
  <c r="AY88" i="1" s="1"/>
  <c r="AM87" i="1"/>
  <c r="AK87" i="1"/>
  <c r="AJ87" i="1"/>
  <c r="AN88" i="1" s="1"/>
  <c r="AX86" i="1"/>
  <c r="AV86" i="1"/>
  <c r="AU86" i="1"/>
  <c r="AM86" i="1"/>
  <c r="AK86" i="1"/>
  <c r="AJ86" i="1"/>
  <c r="AN87" i="1" s="1"/>
  <c r="AX85" i="1"/>
  <c r="AV85" i="1"/>
  <c r="AU85" i="1"/>
  <c r="AM85" i="1"/>
  <c r="AK85" i="1"/>
  <c r="AJ85" i="1"/>
  <c r="AX84" i="1"/>
  <c r="AV84" i="1"/>
  <c r="AU84" i="1"/>
  <c r="AM84" i="1"/>
  <c r="AK84" i="1"/>
  <c r="AJ84" i="1"/>
  <c r="AN85" i="1" s="1"/>
  <c r="AX83" i="1"/>
  <c r="AV83" i="1"/>
  <c r="AU83" i="1"/>
  <c r="AM83" i="1"/>
  <c r="AK83" i="1"/>
  <c r="AJ83" i="1"/>
  <c r="AN84" i="1" s="1"/>
  <c r="AX82" i="1"/>
  <c r="AV82" i="1"/>
  <c r="AU82" i="1"/>
  <c r="AM82" i="1"/>
  <c r="AK82" i="1"/>
  <c r="AJ82" i="1"/>
  <c r="AN83" i="1" s="1"/>
  <c r="AX81" i="1"/>
  <c r="AV81" i="1"/>
  <c r="AU81" i="1"/>
  <c r="AM81" i="1"/>
  <c r="AK81" i="1"/>
  <c r="AJ81" i="1"/>
  <c r="AX80" i="1"/>
  <c r="AV80" i="1"/>
  <c r="AU80" i="1"/>
  <c r="AY81" i="1" s="1"/>
  <c r="AM80" i="1"/>
  <c r="AK80" i="1"/>
  <c r="AJ80" i="1"/>
  <c r="AN81" i="1" s="1"/>
  <c r="AX79" i="1"/>
  <c r="AV79" i="1"/>
  <c r="AU79" i="1"/>
  <c r="AY80" i="1" s="1"/>
  <c r="AM79" i="1"/>
  <c r="AK79" i="1"/>
  <c r="AJ79" i="1"/>
  <c r="AN80" i="1" s="1"/>
  <c r="AX78" i="1"/>
  <c r="AV78" i="1"/>
  <c r="AU78" i="1"/>
  <c r="AY79" i="1" s="1"/>
  <c r="AM78" i="1"/>
  <c r="AK78" i="1"/>
  <c r="AJ78" i="1"/>
  <c r="AN79" i="1" s="1"/>
  <c r="AX77" i="1"/>
  <c r="AV77" i="1"/>
  <c r="AU77" i="1"/>
  <c r="AY78" i="1" s="1"/>
  <c r="AM77" i="1"/>
  <c r="AK77" i="1"/>
  <c r="AJ77" i="1"/>
  <c r="AN78" i="1" s="1"/>
  <c r="AX76" i="1"/>
  <c r="AV76" i="1"/>
  <c r="AU76" i="1"/>
  <c r="AY77" i="1" s="1"/>
  <c r="AM76" i="1"/>
  <c r="AK76" i="1"/>
  <c r="AJ76" i="1"/>
  <c r="AN77" i="1" s="1"/>
  <c r="AX75" i="1"/>
  <c r="AV75" i="1"/>
  <c r="AU75" i="1"/>
  <c r="AY76" i="1" s="1"/>
  <c r="AM75" i="1"/>
  <c r="AK75" i="1"/>
  <c r="AJ75" i="1"/>
  <c r="AN76" i="1" s="1"/>
  <c r="AX74" i="1"/>
  <c r="AV74" i="1"/>
  <c r="AU74" i="1"/>
  <c r="AY75" i="1" s="1"/>
  <c r="AM74" i="1"/>
  <c r="AK74" i="1"/>
  <c r="AJ74" i="1"/>
  <c r="AN75" i="1" s="1"/>
  <c r="AX73" i="1"/>
  <c r="AV73" i="1"/>
  <c r="AU73" i="1"/>
  <c r="AY74" i="1" s="1"/>
  <c r="AM73" i="1"/>
  <c r="AK73" i="1"/>
  <c r="AJ73" i="1"/>
  <c r="AN74" i="1" s="1"/>
  <c r="AX72" i="1"/>
  <c r="AV72" i="1"/>
  <c r="AU72" i="1"/>
  <c r="AY73" i="1" s="1"/>
  <c r="AM72" i="1"/>
  <c r="AK72" i="1"/>
  <c r="AJ72" i="1"/>
  <c r="AN73" i="1" s="1"/>
  <c r="AX71" i="1"/>
  <c r="AV71" i="1"/>
  <c r="AU71" i="1"/>
  <c r="AY72" i="1" s="1"/>
  <c r="AM71" i="1"/>
  <c r="AK71" i="1"/>
  <c r="AJ71" i="1"/>
  <c r="AN72" i="1" s="1"/>
  <c r="AX70" i="1"/>
  <c r="AV70" i="1"/>
  <c r="AU70" i="1"/>
  <c r="AY71" i="1" s="1"/>
  <c r="AM70" i="1"/>
  <c r="AK70" i="1"/>
  <c r="AJ70" i="1"/>
  <c r="AN71" i="1" s="1"/>
  <c r="AX69" i="1"/>
  <c r="AV69" i="1"/>
  <c r="AU69" i="1"/>
  <c r="AY70" i="1" s="1"/>
  <c r="AM69" i="1"/>
  <c r="AK69" i="1"/>
  <c r="AJ69" i="1"/>
  <c r="AN70" i="1" s="1"/>
  <c r="AX68" i="1"/>
  <c r="AV68" i="1"/>
  <c r="AU68" i="1"/>
  <c r="AY69" i="1" s="1"/>
  <c r="AM68" i="1"/>
  <c r="AK68" i="1"/>
  <c r="AJ68" i="1"/>
  <c r="AN69" i="1" s="1"/>
  <c r="AX67" i="1"/>
  <c r="AV67" i="1"/>
  <c r="AU67" i="1"/>
  <c r="AY68" i="1" s="1"/>
  <c r="AM67" i="1"/>
  <c r="AK67" i="1"/>
  <c r="AJ67" i="1"/>
  <c r="AN68" i="1" s="1"/>
  <c r="AX66" i="1"/>
  <c r="AV66" i="1"/>
  <c r="AU66" i="1"/>
  <c r="AY67" i="1" s="1"/>
  <c r="AM66" i="1"/>
  <c r="AK66" i="1"/>
  <c r="AJ66" i="1"/>
  <c r="AN67" i="1" s="1"/>
  <c r="AX65" i="1"/>
  <c r="AV65" i="1"/>
  <c r="AU65" i="1"/>
  <c r="AY66" i="1" s="1"/>
  <c r="AM65" i="1"/>
  <c r="AK65" i="1"/>
  <c r="AJ65" i="1"/>
  <c r="AN66" i="1" s="1"/>
  <c r="AX64" i="1"/>
  <c r="AV64" i="1"/>
  <c r="AU64" i="1"/>
  <c r="AY65" i="1" s="1"/>
  <c r="AM64" i="1"/>
  <c r="AK64" i="1"/>
  <c r="AJ64" i="1"/>
  <c r="AN65" i="1" s="1"/>
  <c r="AX63" i="1"/>
  <c r="AV63" i="1"/>
  <c r="AU63" i="1"/>
  <c r="AY64" i="1" s="1"/>
  <c r="AM63" i="1"/>
  <c r="AK63" i="1"/>
  <c r="AJ63" i="1"/>
  <c r="AN64" i="1" s="1"/>
  <c r="AX62" i="1"/>
  <c r="AV62" i="1"/>
  <c r="AU62" i="1"/>
  <c r="AY63" i="1" s="1"/>
  <c r="AM62" i="1"/>
  <c r="AK62" i="1"/>
  <c r="AJ62" i="1"/>
  <c r="AN63" i="1" s="1"/>
  <c r="AX61" i="1"/>
  <c r="AV61" i="1"/>
  <c r="AU61" i="1"/>
  <c r="AY62" i="1" s="1"/>
  <c r="AM61" i="1"/>
  <c r="AK61" i="1"/>
  <c r="AJ61" i="1"/>
  <c r="AN62" i="1" s="1"/>
  <c r="AX60" i="1"/>
  <c r="AV60" i="1"/>
  <c r="AU60" i="1"/>
  <c r="AM60" i="1"/>
  <c r="AK60" i="1"/>
  <c r="AJ60" i="1"/>
  <c r="AN61" i="1" s="1"/>
  <c r="AX59" i="1"/>
  <c r="AV59" i="1"/>
  <c r="AU59" i="1"/>
  <c r="AY60" i="1" s="1"/>
  <c r="AM59" i="1"/>
  <c r="AK59" i="1"/>
  <c r="AJ59" i="1"/>
  <c r="AN60" i="1" s="1"/>
  <c r="AX58" i="1"/>
  <c r="AV58" i="1"/>
  <c r="AU58" i="1"/>
  <c r="AM58" i="1"/>
  <c r="AK58" i="1"/>
  <c r="AJ58" i="1"/>
  <c r="AN59" i="1" s="1"/>
  <c r="AX57" i="1"/>
  <c r="AV57" i="1"/>
  <c r="AU57" i="1"/>
  <c r="AY58" i="1" s="1"/>
  <c r="AM57" i="1"/>
  <c r="AK57" i="1"/>
  <c r="AJ57" i="1"/>
  <c r="AN58" i="1" s="1"/>
  <c r="AX56" i="1"/>
  <c r="AV56" i="1"/>
  <c r="AU56" i="1"/>
  <c r="AY57" i="1" s="1"/>
  <c r="AM56" i="1"/>
  <c r="AK56" i="1"/>
  <c r="AJ56" i="1"/>
  <c r="AN57" i="1" s="1"/>
  <c r="AX55" i="1"/>
  <c r="AV55" i="1"/>
  <c r="AU55" i="1"/>
  <c r="AM55" i="1"/>
  <c r="AK55" i="1"/>
  <c r="AJ55" i="1"/>
  <c r="AN56" i="1" s="1"/>
  <c r="AX54" i="1"/>
  <c r="AV54" i="1"/>
  <c r="AU54" i="1"/>
  <c r="AM54" i="1"/>
  <c r="AK54" i="1"/>
  <c r="AJ54" i="1"/>
  <c r="AN55" i="1" s="1"/>
  <c r="AX53" i="1"/>
  <c r="AV53" i="1"/>
  <c r="AU53" i="1"/>
  <c r="AM53" i="1"/>
  <c r="AK53" i="1"/>
  <c r="AJ53" i="1"/>
  <c r="AN54" i="1" s="1"/>
  <c r="AX52" i="1"/>
  <c r="AV52" i="1"/>
  <c r="AU52" i="1"/>
  <c r="AY53" i="1" s="1"/>
  <c r="AM52" i="1"/>
  <c r="AK52" i="1"/>
  <c r="AJ52" i="1"/>
  <c r="AN53" i="1" s="1"/>
  <c r="AX51" i="1"/>
  <c r="AV51" i="1"/>
  <c r="AU51" i="1"/>
  <c r="AY52" i="1" s="1"/>
  <c r="AM51" i="1"/>
  <c r="AK51" i="1"/>
  <c r="AJ51" i="1"/>
  <c r="AN52" i="1" s="1"/>
  <c r="AX50" i="1"/>
  <c r="AV50" i="1"/>
  <c r="AU50" i="1"/>
  <c r="AM50" i="1"/>
  <c r="AK50" i="1"/>
  <c r="AJ50" i="1"/>
  <c r="AN51" i="1" s="1"/>
  <c r="AX49" i="1"/>
  <c r="AV49" i="1"/>
  <c r="AU49" i="1"/>
  <c r="AM49" i="1"/>
  <c r="AK49" i="1"/>
  <c r="AJ49" i="1"/>
  <c r="AN50" i="1" s="1"/>
  <c r="AX48" i="1"/>
  <c r="AV48" i="1"/>
  <c r="AU48" i="1"/>
  <c r="AY49" i="1" s="1"/>
  <c r="AM48" i="1"/>
  <c r="AK48" i="1"/>
  <c r="AJ48" i="1"/>
  <c r="AN49" i="1" s="1"/>
  <c r="AX47" i="1"/>
  <c r="AV47" i="1"/>
  <c r="AU47" i="1"/>
  <c r="AY48" i="1" s="1"/>
  <c r="AM47" i="1"/>
  <c r="AK47" i="1"/>
  <c r="AJ47" i="1"/>
  <c r="AN48" i="1" s="1"/>
  <c r="AX46" i="1"/>
  <c r="AV46" i="1"/>
  <c r="AU46" i="1"/>
  <c r="AY47" i="1" s="1"/>
  <c r="AM46" i="1"/>
  <c r="AK46" i="1"/>
  <c r="AJ46" i="1"/>
  <c r="AN47" i="1" s="1"/>
  <c r="AX45" i="1"/>
  <c r="AV45" i="1"/>
  <c r="AU45" i="1"/>
  <c r="AY46" i="1" s="1"/>
  <c r="AM45" i="1"/>
  <c r="AK45" i="1"/>
  <c r="AJ45" i="1"/>
  <c r="AN46" i="1" s="1"/>
  <c r="AX44" i="1"/>
  <c r="AV44" i="1"/>
  <c r="AU44" i="1"/>
  <c r="AY45" i="1" s="1"/>
  <c r="AM44" i="1"/>
  <c r="AK44" i="1"/>
  <c r="AJ44" i="1"/>
  <c r="AN45" i="1" s="1"/>
  <c r="AX43" i="1"/>
  <c r="AV43" i="1"/>
  <c r="AU43" i="1"/>
  <c r="AM43" i="1"/>
  <c r="AK43" i="1"/>
  <c r="AJ43" i="1"/>
  <c r="AN44" i="1" s="1"/>
  <c r="AX42" i="1"/>
  <c r="AV42" i="1"/>
  <c r="AU42" i="1"/>
  <c r="AY43" i="1" s="1"/>
  <c r="AM42" i="1"/>
  <c r="AK42" i="1"/>
  <c r="AJ42" i="1"/>
  <c r="AN43" i="1" s="1"/>
  <c r="AX41" i="1"/>
  <c r="AV41" i="1"/>
  <c r="AU41" i="1"/>
  <c r="AM41" i="1"/>
  <c r="AK41" i="1"/>
  <c r="AJ41" i="1"/>
  <c r="AN42" i="1" s="1"/>
  <c r="AX40" i="1"/>
  <c r="AV40" i="1"/>
  <c r="AU40" i="1"/>
  <c r="AY41" i="1" s="1"/>
  <c r="AM40" i="1"/>
  <c r="AK40" i="1"/>
  <c r="AJ40" i="1"/>
  <c r="AN41" i="1" s="1"/>
  <c r="AX39" i="1"/>
  <c r="AV39" i="1"/>
  <c r="AU39" i="1"/>
  <c r="AY40" i="1" s="1"/>
  <c r="AM39" i="1"/>
  <c r="AK39" i="1"/>
  <c r="AJ39" i="1"/>
  <c r="AN40" i="1" s="1"/>
  <c r="AX38" i="1"/>
  <c r="AV38" i="1"/>
  <c r="AU38" i="1"/>
  <c r="AM38" i="1"/>
  <c r="AK38" i="1"/>
  <c r="AJ38" i="1"/>
  <c r="AN39" i="1" s="1"/>
  <c r="AX37" i="1"/>
  <c r="AV37" i="1"/>
  <c r="AU37" i="1"/>
  <c r="AM37" i="1"/>
  <c r="AK37" i="1"/>
  <c r="AJ37" i="1"/>
  <c r="AN38" i="1" s="1"/>
  <c r="AX36" i="1"/>
  <c r="AV36" i="1"/>
  <c r="AU36" i="1"/>
  <c r="AY37" i="1" s="1"/>
  <c r="AM36" i="1"/>
  <c r="AK36" i="1"/>
  <c r="AJ36" i="1"/>
  <c r="AN37" i="1" s="1"/>
  <c r="AX35" i="1"/>
  <c r="AV35" i="1"/>
  <c r="AU35" i="1"/>
  <c r="AY36" i="1" s="1"/>
  <c r="AM35" i="1"/>
  <c r="AK35" i="1"/>
  <c r="AJ35" i="1"/>
  <c r="AX34" i="1"/>
  <c r="AV34" i="1"/>
  <c r="AU34" i="1"/>
  <c r="AY35" i="1" s="1"/>
  <c r="AM34" i="1"/>
  <c r="AK34" i="1"/>
  <c r="AJ34" i="1"/>
  <c r="AX33" i="1"/>
  <c r="AV33" i="1"/>
  <c r="AU33" i="1"/>
  <c r="AY34" i="1" s="1"/>
  <c r="AM33" i="1"/>
  <c r="AK33" i="1"/>
  <c r="AJ33" i="1"/>
  <c r="AX32" i="1"/>
  <c r="AV32" i="1"/>
  <c r="AU32" i="1"/>
  <c r="AY33" i="1" s="1"/>
  <c r="AM32" i="1"/>
  <c r="AK32" i="1"/>
  <c r="AJ32" i="1"/>
  <c r="AN33" i="1" s="1"/>
  <c r="AX31" i="1"/>
  <c r="AV31" i="1"/>
  <c r="AU31" i="1"/>
  <c r="AY32" i="1" s="1"/>
  <c r="AM31" i="1"/>
  <c r="AK31" i="1"/>
  <c r="AJ31" i="1"/>
  <c r="AX30" i="1"/>
  <c r="AV30" i="1"/>
  <c r="AU30" i="1"/>
  <c r="AY31" i="1" s="1"/>
  <c r="AM30" i="1"/>
  <c r="AK30" i="1"/>
  <c r="AJ30" i="1"/>
  <c r="AN31" i="1" s="1"/>
  <c r="AX29" i="1"/>
  <c r="AV29" i="1"/>
  <c r="AU29" i="1"/>
  <c r="AY30" i="1" s="1"/>
  <c r="AM29" i="1"/>
  <c r="AK29" i="1"/>
  <c r="AJ29" i="1"/>
  <c r="AN30" i="1" s="1"/>
  <c r="AX28" i="1"/>
  <c r="AV28" i="1"/>
  <c r="AU28" i="1"/>
  <c r="AY29" i="1" s="1"/>
  <c r="AM28" i="1"/>
  <c r="AK28" i="1"/>
  <c r="AJ28" i="1"/>
  <c r="AN29" i="1" s="1"/>
  <c r="AX27" i="1"/>
  <c r="AV27" i="1"/>
  <c r="AU27" i="1"/>
  <c r="AY28" i="1" s="1"/>
  <c r="AM27" i="1"/>
  <c r="AK27" i="1"/>
  <c r="AJ27" i="1"/>
  <c r="AN28" i="1" s="1"/>
  <c r="AX26" i="1"/>
  <c r="AV26" i="1"/>
  <c r="AU26" i="1"/>
  <c r="AY27" i="1" s="1"/>
  <c r="AM26" i="1"/>
  <c r="AK26" i="1"/>
  <c r="AJ26" i="1"/>
  <c r="AN27" i="1" s="1"/>
  <c r="AX25" i="1"/>
  <c r="AV25" i="1"/>
  <c r="AU25" i="1"/>
  <c r="AY26" i="1" s="1"/>
  <c r="AM25" i="1"/>
  <c r="AK25" i="1"/>
  <c r="AJ25" i="1"/>
  <c r="AX24" i="1"/>
  <c r="AV24" i="1"/>
  <c r="AU24" i="1"/>
  <c r="AY25" i="1" s="1"/>
  <c r="AM24" i="1"/>
  <c r="AK24" i="1"/>
  <c r="AJ24" i="1"/>
  <c r="AN25" i="1" s="1"/>
  <c r="AX23" i="1"/>
  <c r="AV23" i="1"/>
  <c r="AU23" i="1"/>
  <c r="AM23" i="1"/>
  <c r="AK23" i="1"/>
  <c r="AJ23" i="1"/>
  <c r="AN24" i="1" s="1"/>
  <c r="AX22" i="1"/>
  <c r="AW22" i="1"/>
  <c r="AV22" i="1"/>
  <c r="AU22" i="1"/>
  <c r="AY23" i="1" s="1"/>
  <c r="AM22" i="1"/>
  <c r="AL22" i="1"/>
  <c r="AK22" i="1"/>
  <c r="AJ22" i="1"/>
  <c r="AN23" i="1" s="1"/>
  <c r="AX21" i="1"/>
  <c r="AY22" i="1" s="1"/>
  <c r="AM21" i="1"/>
  <c r="AN22" i="1" s="1"/>
  <c r="BA20" i="1"/>
  <c r="AZ20" i="1"/>
  <c r="AP20" i="1"/>
  <c r="AO20" i="1"/>
  <c r="AT3" i="1"/>
  <c r="AT4" i="1" s="1"/>
  <c r="AT5" i="1" s="1"/>
  <c r="AT6" i="1" s="1"/>
  <c r="AT7" i="1" s="1"/>
  <c r="AT8" i="1" s="1"/>
  <c r="AT9" i="1" s="1"/>
  <c r="AI3" i="1"/>
  <c r="AI4" i="1" s="1"/>
  <c r="AI5" i="1" s="1"/>
  <c r="AI6" i="1" s="1"/>
  <c r="AI7" i="1" s="1"/>
  <c r="AI8" i="1" s="1"/>
  <c r="AI9" i="1" s="1"/>
  <c r="AV1" i="1"/>
  <c r="AW1" i="1" s="1"/>
  <c r="AX1" i="1" s="1"/>
  <c r="AY1" i="1" s="1"/>
  <c r="AZ1" i="1" s="1"/>
  <c r="BA1" i="1" s="1"/>
  <c r="BB1" i="1" s="1"/>
  <c r="AK1" i="1"/>
  <c r="AL1" i="1" s="1"/>
  <c r="AM1" i="1" s="1"/>
  <c r="AN1" i="1" s="1"/>
  <c r="AO1" i="1" s="1"/>
  <c r="AP1" i="1" s="1"/>
  <c r="AQ1" i="1" s="1"/>
  <c r="AY108" i="1" l="1"/>
  <c r="AY109" i="1"/>
  <c r="AN34" i="1"/>
  <c r="AN103" i="1"/>
  <c r="AN86" i="1"/>
  <c r="AN82" i="1"/>
  <c r="AN36" i="1"/>
  <c r="AN35" i="1"/>
  <c r="AZ176" i="1"/>
  <c r="BA176" i="1"/>
  <c r="AW176" i="1"/>
  <c r="AP176" i="1"/>
  <c r="AO176" i="1"/>
  <c r="AQ176" i="1" s="1"/>
  <c r="AL176" i="1"/>
  <c r="BA175" i="1"/>
  <c r="AZ175" i="1"/>
  <c r="BB175" i="1" s="1"/>
  <c r="AW175" i="1"/>
  <c r="AO175" i="1"/>
  <c r="AP175" i="1"/>
  <c r="AL175" i="1"/>
  <c r="BA174" i="1"/>
  <c r="AZ174" i="1"/>
  <c r="BB174" i="1" s="1"/>
  <c r="AW174" i="1"/>
  <c r="AO174" i="1"/>
  <c r="AP174" i="1"/>
  <c r="AL174" i="1"/>
  <c r="BA173" i="1"/>
  <c r="AZ173" i="1"/>
  <c r="BB173" i="1" s="1"/>
  <c r="AW173" i="1"/>
  <c r="AP173" i="1"/>
  <c r="AO173" i="1"/>
  <c r="AQ173" i="1" s="1"/>
  <c r="AL173" i="1"/>
  <c r="AZ172" i="1"/>
  <c r="BA172" i="1"/>
  <c r="AW172" i="1"/>
  <c r="AP172" i="1"/>
  <c r="AL172" i="1"/>
  <c r="AO172" i="1"/>
  <c r="AQ172" i="1" s="1"/>
  <c r="BA171" i="1"/>
  <c r="AZ171" i="1"/>
  <c r="BB171" i="1" s="1"/>
  <c r="AW171" i="1"/>
  <c r="AZ170" i="1"/>
  <c r="BA170" i="1"/>
  <c r="AW170" i="1"/>
  <c r="AZ169" i="1"/>
  <c r="BA169" i="1"/>
  <c r="AW169" i="1"/>
  <c r="AO169" i="1"/>
  <c r="AP169" i="1"/>
  <c r="AL169" i="1"/>
  <c r="AN170" i="1" s="1"/>
  <c r="BA168" i="1"/>
  <c r="AZ168" i="1"/>
  <c r="BB168" i="1" s="1"/>
  <c r="AW168" i="1"/>
  <c r="AL168" i="1"/>
  <c r="AO168" i="1"/>
  <c r="AP168" i="1"/>
  <c r="AZ167" i="1"/>
  <c r="BA167" i="1"/>
  <c r="AW167" i="1"/>
  <c r="AO167" i="1"/>
  <c r="AP167" i="1"/>
  <c r="AL167" i="1"/>
  <c r="BA166" i="1"/>
  <c r="AZ166" i="1"/>
  <c r="BB166" i="1" s="1"/>
  <c r="AW166" i="1"/>
  <c r="AL166" i="1"/>
  <c r="AO166" i="1"/>
  <c r="AP166" i="1"/>
  <c r="AZ165" i="1"/>
  <c r="BA165" i="1"/>
  <c r="AW165" i="1"/>
  <c r="AL165" i="1"/>
  <c r="AO165" i="1"/>
  <c r="AP165" i="1"/>
  <c r="AW164" i="1"/>
  <c r="AZ164" i="1"/>
  <c r="BA164" i="1"/>
  <c r="AO164" i="1"/>
  <c r="AP164" i="1"/>
  <c r="AL164" i="1"/>
  <c r="AZ163" i="1"/>
  <c r="BA163" i="1"/>
  <c r="AW163" i="1"/>
  <c r="AZ162" i="1"/>
  <c r="AW162" i="1"/>
  <c r="BA162" i="1"/>
  <c r="AZ161" i="1"/>
  <c r="AW161" i="1"/>
  <c r="BA161" i="1"/>
  <c r="BA160" i="1"/>
  <c r="AZ160" i="1"/>
  <c r="BB160" i="1" s="1"/>
  <c r="AW160" i="1"/>
  <c r="AZ159" i="1"/>
  <c r="AW159" i="1"/>
  <c r="BA159" i="1"/>
  <c r="AL159" i="1"/>
  <c r="AN160" i="1" s="1"/>
  <c r="AO159" i="1"/>
  <c r="AP159" i="1"/>
  <c r="AW158" i="1"/>
  <c r="BA158" i="1"/>
  <c r="AZ158" i="1"/>
  <c r="BB158" i="1" s="1"/>
  <c r="AP158" i="1"/>
  <c r="AL158" i="1"/>
  <c r="AO158" i="1"/>
  <c r="AQ158" i="1" s="1"/>
  <c r="BE158" i="1" s="1"/>
  <c r="AW157" i="1"/>
  <c r="BA157" i="1"/>
  <c r="AZ157" i="1"/>
  <c r="BB157" i="1" s="1"/>
  <c r="AO157" i="1"/>
  <c r="AL157" i="1"/>
  <c r="AP157" i="1"/>
  <c r="BA156" i="1"/>
  <c r="AZ156" i="1"/>
  <c r="BB156" i="1" s="1"/>
  <c r="AW156" i="1"/>
  <c r="AP156" i="1"/>
  <c r="AL156" i="1"/>
  <c r="AO156" i="1"/>
  <c r="AQ156" i="1" s="1"/>
  <c r="BE156" i="1" s="1"/>
  <c r="BA155" i="1"/>
  <c r="AW155" i="1"/>
  <c r="AZ155" i="1"/>
  <c r="BB155" i="1" s="1"/>
  <c r="AO155" i="1"/>
  <c r="AL155" i="1"/>
  <c r="AP155" i="1"/>
  <c r="BA154" i="1"/>
  <c r="AW154" i="1"/>
  <c r="AZ154" i="1"/>
  <c r="BB154" i="1" s="1"/>
  <c r="AL154" i="1"/>
  <c r="AO154" i="1"/>
  <c r="AP154" i="1"/>
  <c r="AW153" i="1"/>
  <c r="BA153" i="1"/>
  <c r="AZ153" i="1"/>
  <c r="BB153" i="1" s="1"/>
  <c r="AW152" i="1"/>
  <c r="BA152" i="1"/>
  <c r="AZ152" i="1"/>
  <c r="BB152" i="1" s="1"/>
  <c r="AO152" i="1"/>
  <c r="AP152" i="1"/>
  <c r="AL152" i="1"/>
  <c r="AN153" i="1" s="1"/>
  <c r="BA151" i="1"/>
  <c r="AW151" i="1"/>
  <c r="AZ151" i="1"/>
  <c r="AL151" i="1"/>
  <c r="AO151" i="1"/>
  <c r="AP151" i="1"/>
  <c r="AZ150" i="1"/>
  <c r="AW150" i="1"/>
  <c r="BA150" i="1"/>
  <c r="AL150" i="1"/>
  <c r="AO150" i="1"/>
  <c r="AP150" i="1"/>
  <c r="AZ149" i="1"/>
  <c r="AW149" i="1"/>
  <c r="BA149" i="1"/>
  <c r="AO149" i="1"/>
  <c r="AL149" i="1"/>
  <c r="AP149" i="1"/>
  <c r="BA148" i="1"/>
  <c r="AZ148" i="1"/>
  <c r="BB148" i="1" s="1"/>
  <c r="AW148" i="1"/>
  <c r="AZ147" i="1"/>
  <c r="AW147" i="1"/>
  <c r="BA147" i="1"/>
  <c r="AP147" i="1"/>
  <c r="AO147" i="1"/>
  <c r="AQ147" i="1" s="1"/>
  <c r="AL147" i="1"/>
  <c r="AN148" i="1" s="1"/>
  <c r="BA146" i="1"/>
  <c r="AZ146" i="1"/>
  <c r="BB146" i="1" s="1"/>
  <c r="AW146" i="1"/>
  <c r="BA145" i="1"/>
  <c r="AZ145" i="1"/>
  <c r="BB145" i="1" s="1"/>
  <c r="AW145" i="1"/>
  <c r="AO145" i="1"/>
  <c r="AL145" i="1"/>
  <c r="AN146" i="1" s="1"/>
  <c r="AP145" i="1"/>
  <c r="AZ144" i="1"/>
  <c r="AW144" i="1"/>
  <c r="BA144" i="1"/>
  <c r="AP144" i="1"/>
  <c r="AL144" i="1"/>
  <c r="AO144" i="1"/>
  <c r="AQ144" i="1" s="1"/>
  <c r="BA143" i="1"/>
  <c r="AW143" i="1"/>
  <c r="AZ143" i="1"/>
  <c r="BB143" i="1" s="1"/>
  <c r="AP143" i="1"/>
  <c r="AO143" i="1"/>
  <c r="AQ143" i="1" s="1"/>
  <c r="BE143" i="1" s="1"/>
  <c r="AL143" i="1"/>
  <c r="BA142" i="1"/>
  <c r="AW142" i="1"/>
  <c r="AZ142" i="1"/>
  <c r="BB142" i="1" s="1"/>
  <c r="AP142" i="1"/>
  <c r="AL142" i="1"/>
  <c r="AO142" i="1"/>
  <c r="AQ142" i="1" s="1"/>
  <c r="BE142" i="1" s="1"/>
  <c r="AZ141" i="1"/>
  <c r="BA141" i="1"/>
  <c r="AW141" i="1"/>
  <c r="AW140" i="1"/>
  <c r="AZ140" i="1"/>
  <c r="BA140" i="1"/>
  <c r="AP140" i="1"/>
  <c r="AL140" i="1"/>
  <c r="AN141" i="1" s="1"/>
  <c r="AO140" i="1"/>
  <c r="AQ140" i="1" s="1"/>
  <c r="AW139" i="1"/>
  <c r="AZ139" i="1"/>
  <c r="BA139" i="1"/>
  <c r="AO139" i="1"/>
  <c r="AL139" i="1"/>
  <c r="AP139" i="1"/>
  <c r="BA138" i="1"/>
  <c r="AZ138" i="1"/>
  <c r="BB138" i="1" s="1"/>
  <c r="AW138" i="1"/>
  <c r="BA137" i="1"/>
  <c r="AZ137" i="1"/>
  <c r="BB137" i="1" s="1"/>
  <c r="AW137" i="1"/>
  <c r="AO137" i="1"/>
  <c r="AP137" i="1"/>
  <c r="AL137" i="1"/>
  <c r="AN138" i="1" s="1"/>
  <c r="AZ136" i="1"/>
  <c r="BA136" i="1"/>
  <c r="AW136" i="1"/>
  <c r="BA135" i="1"/>
  <c r="AW135" i="1"/>
  <c r="AZ135" i="1"/>
  <c r="BB135" i="1" s="1"/>
  <c r="AO135" i="1"/>
  <c r="AL135" i="1"/>
  <c r="AN136" i="1" s="1"/>
  <c r="AP135" i="1"/>
  <c r="AL134" i="1"/>
  <c r="AO134" i="1"/>
  <c r="AP134" i="1"/>
  <c r="AZ133" i="1"/>
  <c r="BA133" i="1"/>
  <c r="AW133" i="1"/>
  <c r="AY134" i="1" s="1"/>
  <c r="AP133" i="1"/>
  <c r="AL133" i="1"/>
  <c r="AO133" i="1"/>
  <c r="AQ133" i="1" s="1"/>
  <c r="AW132" i="1"/>
  <c r="AZ132" i="1"/>
  <c r="BA132" i="1"/>
  <c r="AO132" i="1"/>
  <c r="AL132" i="1"/>
  <c r="AP132" i="1"/>
  <c r="BA131" i="1"/>
  <c r="AW131" i="1"/>
  <c r="AZ131" i="1"/>
  <c r="BB131" i="1" s="1"/>
  <c r="AO131" i="1"/>
  <c r="AP131" i="1"/>
  <c r="AL131" i="1"/>
  <c r="AW130" i="1"/>
  <c r="BA130" i="1"/>
  <c r="AZ130" i="1"/>
  <c r="BB130" i="1" s="1"/>
  <c r="AP130" i="1"/>
  <c r="AO130" i="1"/>
  <c r="AQ130" i="1" s="1"/>
  <c r="BE130" i="1" s="1"/>
  <c r="AL130" i="1"/>
  <c r="AW129" i="1"/>
  <c r="BA129" i="1"/>
  <c r="AZ129" i="1"/>
  <c r="BB129" i="1" s="1"/>
  <c r="AP129" i="1"/>
  <c r="AO129" i="1"/>
  <c r="AQ129" i="1" s="1"/>
  <c r="BE129" i="1" s="1"/>
  <c r="AL129" i="1"/>
  <c r="AZ128" i="1"/>
  <c r="BA128" i="1"/>
  <c r="AW128" i="1"/>
  <c r="AO128" i="1"/>
  <c r="AL128" i="1"/>
  <c r="AP128" i="1"/>
  <c r="BA127" i="1"/>
  <c r="AW127" i="1"/>
  <c r="AZ127" i="1"/>
  <c r="BB127" i="1" s="1"/>
  <c r="AO127" i="1"/>
  <c r="AL127" i="1"/>
  <c r="AP127" i="1"/>
  <c r="AW126" i="1"/>
  <c r="AZ126" i="1"/>
  <c r="BA126" i="1"/>
  <c r="AL126" i="1"/>
  <c r="AP126" i="1"/>
  <c r="AO126" i="1"/>
  <c r="AQ126" i="1" s="1"/>
  <c r="AW125" i="1"/>
  <c r="BA125" i="1"/>
  <c r="AZ125" i="1"/>
  <c r="BB125" i="1" s="1"/>
  <c r="AP125" i="1"/>
  <c r="AO125" i="1"/>
  <c r="AQ125" i="1" s="1"/>
  <c r="BE125" i="1" s="1"/>
  <c r="AL125" i="1"/>
  <c r="AZ124" i="1"/>
  <c r="AW124" i="1"/>
  <c r="BA124" i="1"/>
  <c r="AL124" i="1"/>
  <c r="AP124" i="1"/>
  <c r="AO124" i="1"/>
  <c r="AQ124" i="1" s="1"/>
  <c r="AZ123" i="1"/>
  <c r="BA123" i="1"/>
  <c r="AW123" i="1"/>
  <c r="AO123" i="1"/>
  <c r="AL123" i="1"/>
  <c r="AP123" i="1"/>
  <c r="AW122" i="1"/>
  <c r="BA122" i="1"/>
  <c r="AZ122" i="1"/>
  <c r="BB122" i="1" s="1"/>
  <c r="AP122" i="1"/>
  <c r="AL122" i="1"/>
  <c r="AO122" i="1"/>
  <c r="AQ122" i="1" s="1"/>
  <c r="BE122" i="1" s="1"/>
  <c r="AW121" i="1"/>
  <c r="BA121" i="1"/>
  <c r="AZ121" i="1"/>
  <c r="BB121" i="1" s="1"/>
  <c r="AL121" i="1"/>
  <c r="AP121" i="1"/>
  <c r="AO121" i="1"/>
  <c r="AQ121" i="1" s="1"/>
  <c r="BE121" i="1" s="1"/>
  <c r="AW120" i="1"/>
  <c r="AZ120" i="1"/>
  <c r="BA120" i="1"/>
  <c r="AO120" i="1"/>
  <c r="AL120" i="1"/>
  <c r="AP120" i="1"/>
  <c r="AZ119" i="1"/>
  <c r="AW119" i="1"/>
  <c r="BA119" i="1"/>
  <c r="AL119" i="1"/>
  <c r="AP119" i="1"/>
  <c r="AO119" i="1"/>
  <c r="AQ119" i="1" s="1"/>
  <c r="AW118" i="1"/>
  <c r="BA118" i="1"/>
  <c r="AZ118" i="1"/>
  <c r="BB118" i="1" s="1"/>
  <c r="AP118" i="1"/>
  <c r="AL118" i="1"/>
  <c r="AO118" i="1"/>
  <c r="AQ118" i="1" s="1"/>
  <c r="BE118" i="1" s="1"/>
  <c r="AZ117" i="1"/>
  <c r="AW117" i="1"/>
  <c r="BA117" i="1"/>
  <c r="AP117" i="1"/>
  <c r="AO117" i="1"/>
  <c r="AQ117" i="1" s="1"/>
  <c r="AL117" i="1"/>
  <c r="AO116" i="1"/>
  <c r="AP116" i="1"/>
  <c r="AL116" i="1"/>
  <c r="AP115" i="1"/>
  <c r="AL115" i="1"/>
  <c r="AO115" i="1"/>
  <c r="AQ115" i="1" s="1"/>
  <c r="AZ114" i="1"/>
  <c r="BA114" i="1"/>
  <c r="AW114" i="1"/>
  <c r="AY115" i="1" s="1"/>
  <c r="AO114" i="1"/>
  <c r="AL114" i="1"/>
  <c r="AP114" i="1"/>
  <c r="AW113" i="1"/>
  <c r="BA113" i="1"/>
  <c r="AZ113" i="1"/>
  <c r="BB113" i="1" s="1"/>
  <c r="AP113" i="1"/>
  <c r="AL113" i="1"/>
  <c r="AO113" i="1"/>
  <c r="AQ113" i="1" s="1"/>
  <c r="BE113" i="1" s="1"/>
  <c r="AZ112" i="1"/>
  <c r="AW112" i="1"/>
  <c r="BA112" i="1"/>
  <c r="AO112" i="1"/>
  <c r="AL112" i="1"/>
  <c r="AP112" i="1"/>
  <c r="AW111" i="1"/>
  <c r="BA111" i="1"/>
  <c r="AZ111" i="1"/>
  <c r="BB111" i="1" s="1"/>
  <c r="AO111" i="1"/>
  <c r="AP111" i="1"/>
  <c r="AL111" i="1"/>
  <c r="AZ110" i="1"/>
  <c r="BA110" i="1"/>
  <c r="AW110" i="1"/>
  <c r="AW109" i="1"/>
  <c r="BA109" i="1"/>
  <c r="AZ109" i="1"/>
  <c r="BB109" i="1" s="1"/>
  <c r="AL109" i="1"/>
  <c r="AN110" i="1" s="1"/>
  <c r="AP109" i="1"/>
  <c r="AO109" i="1"/>
  <c r="AQ109" i="1" s="1"/>
  <c r="BE109" i="1" s="1"/>
  <c r="AZ108" i="1"/>
  <c r="BA108" i="1"/>
  <c r="AW108" i="1"/>
  <c r="AP108" i="1"/>
  <c r="AL108" i="1"/>
  <c r="AO108" i="1"/>
  <c r="AQ108" i="1" s="1"/>
  <c r="BA107" i="1"/>
  <c r="AZ107" i="1"/>
  <c r="BB107" i="1" s="1"/>
  <c r="AW107" i="1"/>
  <c r="AL107" i="1"/>
  <c r="AP107" i="1"/>
  <c r="AO107" i="1"/>
  <c r="AQ107" i="1" s="1"/>
  <c r="BE107" i="1" s="1"/>
  <c r="AW106" i="1"/>
  <c r="BA106" i="1"/>
  <c r="AZ106" i="1"/>
  <c r="BB106" i="1" s="1"/>
  <c r="AO106" i="1"/>
  <c r="AP106" i="1"/>
  <c r="AL106" i="1"/>
  <c r="BA105" i="1"/>
  <c r="AW105" i="1"/>
  <c r="AZ105" i="1"/>
  <c r="BB105" i="1" s="1"/>
  <c r="AO105" i="1"/>
  <c r="AL105" i="1"/>
  <c r="AP105" i="1"/>
  <c r="AP104" i="1"/>
  <c r="AO104" i="1"/>
  <c r="AQ104" i="1" s="1"/>
  <c r="AL104" i="1"/>
  <c r="AO103" i="1"/>
  <c r="AP103" i="1"/>
  <c r="AL103" i="1"/>
  <c r="AL102" i="1"/>
  <c r="AP102" i="1"/>
  <c r="AO102" i="1"/>
  <c r="AQ102" i="1" s="1"/>
  <c r="AZ101" i="1"/>
  <c r="AW101" i="1"/>
  <c r="AY102" i="1" s="1"/>
  <c r="BA101" i="1"/>
  <c r="AL101" i="1"/>
  <c r="AO101" i="1"/>
  <c r="AP101" i="1"/>
  <c r="BA100" i="1"/>
  <c r="AZ100" i="1"/>
  <c r="BB100" i="1" s="1"/>
  <c r="AW100" i="1"/>
  <c r="AP100" i="1"/>
  <c r="AO100" i="1"/>
  <c r="AQ100" i="1" s="1"/>
  <c r="BE100" i="1" s="1"/>
  <c r="AL100" i="1"/>
  <c r="AW99" i="1"/>
  <c r="AZ99" i="1"/>
  <c r="BA99" i="1"/>
  <c r="AO99" i="1"/>
  <c r="AL99" i="1"/>
  <c r="AP99" i="1"/>
  <c r="AW98" i="1"/>
  <c r="AZ98" i="1"/>
  <c r="BA98" i="1"/>
  <c r="AO98" i="1"/>
  <c r="AP98" i="1"/>
  <c r="AL98" i="1"/>
  <c r="AW97" i="1"/>
  <c r="BA97" i="1"/>
  <c r="AZ97" i="1"/>
  <c r="BA96" i="1"/>
  <c r="AW96" i="1"/>
  <c r="AZ96" i="1"/>
  <c r="BB96" i="1" s="1"/>
  <c r="AP96" i="1"/>
  <c r="AL96" i="1"/>
  <c r="AN97" i="1" s="1"/>
  <c r="AO96" i="1"/>
  <c r="AQ96" i="1" s="1"/>
  <c r="BE96" i="1" s="1"/>
  <c r="AW95" i="1"/>
  <c r="BA95" i="1"/>
  <c r="AZ95" i="1"/>
  <c r="BB95" i="1" s="1"/>
  <c r="AP95" i="1"/>
  <c r="AL95" i="1"/>
  <c r="AO95" i="1"/>
  <c r="AQ95" i="1" s="1"/>
  <c r="BE95" i="1" s="1"/>
  <c r="BA94" i="1"/>
  <c r="AW94" i="1"/>
  <c r="AZ94" i="1"/>
  <c r="BB94" i="1" s="1"/>
  <c r="AP94" i="1"/>
  <c r="AL94" i="1"/>
  <c r="AO94" i="1"/>
  <c r="AQ94" i="1" s="1"/>
  <c r="BE94" i="1" s="1"/>
  <c r="AZ93" i="1"/>
  <c r="AW93" i="1"/>
  <c r="BA93" i="1"/>
  <c r="AO93" i="1"/>
  <c r="AL93" i="1"/>
  <c r="AP93" i="1"/>
  <c r="AZ92" i="1"/>
  <c r="AW92" i="1"/>
  <c r="BA92" i="1"/>
  <c r="AL92" i="1"/>
  <c r="AP92" i="1"/>
  <c r="AO92" i="1"/>
  <c r="AQ92" i="1" s="1"/>
  <c r="AP91" i="1"/>
  <c r="AL91" i="1"/>
  <c r="AO91" i="1"/>
  <c r="AQ91" i="1" s="1"/>
  <c r="AP90" i="1"/>
  <c r="AL90" i="1"/>
  <c r="AO90" i="1"/>
  <c r="AQ90" i="1" s="1"/>
  <c r="AO89" i="1"/>
  <c r="AL89" i="1"/>
  <c r="AP89" i="1"/>
  <c r="BA88" i="1"/>
  <c r="AW88" i="1"/>
  <c r="AY89" i="1" s="1"/>
  <c r="AZ88" i="1"/>
  <c r="BB88" i="1" s="1"/>
  <c r="AP88" i="1"/>
  <c r="AL88" i="1"/>
  <c r="AO88" i="1"/>
  <c r="AQ88" i="1" s="1"/>
  <c r="BE88" i="1" s="1"/>
  <c r="AL87" i="1"/>
  <c r="AP87" i="1"/>
  <c r="AO87" i="1"/>
  <c r="AQ87" i="1" s="1"/>
  <c r="AO86" i="1"/>
  <c r="AL86" i="1"/>
  <c r="AP86" i="1"/>
  <c r="AP85" i="1"/>
  <c r="AL85" i="1"/>
  <c r="AO85" i="1"/>
  <c r="AQ85" i="1" s="1"/>
  <c r="AL84" i="1"/>
  <c r="AP84" i="1"/>
  <c r="AO84" i="1"/>
  <c r="AQ84" i="1" s="1"/>
  <c r="AL83" i="1"/>
  <c r="AP83" i="1"/>
  <c r="AO83" i="1"/>
  <c r="AQ83" i="1" s="1"/>
  <c r="AO82" i="1"/>
  <c r="AL82" i="1"/>
  <c r="AP82" i="1"/>
  <c r="AZ81" i="1"/>
  <c r="AW81" i="1"/>
  <c r="AY82" i="1" s="1"/>
  <c r="BA81" i="1"/>
  <c r="AP81" i="1"/>
  <c r="AL81" i="1"/>
  <c r="AO81" i="1"/>
  <c r="AQ81" i="1" s="1"/>
  <c r="BA80" i="1"/>
  <c r="AW80" i="1"/>
  <c r="AZ80" i="1"/>
  <c r="BB80" i="1" s="1"/>
  <c r="AL80" i="1"/>
  <c r="AO80" i="1"/>
  <c r="AP80" i="1"/>
  <c r="BA79" i="1"/>
  <c r="AW79" i="1"/>
  <c r="AZ79" i="1"/>
  <c r="BB79" i="1" s="1"/>
  <c r="AO79" i="1"/>
  <c r="AL79" i="1"/>
  <c r="AP79" i="1"/>
  <c r="BA78" i="1"/>
  <c r="AW78" i="1"/>
  <c r="AZ78" i="1"/>
  <c r="BB78" i="1" s="1"/>
  <c r="AO78" i="1"/>
  <c r="AL78" i="1"/>
  <c r="AP78" i="1"/>
  <c r="AZ77" i="1"/>
  <c r="AW77" i="1"/>
  <c r="BA77" i="1"/>
  <c r="AL77" i="1"/>
  <c r="AO77" i="1"/>
  <c r="AP77" i="1"/>
  <c r="AW76" i="1"/>
  <c r="AZ76" i="1"/>
  <c r="BA76" i="1"/>
  <c r="AP76" i="1"/>
  <c r="AL76" i="1"/>
  <c r="AO76" i="1"/>
  <c r="AQ76" i="1" s="1"/>
  <c r="AZ75" i="1"/>
  <c r="AW75" i="1"/>
  <c r="BA75" i="1"/>
  <c r="AO75" i="1"/>
  <c r="AL75" i="1"/>
  <c r="AP75" i="1"/>
  <c r="AZ74" i="1"/>
  <c r="AW74" i="1"/>
  <c r="BA74" i="1"/>
  <c r="AL74" i="1"/>
  <c r="AO74" i="1"/>
  <c r="AP74" i="1"/>
  <c r="AW73" i="1"/>
  <c r="BA73" i="1"/>
  <c r="AZ73" i="1"/>
  <c r="BB73" i="1" s="1"/>
  <c r="AL73" i="1"/>
  <c r="AP73" i="1"/>
  <c r="AO73" i="1"/>
  <c r="AQ73" i="1" s="1"/>
  <c r="BE73" i="1" s="1"/>
  <c r="BA72" i="1"/>
  <c r="AZ72" i="1"/>
  <c r="BB72" i="1" s="1"/>
  <c r="AW72" i="1"/>
  <c r="AL72" i="1"/>
  <c r="AP72" i="1"/>
  <c r="AO72" i="1"/>
  <c r="AQ72" i="1" s="1"/>
  <c r="BE72" i="1" s="1"/>
  <c r="BA71" i="1"/>
  <c r="AZ71" i="1"/>
  <c r="BB71" i="1" s="1"/>
  <c r="AW71" i="1"/>
  <c r="AP71" i="1"/>
  <c r="AO71" i="1"/>
  <c r="AQ71" i="1" s="1"/>
  <c r="BE71" i="1" s="1"/>
  <c r="AL71" i="1"/>
  <c r="AW70" i="1"/>
  <c r="AZ70" i="1"/>
  <c r="BA70" i="1"/>
  <c r="AO70" i="1"/>
  <c r="AL70" i="1"/>
  <c r="AP70" i="1"/>
  <c r="AZ69" i="1"/>
  <c r="BB69" i="1" s="1"/>
  <c r="AW69" i="1"/>
  <c r="BA69" i="1"/>
  <c r="AP69" i="1"/>
  <c r="AL69" i="1"/>
  <c r="AO69" i="1"/>
  <c r="AQ69" i="1" s="1"/>
  <c r="BE69" i="1" s="1"/>
  <c r="AW68" i="1"/>
  <c r="AZ68" i="1"/>
  <c r="BA68" i="1"/>
  <c r="AO68" i="1"/>
  <c r="AL68" i="1"/>
  <c r="AP68" i="1"/>
  <c r="BA67" i="1"/>
  <c r="AW67" i="1"/>
  <c r="AZ67" i="1"/>
  <c r="BB67" i="1" s="1"/>
  <c r="AL67" i="1"/>
  <c r="AO67" i="1"/>
  <c r="AP67" i="1"/>
  <c r="BA66" i="1"/>
  <c r="AZ66" i="1"/>
  <c r="BB66" i="1" s="1"/>
  <c r="AW66" i="1"/>
  <c r="AL66" i="1"/>
  <c r="AP66" i="1"/>
  <c r="AO66" i="1"/>
  <c r="AQ66" i="1" s="1"/>
  <c r="BE66" i="1" s="1"/>
  <c r="AW65" i="1"/>
  <c r="AZ65" i="1"/>
  <c r="BB65" i="1" s="1"/>
  <c r="BA65" i="1"/>
  <c r="AP65" i="1"/>
  <c r="AO65" i="1"/>
  <c r="AQ65" i="1" s="1"/>
  <c r="BE65" i="1" s="1"/>
  <c r="AL65" i="1"/>
  <c r="AW64" i="1"/>
  <c r="AZ64" i="1"/>
  <c r="BB64" i="1" s="1"/>
  <c r="BA64" i="1"/>
  <c r="AL64" i="1"/>
  <c r="AO64" i="1"/>
  <c r="AP64" i="1"/>
  <c r="AW63" i="1"/>
  <c r="AZ63" i="1"/>
  <c r="BA63" i="1"/>
  <c r="AL63" i="1"/>
  <c r="AP63" i="1"/>
  <c r="AO63" i="1"/>
  <c r="AQ63" i="1" s="1"/>
  <c r="BA62" i="1"/>
  <c r="AZ62" i="1"/>
  <c r="BB62" i="1" s="1"/>
  <c r="AW62" i="1"/>
  <c r="AO62" i="1"/>
  <c r="AL62" i="1"/>
  <c r="AP62" i="1"/>
  <c r="AL61" i="1"/>
  <c r="AO61" i="1"/>
  <c r="AP61" i="1"/>
  <c r="BA60" i="1"/>
  <c r="AW60" i="1"/>
  <c r="AY61" i="1" s="1"/>
  <c r="AZ60" i="1"/>
  <c r="BB60" i="1" s="1"/>
  <c r="AL60" i="1"/>
  <c r="AO60" i="1"/>
  <c r="AP60" i="1"/>
  <c r="AL59" i="1"/>
  <c r="AO59" i="1"/>
  <c r="AP59" i="1"/>
  <c r="AW58" i="1"/>
  <c r="AY59" i="1" s="1"/>
  <c r="BA58" i="1"/>
  <c r="AZ58" i="1"/>
  <c r="BB58" i="1" s="1"/>
  <c r="AL58" i="1"/>
  <c r="AO58" i="1"/>
  <c r="AP58" i="1"/>
  <c r="AW57" i="1"/>
  <c r="AZ57" i="1"/>
  <c r="BA57" i="1"/>
  <c r="AP57" i="1"/>
  <c r="AO57" i="1"/>
  <c r="AQ57" i="1" s="1"/>
  <c r="AL57" i="1"/>
  <c r="AL56" i="1"/>
  <c r="AO56" i="1"/>
  <c r="AP56" i="1"/>
  <c r="AO55" i="1"/>
  <c r="AP55" i="1"/>
  <c r="AL55" i="1"/>
  <c r="AL54" i="1"/>
  <c r="AP54" i="1"/>
  <c r="AO54" i="1"/>
  <c r="AQ54" i="1" s="1"/>
  <c r="AZ53" i="1"/>
  <c r="AW53" i="1"/>
  <c r="AY54" i="1" s="1"/>
  <c r="BA53" i="1"/>
  <c r="AO53" i="1"/>
  <c r="AL53" i="1"/>
  <c r="AP53" i="1"/>
  <c r="AZ52" i="1"/>
  <c r="BA52" i="1"/>
  <c r="AW52" i="1"/>
  <c r="AP52" i="1"/>
  <c r="AO52" i="1"/>
  <c r="AQ52" i="1" s="1"/>
  <c r="AL52" i="1"/>
  <c r="AO51" i="1"/>
  <c r="AL51" i="1"/>
  <c r="AP51" i="1"/>
  <c r="AL50" i="1"/>
  <c r="AP50" i="1"/>
  <c r="AO50" i="1"/>
  <c r="AQ50" i="1" s="1"/>
  <c r="AW49" i="1"/>
  <c r="AY50" i="1" s="1"/>
  <c r="AZ49" i="1"/>
  <c r="BA49" i="1"/>
  <c r="AP49" i="1"/>
  <c r="AO49" i="1"/>
  <c r="AQ49" i="1" s="1"/>
  <c r="AL49" i="1"/>
  <c r="AZ48" i="1"/>
  <c r="BA48" i="1"/>
  <c r="AW48" i="1"/>
  <c r="AP48" i="1"/>
  <c r="AO48" i="1"/>
  <c r="AQ48" i="1" s="1"/>
  <c r="AL48" i="1"/>
  <c r="AW47" i="1"/>
  <c r="AZ47" i="1"/>
  <c r="BA47" i="1"/>
  <c r="AO47" i="1"/>
  <c r="AP47" i="1"/>
  <c r="AL47" i="1"/>
  <c r="BA46" i="1"/>
  <c r="AZ46" i="1"/>
  <c r="BB46" i="1" s="1"/>
  <c r="AW46" i="1"/>
  <c r="AL46" i="1"/>
  <c r="AO46" i="1"/>
  <c r="AP46" i="1"/>
  <c r="BA45" i="1"/>
  <c r="AZ45" i="1"/>
  <c r="BB45" i="1" s="1"/>
  <c r="AW45" i="1"/>
  <c r="AL45" i="1"/>
  <c r="AP45" i="1"/>
  <c r="AO45" i="1"/>
  <c r="AQ45" i="1" s="1"/>
  <c r="BE45" i="1" s="1"/>
  <c r="AO44" i="1"/>
  <c r="AP44" i="1"/>
  <c r="AL44" i="1"/>
  <c r="BA43" i="1"/>
  <c r="AZ43" i="1"/>
  <c r="BB43" i="1" s="1"/>
  <c r="AW43" i="1"/>
  <c r="AY44" i="1" s="1"/>
  <c r="AP43" i="1"/>
  <c r="AO43" i="1"/>
  <c r="AQ43" i="1" s="1"/>
  <c r="BE43" i="1" s="1"/>
  <c r="AL43" i="1"/>
  <c r="AL42" i="1"/>
  <c r="AO42" i="1"/>
  <c r="AP42" i="1"/>
  <c r="BA41" i="1"/>
  <c r="AW41" i="1"/>
  <c r="AY42" i="1" s="1"/>
  <c r="AZ41" i="1"/>
  <c r="BB41" i="1" s="1"/>
  <c r="AP41" i="1"/>
  <c r="AO41" i="1"/>
  <c r="AQ41" i="1" s="1"/>
  <c r="BE41" i="1" s="1"/>
  <c r="AL41" i="1"/>
  <c r="BA40" i="1"/>
  <c r="AW40" i="1"/>
  <c r="AZ40" i="1"/>
  <c r="BB40" i="1" s="1"/>
  <c r="AO40" i="1"/>
  <c r="AP40" i="1"/>
  <c r="AL40" i="1"/>
  <c r="AO39" i="1"/>
  <c r="AP39" i="1"/>
  <c r="AL39" i="1"/>
  <c r="AP38" i="1"/>
  <c r="AO38" i="1"/>
  <c r="AQ38" i="1" s="1"/>
  <c r="AL38" i="1"/>
  <c r="AW37" i="1"/>
  <c r="AY38" i="1" s="1"/>
  <c r="AZ37" i="1"/>
  <c r="BA37" i="1"/>
  <c r="AO37" i="1"/>
  <c r="AP37" i="1"/>
  <c r="AL37" i="1"/>
  <c r="BA36" i="1"/>
  <c r="AW36" i="1"/>
  <c r="AZ36" i="1"/>
  <c r="BB36" i="1" s="1"/>
  <c r="AL36" i="1"/>
  <c r="AP36" i="1"/>
  <c r="AO36" i="1"/>
  <c r="AQ36" i="1" s="1"/>
  <c r="BE36" i="1" s="1"/>
  <c r="AW35" i="1"/>
  <c r="AZ35" i="1"/>
  <c r="BA35" i="1"/>
  <c r="AL35" i="1"/>
  <c r="AO35" i="1"/>
  <c r="AP35" i="1"/>
  <c r="AW34" i="1"/>
  <c r="BA34" i="1"/>
  <c r="AZ34" i="1"/>
  <c r="BB34" i="1" s="1"/>
  <c r="AO34" i="1"/>
  <c r="AL34" i="1"/>
  <c r="AP34" i="1"/>
  <c r="BA33" i="1"/>
  <c r="AW33" i="1"/>
  <c r="AZ33" i="1"/>
  <c r="BB33" i="1" s="1"/>
  <c r="AO33" i="1"/>
  <c r="AL33" i="1"/>
  <c r="AP33" i="1"/>
  <c r="BA32" i="1"/>
  <c r="AW32" i="1"/>
  <c r="AZ32" i="1"/>
  <c r="BB32" i="1" s="1"/>
  <c r="BA31" i="1"/>
  <c r="AW31" i="1"/>
  <c r="AZ31" i="1"/>
  <c r="BB31" i="1" s="1"/>
  <c r="AP31" i="1"/>
  <c r="AL31" i="1"/>
  <c r="AN32" i="1" s="1"/>
  <c r="AO31" i="1"/>
  <c r="AQ31" i="1" s="1"/>
  <c r="BE31" i="1" s="1"/>
  <c r="AW30" i="1"/>
  <c r="AZ30" i="1"/>
  <c r="BA30" i="1"/>
  <c r="AL30" i="1"/>
  <c r="AO30" i="1"/>
  <c r="AP30" i="1"/>
  <c r="AZ29" i="1"/>
  <c r="BA29" i="1"/>
  <c r="AW29" i="1"/>
  <c r="AP29" i="1"/>
  <c r="AL29" i="1"/>
  <c r="AO29" i="1"/>
  <c r="AQ29" i="1" s="1"/>
  <c r="AZ28" i="1"/>
  <c r="AW28" i="1"/>
  <c r="BA28" i="1"/>
  <c r="AP28" i="1"/>
  <c r="AL28" i="1"/>
  <c r="AO28" i="1"/>
  <c r="AQ28" i="1" s="1"/>
  <c r="AZ27" i="1"/>
  <c r="BA27" i="1"/>
  <c r="AW27" i="1"/>
  <c r="AL27" i="1"/>
  <c r="AO27" i="1"/>
  <c r="AP27" i="1"/>
  <c r="AZ26" i="1"/>
  <c r="AW26" i="1"/>
  <c r="BA26" i="1"/>
  <c r="AW25" i="1"/>
  <c r="AZ25" i="1"/>
  <c r="BA25" i="1"/>
  <c r="AL25" i="1"/>
  <c r="AN26" i="1" s="1"/>
  <c r="AP25" i="1"/>
  <c r="AO25" i="1"/>
  <c r="AQ25" i="1" s="1"/>
  <c r="AL24" i="1"/>
  <c r="AP24" i="1"/>
  <c r="AO24" i="1"/>
  <c r="AQ24" i="1" s="1"/>
  <c r="AW23" i="1"/>
  <c r="AY24" i="1" s="1"/>
  <c r="BA23" i="1"/>
  <c r="AZ23" i="1"/>
  <c r="BB23" i="1" s="1"/>
  <c r="AP23" i="1"/>
  <c r="AL23" i="1"/>
  <c r="AO23" i="1"/>
  <c r="AQ23" i="1" s="1"/>
  <c r="BE23" i="1" s="1"/>
  <c r="AZ22" i="1"/>
  <c r="BB22" i="1" s="1"/>
  <c r="BA22" i="1"/>
  <c r="AO22" i="1"/>
  <c r="AQ22" i="1" s="1"/>
  <c r="AP22" i="1"/>
  <c r="BB29" i="1" l="1"/>
  <c r="BE29" i="1" s="1"/>
  <c r="BB28" i="1"/>
  <c r="BE28" i="1" s="1"/>
  <c r="BB26" i="1"/>
  <c r="BB25" i="1"/>
  <c r="BE25" i="1" s="1"/>
  <c r="BB167" i="1"/>
  <c r="BB165" i="1"/>
  <c r="BB149" i="1"/>
  <c r="BB144" i="1"/>
  <c r="BE144" i="1" s="1"/>
  <c r="BB140" i="1"/>
  <c r="BE140" i="1" s="1"/>
  <c r="BB132" i="1"/>
  <c r="BB128" i="1"/>
  <c r="BB124" i="1"/>
  <c r="BE124" i="1" s="1"/>
  <c r="BB123" i="1"/>
  <c r="BB119" i="1"/>
  <c r="BB97" i="1"/>
  <c r="BB68" i="1"/>
  <c r="AQ167" i="1"/>
  <c r="BE167" i="1" s="1"/>
  <c r="AQ166" i="1"/>
  <c r="BE166" i="1" s="1"/>
  <c r="AQ150" i="1"/>
  <c r="AQ137" i="1"/>
  <c r="BE137" i="1" s="1"/>
  <c r="AQ134" i="1"/>
  <c r="AQ82" i="1"/>
  <c r="AQ75" i="1"/>
  <c r="AQ74" i="1"/>
  <c r="AQ64" i="1"/>
  <c r="BE64" i="1" s="1"/>
  <c r="AQ62" i="1"/>
  <c r="BE62" i="1" s="1"/>
  <c r="AL170" i="1"/>
  <c r="AN171" i="1" s="1"/>
  <c r="AP170" i="1"/>
  <c r="AO170" i="1"/>
  <c r="AQ170" i="1" s="1"/>
  <c r="AP160" i="1"/>
  <c r="AO160" i="1"/>
  <c r="AQ160" i="1" s="1"/>
  <c r="BE160" i="1" s="1"/>
  <c r="AL160" i="1"/>
  <c r="AN161" i="1" s="1"/>
  <c r="AO153" i="1"/>
  <c r="AP153" i="1"/>
  <c r="AL153" i="1"/>
  <c r="AL148" i="1"/>
  <c r="AO148" i="1"/>
  <c r="AP148" i="1"/>
  <c r="AL146" i="1"/>
  <c r="AP146" i="1"/>
  <c r="AO146" i="1"/>
  <c r="AQ146" i="1" s="1"/>
  <c r="BE146" i="1" s="1"/>
  <c r="AO141" i="1"/>
  <c r="AL141" i="1"/>
  <c r="AP141" i="1"/>
  <c r="AP138" i="1"/>
  <c r="AO138" i="1"/>
  <c r="AQ138" i="1" s="1"/>
  <c r="BE138" i="1" s="1"/>
  <c r="AL138" i="1"/>
  <c r="AL136" i="1"/>
  <c r="AO136" i="1"/>
  <c r="AP136" i="1"/>
  <c r="AZ134" i="1"/>
  <c r="BA134" i="1"/>
  <c r="AW134" i="1"/>
  <c r="AZ115" i="1"/>
  <c r="AW115" i="1"/>
  <c r="AY116" i="1" s="1"/>
  <c r="BA115" i="1"/>
  <c r="AP110" i="1"/>
  <c r="AL110" i="1"/>
  <c r="AO110" i="1"/>
  <c r="AQ110" i="1" s="1"/>
  <c r="AW102" i="1"/>
  <c r="AY103" i="1" s="1"/>
  <c r="BA102" i="1"/>
  <c r="AZ102" i="1"/>
  <c r="BB102" i="1" s="1"/>
  <c r="BE102" i="1" s="1"/>
  <c r="AL97" i="1"/>
  <c r="AP97" i="1"/>
  <c r="AO97" i="1"/>
  <c r="AQ97" i="1" s="1"/>
  <c r="BE97" i="1" s="1"/>
  <c r="BA89" i="1"/>
  <c r="AZ89" i="1"/>
  <c r="BB89" i="1" s="1"/>
  <c r="AW89" i="1"/>
  <c r="AY90" i="1" s="1"/>
  <c r="BA82" i="1"/>
  <c r="AZ82" i="1"/>
  <c r="BB82" i="1" s="1"/>
  <c r="BE82" i="1" s="1"/>
  <c r="AW82" i="1"/>
  <c r="AY83" i="1" s="1"/>
  <c r="AZ61" i="1"/>
  <c r="AW61" i="1"/>
  <c r="BA61" i="1"/>
  <c r="AW59" i="1"/>
  <c r="BA59" i="1"/>
  <c r="AZ59" i="1"/>
  <c r="BB59" i="1" s="1"/>
  <c r="AW54" i="1"/>
  <c r="AY55" i="1" s="1"/>
  <c r="BA54" i="1"/>
  <c r="AZ54" i="1"/>
  <c r="BB54" i="1" s="1"/>
  <c r="BE54" i="1" s="1"/>
  <c r="AW50" i="1"/>
  <c r="AY51" i="1" s="1"/>
  <c r="BA50" i="1"/>
  <c r="AZ50" i="1"/>
  <c r="BB50" i="1" s="1"/>
  <c r="BE50" i="1" s="1"/>
  <c r="AW44" i="1"/>
  <c r="BA44" i="1"/>
  <c r="AZ44" i="1"/>
  <c r="BB44" i="1" s="1"/>
  <c r="BA42" i="1"/>
  <c r="AZ42" i="1"/>
  <c r="BB42" i="1" s="1"/>
  <c r="AW42" i="1"/>
  <c r="AZ38" i="1"/>
  <c r="BA38" i="1"/>
  <c r="AW38" i="1"/>
  <c r="AY39" i="1" s="1"/>
  <c r="AP32" i="1"/>
  <c r="AO32" i="1"/>
  <c r="AQ32" i="1" s="1"/>
  <c r="BE32" i="1" s="1"/>
  <c r="AL32" i="1"/>
  <c r="AL26" i="1"/>
  <c r="AO26" i="1"/>
  <c r="AP26" i="1"/>
  <c r="AW24" i="1"/>
  <c r="BA24" i="1"/>
  <c r="AZ24" i="1"/>
  <c r="BB24" i="1" s="1"/>
  <c r="BE24" i="1" s="1"/>
  <c r="BC22" i="1"/>
  <c r="BC23" i="1" s="1"/>
  <c r="BC24" i="1" s="1"/>
  <c r="BC25" i="1" s="1"/>
  <c r="BC26" i="1" s="1"/>
  <c r="AR22" i="1"/>
  <c r="AR23" i="1" s="1"/>
  <c r="AR24" i="1" s="1"/>
  <c r="AR25" i="1" s="1"/>
  <c r="BE22" i="1"/>
  <c r="AQ152" i="1"/>
  <c r="BE152" i="1" s="1"/>
  <c r="AQ145" i="1"/>
  <c r="BE145" i="1" s="1"/>
  <c r="BB141" i="1"/>
  <c r="AQ80" i="1"/>
  <c r="BE80" i="1" s="1"/>
  <c r="BB77" i="1"/>
  <c r="BB63" i="1"/>
  <c r="BE63" i="1" s="1"/>
  <c r="AQ30" i="1"/>
  <c r="BE119" i="1"/>
  <c r="BB117" i="1"/>
  <c r="BE117" i="1" s="1"/>
  <c r="AQ116" i="1"/>
  <c r="BB114" i="1"/>
  <c r="AQ114" i="1"/>
  <c r="BE114" i="1" s="1"/>
  <c r="BB112" i="1"/>
  <c r="AQ112" i="1"/>
  <c r="BE112" i="1" s="1"/>
  <c r="AQ111" i="1"/>
  <c r="BE111" i="1" s="1"/>
  <c r="BB110" i="1"/>
  <c r="BB108" i="1"/>
  <c r="BE108" i="1" s="1"/>
  <c r="AQ106" i="1"/>
  <c r="BE106" i="1" s="1"/>
  <c r="AQ105" i="1"/>
  <c r="BE105" i="1" s="1"/>
  <c r="AQ103" i="1"/>
  <c r="BB101" i="1"/>
  <c r="AQ101" i="1"/>
  <c r="BE101" i="1" s="1"/>
  <c r="BB99" i="1"/>
  <c r="AQ99" i="1"/>
  <c r="BE99" i="1" s="1"/>
  <c r="BB98" i="1"/>
  <c r="AQ98" i="1"/>
  <c r="BE98" i="1" s="1"/>
  <c r="BB93" i="1"/>
  <c r="AQ93" i="1"/>
  <c r="BE93" i="1" s="1"/>
  <c r="BB92" i="1"/>
  <c r="BE92" i="1" s="1"/>
  <c r="AQ89" i="1"/>
  <c r="BE89" i="1" s="1"/>
  <c r="AQ78" i="1"/>
  <c r="BE78" i="1" s="1"/>
  <c r="BB30" i="1"/>
  <c r="AQ61" i="1"/>
  <c r="AQ60" i="1"/>
  <c r="BE60" i="1" s="1"/>
  <c r="AQ59" i="1"/>
  <c r="BE59" i="1" s="1"/>
  <c r="AQ58" i="1"/>
  <c r="BE58" i="1" s="1"/>
  <c r="BB57" i="1"/>
  <c r="BE57" i="1" s="1"/>
  <c r="AQ56" i="1"/>
  <c r="AQ55" i="1"/>
  <c r="BB53" i="1"/>
  <c r="AQ53" i="1"/>
  <c r="BE53" i="1" s="1"/>
  <c r="BB52" i="1"/>
  <c r="BE52" i="1" s="1"/>
  <c r="AQ51" i="1"/>
  <c r="BB49" i="1"/>
  <c r="BE49" i="1" s="1"/>
  <c r="BB48" i="1"/>
  <c r="BE48" i="1" s="1"/>
  <c r="BB47" i="1"/>
  <c r="AQ47" i="1"/>
  <c r="AQ46" i="1"/>
  <c r="BE46" i="1" s="1"/>
  <c r="AQ44" i="1"/>
  <c r="BE44" i="1" s="1"/>
  <c r="AQ42" i="1"/>
  <c r="BE42" i="1" s="1"/>
  <c r="AQ40" i="1"/>
  <c r="BE40" i="1" s="1"/>
  <c r="AQ39" i="1"/>
  <c r="BB37" i="1"/>
  <c r="AQ37" i="1"/>
  <c r="BE37" i="1" s="1"/>
  <c r="BB35" i="1"/>
  <c r="AQ35" i="1"/>
  <c r="BE35" i="1" s="1"/>
  <c r="AQ34" i="1"/>
  <c r="BE34" i="1" s="1"/>
  <c r="AQ168" i="1"/>
  <c r="BE168" i="1" s="1"/>
  <c r="BB164" i="1"/>
  <c r="AQ154" i="1"/>
  <c r="BE154" i="1" s="1"/>
  <c r="AQ151" i="1"/>
  <c r="AQ149" i="1"/>
  <c r="BE149" i="1" s="1"/>
  <c r="BB147" i="1"/>
  <c r="BE147" i="1" s="1"/>
  <c r="AQ139" i="1"/>
  <c r="BB136" i="1"/>
  <c r="AQ135" i="1"/>
  <c r="BE135" i="1" s="1"/>
  <c r="BB133" i="1"/>
  <c r="BE133" i="1" s="1"/>
  <c r="BB126" i="1"/>
  <c r="BE126" i="1" s="1"/>
  <c r="AQ123" i="1"/>
  <c r="BE123" i="1" s="1"/>
  <c r="AQ120" i="1"/>
  <c r="AQ86" i="1"/>
  <c r="BB75" i="1"/>
  <c r="BE75" i="1" s="1"/>
  <c r="BB74" i="1"/>
  <c r="BE74" i="1" s="1"/>
  <c r="AQ70" i="1"/>
  <c r="BB27" i="1"/>
  <c r="AQ27" i="1"/>
  <c r="BE27" i="1" s="1"/>
  <c r="AQ157" i="1"/>
  <c r="BE157" i="1" s="1"/>
  <c r="AQ155" i="1"/>
  <c r="BE155" i="1" s="1"/>
  <c r="BB151" i="1"/>
  <c r="BB150" i="1"/>
  <c r="BE150" i="1" s="1"/>
  <c r="AQ131" i="1"/>
  <c r="BE131" i="1" s="1"/>
  <c r="AQ128" i="1"/>
  <c r="BE128" i="1" s="1"/>
  <c r="AQ127" i="1"/>
  <c r="BE127" i="1" s="1"/>
  <c r="BB176" i="1"/>
  <c r="BE176" i="1" s="1"/>
  <c r="AQ175" i="1"/>
  <c r="BE175" i="1" s="1"/>
  <c r="AQ174" i="1"/>
  <c r="BE174" i="1" s="1"/>
  <c r="BE173" i="1"/>
  <c r="BB172" i="1"/>
  <c r="BE172" i="1" s="1"/>
  <c r="BB170" i="1"/>
  <c r="BB169" i="1"/>
  <c r="AQ169" i="1"/>
  <c r="BE169" i="1" s="1"/>
  <c r="AQ165" i="1"/>
  <c r="BE165" i="1" s="1"/>
  <c r="AQ164" i="1"/>
  <c r="BE164" i="1" s="1"/>
  <c r="BB163" i="1"/>
  <c r="BB162" i="1"/>
  <c r="BB161" i="1"/>
  <c r="BB159" i="1"/>
  <c r="AQ159" i="1"/>
  <c r="BE159" i="1" s="1"/>
  <c r="AQ132" i="1"/>
  <c r="BE132" i="1" s="1"/>
  <c r="AQ79" i="1"/>
  <c r="BE79" i="1" s="1"/>
  <c r="BB76" i="1"/>
  <c r="BE76" i="1" s="1"/>
  <c r="BB70" i="1"/>
  <c r="AQ67" i="1"/>
  <c r="BE67" i="1" s="1"/>
  <c r="BB139" i="1"/>
  <c r="BB120" i="1"/>
  <c r="BB81" i="1"/>
  <c r="BE81" i="1" s="1"/>
  <c r="AQ77" i="1"/>
  <c r="BE77" i="1" s="1"/>
  <c r="AQ68" i="1"/>
  <c r="BE68" i="1" s="1"/>
  <c r="AQ33" i="1"/>
  <c r="BE33" i="1" s="1"/>
  <c r="BE151" i="1" l="1"/>
  <c r="BE47" i="1"/>
  <c r="AL171" i="1"/>
  <c r="AO171" i="1"/>
  <c r="AP171" i="1"/>
  <c r="AP161" i="1"/>
  <c r="AO161" i="1"/>
  <c r="AQ161" i="1" s="1"/>
  <c r="BE161" i="1" s="1"/>
  <c r="AL161" i="1"/>
  <c r="AN162" i="1" s="1"/>
  <c r="AZ116" i="1"/>
  <c r="AW116" i="1"/>
  <c r="BA116" i="1"/>
  <c r="AW103" i="1"/>
  <c r="AY104" i="1" s="1"/>
  <c r="BA103" i="1"/>
  <c r="AZ103" i="1"/>
  <c r="BB103" i="1" s="1"/>
  <c r="BE103" i="1" s="1"/>
  <c r="AW90" i="1"/>
  <c r="AY91" i="1" s="1"/>
  <c r="BA90" i="1"/>
  <c r="AZ90" i="1"/>
  <c r="BB90" i="1" s="1"/>
  <c r="BE90" i="1" s="1"/>
  <c r="AZ83" i="1"/>
  <c r="AW83" i="1"/>
  <c r="AY84" i="1" s="1"/>
  <c r="BA83" i="1"/>
  <c r="BA55" i="1"/>
  <c r="AW55" i="1"/>
  <c r="AY56" i="1" s="1"/>
  <c r="AZ55" i="1"/>
  <c r="BB55" i="1" s="1"/>
  <c r="BE55" i="1" s="1"/>
  <c r="AZ51" i="1"/>
  <c r="AW51" i="1"/>
  <c r="BA51" i="1"/>
  <c r="AW39" i="1"/>
  <c r="AZ39" i="1"/>
  <c r="BA39" i="1"/>
  <c r="BF22" i="1"/>
  <c r="BF23" i="1" s="1"/>
  <c r="BF24" i="1" s="1"/>
  <c r="BF25" i="1" s="1"/>
  <c r="BE120" i="1"/>
  <c r="BE70" i="1"/>
  <c r="BE170" i="1"/>
  <c r="AQ153" i="1"/>
  <c r="BE153" i="1" s="1"/>
  <c r="AQ148" i="1"/>
  <c r="BE148" i="1" s="1"/>
  <c r="AQ141" i="1"/>
  <c r="BE141" i="1" s="1"/>
  <c r="AQ136" i="1"/>
  <c r="BE136" i="1" s="1"/>
  <c r="BB134" i="1"/>
  <c r="BE134" i="1" s="1"/>
  <c r="BB115" i="1"/>
  <c r="BE115" i="1" s="1"/>
  <c r="BE110" i="1"/>
  <c r="BB61" i="1"/>
  <c r="BE61" i="1" s="1"/>
  <c r="BB38" i="1"/>
  <c r="BE38" i="1" s="1"/>
  <c r="AQ26" i="1"/>
  <c r="BC27" i="1"/>
  <c r="BC28" i="1" s="1"/>
  <c r="BC29" i="1" s="1"/>
  <c r="BC30" i="1" s="1"/>
  <c r="BC31" i="1" s="1"/>
  <c r="BC32" i="1" s="1"/>
  <c r="BC33" i="1" s="1"/>
  <c r="BC34" i="1" s="1"/>
  <c r="BC35" i="1" s="1"/>
  <c r="BC36" i="1" s="1"/>
  <c r="BC37" i="1" s="1"/>
  <c r="BE30" i="1"/>
  <c r="BE139" i="1"/>
  <c r="BC38" i="1" l="1"/>
  <c r="AP162" i="1"/>
  <c r="AO162" i="1"/>
  <c r="AQ162" i="1" s="1"/>
  <c r="AL162" i="1"/>
  <c r="AN163" i="1" s="1"/>
  <c r="AW104" i="1"/>
  <c r="BA104" i="1"/>
  <c r="AZ104" i="1"/>
  <c r="BB104" i="1" s="1"/>
  <c r="BE104" i="1" s="1"/>
  <c r="AW91" i="1"/>
  <c r="BA91" i="1"/>
  <c r="AZ91" i="1"/>
  <c r="BB91" i="1" s="1"/>
  <c r="BE91" i="1" s="1"/>
  <c r="AW84" i="1"/>
  <c r="AY85" i="1" s="1"/>
  <c r="BA84" i="1"/>
  <c r="AZ84" i="1"/>
  <c r="BB84" i="1" s="1"/>
  <c r="BE84" i="1" s="1"/>
  <c r="AZ56" i="1"/>
  <c r="AW56" i="1"/>
  <c r="BA56" i="1"/>
  <c r="AR26" i="1"/>
  <c r="AR27" i="1" s="1"/>
  <c r="AR28" i="1" s="1"/>
  <c r="AR29" i="1" s="1"/>
  <c r="AR30" i="1" s="1"/>
  <c r="AR31" i="1" s="1"/>
  <c r="AR32" i="1" s="1"/>
  <c r="AR33" i="1" s="1"/>
  <c r="AR34" i="1" s="1"/>
  <c r="AR35" i="1" s="1"/>
  <c r="AR36" i="1" s="1"/>
  <c r="AR37" i="1" s="1"/>
  <c r="AR38" i="1" s="1"/>
  <c r="AR39" i="1" s="1"/>
  <c r="AR40" i="1" s="1"/>
  <c r="AR41" i="1" s="1"/>
  <c r="AR42" i="1" s="1"/>
  <c r="AR43" i="1" s="1"/>
  <c r="AR44" i="1" s="1"/>
  <c r="AR45" i="1" s="1"/>
  <c r="AR46" i="1" s="1"/>
  <c r="AR47" i="1" s="1"/>
  <c r="AR48" i="1" s="1"/>
  <c r="AR49" i="1" s="1"/>
  <c r="AR50" i="1" s="1"/>
  <c r="AR51" i="1" s="1"/>
  <c r="AR52" i="1" s="1"/>
  <c r="AR53" i="1" s="1"/>
  <c r="AR54" i="1" s="1"/>
  <c r="AR55" i="1" s="1"/>
  <c r="AR56" i="1" s="1"/>
  <c r="AR57" i="1" s="1"/>
  <c r="AR58" i="1" s="1"/>
  <c r="AR59" i="1" s="1"/>
  <c r="AR60" i="1" s="1"/>
  <c r="AR61" i="1" s="1"/>
  <c r="AR62" i="1" s="1"/>
  <c r="AR63" i="1" s="1"/>
  <c r="AR64" i="1" s="1"/>
  <c r="AR65" i="1" s="1"/>
  <c r="AR66" i="1" s="1"/>
  <c r="AR67" i="1" s="1"/>
  <c r="AR68" i="1" s="1"/>
  <c r="AR69" i="1" s="1"/>
  <c r="AR70" i="1" s="1"/>
  <c r="AR71" i="1" s="1"/>
  <c r="AR72" i="1" s="1"/>
  <c r="AR73" i="1" s="1"/>
  <c r="AR74" i="1" s="1"/>
  <c r="AR75" i="1" s="1"/>
  <c r="AR76" i="1" s="1"/>
  <c r="AR77" i="1" s="1"/>
  <c r="AR78" i="1" s="1"/>
  <c r="AR79" i="1" s="1"/>
  <c r="AR80" i="1" s="1"/>
  <c r="AR81" i="1" s="1"/>
  <c r="AR82" i="1" s="1"/>
  <c r="AR83" i="1" s="1"/>
  <c r="AR84" i="1" s="1"/>
  <c r="AR85" i="1" s="1"/>
  <c r="AR86" i="1" s="1"/>
  <c r="AR87" i="1" s="1"/>
  <c r="AR88" i="1" s="1"/>
  <c r="AR89" i="1" s="1"/>
  <c r="AR90" i="1" s="1"/>
  <c r="AR91" i="1" s="1"/>
  <c r="AR92" i="1" s="1"/>
  <c r="AR93" i="1" s="1"/>
  <c r="AR94" i="1" s="1"/>
  <c r="AR95" i="1" s="1"/>
  <c r="AR96" i="1" s="1"/>
  <c r="AR97" i="1" s="1"/>
  <c r="AR98" i="1" s="1"/>
  <c r="AR99" i="1" s="1"/>
  <c r="AR100" i="1" s="1"/>
  <c r="AR101" i="1" s="1"/>
  <c r="AR102" i="1" s="1"/>
  <c r="AR103" i="1" s="1"/>
  <c r="AR104" i="1" s="1"/>
  <c r="AR105" i="1" s="1"/>
  <c r="AR106" i="1" s="1"/>
  <c r="AR107" i="1" s="1"/>
  <c r="AR108" i="1" s="1"/>
  <c r="AR109" i="1" s="1"/>
  <c r="AR110" i="1" s="1"/>
  <c r="AR111" i="1" s="1"/>
  <c r="AR112" i="1" s="1"/>
  <c r="AR113" i="1" s="1"/>
  <c r="AR114" i="1" s="1"/>
  <c r="AR115" i="1" s="1"/>
  <c r="AR116" i="1" s="1"/>
  <c r="AR117" i="1" s="1"/>
  <c r="AR118" i="1" s="1"/>
  <c r="AR119" i="1" s="1"/>
  <c r="AR120" i="1" s="1"/>
  <c r="AR121" i="1" s="1"/>
  <c r="AR122" i="1" s="1"/>
  <c r="AR123" i="1" s="1"/>
  <c r="AR124" i="1" s="1"/>
  <c r="AR125" i="1" s="1"/>
  <c r="AR126" i="1" s="1"/>
  <c r="AR127" i="1" s="1"/>
  <c r="AR128" i="1" s="1"/>
  <c r="AR129" i="1" s="1"/>
  <c r="AR130" i="1" s="1"/>
  <c r="AR131" i="1" s="1"/>
  <c r="AR132" i="1" s="1"/>
  <c r="AR133" i="1" s="1"/>
  <c r="AR134" i="1" s="1"/>
  <c r="AR135" i="1" s="1"/>
  <c r="AR136" i="1" s="1"/>
  <c r="AR137" i="1" s="1"/>
  <c r="AR138" i="1" s="1"/>
  <c r="AR139" i="1" s="1"/>
  <c r="AR140" i="1" s="1"/>
  <c r="AR141" i="1" s="1"/>
  <c r="AR142" i="1" s="1"/>
  <c r="AR143" i="1" s="1"/>
  <c r="AR144" i="1" s="1"/>
  <c r="AR145" i="1" s="1"/>
  <c r="AR146" i="1" s="1"/>
  <c r="AR147" i="1" s="1"/>
  <c r="AR148" i="1" s="1"/>
  <c r="AR149" i="1" s="1"/>
  <c r="AR150" i="1" s="1"/>
  <c r="AR151" i="1" s="1"/>
  <c r="AR152" i="1" s="1"/>
  <c r="AR153" i="1" s="1"/>
  <c r="AR154" i="1" s="1"/>
  <c r="AR155" i="1" s="1"/>
  <c r="AR156" i="1" s="1"/>
  <c r="AR157" i="1" s="1"/>
  <c r="AR158" i="1" s="1"/>
  <c r="AR159" i="1" s="1"/>
  <c r="AR160" i="1" s="1"/>
  <c r="AR161" i="1" s="1"/>
  <c r="AR162" i="1" s="1"/>
  <c r="BE26" i="1"/>
  <c r="AQ171" i="1"/>
  <c r="BE171" i="1" s="1"/>
  <c r="BB116" i="1"/>
  <c r="BE116" i="1" s="1"/>
  <c r="BB83" i="1"/>
  <c r="BE83" i="1" s="1"/>
  <c r="BB51" i="1"/>
  <c r="BE51" i="1" s="1"/>
  <c r="BB39" i="1"/>
  <c r="AL163" i="1" l="1"/>
  <c r="AP163" i="1"/>
  <c r="AO163" i="1"/>
  <c r="AQ163" i="1" s="1"/>
  <c r="AZ85" i="1"/>
  <c r="AW85" i="1"/>
  <c r="AY86" i="1" s="1"/>
  <c r="BA85" i="1"/>
  <c r="BF26" i="1"/>
  <c r="BF27" i="1" s="1"/>
  <c r="BF28" i="1" s="1"/>
  <c r="BF29" i="1" s="1"/>
  <c r="BF30" i="1" s="1"/>
  <c r="BF31" i="1" s="1"/>
  <c r="BF32" i="1" s="1"/>
  <c r="BF33" i="1" s="1"/>
  <c r="BF34" i="1" s="1"/>
  <c r="BF35" i="1" s="1"/>
  <c r="BF36" i="1" s="1"/>
  <c r="BF37" i="1" s="1"/>
  <c r="BF38" i="1" s="1"/>
  <c r="BC39" i="1"/>
  <c r="BC40" i="1" s="1"/>
  <c r="BC41" i="1" s="1"/>
  <c r="BC42" i="1" s="1"/>
  <c r="BC43" i="1" s="1"/>
  <c r="BC44" i="1" s="1"/>
  <c r="BC45" i="1" s="1"/>
  <c r="BC46" i="1" s="1"/>
  <c r="BC47" i="1" s="1"/>
  <c r="BC48" i="1" s="1"/>
  <c r="BC49" i="1" s="1"/>
  <c r="BC50" i="1" s="1"/>
  <c r="BC51" i="1" s="1"/>
  <c r="BC52" i="1" s="1"/>
  <c r="BC53" i="1" s="1"/>
  <c r="BC54" i="1" s="1"/>
  <c r="BC55" i="1" s="1"/>
  <c r="BC56" i="1" s="1"/>
  <c r="BC57" i="1" s="1"/>
  <c r="BC58" i="1" s="1"/>
  <c r="BC59" i="1" s="1"/>
  <c r="BC60" i="1" s="1"/>
  <c r="BC61" i="1" s="1"/>
  <c r="BC62" i="1" s="1"/>
  <c r="BC63" i="1" s="1"/>
  <c r="BC64" i="1" s="1"/>
  <c r="BC65" i="1" s="1"/>
  <c r="BC66" i="1" s="1"/>
  <c r="BC67" i="1" s="1"/>
  <c r="BC68" i="1" s="1"/>
  <c r="BC69" i="1" s="1"/>
  <c r="BC70" i="1" s="1"/>
  <c r="BC71" i="1" s="1"/>
  <c r="BC72" i="1" s="1"/>
  <c r="BC73" i="1" s="1"/>
  <c r="BC74" i="1" s="1"/>
  <c r="BC75" i="1" s="1"/>
  <c r="BC76" i="1" s="1"/>
  <c r="BC77" i="1" s="1"/>
  <c r="BC78" i="1" s="1"/>
  <c r="BC79" i="1" s="1"/>
  <c r="BC80" i="1" s="1"/>
  <c r="BC81" i="1" s="1"/>
  <c r="BC82" i="1" s="1"/>
  <c r="BC83" i="1" s="1"/>
  <c r="BC84" i="1" s="1"/>
  <c r="BE39" i="1"/>
  <c r="BB56" i="1"/>
  <c r="BE162" i="1"/>
  <c r="AQ14" i="1"/>
  <c r="AQ19" i="1"/>
  <c r="BF39" i="1" l="1"/>
  <c r="BF40" i="1" s="1"/>
  <c r="BF41" i="1" s="1"/>
  <c r="BF42" i="1" s="1"/>
  <c r="BF43" i="1" s="1"/>
  <c r="BF44" i="1" s="1"/>
  <c r="BF45" i="1" s="1"/>
  <c r="BF46" i="1" s="1"/>
  <c r="BF47" i="1" s="1"/>
  <c r="BF48" i="1" s="1"/>
  <c r="BF49" i="1" s="1"/>
  <c r="BF50" i="1" s="1"/>
  <c r="BF51" i="1" s="1"/>
  <c r="BF52" i="1" s="1"/>
  <c r="BF53" i="1" s="1"/>
  <c r="BF54" i="1" s="1"/>
  <c r="BF55" i="1" s="1"/>
  <c r="AR163" i="1"/>
  <c r="AR164" i="1" s="1"/>
  <c r="AR165" i="1" s="1"/>
  <c r="AR166" i="1" s="1"/>
  <c r="AR167" i="1" s="1"/>
  <c r="AR168" i="1" s="1"/>
  <c r="AR169" i="1" s="1"/>
  <c r="AR170" i="1" s="1"/>
  <c r="AR171" i="1" s="1"/>
  <c r="AR172" i="1" s="1"/>
  <c r="AR173" i="1" s="1"/>
  <c r="AR174" i="1" s="1"/>
  <c r="AR175" i="1" s="1"/>
  <c r="AR176" i="1" s="1"/>
  <c r="AR19" i="1" s="1"/>
  <c r="AQ15" i="1"/>
  <c r="AQ16" i="1" s="1"/>
  <c r="AI1" i="1" s="1"/>
  <c r="BE163" i="1"/>
  <c r="AZ86" i="1"/>
  <c r="AW86" i="1"/>
  <c r="AY87" i="1" s="1"/>
  <c r="BA86" i="1"/>
  <c r="BB85" i="1"/>
  <c r="BE56" i="1"/>
  <c r="BF56" i="1" l="1"/>
  <c r="BF57" i="1" s="1"/>
  <c r="BF58" i="1" s="1"/>
  <c r="BF59" i="1" s="1"/>
  <c r="BF60" i="1" s="1"/>
  <c r="BF61" i="1" s="1"/>
  <c r="BF62" i="1" s="1"/>
  <c r="BF63" i="1" s="1"/>
  <c r="BF64" i="1" s="1"/>
  <c r="BF65" i="1" s="1"/>
  <c r="BF66" i="1" s="1"/>
  <c r="BF67" i="1" s="1"/>
  <c r="BF68" i="1" s="1"/>
  <c r="BF69" i="1" s="1"/>
  <c r="BF70" i="1" s="1"/>
  <c r="BF71" i="1" s="1"/>
  <c r="BF72" i="1" s="1"/>
  <c r="BF73" i="1" s="1"/>
  <c r="BF74" i="1" s="1"/>
  <c r="BF75" i="1" s="1"/>
  <c r="BF76" i="1" s="1"/>
  <c r="BF77" i="1" s="1"/>
  <c r="BF78" i="1" s="1"/>
  <c r="BF79" i="1" s="1"/>
  <c r="BF80" i="1" s="1"/>
  <c r="BF81" i="1" s="1"/>
  <c r="BF82" i="1" s="1"/>
  <c r="BF83" i="1" s="1"/>
  <c r="BF84" i="1" s="1"/>
  <c r="AZ87" i="1"/>
  <c r="AW87" i="1"/>
  <c r="BA87" i="1"/>
  <c r="BC85" i="1"/>
  <c r="BE85" i="1"/>
  <c r="BB86" i="1"/>
  <c r="BE86" i="1" s="1"/>
  <c r="BF85" i="1" l="1"/>
  <c r="BF86" i="1" s="1"/>
  <c r="BB87" i="1"/>
  <c r="BC86" i="1"/>
  <c r="BC87" i="1" s="1"/>
  <c r="BC88" i="1" s="1"/>
  <c r="BC89" i="1" s="1"/>
  <c r="BC90" i="1" s="1"/>
  <c r="BC91" i="1" s="1"/>
  <c r="BC92" i="1" s="1"/>
  <c r="BC93" i="1" s="1"/>
  <c r="BC94" i="1" s="1"/>
  <c r="BC95" i="1" s="1"/>
  <c r="BC96" i="1" s="1"/>
  <c r="BC97" i="1" s="1"/>
  <c r="BC98" i="1" s="1"/>
  <c r="BC99" i="1" s="1"/>
  <c r="BC100" i="1" s="1"/>
  <c r="BC101" i="1" s="1"/>
  <c r="BC102" i="1" s="1"/>
  <c r="BC103" i="1" s="1"/>
  <c r="BC104" i="1" s="1"/>
  <c r="BC105" i="1" s="1"/>
  <c r="BC106" i="1" s="1"/>
  <c r="BC107" i="1" s="1"/>
  <c r="BC108" i="1" s="1"/>
  <c r="BC109" i="1" s="1"/>
  <c r="BC110" i="1" s="1"/>
  <c r="BC111" i="1" s="1"/>
  <c r="BC112" i="1" s="1"/>
  <c r="BC113" i="1" s="1"/>
  <c r="BC114" i="1" s="1"/>
  <c r="BC115" i="1" s="1"/>
  <c r="BC116" i="1" s="1"/>
  <c r="BC117" i="1" s="1"/>
  <c r="BC118" i="1" s="1"/>
  <c r="BC119" i="1" s="1"/>
  <c r="BC120" i="1" s="1"/>
  <c r="BC121" i="1" s="1"/>
  <c r="BC122" i="1" s="1"/>
  <c r="BC123" i="1" s="1"/>
  <c r="BC124" i="1" s="1"/>
  <c r="BC125" i="1" s="1"/>
  <c r="BC126" i="1" s="1"/>
  <c r="BC127" i="1" s="1"/>
  <c r="BC128" i="1" s="1"/>
  <c r="BC129" i="1" s="1"/>
  <c r="BC130" i="1" s="1"/>
  <c r="BC131" i="1" s="1"/>
  <c r="BC132" i="1" s="1"/>
  <c r="BC133" i="1" s="1"/>
  <c r="BC134" i="1" s="1"/>
  <c r="BC135" i="1" s="1"/>
  <c r="BC136" i="1" s="1"/>
  <c r="BC137" i="1" s="1"/>
  <c r="BC138" i="1" s="1"/>
  <c r="BC139" i="1" s="1"/>
  <c r="BC140" i="1" s="1"/>
  <c r="BC141" i="1" s="1"/>
  <c r="BC142" i="1" s="1"/>
  <c r="BC143" i="1" s="1"/>
  <c r="BC144" i="1" s="1"/>
  <c r="BC145" i="1" s="1"/>
  <c r="BC146" i="1" s="1"/>
  <c r="BC147" i="1" s="1"/>
  <c r="BC148" i="1" s="1"/>
  <c r="BC149" i="1" s="1"/>
  <c r="BC150" i="1" s="1"/>
  <c r="BC151" i="1" s="1"/>
  <c r="BC152" i="1" s="1"/>
  <c r="BC153" i="1" s="1"/>
  <c r="BC154" i="1" s="1"/>
  <c r="BC155" i="1" s="1"/>
  <c r="BC156" i="1" s="1"/>
  <c r="BC157" i="1" s="1"/>
  <c r="BC158" i="1" s="1"/>
  <c r="BC159" i="1" s="1"/>
  <c r="BC160" i="1" s="1"/>
  <c r="BC161" i="1" s="1"/>
  <c r="BC162" i="1" s="1"/>
  <c r="BC163" i="1" s="1"/>
  <c r="BC164" i="1" s="1"/>
  <c r="BC165" i="1" s="1"/>
  <c r="BC166" i="1" s="1"/>
  <c r="BC167" i="1" s="1"/>
  <c r="BC168" i="1" s="1"/>
  <c r="BC169" i="1" s="1"/>
  <c r="BC170" i="1" s="1"/>
  <c r="BC171" i="1" s="1"/>
  <c r="BC172" i="1" s="1"/>
  <c r="BC173" i="1" s="1"/>
  <c r="BC174" i="1" s="1"/>
  <c r="BC175" i="1" s="1"/>
  <c r="BC176" i="1" s="1"/>
  <c r="BC19" i="1" s="1"/>
  <c r="BE87" i="1" l="1"/>
  <c r="BB14" i="1"/>
  <c r="BB15" i="1"/>
  <c r="BB19" i="1"/>
  <c r="BF87" i="1" l="1"/>
  <c r="BF88" i="1" s="1"/>
  <c r="BF89" i="1" s="1"/>
  <c r="BF90" i="1" s="1"/>
  <c r="BF91" i="1" s="1"/>
  <c r="BF92" i="1" s="1"/>
  <c r="BF93" i="1" s="1"/>
  <c r="BF94" i="1" s="1"/>
  <c r="BF95" i="1" s="1"/>
  <c r="BF96" i="1" s="1"/>
  <c r="BF97" i="1" s="1"/>
  <c r="BF98" i="1" s="1"/>
  <c r="BF99" i="1" s="1"/>
  <c r="BF100" i="1" s="1"/>
  <c r="BF101" i="1" s="1"/>
  <c r="BF102" i="1" s="1"/>
  <c r="BF103" i="1" s="1"/>
  <c r="BF104" i="1" s="1"/>
  <c r="BF105" i="1" s="1"/>
  <c r="BF106" i="1" s="1"/>
  <c r="BF107" i="1" s="1"/>
  <c r="BF108" i="1" s="1"/>
  <c r="BF109" i="1" s="1"/>
  <c r="BF110" i="1" s="1"/>
  <c r="BF111" i="1" s="1"/>
  <c r="BF112" i="1" s="1"/>
  <c r="BF113" i="1" s="1"/>
  <c r="BF114" i="1" s="1"/>
  <c r="BF115" i="1" s="1"/>
  <c r="BF116" i="1" s="1"/>
  <c r="BF117" i="1" s="1"/>
  <c r="BF118" i="1" s="1"/>
  <c r="BF119" i="1" s="1"/>
  <c r="BF120" i="1" s="1"/>
  <c r="BF121" i="1" s="1"/>
  <c r="BF122" i="1" s="1"/>
  <c r="BF123" i="1" s="1"/>
  <c r="BF124" i="1" s="1"/>
  <c r="BF125" i="1" s="1"/>
  <c r="BF126" i="1" s="1"/>
  <c r="BF127" i="1" s="1"/>
  <c r="BF128" i="1" s="1"/>
  <c r="BF129" i="1" s="1"/>
  <c r="BF130" i="1" s="1"/>
  <c r="BF131" i="1" s="1"/>
  <c r="BF132" i="1" s="1"/>
  <c r="BF133" i="1" s="1"/>
  <c r="BF134" i="1" s="1"/>
  <c r="BF135" i="1" s="1"/>
  <c r="BF136" i="1" s="1"/>
  <c r="BF137" i="1" s="1"/>
  <c r="BF138" i="1" s="1"/>
  <c r="BF139" i="1" s="1"/>
  <c r="BF140" i="1" s="1"/>
  <c r="BF141" i="1" s="1"/>
  <c r="BF142" i="1" s="1"/>
  <c r="BF143" i="1" s="1"/>
  <c r="BF144" i="1" s="1"/>
  <c r="BF145" i="1" s="1"/>
  <c r="BF146" i="1" s="1"/>
  <c r="BF147" i="1" s="1"/>
  <c r="BF148" i="1" s="1"/>
  <c r="BF149" i="1" s="1"/>
  <c r="BF150" i="1" s="1"/>
  <c r="BF151" i="1" s="1"/>
  <c r="BF152" i="1" s="1"/>
  <c r="BF153" i="1" s="1"/>
  <c r="BF154" i="1" s="1"/>
  <c r="BF155" i="1" s="1"/>
  <c r="BF156" i="1" s="1"/>
  <c r="BF157" i="1" s="1"/>
  <c r="BF158" i="1" s="1"/>
  <c r="BF159" i="1" s="1"/>
  <c r="BF160" i="1" s="1"/>
  <c r="BF161" i="1" s="1"/>
  <c r="BF162" i="1" s="1"/>
  <c r="BF163" i="1" s="1"/>
  <c r="BF164" i="1" s="1"/>
  <c r="BF165" i="1" s="1"/>
  <c r="BF166" i="1" s="1"/>
  <c r="BF167" i="1" s="1"/>
  <c r="BF168" i="1" s="1"/>
  <c r="BF169" i="1" s="1"/>
  <c r="BF170" i="1" s="1"/>
  <c r="BF171" i="1" s="1"/>
  <c r="BF172" i="1" s="1"/>
  <c r="BF173" i="1" s="1"/>
  <c r="BF174" i="1" s="1"/>
  <c r="BF175" i="1" s="1"/>
  <c r="BF176" i="1" s="1"/>
  <c r="BF18" i="1" s="1"/>
  <c r="BE14" i="1"/>
  <c r="BE15" i="1"/>
  <c r="BE18" i="1"/>
  <c r="BB16" i="1"/>
  <c r="AT1" i="1" s="1"/>
  <c r="BE16" i="1" l="1"/>
</calcChain>
</file>

<file path=xl/sharedStrings.xml><?xml version="1.0" encoding="utf-8"?>
<sst xmlns="http://schemas.openxmlformats.org/spreadsheetml/2006/main" count="74" uniqueCount="53">
  <si>
    <t>date</t>
  </si>
  <si>
    <t>XBI</t>
  </si>
  <si>
    <t>IBB</t>
  </si>
  <si>
    <t>XBI log rtn</t>
  </si>
  <si>
    <t>IBB log rtn</t>
  </si>
  <si>
    <t>XBI div</t>
  </si>
  <si>
    <t>XBI div cumsum</t>
  </si>
  <si>
    <t>IBB div</t>
  </si>
  <si>
    <t>IBB div cumsum</t>
  </si>
  <si>
    <t>XBI div adjustment</t>
  </si>
  <si>
    <t>IBB div adjustment</t>
  </si>
  <si>
    <t>XBI*</t>
  </si>
  <si>
    <t>IBB*</t>
  </si>
  <si>
    <t>IBB/XBI</t>
  </si>
  <si>
    <t>IBB/XBI avg</t>
  </si>
  <si>
    <t>IBB/XBI 10 dma</t>
  </si>
  <si>
    <t>IBB/XBI 20 dma</t>
  </si>
  <si>
    <t>XBI x avg</t>
  </si>
  <si>
    <t>XBI x 10 dma</t>
  </si>
  <si>
    <t>XBI x 20 dma</t>
  </si>
  <si>
    <t>log diff XBI x avg / IBB</t>
  </si>
  <si>
    <t>log diff XBI x 10 dma / IBB</t>
  </si>
  <si>
    <t>log diff XBI x 20 dma / IBB</t>
  </si>
  <si>
    <t>IBB*/XBI*</t>
  </si>
  <si>
    <t>IBB*/XBI* avg</t>
  </si>
  <si>
    <t>IBB*/XBI* 10 dma</t>
  </si>
  <si>
    <t>IBB*/XBI* 20 dma</t>
  </si>
  <si>
    <t>XBI* x avg</t>
  </si>
  <si>
    <t>XBI* x 10 dma</t>
  </si>
  <si>
    <t>XBI* x 20 dma</t>
  </si>
  <si>
    <t>log diff XBI* x avg / IBB*</t>
  </si>
  <si>
    <t>log diff XBI* x 10 dma / IBB*</t>
  </si>
  <si>
    <t>log diff XBI* x 20 dma / IBB*</t>
  </si>
  <si>
    <t>enter</t>
  </si>
  <si>
    <t>row</t>
  </si>
  <si>
    <t>col</t>
  </si>
  <si>
    <t>exit</t>
  </si>
  <si>
    <t>grand</t>
  </si>
  <si>
    <t>signal</t>
  </si>
  <si>
    <t>under</t>
  </si>
  <si>
    <t>over</t>
  </si>
  <si>
    <t>yday</t>
  </si>
  <si>
    <t>ex-date</t>
  </si>
  <si>
    <t>position</t>
  </si>
  <si>
    <t>sum</t>
  </si>
  <si>
    <t>cumsum</t>
  </si>
  <si>
    <t>AI21</t>
  </si>
  <si>
    <t>AI22</t>
  </si>
  <si>
    <t>AT21</t>
  </si>
  <si>
    <t>AT22</t>
  </si>
  <si>
    <t>avg</t>
  </si>
  <si>
    <t>st dev</t>
  </si>
  <si>
    <t>sharpe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</si>
</sst>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000_);_(&quot;$&quot;* \(#,##0.0000\);_(&quot;$&quot;* &quot;-&quot;??_);_(@_)"/>
    <numFmt numFmtId="165" formatCode="0.0000%"/>
    <numFmt numFmtId="166" formatCode="_(* #,##0.0000_);_(* \(#,##0.0000\);_(* &quot;-&quot;??_);_(@_)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6">
    <xf numFmtId="0" fontId="0" fillId="0" borderId="0" xfId="0"/>
    <xf numFmtId="14" fontId="0" fillId="0" borderId="0" xfId="0" applyNumberFormat="1"/>
    <xf numFmtId="0" fontId="18" fillId="0" borderId="0" xfId="0" applyFont="1" applyAlignment="1">
      <alignment horizontal="right"/>
    </xf>
    <xf numFmtId="0" fontId="18" fillId="0" borderId="0" xfId="0" applyFont="1" applyAlignment="1">
      <alignment horizontal="center"/>
    </xf>
    <xf numFmtId="10" fontId="18" fillId="0" borderId="0" xfId="0" applyNumberFormat="1" applyFont="1" applyAlignment="1">
      <alignment horizontal="right"/>
    </xf>
    <xf numFmtId="44" fontId="0" fillId="0" borderId="0" xfId="2" applyFont="1"/>
    <xf numFmtId="43" fontId="16" fillId="0" borderId="0" xfId="1" applyFont="1"/>
    <xf numFmtId="10" fontId="16" fillId="0" borderId="0" xfId="3" applyNumberFormat="1" applyFont="1"/>
    <xf numFmtId="43" fontId="0" fillId="0" borderId="0" xfId="1" applyFont="1"/>
    <xf numFmtId="43" fontId="0" fillId="0" borderId="0" xfId="1" applyFont="1" applyBorder="1"/>
    <xf numFmtId="43" fontId="0" fillId="0" borderId="10" xfId="1" applyFont="1" applyBorder="1"/>
    <xf numFmtId="10" fontId="0" fillId="0" borderId="0" xfId="0" applyNumberFormat="1"/>
    <xf numFmtId="44" fontId="19" fillId="0" borderId="0" xfId="2" applyFont="1"/>
    <xf numFmtId="10" fontId="16" fillId="0" borderId="0" xfId="3" applyNumberFormat="1" applyFont="1" applyBorder="1"/>
    <xf numFmtId="44" fontId="18" fillId="0" borderId="0" xfId="2" applyFont="1" applyAlignment="1">
      <alignment horizontal="right"/>
    </xf>
    <xf numFmtId="10" fontId="18" fillId="33" borderId="0" xfId="2" applyNumberFormat="1" applyFont="1" applyFill="1" applyAlignment="1">
      <alignment horizontal="right"/>
    </xf>
    <xf numFmtId="0" fontId="20" fillId="0" borderId="0" xfId="0" applyFont="1"/>
    <xf numFmtId="10" fontId="0" fillId="0" borderId="0" xfId="3" applyNumberFormat="1" applyFont="1"/>
    <xf numFmtId="164" fontId="18" fillId="0" borderId="0" xfId="2" applyNumberFormat="1" applyFont="1" applyAlignment="1">
      <alignment horizontal="right"/>
    </xf>
    <xf numFmtId="165" fontId="18" fillId="0" borderId="0" xfId="3" applyNumberFormat="1" applyFont="1" applyAlignment="1">
      <alignment horizontal="right"/>
    </xf>
    <xf numFmtId="166" fontId="18" fillId="0" borderId="0" xfId="1" applyNumberFormat="1" applyFont="1" applyAlignment="1">
      <alignment horizontal="right"/>
    </xf>
    <xf numFmtId="164" fontId="0" fillId="0" borderId="0" xfId="2" applyNumberFormat="1" applyFont="1"/>
    <xf numFmtId="165" fontId="0" fillId="0" borderId="0" xfId="3" applyNumberFormat="1" applyFont="1"/>
    <xf numFmtId="166" fontId="0" fillId="0" borderId="0" xfId="1" applyNumberFormat="1" applyFont="1"/>
    <xf numFmtId="165" fontId="18" fillId="34" borderId="0" xfId="3" applyNumberFormat="1" applyFont="1" applyFill="1" applyAlignment="1">
      <alignment horizontal="right"/>
    </xf>
    <xf numFmtId="0" fontId="21" fillId="0" borderId="0" xfId="0" applyFont="1" applyAlignment="1">
      <alignment horizontal="left"/>
    </xf>
    <xf numFmtId="165" fontId="0" fillId="34" borderId="0" xfId="3" applyNumberFormat="1" applyFont="1" applyFill="1"/>
    <xf numFmtId="0" fontId="21" fillId="0" borderId="0" xfId="0" applyFont="1" applyAlignment="1">
      <alignment horizontal="center"/>
    </xf>
    <xf numFmtId="165" fontId="0" fillId="0" borderId="0" xfId="3" applyNumberFormat="1" applyFont="1" applyAlignment="1">
      <alignment horizontal="center"/>
    </xf>
    <xf numFmtId="10" fontId="16" fillId="0" borderId="11" xfId="3" applyNumberFormat="1" applyFont="1" applyBorder="1"/>
    <xf numFmtId="0" fontId="16" fillId="0" borderId="12" xfId="0" applyFont="1" applyBorder="1" applyAlignment="1">
      <alignment horizontal="center"/>
    </xf>
    <xf numFmtId="0" fontId="16" fillId="0" borderId="13" xfId="0" applyFont="1" applyBorder="1" applyAlignment="1">
      <alignment horizontal="center"/>
    </xf>
    <xf numFmtId="10" fontId="16" fillId="0" borderId="0" xfId="0" applyNumberFormat="1" applyFont="1"/>
    <xf numFmtId="165" fontId="16" fillId="0" borderId="0" xfId="3" applyNumberFormat="1" applyFont="1"/>
    <xf numFmtId="165" fontId="16" fillId="34" borderId="0" xfId="3" applyNumberFormat="1" applyFont="1" applyFill="1"/>
    <xf numFmtId="0" fontId="16" fillId="0" borderId="0" xfId="0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6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Sheet1!$O$1</c:f>
              <c:strCache>
                <c:ptCount val="1"/>
                <c:pt idx="0">
                  <c:v> IBB/XBI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Sheet1!$O$2:$O$176</c:f>
              <c:numCache>
                <c:formatCode>_(* #,##0.0000_);_(* \(#,##0.0000\);_(* "-"??_);_(@_)</c:formatCode>
                <c:ptCount val="175"/>
                <c:pt idx="0">
                  <c:v>1.3022492118915701</c:v>
                </c:pt>
                <c:pt idx="1">
                  <c:v>1.3022492118915701</c:v>
                </c:pt>
                <c:pt idx="2">
                  <c:v>1.3022492118915701</c:v>
                </c:pt>
                <c:pt idx="3">
                  <c:v>1.3022492118915701</c:v>
                </c:pt>
                <c:pt idx="4">
                  <c:v>1.3022492118915701</c:v>
                </c:pt>
                <c:pt idx="5">
                  <c:v>1.3022492118915701</c:v>
                </c:pt>
                <c:pt idx="6">
                  <c:v>1.3022492118915701</c:v>
                </c:pt>
                <c:pt idx="7">
                  <c:v>1.3022492118915701</c:v>
                </c:pt>
                <c:pt idx="8">
                  <c:v>1.3022492118915701</c:v>
                </c:pt>
                <c:pt idx="9">
                  <c:v>1.3022492118915701</c:v>
                </c:pt>
                <c:pt idx="10">
                  <c:v>1.3022492118915701</c:v>
                </c:pt>
                <c:pt idx="11">
                  <c:v>1.3022492118915701</c:v>
                </c:pt>
                <c:pt idx="12">
                  <c:v>1.3022492118915701</c:v>
                </c:pt>
                <c:pt idx="13">
                  <c:v>1.3022492118915701</c:v>
                </c:pt>
                <c:pt idx="14">
                  <c:v>1.3022492118915701</c:v>
                </c:pt>
                <c:pt idx="15">
                  <c:v>1.3022492118915701</c:v>
                </c:pt>
                <c:pt idx="16">
                  <c:v>1.3022492118915701</c:v>
                </c:pt>
                <c:pt idx="17">
                  <c:v>1.3022492118915701</c:v>
                </c:pt>
                <c:pt idx="18">
                  <c:v>1.3022492118915701</c:v>
                </c:pt>
                <c:pt idx="19">
                  <c:v>1.3022492118915701</c:v>
                </c:pt>
                <c:pt idx="20">
                  <c:v>1.3022492118915701</c:v>
                </c:pt>
                <c:pt idx="21">
                  <c:v>1.3022492118915701</c:v>
                </c:pt>
                <c:pt idx="22">
                  <c:v>1.3022492118915701</c:v>
                </c:pt>
                <c:pt idx="23">
                  <c:v>1.3022492118915701</c:v>
                </c:pt>
                <c:pt idx="24">
                  <c:v>1.3022492118915701</c:v>
                </c:pt>
                <c:pt idx="25">
                  <c:v>1.3022492118915701</c:v>
                </c:pt>
                <c:pt idx="26">
                  <c:v>1.3022492118915701</c:v>
                </c:pt>
                <c:pt idx="27">
                  <c:v>1.3022492118915701</c:v>
                </c:pt>
                <c:pt idx="28">
                  <c:v>1.3022492118915701</c:v>
                </c:pt>
                <c:pt idx="29">
                  <c:v>1.3022492118915701</c:v>
                </c:pt>
                <c:pt idx="30">
                  <c:v>1.3022492118915701</c:v>
                </c:pt>
                <c:pt idx="31">
                  <c:v>1.3022492118915701</c:v>
                </c:pt>
                <c:pt idx="32">
                  <c:v>1.3022492118915701</c:v>
                </c:pt>
                <c:pt idx="33">
                  <c:v>1.3022492118915701</c:v>
                </c:pt>
                <c:pt idx="34">
                  <c:v>1.3022492118915701</c:v>
                </c:pt>
                <c:pt idx="35">
                  <c:v>1.3022492118915701</c:v>
                </c:pt>
                <c:pt idx="36">
                  <c:v>1.3022492118915701</c:v>
                </c:pt>
                <c:pt idx="37">
                  <c:v>1.3022492118915701</c:v>
                </c:pt>
                <c:pt idx="38">
                  <c:v>1.3022492118915701</c:v>
                </c:pt>
                <c:pt idx="39">
                  <c:v>1.3022492118915701</c:v>
                </c:pt>
                <c:pt idx="40">
                  <c:v>1.3022492118915701</c:v>
                </c:pt>
                <c:pt idx="41">
                  <c:v>1.3022492118915701</c:v>
                </c:pt>
                <c:pt idx="42">
                  <c:v>1.3022492118915701</c:v>
                </c:pt>
                <c:pt idx="43">
                  <c:v>1.3022492118915701</c:v>
                </c:pt>
                <c:pt idx="44">
                  <c:v>1.3022492118915701</c:v>
                </c:pt>
                <c:pt idx="45">
                  <c:v>1.3022492118915701</c:v>
                </c:pt>
                <c:pt idx="46">
                  <c:v>1.3022492118915701</c:v>
                </c:pt>
                <c:pt idx="47">
                  <c:v>1.3022492118915701</c:v>
                </c:pt>
                <c:pt idx="48">
                  <c:v>1.3022492118915701</c:v>
                </c:pt>
                <c:pt idx="49">
                  <c:v>1.3022492118915701</c:v>
                </c:pt>
                <c:pt idx="50">
                  <c:v>1.3022492118915701</c:v>
                </c:pt>
                <c:pt idx="51">
                  <c:v>1.3022492118915701</c:v>
                </c:pt>
                <c:pt idx="52">
                  <c:v>1.3022492118915701</c:v>
                </c:pt>
                <c:pt idx="53">
                  <c:v>1.3022492118915701</c:v>
                </c:pt>
                <c:pt idx="54">
                  <c:v>1.3022492118915701</c:v>
                </c:pt>
                <c:pt idx="55">
                  <c:v>1.3022492118915701</c:v>
                </c:pt>
                <c:pt idx="56">
                  <c:v>1.3022492118915701</c:v>
                </c:pt>
                <c:pt idx="57">
                  <c:v>1.3022492118915701</c:v>
                </c:pt>
                <c:pt idx="58">
                  <c:v>1.3022492118915701</c:v>
                </c:pt>
                <c:pt idx="59">
                  <c:v>1.3022492118915701</c:v>
                </c:pt>
                <c:pt idx="60">
                  <c:v>1.3022492118915701</c:v>
                </c:pt>
                <c:pt idx="61">
                  <c:v>1.3022492118915701</c:v>
                </c:pt>
                <c:pt idx="62">
                  <c:v>1.3022492118915701</c:v>
                </c:pt>
                <c:pt idx="63">
                  <c:v>1.3022492118915701</c:v>
                </c:pt>
                <c:pt idx="64">
                  <c:v>1.3022492118915701</c:v>
                </c:pt>
                <c:pt idx="65">
                  <c:v>1.3022492118915701</c:v>
                </c:pt>
                <c:pt idx="66">
                  <c:v>1.3022492118915701</c:v>
                </c:pt>
                <c:pt idx="67">
                  <c:v>1.3022492118915701</c:v>
                </c:pt>
                <c:pt idx="68">
                  <c:v>1.3022492118915701</c:v>
                </c:pt>
                <c:pt idx="69">
                  <c:v>1.3022492118915701</c:v>
                </c:pt>
                <c:pt idx="70">
                  <c:v>1.3022492118915701</c:v>
                </c:pt>
                <c:pt idx="71">
                  <c:v>1.3022492118915701</c:v>
                </c:pt>
                <c:pt idx="72">
                  <c:v>1.3022492118915701</c:v>
                </c:pt>
                <c:pt idx="73">
                  <c:v>1.3022492118915701</c:v>
                </c:pt>
                <c:pt idx="74">
                  <c:v>1.3022492118915701</c:v>
                </c:pt>
                <c:pt idx="75">
                  <c:v>1.3022492118915701</c:v>
                </c:pt>
                <c:pt idx="76">
                  <c:v>1.3022492118915701</c:v>
                </c:pt>
                <c:pt idx="77">
                  <c:v>1.3022492118915701</c:v>
                </c:pt>
                <c:pt idx="78">
                  <c:v>1.3022492118915701</c:v>
                </c:pt>
                <c:pt idx="79">
                  <c:v>1.3022492118915701</c:v>
                </c:pt>
                <c:pt idx="80">
                  <c:v>1.3022492118915701</c:v>
                </c:pt>
                <c:pt idx="81">
                  <c:v>1.3022492118915701</c:v>
                </c:pt>
                <c:pt idx="82">
                  <c:v>1.3022492118915701</c:v>
                </c:pt>
                <c:pt idx="83">
                  <c:v>1.3022492118915701</c:v>
                </c:pt>
                <c:pt idx="84">
                  <c:v>1.3022492118915701</c:v>
                </c:pt>
                <c:pt idx="85">
                  <c:v>1.3022492118915701</c:v>
                </c:pt>
                <c:pt idx="86">
                  <c:v>1.3022492118915701</c:v>
                </c:pt>
                <c:pt idx="87">
                  <c:v>1.3022492118915701</c:v>
                </c:pt>
                <c:pt idx="88">
                  <c:v>1.3022492118915701</c:v>
                </c:pt>
                <c:pt idx="89">
                  <c:v>1.3022492118915701</c:v>
                </c:pt>
                <c:pt idx="90">
                  <c:v>1.3022492118915701</c:v>
                </c:pt>
                <c:pt idx="91">
                  <c:v>1.3022492118915701</c:v>
                </c:pt>
                <c:pt idx="92">
                  <c:v>1.3022492118915701</c:v>
                </c:pt>
                <c:pt idx="93">
                  <c:v>1.3022492118915701</c:v>
                </c:pt>
                <c:pt idx="94">
                  <c:v>1.3022492118915701</c:v>
                </c:pt>
                <c:pt idx="95">
                  <c:v>1.3022492118915701</c:v>
                </c:pt>
                <c:pt idx="96">
                  <c:v>1.3022492118915701</c:v>
                </c:pt>
                <c:pt idx="97">
                  <c:v>1.3022492118915701</c:v>
                </c:pt>
                <c:pt idx="98">
                  <c:v>1.3022492118915701</c:v>
                </c:pt>
                <c:pt idx="99">
                  <c:v>1.3022492118915701</c:v>
                </c:pt>
                <c:pt idx="100">
                  <c:v>1.3022492118915701</c:v>
                </c:pt>
                <c:pt idx="101">
                  <c:v>1.3022492118915701</c:v>
                </c:pt>
                <c:pt idx="102">
                  <c:v>1.3022492118915701</c:v>
                </c:pt>
                <c:pt idx="103">
                  <c:v>1.3022492118915701</c:v>
                </c:pt>
                <c:pt idx="104">
                  <c:v>1.3022492118915701</c:v>
                </c:pt>
                <c:pt idx="105">
                  <c:v>1.3022492118915701</c:v>
                </c:pt>
                <c:pt idx="106">
                  <c:v>1.3022492118915701</c:v>
                </c:pt>
                <c:pt idx="107">
                  <c:v>1.3022492118915701</c:v>
                </c:pt>
                <c:pt idx="108">
                  <c:v>1.3022492118915701</c:v>
                </c:pt>
                <c:pt idx="109">
                  <c:v>1.3022492118915701</c:v>
                </c:pt>
                <c:pt idx="110">
                  <c:v>1.3022492118915701</c:v>
                </c:pt>
                <c:pt idx="111">
                  <c:v>1.3022492118915701</c:v>
                </c:pt>
                <c:pt idx="112">
                  <c:v>1.3022492118915701</c:v>
                </c:pt>
                <c:pt idx="113">
                  <c:v>1.3022492118915701</c:v>
                </c:pt>
                <c:pt idx="114">
                  <c:v>1.3022492118915701</c:v>
                </c:pt>
                <c:pt idx="115">
                  <c:v>1.3022492118915701</c:v>
                </c:pt>
                <c:pt idx="116">
                  <c:v>1.3022492118915701</c:v>
                </c:pt>
                <c:pt idx="117">
                  <c:v>1.3022492118915701</c:v>
                </c:pt>
                <c:pt idx="118">
                  <c:v>1.3022492118915701</c:v>
                </c:pt>
                <c:pt idx="119">
                  <c:v>1.3022492118915701</c:v>
                </c:pt>
                <c:pt idx="120">
                  <c:v>1.3022492118915701</c:v>
                </c:pt>
                <c:pt idx="121">
                  <c:v>1.3022492118915701</c:v>
                </c:pt>
                <c:pt idx="122">
                  <c:v>1.3022492118915701</c:v>
                </c:pt>
                <c:pt idx="123">
                  <c:v>1.3022492118915701</c:v>
                </c:pt>
                <c:pt idx="124">
                  <c:v>1.3022492118915701</c:v>
                </c:pt>
                <c:pt idx="125">
                  <c:v>1.3022492118915701</c:v>
                </c:pt>
                <c:pt idx="126">
                  <c:v>1.3022492118915701</c:v>
                </c:pt>
                <c:pt idx="127">
                  <c:v>1.3022492118915701</c:v>
                </c:pt>
                <c:pt idx="128">
                  <c:v>1.3022492118915701</c:v>
                </c:pt>
                <c:pt idx="129">
                  <c:v>1.3022492118915701</c:v>
                </c:pt>
                <c:pt idx="130">
                  <c:v>1.3022492118915701</c:v>
                </c:pt>
                <c:pt idx="131">
                  <c:v>1.3022492118915701</c:v>
                </c:pt>
                <c:pt idx="132">
                  <c:v>1.3022492118915701</c:v>
                </c:pt>
                <c:pt idx="133">
                  <c:v>1.3022492118915701</c:v>
                </c:pt>
                <c:pt idx="134">
                  <c:v>1.3022492118915701</c:v>
                </c:pt>
                <c:pt idx="135">
                  <c:v>1.3022492118915701</c:v>
                </c:pt>
                <c:pt idx="136">
                  <c:v>1.3022492118915701</c:v>
                </c:pt>
                <c:pt idx="137">
                  <c:v>1.3022492118915701</c:v>
                </c:pt>
                <c:pt idx="138">
                  <c:v>1.3022492118915701</c:v>
                </c:pt>
                <c:pt idx="139">
                  <c:v>1.3022492118915701</c:v>
                </c:pt>
                <c:pt idx="140">
                  <c:v>1.3022492118915701</c:v>
                </c:pt>
                <c:pt idx="141">
                  <c:v>1.3022492118915701</c:v>
                </c:pt>
                <c:pt idx="142">
                  <c:v>1.3022492118915701</c:v>
                </c:pt>
                <c:pt idx="143">
                  <c:v>1.3022492118915701</c:v>
                </c:pt>
                <c:pt idx="144">
                  <c:v>1.3022492118915701</c:v>
                </c:pt>
                <c:pt idx="145">
                  <c:v>1.3022492118915701</c:v>
                </c:pt>
                <c:pt idx="146">
                  <c:v>1.3022492118915701</c:v>
                </c:pt>
                <c:pt idx="147">
                  <c:v>1.3022492118915701</c:v>
                </c:pt>
                <c:pt idx="148">
                  <c:v>1.3022492118915701</c:v>
                </c:pt>
                <c:pt idx="149">
                  <c:v>1.3022492118915701</c:v>
                </c:pt>
                <c:pt idx="150">
                  <c:v>1.3022492118915701</c:v>
                </c:pt>
                <c:pt idx="151">
                  <c:v>1.3022492118915701</c:v>
                </c:pt>
                <c:pt idx="152">
                  <c:v>1.3022492118915701</c:v>
                </c:pt>
                <c:pt idx="153">
                  <c:v>1.3022492118915701</c:v>
                </c:pt>
                <c:pt idx="154">
                  <c:v>1.3022492118915701</c:v>
                </c:pt>
                <c:pt idx="155">
                  <c:v>1.3022492118915701</c:v>
                </c:pt>
                <c:pt idx="156">
                  <c:v>1.3022492118915701</c:v>
                </c:pt>
                <c:pt idx="157">
                  <c:v>1.3022492118915701</c:v>
                </c:pt>
                <c:pt idx="158">
                  <c:v>1.3022492118915701</c:v>
                </c:pt>
                <c:pt idx="159">
                  <c:v>1.3022492118915701</c:v>
                </c:pt>
                <c:pt idx="160">
                  <c:v>1.3022492118915701</c:v>
                </c:pt>
                <c:pt idx="161">
                  <c:v>1.3022492118915701</c:v>
                </c:pt>
                <c:pt idx="162">
                  <c:v>1.3022492118915701</c:v>
                </c:pt>
                <c:pt idx="163">
                  <c:v>1.3022492118915701</c:v>
                </c:pt>
                <c:pt idx="164">
                  <c:v>1.3022492118915701</c:v>
                </c:pt>
                <c:pt idx="165">
                  <c:v>1.3022492118915701</c:v>
                </c:pt>
                <c:pt idx="166">
                  <c:v>1.3022492118915701</c:v>
                </c:pt>
                <c:pt idx="167">
                  <c:v>1.3022492118915701</c:v>
                </c:pt>
                <c:pt idx="168">
                  <c:v>1.3022492118915701</c:v>
                </c:pt>
                <c:pt idx="169">
                  <c:v>1.3022492118915701</c:v>
                </c:pt>
                <c:pt idx="170">
                  <c:v>1.3022492118915701</c:v>
                </c:pt>
                <c:pt idx="171">
                  <c:v>1.3022492118915701</c:v>
                </c:pt>
                <c:pt idx="172">
                  <c:v>1.3022492118915701</c:v>
                </c:pt>
                <c:pt idx="173">
                  <c:v>1.3022492118915701</c:v>
                </c:pt>
                <c:pt idx="174">
                  <c:v>1.3022492118915701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DF-475E-AC8F-A5CFEFB966BB}"/>
            </c:ext>
          </c:extLst>
        </c:ser>
        <c:ser>
          <c:idx val="1"/>
          <c:order val="1"/>
          <c:tx>
            <c:strRef>
              <c:f>Sheet1!$P$1</c:f>
              <c:strCache>
                <c:ptCount val="1"/>
                <c:pt idx="0">
                  <c:v> IBB/XBI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Sheet1!$P$2:$P$176</c:f>
              <c:numCache>
                <c:formatCode>_(* #,##0.0000_);_(* \(#,##0.0000\);_(* "-"??_);_(@_)</c:formatCode>
                <c:ptCount val="175"/>
                <c:pt idx="9">
                  <c:v>1.38618200241551</c:v>
                </c:pt>
                <c:pt idx="10">
                  <c:v>1.38397608458996</c:v>
                </c:pt>
                <c:pt idx="11">
                  <c:v>1.3809600565565201</c:v>
                </c:pt>
                <c:pt idx="12">
                  <c:v>1.3773544529460999</c:v>
                </c:pt>
                <c:pt idx="13">
                  <c:v>1.37257726330246</c:v>
                </c:pt>
                <c:pt idx="14">
                  <c:v>1.37026602551152</c:v>
                </c:pt>
                <c:pt idx="15">
                  <c:v>1.36933340153839</c:v>
                </c:pt>
                <c:pt idx="16">
                  <c:v>1.3686627576916099</c:v>
                </c:pt>
                <c:pt idx="17">
                  <c:v>1.3685189842854699</c:v>
                </c:pt>
                <c:pt idx="18">
                  <c:v>1.36972540989165</c:v>
                </c:pt>
                <c:pt idx="19">
                  <c:v>1.3707846123335301</c:v>
                </c:pt>
                <c:pt idx="20">
                  <c:v>1.3706600366561501</c:v>
                </c:pt>
                <c:pt idx="21">
                  <c:v>1.3705537044201801</c:v>
                </c:pt>
                <c:pt idx="22">
                  <c:v>1.3728198316204601</c:v>
                </c:pt>
                <c:pt idx="23">
                  <c:v>1.3786591213363</c:v>
                </c:pt>
                <c:pt idx="24">
                  <c:v>1.38114053668059</c:v>
                </c:pt>
                <c:pt idx="25">
                  <c:v>1.38187547577417</c:v>
                </c:pt>
                <c:pt idx="26">
                  <c:v>1.3815168514501801</c:v>
                </c:pt>
                <c:pt idx="27">
                  <c:v>1.38187993573745</c:v>
                </c:pt>
                <c:pt idx="28">
                  <c:v>1.3829227255105301</c:v>
                </c:pt>
                <c:pt idx="29">
                  <c:v>1.38510599617036</c:v>
                </c:pt>
                <c:pt idx="30">
                  <c:v>1.38799403467403</c:v>
                </c:pt>
                <c:pt idx="31">
                  <c:v>1.3909806172133601</c:v>
                </c:pt>
                <c:pt idx="32">
                  <c:v>1.39016453167746</c:v>
                </c:pt>
                <c:pt idx="33">
                  <c:v>1.3890676349364099</c:v>
                </c:pt>
                <c:pt idx="34">
                  <c:v>1.3875590410038301</c:v>
                </c:pt>
                <c:pt idx="35">
                  <c:v>1.3858346840461699</c:v>
                </c:pt>
                <c:pt idx="36">
                  <c:v>1.3852142649444099</c:v>
                </c:pt>
                <c:pt idx="37">
                  <c:v>1.38286120814695</c:v>
                </c:pt>
                <c:pt idx="38">
                  <c:v>1.38201770940716</c:v>
                </c:pt>
                <c:pt idx="39">
                  <c:v>1.3790458429860799</c:v>
                </c:pt>
                <c:pt idx="40">
                  <c:v>1.37714933377225</c:v>
                </c:pt>
                <c:pt idx="41">
                  <c:v>1.3748309118100699</c:v>
                </c:pt>
                <c:pt idx="42">
                  <c:v>1.3728632654506201</c:v>
                </c:pt>
                <c:pt idx="43">
                  <c:v>1.3682343236743799</c:v>
                </c:pt>
                <c:pt idx="44">
                  <c:v>1.3650744276012501</c:v>
                </c:pt>
                <c:pt idx="45">
                  <c:v>1.3637185523081301</c:v>
                </c:pt>
                <c:pt idx="46">
                  <c:v>1.3622677133186201</c:v>
                </c:pt>
                <c:pt idx="47">
                  <c:v>1.36163799655922</c:v>
                </c:pt>
                <c:pt idx="48">
                  <c:v>1.3598057514401001</c:v>
                </c:pt>
                <c:pt idx="49">
                  <c:v>1.35726213164443</c:v>
                </c:pt>
                <c:pt idx="50">
                  <c:v>1.3541375996569101</c:v>
                </c:pt>
                <c:pt idx="51">
                  <c:v>1.35254832755563</c:v>
                </c:pt>
                <c:pt idx="52">
                  <c:v>1.3508539790479399</c:v>
                </c:pt>
                <c:pt idx="53">
                  <c:v>1.3500861802700499</c:v>
                </c:pt>
                <c:pt idx="54">
                  <c:v>1.34902066747227</c:v>
                </c:pt>
                <c:pt idx="55">
                  <c:v>1.34905105810714</c:v>
                </c:pt>
                <c:pt idx="56">
                  <c:v>1.3476033519516</c:v>
                </c:pt>
                <c:pt idx="57">
                  <c:v>1.3454199507761</c:v>
                </c:pt>
                <c:pt idx="58">
                  <c:v>1.34370000139393</c:v>
                </c:pt>
                <c:pt idx="59">
                  <c:v>1.3450805081788799</c:v>
                </c:pt>
                <c:pt idx="60">
                  <c:v>1.3426651535571501</c:v>
                </c:pt>
                <c:pt idx="61">
                  <c:v>1.33977811113056</c:v>
                </c:pt>
                <c:pt idx="62">
                  <c:v>1.3367203044442599</c:v>
                </c:pt>
                <c:pt idx="63">
                  <c:v>1.3334382635106701</c:v>
                </c:pt>
                <c:pt idx="64">
                  <c:v>1.33052929602795</c:v>
                </c:pt>
                <c:pt idx="65">
                  <c:v>1.32685324762682</c:v>
                </c:pt>
                <c:pt idx="66">
                  <c:v>1.32369993534064</c:v>
                </c:pt>
                <c:pt idx="67">
                  <c:v>1.32116644532566</c:v>
                </c:pt>
                <c:pt idx="68">
                  <c:v>1.31743073326465</c:v>
                </c:pt>
                <c:pt idx="69">
                  <c:v>1.3107302298610299</c:v>
                </c:pt>
                <c:pt idx="70">
                  <c:v>1.3075149704379301</c:v>
                </c:pt>
                <c:pt idx="71">
                  <c:v>1.3037093698834601</c:v>
                </c:pt>
                <c:pt idx="72">
                  <c:v>1.29972352212039</c:v>
                </c:pt>
                <c:pt idx="73">
                  <c:v>1.2962007560198401</c:v>
                </c:pt>
                <c:pt idx="74">
                  <c:v>1.29299654378441</c:v>
                </c:pt>
                <c:pt idx="75">
                  <c:v>1.2884369950130801</c:v>
                </c:pt>
                <c:pt idx="76">
                  <c:v>1.28537573961486</c:v>
                </c:pt>
                <c:pt idx="77">
                  <c:v>1.2819134245281301</c:v>
                </c:pt>
                <c:pt idx="78">
                  <c:v>1.2785603457479999</c:v>
                </c:pt>
                <c:pt idx="79">
                  <c:v>1.2769350874596499</c:v>
                </c:pt>
                <c:pt idx="80">
                  <c:v>1.27625844850348</c:v>
                </c:pt>
                <c:pt idx="81">
                  <c:v>1.2761660806828801</c:v>
                </c:pt>
                <c:pt idx="82">
                  <c:v>1.2770249735097501</c:v>
                </c:pt>
                <c:pt idx="83">
                  <c:v>1.2769292212210099</c:v>
                </c:pt>
                <c:pt idx="84">
                  <c:v>1.2766801503573499</c:v>
                </c:pt>
                <c:pt idx="85">
                  <c:v>1.27598300034485</c:v>
                </c:pt>
                <c:pt idx="86">
                  <c:v>1.2757051243709601</c:v>
                </c:pt>
                <c:pt idx="87">
                  <c:v>1.2744716456777301</c:v>
                </c:pt>
                <c:pt idx="88">
                  <c:v>1.2735867025133401</c:v>
                </c:pt>
                <c:pt idx="89">
                  <c:v>1.2733436802090901</c:v>
                </c:pt>
                <c:pt idx="90">
                  <c:v>1.2721313724482499</c:v>
                </c:pt>
                <c:pt idx="91">
                  <c:v>1.2707362302362899</c:v>
                </c:pt>
                <c:pt idx="92">
                  <c:v>1.27013458654053</c:v>
                </c:pt>
                <c:pt idx="93">
                  <c:v>1.27115358654317</c:v>
                </c:pt>
                <c:pt idx="94">
                  <c:v>1.27333224833503</c:v>
                </c:pt>
                <c:pt idx="95">
                  <c:v>1.2745312838748299</c:v>
                </c:pt>
                <c:pt idx="96">
                  <c:v>1.27459147080456</c:v>
                </c:pt>
                <c:pt idx="97">
                  <c:v>1.2766404230364501</c:v>
                </c:pt>
                <c:pt idx="98">
                  <c:v>1.2775299871656101</c:v>
                </c:pt>
                <c:pt idx="99">
                  <c:v>1.2761818426965299</c:v>
                </c:pt>
                <c:pt idx="100">
                  <c:v>1.27574951371566</c:v>
                </c:pt>
                <c:pt idx="101">
                  <c:v>1.27466109323301</c:v>
                </c:pt>
                <c:pt idx="102">
                  <c:v>1.2737628448435101</c:v>
                </c:pt>
                <c:pt idx="103">
                  <c:v>1.27386019009497</c:v>
                </c:pt>
                <c:pt idx="104">
                  <c:v>1.2733774612409201</c:v>
                </c:pt>
                <c:pt idx="105">
                  <c:v>1.27438181808933</c:v>
                </c:pt>
                <c:pt idx="106">
                  <c:v>1.2779669516980701</c:v>
                </c:pt>
                <c:pt idx="107">
                  <c:v>1.2797351570409301</c:v>
                </c:pt>
                <c:pt idx="108">
                  <c:v>1.2815945478474</c:v>
                </c:pt>
                <c:pt idx="109">
                  <c:v>1.2840203926313301</c:v>
                </c:pt>
                <c:pt idx="110">
                  <c:v>1.28580307462865</c:v>
                </c:pt>
                <c:pt idx="111">
                  <c:v>1.2873973282612301</c:v>
                </c:pt>
                <c:pt idx="112">
                  <c:v>1.2868666916373099</c:v>
                </c:pt>
                <c:pt idx="113">
                  <c:v>1.2849632351045901</c:v>
                </c:pt>
                <c:pt idx="114">
                  <c:v>1.2803762337768501</c:v>
                </c:pt>
                <c:pt idx="115">
                  <c:v>1.27528122546403</c:v>
                </c:pt>
                <c:pt idx="116">
                  <c:v>1.26572193877446</c:v>
                </c:pt>
                <c:pt idx="117">
                  <c:v>1.2568772459995401</c:v>
                </c:pt>
                <c:pt idx="118">
                  <c:v>1.24922316155502</c:v>
                </c:pt>
                <c:pt idx="119">
                  <c:v>1.2416078589277899</c:v>
                </c:pt>
                <c:pt idx="120">
                  <c:v>1.2337506045978199</c:v>
                </c:pt>
                <c:pt idx="121">
                  <c:v>1.2260775268258901</c:v>
                </c:pt>
                <c:pt idx="122">
                  <c:v>1.2200364409943301</c:v>
                </c:pt>
                <c:pt idx="123">
                  <c:v>1.21480650634945</c:v>
                </c:pt>
                <c:pt idx="124">
                  <c:v>1.21234050173722</c:v>
                </c:pt>
                <c:pt idx="125">
                  <c:v>1.2104004175719201</c:v>
                </c:pt>
                <c:pt idx="126">
                  <c:v>1.21001901893688</c:v>
                </c:pt>
                <c:pt idx="127">
                  <c:v>1.20937023970522</c:v>
                </c:pt>
                <c:pt idx="128">
                  <c:v>1.2082399927154099</c:v>
                </c:pt>
                <c:pt idx="129">
                  <c:v>1.2078473130149701</c:v>
                </c:pt>
                <c:pt idx="130">
                  <c:v>1.20928817352725</c:v>
                </c:pt>
                <c:pt idx="131">
                  <c:v>1.21077335334116</c:v>
                </c:pt>
                <c:pt idx="132">
                  <c:v>1.2121494383899301</c:v>
                </c:pt>
                <c:pt idx="133">
                  <c:v>1.2153834417350899</c:v>
                </c:pt>
                <c:pt idx="134">
                  <c:v>1.2164346768566501</c:v>
                </c:pt>
                <c:pt idx="135">
                  <c:v>1.21855969269854</c:v>
                </c:pt>
                <c:pt idx="136">
                  <c:v>1.22012259667385</c:v>
                </c:pt>
                <c:pt idx="137">
                  <c:v>1.2225837833890401</c:v>
                </c:pt>
                <c:pt idx="138">
                  <c:v>1.2266007074362</c:v>
                </c:pt>
                <c:pt idx="139">
                  <c:v>1.23085762294099</c:v>
                </c:pt>
                <c:pt idx="140">
                  <c:v>1.2338963880307401</c:v>
                </c:pt>
                <c:pt idx="141">
                  <c:v>1.2397260657040301</c:v>
                </c:pt>
                <c:pt idx="142">
                  <c:v>1.2456293725146399</c:v>
                </c:pt>
                <c:pt idx="143">
                  <c:v>1.24637099354364</c:v>
                </c:pt>
                <c:pt idx="144">
                  <c:v>1.2501587966666801</c:v>
                </c:pt>
                <c:pt idx="145">
                  <c:v>1.25278313599909</c:v>
                </c:pt>
                <c:pt idx="146">
                  <c:v>1.2554499160238599</c:v>
                </c:pt>
                <c:pt idx="147">
                  <c:v>1.25786385228179</c:v>
                </c:pt>
                <c:pt idx="148">
                  <c:v>1.2586224263777499</c:v>
                </c:pt>
                <c:pt idx="149">
                  <c:v>1.2592297012887099</c:v>
                </c:pt>
                <c:pt idx="150">
                  <c:v>1.26073918048597</c:v>
                </c:pt>
                <c:pt idx="151">
                  <c:v>1.2599010257796099</c:v>
                </c:pt>
                <c:pt idx="152">
                  <c:v>1.25836848811464</c:v>
                </c:pt>
                <c:pt idx="153">
                  <c:v>1.2597757049699001</c:v>
                </c:pt>
                <c:pt idx="154">
                  <c:v>1.2589261443438899</c:v>
                </c:pt>
                <c:pt idx="155">
                  <c:v>1.25930097257581</c:v>
                </c:pt>
                <c:pt idx="156">
                  <c:v>1.26124104111935</c:v>
                </c:pt>
                <c:pt idx="157">
                  <c:v>1.2638520099122701</c:v>
                </c:pt>
                <c:pt idx="158">
                  <c:v>1.2679950560243201</c:v>
                </c:pt>
                <c:pt idx="159">
                  <c:v>1.2712213937997501</c:v>
                </c:pt>
                <c:pt idx="160">
                  <c:v>1.2741077594442101</c:v>
                </c:pt>
                <c:pt idx="161">
                  <c:v>1.27571763540325</c:v>
                </c:pt>
                <c:pt idx="162">
                  <c:v>1.2776039055092601</c:v>
                </c:pt>
                <c:pt idx="163">
                  <c:v>1.27845977570009</c:v>
                </c:pt>
                <c:pt idx="164">
                  <c:v>1.2811880787777901</c:v>
                </c:pt>
                <c:pt idx="165">
                  <c:v>1.28325615953424</c:v>
                </c:pt>
                <c:pt idx="166">
                  <c:v>1.2851393744629001</c:v>
                </c:pt>
                <c:pt idx="167">
                  <c:v>1.28646296530547</c:v>
                </c:pt>
                <c:pt idx="168">
                  <c:v>1.28749081101366</c:v>
                </c:pt>
                <c:pt idx="169">
                  <c:v>1.28800000808979</c:v>
                </c:pt>
                <c:pt idx="170">
                  <c:v>1.2865795442139301</c:v>
                </c:pt>
                <c:pt idx="171">
                  <c:v>1.28753878685575</c:v>
                </c:pt>
                <c:pt idx="172">
                  <c:v>1.2889406201736999</c:v>
                </c:pt>
                <c:pt idx="173">
                  <c:v>1.2911750538871301</c:v>
                </c:pt>
                <c:pt idx="174">
                  <c:v>1.29231774856272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DF-475E-AC8F-A5CFEFB966BB}"/>
            </c:ext>
          </c:extLst>
        </c:ser>
        <c:ser>
          <c:idx val="2"/>
          <c:order val="2"/>
          <c:tx>
            <c:strRef>
              <c:f>Sheet1!$Q$1</c:f>
              <c:strCache>
                <c:ptCount val="1"/>
                <c:pt idx="0">
                  <c:v> IBB/XBI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Sheet1!$Q$2:$Q$176</c:f>
              <c:numCache>
                <c:formatCode>_(* #,##0.0000_);_(* \(#,##0.0000\);_(* "-"??_);_(@_)</c:formatCode>
                <c:ptCount val="175"/>
                <c:pt idx="19">
                  <c:v>1.37848330737452</c:v>
                </c:pt>
                <c:pt idx="20">
                  <c:v>1.3773180606230599</c:v>
                </c:pt>
                <c:pt idx="21">
                  <c:v>1.37575688048835</c:v>
                </c:pt>
                <c:pt idx="22">
                  <c:v>1.37508714228328</c:v>
                </c:pt>
                <c:pt idx="23">
                  <c:v>1.37561819231938</c:v>
                </c:pt>
                <c:pt idx="24">
                  <c:v>1.3757032810960601</c:v>
                </c:pt>
                <c:pt idx="25">
                  <c:v>1.37560443865628</c:v>
                </c:pt>
                <c:pt idx="26">
                  <c:v>1.3750898045708899</c:v>
                </c:pt>
                <c:pt idx="27">
                  <c:v>1.3751994600114601</c:v>
                </c:pt>
                <c:pt idx="28">
                  <c:v>1.3763240677010899</c:v>
                </c:pt>
                <c:pt idx="29">
                  <c:v>1.3779453042519401</c:v>
                </c:pt>
                <c:pt idx="30">
                  <c:v>1.37932703566509</c:v>
                </c:pt>
                <c:pt idx="31">
                  <c:v>1.38076716081677</c:v>
                </c:pt>
                <c:pt idx="32">
                  <c:v>1.38149218164896</c:v>
                </c:pt>
                <c:pt idx="33">
                  <c:v>1.3838633781363601</c:v>
                </c:pt>
                <c:pt idx="34">
                  <c:v>1.38434978884221</c:v>
                </c:pt>
                <c:pt idx="35">
                  <c:v>1.3838550799101701</c:v>
                </c:pt>
                <c:pt idx="36">
                  <c:v>1.3833655581972899</c:v>
                </c:pt>
                <c:pt idx="37">
                  <c:v>1.3823705719421999</c:v>
                </c:pt>
                <c:pt idx="38">
                  <c:v>1.3824702174588499</c:v>
                </c:pt>
                <c:pt idx="39">
                  <c:v>1.38207591957822</c:v>
                </c:pt>
                <c:pt idx="40">
                  <c:v>1.3825716842231399</c:v>
                </c:pt>
                <c:pt idx="41">
                  <c:v>1.38290576451172</c:v>
                </c:pt>
                <c:pt idx="42">
                  <c:v>1.3815138985640401</c:v>
                </c:pt>
                <c:pt idx="43">
                  <c:v>1.3786509793054</c:v>
                </c:pt>
                <c:pt idx="44">
                  <c:v>1.37631673430254</c:v>
                </c:pt>
                <c:pt idx="45">
                  <c:v>1.3747766181771499</c:v>
                </c:pt>
                <c:pt idx="46">
                  <c:v>1.37374098913151</c:v>
                </c:pt>
                <c:pt idx="47">
                  <c:v>1.3722496023530899</c:v>
                </c:pt>
                <c:pt idx="48">
                  <c:v>1.37091173042363</c:v>
                </c:pt>
                <c:pt idx="49">
                  <c:v>1.36815398731525</c:v>
                </c:pt>
                <c:pt idx="50">
                  <c:v>1.36564346671458</c:v>
                </c:pt>
                <c:pt idx="51">
                  <c:v>1.3636896196828501</c:v>
                </c:pt>
                <c:pt idx="52">
                  <c:v>1.3618586222492799</c:v>
                </c:pt>
                <c:pt idx="53">
                  <c:v>1.3591602519722199</c:v>
                </c:pt>
                <c:pt idx="54">
                  <c:v>1.35704754753676</c:v>
                </c:pt>
                <c:pt idx="55">
                  <c:v>1.3563848052076299</c:v>
                </c:pt>
                <c:pt idx="56">
                  <c:v>1.35493553263511</c:v>
                </c:pt>
                <c:pt idx="57">
                  <c:v>1.3535289736676599</c:v>
                </c:pt>
                <c:pt idx="58">
                  <c:v>1.3517528764170199</c:v>
                </c:pt>
                <c:pt idx="59">
                  <c:v>1.35117131991165</c:v>
                </c:pt>
                <c:pt idx="60">
                  <c:v>1.34840137660703</c:v>
                </c:pt>
                <c:pt idx="61">
                  <c:v>1.3461632193430899</c:v>
                </c:pt>
                <c:pt idx="62">
                  <c:v>1.3437871417461</c:v>
                </c:pt>
                <c:pt idx="63">
                  <c:v>1.34176222189036</c:v>
                </c:pt>
                <c:pt idx="64">
                  <c:v>1.3397749817501099</c:v>
                </c:pt>
                <c:pt idx="65">
                  <c:v>1.33795215286698</c:v>
                </c:pt>
                <c:pt idx="66">
                  <c:v>1.3356516436461201</c:v>
                </c:pt>
                <c:pt idx="67">
                  <c:v>1.33329319805088</c:v>
                </c:pt>
                <c:pt idx="68">
                  <c:v>1.3305653673292901</c:v>
                </c:pt>
                <c:pt idx="69">
                  <c:v>1.32790536901995</c:v>
                </c:pt>
                <c:pt idx="70">
                  <c:v>1.3250900619975401</c:v>
                </c:pt>
                <c:pt idx="71">
                  <c:v>1.32174374050701</c:v>
                </c:pt>
                <c:pt idx="72">
                  <c:v>1.3182219132823201</c:v>
                </c:pt>
                <c:pt idx="73">
                  <c:v>1.31481950976526</c:v>
                </c:pt>
                <c:pt idx="74">
                  <c:v>1.31176291990618</c:v>
                </c:pt>
                <c:pt idx="75">
                  <c:v>1.30764512131995</c:v>
                </c:pt>
                <c:pt idx="76">
                  <c:v>1.3045378374777501</c:v>
                </c:pt>
                <c:pt idx="77">
                  <c:v>1.3015399349268999</c:v>
                </c:pt>
                <c:pt idx="78">
                  <c:v>1.2979955395063301</c:v>
                </c:pt>
                <c:pt idx="79">
                  <c:v>1.2938326586603399</c:v>
                </c:pt>
                <c:pt idx="80">
                  <c:v>1.2918867094707001</c:v>
                </c:pt>
                <c:pt idx="81">
                  <c:v>1.2899377252831701</c:v>
                </c:pt>
                <c:pt idx="82">
                  <c:v>1.2883742478150699</c:v>
                </c:pt>
                <c:pt idx="83">
                  <c:v>1.28656498862043</c:v>
                </c:pt>
                <c:pt idx="84">
                  <c:v>1.28483834707088</c:v>
                </c:pt>
                <c:pt idx="85">
                  <c:v>1.28220999767897</c:v>
                </c:pt>
                <c:pt idx="86">
                  <c:v>1.2805404319929099</c:v>
                </c:pt>
                <c:pt idx="87">
                  <c:v>1.27819253510293</c:v>
                </c:pt>
                <c:pt idx="88">
                  <c:v>1.27607352413067</c:v>
                </c:pt>
                <c:pt idx="89">
                  <c:v>1.2751393838343701</c:v>
                </c:pt>
                <c:pt idx="90">
                  <c:v>1.2741949104758601</c:v>
                </c:pt>
                <c:pt idx="91">
                  <c:v>1.27345115545959</c:v>
                </c:pt>
                <c:pt idx="92">
                  <c:v>1.2735797800251401</c:v>
                </c:pt>
                <c:pt idx="93">
                  <c:v>1.27404140388209</c:v>
                </c:pt>
                <c:pt idx="94">
                  <c:v>1.2750061993461901</c:v>
                </c:pt>
                <c:pt idx="95">
                  <c:v>1.27525714210984</c:v>
                </c:pt>
                <c:pt idx="96">
                  <c:v>1.2751482975877599</c:v>
                </c:pt>
                <c:pt idx="97">
                  <c:v>1.27555603435709</c:v>
                </c:pt>
                <c:pt idx="98">
                  <c:v>1.2755583448394701</c:v>
                </c:pt>
                <c:pt idx="99">
                  <c:v>1.2747627614528101</c:v>
                </c:pt>
                <c:pt idx="100">
                  <c:v>1.2739404430819601</c:v>
                </c:pt>
                <c:pt idx="101">
                  <c:v>1.2726986617346501</c:v>
                </c:pt>
                <c:pt idx="102">
                  <c:v>1.2719487156920199</c:v>
                </c:pt>
                <c:pt idx="103">
                  <c:v>1.27250688831907</c:v>
                </c:pt>
                <c:pt idx="104">
                  <c:v>1.2733548547879801</c:v>
                </c:pt>
                <c:pt idx="105">
                  <c:v>1.27445655098208</c:v>
                </c:pt>
                <c:pt idx="106">
                  <c:v>1.2762792112513199</c:v>
                </c:pt>
                <c:pt idx="107">
                  <c:v>1.27818779003869</c:v>
                </c:pt>
                <c:pt idx="108">
                  <c:v>1.2795622675064999</c:v>
                </c:pt>
                <c:pt idx="109">
                  <c:v>1.2801011176639301</c:v>
                </c:pt>
                <c:pt idx="110">
                  <c:v>1.2807762941721501</c:v>
                </c:pt>
                <c:pt idx="111">
                  <c:v>1.28102921074712</c:v>
                </c:pt>
                <c:pt idx="112">
                  <c:v>1.2803147682404099</c:v>
                </c:pt>
                <c:pt idx="113">
                  <c:v>1.2794117125997799</c:v>
                </c:pt>
                <c:pt idx="114">
                  <c:v>1.2768768475088801</c:v>
                </c:pt>
                <c:pt idx="115">
                  <c:v>1.2748315217766799</c:v>
                </c:pt>
                <c:pt idx="116">
                  <c:v>1.27184444523627</c:v>
                </c:pt>
                <c:pt idx="117">
                  <c:v>1.26830620152024</c:v>
                </c:pt>
                <c:pt idx="118">
                  <c:v>1.2654088547012099</c:v>
                </c:pt>
                <c:pt idx="119">
                  <c:v>1.26281412577956</c:v>
                </c:pt>
                <c:pt idx="120">
                  <c:v>1.2597768396132301</c:v>
                </c:pt>
                <c:pt idx="121">
                  <c:v>1.2567374275435601</c:v>
                </c:pt>
                <c:pt idx="122">
                  <c:v>1.2534515663158201</c:v>
                </c:pt>
                <c:pt idx="123">
                  <c:v>1.24988487072702</c:v>
                </c:pt>
                <c:pt idx="124">
                  <c:v>1.24635836775703</c:v>
                </c:pt>
                <c:pt idx="125">
                  <c:v>1.24284082151797</c:v>
                </c:pt>
                <c:pt idx="126">
                  <c:v>1.23787047885567</c:v>
                </c:pt>
                <c:pt idx="127">
                  <c:v>1.23312374285238</c:v>
                </c:pt>
                <c:pt idx="128">
                  <c:v>1.2287315771352201</c:v>
                </c:pt>
                <c:pt idx="129">
                  <c:v>1.22472758597138</c:v>
                </c:pt>
                <c:pt idx="130">
                  <c:v>1.22151938906254</c:v>
                </c:pt>
                <c:pt idx="131">
                  <c:v>1.2184254400835299</c:v>
                </c:pt>
                <c:pt idx="132">
                  <c:v>1.2160929396921301</c:v>
                </c:pt>
                <c:pt idx="133">
                  <c:v>1.2150949740422701</c:v>
                </c:pt>
                <c:pt idx="134">
                  <c:v>1.21438758929693</c:v>
                </c:pt>
                <c:pt idx="135">
                  <c:v>1.2144800551352299</c:v>
                </c:pt>
                <c:pt idx="136">
                  <c:v>1.21507080780537</c:v>
                </c:pt>
                <c:pt idx="137">
                  <c:v>1.21597701154713</c:v>
                </c:pt>
                <c:pt idx="138">
                  <c:v>1.2174203500758001</c:v>
                </c:pt>
                <c:pt idx="139">
                  <c:v>1.2193524679779799</c:v>
                </c:pt>
                <c:pt idx="140">
                  <c:v>1.2215922807790001</c:v>
                </c:pt>
                <c:pt idx="141">
                  <c:v>1.22524970952259</c:v>
                </c:pt>
                <c:pt idx="142">
                  <c:v>1.2288894054522801</c:v>
                </c:pt>
                <c:pt idx="143">
                  <c:v>1.2308772176393601</c:v>
                </c:pt>
                <c:pt idx="144">
                  <c:v>1.2332967367616701</c:v>
                </c:pt>
                <c:pt idx="145">
                  <c:v>1.2356714143488201</c:v>
                </c:pt>
                <c:pt idx="146">
                  <c:v>1.23778625634886</c:v>
                </c:pt>
                <c:pt idx="147">
                  <c:v>1.2402238178354099</c:v>
                </c:pt>
                <c:pt idx="148">
                  <c:v>1.2426115669069699</c:v>
                </c:pt>
                <c:pt idx="149">
                  <c:v>1.24504366211485</c:v>
                </c:pt>
                <c:pt idx="150">
                  <c:v>1.24731778425836</c:v>
                </c:pt>
                <c:pt idx="151">
                  <c:v>1.24981354574182</c:v>
                </c:pt>
                <c:pt idx="152">
                  <c:v>1.2519989303146399</c:v>
                </c:pt>
                <c:pt idx="153">
                  <c:v>1.2530733492567701</c:v>
                </c:pt>
                <c:pt idx="154">
                  <c:v>1.2545424705052901</c:v>
                </c:pt>
                <c:pt idx="155">
                  <c:v>1.25604205428745</c:v>
                </c:pt>
                <c:pt idx="156">
                  <c:v>1.2583454785716099</c:v>
                </c:pt>
                <c:pt idx="157">
                  <c:v>1.26085793109703</c:v>
                </c:pt>
                <c:pt idx="158">
                  <c:v>1.26330874120103</c:v>
                </c:pt>
                <c:pt idx="159">
                  <c:v>1.26522554754423</c:v>
                </c:pt>
                <c:pt idx="160">
                  <c:v>1.2674234699650899</c:v>
                </c:pt>
                <c:pt idx="161">
                  <c:v>1.26780933059143</c:v>
                </c:pt>
                <c:pt idx="162">
                  <c:v>1.2679861968119499</c:v>
                </c:pt>
                <c:pt idx="163">
                  <c:v>1.26911774033499</c:v>
                </c:pt>
                <c:pt idx="164">
                  <c:v>1.2700571115608399</c:v>
                </c:pt>
                <c:pt idx="165">
                  <c:v>1.2712785660550301</c:v>
                </c:pt>
                <c:pt idx="166">
                  <c:v>1.2731902077911299</c:v>
                </c:pt>
                <c:pt idx="167">
                  <c:v>1.27515748760887</c:v>
                </c:pt>
                <c:pt idx="168">
                  <c:v>1.27774293351899</c:v>
                </c:pt>
                <c:pt idx="169">
                  <c:v>1.2796107009447699</c:v>
                </c:pt>
                <c:pt idx="170">
                  <c:v>1.2803436518290701</c:v>
                </c:pt>
                <c:pt idx="171">
                  <c:v>1.2816282111295001</c:v>
                </c:pt>
                <c:pt idx="172">
                  <c:v>1.2832722628414801</c:v>
                </c:pt>
                <c:pt idx="173">
                  <c:v>1.28481741479361</c:v>
                </c:pt>
                <c:pt idx="174">
                  <c:v>1.28675291367025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3DF-475E-AC8F-A5CFEFB966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993888"/>
        <c:axId val="254732912"/>
      </c:lineChart>
      <c:catAx>
        <c:axId val="168699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732912"/>
        <c:crosses val="autoZero"/>
        <c:auto val="1"/>
        <c:lblAlgn val="ctr"/>
        <c:lblOffset val="100"/>
        <c:noMultiLvlLbl val="0"/>
      </c:catAx>
      <c:valAx>
        <c:axId val="25473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9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Sheet1!$AE$1</c:f>
              <c:strCache>
                <c:ptCount val="1"/>
                <c:pt idx="0">
                  <c:v>log diff XBI* x avg / IBB*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Sheet1!$AE$2:$AE$176</c:f>
              <c:numCache>
                <c:formatCode>0.0000%</c:formatCode>
                <c:ptCount val="175"/>
                <c:pt idx="1">
                  <c:v>-6.7173220555874602E-2</c:v>
                </c:pt>
                <c:pt idx="2">
                  <c:v>-7.4194115466881094E-2</c:v>
                </c:pt>
                <c:pt idx="3">
                  <c:v>-7.0877442636952004E-2</c:v>
                </c:pt>
                <c:pt idx="4">
                  <c:v>-6.6951358357187199E-2</c:v>
                </c:pt>
                <c:pt idx="5">
                  <c:v>-6.1340147873024803E-2</c:v>
                </c:pt>
                <c:pt idx="6">
                  <c:v>-6.0169627957796401E-2</c:v>
                </c:pt>
                <c:pt idx="7">
                  <c:v>-6.0348508682701599E-2</c:v>
                </c:pt>
                <c:pt idx="8">
                  <c:v>-4.54262060114159E-2</c:v>
                </c:pt>
                <c:pt idx="9">
                  <c:v>-5.1873482598965903E-2</c:v>
                </c:pt>
                <c:pt idx="10">
                  <c:v>-4.9717501180763901E-2</c:v>
                </c:pt>
                <c:pt idx="11">
                  <c:v>-4.5280249166881802E-2</c:v>
                </c:pt>
                <c:pt idx="12">
                  <c:v>-4.8150827728016599E-2</c:v>
                </c:pt>
                <c:pt idx="13">
                  <c:v>-3.6106512917054502E-2</c:v>
                </c:pt>
                <c:pt idx="14">
                  <c:v>-5.0213709251274698E-2</c:v>
                </c:pt>
                <c:pt idx="15">
                  <c:v>-5.4581955452310503E-2</c:v>
                </c:pt>
                <c:pt idx="16">
                  <c:v>-5.5308772914599E-2</c:v>
                </c:pt>
                <c:pt idx="17">
                  <c:v>-5.9308606956385998E-2</c:v>
                </c:pt>
                <c:pt idx="18">
                  <c:v>-5.4239817616162297E-2</c:v>
                </c:pt>
                <c:pt idx="19">
                  <c:v>-5.9566134251312103E-2</c:v>
                </c:pt>
                <c:pt idx="20">
                  <c:v>-4.8806883845903398E-2</c:v>
                </c:pt>
                <c:pt idx="21">
                  <c:v>-4.4499581014698801E-2</c:v>
                </c:pt>
                <c:pt idx="22">
                  <c:v>-6.4598075870886507E-2</c:v>
                </c:pt>
                <c:pt idx="23">
                  <c:v>-7.8446400901895794E-2</c:v>
                </c:pt>
                <c:pt idx="24">
                  <c:v>-6.8172756876663507E-2</c:v>
                </c:pt>
                <c:pt idx="25">
                  <c:v>-5.9911448232519197E-2</c:v>
                </c:pt>
                <c:pt idx="26">
                  <c:v>-5.2699720267572601E-2</c:v>
                </c:pt>
                <c:pt idx="27">
                  <c:v>-6.19326870539657E-2</c:v>
                </c:pt>
                <c:pt idx="28">
                  <c:v>-6.1795885775097599E-2</c:v>
                </c:pt>
                <c:pt idx="29">
                  <c:v>-7.5238252606532899E-2</c:v>
                </c:pt>
                <c:pt idx="30">
                  <c:v>-6.9707399170492901E-2</c:v>
                </c:pt>
                <c:pt idx="31">
                  <c:v>-6.6197861920036599E-2</c:v>
                </c:pt>
                <c:pt idx="32">
                  <c:v>-5.8706155778273102E-2</c:v>
                </c:pt>
                <c:pt idx="33">
                  <c:v>-7.0628495569628302E-2</c:v>
                </c:pt>
                <c:pt idx="34">
                  <c:v>-5.7292913081006099E-2</c:v>
                </c:pt>
                <c:pt idx="35">
                  <c:v>-4.7361926470562497E-2</c:v>
                </c:pt>
                <c:pt idx="36">
                  <c:v>-4.8169928973134699E-2</c:v>
                </c:pt>
                <c:pt idx="37">
                  <c:v>-4.4803108159231698E-2</c:v>
                </c:pt>
                <c:pt idx="38">
                  <c:v>-5.5688302950432998E-2</c:v>
                </c:pt>
                <c:pt idx="39">
                  <c:v>-5.3844448252666099E-2</c:v>
                </c:pt>
                <c:pt idx="40">
                  <c:v>-5.6031855204683997E-2</c:v>
                </c:pt>
                <c:pt idx="41">
                  <c:v>-4.9394983882579298E-2</c:v>
                </c:pt>
                <c:pt idx="42">
                  <c:v>-4.4355866505726198E-2</c:v>
                </c:pt>
                <c:pt idx="43">
                  <c:v>-3.6946442344697197E-2</c:v>
                </c:pt>
                <c:pt idx="44">
                  <c:v>-3.4113016152332899E-2</c:v>
                </c:pt>
                <c:pt idx="45">
                  <c:v>-3.7382331104989897E-2</c:v>
                </c:pt>
                <c:pt idx="46">
                  <c:v>-3.7496303985772701E-2</c:v>
                </c:pt>
                <c:pt idx="47">
                  <c:v>-4.0168741083725902E-2</c:v>
                </c:pt>
                <c:pt idx="48">
                  <c:v>-4.2291497457032902E-2</c:v>
                </c:pt>
                <c:pt idx="49">
                  <c:v>-3.5162800815788403E-2</c:v>
                </c:pt>
                <c:pt idx="50">
                  <c:v>-3.3813561551186901E-2</c:v>
                </c:pt>
                <c:pt idx="51">
                  <c:v>-3.8454866155554601E-2</c:v>
                </c:pt>
                <c:pt idx="52">
                  <c:v>-3.2572021228303702E-2</c:v>
                </c:pt>
                <c:pt idx="53">
                  <c:v>-3.2001578281581199E-2</c:v>
                </c:pt>
                <c:pt idx="54">
                  <c:v>-2.61740613984974E-2</c:v>
                </c:pt>
                <c:pt idx="55">
                  <c:v>-3.7607108685064602E-2</c:v>
                </c:pt>
                <c:pt idx="56">
                  <c:v>-2.67309448282586E-2</c:v>
                </c:pt>
                <c:pt idx="57">
                  <c:v>-2.3931714508841399E-2</c:v>
                </c:pt>
                <c:pt idx="58">
                  <c:v>-2.9550323518933601E-2</c:v>
                </c:pt>
                <c:pt idx="59">
                  <c:v>-4.5345233350741497E-2</c:v>
                </c:pt>
                <c:pt idx="60">
                  <c:v>-1.4978597647790999E-2</c:v>
                </c:pt>
                <c:pt idx="61">
                  <c:v>-1.6131428853047601E-2</c:v>
                </c:pt>
                <c:pt idx="62">
                  <c:v>-8.8240952825966792E-3</c:v>
                </c:pt>
                <c:pt idx="63">
                  <c:v>-6.5179896897489603E-3</c:v>
                </c:pt>
                <c:pt idx="64">
                  <c:v>-4.1733245649423203E-3</c:v>
                </c:pt>
                <c:pt idx="65">
                  <c:v>-1.0044711789355501E-2</c:v>
                </c:pt>
                <c:pt idx="66">
                  <c:v>-2.8734332197457501E-3</c:v>
                </c:pt>
                <c:pt idx="67">
                  <c:v>-4.7547294637482404E-3</c:v>
                </c:pt>
                <c:pt idx="68">
                  <c:v>-1.30439142585302E-3</c:v>
                </c:pt>
                <c:pt idx="69">
                  <c:v>5.0760691251381298E-3</c:v>
                </c:pt>
                <c:pt idx="70">
                  <c:v>9.6445600413279202E-3</c:v>
                </c:pt>
                <c:pt idx="71">
                  <c:v>1.30451652317609E-2</c:v>
                </c:pt>
                <c:pt idx="72">
                  <c:v>2.1983516577886698E-2</c:v>
                </c:pt>
                <c:pt idx="73">
                  <c:v>2.07248470585569E-2</c:v>
                </c:pt>
                <c:pt idx="74">
                  <c:v>2.06340907692588E-2</c:v>
                </c:pt>
                <c:pt idx="75">
                  <c:v>2.5232504092568601E-2</c:v>
                </c:pt>
                <c:pt idx="76">
                  <c:v>2.0845156542824199E-2</c:v>
                </c:pt>
                <c:pt idx="77">
                  <c:v>2.2062185237810901E-2</c:v>
                </c:pt>
                <c:pt idx="78">
                  <c:v>2.4746271897436001E-2</c:v>
                </c:pt>
                <c:pt idx="79">
                  <c:v>1.7699053092477102E-2</c:v>
                </c:pt>
                <c:pt idx="80">
                  <c:v>1.49045417802212E-2</c:v>
                </c:pt>
                <c:pt idx="81">
                  <c:v>1.3764016753948701E-2</c:v>
                </c:pt>
                <c:pt idx="82">
                  <c:v>1.52642267702387E-2</c:v>
                </c:pt>
                <c:pt idx="83">
                  <c:v>2.1475795077422501E-2</c:v>
                </c:pt>
                <c:pt idx="84">
                  <c:v>2.25884549016932E-2</c:v>
                </c:pt>
                <c:pt idx="85">
                  <c:v>3.07377464926856E-2</c:v>
                </c:pt>
                <c:pt idx="86">
                  <c:v>2.3026250810207999E-2</c:v>
                </c:pt>
                <c:pt idx="87">
                  <c:v>3.1792374264181501E-2</c:v>
                </c:pt>
                <c:pt idx="88">
                  <c:v>3.1736260867944698E-2</c:v>
                </c:pt>
                <c:pt idx="89">
                  <c:v>1.9600317393915798E-2</c:v>
                </c:pt>
                <c:pt idx="90">
                  <c:v>2.4398400165455299E-2</c:v>
                </c:pt>
                <c:pt idx="91">
                  <c:v>2.46850163699576E-2</c:v>
                </c:pt>
                <c:pt idx="92">
                  <c:v>1.99662648704623E-2</c:v>
                </c:pt>
                <c:pt idx="93">
                  <c:v>1.3512960036965E-2</c:v>
                </c:pt>
                <c:pt idx="94">
                  <c:v>5.6213688450202099E-3</c:v>
                </c:pt>
                <c:pt idx="95">
                  <c:v>2.1287902568677401E-2</c:v>
                </c:pt>
                <c:pt idx="96">
                  <c:v>2.2553429919331701E-2</c:v>
                </c:pt>
                <c:pt idx="97">
                  <c:v>1.5680991467994398E-2</c:v>
                </c:pt>
                <c:pt idx="98">
                  <c:v>2.4709899753718598E-2</c:v>
                </c:pt>
                <c:pt idx="99">
                  <c:v>3.02135653989032E-2</c:v>
                </c:pt>
                <c:pt idx="100">
                  <c:v>2.7805988693860001E-2</c:v>
                </c:pt>
                <c:pt idx="101">
                  <c:v>3.32886350638531E-2</c:v>
                </c:pt>
                <c:pt idx="102">
                  <c:v>2.70277677234015E-2</c:v>
                </c:pt>
                <c:pt idx="103">
                  <c:v>1.2755576482748599E-2</c:v>
                </c:pt>
                <c:pt idx="104">
                  <c:v>9.3560392361410998E-3</c:v>
                </c:pt>
                <c:pt idx="105">
                  <c:v>1.34405153910795E-2</c:v>
                </c:pt>
                <c:pt idx="106">
                  <c:v>-5.2151279677282404E-3</c:v>
                </c:pt>
                <c:pt idx="107">
                  <c:v>1.98284123071294E-3</c:v>
                </c:pt>
                <c:pt idx="108">
                  <c:v>1.0180748766817E-2</c:v>
                </c:pt>
                <c:pt idx="109">
                  <c:v>1.1196412552777601E-2</c:v>
                </c:pt>
                <c:pt idx="110">
                  <c:v>1.3829171869739001E-2</c:v>
                </c:pt>
                <c:pt idx="111">
                  <c:v>2.0711621506189201E-2</c:v>
                </c:pt>
                <c:pt idx="112">
                  <c:v>3.1084797831446999E-2</c:v>
                </c:pt>
                <c:pt idx="113">
                  <c:v>2.7531604960150901E-2</c:v>
                </c:pt>
                <c:pt idx="114">
                  <c:v>4.5420465673821998E-2</c:v>
                </c:pt>
                <c:pt idx="115">
                  <c:v>5.3764492041807797E-2</c:v>
                </c:pt>
                <c:pt idx="116">
                  <c:v>7.0611013111357895E-2</c:v>
                </c:pt>
                <c:pt idx="117">
                  <c:v>7.2461095230751504E-2</c:v>
                </c:pt>
                <c:pt idx="118">
                  <c:v>7.13926482885055E-2</c:v>
                </c:pt>
                <c:pt idx="119">
                  <c:v>7.2152326960583393E-2</c:v>
                </c:pt>
                <c:pt idx="120">
                  <c:v>7.6955317801967404E-2</c:v>
                </c:pt>
                <c:pt idx="121">
                  <c:v>8.2750426465958093E-2</c:v>
                </c:pt>
                <c:pt idx="122">
                  <c:v>8.0265976659815996E-2</c:v>
                </c:pt>
                <c:pt idx="123">
                  <c:v>6.9833484155706102E-2</c:v>
                </c:pt>
                <c:pt idx="124">
                  <c:v>6.5575304052579497E-2</c:v>
                </c:pt>
                <c:pt idx="125">
                  <c:v>6.9748992146233493E-2</c:v>
                </c:pt>
                <c:pt idx="126">
                  <c:v>7.3758945985113206E-2</c:v>
                </c:pt>
                <c:pt idx="127">
                  <c:v>7.7831772652622103E-2</c:v>
                </c:pt>
                <c:pt idx="128">
                  <c:v>8.0757647788437401E-2</c:v>
                </c:pt>
                <c:pt idx="129">
                  <c:v>7.5398528587097696E-2</c:v>
                </c:pt>
                <c:pt idx="130">
                  <c:v>6.5076909158257507E-2</c:v>
                </c:pt>
                <c:pt idx="131">
                  <c:v>7.0438167410341104E-2</c:v>
                </c:pt>
                <c:pt idx="132">
                  <c:v>6.8881140493011098E-2</c:v>
                </c:pt>
                <c:pt idx="133">
                  <c:v>4.3552215396657802E-2</c:v>
                </c:pt>
                <c:pt idx="134">
                  <c:v>5.69928628255926E-2</c:v>
                </c:pt>
                <c:pt idx="135">
                  <c:v>5.2403810929351098E-2</c:v>
                </c:pt>
                <c:pt idx="136">
                  <c:v>6.0921701445081598E-2</c:v>
                </c:pt>
                <c:pt idx="137">
                  <c:v>5.7608814598164998E-2</c:v>
                </c:pt>
                <c:pt idx="138">
                  <c:v>4.78648338457828E-2</c:v>
                </c:pt>
                <c:pt idx="139">
                  <c:v>4.0757306578069703E-2</c:v>
                </c:pt>
                <c:pt idx="140">
                  <c:v>4.0478657021172197E-2</c:v>
                </c:pt>
                <c:pt idx="141">
                  <c:v>2.35238630176615E-2</c:v>
                </c:pt>
                <c:pt idx="142">
                  <c:v>2.1460323393886802E-2</c:v>
                </c:pt>
                <c:pt idx="143">
                  <c:v>3.76215281338554E-2</c:v>
                </c:pt>
                <c:pt idx="144">
                  <c:v>2.66655509238206E-2</c:v>
                </c:pt>
                <c:pt idx="145">
                  <c:v>3.13900123138212E-2</c:v>
                </c:pt>
                <c:pt idx="146">
                  <c:v>3.93909891184328E-2</c:v>
                </c:pt>
                <c:pt idx="147">
                  <c:v>3.8163604413484299E-2</c:v>
                </c:pt>
                <c:pt idx="148">
                  <c:v>4.1772848058635799E-2</c:v>
                </c:pt>
                <c:pt idx="149">
                  <c:v>3.5911898155084103E-2</c:v>
                </c:pt>
                <c:pt idx="150">
                  <c:v>2.84810150017424E-2</c:v>
                </c:pt>
                <c:pt idx="151">
                  <c:v>3.0134940203415499E-2</c:v>
                </c:pt>
                <c:pt idx="152">
                  <c:v>3.35566152018947E-2</c:v>
                </c:pt>
                <c:pt idx="153">
                  <c:v>2.6463904189352599E-2</c:v>
                </c:pt>
                <c:pt idx="154">
                  <c:v>3.3388053891078601E-2</c:v>
                </c:pt>
                <c:pt idx="155">
                  <c:v>2.84243777512748E-2</c:v>
                </c:pt>
                <c:pt idx="156">
                  <c:v>2.4013765422431398E-2</c:v>
                </c:pt>
                <c:pt idx="157">
                  <c:v>1.7548351948717001E-2</c:v>
                </c:pt>
                <c:pt idx="158">
                  <c:v>9.1401425109212502E-3</c:v>
                </c:pt>
                <c:pt idx="159">
                  <c:v>1.0555622632566999E-2</c:v>
                </c:pt>
                <c:pt idx="160">
                  <c:v>5.9328095649272203E-3</c:v>
                </c:pt>
                <c:pt idx="161">
                  <c:v>1.7475197061308099E-2</c:v>
                </c:pt>
                <c:pt idx="162">
                  <c:v>1.86889819752298E-2</c:v>
                </c:pt>
                <c:pt idx="163">
                  <c:v>1.97382162254593E-2</c:v>
                </c:pt>
                <c:pt idx="164">
                  <c:v>1.1957766669476001E-2</c:v>
                </c:pt>
                <c:pt idx="165">
                  <c:v>1.22180320963182E-2</c:v>
                </c:pt>
                <c:pt idx="166">
                  <c:v>9.3099817279594897E-3</c:v>
                </c:pt>
                <c:pt idx="167">
                  <c:v>7.2578772002601898E-3</c:v>
                </c:pt>
                <c:pt idx="168">
                  <c:v>1.20653866756505E-3</c:v>
                </c:pt>
                <c:pt idx="169">
                  <c:v>6.61186278182591E-3</c:v>
                </c:pt>
                <c:pt idx="170">
                  <c:v>1.6965904443066698E-2</c:v>
                </c:pt>
                <c:pt idx="171">
                  <c:v>1.0007405146923099E-2</c:v>
                </c:pt>
                <c:pt idx="172">
                  <c:v>7.7811332384561897E-3</c:v>
                </c:pt>
                <c:pt idx="173">
                  <c:v>2.3896335458081699E-3</c:v>
                </c:pt>
                <c:pt idx="174">
                  <c:v>3.11681203535268E-3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5F-4297-BAAD-453A1EFCF825}"/>
            </c:ext>
          </c:extLst>
        </c:ser>
        <c:ser>
          <c:idx val="1"/>
          <c:order val="1"/>
          <c:tx>
            <c:strRef>
              <c:f>Sheet1!$AF$1</c:f>
              <c:strCache>
                <c:ptCount val="1"/>
                <c:pt idx="0">
                  <c:v>log diff XBI* x 10 dma / IBB*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Sheet1!$AF$2:$AF$176</c:f>
              <c:numCache>
                <c:formatCode>0.0000%</c:formatCode>
                <c:ptCount val="175"/>
                <c:pt idx="10">
                  <c:v>1.2722217710910699E-2</c:v>
                </c:pt>
                <c:pt idx="11">
                  <c:v>1.5566839829653E-2</c:v>
                </c:pt>
                <c:pt idx="12">
                  <c:v>1.05146345865944E-2</c:v>
                </c:pt>
                <c:pt idx="13">
                  <c:v>1.9944595123128701E-2</c:v>
                </c:pt>
                <c:pt idx="14">
                  <c:v>2.3629892818810899E-3</c:v>
                </c:pt>
                <c:pt idx="15">
                  <c:v>-3.6905433862237302E-3</c:v>
                </c:pt>
                <c:pt idx="16">
                  <c:v>-5.0982078365435501E-3</c:v>
                </c:pt>
                <c:pt idx="17">
                  <c:v>-9.5879212070025793E-3</c:v>
                </c:pt>
                <c:pt idx="18">
                  <c:v>-4.6241840115225996E-3</c:v>
                </c:pt>
                <c:pt idx="19">
                  <c:v>-9.0693333653211593E-3</c:v>
                </c:pt>
                <c:pt idx="20">
                  <c:v>2.4629136619045799E-3</c:v>
                </c:pt>
                <c:pt idx="21">
                  <c:v>6.6793332593297998E-3</c:v>
                </c:pt>
                <c:pt idx="22">
                  <c:v>-1.3496742001789901E-2</c:v>
                </c:pt>
                <c:pt idx="23">
                  <c:v>-2.5692993273298499E-2</c:v>
                </c:pt>
                <c:pt idx="24">
                  <c:v>-1.1174869401263301E-2</c:v>
                </c:pt>
                <c:pt idx="25">
                  <c:v>-1.1153026801074199E-3</c:v>
                </c:pt>
                <c:pt idx="26">
                  <c:v>6.6284085289451296E-3</c:v>
                </c:pt>
                <c:pt idx="27">
                  <c:v>-2.86411193896528E-3</c:v>
                </c:pt>
                <c:pt idx="28">
                  <c:v>-2.46452951260558E-3</c:v>
                </c:pt>
                <c:pt idx="29">
                  <c:v>-1.51525641545189E-2</c:v>
                </c:pt>
                <c:pt idx="30">
                  <c:v>-8.0442190577313197E-3</c:v>
                </c:pt>
                <c:pt idx="31">
                  <c:v>-2.4517857590393502E-3</c:v>
                </c:pt>
                <c:pt idx="32">
                  <c:v>7.18933451080115E-3</c:v>
                </c:pt>
                <c:pt idx="33">
                  <c:v>-5.31987544779594E-3</c:v>
                </c:pt>
                <c:pt idx="34">
                  <c:v>7.2263546353827602E-3</c:v>
                </c:pt>
                <c:pt idx="35">
                  <c:v>1.6070703208313799E-2</c:v>
                </c:pt>
                <c:pt idx="36">
                  <c:v>1.40192009716197E-2</c:v>
                </c:pt>
                <c:pt idx="37">
                  <c:v>1.69382353165341E-2</c:v>
                </c:pt>
                <c:pt idx="38">
                  <c:v>4.3529009250062797E-3</c:v>
                </c:pt>
                <c:pt idx="39">
                  <c:v>5.5866032138586798E-3</c:v>
                </c:pt>
                <c:pt idx="40">
                  <c:v>1.2464985695529499E-3</c:v>
                </c:pt>
                <c:pt idx="41">
                  <c:v>6.5071904910581502E-3</c:v>
                </c:pt>
                <c:pt idx="42">
                  <c:v>9.8613956928426602E-3</c:v>
                </c:pt>
                <c:pt idx="43">
                  <c:v>1.5838603188657999E-2</c:v>
                </c:pt>
                <c:pt idx="44">
                  <c:v>1.52945894862639E-2</c:v>
                </c:pt>
                <c:pt idx="45">
                  <c:v>9.7131336315680796E-3</c:v>
                </c:pt>
                <c:pt idx="46">
                  <c:v>8.60540606533069E-3</c:v>
                </c:pt>
                <c:pt idx="47">
                  <c:v>4.8685181704022397E-3</c:v>
                </c:pt>
                <c:pt idx="48">
                  <c:v>2.2833986775993402E-3</c:v>
                </c:pt>
                <c:pt idx="49">
                  <c:v>8.0655707784709103E-3</c:v>
                </c:pt>
                <c:pt idx="50">
                  <c:v>7.5424824839509397E-3</c:v>
                </c:pt>
                <c:pt idx="51">
                  <c:v>6.6887424493216696E-4</c:v>
                </c:pt>
                <c:pt idx="52">
                  <c:v>5.4518320814230404E-3</c:v>
                </c:pt>
                <c:pt idx="53">
                  <c:v>4.8426695083597197E-3</c:v>
                </c:pt>
                <c:pt idx="54">
                  <c:v>1.01767484243298E-2</c:v>
                </c:pt>
                <c:pt idx="55">
                  <c:v>-2.0455951604615602E-3</c:v>
                </c:pt>
                <c:pt idx="56">
                  <c:v>8.8530896969747294E-3</c:v>
                </c:pt>
                <c:pt idx="57">
                  <c:v>1.0578932591833999E-2</c:v>
                </c:pt>
                <c:pt idx="58">
                  <c:v>3.3392800288693401E-3</c:v>
                </c:pt>
                <c:pt idx="59">
                  <c:v>-1.3734441272723601E-2</c:v>
                </c:pt>
                <c:pt idx="60">
                  <c:v>1.76587540775727E-2</c:v>
                </c:pt>
                <c:pt idx="61">
                  <c:v>1.4636110478762799E-2</c:v>
                </c:pt>
                <c:pt idx="62">
                  <c:v>1.9716318501715301E-2</c:v>
                </c:pt>
                <c:pt idx="63">
                  <c:v>1.96633468260097E-2</c:v>
                </c:pt>
                <c:pt idx="64">
                  <c:v>1.9473954294245199E-2</c:v>
                </c:pt>
                <c:pt idx="65">
                  <c:v>1.14186300856803E-2</c:v>
                </c:pt>
                <c:pt idx="66">
                  <c:v>1.5823238305360799E-2</c:v>
                </c:pt>
                <c:pt idx="67">
                  <c:v>1.15625792972988E-2</c:v>
                </c:pt>
                <c:pt idx="68">
                  <c:v>1.3097137537496001E-2</c:v>
                </c:pt>
                <c:pt idx="69">
                  <c:v>1.6646006675158798E-2</c:v>
                </c:pt>
                <c:pt idx="70">
                  <c:v>1.6115481195193401E-2</c:v>
                </c:pt>
                <c:pt idx="71">
                  <c:v>1.7060043659779402E-2</c:v>
                </c:pt>
                <c:pt idx="72">
                  <c:v>2.3083591256494299E-2</c:v>
                </c:pt>
                <c:pt idx="73">
                  <c:v>1.8762925486345401E-2</c:v>
                </c:pt>
                <c:pt idx="74">
                  <c:v>1.59580929101075E-2</c:v>
                </c:pt>
                <c:pt idx="75">
                  <c:v>1.8081442729056301E-2</c:v>
                </c:pt>
                <c:pt idx="76">
                  <c:v>1.0161520395276701E-2</c:v>
                </c:pt>
                <c:pt idx="77">
                  <c:v>8.9997770836124508E-3</c:v>
                </c:pt>
                <c:pt idx="78">
                  <c:v>8.9866084171397395E-3</c:v>
                </c:pt>
                <c:pt idx="79">
                  <c:v>-6.7971997279216905E-4</c:v>
                </c:pt>
                <c:pt idx="80">
                  <c:v>-4.7462026502530699E-3</c:v>
                </c:pt>
                <c:pt idx="81">
                  <c:v>-6.41676111307169E-3</c:v>
                </c:pt>
                <c:pt idx="82">
                  <c:v>-4.9889276310005996E-3</c:v>
                </c:pt>
                <c:pt idx="83">
                  <c:v>1.89544019728491E-3</c:v>
                </c:pt>
                <c:pt idx="84">
                  <c:v>2.93311646156848E-3</c:v>
                </c:pt>
                <c:pt idx="85">
                  <c:v>1.08873344698687E-2</c:v>
                </c:pt>
                <c:pt idx="86">
                  <c:v>2.6296249012074898E-3</c:v>
                </c:pt>
                <c:pt idx="87">
                  <c:v>1.1177950598244E-2</c:v>
                </c:pt>
                <c:pt idx="88">
                  <c:v>1.0154469916795099E-2</c:v>
                </c:pt>
                <c:pt idx="89">
                  <c:v>-2.6760755474865001E-3</c:v>
                </c:pt>
                <c:pt idx="90">
                  <c:v>1.9311717723740701E-3</c:v>
                </c:pt>
                <c:pt idx="91">
                  <c:v>1.26526805236939E-3</c:v>
                </c:pt>
                <c:pt idx="92">
                  <c:v>-4.5507819069207896E-3</c:v>
                </c:pt>
                <c:pt idx="93">
                  <c:v>-1.1477659582478501E-2</c:v>
                </c:pt>
                <c:pt idx="94">
                  <c:v>-1.8567295240182399E-2</c:v>
                </c:pt>
                <c:pt idx="95">
                  <c:v>-1.18830370331498E-3</c:v>
                </c:pt>
                <c:pt idx="96">
                  <c:v>1.01843232131922E-3</c:v>
                </c:pt>
                <c:pt idx="97">
                  <c:v>-5.8067844498287799E-3</c:v>
                </c:pt>
                <c:pt idx="98">
                  <c:v>4.82836956946459E-3</c:v>
                </c:pt>
                <c:pt idx="99">
                  <c:v>1.1028593409493199E-2</c:v>
                </c:pt>
                <c:pt idx="100">
                  <c:v>7.5651852840400297E-3</c:v>
                </c:pt>
                <c:pt idx="101">
                  <c:v>1.2709006721366E-2</c:v>
                </c:pt>
                <c:pt idx="102">
                  <c:v>5.5946136421500901E-3</c:v>
                </c:pt>
                <c:pt idx="103">
                  <c:v>-9.3825218687843496E-3</c:v>
                </c:pt>
                <c:pt idx="104">
                  <c:v>-1.27056386637275E-2</c:v>
                </c:pt>
                <c:pt idx="105">
                  <c:v>-9.0001839633194903E-3</c:v>
                </c:pt>
                <c:pt idx="106">
                  <c:v>-2.6867403620891701E-2</c:v>
                </c:pt>
                <c:pt idx="107">
                  <c:v>-1.6860150668579699E-2</c:v>
                </c:pt>
                <c:pt idx="108">
                  <c:v>-7.2795914010582198E-3</c:v>
                </c:pt>
                <c:pt idx="109">
                  <c:v>-4.8120324299071099E-3</c:v>
                </c:pt>
                <c:pt idx="110">
                  <c:v>-2.8822900608035999E-4</c:v>
                </c:pt>
                <c:pt idx="111">
                  <c:v>7.9816173181057794E-3</c:v>
                </c:pt>
                <c:pt idx="112">
                  <c:v>1.9593915038480899E-2</c:v>
                </c:pt>
                <c:pt idx="113">
                  <c:v>1.56420035173232E-2</c:v>
                </c:pt>
                <c:pt idx="114">
                  <c:v>3.2064319122946099E-2</c:v>
                </c:pt>
                <c:pt idx="115">
                  <c:v>3.6845623744668703E-2</c:v>
                </c:pt>
                <c:pt idx="116">
                  <c:v>4.9718310196788601E-2</c:v>
                </c:pt>
                <c:pt idx="117">
                  <c:v>4.4044739303662497E-2</c:v>
                </c:pt>
                <c:pt idx="118">
                  <c:v>3.5964282195196297E-2</c:v>
                </c:pt>
                <c:pt idx="119">
                  <c:v>3.0615915800414801E-2</c:v>
                </c:pt>
                <c:pt idx="120">
                  <c:v>2.9304557872648102E-2</c:v>
                </c:pt>
                <c:pt idx="121">
                  <c:v>2.8751621872418798E-2</c:v>
                </c:pt>
                <c:pt idx="122">
                  <c:v>2.0028791061564102E-2</c:v>
                </c:pt>
                <c:pt idx="123">
                  <c:v>4.6429484101089998E-3</c:v>
                </c:pt>
                <c:pt idx="124">
                  <c:v>-3.9254273178872404E-3</c:v>
                </c:pt>
                <c:pt idx="125">
                  <c:v>-1.7977703859338499E-3</c:v>
                </c:pt>
                <c:pt idx="126">
                  <c:v>5.9668633467794001E-4</c:v>
                </c:pt>
                <c:pt idx="127">
                  <c:v>4.3543621382995399E-3</c:v>
                </c:pt>
                <c:pt idx="128">
                  <c:v>6.7439207265430397E-3</c:v>
                </c:pt>
                <c:pt idx="129">
                  <c:v>4.49789704856362E-4</c:v>
                </c:pt>
                <c:pt idx="130">
                  <c:v>-1.01968839577151E-2</c:v>
                </c:pt>
                <c:pt idx="131">
                  <c:v>-3.6434205595220598E-3</c:v>
                </c:pt>
                <c:pt idx="132">
                  <c:v>-3.97305719452388E-3</c:v>
                </c:pt>
                <c:pt idx="133">
                  <c:v>-2.8166093684418098E-2</c:v>
                </c:pt>
                <c:pt idx="134">
                  <c:v>-1.20610083935882E-2</c:v>
                </c:pt>
                <c:pt idx="135">
                  <c:v>-1.5785493010719999E-2</c:v>
                </c:pt>
                <c:pt idx="136">
                  <c:v>-5.5222051273909802E-3</c:v>
                </c:pt>
                <c:pt idx="137">
                  <c:v>-7.5533307575265801E-3</c:v>
                </c:pt>
                <c:pt idx="138">
                  <c:v>-1.5282179795238699E-2</c:v>
                </c:pt>
                <c:pt idx="139">
                  <c:v>-1.9109490595807299E-2</c:v>
                </c:pt>
                <c:pt idx="140">
                  <c:v>-1.5923650268956601E-2</c:v>
                </c:pt>
                <c:pt idx="141">
                  <c:v>-3.0412667472123098E-2</c:v>
                </c:pt>
                <c:pt idx="142">
                  <c:v>-2.7762724278339999E-2</c:v>
                </c:pt>
                <c:pt idx="143">
                  <c:v>-6.8510377187292002E-3</c:v>
                </c:pt>
                <c:pt idx="144">
                  <c:v>-1.72118135307248E-2</c:v>
                </c:pt>
                <c:pt idx="145">
                  <c:v>-9.4528952362763104E-3</c:v>
                </c:pt>
                <c:pt idx="146">
                  <c:v>6.4508610515932505E-4</c:v>
                </c:pt>
                <c:pt idx="147">
                  <c:v>1.5441234465796399E-3</c:v>
                </c:pt>
                <c:pt idx="148">
                  <c:v>7.0742868198126196E-3</c:v>
                </c:pt>
                <c:pt idx="149">
                  <c:v>1.8162204887787201E-3</c:v>
                </c:pt>
                <c:pt idx="150">
                  <c:v>-5.1322872970315297E-3</c:v>
                </c:pt>
                <c:pt idx="151">
                  <c:v>-2.2803477954870602E-3</c:v>
                </c:pt>
                <c:pt idx="152">
                  <c:v>4.7629398232970199E-4</c:v>
                </c:pt>
                <c:pt idx="153">
                  <c:v>-7.8335527225651194E-3</c:v>
                </c:pt>
                <c:pt idx="154">
                  <c:v>2.0825895071772401E-4</c:v>
                </c:pt>
                <c:pt idx="155">
                  <c:v>-5.4300191936548304E-3</c:v>
                </c:pt>
                <c:pt idx="156">
                  <c:v>-9.54293936267042E-3</c:v>
                </c:pt>
                <c:pt idx="157">
                  <c:v>-1.4468946695859901E-2</c:v>
                </c:pt>
                <c:pt idx="158">
                  <c:v>-2.0809137513606201E-2</c:v>
                </c:pt>
                <c:pt idx="159">
                  <c:v>-1.6120908523545401E-2</c:v>
                </c:pt>
                <c:pt idx="160">
                  <c:v>-1.82025128557959E-2</c:v>
                </c:pt>
                <c:pt idx="161">
                  <c:v>-4.3921539436156502E-3</c:v>
                </c:pt>
                <c:pt idx="162">
                  <c:v>-1.9156345881913199E-3</c:v>
                </c:pt>
                <c:pt idx="163">
                  <c:v>6.11102921169922E-4</c:v>
                </c:pt>
                <c:pt idx="164">
                  <c:v>-6.4996683094199299E-3</c:v>
                </c:pt>
                <c:pt idx="165">
                  <c:v>-4.1076220548670996E-3</c:v>
                </c:pt>
                <c:pt idx="166">
                  <c:v>-5.4027840056238997E-3</c:v>
                </c:pt>
                <c:pt idx="167">
                  <c:v>-5.9884358462528996E-3</c:v>
                </c:pt>
                <c:pt idx="168">
                  <c:v>-1.1010384306483E-2</c:v>
                </c:pt>
                <c:pt idx="169">
                  <c:v>-4.80640889375569E-3</c:v>
                </c:pt>
                <c:pt idx="170">
                  <c:v>5.9430502770220399E-3</c:v>
                </c:pt>
                <c:pt idx="171">
                  <c:v>-2.1189022169167699E-3</c:v>
                </c:pt>
                <c:pt idx="172">
                  <c:v>-3.5998760754508701E-3</c:v>
                </c:pt>
                <c:pt idx="173">
                  <c:v>-7.9031982709670996E-3</c:v>
                </c:pt>
                <c:pt idx="174">
                  <c:v>-5.4439778466370799E-3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5F-4297-BAAD-453A1EFCF825}"/>
            </c:ext>
          </c:extLst>
        </c:ser>
        <c:ser>
          <c:idx val="2"/>
          <c:order val="2"/>
          <c:tx>
            <c:strRef>
              <c:f>Sheet1!$AG$1</c:f>
              <c:strCache>
                <c:ptCount val="1"/>
                <c:pt idx="0">
                  <c:v>log diff XBI* x 20 dma / IBB*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Sheet1!$AG$2:$AG$176</c:f>
              <c:numCache>
                <c:formatCode>0.0000%</c:formatCode>
                <c:ptCount val="175"/>
                <c:pt idx="20">
                  <c:v>8.0634701657267202E-3</c:v>
                </c:pt>
                <c:pt idx="21">
                  <c:v>1.15251047753844E-2</c:v>
                </c:pt>
                <c:pt idx="22">
                  <c:v>-9.7075257911902399E-3</c:v>
                </c:pt>
                <c:pt idx="23">
                  <c:v>-2.4042783714620802E-2</c:v>
                </c:pt>
                <c:pt idx="24">
                  <c:v>-1.33830205104177E-2</c:v>
                </c:pt>
                <c:pt idx="25">
                  <c:v>-5.0598588421687596E-3</c:v>
                </c:pt>
                <c:pt idx="26">
                  <c:v>2.0800178797415799E-3</c:v>
                </c:pt>
                <c:pt idx="27">
                  <c:v>-7.5271337820944596E-3</c:v>
                </c:pt>
                <c:pt idx="28">
                  <c:v>-7.3105914795945203E-3</c:v>
                </c:pt>
                <c:pt idx="29">
                  <c:v>-1.9935514635967998E-2</c:v>
                </c:pt>
                <c:pt idx="30">
                  <c:v>-1.3227407620736001E-2</c:v>
                </c:pt>
                <c:pt idx="31">
                  <c:v>-8.7156251376970806E-3</c:v>
                </c:pt>
                <c:pt idx="32">
                  <c:v>-1.8038556565552199E-4</c:v>
                </c:pt>
                <c:pt idx="33">
                  <c:v>-1.1577777653736399E-2</c:v>
                </c:pt>
                <c:pt idx="34">
                  <c:v>3.4727358933112399E-3</c:v>
                </c:pt>
                <c:pt idx="35">
                  <c:v>1.37551482658065E-2</c:v>
                </c:pt>
                <c:pt idx="36">
                  <c:v>1.25897235630986E-2</c:v>
                </c:pt>
                <c:pt idx="37">
                  <c:v>1.56027440972243E-2</c:v>
                </c:pt>
                <c:pt idx="38">
                  <c:v>3.9980401039855602E-3</c:v>
                </c:pt>
                <c:pt idx="39">
                  <c:v>5.9139752753004302E-3</c:v>
                </c:pt>
                <c:pt idx="40">
                  <c:v>3.4413150746421799E-3</c:v>
                </c:pt>
                <c:pt idx="41">
                  <c:v>1.0436832214428E-2</c:v>
                </c:pt>
                <c:pt idx="42">
                  <c:v>1.5717557267639199E-2</c:v>
                </c:pt>
                <c:pt idx="43">
                  <c:v>2.2119995344838599E-2</c:v>
                </c:pt>
                <c:pt idx="44">
                  <c:v>2.28789655448969E-2</c:v>
                </c:pt>
                <c:pt idx="45">
                  <c:v>1.7915078601500899E-2</c:v>
                </c:pt>
                <c:pt idx="46">
                  <c:v>1.66814662981618E-2</c:v>
                </c:pt>
                <c:pt idx="47">
                  <c:v>1.32554381794405E-2</c:v>
                </c:pt>
                <c:pt idx="48">
                  <c:v>1.0046453084379001E-2</c:v>
                </c:pt>
                <c:pt idx="49">
                  <c:v>1.6199726210030099E-2</c:v>
                </c:pt>
                <c:pt idx="50">
                  <c:v>1.55353270121829E-2</c:v>
                </c:pt>
                <c:pt idx="51">
                  <c:v>9.0932802995726796E-3</c:v>
                </c:pt>
                <c:pt idx="52">
                  <c:v>1.3581314479141E-2</c:v>
                </c:pt>
                <c:pt idx="53">
                  <c:v>1.28448316728504E-2</c:v>
                </c:pt>
                <c:pt idx="54">
                  <c:v>1.6726456170466E-2</c:v>
                </c:pt>
                <c:pt idx="55">
                  <c:v>3.7380093571622E-3</c:v>
                </c:pt>
                <c:pt idx="56">
                  <c:v>1.41257550834836E-2</c:v>
                </c:pt>
                <c:pt idx="57">
                  <c:v>1.5856089800037599E-2</c:v>
                </c:pt>
                <c:pt idx="58">
                  <c:v>9.1989944830314103E-3</c:v>
                </c:pt>
                <c:pt idx="59">
                  <c:v>-7.9087805902521308E-3</c:v>
                </c:pt>
                <c:pt idx="60">
                  <c:v>2.2027602151813298E-2</c:v>
                </c:pt>
                <c:pt idx="61">
                  <c:v>1.88229392497446E-2</c:v>
                </c:pt>
                <c:pt idx="62">
                  <c:v>2.4469280175449699E-2</c:v>
                </c:pt>
                <c:pt idx="63">
                  <c:v>2.5009014605377598E-2</c:v>
                </c:pt>
                <c:pt idx="64">
                  <c:v>2.5845892102791399E-2</c:v>
                </c:pt>
                <c:pt idx="65">
                  <c:v>1.8492560510194701E-2</c:v>
                </c:pt>
                <c:pt idx="66">
                  <c:v>2.4302567260479E-2</c:v>
                </c:pt>
                <c:pt idx="67">
                  <c:v>2.0700622591496E-2</c:v>
                </c:pt>
                <c:pt idx="68">
                  <c:v>2.238390033396E-2</c:v>
                </c:pt>
                <c:pt idx="69">
                  <c:v>2.67166375802932E-2</c:v>
                </c:pt>
                <c:pt idx="70">
                  <c:v>2.9284279300548499E-2</c:v>
                </c:pt>
                <c:pt idx="71">
                  <c:v>3.0525834552099399E-2</c:v>
                </c:pt>
                <c:pt idx="72">
                  <c:v>3.6897879382820298E-2</c:v>
                </c:pt>
                <c:pt idx="73">
                  <c:v>3.29335566351244E-2</c:v>
                </c:pt>
                <c:pt idx="74">
                  <c:v>3.0220003918205601E-2</c:v>
                </c:pt>
                <c:pt idx="75">
                  <c:v>3.2490988865903098E-2</c:v>
                </c:pt>
                <c:pt idx="76">
                  <c:v>2.49595706608687E-2</c:v>
                </c:pt>
                <c:pt idx="77">
                  <c:v>2.3797527631697499E-2</c:v>
                </c:pt>
                <c:pt idx="78">
                  <c:v>2.4180912520272501E-2</c:v>
                </c:pt>
                <c:pt idx="79">
                  <c:v>1.44067468035694E-2</c:v>
                </c:pt>
                <c:pt idx="80">
                  <c:v>8.3999203936927398E-3</c:v>
                </c:pt>
                <c:pt idx="81">
                  <c:v>5.7542439724187896E-3</c:v>
                </c:pt>
                <c:pt idx="82">
                  <c:v>5.7446808751608703E-3</c:v>
                </c:pt>
                <c:pt idx="83">
                  <c:v>1.07434574984433E-2</c:v>
                </c:pt>
                <c:pt idx="84">
                  <c:v>1.0450834070367E-2</c:v>
                </c:pt>
                <c:pt idx="85">
                  <c:v>1.7257168852454E-2</c:v>
                </c:pt>
                <c:pt idx="86">
                  <c:v>7.49791250684097E-3</c:v>
                </c:pt>
                <c:pt idx="87">
                  <c:v>1.49610874544585E-2</c:v>
                </c:pt>
                <c:pt idx="88">
                  <c:v>1.3069770792273099E-2</c:v>
                </c:pt>
                <c:pt idx="89">
                  <c:v>-7.2536668053458102E-4</c:v>
                </c:pt>
                <c:pt idx="90">
                  <c:v>3.3404053260888398E-3</c:v>
                </c:pt>
                <c:pt idx="91">
                  <c:v>2.88606464327738E-3</c:v>
                </c:pt>
                <c:pt idx="92">
                  <c:v>-2.4165631232960999E-3</c:v>
                </c:pt>
                <c:pt idx="93">
                  <c:v>-8.7688683467194092E-3</c:v>
                </c:pt>
                <c:pt idx="94">
                  <c:v>-1.62980635396676E-2</c:v>
                </c:pt>
                <c:pt idx="95">
                  <c:v>1.2545527045494499E-4</c:v>
                </c:pt>
                <c:pt idx="96">
                  <c:v>1.5877801520792401E-3</c:v>
                </c:pt>
                <c:pt idx="97">
                  <c:v>-5.3700129808695396E-3</c:v>
                </c:pt>
                <c:pt idx="98">
                  <c:v>3.9786005468077099E-3</c:v>
                </c:pt>
                <c:pt idx="99">
                  <c:v>9.4840775434590196E-3</c:v>
                </c:pt>
                <c:pt idx="100">
                  <c:v>6.4525924133073198E-3</c:v>
                </c:pt>
                <c:pt idx="101">
                  <c:v>1.1289955018660499E-2</c:v>
                </c:pt>
                <c:pt idx="102">
                  <c:v>4.0538560928833501E-3</c:v>
                </c:pt>
                <c:pt idx="103">
                  <c:v>-1.08077653933867E-2</c:v>
                </c:pt>
                <c:pt idx="104">
                  <c:v>-1.3768566247722099E-2</c:v>
                </c:pt>
                <c:pt idx="105">
                  <c:v>-9.0179372645237694E-3</c:v>
                </c:pt>
                <c:pt idx="106">
                  <c:v>-2.6808762874048299E-2</c:v>
                </c:pt>
                <c:pt idx="107">
                  <c:v>-1.8181668317786798E-2</c:v>
                </c:pt>
                <c:pt idx="108">
                  <c:v>-8.4894536392896205E-3</c:v>
                </c:pt>
                <c:pt idx="109">
                  <c:v>-6.3990346433218902E-3</c:v>
                </c:pt>
                <c:pt idx="110">
                  <c:v>-3.3452432730788901E-3</c:v>
                </c:pt>
                <c:pt idx="111">
                  <c:v>4.0645072960506599E-3</c:v>
                </c:pt>
                <c:pt idx="112">
                  <c:v>1.4635135438244001E-2</c:v>
                </c:pt>
                <c:pt idx="113">
                  <c:v>1.05308839666255E-2</c:v>
                </c:pt>
                <c:pt idx="114">
                  <c:v>2.7721026703044001E-2</c:v>
                </c:pt>
                <c:pt idx="115">
                  <c:v>3.4088519538474901E-2</c:v>
                </c:pt>
                <c:pt idx="116">
                  <c:v>4.9338595946333101E-2</c:v>
                </c:pt>
                <c:pt idx="117">
                  <c:v>4.8842877436164098E-2</c:v>
                </c:pt>
                <c:pt idx="118">
                  <c:v>4.4988650859506402E-2</c:v>
                </c:pt>
                <c:pt idx="119">
                  <c:v>4.3461356309507197E-2</c:v>
                </c:pt>
                <c:pt idx="120">
                  <c:v>4.62117915852912E-2</c:v>
                </c:pt>
                <c:pt idx="121">
                  <c:v>4.9598896205449397E-2</c:v>
                </c:pt>
                <c:pt idx="122">
                  <c:v>4.4698938315512103E-2</c:v>
                </c:pt>
                <c:pt idx="123">
                  <c:v>3.1648497231533498E-2</c:v>
                </c:pt>
                <c:pt idx="124">
                  <c:v>2.4540840150978498E-2</c:v>
                </c:pt>
                <c:pt idx="125">
                  <c:v>2.5889156211612401E-2</c:v>
                </c:pt>
                <c:pt idx="126">
                  <c:v>2.7072939152745199E-2</c:v>
                </c:pt>
                <c:pt idx="127">
                  <c:v>2.7138680291320601E-2</c:v>
                </c:pt>
                <c:pt idx="128">
                  <c:v>2.6222693427246001E-2</c:v>
                </c:pt>
                <c:pt idx="129">
                  <c:v>1.72954950306413E-2</c:v>
                </c:pt>
                <c:pt idx="130">
                  <c:v>3.7100085986853798E-3</c:v>
                </c:pt>
                <c:pt idx="131">
                  <c:v>6.4483850549637099E-3</c:v>
                </c:pt>
                <c:pt idx="132">
                  <c:v>2.35534734239149E-3</c:v>
                </c:pt>
                <c:pt idx="133">
                  <c:v>-2.48968805480459E-2</c:v>
                </c:pt>
                <c:pt idx="134">
                  <c:v>-1.22844135087322E-2</c:v>
                </c:pt>
                <c:pt idx="135">
                  <c:v>-1.7462813241405199E-2</c:v>
                </c:pt>
                <c:pt idx="136">
                  <c:v>-8.8757396434730098E-3</c:v>
                </c:pt>
                <c:pt idx="137">
                  <c:v>-1.17023204074097E-2</c:v>
                </c:pt>
                <c:pt idx="138">
                  <c:v>-2.0700775895728898E-2</c:v>
                </c:pt>
                <c:pt idx="139">
                  <c:v>-2.6622028598754299E-2</c:v>
                </c:pt>
                <c:pt idx="140">
                  <c:v>-2.5314877220279801E-2</c:v>
                </c:pt>
                <c:pt idx="141">
                  <c:v>-4.0434469152303698E-2</c:v>
                </c:pt>
                <c:pt idx="142">
                  <c:v>-3.9508497003747797E-2</c:v>
                </c:pt>
                <c:pt idx="143">
                  <c:v>-2.0381120887399701E-2</c:v>
                </c:pt>
                <c:pt idx="144">
                  <c:v>-2.9720836943918499E-2</c:v>
                </c:pt>
                <c:pt idx="145">
                  <c:v>-2.3032618169401199E-2</c:v>
                </c:pt>
                <c:pt idx="146">
                  <c:v>-1.3108021314576401E-2</c:v>
                </c:pt>
                <c:pt idx="147">
                  <c:v>-1.2625376743145299E-2</c:v>
                </c:pt>
                <c:pt idx="148">
                  <c:v>-7.0487784869981201E-3</c:v>
                </c:pt>
                <c:pt idx="149">
                  <c:v>-1.09863227371962E-2</c:v>
                </c:pt>
                <c:pt idx="150">
                  <c:v>-1.6461873853852099E-2</c:v>
                </c:pt>
                <c:pt idx="151">
                  <c:v>-1.2983074673395399E-2</c:v>
                </c:pt>
                <c:pt idx="152">
                  <c:v>-7.5624961455062504E-3</c:v>
                </c:pt>
                <c:pt idx="153">
                  <c:v>-1.29081656434824E-2</c:v>
                </c:pt>
                <c:pt idx="154">
                  <c:v>-5.1262211253936298E-3</c:v>
                </c:pt>
                <c:pt idx="155">
                  <c:v>-8.9181695986024906E-3</c:v>
                </c:pt>
                <c:pt idx="156">
                  <c:v>-1.21341725082515E-2</c:v>
                </c:pt>
                <c:pt idx="157">
                  <c:v>-1.6767390349094299E-2</c:v>
                </c:pt>
                <c:pt idx="158">
                  <c:v>-2.3180958664397299E-2</c:v>
                </c:pt>
                <c:pt idx="159">
                  <c:v>-1.9823601327554501E-2</c:v>
                </c:pt>
                <c:pt idx="160">
                  <c:v>-2.29302738240303E-2</c:v>
                </c:pt>
                <c:pt idx="161">
                  <c:v>-9.6522151332225307E-3</c:v>
                </c:pt>
                <c:pt idx="162">
                  <c:v>-8.1340316415992198E-3</c:v>
                </c:pt>
                <c:pt idx="163">
                  <c:v>-6.9453017428481598E-3</c:v>
                </c:pt>
                <c:pt idx="164">
                  <c:v>-1.3833755049480201E-2</c:v>
                </c:pt>
                <c:pt idx="165">
                  <c:v>-1.28335868404398E-2</c:v>
                </c:pt>
                <c:pt idx="166">
                  <c:v>-1.4780367433223199E-2</c:v>
                </c:pt>
                <c:pt idx="167">
                  <c:v>-1.53298855543464E-2</c:v>
                </c:pt>
                <c:pt idx="168">
                  <c:v>-1.9837258785840799E-2</c:v>
                </c:pt>
                <c:pt idx="169">
                  <c:v>-1.24064371060249E-2</c:v>
                </c:pt>
                <c:pt idx="170">
                  <c:v>-5.9169190131930097E-4</c:v>
                </c:pt>
                <c:pt idx="171">
                  <c:v>-6.9775630929506203E-3</c:v>
                </c:pt>
                <c:pt idx="172">
                  <c:v>-8.20104537156768E-3</c:v>
                </c:pt>
                <c:pt idx="173">
                  <c:v>-1.2310583480272501E-2</c:v>
                </c:pt>
                <c:pt idx="174">
                  <c:v>-1.0380057497031501E-2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B5F-4297-BAAD-453A1EFCF8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644688"/>
        <c:axId val="205301072"/>
      </c:lineChart>
      <c:catAx>
        <c:axId val="167964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1072"/>
        <c:crosses val="autoZero"/>
        <c:auto val="1"/>
        <c:lblAlgn val="ctr"/>
        <c:lblOffset val="100"/>
        <c:noMultiLvlLbl val="0"/>
      </c:catAx>
      <c:valAx>
        <c:axId val="2053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4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Sheet1!$Y$1</c:f>
              <c:strCache>
                <c:ptCount val="1"/>
                <c:pt idx="0">
                  <c:v> IBB*/XBI*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Sheet1!$Y$2:$Y$176</c:f>
              <c:numCache>
                <c:formatCode>_(* #,##0.0000_);_(* \(#,##0.0000\);_(* "-"??_);_(@_)</c:formatCode>
                <c:ptCount val="175"/>
                <c:pt idx="0">
                  <c:v>1.3022759807794699</c:v>
                </c:pt>
                <c:pt idx="1">
                  <c:v>1.3022759807794699</c:v>
                </c:pt>
                <c:pt idx="2">
                  <c:v>1.3022759807794699</c:v>
                </c:pt>
                <c:pt idx="3">
                  <c:v>1.3022759807794699</c:v>
                </c:pt>
                <c:pt idx="4">
                  <c:v>1.3022759807794699</c:v>
                </c:pt>
                <c:pt idx="5">
                  <c:v>1.3022759807794699</c:v>
                </c:pt>
                <c:pt idx="6">
                  <c:v>1.3022759807794699</c:v>
                </c:pt>
                <c:pt idx="7">
                  <c:v>1.3022759807794699</c:v>
                </c:pt>
                <c:pt idx="8">
                  <c:v>1.3022759807794699</c:v>
                </c:pt>
                <c:pt idx="9">
                  <c:v>1.3022759807794699</c:v>
                </c:pt>
                <c:pt idx="10">
                  <c:v>1.3022759807794699</c:v>
                </c:pt>
                <c:pt idx="11">
                  <c:v>1.3022759807794699</c:v>
                </c:pt>
                <c:pt idx="12">
                  <c:v>1.3022759807794699</c:v>
                </c:pt>
                <c:pt idx="13">
                  <c:v>1.3022759807794699</c:v>
                </c:pt>
                <c:pt idx="14">
                  <c:v>1.3022759807794699</c:v>
                </c:pt>
                <c:pt idx="15">
                  <c:v>1.3022759807794699</c:v>
                </c:pt>
                <c:pt idx="16">
                  <c:v>1.3022759807794699</c:v>
                </c:pt>
                <c:pt idx="17">
                  <c:v>1.3022759807794699</c:v>
                </c:pt>
                <c:pt idx="18">
                  <c:v>1.3022759807794699</c:v>
                </c:pt>
                <c:pt idx="19">
                  <c:v>1.3022759807794699</c:v>
                </c:pt>
                <c:pt idx="20">
                  <c:v>1.3022759807794699</c:v>
                </c:pt>
                <c:pt idx="21">
                  <c:v>1.3022759807794699</c:v>
                </c:pt>
                <c:pt idx="22">
                  <c:v>1.3022759807794699</c:v>
                </c:pt>
                <c:pt idx="23">
                  <c:v>1.3022759807794699</c:v>
                </c:pt>
                <c:pt idx="24">
                  <c:v>1.3022759807794699</c:v>
                </c:pt>
                <c:pt idx="25">
                  <c:v>1.3022759807794699</c:v>
                </c:pt>
                <c:pt idx="26">
                  <c:v>1.3022759807794699</c:v>
                </c:pt>
                <c:pt idx="27">
                  <c:v>1.3022759807794699</c:v>
                </c:pt>
                <c:pt idx="28">
                  <c:v>1.3022759807794699</c:v>
                </c:pt>
                <c:pt idx="29">
                  <c:v>1.3022759807794699</c:v>
                </c:pt>
                <c:pt idx="30">
                  <c:v>1.3022759807794699</c:v>
                </c:pt>
                <c:pt idx="31">
                  <c:v>1.3022759807794699</c:v>
                </c:pt>
                <c:pt idx="32">
                  <c:v>1.3022759807794699</c:v>
                </c:pt>
                <c:pt idx="33">
                  <c:v>1.3022759807794699</c:v>
                </c:pt>
                <c:pt idx="34">
                  <c:v>1.3022759807794699</c:v>
                </c:pt>
                <c:pt idx="35">
                  <c:v>1.3022759807794699</c:v>
                </c:pt>
                <c:pt idx="36">
                  <c:v>1.3022759807794699</c:v>
                </c:pt>
                <c:pt idx="37">
                  <c:v>1.3022759807794699</c:v>
                </c:pt>
                <c:pt idx="38">
                  <c:v>1.3022759807794699</c:v>
                </c:pt>
                <c:pt idx="39">
                  <c:v>1.3022759807794699</c:v>
                </c:pt>
                <c:pt idx="40">
                  <c:v>1.3022759807794699</c:v>
                </c:pt>
                <c:pt idx="41">
                  <c:v>1.3022759807794699</c:v>
                </c:pt>
                <c:pt idx="42">
                  <c:v>1.3022759807794699</c:v>
                </c:pt>
                <c:pt idx="43">
                  <c:v>1.3022759807794699</c:v>
                </c:pt>
                <c:pt idx="44">
                  <c:v>1.3022759807794699</c:v>
                </c:pt>
                <c:pt idx="45">
                  <c:v>1.3022759807794699</c:v>
                </c:pt>
                <c:pt idx="46">
                  <c:v>1.3022759807794699</c:v>
                </c:pt>
                <c:pt idx="47">
                  <c:v>1.3022759807794699</c:v>
                </c:pt>
                <c:pt idx="48">
                  <c:v>1.3022759807794699</c:v>
                </c:pt>
                <c:pt idx="49">
                  <c:v>1.3022759807794699</c:v>
                </c:pt>
                <c:pt idx="50">
                  <c:v>1.3022759807794699</c:v>
                </c:pt>
                <c:pt idx="51">
                  <c:v>1.3022759807794699</c:v>
                </c:pt>
                <c:pt idx="52">
                  <c:v>1.3022759807794699</c:v>
                </c:pt>
                <c:pt idx="53">
                  <c:v>1.3022759807794699</c:v>
                </c:pt>
                <c:pt idx="54">
                  <c:v>1.3022759807794699</c:v>
                </c:pt>
                <c:pt idx="55">
                  <c:v>1.3022759807794699</c:v>
                </c:pt>
                <c:pt idx="56">
                  <c:v>1.3022759807794699</c:v>
                </c:pt>
                <c:pt idx="57">
                  <c:v>1.3022759807794699</c:v>
                </c:pt>
                <c:pt idx="58">
                  <c:v>1.3022759807794699</c:v>
                </c:pt>
                <c:pt idx="59">
                  <c:v>1.3022759807794699</c:v>
                </c:pt>
                <c:pt idx="60">
                  <c:v>1.3022759807794699</c:v>
                </c:pt>
                <c:pt idx="61">
                  <c:v>1.3022759807794699</c:v>
                </c:pt>
                <c:pt idx="62">
                  <c:v>1.3022759807794699</c:v>
                </c:pt>
                <c:pt idx="63">
                  <c:v>1.3022759807794699</c:v>
                </c:pt>
                <c:pt idx="64">
                  <c:v>1.3022759807794699</c:v>
                </c:pt>
                <c:pt idx="65">
                  <c:v>1.3022759807794699</c:v>
                </c:pt>
                <c:pt idx="66">
                  <c:v>1.3022759807794699</c:v>
                </c:pt>
                <c:pt idx="67">
                  <c:v>1.3022759807794699</c:v>
                </c:pt>
                <c:pt idx="68">
                  <c:v>1.3022759807794699</c:v>
                </c:pt>
                <c:pt idx="69">
                  <c:v>1.3022759807794699</c:v>
                </c:pt>
                <c:pt idx="70">
                  <c:v>1.3022759807794699</c:v>
                </c:pt>
                <c:pt idx="71">
                  <c:v>1.3022759807794699</c:v>
                </c:pt>
                <c:pt idx="72">
                  <c:v>1.3022759807794699</c:v>
                </c:pt>
                <c:pt idx="73">
                  <c:v>1.3022759807794699</c:v>
                </c:pt>
                <c:pt idx="74">
                  <c:v>1.3022759807794699</c:v>
                </c:pt>
                <c:pt idx="75">
                  <c:v>1.3022759807794699</c:v>
                </c:pt>
                <c:pt idx="76">
                  <c:v>1.3022759807794699</c:v>
                </c:pt>
                <c:pt idx="77">
                  <c:v>1.3022759807794699</c:v>
                </c:pt>
                <c:pt idx="78">
                  <c:v>1.3022759807794699</c:v>
                </c:pt>
                <c:pt idx="79">
                  <c:v>1.3022759807794699</c:v>
                </c:pt>
                <c:pt idx="80">
                  <c:v>1.3022759807794699</c:v>
                </c:pt>
                <c:pt idx="81">
                  <c:v>1.3022759807794699</c:v>
                </c:pt>
                <c:pt idx="82">
                  <c:v>1.3022759807794699</c:v>
                </c:pt>
                <c:pt idx="83">
                  <c:v>1.3022759807794699</c:v>
                </c:pt>
                <c:pt idx="84">
                  <c:v>1.3022759807794699</c:v>
                </c:pt>
                <c:pt idx="85">
                  <c:v>1.3022759807794699</c:v>
                </c:pt>
                <c:pt idx="86">
                  <c:v>1.3022759807794699</c:v>
                </c:pt>
                <c:pt idx="87">
                  <c:v>1.3022759807794699</c:v>
                </c:pt>
                <c:pt idx="88">
                  <c:v>1.3022759807794699</c:v>
                </c:pt>
                <c:pt idx="89">
                  <c:v>1.3022759807794699</c:v>
                </c:pt>
                <c:pt idx="90">
                  <c:v>1.3022759807794699</c:v>
                </c:pt>
                <c:pt idx="91">
                  <c:v>1.3022759807794699</c:v>
                </c:pt>
                <c:pt idx="92">
                  <c:v>1.3022759807794699</c:v>
                </c:pt>
                <c:pt idx="93">
                  <c:v>1.3022759807794699</c:v>
                </c:pt>
                <c:pt idx="94">
                  <c:v>1.3022759807794699</c:v>
                </c:pt>
                <c:pt idx="95">
                  <c:v>1.3022759807794699</c:v>
                </c:pt>
                <c:pt idx="96">
                  <c:v>1.3022759807794699</c:v>
                </c:pt>
                <c:pt idx="97">
                  <c:v>1.3022759807794699</c:v>
                </c:pt>
                <c:pt idx="98">
                  <c:v>1.3022759807794699</c:v>
                </c:pt>
                <c:pt idx="99">
                  <c:v>1.3022759807794699</c:v>
                </c:pt>
                <c:pt idx="100">
                  <c:v>1.3022759807794699</c:v>
                </c:pt>
                <c:pt idx="101">
                  <c:v>1.3022759807794699</c:v>
                </c:pt>
                <c:pt idx="102">
                  <c:v>1.3022759807794699</c:v>
                </c:pt>
                <c:pt idx="103">
                  <c:v>1.3022759807794699</c:v>
                </c:pt>
                <c:pt idx="104">
                  <c:v>1.3022759807794699</c:v>
                </c:pt>
                <c:pt idx="105">
                  <c:v>1.3022759807794699</c:v>
                </c:pt>
                <c:pt idx="106">
                  <c:v>1.3022759807794699</c:v>
                </c:pt>
                <c:pt idx="107">
                  <c:v>1.3022759807794699</c:v>
                </c:pt>
                <c:pt idx="108">
                  <c:v>1.3022759807794699</c:v>
                </c:pt>
                <c:pt idx="109">
                  <c:v>1.3022759807794699</c:v>
                </c:pt>
                <c:pt idx="110">
                  <c:v>1.3022759807794699</c:v>
                </c:pt>
                <c:pt idx="111">
                  <c:v>1.3022759807794699</c:v>
                </c:pt>
                <c:pt idx="112">
                  <c:v>1.3022759807794699</c:v>
                </c:pt>
                <c:pt idx="113">
                  <c:v>1.3022759807794699</c:v>
                </c:pt>
                <c:pt idx="114">
                  <c:v>1.3022759807794699</c:v>
                </c:pt>
                <c:pt idx="115">
                  <c:v>1.3022759807794699</c:v>
                </c:pt>
                <c:pt idx="116">
                  <c:v>1.3022759807794699</c:v>
                </c:pt>
                <c:pt idx="117">
                  <c:v>1.3022759807794699</c:v>
                </c:pt>
                <c:pt idx="118">
                  <c:v>1.3022759807794699</c:v>
                </c:pt>
                <c:pt idx="119">
                  <c:v>1.3022759807794699</c:v>
                </c:pt>
                <c:pt idx="120">
                  <c:v>1.3022759807794699</c:v>
                </c:pt>
                <c:pt idx="121">
                  <c:v>1.3022759807794699</c:v>
                </c:pt>
                <c:pt idx="122">
                  <c:v>1.3022759807794699</c:v>
                </c:pt>
                <c:pt idx="123">
                  <c:v>1.3022759807794699</c:v>
                </c:pt>
                <c:pt idx="124">
                  <c:v>1.3022759807794699</c:v>
                </c:pt>
                <c:pt idx="125">
                  <c:v>1.3022759807794699</c:v>
                </c:pt>
                <c:pt idx="126">
                  <c:v>1.3022759807794699</c:v>
                </c:pt>
                <c:pt idx="127">
                  <c:v>1.3022759807794699</c:v>
                </c:pt>
                <c:pt idx="128">
                  <c:v>1.3022759807794699</c:v>
                </c:pt>
                <c:pt idx="129">
                  <c:v>1.3022759807794699</c:v>
                </c:pt>
                <c:pt idx="130">
                  <c:v>1.3022759807794699</c:v>
                </c:pt>
                <c:pt idx="131">
                  <c:v>1.3022759807794699</c:v>
                </c:pt>
                <c:pt idx="132">
                  <c:v>1.3022759807794699</c:v>
                </c:pt>
                <c:pt idx="133">
                  <c:v>1.3022759807794699</c:v>
                </c:pt>
                <c:pt idx="134">
                  <c:v>1.3022759807794699</c:v>
                </c:pt>
                <c:pt idx="135">
                  <c:v>1.3022759807794699</c:v>
                </c:pt>
                <c:pt idx="136">
                  <c:v>1.3022759807794699</c:v>
                </c:pt>
                <c:pt idx="137">
                  <c:v>1.3022759807794699</c:v>
                </c:pt>
                <c:pt idx="138">
                  <c:v>1.3022759807794699</c:v>
                </c:pt>
                <c:pt idx="139">
                  <c:v>1.3022759807794699</c:v>
                </c:pt>
                <c:pt idx="140">
                  <c:v>1.3022759807794699</c:v>
                </c:pt>
                <c:pt idx="141">
                  <c:v>1.3022759807794699</c:v>
                </c:pt>
                <c:pt idx="142">
                  <c:v>1.3022759807794699</c:v>
                </c:pt>
                <c:pt idx="143">
                  <c:v>1.3022759807794699</c:v>
                </c:pt>
                <c:pt idx="144">
                  <c:v>1.3022759807794699</c:v>
                </c:pt>
                <c:pt idx="145">
                  <c:v>1.3022759807794699</c:v>
                </c:pt>
                <c:pt idx="146">
                  <c:v>1.3022759807794699</c:v>
                </c:pt>
                <c:pt idx="147">
                  <c:v>1.3022759807794699</c:v>
                </c:pt>
                <c:pt idx="148">
                  <c:v>1.3022759807794699</c:v>
                </c:pt>
                <c:pt idx="149">
                  <c:v>1.3022759807794699</c:v>
                </c:pt>
                <c:pt idx="150">
                  <c:v>1.3022759807794699</c:v>
                </c:pt>
                <c:pt idx="151">
                  <c:v>1.3022759807794699</c:v>
                </c:pt>
                <c:pt idx="152">
                  <c:v>1.3022759807794699</c:v>
                </c:pt>
                <c:pt idx="153">
                  <c:v>1.3022759807794699</c:v>
                </c:pt>
                <c:pt idx="154">
                  <c:v>1.3022759807794699</c:v>
                </c:pt>
                <c:pt idx="155">
                  <c:v>1.3022759807794699</c:v>
                </c:pt>
                <c:pt idx="156">
                  <c:v>1.3022759807794699</c:v>
                </c:pt>
                <c:pt idx="157">
                  <c:v>1.3022759807794699</c:v>
                </c:pt>
                <c:pt idx="158">
                  <c:v>1.3022759807794699</c:v>
                </c:pt>
                <c:pt idx="159">
                  <c:v>1.3022759807794699</c:v>
                </c:pt>
                <c:pt idx="160">
                  <c:v>1.3022759807794699</c:v>
                </c:pt>
                <c:pt idx="161">
                  <c:v>1.3022759807794699</c:v>
                </c:pt>
                <c:pt idx="162">
                  <c:v>1.3022759807794699</c:v>
                </c:pt>
                <c:pt idx="163">
                  <c:v>1.3022759807794699</c:v>
                </c:pt>
                <c:pt idx="164">
                  <c:v>1.3022759807794699</c:v>
                </c:pt>
                <c:pt idx="165">
                  <c:v>1.3022759807794699</c:v>
                </c:pt>
                <c:pt idx="166">
                  <c:v>1.3022759807794699</c:v>
                </c:pt>
                <c:pt idx="167">
                  <c:v>1.3022759807794699</c:v>
                </c:pt>
                <c:pt idx="168">
                  <c:v>1.3022759807794699</c:v>
                </c:pt>
                <c:pt idx="169">
                  <c:v>1.3022759807794699</c:v>
                </c:pt>
                <c:pt idx="170">
                  <c:v>1.3022759807794699</c:v>
                </c:pt>
                <c:pt idx="171">
                  <c:v>1.3022759807794699</c:v>
                </c:pt>
                <c:pt idx="172">
                  <c:v>1.3022759807794699</c:v>
                </c:pt>
                <c:pt idx="173">
                  <c:v>1.3022759807794699</c:v>
                </c:pt>
                <c:pt idx="174">
                  <c:v>1.3022759807794699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2F-40B6-8046-2510A2810855}"/>
            </c:ext>
          </c:extLst>
        </c:ser>
        <c:ser>
          <c:idx val="1"/>
          <c:order val="1"/>
          <c:tx>
            <c:strRef>
              <c:f>Sheet1!$Z$1</c:f>
              <c:strCache>
                <c:ptCount val="1"/>
                <c:pt idx="0">
                  <c:v> IBB*/XBI*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Sheet1!$Z$2:$Z$176</c:f>
              <c:numCache>
                <c:formatCode>_(* #,##0.0000_);_(* \(#,##0.0000\);_(* "-"??_);_(@_)</c:formatCode>
                <c:ptCount val="175"/>
                <c:pt idx="9">
                  <c:v>1.38618200241551</c:v>
                </c:pt>
                <c:pt idx="10">
                  <c:v>1.38397608458996</c:v>
                </c:pt>
                <c:pt idx="11">
                  <c:v>1.3809600565565201</c:v>
                </c:pt>
                <c:pt idx="12">
                  <c:v>1.3773544529460999</c:v>
                </c:pt>
                <c:pt idx="13">
                  <c:v>1.37257726330246</c:v>
                </c:pt>
                <c:pt idx="14">
                  <c:v>1.37026602551152</c:v>
                </c:pt>
                <c:pt idx="15">
                  <c:v>1.36933340153839</c:v>
                </c:pt>
                <c:pt idx="16">
                  <c:v>1.3686627576916099</c:v>
                </c:pt>
                <c:pt idx="17">
                  <c:v>1.3685189842854699</c:v>
                </c:pt>
                <c:pt idx="18">
                  <c:v>1.36972540989165</c:v>
                </c:pt>
                <c:pt idx="19">
                  <c:v>1.3707846123335301</c:v>
                </c:pt>
                <c:pt idx="20">
                  <c:v>1.3706600366561501</c:v>
                </c:pt>
                <c:pt idx="21">
                  <c:v>1.3705537044201801</c:v>
                </c:pt>
                <c:pt idx="22">
                  <c:v>1.3728198316204601</c:v>
                </c:pt>
                <c:pt idx="23">
                  <c:v>1.3786591213363</c:v>
                </c:pt>
                <c:pt idx="24">
                  <c:v>1.38114053668059</c:v>
                </c:pt>
                <c:pt idx="25">
                  <c:v>1.38187547577417</c:v>
                </c:pt>
                <c:pt idx="26">
                  <c:v>1.3815168514501801</c:v>
                </c:pt>
                <c:pt idx="27">
                  <c:v>1.38187993573745</c:v>
                </c:pt>
                <c:pt idx="28">
                  <c:v>1.3829227255105301</c:v>
                </c:pt>
                <c:pt idx="29">
                  <c:v>1.38510599617036</c:v>
                </c:pt>
                <c:pt idx="30">
                  <c:v>1.38799403467403</c:v>
                </c:pt>
                <c:pt idx="31">
                  <c:v>1.3909806172133601</c:v>
                </c:pt>
                <c:pt idx="32">
                  <c:v>1.39016453167746</c:v>
                </c:pt>
                <c:pt idx="33">
                  <c:v>1.3890676349364099</c:v>
                </c:pt>
                <c:pt idx="34">
                  <c:v>1.3875590410038301</c:v>
                </c:pt>
                <c:pt idx="35">
                  <c:v>1.3858346840461699</c:v>
                </c:pt>
                <c:pt idx="36">
                  <c:v>1.3852142649444099</c:v>
                </c:pt>
                <c:pt idx="37">
                  <c:v>1.38286120814695</c:v>
                </c:pt>
                <c:pt idx="38">
                  <c:v>1.38201770940716</c:v>
                </c:pt>
                <c:pt idx="39">
                  <c:v>1.3790458429860799</c:v>
                </c:pt>
                <c:pt idx="40">
                  <c:v>1.37714933377225</c:v>
                </c:pt>
                <c:pt idx="41">
                  <c:v>1.3748309118100699</c:v>
                </c:pt>
                <c:pt idx="42">
                  <c:v>1.3728632654506201</c:v>
                </c:pt>
                <c:pt idx="43">
                  <c:v>1.3682343236743799</c:v>
                </c:pt>
                <c:pt idx="44">
                  <c:v>1.3650744276012501</c:v>
                </c:pt>
                <c:pt idx="45">
                  <c:v>1.3637185523081301</c:v>
                </c:pt>
                <c:pt idx="46">
                  <c:v>1.3622677133186201</c:v>
                </c:pt>
                <c:pt idx="47">
                  <c:v>1.36163799655922</c:v>
                </c:pt>
                <c:pt idx="48">
                  <c:v>1.3598057514401001</c:v>
                </c:pt>
                <c:pt idx="49">
                  <c:v>1.35726213164443</c:v>
                </c:pt>
                <c:pt idx="50">
                  <c:v>1.3542356896802601</c:v>
                </c:pt>
                <c:pt idx="51">
                  <c:v>1.3527470021715</c:v>
                </c:pt>
                <c:pt idx="52">
                  <c:v>1.3511522351237899</c:v>
                </c:pt>
                <c:pt idx="53">
                  <c:v>1.3504856897745501</c:v>
                </c:pt>
                <c:pt idx="54">
                  <c:v>1.34942017697677</c:v>
                </c:pt>
                <c:pt idx="55">
                  <c:v>1.34945056761164</c:v>
                </c:pt>
                <c:pt idx="56">
                  <c:v>1.3480028614560899</c:v>
                </c:pt>
                <c:pt idx="57">
                  <c:v>1.3458194602806</c:v>
                </c:pt>
                <c:pt idx="58">
                  <c:v>1.3440995108984299</c:v>
                </c:pt>
                <c:pt idx="59">
                  <c:v>1.3454800176833801</c:v>
                </c:pt>
                <c:pt idx="60">
                  <c:v>1.3429665730383</c:v>
                </c:pt>
                <c:pt idx="61">
                  <c:v>1.33997894601919</c:v>
                </c:pt>
                <c:pt idx="62">
                  <c:v>1.3368215578728999</c:v>
                </c:pt>
                <c:pt idx="63">
                  <c:v>1.3334382635106701</c:v>
                </c:pt>
                <c:pt idx="64">
                  <c:v>1.33052929602795</c:v>
                </c:pt>
                <c:pt idx="65">
                  <c:v>1.32685324762682</c:v>
                </c:pt>
                <c:pt idx="66">
                  <c:v>1.32369993534064</c:v>
                </c:pt>
                <c:pt idx="67">
                  <c:v>1.32116644532566</c:v>
                </c:pt>
                <c:pt idx="68">
                  <c:v>1.31743073326465</c:v>
                </c:pt>
                <c:pt idx="69">
                  <c:v>1.3107302298610299</c:v>
                </c:pt>
                <c:pt idx="70">
                  <c:v>1.3075149704379301</c:v>
                </c:pt>
                <c:pt idx="71">
                  <c:v>1.3037093698834601</c:v>
                </c:pt>
                <c:pt idx="72">
                  <c:v>1.29972352212039</c:v>
                </c:pt>
                <c:pt idx="73">
                  <c:v>1.2962007560198401</c:v>
                </c:pt>
                <c:pt idx="74">
                  <c:v>1.29299654378441</c:v>
                </c:pt>
                <c:pt idx="75">
                  <c:v>1.2884369950130801</c:v>
                </c:pt>
                <c:pt idx="76">
                  <c:v>1.28537573961486</c:v>
                </c:pt>
                <c:pt idx="77">
                  <c:v>1.2819134245281301</c:v>
                </c:pt>
                <c:pt idx="78">
                  <c:v>1.2785603457479999</c:v>
                </c:pt>
                <c:pt idx="79">
                  <c:v>1.2769350874596499</c:v>
                </c:pt>
                <c:pt idx="80">
                  <c:v>1.27625844850348</c:v>
                </c:pt>
                <c:pt idx="81">
                  <c:v>1.2761660806828801</c:v>
                </c:pt>
                <c:pt idx="82">
                  <c:v>1.2770249735097501</c:v>
                </c:pt>
                <c:pt idx="83">
                  <c:v>1.2769292212210099</c:v>
                </c:pt>
                <c:pt idx="84">
                  <c:v>1.2766801503573499</c:v>
                </c:pt>
                <c:pt idx="85">
                  <c:v>1.27598300034485</c:v>
                </c:pt>
                <c:pt idx="86">
                  <c:v>1.2757051243709601</c:v>
                </c:pt>
                <c:pt idx="87">
                  <c:v>1.2744716456777301</c:v>
                </c:pt>
                <c:pt idx="88">
                  <c:v>1.2735867025133401</c:v>
                </c:pt>
                <c:pt idx="89">
                  <c:v>1.2733436802090901</c:v>
                </c:pt>
                <c:pt idx="90">
                  <c:v>1.2721313724482499</c:v>
                </c:pt>
                <c:pt idx="91">
                  <c:v>1.2707362302362899</c:v>
                </c:pt>
                <c:pt idx="92">
                  <c:v>1.27013458654053</c:v>
                </c:pt>
                <c:pt idx="93">
                  <c:v>1.27115358654317</c:v>
                </c:pt>
                <c:pt idx="94">
                  <c:v>1.27333224833503</c:v>
                </c:pt>
                <c:pt idx="95">
                  <c:v>1.2745312838748299</c:v>
                </c:pt>
                <c:pt idx="96">
                  <c:v>1.27459147080456</c:v>
                </c:pt>
                <c:pt idx="97">
                  <c:v>1.2766404230364501</c:v>
                </c:pt>
                <c:pt idx="98">
                  <c:v>1.2775299871656101</c:v>
                </c:pt>
                <c:pt idx="99">
                  <c:v>1.2761818426965299</c:v>
                </c:pt>
                <c:pt idx="100">
                  <c:v>1.27574951371566</c:v>
                </c:pt>
                <c:pt idx="101">
                  <c:v>1.27466109323301</c:v>
                </c:pt>
                <c:pt idx="102">
                  <c:v>1.2737628448435101</c:v>
                </c:pt>
                <c:pt idx="103">
                  <c:v>1.27386019009497</c:v>
                </c:pt>
                <c:pt idx="104">
                  <c:v>1.2733774612409201</c:v>
                </c:pt>
                <c:pt idx="105">
                  <c:v>1.27438181808933</c:v>
                </c:pt>
                <c:pt idx="106">
                  <c:v>1.2779669516980701</c:v>
                </c:pt>
                <c:pt idx="107">
                  <c:v>1.2797351570409301</c:v>
                </c:pt>
                <c:pt idx="108">
                  <c:v>1.2815945478474</c:v>
                </c:pt>
                <c:pt idx="109">
                  <c:v>1.2840203926313301</c:v>
                </c:pt>
                <c:pt idx="110">
                  <c:v>1.28580307462865</c:v>
                </c:pt>
                <c:pt idx="111">
                  <c:v>1.2873973282612301</c:v>
                </c:pt>
                <c:pt idx="112">
                  <c:v>1.28688412125607</c:v>
                </c:pt>
                <c:pt idx="113">
                  <c:v>1.2849982308531001</c:v>
                </c:pt>
                <c:pt idx="114">
                  <c:v>1.28042828526824</c:v>
                </c:pt>
                <c:pt idx="115">
                  <c:v>1.27535017149778</c:v>
                </c:pt>
                <c:pt idx="116">
                  <c:v>1.26579088480821</c:v>
                </c:pt>
                <c:pt idx="117">
                  <c:v>1.2569461920332901</c:v>
                </c:pt>
                <c:pt idx="118">
                  <c:v>1.24929210758877</c:v>
                </c:pt>
                <c:pt idx="119">
                  <c:v>1.2416768049615401</c:v>
                </c:pt>
                <c:pt idx="120">
                  <c:v>1.2338195506315699</c:v>
                </c:pt>
                <c:pt idx="121">
                  <c:v>1.2261464728596401</c:v>
                </c:pt>
                <c:pt idx="122">
                  <c:v>1.22008795740931</c:v>
                </c:pt>
                <c:pt idx="123">
                  <c:v>1.21484045663468</c:v>
                </c:pt>
                <c:pt idx="124">
                  <c:v>1.21235739627957</c:v>
                </c:pt>
                <c:pt idx="125">
                  <c:v>1.2104004175719201</c:v>
                </c:pt>
                <c:pt idx="126">
                  <c:v>1.21001901893688</c:v>
                </c:pt>
                <c:pt idx="127">
                  <c:v>1.20937023970522</c:v>
                </c:pt>
                <c:pt idx="128">
                  <c:v>1.2082399927154099</c:v>
                </c:pt>
                <c:pt idx="129">
                  <c:v>1.2078473130149701</c:v>
                </c:pt>
                <c:pt idx="130">
                  <c:v>1.20928817352725</c:v>
                </c:pt>
                <c:pt idx="131">
                  <c:v>1.21077335334116</c:v>
                </c:pt>
                <c:pt idx="132">
                  <c:v>1.2121494383899301</c:v>
                </c:pt>
                <c:pt idx="133">
                  <c:v>1.2153834417350899</c:v>
                </c:pt>
                <c:pt idx="134">
                  <c:v>1.2164346768566501</c:v>
                </c:pt>
                <c:pt idx="135">
                  <c:v>1.21855969269854</c:v>
                </c:pt>
                <c:pt idx="136">
                  <c:v>1.22012259667385</c:v>
                </c:pt>
                <c:pt idx="137">
                  <c:v>1.2225837833890401</c:v>
                </c:pt>
                <c:pt idx="138">
                  <c:v>1.2266007074362</c:v>
                </c:pt>
                <c:pt idx="139">
                  <c:v>1.23085762294099</c:v>
                </c:pt>
                <c:pt idx="140">
                  <c:v>1.2338963880307401</c:v>
                </c:pt>
                <c:pt idx="141">
                  <c:v>1.2397260657040301</c:v>
                </c:pt>
                <c:pt idx="142">
                  <c:v>1.2456293725146399</c:v>
                </c:pt>
                <c:pt idx="143">
                  <c:v>1.24637099354364</c:v>
                </c:pt>
                <c:pt idx="144">
                  <c:v>1.2501587966666801</c:v>
                </c:pt>
                <c:pt idx="145">
                  <c:v>1.25278313599909</c:v>
                </c:pt>
                <c:pt idx="146">
                  <c:v>1.2554499160238599</c:v>
                </c:pt>
                <c:pt idx="147">
                  <c:v>1.25786385228179</c:v>
                </c:pt>
                <c:pt idx="148">
                  <c:v>1.2586224263777499</c:v>
                </c:pt>
                <c:pt idx="149">
                  <c:v>1.2592297012887099</c:v>
                </c:pt>
                <c:pt idx="150">
                  <c:v>1.26073918048597</c:v>
                </c:pt>
                <c:pt idx="151">
                  <c:v>1.2599010257796099</c:v>
                </c:pt>
                <c:pt idx="152">
                  <c:v>1.25836848811464</c:v>
                </c:pt>
                <c:pt idx="153">
                  <c:v>1.2597757049699001</c:v>
                </c:pt>
                <c:pt idx="154">
                  <c:v>1.2589261443438899</c:v>
                </c:pt>
                <c:pt idx="155">
                  <c:v>1.25930097257581</c:v>
                </c:pt>
                <c:pt idx="156">
                  <c:v>1.26124104111935</c:v>
                </c:pt>
                <c:pt idx="157">
                  <c:v>1.2638520099122701</c:v>
                </c:pt>
                <c:pt idx="158">
                  <c:v>1.2679950560243201</c:v>
                </c:pt>
                <c:pt idx="159">
                  <c:v>1.2712213937997501</c:v>
                </c:pt>
                <c:pt idx="160">
                  <c:v>1.2741077594442101</c:v>
                </c:pt>
                <c:pt idx="161">
                  <c:v>1.27571763540325</c:v>
                </c:pt>
                <c:pt idx="162">
                  <c:v>1.2776039055092601</c:v>
                </c:pt>
                <c:pt idx="163">
                  <c:v>1.27845977570009</c:v>
                </c:pt>
                <c:pt idx="164">
                  <c:v>1.2811880787777901</c:v>
                </c:pt>
                <c:pt idx="165">
                  <c:v>1.28325615953424</c:v>
                </c:pt>
                <c:pt idx="166">
                  <c:v>1.2851393744629001</c:v>
                </c:pt>
                <c:pt idx="167">
                  <c:v>1.28646296530547</c:v>
                </c:pt>
                <c:pt idx="168">
                  <c:v>1.28749081101366</c:v>
                </c:pt>
                <c:pt idx="169">
                  <c:v>1.28800000808979</c:v>
                </c:pt>
                <c:pt idx="170">
                  <c:v>1.2865795442139301</c:v>
                </c:pt>
                <c:pt idx="171">
                  <c:v>1.28753878685575</c:v>
                </c:pt>
                <c:pt idx="172">
                  <c:v>1.2889406201736999</c:v>
                </c:pt>
                <c:pt idx="173">
                  <c:v>1.2911750538871301</c:v>
                </c:pt>
                <c:pt idx="174">
                  <c:v>1.29231774856272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2F-40B6-8046-2510A2810855}"/>
            </c:ext>
          </c:extLst>
        </c:ser>
        <c:ser>
          <c:idx val="2"/>
          <c:order val="2"/>
          <c:tx>
            <c:strRef>
              <c:f>Sheet1!$AA$1</c:f>
              <c:strCache>
                <c:ptCount val="1"/>
                <c:pt idx="0">
                  <c:v> IBB*/XBI*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Sheet1!$AA$2:$AA$176</c:f>
              <c:numCache>
                <c:formatCode>_(* #,##0.0000_);_(* \(#,##0.0000\);_(* "-"??_);_(@_)</c:formatCode>
                <c:ptCount val="175"/>
                <c:pt idx="19">
                  <c:v>1.37848330737452</c:v>
                </c:pt>
                <c:pt idx="20">
                  <c:v>1.3773180606230599</c:v>
                </c:pt>
                <c:pt idx="21">
                  <c:v>1.37575688048835</c:v>
                </c:pt>
                <c:pt idx="22">
                  <c:v>1.37508714228328</c:v>
                </c:pt>
                <c:pt idx="23">
                  <c:v>1.37561819231938</c:v>
                </c:pt>
                <c:pt idx="24">
                  <c:v>1.3757032810960601</c:v>
                </c:pt>
                <c:pt idx="25">
                  <c:v>1.37560443865628</c:v>
                </c:pt>
                <c:pt idx="26">
                  <c:v>1.3750898045708899</c:v>
                </c:pt>
                <c:pt idx="27">
                  <c:v>1.3751994600114601</c:v>
                </c:pt>
                <c:pt idx="28">
                  <c:v>1.3763240677010899</c:v>
                </c:pt>
                <c:pt idx="29">
                  <c:v>1.3779453042519401</c:v>
                </c:pt>
                <c:pt idx="30">
                  <c:v>1.37932703566509</c:v>
                </c:pt>
                <c:pt idx="31">
                  <c:v>1.38076716081677</c:v>
                </c:pt>
                <c:pt idx="32">
                  <c:v>1.38149218164896</c:v>
                </c:pt>
                <c:pt idx="33">
                  <c:v>1.3838633781363601</c:v>
                </c:pt>
                <c:pt idx="34">
                  <c:v>1.38434978884221</c:v>
                </c:pt>
                <c:pt idx="35">
                  <c:v>1.3838550799101701</c:v>
                </c:pt>
                <c:pt idx="36">
                  <c:v>1.3833655581972899</c:v>
                </c:pt>
                <c:pt idx="37">
                  <c:v>1.3823705719421999</c:v>
                </c:pt>
                <c:pt idx="38">
                  <c:v>1.3824702174588499</c:v>
                </c:pt>
                <c:pt idx="39">
                  <c:v>1.38207591957822</c:v>
                </c:pt>
                <c:pt idx="40">
                  <c:v>1.3825716842231399</c:v>
                </c:pt>
                <c:pt idx="41">
                  <c:v>1.38290576451172</c:v>
                </c:pt>
                <c:pt idx="42">
                  <c:v>1.3815138985640401</c:v>
                </c:pt>
                <c:pt idx="43">
                  <c:v>1.3786509793054</c:v>
                </c:pt>
                <c:pt idx="44">
                  <c:v>1.37631673430254</c:v>
                </c:pt>
                <c:pt idx="45">
                  <c:v>1.3747766181771499</c:v>
                </c:pt>
                <c:pt idx="46">
                  <c:v>1.37374098913151</c:v>
                </c:pt>
                <c:pt idx="47">
                  <c:v>1.3722496023530899</c:v>
                </c:pt>
                <c:pt idx="48">
                  <c:v>1.37091173042363</c:v>
                </c:pt>
                <c:pt idx="49">
                  <c:v>1.36815398731525</c:v>
                </c:pt>
                <c:pt idx="50">
                  <c:v>1.3656925117262499</c:v>
                </c:pt>
                <c:pt idx="51">
                  <c:v>1.36378895699078</c:v>
                </c:pt>
                <c:pt idx="52">
                  <c:v>1.3620077502872101</c:v>
                </c:pt>
                <c:pt idx="53">
                  <c:v>1.35936000672446</c:v>
                </c:pt>
                <c:pt idx="54">
                  <c:v>1.3572473022890099</c:v>
                </c:pt>
                <c:pt idx="55">
                  <c:v>1.35658455995988</c:v>
                </c:pt>
                <c:pt idx="56">
                  <c:v>1.3551352873873601</c:v>
                </c:pt>
                <c:pt idx="57">
                  <c:v>1.35372872841991</c:v>
                </c:pt>
                <c:pt idx="58">
                  <c:v>1.35195263116927</c:v>
                </c:pt>
                <c:pt idx="59">
                  <c:v>1.3513710746639001</c:v>
                </c:pt>
                <c:pt idx="60">
                  <c:v>1.3486011313592801</c:v>
                </c:pt>
                <c:pt idx="61">
                  <c:v>1.34636297409534</c:v>
                </c:pt>
                <c:pt idx="62">
                  <c:v>1.3439868964983499</c:v>
                </c:pt>
                <c:pt idx="63">
                  <c:v>1.3419619766426101</c:v>
                </c:pt>
                <c:pt idx="64">
                  <c:v>1.33997473650236</c:v>
                </c:pt>
                <c:pt idx="65">
                  <c:v>1.3381519076192301</c:v>
                </c:pt>
                <c:pt idx="66">
                  <c:v>1.33585139839837</c:v>
                </c:pt>
                <c:pt idx="67">
                  <c:v>1.3334929528031301</c:v>
                </c:pt>
                <c:pt idx="68">
                  <c:v>1.33076512208154</c:v>
                </c:pt>
                <c:pt idx="69">
                  <c:v>1.3281051237721999</c:v>
                </c:pt>
                <c:pt idx="70">
                  <c:v>1.32524077173812</c:v>
                </c:pt>
                <c:pt idx="71">
                  <c:v>1.32184415795132</c:v>
                </c:pt>
                <c:pt idx="72">
                  <c:v>1.31827253999664</c:v>
                </c:pt>
                <c:pt idx="73">
                  <c:v>1.31481950976526</c:v>
                </c:pt>
                <c:pt idx="74">
                  <c:v>1.31176291990618</c:v>
                </c:pt>
                <c:pt idx="75">
                  <c:v>1.30764512131995</c:v>
                </c:pt>
                <c:pt idx="76">
                  <c:v>1.3045378374777501</c:v>
                </c:pt>
                <c:pt idx="77">
                  <c:v>1.3015399349268999</c:v>
                </c:pt>
                <c:pt idx="78">
                  <c:v>1.2979955395063301</c:v>
                </c:pt>
                <c:pt idx="79">
                  <c:v>1.2938326586603399</c:v>
                </c:pt>
                <c:pt idx="80">
                  <c:v>1.2918867094707001</c:v>
                </c:pt>
                <c:pt idx="81">
                  <c:v>1.2899377252831701</c:v>
                </c:pt>
                <c:pt idx="82">
                  <c:v>1.2883742478150699</c:v>
                </c:pt>
                <c:pt idx="83">
                  <c:v>1.28656498862043</c:v>
                </c:pt>
                <c:pt idx="84">
                  <c:v>1.28483834707088</c:v>
                </c:pt>
                <c:pt idx="85">
                  <c:v>1.28220999767897</c:v>
                </c:pt>
                <c:pt idx="86">
                  <c:v>1.2805404319929099</c:v>
                </c:pt>
                <c:pt idx="87">
                  <c:v>1.27819253510293</c:v>
                </c:pt>
                <c:pt idx="88">
                  <c:v>1.27607352413067</c:v>
                </c:pt>
                <c:pt idx="89">
                  <c:v>1.2751393838343701</c:v>
                </c:pt>
                <c:pt idx="90">
                  <c:v>1.2741949104758601</c:v>
                </c:pt>
                <c:pt idx="91">
                  <c:v>1.27345115545959</c:v>
                </c:pt>
                <c:pt idx="92">
                  <c:v>1.2735797800251401</c:v>
                </c:pt>
                <c:pt idx="93">
                  <c:v>1.27404140388209</c:v>
                </c:pt>
                <c:pt idx="94">
                  <c:v>1.2750061993461901</c:v>
                </c:pt>
                <c:pt idx="95">
                  <c:v>1.27525714210984</c:v>
                </c:pt>
                <c:pt idx="96">
                  <c:v>1.2751482975877599</c:v>
                </c:pt>
                <c:pt idx="97">
                  <c:v>1.27555603435709</c:v>
                </c:pt>
                <c:pt idx="98">
                  <c:v>1.2755583448394701</c:v>
                </c:pt>
                <c:pt idx="99">
                  <c:v>1.2747627614528101</c:v>
                </c:pt>
                <c:pt idx="100">
                  <c:v>1.2739404430819601</c:v>
                </c:pt>
                <c:pt idx="101">
                  <c:v>1.2726986617346501</c:v>
                </c:pt>
                <c:pt idx="102">
                  <c:v>1.2719487156920199</c:v>
                </c:pt>
                <c:pt idx="103">
                  <c:v>1.27250688831907</c:v>
                </c:pt>
                <c:pt idx="104">
                  <c:v>1.2733548547879801</c:v>
                </c:pt>
                <c:pt idx="105">
                  <c:v>1.27445655098208</c:v>
                </c:pt>
                <c:pt idx="106">
                  <c:v>1.2762792112513199</c:v>
                </c:pt>
                <c:pt idx="107">
                  <c:v>1.27818779003869</c:v>
                </c:pt>
                <c:pt idx="108">
                  <c:v>1.2795622675064999</c:v>
                </c:pt>
                <c:pt idx="109">
                  <c:v>1.2801011176639301</c:v>
                </c:pt>
                <c:pt idx="110">
                  <c:v>1.2807762941721501</c:v>
                </c:pt>
                <c:pt idx="111">
                  <c:v>1.28102921074712</c:v>
                </c:pt>
                <c:pt idx="112">
                  <c:v>1.28032348304979</c:v>
                </c:pt>
                <c:pt idx="113">
                  <c:v>1.2794292104740299</c:v>
                </c:pt>
                <c:pt idx="114">
                  <c:v>1.27690287325458</c:v>
                </c:pt>
                <c:pt idx="115">
                  <c:v>1.2748659947935499</c:v>
                </c:pt>
                <c:pt idx="116">
                  <c:v>1.27187891825314</c:v>
                </c:pt>
                <c:pt idx="117">
                  <c:v>1.26834067453711</c:v>
                </c:pt>
                <c:pt idx="118">
                  <c:v>1.2654433277180901</c:v>
                </c:pt>
                <c:pt idx="119">
                  <c:v>1.26284859879643</c:v>
                </c:pt>
                <c:pt idx="120">
                  <c:v>1.25981131263011</c:v>
                </c:pt>
                <c:pt idx="121">
                  <c:v>1.2567719005604401</c:v>
                </c:pt>
                <c:pt idx="122">
                  <c:v>1.2534860393326901</c:v>
                </c:pt>
                <c:pt idx="123">
                  <c:v>1.24991934374389</c:v>
                </c:pt>
                <c:pt idx="124">
                  <c:v>1.24639284077391</c:v>
                </c:pt>
                <c:pt idx="125">
                  <c:v>1.24287529453485</c:v>
                </c:pt>
                <c:pt idx="126">
                  <c:v>1.23790495187255</c:v>
                </c:pt>
                <c:pt idx="127">
                  <c:v>1.23315821586925</c:v>
                </c:pt>
                <c:pt idx="128">
                  <c:v>1.2287660501520901</c:v>
                </c:pt>
                <c:pt idx="129">
                  <c:v>1.22476205898825</c:v>
                </c:pt>
                <c:pt idx="130">
                  <c:v>1.22155386207941</c:v>
                </c:pt>
                <c:pt idx="131">
                  <c:v>1.2184599131003999</c:v>
                </c:pt>
                <c:pt idx="132">
                  <c:v>1.2161186978996199</c:v>
                </c:pt>
                <c:pt idx="133">
                  <c:v>1.2151119491848901</c:v>
                </c:pt>
                <c:pt idx="134">
                  <c:v>1.2143960365681099</c:v>
                </c:pt>
                <c:pt idx="135">
                  <c:v>1.2144800551352299</c:v>
                </c:pt>
                <c:pt idx="136">
                  <c:v>1.21507080780537</c:v>
                </c:pt>
                <c:pt idx="137">
                  <c:v>1.21597701154713</c:v>
                </c:pt>
                <c:pt idx="138">
                  <c:v>1.2174203500758001</c:v>
                </c:pt>
                <c:pt idx="139">
                  <c:v>1.2193524679779799</c:v>
                </c:pt>
                <c:pt idx="140">
                  <c:v>1.2215922807790001</c:v>
                </c:pt>
                <c:pt idx="141">
                  <c:v>1.22524970952259</c:v>
                </c:pt>
                <c:pt idx="142">
                  <c:v>1.2288894054522801</c:v>
                </c:pt>
                <c:pt idx="143">
                  <c:v>1.2308772176393601</c:v>
                </c:pt>
                <c:pt idx="144">
                  <c:v>1.2332967367616701</c:v>
                </c:pt>
                <c:pt idx="145">
                  <c:v>1.2356714143488201</c:v>
                </c:pt>
                <c:pt idx="146">
                  <c:v>1.23778625634886</c:v>
                </c:pt>
                <c:pt idx="147">
                  <c:v>1.2402238178354099</c:v>
                </c:pt>
                <c:pt idx="148">
                  <c:v>1.2426115669069699</c:v>
                </c:pt>
                <c:pt idx="149">
                  <c:v>1.24504366211485</c:v>
                </c:pt>
                <c:pt idx="150">
                  <c:v>1.24731778425836</c:v>
                </c:pt>
                <c:pt idx="151">
                  <c:v>1.24981354574182</c:v>
                </c:pt>
                <c:pt idx="152">
                  <c:v>1.2519989303146399</c:v>
                </c:pt>
                <c:pt idx="153">
                  <c:v>1.2530733492567701</c:v>
                </c:pt>
                <c:pt idx="154">
                  <c:v>1.2545424705052901</c:v>
                </c:pt>
                <c:pt idx="155">
                  <c:v>1.25604205428745</c:v>
                </c:pt>
                <c:pt idx="156">
                  <c:v>1.2583454785716099</c:v>
                </c:pt>
                <c:pt idx="157">
                  <c:v>1.26085793109703</c:v>
                </c:pt>
                <c:pt idx="158">
                  <c:v>1.26330874120103</c:v>
                </c:pt>
                <c:pt idx="159">
                  <c:v>1.26522554754423</c:v>
                </c:pt>
                <c:pt idx="160">
                  <c:v>1.2674234699650899</c:v>
                </c:pt>
                <c:pt idx="161">
                  <c:v>1.26780933059143</c:v>
                </c:pt>
                <c:pt idx="162">
                  <c:v>1.2679861968119499</c:v>
                </c:pt>
                <c:pt idx="163">
                  <c:v>1.26911774033499</c:v>
                </c:pt>
                <c:pt idx="164">
                  <c:v>1.2700571115608399</c:v>
                </c:pt>
                <c:pt idx="165">
                  <c:v>1.2712785660550301</c:v>
                </c:pt>
                <c:pt idx="166">
                  <c:v>1.2731902077911299</c:v>
                </c:pt>
                <c:pt idx="167">
                  <c:v>1.27515748760887</c:v>
                </c:pt>
                <c:pt idx="168">
                  <c:v>1.27774293351899</c:v>
                </c:pt>
                <c:pt idx="169">
                  <c:v>1.2796107009447699</c:v>
                </c:pt>
                <c:pt idx="170">
                  <c:v>1.2803436518290701</c:v>
                </c:pt>
                <c:pt idx="171">
                  <c:v>1.2816282111295001</c:v>
                </c:pt>
                <c:pt idx="172">
                  <c:v>1.2832722628414801</c:v>
                </c:pt>
                <c:pt idx="173">
                  <c:v>1.28481741479361</c:v>
                </c:pt>
                <c:pt idx="174">
                  <c:v>1.28675291367025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C2F-40B6-8046-2510A28108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47712"/>
        <c:axId val="205325072"/>
      </c:lineChart>
      <c:catAx>
        <c:axId val="167954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25072"/>
        <c:crosses val="autoZero"/>
        <c:auto val="1"/>
        <c:lblAlgn val="ctr"/>
        <c:lblOffset val="100"/>
        <c:noMultiLvlLbl val="0"/>
      </c:catAx>
      <c:valAx>
        <c:axId val="2053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Sheet1!$U$1</c:f>
              <c:strCache>
                <c:ptCount val="1"/>
                <c:pt idx="0">
                  <c:v>log diff XBI x avg / IBB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Sheet1!$U$2:$U$176</c:f>
              <c:numCache>
                <c:formatCode>0.0000%</c:formatCode>
                <c:ptCount val="175"/>
                <c:pt idx="1">
                  <c:v>-6.7193776231800603E-2</c:v>
                </c:pt>
                <c:pt idx="2">
                  <c:v>-7.4214671142807206E-2</c:v>
                </c:pt>
                <c:pt idx="3">
                  <c:v>-7.0897998312877797E-2</c:v>
                </c:pt>
                <c:pt idx="4">
                  <c:v>-6.69719140331132E-2</c:v>
                </c:pt>
                <c:pt idx="5">
                  <c:v>-6.1360703548950797E-2</c:v>
                </c:pt>
                <c:pt idx="6">
                  <c:v>-6.0190183633722402E-2</c:v>
                </c:pt>
                <c:pt idx="7">
                  <c:v>-6.0369064358627503E-2</c:v>
                </c:pt>
                <c:pt idx="8">
                  <c:v>-4.5446761687341901E-2</c:v>
                </c:pt>
                <c:pt idx="9">
                  <c:v>-5.1894038274891897E-2</c:v>
                </c:pt>
                <c:pt idx="10">
                  <c:v>-4.9738056856689999E-2</c:v>
                </c:pt>
                <c:pt idx="11">
                  <c:v>-4.5300804842807699E-2</c:v>
                </c:pt>
                <c:pt idx="12">
                  <c:v>-4.81713834039426E-2</c:v>
                </c:pt>
                <c:pt idx="13">
                  <c:v>-3.61270685929806E-2</c:v>
                </c:pt>
                <c:pt idx="14">
                  <c:v>-5.0234264927200602E-2</c:v>
                </c:pt>
                <c:pt idx="15">
                  <c:v>-5.46025111282364E-2</c:v>
                </c:pt>
                <c:pt idx="16">
                  <c:v>-5.5329328590525001E-2</c:v>
                </c:pt>
                <c:pt idx="17">
                  <c:v>-5.9329162632311999E-2</c:v>
                </c:pt>
                <c:pt idx="18">
                  <c:v>-5.4260373292088299E-2</c:v>
                </c:pt>
                <c:pt idx="19">
                  <c:v>-5.9586689927238E-2</c:v>
                </c:pt>
                <c:pt idx="20">
                  <c:v>-4.8827439521829399E-2</c:v>
                </c:pt>
                <c:pt idx="21">
                  <c:v>-4.4520136690624698E-2</c:v>
                </c:pt>
                <c:pt idx="22">
                  <c:v>-6.4618631546812494E-2</c:v>
                </c:pt>
                <c:pt idx="23">
                  <c:v>-7.8466956577821698E-2</c:v>
                </c:pt>
                <c:pt idx="24">
                  <c:v>-6.8193312552589397E-2</c:v>
                </c:pt>
                <c:pt idx="25">
                  <c:v>-5.9932003908445101E-2</c:v>
                </c:pt>
                <c:pt idx="26">
                  <c:v>-5.2720275943498401E-2</c:v>
                </c:pt>
                <c:pt idx="27">
                  <c:v>-6.1953242729891798E-2</c:v>
                </c:pt>
                <c:pt idx="28">
                  <c:v>-6.1816441451023697E-2</c:v>
                </c:pt>
                <c:pt idx="29">
                  <c:v>-7.52588082824589E-2</c:v>
                </c:pt>
                <c:pt idx="30">
                  <c:v>-6.9727954846418805E-2</c:v>
                </c:pt>
                <c:pt idx="31">
                  <c:v>-6.6218417595962795E-2</c:v>
                </c:pt>
                <c:pt idx="32">
                  <c:v>-5.8726711454199297E-2</c:v>
                </c:pt>
                <c:pt idx="33">
                  <c:v>-7.0649051245554401E-2</c:v>
                </c:pt>
                <c:pt idx="34">
                  <c:v>-5.7313468756932003E-2</c:v>
                </c:pt>
                <c:pt idx="35">
                  <c:v>-4.7382482146488401E-2</c:v>
                </c:pt>
                <c:pt idx="36">
                  <c:v>-4.8190484649060603E-2</c:v>
                </c:pt>
                <c:pt idx="37">
                  <c:v>-4.4823663835157797E-2</c:v>
                </c:pt>
                <c:pt idx="38">
                  <c:v>-5.5708858626358999E-2</c:v>
                </c:pt>
                <c:pt idx="39">
                  <c:v>-5.3865003928591997E-2</c:v>
                </c:pt>
                <c:pt idx="40">
                  <c:v>-5.6052410880609999E-2</c:v>
                </c:pt>
                <c:pt idx="41">
                  <c:v>-4.9415539558505098E-2</c:v>
                </c:pt>
                <c:pt idx="42">
                  <c:v>-4.4376422181652102E-2</c:v>
                </c:pt>
                <c:pt idx="43">
                  <c:v>-3.6966998020623199E-2</c:v>
                </c:pt>
                <c:pt idx="44">
                  <c:v>-3.4133571828258803E-2</c:v>
                </c:pt>
                <c:pt idx="45">
                  <c:v>-3.7402886780915801E-2</c:v>
                </c:pt>
                <c:pt idx="46">
                  <c:v>-3.7516859661698702E-2</c:v>
                </c:pt>
                <c:pt idx="47">
                  <c:v>-4.0189296759651903E-2</c:v>
                </c:pt>
                <c:pt idx="48">
                  <c:v>-4.2312053132958799E-2</c:v>
                </c:pt>
                <c:pt idx="49">
                  <c:v>-3.5183356491714397E-2</c:v>
                </c:pt>
                <c:pt idx="50">
                  <c:v>-3.3105675301423998E-2</c:v>
                </c:pt>
                <c:pt idx="51">
                  <c:v>-3.7731907855908998E-2</c:v>
                </c:pt>
                <c:pt idx="52">
                  <c:v>-3.1852136030750301E-2</c:v>
                </c:pt>
                <c:pt idx="53">
                  <c:v>-3.1268826672834898E-2</c:v>
                </c:pt>
                <c:pt idx="54">
                  <c:v>-2.6194617074423401E-2</c:v>
                </c:pt>
                <c:pt idx="55">
                  <c:v>-3.76276643609905E-2</c:v>
                </c:pt>
                <c:pt idx="56">
                  <c:v>-2.6751500504184501E-2</c:v>
                </c:pt>
                <c:pt idx="57">
                  <c:v>-2.3952270184767199E-2</c:v>
                </c:pt>
                <c:pt idx="58">
                  <c:v>-2.9570879194859599E-2</c:v>
                </c:pt>
                <c:pt idx="59">
                  <c:v>-4.5365789026667602E-2</c:v>
                </c:pt>
                <c:pt idx="60">
                  <c:v>-1.4999153323717001E-2</c:v>
                </c:pt>
                <c:pt idx="61">
                  <c:v>-1.6151984528973599E-2</c:v>
                </c:pt>
                <c:pt idx="62">
                  <c:v>-8.8446509585227307E-3</c:v>
                </c:pt>
                <c:pt idx="63">
                  <c:v>-6.53854536567484E-3</c:v>
                </c:pt>
                <c:pt idx="64">
                  <c:v>-4.1938802408682703E-3</c:v>
                </c:pt>
                <c:pt idx="65">
                  <c:v>-1.0065267465281301E-2</c:v>
                </c:pt>
                <c:pt idx="66">
                  <c:v>-2.8939888956716099E-3</c:v>
                </c:pt>
                <c:pt idx="67">
                  <c:v>-4.7752851396743604E-3</c:v>
                </c:pt>
                <c:pt idx="68">
                  <c:v>-1.32494710177912E-3</c:v>
                </c:pt>
                <c:pt idx="69">
                  <c:v>5.0555134492120497E-3</c:v>
                </c:pt>
                <c:pt idx="70">
                  <c:v>9.6240043654018705E-3</c:v>
                </c:pt>
                <c:pt idx="71">
                  <c:v>1.30246095558348E-2</c:v>
                </c:pt>
                <c:pt idx="72">
                  <c:v>2.19629609019606E-2</c:v>
                </c:pt>
                <c:pt idx="73">
                  <c:v>2.0704291382630899E-2</c:v>
                </c:pt>
                <c:pt idx="74">
                  <c:v>2.0613535093332799E-2</c:v>
                </c:pt>
                <c:pt idx="75">
                  <c:v>2.52119484166425E-2</c:v>
                </c:pt>
                <c:pt idx="76">
                  <c:v>2.0824600866898298E-2</c:v>
                </c:pt>
                <c:pt idx="77">
                  <c:v>2.20416295618849E-2</c:v>
                </c:pt>
                <c:pt idx="78">
                  <c:v>2.4725716221509899E-2</c:v>
                </c:pt>
                <c:pt idx="79">
                  <c:v>1.7678497416551E-2</c:v>
                </c:pt>
                <c:pt idx="80">
                  <c:v>1.4883986104295E-2</c:v>
                </c:pt>
                <c:pt idx="81">
                  <c:v>1.37434610780227E-2</c:v>
                </c:pt>
                <c:pt idx="82">
                  <c:v>1.52436710943127E-2</c:v>
                </c:pt>
                <c:pt idx="83">
                  <c:v>2.1455239401496601E-2</c:v>
                </c:pt>
                <c:pt idx="84">
                  <c:v>2.2567899225767098E-2</c:v>
                </c:pt>
                <c:pt idx="85">
                  <c:v>3.07171908167597E-2</c:v>
                </c:pt>
                <c:pt idx="86">
                  <c:v>2.3005695134281901E-2</c:v>
                </c:pt>
                <c:pt idx="87">
                  <c:v>3.1771818588255403E-2</c:v>
                </c:pt>
                <c:pt idx="88">
                  <c:v>3.1715705192018898E-2</c:v>
                </c:pt>
                <c:pt idx="89">
                  <c:v>1.9579761717989901E-2</c:v>
                </c:pt>
                <c:pt idx="90">
                  <c:v>2.4377844489529499E-2</c:v>
                </c:pt>
                <c:pt idx="91">
                  <c:v>2.4664460694031502E-2</c:v>
                </c:pt>
                <c:pt idx="92">
                  <c:v>1.9945709194536299E-2</c:v>
                </c:pt>
                <c:pt idx="93">
                  <c:v>1.3492404361039E-2</c:v>
                </c:pt>
                <c:pt idx="94">
                  <c:v>5.6008131690943701E-3</c:v>
                </c:pt>
                <c:pt idx="95">
                  <c:v>2.12673468927514E-2</c:v>
                </c:pt>
                <c:pt idx="96">
                  <c:v>2.2532874243405599E-2</c:v>
                </c:pt>
                <c:pt idx="97">
                  <c:v>1.56604357920683E-2</c:v>
                </c:pt>
                <c:pt idx="98">
                  <c:v>2.4689344077792299E-2</c:v>
                </c:pt>
                <c:pt idx="99">
                  <c:v>3.0193009722977199E-2</c:v>
                </c:pt>
                <c:pt idx="100">
                  <c:v>2.77854330179341E-2</c:v>
                </c:pt>
                <c:pt idx="101">
                  <c:v>3.3268079387927002E-2</c:v>
                </c:pt>
                <c:pt idx="102">
                  <c:v>2.7007212047475498E-2</c:v>
                </c:pt>
                <c:pt idx="103">
                  <c:v>1.2735020806822501E-2</c:v>
                </c:pt>
                <c:pt idx="104">
                  <c:v>9.3354835602149893E-3</c:v>
                </c:pt>
                <c:pt idx="105">
                  <c:v>1.34199597151534E-2</c:v>
                </c:pt>
                <c:pt idx="106">
                  <c:v>-5.2356836436542103E-3</c:v>
                </c:pt>
                <c:pt idx="107">
                  <c:v>1.9622855547866201E-3</c:v>
                </c:pt>
                <c:pt idx="108">
                  <c:v>1.01601930908912E-2</c:v>
                </c:pt>
                <c:pt idx="109">
                  <c:v>1.11758568768516E-2</c:v>
                </c:pt>
                <c:pt idx="110">
                  <c:v>1.3808616193813201E-2</c:v>
                </c:pt>
                <c:pt idx="111">
                  <c:v>2.0691065830263099E-2</c:v>
                </c:pt>
                <c:pt idx="112">
                  <c:v>3.1202317074155099E-2</c:v>
                </c:pt>
                <c:pt idx="113">
                  <c:v>2.7649712091931799E-2</c:v>
                </c:pt>
                <c:pt idx="114">
                  <c:v>4.5536973943687602E-2</c:v>
                </c:pt>
                <c:pt idx="115">
                  <c:v>5.3880842451084099E-2</c:v>
                </c:pt>
                <c:pt idx="116">
                  <c:v>7.0590457435432005E-2</c:v>
                </c:pt>
                <c:pt idx="117">
                  <c:v>7.24405395548256E-2</c:v>
                </c:pt>
                <c:pt idx="118">
                  <c:v>7.1372092612579596E-2</c:v>
                </c:pt>
                <c:pt idx="119">
                  <c:v>7.2131771284657503E-2</c:v>
                </c:pt>
                <c:pt idx="120">
                  <c:v>7.69347621260415E-2</c:v>
                </c:pt>
                <c:pt idx="121">
                  <c:v>8.2729870790031995E-2</c:v>
                </c:pt>
                <c:pt idx="122">
                  <c:v>8.0245420983889995E-2</c:v>
                </c:pt>
                <c:pt idx="123">
                  <c:v>6.9812928479780198E-2</c:v>
                </c:pt>
                <c:pt idx="124">
                  <c:v>6.5554748376653593E-2</c:v>
                </c:pt>
                <c:pt idx="125">
                  <c:v>6.9728436470307395E-2</c:v>
                </c:pt>
                <c:pt idx="126">
                  <c:v>7.3738390309187302E-2</c:v>
                </c:pt>
                <c:pt idx="127">
                  <c:v>7.7811216976696101E-2</c:v>
                </c:pt>
                <c:pt idx="128">
                  <c:v>8.0737092112511205E-2</c:v>
                </c:pt>
                <c:pt idx="129">
                  <c:v>7.5377972911171695E-2</c:v>
                </c:pt>
                <c:pt idx="130">
                  <c:v>6.5056353482331297E-2</c:v>
                </c:pt>
                <c:pt idx="131">
                  <c:v>7.04176117344152E-2</c:v>
                </c:pt>
                <c:pt idx="132">
                  <c:v>6.8860584817084902E-2</c:v>
                </c:pt>
                <c:pt idx="133">
                  <c:v>4.3531659720731801E-2</c:v>
                </c:pt>
                <c:pt idx="134">
                  <c:v>5.6972307149666397E-2</c:v>
                </c:pt>
                <c:pt idx="135">
                  <c:v>5.2383255253425097E-2</c:v>
                </c:pt>
                <c:pt idx="136">
                  <c:v>6.0901145769155597E-2</c:v>
                </c:pt>
                <c:pt idx="137">
                  <c:v>5.7588258922239101E-2</c:v>
                </c:pt>
                <c:pt idx="138">
                  <c:v>4.7844278169856799E-2</c:v>
                </c:pt>
                <c:pt idx="139">
                  <c:v>4.0736750902143501E-2</c:v>
                </c:pt>
                <c:pt idx="140">
                  <c:v>4.0458101345246099E-2</c:v>
                </c:pt>
                <c:pt idx="141">
                  <c:v>2.35033073417352E-2</c:v>
                </c:pt>
                <c:pt idx="142">
                  <c:v>2.14397677179608E-2</c:v>
                </c:pt>
                <c:pt idx="143">
                  <c:v>3.76009724579296E-2</c:v>
                </c:pt>
                <c:pt idx="144">
                  <c:v>2.66449952478948E-2</c:v>
                </c:pt>
                <c:pt idx="145">
                  <c:v>3.1369456637895102E-2</c:v>
                </c:pt>
                <c:pt idx="146">
                  <c:v>3.9370433442507E-2</c:v>
                </c:pt>
                <c:pt idx="147">
                  <c:v>3.8143048737558201E-2</c:v>
                </c:pt>
                <c:pt idx="148">
                  <c:v>4.1752292382709597E-2</c:v>
                </c:pt>
                <c:pt idx="149">
                  <c:v>3.5891342479157901E-2</c:v>
                </c:pt>
                <c:pt idx="150">
                  <c:v>2.8460459325816499E-2</c:v>
                </c:pt>
                <c:pt idx="151">
                  <c:v>3.01143845274894E-2</c:v>
                </c:pt>
                <c:pt idx="152">
                  <c:v>3.3536059525968803E-2</c:v>
                </c:pt>
                <c:pt idx="153">
                  <c:v>2.6443348513426699E-2</c:v>
                </c:pt>
                <c:pt idx="154">
                  <c:v>3.3367498215152801E-2</c:v>
                </c:pt>
                <c:pt idx="155">
                  <c:v>2.8403822075348702E-2</c:v>
                </c:pt>
                <c:pt idx="156">
                  <c:v>2.3993209746505401E-2</c:v>
                </c:pt>
                <c:pt idx="157">
                  <c:v>1.7527796272791E-2</c:v>
                </c:pt>
                <c:pt idx="158">
                  <c:v>9.1195868349953097E-3</c:v>
                </c:pt>
                <c:pt idx="159">
                  <c:v>1.0535066956641101E-2</c:v>
                </c:pt>
                <c:pt idx="160">
                  <c:v>5.9122538890011098E-3</c:v>
                </c:pt>
                <c:pt idx="161">
                  <c:v>1.7454641385382001E-2</c:v>
                </c:pt>
                <c:pt idx="162">
                  <c:v>1.8668426299303799E-2</c:v>
                </c:pt>
                <c:pt idx="163">
                  <c:v>1.9717660549533299E-2</c:v>
                </c:pt>
                <c:pt idx="164">
                  <c:v>1.19372109935501E-2</c:v>
                </c:pt>
                <c:pt idx="165">
                  <c:v>1.2197476420391999E-2</c:v>
                </c:pt>
                <c:pt idx="166">
                  <c:v>9.2894260520335805E-3</c:v>
                </c:pt>
                <c:pt idx="167">
                  <c:v>7.2373215243342198E-3</c:v>
                </c:pt>
                <c:pt idx="168">
                  <c:v>1.18598299163883E-3</c:v>
                </c:pt>
                <c:pt idx="169">
                  <c:v>6.5913071058997501E-3</c:v>
                </c:pt>
                <c:pt idx="170">
                  <c:v>1.6945348767140801E-2</c:v>
                </c:pt>
                <c:pt idx="171">
                  <c:v>9.9868494709971101E-3</c:v>
                </c:pt>
                <c:pt idx="172">
                  <c:v>7.76057756253027E-3</c:v>
                </c:pt>
                <c:pt idx="173">
                  <c:v>2.3690778698821401E-3</c:v>
                </c:pt>
                <c:pt idx="174">
                  <c:v>3.0962563594267001E-3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44-4722-A8AF-9A5526671E83}"/>
            </c:ext>
          </c:extLst>
        </c:ser>
        <c:ser>
          <c:idx val="1"/>
          <c:order val="1"/>
          <c:tx>
            <c:strRef>
              <c:f>Sheet1!$V$1</c:f>
              <c:strCache>
                <c:ptCount val="1"/>
                <c:pt idx="0">
                  <c:v>log diff XBI x 10 dma / IBB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Sheet1!$V$2:$V$176</c:f>
              <c:numCache>
                <c:formatCode>0.0000%</c:formatCode>
                <c:ptCount val="175"/>
                <c:pt idx="10">
                  <c:v>1.2722217710910699E-2</c:v>
                </c:pt>
                <c:pt idx="11">
                  <c:v>1.5566839829653E-2</c:v>
                </c:pt>
                <c:pt idx="12">
                  <c:v>1.05146345865944E-2</c:v>
                </c:pt>
                <c:pt idx="13">
                  <c:v>1.9944595123128701E-2</c:v>
                </c:pt>
                <c:pt idx="14">
                  <c:v>2.3629892818810899E-3</c:v>
                </c:pt>
                <c:pt idx="15">
                  <c:v>-3.6905433862237302E-3</c:v>
                </c:pt>
                <c:pt idx="16">
                  <c:v>-5.0982078365435501E-3</c:v>
                </c:pt>
                <c:pt idx="17">
                  <c:v>-9.5879212070025793E-3</c:v>
                </c:pt>
                <c:pt idx="18">
                  <c:v>-4.6241840115225996E-3</c:v>
                </c:pt>
                <c:pt idx="19">
                  <c:v>-9.0693333653211593E-3</c:v>
                </c:pt>
                <c:pt idx="20">
                  <c:v>2.4629136619045799E-3</c:v>
                </c:pt>
                <c:pt idx="21">
                  <c:v>6.6793332593297998E-3</c:v>
                </c:pt>
                <c:pt idx="22">
                  <c:v>-1.3496742001789901E-2</c:v>
                </c:pt>
                <c:pt idx="23">
                  <c:v>-2.5692993273298499E-2</c:v>
                </c:pt>
                <c:pt idx="24">
                  <c:v>-1.1174869401263301E-2</c:v>
                </c:pt>
                <c:pt idx="25">
                  <c:v>-1.1153026801074199E-3</c:v>
                </c:pt>
                <c:pt idx="26">
                  <c:v>6.6284085289451296E-3</c:v>
                </c:pt>
                <c:pt idx="27">
                  <c:v>-2.86411193896528E-3</c:v>
                </c:pt>
                <c:pt idx="28">
                  <c:v>-2.46452951260558E-3</c:v>
                </c:pt>
                <c:pt idx="29">
                  <c:v>-1.51525641545189E-2</c:v>
                </c:pt>
                <c:pt idx="30">
                  <c:v>-8.0442190577313197E-3</c:v>
                </c:pt>
                <c:pt idx="31">
                  <c:v>-2.4517857590393502E-3</c:v>
                </c:pt>
                <c:pt idx="32">
                  <c:v>7.18933451080115E-3</c:v>
                </c:pt>
                <c:pt idx="33">
                  <c:v>-5.31987544779594E-3</c:v>
                </c:pt>
                <c:pt idx="34">
                  <c:v>7.2263546353827602E-3</c:v>
                </c:pt>
                <c:pt idx="35">
                  <c:v>1.6070703208313799E-2</c:v>
                </c:pt>
                <c:pt idx="36">
                  <c:v>1.40192009716197E-2</c:v>
                </c:pt>
                <c:pt idx="37">
                  <c:v>1.69382353165341E-2</c:v>
                </c:pt>
                <c:pt idx="38">
                  <c:v>4.3529009250062797E-3</c:v>
                </c:pt>
                <c:pt idx="39">
                  <c:v>5.5866032138586798E-3</c:v>
                </c:pt>
                <c:pt idx="40">
                  <c:v>1.2464985695529499E-3</c:v>
                </c:pt>
                <c:pt idx="41">
                  <c:v>6.5071904910581502E-3</c:v>
                </c:pt>
                <c:pt idx="42">
                  <c:v>9.8613956928426602E-3</c:v>
                </c:pt>
                <c:pt idx="43">
                  <c:v>1.5838603188657999E-2</c:v>
                </c:pt>
                <c:pt idx="44">
                  <c:v>1.52945894862639E-2</c:v>
                </c:pt>
                <c:pt idx="45">
                  <c:v>9.7131336315680796E-3</c:v>
                </c:pt>
                <c:pt idx="46">
                  <c:v>8.60540606533069E-3</c:v>
                </c:pt>
                <c:pt idx="47">
                  <c:v>4.8685181704022397E-3</c:v>
                </c:pt>
                <c:pt idx="48">
                  <c:v>2.2833986775993402E-3</c:v>
                </c:pt>
                <c:pt idx="49">
                  <c:v>8.0655707784709103E-3</c:v>
                </c:pt>
                <c:pt idx="50">
                  <c:v>8.2709244096397395E-3</c:v>
                </c:pt>
                <c:pt idx="51">
                  <c:v>1.3399535795475201E-3</c:v>
                </c:pt>
                <c:pt idx="52">
                  <c:v>6.04539463515316E-3</c:v>
                </c:pt>
                <c:pt idx="53">
                  <c:v>5.37521040433707E-3</c:v>
                </c:pt>
                <c:pt idx="54">
                  <c:v>9.8808781223064697E-3</c:v>
                </c:pt>
                <c:pt idx="55">
                  <c:v>-2.3416991185967501E-3</c:v>
                </c:pt>
                <c:pt idx="56">
                  <c:v>8.5569924083093406E-3</c:v>
                </c:pt>
                <c:pt idx="57">
                  <c:v>1.02825172582911E-2</c:v>
                </c:pt>
                <c:pt idx="58">
                  <c:v>3.0423837320987701E-3</c:v>
                </c:pt>
                <c:pt idx="59">
                  <c:v>-1.40317175432291E-2</c:v>
                </c:pt>
                <c:pt idx="60">
                  <c:v>1.73617828676004E-2</c:v>
                </c:pt>
                <c:pt idx="61">
                  <c:v>1.4411642261897799E-2</c:v>
                </c:pt>
                <c:pt idx="62">
                  <c:v>1.95664281312669E-2</c:v>
                </c:pt>
                <c:pt idx="63">
                  <c:v>1.9587602039576199E-2</c:v>
                </c:pt>
                <c:pt idx="64">
                  <c:v>1.9473954294245199E-2</c:v>
                </c:pt>
                <c:pt idx="65">
                  <c:v>1.14186300856803E-2</c:v>
                </c:pt>
                <c:pt idx="66">
                  <c:v>1.5823238305360799E-2</c:v>
                </c:pt>
                <c:pt idx="67">
                  <c:v>1.15625792972988E-2</c:v>
                </c:pt>
                <c:pt idx="68">
                  <c:v>1.3097137537496001E-2</c:v>
                </c:pt>
                <c:pt idx="69">
                  <c:v>1.6646006675158798E-2</c:v>
                </c:pt>
                <c:pt idx="70">
                  <c:v>1.6115481195193401E-2</c:v>
                </c:pt>
                <c:pt idx="71">
                  <c:v>1.7060043659779402E-2</c:v>
                </c:pt>
                <c:pt idx="72">
                  <c:v>2.30835912564945E-2</c:v>
                </c:pt>
                <c:pt idx="73">
                  <c:v>1.8762925486345401E-2</c:v>
                </c:pt>
                <c:pt idx="74">
                  <c:v>1.5958092910107802E-2</c:v>
                </c:pt>
                <c:pt idx="75">
                  <c:v>1.8081442729056301E-2</c:v>
                </c:pt>
                <c:pt idx="76">
                  <c:v>1.0161520395276499E-2</c:v>
                </c:pt>
                <c:pt idx="77">
                  <c:v>8.9997770836124508E-3</c:v>
                </c:pt>
                <c:pt idx="78">
                  <c:v>8.9866084171397395E-3</c:v>
                </c:pt>
                <c:pt idx="79">
                  <c:v>-6.7971997279194602E-4</c:v>
                </c:pt>
                <c:pt idx="80">
                  <c:v>-4.7462026502530699E-3</c:v>
                </c:pt>
                <c:pt idx="81">
                  <c:v>-6.41676111307169E-3</c:v>
                </c:pt>
                <c:pt idx="82">
                  <c:v>-4.9889276310008199E-3</c:v>
                </c:pt>
                <c:pt idx="83">
                  <c:v>1.89544019728491E-3</c:v>
                </c:pt>
                <c:pt idx="84">
                  <c:v>2.9331164615682601E-3</c:v>
                </c:pt>
                <c:pt idx="85">
                  <c:v>1.08873344698687E-2</c:v>
                </c:pt>
                <c:pt idx="86">
                  <c:v>2.6296249012074898E-3</c:v>
                </c:pt>
                <c:pt idx="87">
                  <c:v>1.11779505982442E-2</c:v>
                </c:pt>
                <c:pt idx="88">
                  <c:v>1.0154469916794801E-2</c:v>
                </c:pt>
                <c:pt idx="89">
                  <c:v>-2.6760755474865001E-3</c:v>
                </c:pt>
                <c:pt idx="90">
                  <c:v>1.9311717723740701E-3</c:v>
                </c:pt>
                <c:pt idx="91">
                  <c:v>1.26526805236939E-3</c:v>
                </c:pt>
                <c:pt idx="92">
                  <c:v>-4.5507819069207896E-3</c:v>
                </c:pt>
                <c:pt idx="93">
                  <c:v>-1.1477659582478299E-2</c:v>
                </c:pt>
                <c:pt idx="94">
                  <c:v>-1.8567295240182399E-2</c:v>
                </c:pt>
                <c:pt idx="95">
                  <c:v>-1.18830370331498E-3</c:v>
                </c:pt>
                <c:pt idx="96">
                  <c:v>1.01843232131922E-3</c:v>
                </c:pt>
                <c:pt idx="97">
                  <c:v>-5.8067844498287799E-3</c:v>
                </c:pt>
                <c:pt idx="98">
                  <c:v>4.82836956946459E-3</c:v>
                </c:pt>
                <c:pt idx="99">
                  <c:v>1.1028593409493199E-2</c:v>
                </c:pt>
                <c:pt idx="100">
                  <c:v>7.56518528404025E-3</c:v>
                </c:pt>
                <c:pt idx="101">
                  <c:v>1.2709006721366E-2</c:v>
                </c:pt>
                <c:pt idx="102">
                  <c:v>5.5946136421498698E-3</c:v>
                </c:pt>
                <c:pt idx="103">
                  <c:v>-9.3825218687843496E-3</c:v>
                </c:pt>
                <c:pt idx="104">
                  <c:v>-1.27056386637277E-2</c:v>
                </c:pt>
                <c:pt idx="105">
                  <c:v>-9.0001839633194903E-3</c:v>
                </c:pt>
                <c:pt idx="106">
                  <c:v>-2.6867403620891499E-2</c:v>
                </c:pt>
                <c:pt idx="107">
                  <c:v>-1.6860150668579699E-2</c:v>
                </c:pt>
                <c:pt idx="108">
                  <c:v>-7.2795914010582198E-3</c:v>
                </c:pt>
                <c:pt idx="109">
                  <c:v>-4.8120324299071099E-3</c:v>
                </c:pt>
                <c:pt idx="110">
                  <c:v>-2.8822900608035999E-4</c:v>
                </c:pt>
                <c:pt idx="111">
                  <c:v>7.9816173181057794E-3</c:v>
                </c:pt>
                <c:pt idx="112">
                  <c:v>1.97319899571149E-2</c:v>
                </c:pt>
                <c:pt idx="113">
                  <c:v>1.5767122186505601E-2</c:v>
                </c:pt>
                <c:pt idx="114">
                  <c:v>3.2174148614850899E-2</c:v>
                </c:pt>
                <c:pt idx="115">
                  <c:v>3.6941877377865598E-2</c:v>
                </c:pt>
                <c:pt idx="116">
                  <c:v>4.96642482622826E-2</c:v>
                </c:pt>
                <c:pt idx="117">
                  <c:v>4.3990269080858499E-2</c:v>
                </c:pt>
                <c:pt idx="118">
                  <c:v>3.5909428673884497E-2</c:v>
                </c:pt>
                <c:pt idx="119">
                  <c:v>3.05607261967186E-2</c:v>
                </c:pt>
                <c:pt idx="120">
                  <c:v>2.9249029777323798E-2</c:v>
                </c:pt>
                <c:pt idx="121">
                  <c:v>2.8695740151187199E-2</c:v>
                </c:pt>
                <c:pt idx="122">
                  <c:v>1.9972559629381399E-2</c:v>
                </c:pt>
                <c:pt idx="123">
                  <c:v>4.6007239931721696E-3</c:v>
                </c:pt>
                <c:pt idx="124">
                  <c:v>-3.9533739996502901E-3</c:v>
                </c:pt>
                <c:pt idx="125">
                  <c:v>-1.8117057651558699E-3</c:v>
                </c:pt>
                <c:pt idx="126">
                  <c:v>5.9668633467816195E-4</c:v>
                </c:pt>
                <c:pt idx="127">
                  <c:v>4.3543621382999796E-3</c:v>
                </c:pt>
                <c:pt idx="128">
                  <c:v>6.7439207265428203E-3</c:v>
                </c:pt>
                <c:pt idx="129">
                  <c:v>4.4978970485658399E-4</c:v>
                </c:pt>
                <c:pt idx="130">
                  <c:v>-1.0196883957714901E-2</c:v>
                </c:pt>
                <c:pt idx="131">
                  <c:v>-3.6434205595222801E-3</c:v>
                </c:pt>
                <c:pt idx="132">
                  <c:v>-3.9730571945237698E-3</c:v>
                </c:pt>
                <c:pt idx="133">
                  <c:v>-2.8166093684418199E-2</c:v>
                </c:pt>
                <c:pt idx="134">
                  <c:v>-1.2061008393588001E-2</c:v>
                </c:pt>
                <c:pt idx="135">
                  <c:v>-1.5785493010719999E-2</c:v>
                </c:pt>
                <c:pt idx="136">
                  <c:v>-5.5222051273909802E-3</c:v>
                </c:pt>
                <c:pt idx="137">
                  <c:v>-7.5533307575265801E-3</c:v>
                </c:pt>
                <c:pt idx="138">
                  <c:v>-1.5282179795238699E-2</c:v>
                </c:pt>
                <c:pt idx="139">
                  <c:v>-1.9109490595807199E-2</c:v>
                </c:pt>
                <c:pt idx="140">
                  <c:v>-1.5923650268956601E-2</c:v>
                </c:pt>
                <c:pt idx="141">
                  <c:v>-3.0412667472123098E-2</c:v>
                </c:pt>
                <c:pt idx="142">
                  <c:v>-2.7762724278340201E-2</c:v>
                </c:pt>
                <c:pt idx="143">
                  <c:v>-6.8510377187292002E-3</c:v>
                </c:pt>
                <c:pt idx="144">
                  <c:v>-1.72118135307248E-2</c:v>
                </c:pt>
                <c:pt idx="145">
                  <c:v>-9.4528952362766504E-3</c:v>
                </c:pt>
                <c:pt idx="146">
                  <c:v>6.4508610515932505E-4</c:v>
                </c:pt>
                <c:pt idx="147">
                  <c:v>1.5441234465796399E-3</c:v>
                </c:pt>
                <c:pt idx="148">
                  <c:v>7.0742868198124002E-3</c:v>
                </c:pt>
                <c:pt idx="149">
                  <c:v>1.8162204887785E-3</c:v>
                </c:pt>
                <c:pt idx="150">
                  <c:v>-5.1322872970315297E-3</c:v>
                </c:pt>
                <c:pt idx="151">
                  <c:v>-2.2803477954869401E-3</c:v>
                </c:pt>
                <c:pt idx="152">
                  <c:v>4.7629398232970199E-4</c:v>
                </c:pt>
                <c:pt idx="153">
                  <c:v>-7.8335527225653397E-3</c:v>
                </c:pt>
                <c:pt idx="154">
                  <c:v>2.0825895071772401E-4</c:v>
                </c:pt>
                <c:pt idx="155">
                  <c:v>-5.4300191936548304E-3</c:v>
                </c:pt>
                <c:pt idx="156">
                  <c:v>-9.5429393626705397E-3</c:v>
                </c:pt>
                <c:pt idx="157">
                  <c:v>-1.4468946695859901E-2</c:v>
                </c:pt>
                <c:pt idx="158">
                  <c:v>-2.08091375136061E-2</c:v>
                </c:pt>
                <c:pt idx="159">
                  <c:v>-1.6120908523545301E-2</c:v>
                </c:pt>
                <c:pt idx="160">
                  <c:v>-1.8202512855796198E-2</c:v>
                </c:pt>
                <c:pt idx="161">
                  <c:v>-4.3921539436156502E-3</c:v>
                </c:pt>
                <c:pt idx="162">
                  <c:v>-1.91563458819121E-3</c:v>
                </c:pt>
                <c:pt idx="163">
                  <c:v>6.11102921169922E-4</c:v>
                </c:pt>
                <c:pt idx="164">
                  <c:v>-6.4996683094199299E-3</c:v>
                </c:pt>
                <c:pt idx="165">
                  <c:v>-4.1076220548670996E-3</c:v>
                </c:pt>
                <c:pt idx="166">
                  <c:v>-5.4027840056237904E-3</c:v>
                </c:pt>
                <c:pt idx="167">
                  <c:v>-5.9884358462528996E-3</c:v>
                </c:pt>
                <c:pt idx="168">
                  <c:v>-1.1010384306483E-2</c:v>
                </c:pt>
                <c:pt idx="169">
                  <c:v>-4.8064088937553604E-3</c:v>
                </c:pt>
                <c:pt idx="170">
                  <c:v>5.9430502770222602E-3</c:v>
                </c:pt>
                <c:pt idx="171">
                  <c:v>-2.1189022169167699E-3</c:v>
                </c:pt>
                <c:pt idx="172">
                  <c:v>-3.5998760754508701E-3</c:v>
                </c:pt>
                <c:pt idx="173">
                  <c:v>-7.9031982709669799E-3</c:v>
                </c:pt>
                <c:pt idx="174">
                  <c:v>-5.4439778466370799E-3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44-4722-A8AF-9A5526671E83}"/>
            </c:ext>
          </c:extLst>
        </c:ser>
        <c:ser>
          <c:idx val="2"/>
          <c:order val="2"/>
          <c:tx>
            <c:strRef>
              <c:f>Sheet1!$W$1</c:f>
              <c:strCache>
                <c:ptCount val="1"/>
                <c:pt idx="0">
                  <c:v>log diff XBI x 20 dma / IBB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Sheet1!$W$2:$W$176</c:f>
              <c:numCache>
                <c:formatCode>0.0000%</c:formatCode>
                <c:ptCount val="175"/>
                <c:pt idx="20">
                  <c:v>8.0634701657267202E-3</c:v>
                </c:pt>
                <c:pt idx="21">
                  <c:v>1.15251047753844E-2</c:v>
                </c:pt>
                <c:pt idx="22">
                  <c:v>-9.7075257911902399E-3</c:v>
                </c:pt>
                <c:pt idx="23">
                  <c:v>-2.4042783714620802E-2</c:v>
                </c:pt>
                <c:pt idx="24">
                  <c:v>-1.33830205104177E-2</c:v>
                </c:pt>
                <c:pt idx="25">
                  <c:v>-5.0598588421687596E-3</c:v>
                </c:pt>
                <c:pt idx="26">
                  <c:v>2.0800178797415799E-3</c:v>
                </c:pt>
                <c:pt idx="27">
                  <c:v>-7.5271337820944596E-3</c:v>
                </c:pt>
                <c:pt idx="28">
                  <c:v>-7.3105914795945203E-3</c:v>
                </c:pt>
                <c:pt idx="29">
                  <c:v>-1.9935514635967998E-2</c:v>
                </c:pt>
                <c:pt idx="30">
                  <c:v>-1.3227407620736001E-2</c:v>
                </c:pt>
                <c:pt idx="31">
                  <c:v>-8.7156251376970806E-3</c:v>
                </c:pt>
                <c:pt idx="32">
                  <c:v>-1.8038556565552199E-4</c:v>
                </c:pt>
                <c:pt idx="33">
                  <c:v>-1.1577777653736399E-2</c:v>
                </c:pt>
                <c:pt idx="34">
                  <c:v>3.4727358933112399E-3</c:v>
                </c:pt>
                <c:pt idx="35">
                  <c:v>1.37551482658065E-2</c:v>
                </c:pt>
                <c:pt idx="36">
                  <c:v>1.25897235630986E-2</c:v>
                </c:pt>
                <c:pt idx="37">
                  <c:v>1.56027440972243E-2</c:v>
                </c:pt>
                <c:pt idx="38">
                  <c:v>3.9980401039855602E-3</c:v>
                </c:pt>
                <c:pt idx="39">
                  <c:v>5.9139752753004302E-3</c:v>
                </c:pt>
                <c:pt idx="40">
                  <c:v>3.4413150746421799E-3</c:v>
                </c:pt>
                <c:pt idx="41">
                  <c:v>1.0436832214428E-2</c:v>
                </c:pt>
                <c:pt idx="42">
                  <c:v>1.5717557267639199E-2</c:v>
                </c:pt>
                <c:pt idx="43">
                  <c:v>2.2119995344838599E-2</c:v>
                </c:pt>
                <c:pt idx="44">
                  <c:v>2.28789655448969E-2</c:v>
                </c:pt>
                <c:pt idx="45">
                  <c:v>1.7915078601500899E-2</c:v>
                </c:pt>
                <c:pt idx="46">
                  <c:v>1.66814662981618E-2</c:v>
                </c:pt>
                <c:pt idx="47">
                  <c:v>1.32554381794405E-2</c:v>
                </c:pt>
                <c:pt idx="48">
                  <c:v>1.0046453084379001E-2</c:v>
                </c:pt>
                <c:pt idx="49">
                  <c:v>1.6199726210030099E-2</c:v>
                </c:pt>
                <c:pt idx="50">
                  <c:v>1.6263768937871698E-2</c:v>
                </c:pt>
                <c:pt idx="51">
                  <c:v>9.8008814382994896E-3</c:v>
                </c:pt>
                <c:pt idx="52">
                  <c:v>1.42489134914019E-2</c:v>
                </c:pt>
                <c:pt idx="53">
                  <c:v>1.3488641634467001E-2</c:v>
                </c:pt>
                <c:pt idx="54">
                  <c:v>1.65794977271955E-2</c:v>
                </c:pt>
                <c:pt idx="55">
                  <c:v>3.5908221401046098E-3</c:v>
                </c:pt>
                <c:pt idx="56">
                  <c:v>1.39784959546669E-2</c:v>
                </c:pt>
                <c:pt idx="57">
                  <c:v>1.5708673170822599E-2</c:v>
                </c:pt>
                <c:pt idx="58">
                  <c:v>9.0514246728446105E-3</c:v>
                </c:pt>
                <c:pt idx="59">
                  <c:v>-8.0565442812695499E-3</c:v>
                </c:pt>
                <c:pt idx="60">
                  <c:v>2.1879774866651099E-2</c:v>
                </c:pt>
                <c:pt idx="61">
                  <c:v>1.86748083139931E-2</c:v>
                </c:pt>
                <c:pt idx="62">
                  <c:v>2.43209029725816E-2</c:v>
                </c:pt>
                <c:pt idx="63">
                  <c:v>2.4860375062190802E-2</c:v>
                </c:pt>
                <c:pt idx="64">
                  <c:v>2.5697028257000602E-2</c:v>
                </c:pt>
                <c:pt idx="65">
                  <c:v>1.8343475876462699E-2</c:v>
                </c:pt>
                <c:pt idx="66">
                  <c:v>2.4153279528682899E-2</c:v>
                </c:pt>
                <c:pt idx="67">
                  <c:v>2.0551077747655001E-2</c:v>
                </c:pt>
                <c:pt idx="68">
                  <c:v>2.2234090981936301E-2</c:v>
                </c:pt>
                <c:pt idx="69">
                  <c:v>2.6566521122815E-2</c:v>
                </c:pt>
                <c:pt idx="70">
                  <c:v>2.9133862159375402E-2</c:v>
                </c:pt>
                <c:pt idx="71">
                  <c:v>3.04121055498047E-2</c:v>
                </c:pt>
                <c:pt idx="72">
                  <c:v>3.6821908809327501E-2</c:v>
                </c:pt>
                <c:pt idx="73">
                  <c:v>3.2895152067828802E-2</c:v>
                </c:pt>
                <c:pt idx="74">
                  <c:v>3.0220003918205601E-2</c:v>
                </c:pt>
                <c:pt idx="75">
                  <c:v>3.2490988865903098E-2</c:v>
                </c:pt>
                <c:pt idx="76">
                  <c:v>2.49595706608687E-2</c:v>
                </c:pt>
                <c:pt idx="77">
                  <c:v>2.37975276316971E-2</c:v>
                </c:pt>
                <c:pt idx="78">
                  <c:v>2.4180912520272501E-2</c:v>
                </c:pt>
                <c:pt idx="79">
                  <c:v>1.44067468035694E-2</c:v>
                </c:pt>
                <c:pt idx="80">
                  <c:v>8.3999203936927398E-3</c:v>
                </c:pt>
                <c:pt idx="81">
                  <c:v>5.7542439724187896E-3</c:v>
                </c:pt>
                <c:pt idx="82">
                  <c:v>5.7446808751608703E-3</c:v>
                </c:pt>
                <c:pt idx="83">
                  <c:v>1.07434574984433E-2</c:v>
                </c:pt>
                <c:pt idx="84">
                  <c:v>1.0450834070367E-2</c:v>
                </c:pt>
                <c:pt idx="85">
                  <c:v>1.7257168852454E-2</c:v>
                </c:pt>
                <c:pt idx="86">
                  <c:v>7.49791250684097E-3</c:v>
                </c:pt>
                <c:pt idx="87">
                  <c:v>1.4961087454458301E-2</c:v>
                </c:pt>
                <c:pt idx="88">
                  <c:v>1.3069770792273099E-2</c:v>
                </c:pt>
                <c:pt idx="89">
                  <c:v>-7.2536668053435898E-4</c:v>
                </c:pt>
                <c:pt idx="90">
                  <c:v>3.3404053260888398E-3</c:v>
                </c:pt>
                <c:pt idx="91">
                  <c:v>2.88606464327738E-3</c:v>
                </c:pt>
                <c:pt idx="92">
                  <c:v>-2.4165631232960999E-3</c:v>
                </c:pt>
                <c:pt idx="93">
                  <c:v>-8.7688683467194092E-3</c:v>
                </c:pt>
                <c:pt idx="94">
                  <c:v>-1.62980635396676E-2</c:v>
                </c:pt>
                <c:pt idx="95">
                  <c:v>1.2545527045494499E-4</c:v>
                </c:pt>
                <c:pt idx="96">
                  <c:v>1.5877801520794699E-3</c:v>
                </c:pt>
                <c:pt idx="97">
                  <c:v>-5.3700129808695396E-3</c:v>
                </c:pt>
                <c:pt idx="98">
                  <c:v>3.9786005468077099E-3</c:v>
                </c:pt>
                <c:pt idx="99">
                  <c:v>9.4840775434590196E-3</c:v>
                </c:pt>
                <c:pt idx="100">
                  <c:v>6.4525924133073198E-3</c:v>
                </c:pt>
                <c:pt idx="101">
                  <c:v>1.1289955018660499E-2</c:v>
                </c:pt>
                <c:pt idx="102">
                  <c:v>4.0538560928833501E-3</c:v>
                </c:pt>
                <c:pt idx="103">
                  <c:v>-1.0807765393386499E-2</c:v>
                </c:pt>
                <c:pt idx="104">
                  <c:v>-1.3768566247722099E-2</c:v>
                </c:pt>
                <c:pt idx="105">
                  <c:v>-9.0179372645237694E-3</c:v>
                </c:pt>
                <c:pt idx="106">
                  <c:v>-2.6808762874048299E-2</c:v>
                </c:pt>
                <c:pt idx="107">
                  <c:v>-1.8181668317786798E-2</c:v>
                </c:pt>
                <c:pt idx="108">
                  <c:v>-8.4894536392896205E-3</c:v>
                </c:pt>
                <c:pt idx="109">
                  <c:v>-6.3990346433218902E-3</c:v>
                </c:pt>
                <c:pt idx="110">
                  <c:v>-3.3452432730788901E-3</c:v>
                </c:pt>
                <c:pt idx="111">
                  <c:v>4.0645072960506599E-3</c:v>
                </c:pt>
                <c:pt idx="112">
                  <c:v>1.4773210356877901E-2</c:v>
                </c:pt>
                <c:pt idx="113">
                  <c:v>1.06627400265384E-2</c:v>
                </c:pt>
                <c:pt idx="114">
                  <c:v>2.78444142423812E-2</c:v>
                </c:pt>
                <c:pt idx="115">
                  <c:v>3.4205043485400002E-2</c:v>
                </c:pt>
                <c:pt idx="116">
                  <c:v>4.9311555078424198E-2</c:v>
                </c:pt>
                <c:pt idx="117">
                  <c:v>4.8815773060451602E-2</c:v>
                </c:pt>
                <c:pt idx="118">
                  <c:v>4.4961470870677998E-2</c:v>
                </c:pt>
                <c:pt idx="119">
                  <c:v>4.3434114088790901E-2</c:v>
                </c:pt>
                <c:pt idx="120">
                  <c:v>4.6184493390214701E-2</c:v>
                </c:pt>
                <c:pt idx="121">
                  <c:v>4.9571532196100603E-2</c:v>
                </c:pt>
                <c:pt idx="122">
                  <c:v>4.4671508127375401E-2</c:v>
                </c:pt>
                <c:pt idx="123">
                  <c:v>3.1620995137505097E-2</c:v>
                </c:pt>
                <c:pt idx="124">
                  <c:v>2.4513259577526401E-2</c:v>
                </c:pt>
                <c:pt idx="125">
                  <c:v>2.58614976015124E-2</c:v>
                </c:pt>
                <c:pt idx="126">
                  <c:v>2.70452022630383E-2</c:v>
                </c:pt>
                <c:pt idx="127">
                  <c:v>2.71108320329943E-2</c:v>
                </c:pt>
                <c:pt idx="128">
                  <c:v>2.6194737972473198E-2</c:v>
                </c:pt>
                <c:pt idx="129">
                  <c:v>1.72674396490256E-2</c:v>
                </c:pt>
                <c:pt idx="130">
                  <c:v>3.6818614971470599E-3</c:v>
                </c:pt>
                <c:pt idx="131">
                  <c:v>6.4201640289583998E-3</c:v>
                </c:pt>
                <c:pt idx="132">
                  <c:v>2.3270546557191802E-3</c:v>
                </c:pt>
                <c:pt idx="133">
                  <c:v>-2.4918061441265099E-2</c:v>
                </c:pt>
                <c:pt idx="134">
                  <c:v>-1.2298383629922E-2</c:v>
                </c:pt>
                <c:pt idx="135">
                  <c:v>-1.7469769209888301E-2</c:v>
                </c:pt>
                <c:pt idx="136">
                  <c:v>-8.8757396434730098E-3</c:v>
                </c:pt>
                <c:pt idx="137">
                  <c:v>-1.1702320407409801E-2</c:v>
                </c:pt>
                <c:pt idx="138">
                  <c:v>-2.0700775895728898E-2</c:v>
                </c:pt>
                <c:pt idx="139">
                  <c:v>-2.6622028598754299E-2</c:v>
                </c:pt>
                <c:pt idx="140">
                  <c:v>-2.5314877220279801E-2</c:v>
                </c:pt>
                <c:pt idx="141">
                  <c:v>-4.0434469152303601E-2</c:v>
                </c:pt>
                <c:pt idx="142">
                  <c:v>-3.95084970037482E-2</c:v>
                </c:pt>
                <c:pt idx="143">
                  <c:v>-2.0381120887399701E-2</c:v>
                </c:pt>
                <c:pt idx="144">
                  <c:v>-2.9720836943918499E-2</c:v>
                </c:pt>
                <c:pt idx="145">
                  <c:v>-2.3032618169401199E-2</c:v>
                </c:pt>
                <c:pt idx="146">
                  <c:v>-1.3108021314576401E-2</c:v>
                </c:pt>
                <c:pt idx="147">
                  <c:v>-1.2625376743145299E-2</c:v>
                </c:pt>
                <c:pt idx="148">
                  <c:v>-7.0487784869981201E-3</c:v>
                </c:pt>
                <c:pt idx="149">
                  <c:v>-1.09863227371963E-2</c:v>
                </c:pt>
                <c:pt idx="150">
                  <c:v>-1.6461873853852099E-2</c:v>
                </c:pt>
                <c:pt idx="151">
                  <c:v>-1.2983074673395399E-2</c:v>
                </c:pt>
                <c:pt idx="152">
                  <c:v>-7.5624961455061403E-3</c:v>
                </c:pt>
                <c:pt idx="153">
                  <c:v>-1.29081656434823E-2</c:v>
                </c:pt>
                <c:pt idx="154">
                  <c:v>-5.1262211253936298E-3</c:v>
                </c:pt>
                <c:pt idx="155">
                  <c:v>-8.9181695986021593E-3</c:v>
                </c:pt>
                <c:pt idx="156">
                  <c:v>-1.2134172508251301E-2</c:v>
                </c:pt>
                <c:pt idx="157">
                  <c:v>-1.6767390349094299E-2</c:v>
                </c:pt>
                <c:pt idx="158">
                  <c:v>-2.3180958664397299E-2</c:v>
                </c:pt>
                <c:pt idx="159">
                  <c:v>-1.9823601327554501E-2</c:v>
                </c:pt>
                <c:pt idx="160">
                  <c:v>-2.29302738240303E-2</c:v>
                </c:pt>
                <c:pt idx="161">
                  <c:v>-9.65221513322264E-3</c:v>
                </c:pt>
                <c:pt idx="162">
                  <c:v>-8.1340316415992198E-3</c:v>
                </c:pt>
                <c:pt idx="163">
                  <c:v>-6.9453017428480496E-3</c:v>
                </c:pt>
                <c:pt idx="164">
                  <c:v>-1.383375504948E-2</c:v>
                </c:pt>
                <c:pt idx="165">
                  <c:v>-1.28335868404398E-2</c:v>
                </c:pt>
                <c:pt idx="166">
                  <c:v>-1.4780367433223199E-2</c:v>
                </c:pt>
                <c:pt idx="167">
                  <c:v>-1.53298855543464E-2</c:v>
                </c:pt>
                <c:pt idx="168">
                  <c:v>-1.9837258785840799E-2</c:v>
                </c:pt>
                <c:pt idx="169">
                  <c:v>-1.24064371060249E-2</c:v>
                </c:pt>
                <c:pt idx="170">
                  <c:v>-5.9169190131918995E-4</c:v>
                </c:pt>
                <c:pt idx="171">
                  <c:v>-6.9775630929506203E-3</c:v>
                </c:pt>
                <c:pt idx="172">
                  <c:v>-8.2010453715677892E-3</c:v>
                </c:pt>
                <c:pt idx="173">
                  <c:v>-1.2310583480272801E-2</c:v>
                </c:pt>
                <c:pt idx="174">
                  <c:v>-1.03800574970314E-2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F44-4722-A8AF-9A5526671E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287584"/>
        <c:axId val="205412432"/>
      </c:lineChart>
      <c:catAx>
        <c:axId val="166928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2432"/>
        <c:crosses val="autoZero"/>
        <c:auto val="1"/>
        <c:lblAlgn val="ctr"/>
        <c:lblOffset val="100"/>
        <c:noMultiLvlLbl val="0"/>
      </c:catAx>
      <c:valAx>
        <c:axId val="2054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Sheet1!$AR$22:$AR$176</c:f>
              <c:numCache>
                <c:formatCode>0.00%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7.1979691984409896E-3</c:v>
                </c:pt>
                <c:pt idx="88">
                  <c:v>1.5395876734545389E-2</c:v>
                </c:pt>
                <c:pt idx="89">
                  <c:v>1.5395876734545389E-2</c:v>
                </c:pt>
                <c:pt idx="90">
                  <c:v>1.5395876734545389E-2</c:v>
                </c:pt>
                <c:pt idx="91">
                  <c:v>1.5395876734545389E-2</c:v>
                </c:pt>
                <c:pt idx="92">
                  <c:v>1.5395876734545389E-2</c:v>
                </c:pt>
                <c:pt idx="93">
                  <c:v>1.5395876734545389E-2</c:v>
                </c:pt>
                <c:pt idx="94">
                  <c:v>1.5395876734545389E-2</c:v>
                </c:pt>
                <c:pt idx="95">
                  <c:v>1.5395876734545389E-2</c:v>
                </c:pt>
                <c:pt idx="96">
                  <c:v>1.5395876734545389E-2</c:v>
                </c:pt>
                <c:pt idx="97">
                  <c:v>1.5395876734545389E-2</c:v>
                </c:pt>
                <c:pt idx="98">
                  <c:v>1.5395876734545389E-2</c:v>
                </c:pt>
                <c:pt idx="99">
                  <c:v>1.5395876734545389E-2</c:v>
                </c:pt>
                <c:pt idx="100">
                  <c:v>1.5395876734545389E-2</c:v>
                </c:pt>
                <c:pt idx="101">
                  <c:v>1.5395876734545389E-2</c:v>
                </c:pt>
                <c:pt idx="102">
                  <c:v>1.5395876734545389E-2</c:v>
                </c:pt>
                <c:pt idx="103">
                  <c:v>1.5395876734545389E-2</c:v>
                </c:pt>
                <c:pt idx="104">
                  <c:v>1.5395876734545389E-2</c:v>
                </c:pt>
                <c:pt idx="105">
                  <c:v>1.5395876734545389E-2</c:v>
                </c:pt>
                <c:pt idx="106">
                  <c:v>1.5395876734545389E-2</c:v>
                </c:pt>
                <c:pt idx="107">
                  <c:v>1.5395876734545389E-2</c:v>
                </c:pt>
                <c:pt idx="108">
                  <c:v>1.5395876734545389E-2</c:v>
                </c:pt>
                <c:pt idx="109">
                  <c:v>1.5395876734545389E-2</c:v>
                </c:pt>
                <c:pt idx="110">
                  <c:v>1.5395876734545389E-2</c:v>
                </c:pt>
                <c:pt idx="111">
                  <c:v>1.5395876734545389E-2</c:v>
                </c:pt>
                <c:pt idx="112">
                  <c:v>1.5395876734545389E-2</c:v>
                </c:pt>
                <c:pt idx="113">
                  <c:v>1.5395876734545389E-2</c:v>
                </c:pt>
                <c:pt idx="114">
                  <c:v>1.5395876734545389E-2</c:v>
                </c:pt>
                <c:pt idx="115">
                  <c:v>1.5395876734545389E-2</c:v>
                </c:pt>
                <c:pt idx="116">
                  <c:v>1.5395876734545389E-2</c:v>
                </c:pt>
                <c:pt idx="117">
                  <c:v>1.5395876734545389E-2</c:v>
                </c:pt>
                <c:pt idx="118">
                  <c:v>1.5395876734545389E-2</c:v>
                </c:pt>
                <c:pt idx="119">
                  <c:v>1.5395876734545389E-2</c:v>
                </c:pt>
                <c:pt idx="120">
                  <c:v>1.5117227177648037E-2</c:v>
                </c:pt>
                <c:pt idx="121">
                  <c:v>-1.8375668258628717E-3</c:v>
                </c:pt>
                <c:pt idx="122">
                  <c:v>-3.9011064496373721E-3</c:v>
                </c:pt>
                <c:pt idx="123">
                  <c:v>1.2260098290331185E-2</c:v>
                </c:pt>
                <c:pt idx="124">
                  <c:v>1.3041210802962836E-3</c:v>
                </c:pt>
                <c:pt idx="125">
                  <c:v>6.0285824702968633E-3</c:v>
                </c:pt>
                <c:pt idx="126">
                  <c:v>1.4029559274908466E-2</c:v>
                </c:pt>
                <c:pt idx="127">
                  <c:v>1.4029559274908466E-2</c:v>
                </c:pt>
                <c:pt idx="128">
                  <c:v>1.4029559274908466E-2</c:v>
                </c:pt>
                <c:pt idx="129">
                  <c:v>1.4029559274908466E-2</c:v>
                </c:pt>
                <c:pt idx="130">
                  <c:v>1.4029559274908466E-2</c:v>
                </c:pt>
                <c:pt idx="131">
                  <c:v>1.4029559274908466E-2</c:v>
                </c:pt>
                <c:pt idx="132">
                  <c:v>1.4029559274908466E-2</c:v>
                </c:pt>
                <c:pt idx="133">
                  <c:v>1.4029559274908466E-2</c:v>
                </c:pt>
                <c:pt idx="134">
                  <c:v>1.4029559274908466E-2</c:v>
                </c:pt>
                <c:pt idx="135">
                  <c:v>1.4029559274908466E-2</c:v>
                </c:pt>
                <c:pt idx="136">
                  <c:v>1.4029559274908466E-2</c:v>
                </c:pt>
                <c:pt idx="137">
                  <c:v>1.4029559274908466E-2</c:v>
                </c:pt>
                <c:pt idx="138">
                  <c:v>1.4029559274908466E-2</c:v>
                </c:pt>
                <c:pt idx="139">
                  <c:v>1.4029559274908466E-2</c:v>
                </c:pt>
                <c:pt idx="140">
                  <c:v>1.4029559274908466E-2</c:v>
                </c:pt>
                <c:pt idx="141">
                  <c:v>1.4029559274908466E-2</c:v>
                </c:pt>
                <c:pt idx="142">
                  <c:v>1.4029559274908466E-2</c:v>
                </c:pt>
                <c:pt idx="143">
                  <c:v>1.4029559274908466E-2</c:v>
                </c:pt>
                <c:pt idx="144">
                  <c:v>1.4029559274908466E-2</c:v>
                </c:pt>
                <c:pt idx="145">
                  <c:v>1.4029559274908466E-2</c:v>
                </c:pt>
                <c:pt idx="146">
                  <c:v>1.4029559274908466E-2</c:v>
                </c:pt>
                <c:pt idx="147">
                  <c:v>1.4029559274908466E-2</c:v>
                </c:pt>
                <c:pt idx="148">
                  <c:v>1.4029559274908466E-2</c:v>
                </c:pt>
                <c:pt idx="149">
                  <c:v>1.4029559274908466E-2</c:v>
                </c:pt>
                <c:pt idx="150">
                  <c:v>1.4029559274908466E-2</c:v>
                </c:pt>
                <c:pt idx="151">
                  <c:v>1.4029559274908466E-2</c:v>
                </c:pt>
                <c:pt idx="152">
                  <c:v>1.4029559274908466E-2</c:v>
                </c:pt>
                <c:pt idx="153">
                  <c:v>1.4029559274908466E-2</c:v>
                </c:pt>
                <c:pt idx="154">
                  <c:v>1.4029559274908466E-2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E7-4440-AFF5-6464A55207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Sheet1!$BC$22:$BC$176</c:f>
              <c:numCache>
                <c:formatCode>0.00%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1.0885194791201321E-2</c:v>
                </c:pt>
                <c:pt idx="19">
                  <c:v>1.0885194791201321E-2</c:v>
                </c:pt>
                <c:pt idx="20">
                  <c:v>1.0885194791201321E-2</c:v>
                </c:pt>
                <c:pt idx="21">
                  <c:v>1.0885194791201321E-2</c:v>
                </c:pt>
                <c:pt idx="22">
                  <c:v>1.0885194791201321E-2</c:v>
                </c:pt>
                <c:pt idx="23">
                  <c:v>3.47577063017219E-3</c:v>
                </c:pt>
                <c:pt idx="24">
                  <c:v>6.4234443780788845E-4</c:v>
                </c:pt>
                <c:pt idx="25">
                  <c:v>3.911659390465028E-3</c:v>
                </c:pt>
                <c:pt idx="26">
                  <c:v>4.0256322712478865E-3</c:v>
                </c:pt>
                <c:pt idx="27">
                  <c:v>6.6980693692009867E-3</c:v>
                </c:pt>
                <c:pt idx="28">
                  <c:v>8.8208257425079171E-3</c:v>
                </c:pt>
                <c:pt idx="29">
                  <c:v>1.6921291012634669E-3</c:v>
                </c:pt>
                <c:pt idx="30">
                  <c:v>1.6921291012634669E-3</c:v>
                </c:pt>
                <c:pt idx="31">
                  <c:v>6.3183616557484674E-3</c:v>
                </c:pt>
                <c:pt idx="32">
                  <c:v>4.3858983059004691E-4</c:v>
                </c:pt>
                <c:pt idx="33">
                  <c:v>-1.4471952732545302E-4</c:v>
                </c:pt>
                <c:pt idx="34">
                  <c:v>-5.2189291257371141E-3</c:v>
                </c:pt>
                <c:pt idx="35">
                  <c:v>6.2141181608300657E-3</c:v>
                </c:pt>
                <c:pt idx="36">
                  <c:v>6.2141181608300657E-3</c:v>
                </c:pt>
                <c:pt idx="37">
                  <c:v>6.2141181608300657E-3</c:v>
                </c:pt>
                <c:pt idx="38">
                  <c:v>1.1832727170922364E-2</c:v>
                </c:pt>
                <c:pt idx="39">
                  <c:v>2.7627637002730316E-2</c:v>
                </c:pt>
                <c:pt idx="40">
                  <c:v>2.7627637002730316E-2</c:v>
                </c:pt>
                <c:pt idx="41">
                  <c:v>2.8780468207986874E-2</c:v>
                </c:pt>
                <c:pt idx="42">
                  <c:v>2.1473134637535883E-2</c:v>
                </c:pt>
                <c:pt idx="43">
                  <c:v>1.9167029044688193E-2</c:v>
                </c:pt>
                <c:pt idx="44">
                  <c:v>1.6822363919881622E-2</c:v>
                </c:pt>
                <c:pt idx="45">
                  <c:v>2.2693751144294821E-2</c:v>
                </c:pt>
                <c:pt idx="46">
                  <c:v>1.5522472574685061E-2</c:v>
                </c:pt>
                <c:pt idx="47">
                  <c:v>1.7403768818687659E-2</c:v>
                </c:pt>
                <c:pt idx="48">
                  <c:v>1.3953430780792558E-2</c:v>
                </c:pt>
                <c:pt idx="49">
                  <c:v>7.5729702298014574E-3</c:v>
                </c:pt>
                <c:pt idx="50">
                  <c:v>3.0044793136117581E-3</c:v>
                </c:pt>
                <c:pt idx="51">
                  <c:v>-3.9612587682133233E-4</c:v>
                </c:pt>
                <c:pt idx="52">
                  <c:v>-9.3344772229470331E-3</c:v>
                </c:pt>
                <c:pt idx="53">
                  <c:v>-8.0758077036173926E-3</c:v>
                </c:pt>
                <c:pt idx="54">
                  <c:v>-7.9850514143191918E-3</c:v>
                </c:pt>
                <c:pt idx="55">
                  <c:v>-1.2583464737628862E-2</c:v>
                </c:pt>
                <c:pt idx="56">
                  <c:v>-8.1961171878845631E-3</c:v>
                </c:pt>
                <c:pt idx="57">
                  <c:v>-9.4131458828711125E-3</c:v>
                </c:pt>
                <c:pt idx="58">
                  <c:v>-1.2097232542496204E-2</c:v>
                </c:pt>
                <c:pt idx="59">
                  <c:v>-5.0500137375374945E-3</c:v>
                </c:pt>
                <c:pt idx="60">
                  <c:v>-2.2555024252814944E-3</c:v>
                </c:pt>
                <c:pt idx="61">
                  <c:v>-1.1149773990087953E-3</c:v>
                </c:pt>
                <c:pt idx="62">
                  <c:v>-2.6151874152988653E-3</c:v>
                </c:pt>
                <c:pt idx="63">
                  <c:v>-8.8267557224827632E-3</c:v>
                </c:pt>
                <c:pt idx="64">
                  <c:v>-9.9394155467533232E-3</c:v>
                </c:pt>
                <c:pt idx="65">
                  <c:v>-1.8088707137745921E-2</c:v>
                </c:pt>
                <c:pt idx="66">
                  <c:v>-1.037721145526822E-2</c:v>
                </c:pt>
                <c:pt idx="67">
                  <c:v>-1.9143334909241604E-2</c:v>
                </c:pt>
                <c:pt idx="68">
                  <c:v>-1.9087221513004994E-2</c:v>
                </c:pt>
                <c:pt idx="69">
                  <c:v>-6.9512780389760637E-3</c:v>
                </c:pt>
                <c:pt idx="70">
                  <c:v>-6.9512780389760637E-3</c:v>
                </c:pt>
                <c:pt idx="71">
                  <c:v>-6.9512780389760637E-3</c:v>
                </c:pt>
                <c:pt idx="72">
                  <c:v>-6.9512780389760637E-3</c:v>
                </c:pt>
                <c:pt idx="73">
                  <c:v>-6.9512780389760637E-3</c:v>
                </c:pt>
                <c:pt idx="74">
                  <c:v>-6.9512780389760637E-3</c:v>
                </c:pt>
                <c:pt idx="75">
                  <c:v>-6.9512780389760637E-3</c:v>
                </c:pt>
                <c:pt idx="76">
                  <c:v>-6.9512780389760637E-3</c:v>
                </c:pt>
                <c:pt idx="77">
                  <c:v>-6.9512780389760637E-3</c:v>
                </c:pt>
                <c:pt idx="78">
                  <c:v>-6.9512780389760637E-3</c:v>
                </c:pt>
                <c:pt idx="79">
                  <c:v>-6.9512780389760637E-3</c:v>
                </c:pt>
                <c:pt idx="80">
                  <c:v>-6.9512780389760637E-3</c:v>
                </c:pt>
                <c:pt idx="81">
                  <c:v>-6.9512780389760637E-3</c:v>
                </c:pt>
                <c:pt idx="82">
                  <c:v>-6.9512780389760637E-3</c:v>
                </c:pt>
                <c:pt idx="83">
                  <c:v>-6.9512780389760637E-3</c:v>
                </c:pt>
                <c:pt idx="84">
                  <c:v>-6.9512780389760637E-3</c:v>
                </c:pt>
                <c:pt idx="85">
                  <c:v>-6.9512780389760637E-3</c:v>
                </c:pt>
                <c:pt idx="86">
                  <c:v>-6.9512780389760637E-3</c:v>
                </c:pt>
                <c:pt idx="87">
                  <c:v>-6.9512780389760637E-3</c:v>
                </c:pt>
                <c:pt idx="88">
                  <c:v>-6.9512780389760637E-3</c:v>
                </c:pt>
                <c:pt idx="89">
                  <c:v>-6.9512780389760637E-3</c:v>
                </c:pt>
                <c:pt idx="90">
                  <c:v>-6.9512780389760637E-3</c:v>
                </c:pt>
                <c:pt idx="91">
                  <c:v>-6.9512780389760637E-3</c:v>
                </c:pt>
                <c:pt idx="92">
                  <c:v>-6.9512780389760637E-3</c:v>
                </c:pt>
                <c:pt idx="93">
                  <c:v>-6.9512780389760637E-3</c:v>
                </c:pt>
                <c:pt idx="94">
                  <c:v>-6.9512780389760637E-3</c:v>
                </c:pt>
                <c:pt idx="95">
                  <c:v>-1.5295146546372543E-2</c:v>
                </c:pt>
                <c:pt idx="96">
                  <c:v>-1.5295146546372543E-2</c:v>
                </c:pt>
                <c:pt idx="97">
                  <c:v>-1.7145228665766024E-2</c:v>
                </c:pt>
                <c:pt idx="98">
                  <c:v>-1.6076781723519926E-2</c:v>
                </c:pt>
                <c:pt idx="99">
                  <c:v>-1.6836460395597726E-2</c:v>
                </c:pt>
                <c:pt idx="100">
                  <c:v>-2.1639451236981726E-2</c:v>
                </c:pt>
                <c:pt idx="101">
                  <c:v>-2.7434559900972329E-2</c:v>
                </c:pt>
                <c:pt idx="102">
                  <c:v>-2.4950110094830339E-2</c:v>
                </c:pt>
                <c:pt idx="103">
                  <c:v>-1.4517617590720525E-2</c:v>
                </c:pt>
                <c:pt idx="104">
                  <c:v>-1.0259437487593923E-2</c:v>
                </c:pt>
                <c:pt idx="105">
                  <c:v>-1.4433125581247853E-2</c:v>
                </c:pt>
                <c:pt idx="106">
                  <c:v>-1.8443079420127753E-2</c:v>
                </c:pt>
                <c:pt idx="107">
                  <c:v>-2.2515906087636504E-2</c:v>
                </c:pt>
                <c:pt idx="108">
                  <c:v>-2.5441781223451504E-2</c:v>
                </c:pt>
                <c:pt idx="109">
                  <c:v>-2.0082662022111904E-2</c:v>
                </c:pt>
                <c:pt idx="110">
                  <c:v>-9.7610425932716047E-3</c:v>
                </c:pt>
                <c:pt idx="111">
                  <c:v>-9.7610425932716047E-3</c:v>
                </c:pt>
                <c:pt idx="112">
                  <c:v>-9.7610425932716047E-3</c:v>
                </c:pt>
                <c:pt idx="113">
                  <c:v>-9.7610425932716047E-3</c:v>
                </c:pt>
                <c:pt idx="114">
                  <c:v>-9.7610425932716047E-3</c:v>
                </c:pt>
                <c:pt idx="115">
                  <c:v>-9.7610425932716047E-3</c:v>
                </c:pt>
                <c:pt idx="116">
                  <c:v>-9.7610425932716047E-3</c:v>
                </c:pt>
                <c:pt idx="117">
                  <c:v>-9.7610425932716047E-3</c:v>
                </c:pt>
                <c:pt idx="118">
                  <c:v>-9.7610425932716047E-3</c:v>
                </c:pt>
                <c:pt idx="119">
                  <c:v>-9.7610425932716047E-3</c:v>
                </c:pt>
                <c:pt idx="120">
                  <c:v>-9.7610425932716047E-3</c:v>
                </c:pt>
                <c:pt idx="121">
                  <c:v>-9.7610425932716047E-3</c:v>
                </c:pt>
                <c:pt idx="122">
                  <c:v>-9.7610425932716047E-3</c:v>
                </c:pt>
                <c:pt idx="123">
                  <c:v>-9.7610425932716047E-3</c:v>
                </c:pt>
                <c:pt idx="124">
                  <c:v>-9.7610425932716047E-3</c:v>
                </c:pt>
                <c:pt idx="125">
                  <c:v>-9.7610425932716047E-3</c:v>
                </c:pt>
                <c:pt idx="126">
                  <c:v>-9.7610425932716047E-3</c:v>
                </c:pt>
                <c:pt idx="127">
                  <c:v>-9.7610425932716047E-3</c:v>
                </c:pt>
                <c:pt idx="128">
                  <c:v>-9.7610425932716047E-3</c:v>
                </c:pt>
                <c:pt idx="129">
                  <c:v>-9.7610425932716047E-3</c:v>
                </c:pt>
                <c:pt idx="130">
                  <c:v>-9.7610425932716047E-3</c:v>
                </c:pt>
                <c:pt idx="131">
                  <c:v>-9.7610425932716047E-3</c:v>
                </c:pt>
                <c:pt idx="132">
                  <c:v>-9.7610425932716047E-3</c:v>
                </c:pt>
                <c:pt idx="133">
                  <c:v>-9.7610425932716047E-3</c:v>
                </c:pt>
                <c:pt idx="134">
                  <c:v>-9.7610425932716047E-3</c:v>
                </c:pt>
                <c:pt idx="135">
                  <c:v>-9.7610425932716047E-3</c:v>
                </c:pt>
                <c:pt idx="136">
                  <c:v>-9.7610425932716047E-3</c:v>
                </c:pt>
                <c:pt idx="137">
                  <c:v>-9.7610425932716047E-3</c:v>
                </c:pt>
                <c:pt idx="138">
                  <c:v>-9.7610425932716047E-3</c:v>
                </c:pt>
                <c:pt idx="139">
                  <c:v>-9.7610425932716047E-3</c:v>
                </c:pt>
                <c:pt idx="140">
                  <c:v>-9.7610425932716047E-3</c:v>
                </c:pt>
                <c:pt idx="141">
                  <c:v>-9.7610425932716047E-3</c:v>
                </c:pt>
                <c:pt idx="142">
                  <c:v>-9.7610425932716047E-3</c:v>
                </c:pt>
                <c:pt idx="143">
                  <c:v>-9.7610425932716047E-3</c:v>
                </c:pt>
                <c:pt idx="144">
                  <c:v>-9.7610425932716047E-3</c:v>
                </c:pt>
                <c:pt idx="145">
                  <c:v>-9.7610425932716047E-3</c:v>
                </c:pt>
                <c:pt idx="146">
                  <c:v>-9.7610425932716047E-3</c:v>
                </c:pt>
                <c:pt idx="147">
                  <c:v>-9.7610425932716047E-3</c:v>
                </c:pt>
                <c:pt idx="148">
                  <c:v>-9.7610425932716047E-3</c:v>
                </c:pt>
                <c:pt idx="149">
                  <c:v>-9.7610425932716047E-3</c:v>
                </c:pt>
                <c:pt idx="150">
                  <c:v>-9.7610425932716047E-3</c:v>
                </c:pt>
                <c:pt idx="151">
                  <c:v>-9.7610425932716047E-3</c:v>
                </c:pt>
                <c:pt idx="152">
                  <c:v>-9.7610425932716047E-3</c:v>
                </c:pt>
                <c:pt idx="153">
                  <c:v>-9.7610425932716047E-3</c:v>
                </c:pt>
                <c:pt idx="154">
                  <c:v>-9.7610425932716047E-3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43-41CC-A465-51F003A746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Sheet1!$BF$22:$BF$176</c:f>
              <c:numCache>
                <c:formatCode>0.00%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1.0885194791201321E-2</c:v>
                </c:pt>
                <c:pt idx="19">
                  <c:v>1.0885194791201321E-2</c:v>
                </c:pt>
                <c:pt idx="20">
                  <c:v>1.0885194791201321E-2</c:v>
                </c:pt>
                <c:pt idx="21">
                  <c:v>1.0885194791201321E-2</c:v>
                </c:pt>
                <c:pt idx="22">
                  <c:v>1.0885194791201321E-2</c:v>
                </c:pt>
                <c:pt idx="23">
                  <c:v>3.47577063017219E-3</c:v>
                </c:pt>
                <c:pt idx="24">
                  <c:v>6.4234443780788845E-4</c:v>
                </c:pt>
                <c:pt idx="25">
                  <c:v>3.911659390465028E-3</c:v>
                </c:pt>
                <c:pt idx="26">
                  <c:v>4.0256322712478865E-3</c:v>
                </c:pt>
                <c:pt idx="27">
                  <c:v>6.6980693692009867E-3</c:v>
                </c:pt>
                <c:pt idx="28">
                  <c:v>8.8208257425079171E-3</c:v>
                </c:pt>
                <c:pt idx="29">
                  <c:v>1.6921291012634669E-3</c:v>
                </c:pt>
                <c:pt idx="30">
                  <c:v>1.6921291012634669E-3</c:v>
                </c:pt>
                <c:pt idx="31">
                  <c:v>6.3183616557484674E-3</c:v>
                </c:pt>
                <c:pt idx="32">
                  <c:v>4.3858983059004691E-4</c:v>
                </c:pt>
                <c:pt idx="33">
                  <c:v>-1.4471952732545302E-4</c:v>
                </c:pt>
                <c:pt idx="34">
                  <c:v>-5.2189291257371141E-3</c:v>
                </c:pt>
                <c:pt idx="35">
                  <c:v>6.2141181608300657E-3</c:v>
                </c:pt>
                <c:pt idx="36">
                  <c:v>6.2141181608300657E-3</c:v>
                </c:pt>
                <c:pt idx="37">
                  <c:v>6.2141181608300657E-3</c:v>
                </c:pt>
                <c:pt idx="38">
                  <c:v>1.1832727170922364E-2</c:v>
                </c:pt>
                <c:pt idx="39">
                  <c:v>2.7627637002730316E-2</c:v>
                </c:pt>
                <c:pt idx="40">
                  <c:v>2.7627637002730316E-2</c:v>
                </c:pt>
                <c:pt idx="41">
                  <c:v>2.8780468207986874E-2</c:v>
                </c:pt>
                <c:pt idx="42">
                  <c:v>2.1473134637535883E-2</c:v>
                </c:pt>
                <c:pt idx="43">
                  <c:v>1.9167029044688193E-2</c:v>
                </c:pt>
                <c:pt idx="44">
                  <c:v>1.6822363919881622E-2</c:v>
                </c:pt>
                <c:pt idx="45">
                  <c:v>2.2693751144294821E-2</c:v>
                </c:pt>
                <c:pt idx="46">
                  <c:v>1.5522472574685061E-2</c:v>
                </c:pt>
                <c:pt idx="47">
                  <c:v>1.7403768818687659E-2</c:v>
                </c:pt>
                <c:pt idx="48">
                  <c:v>1.3953430780792558E-2</c:v>
                </c:pt>
                <c:pt idx="49">
                  <c:v>7.5729702298014574E-3</c:v>
                </c:pt>
                <c:pt idx="50">
                  <c:v>3.0044793136117581E-3</c:v>
                </c:pt>
                <c:pt idx="51">
                  <c:v>-3.9612587682133233E-4</c:v>
                </c:pt>
                <c:pt idx="52">
                  <c:v>-9.3344772229470331E-3</c:v>
                </c:pt>
                <c:pt idx="53">
                  <c:v>-8.0758077036173926E-3</c:v>
                </c:pt>
                <c:pt idx="54">
                  <c:v>-7.9850514143191918E-3</c:v>
                </c:pt>
                <c:pt idx="55">
                  <c:v>-1.2583464737628862E-2</c:v>
                </c:pt>
                <c:pt idx="56">
                  <c:v>-8.1961171878845631E-3</c:v>
                </c:pt>
                <c:pt idx="57">
                  <c:v>-9.4131458828711125E-3</c:v>
                </c:pt>
                <c:pt idx="58">
                  <c:v>-1.2097232542496204E-2</c:v>
                </c:pt>
                <c:pt idx="59">
                  <c:v>-5.0500137375374945E-3</c:v>
                </c:pt>
                <c:pt idx="60">
                  <c:v>-2.2555024252814944E-3</c:v>
                </c:pt>
                <c:pt idx="61">
                  <c:v>-1.1149773990087953E-3</c:v>
                </c:pt>
                <c:pt idx="62">
                  <c:v>-2.6151874152988653E-3</c:v>
                </c:pt>
                <c:pt idx="63">
                  <c:v>-8.8267557224827632E-3</c:v>
                </c:pt>
                <c:pt idx="64">
                  <c:v>-9.9394155467533232E-3</c:v>
                </c:pt>
                <c:pt idx="65">
                  <c:v>-1.8088707137745921E-2</c:v>
                </c:pt>
                <c:pt idx="66">
                  <c:v>-1.037721145526822E-2</c:v>
                </c:pt>
                <c:pt idx="67">
                  <c:v>-1.9143334909241604E-2</c:v>
                </c:pt>
                <c:pt idx="68">
                  <c:v>-1.9087221513004994E-2</c:v>
                </c:pt>
                <c:pt idx="69">
                  <c:v>-6.9512780389760637E-3</c:v>
                </c:pt>
                <c:pt idx="70">
                  <c:v>-6.9512780389760637E-3</c:v>
                </c:pt>
                <c:pt idx="71">
                  <c:v>-6.9512780389760637E-3</c:v>
                </c:pt>
                <c:pt idx="72">
                  <c:v>-6.9512780389760637E-3</c:v>
                </c:pt>
                <c:pt idx="73">
                  <c:v>-6.9512780389760637E-3</c:v>
                </c:pt>
                <c:pt idx="74">
                  <c:v>-6.9512780389760637E-3</c:v>
                </c:pt>
                <c:pt idx="75">
                  <c:v>-6.9512780389760637E-3</c:v>
                </c:pt>
                <c:pt idx="76">
                  <c:v>-6.9512780389760637E-3</c:v>
                </c:pt>
                <c:pt idx="77">
                  <c:v>-6.9512780389760637E-3</c:v>
                </c:pt>
                <c:pt idx="78">
                  <c:v>-6.9512780389760637E-3</c:v>
                </c:pt>
                <c:pt idx="79">
                  <c:v>-6.9512780389760637E-3</c:v>
                </c:pt>
                <c:pt idx="80">
                  <c:v>-6.9512780389760637E-3</c:v>
                </c:pt>
                <c:pt idx="81">
                  <c:v>-6.9512780389760637E-3</c:v>
                </c:pt>
                <c:pt idx="82">
                  <c:v>-6.9512780389760637E-3</c:v>
                </c:pt>
                <c:pt idx="83">
                  <c:v>-6.9512780389760637E-3</c:v>
                </c:pt>
                <c:pt idx="84">
                  <c:v>-6.9512780389760637E-3</c:v>
                </c:pt>
                <c:pt idx="85">
                  <c:v>-6.9512780389760637E-3</c:v>
                </c:pt>
                <c:pt idx="86">
                  <c:v>-6.9512780389760637E-3</c:v>
                </c:pt>
                <c:pt idx="87">
                  <c:v>2.4669115946492591E-4</c:v>
                </c:pt>
                <c:pt idx="88">
                  <c:v>8.4445986955693254E-3</c:v>
                </c:pt>
                <c:pt idx="89">
                  <c:v>8.4445986955693254E-3</c:v>
                </c:pt>
                <c:pt idx="90">
                  <c:v>8.4445986955693254E-3</c:v>
                </c:pt>
                <c:pt idx="91">
                  <c:v>8.4445986955693254E-3</c:v>
                </c:pt>
                <c:pt idx="92">
                  <c:v>8.4445986955693254E-3</c:v>
                </c:pt>
                <c:pt idx="93">
                  <c:v>8.4445986955693254E-3</c:v>
                </c:pt>
                <c:pt idx="94">
                  <c:v>8.4445986955693254E-3</c:v>
                </c:pt>
                <c:pt idx="95">
                  <c:v>1.0073018817284562E-4</c:v>
                </c:pt>
                <c:pt idx="96">
                  <c:v>1.0073018817284562E-4</c:v>
                </c:pt>
                <c:pt idx="97">
                  <c:v>-1.749351931220635E-3</c:v>
                </c:pt>
                <c:pt idx="98">
                  <c:v>-6.8090498897453722E-4</c:v>
                </c:pt>
                <c:pt idx="99">
                  <c:v>-1.4405836610523366E-3</c:v>
                </c:pt>
                <c:pt idx="100">
                  <c:v>-6.2435745024363373E-3</c:v>
                </c:pt>
                <c:pt idx="101">
                  <c:v>-1.2038683166426938E-2</c:v>
                </c:pt>
                <c:pt idx="102">
                  <c:v>-9.55423336028495E-3</c:v>
                </c:pt>
                <c:pt idx="103">
                  <c:v>8.782591438248645E-4</c:v>
                </c:pt>
                <c:pt idx="104">
                  <c:v>5.1364392469514658E-3</c:v>
                </c:pt>
                <c:pt idx="105">
                  <c:v>9.6275115329753566E-4</c:v>
                </c:pt>
                <c:pt idx="106">
                  <c:v>-3.0472026855823658E-3</c:v>
                </c:pt>
                <c:pt idx="107">
                  <c:v>-7.1200293530911162E-3</c:v>
                </c:pt>
                <c:pt idx="108">
                  <c:v>-1.0045904488906115E-2</c:v>
                </c:pt>
                <c:pt idx="109">
                  <c:v>-4.6867852875665146E-3</c:v>
                </c:pt>
                <c:pt idx="110">
                  <c:v>5.6348341412737844E-3</c:v>
                </c:pt>
                <c:pt idx="111">
                  <c:v>5.6348341412737844E-3</c:v>
                </c:pt>
                <c:pt idx="112">
                  <c:v>5.6348341412737844E-3</c:v>
                </c:pt>
                <c:pt idx="113">
                  <c:v>5.6348341412737844E-3</c:v>
                </c:pt>
                <c:pt idx="114">
                  <c:v>5.6348341412737844E-3</c:v>
                </c:pt>
                <c:pt idx="115">
                  <c:v>5.6348341412737844E-3</c:v>
                </c:pt>
                <c:pt idx="116">
                  <c:v>5.6348341412737844E-3</c:v>
                </c:pt>
                <c:pt idx="117">
                  <c:v>5.6348341412737844E-3</c:v>
                </c:pt>
                <c:pt idx="118">
                  <c:v>5.6348341412737844E-3</c:v>
                </c:pt>
                <c:pt idx="119">
                  <c:v>5.6348341412737844E-3</c:v>
                </c:pt>
                <c:pt idx="120">
                  <c:v>5.3561845843764326E-3</c:v>
                </c:pt>
                <c:pt idx="121">
                  <c:v>-1.1598609419134476E-2</c:v>
                </c:pt>
                <c:pt idx="122">
                  <c:v>-1.3662149042908977E-2</c:v>
                </c:pt>
                <c:pt idx="123">
                  <c:v>2.4990556970595802E-3</c:v>
                </c:pt>
                <c:pt idx="124">
                  <c:v>-8.4569215129753211E-3</c:v>
                </c:pt>
                <c:pt idx="125">
                  <c:v>-3.7324601229747414E-3</c:v>
                </c:pt>
                <c:pt idx="126">
                  <c:v>4.2685166816368615E-3</c:v>
                </c:pt>
                <c:pt idx="127">
                  <c:v>4.2685166816368615E-3</c:v>
                </c:pt>
                <c:pt idx="128">
                  <c:v>4.2685166816368615E-3</c:v>
                </c:pt>
                <c:pt idx="129">
                  <c:v>4.2685166816368615E-3</c:v>
                </c:pt>
                <c:pt idx="130">
                  <c:v>4.2685166816368615E-3</c:v>
                </c:pt>
                <c:pt idx="131">
                  <c:v>4.2685166816368615E-3</c:v>
                </c:pt>
                <c:pt idx="132">
                  <c:v>4.2685166816368615E-3</c:v>
                </c:pt>
                <c:pt idx="133">
                  <c:v>4.2685166816368615E-3</c:v>
                </c:pt>
                <c:pt idx="134">
                  <c:v>4.2685166816368615E-3</c:v>
                </c:pt>
                <c:pt idx="135">
                  <c:v>4.2685166816368615E-3</c:v>
                </c:pt>
                <c:pt idx="136">
                  <c:v>4.2685166816368615E-3</c:v>
                </c:pt>
                <c:pt idx="137">
                  <c:v>4.2685166816368615E-3</c:v>
                </c:pt>
                <c:pt idx="138">
                  <c:v>4.2685166816368615E-3</c:v>
                </c:pt>
                <c:pt idx="139">
                  <c:v>4.2685166816368615E-3</c:v>
                </c:pt>
                <c:pt idx="140">
                  <c:v>4.2685166816368615E-3</c:v>
                </c:pt>
                <c:pt idx="141">
                  <c:v>4.2685166816368615E-3</c:v>
                </c:pt>
                <c:pt idx="142">
                  <c:v>4.2685166816368615E-3</c:v>
                </c:pt>
                <c:pt idx="143">
                  <c:v>4.2685166816368615E-3</c:v>
                </c:pt>
                <c:pt idx="144">
                  <c:v>4.2685166816368615E-3</c:v>
                </c:pt>
                <c:pt idx="145">
                  <c:v>4.2685166816368615E-3</c:v>
                </c:pt>
                <c:pt idx="146">
                  <c:v>4.2685166816368615E-3</c:v>
                </c:pt>
                <c:pt idx="147">
                  <c:v>4.2685166816368615E-3</c:v>
                </c:pt>
                <c:pt idx="148">
                  <c:v>4.2685166816368615E-3</c:v>
                </c:pt>
                <c:pt idx="149">
                  <c:v>4.2685166816368615E-3</c:v>
                </c:pt>
                <c:pt idx="150">
                  <c:v>4.2685166816368615E-3</c:v>
                </c:pt>
                <c:pt idx="151">
                  <c:v>4.2685166816368615E-3</c:v>
                </c:pt>
                <c:pt idx="152">
                  <c:v>4.2685166816368615E-3</c:v>
                </c:pt>
                <c:pt idx="153">
                  <c:v>4.2685166816368615E-3</c:v>
                </c:pt>
                <c:pt idx="154">
                  <c:v>4.2685166816368615E-3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9A-4215-BF2B-0170D1B6DA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60</xdr:col>
      <xdr:colOff>9524</xdr:colOff>
      <xdr:row>1</xdr:row>
      <xdr:rowOff>0</xdr:rowOff>
    </xdr:from>
    <xdr:to>
      <xdr:col>67</xdr:col>
      <xdr:colOff>342899</xdr:colOff>
      <xdr:row>15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3D4F0F-9FDD-45FA-92CF-F92B994F82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68</xdr:col>
      <xdr:colOff>0</xdr:colOff>
      <xdr:row>18</xdr:row>
      <xdr:rowOff>0</xdr:rowOff>
    </xdr:from>
    <xdr:to>
      <xdr:col>75</xdr:col>
      <xdr:colOff>304800</xdr:colOff>
      <xdr:row>32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9D91FA-028C-4732-8961-E3C4A3A9E3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68</xdr:col>
      <xdr:colOff>0</xdr:colOff>
      <xdr:row>1</xdr:row>
      <xdr:rowOff>0</xdr:rowOff>
    </xdr:from>
    <xdr:to>
      <xdr:col>75</xdr:col>
      <xdr:colOff>304800</xdr:colOff>
      <xdr:row>15</xdr:row>
      <xdr:rowOff>38100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AA3A5B2-F336-460B-AB47-5018568F33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60</xdr:col>
      <xdr:colOff>9524</xdr:colOff>
      <xdr:row>18</xdr:row>
      <xdr:rowOff>114300</xdr:rowOff>
    </xdr:from>
    <xdr:to>
      <xdr:col>67</xdr:col>
      <xdr:colOff>342899</xdr:colOff>
      <xdr:row>33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4DA1AF6-0032-4886-94E8-3D32AC4F8D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76</xdr:col>
      <xdr:colOff>0</xdr:colOff>
      <xdr:row>1</xdr:row>
      <xdr:rowOff>0</xdr:rowOff>
    </xdr:from>
    <xdr:to>
      <xdr:col>85</xdr:col>
      <xdr:colOff>304800</xdr:colOff>
      <xdr:row>15</xdr:row>
      <xdr:rowOff>38100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40C8DD6F-77D8-43ED-BB53-3C8FDD1290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75</xdr:col>
      <xdr:colOff>609599</xdr:colOff>
      <xdr:row>18</xdr:row>
      <xdr:rowOff>0</xdr:rowOff>
    </xdr:from>
    <xdr:to>
      <xdr:col>85</xdr:col>
      <xdr:colOff>304799</xdr:colOff>
      <xdr:row>32</xdr:row>
      <xdr:rowOff>76200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2634E96-DC7A-4DF6-A163-5D01CC1479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76</xdr:col>
      <xdr:colOff>0</xdr:colOff>
      <xdr:row>35</xdr:row>
      <xdr:rowOff>0</xdr:rowOff>
    </xdr:from>
    <xdr:to>
      <xdr:col>85</xdr:col>
      <xdr:colOff>304800</xdr:colOff>
      <xdr:row>49</xdr:row>
      <xdr:rowOff>76200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24163CC-FD05-443E-A0CC-E592EB6487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icha\git-projects\backtesting\backtests\TEMPLATE.xlsx" TargetMode="External"/><Relationship Id="rId1" Type="http://schemas.openxmlformats.org/officeDocument/2006/relationships/externalLinkPath" Target="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O1" t="str">
            <v>HEI/HEI A avg</v>
          </cell>
          <cell r="P1" t="str">
            <v>HEI/HEI A 10 dma</v>
          </cell>
          <cell r="Q1" t="str">
            <v>HEI/HEI A 20 dma</v>
          </cell>
          <cell r="U1" t="str">
            <v>log diff HEI A x avg / HEI</v>
          </cell>
          <cell r="V1" t="str">
            <v>log diff HEI A x 10 dma / HEI</v>
          </cell>
          <cell r="W1" t="str">
            <v>log diff HEI A x 20 dma / HEI</v>
          </cell>
          <cell r="Y1" t="str">
            <v>HEI*/HEI A* avg</v>
          </cell>
          <cell r="Z1" t="str">
            <v>HEI*/HEI A* 10 dma</v>
          </cell>
          <cell r="AA1" t="str">
            <v>HEI*/HEI A* 20 dma</v>
          </cell>
          <cell r="AE1" t="str">
            <v>log diff HEI A* x avg / HEI*</v>
          </cell>
          <cell r="AF1" t="str">
            <v>log diff HEI A* x 10 dma / HEI*</v>
          </cell>
          <cell r="AG1" t="str">
            <v>log diff HEI A* x 20 dma / HEI*</v>
          </cell>
        </row>
        <row r="2">
          <cell r="O2">
            <v>1.3338063878300499</v>
          </cell>
          <cell r="Y2">
            <v>1.3338063878300499</v>
          </cell>
        </row>
        <row r="3">
          <cell r="O3">
            <v>1.3338063878300499</v>
          </cell>
          <cell r="U3">
            <v>3.79092861161619E-2</v>
          </cell>
          <cell r="Y3">
            <v>1.3338063878300499</v>
          </cell>
          <cell r="AE3">
            <v>3.79092861161619E-2</v>
          </cell>
        </row>
        <row r="4">
          <cell r="O4">
            <v>1.3338063878300499</v>
          </cell>
          <cell r="U4">
            <v>3.3895750640528598E-2</v>
          </cell>
          <cell r="Y4">
            <v>1.3338063878300499</v>
          </cell>
          <cell r="AE4">
            <v>3.3895750640528598E-2</v>
          </cell>
        </row>
        <row r="5">
          <cell r="O5">
            <v>1.3338063878300499</v>
          </cell>
          <cell r="U5">
            <v>2.9884110178559201E-2</v>
          </cell>
          <cell r="Y5">
            <v>1.3338063878300499</v>
          </cell>
          <cell r="AE5">
            <v>2.9884110178559201E-2</v>
          </cell>
        </row>
        <row r="6">
          <cell r="O6">
            <v>1.3338063878300499</v>
          </cell>
          <cell r="U6">
            <v>3.0718923557298099E-2</v>
          </cell>
          <cell r="Y6">
            <v>1.3338063878300499</v>
          </cell>
          <cell r="AE6">
            <v>3.0718923557298099E-2</v>
          </cell>
        </row>
        <row r="7">
          <cell r="O7">
            <v>1.3338063878300499</v>
          </cell>
          <cell r="U7">
            <v>3.0041302301067999E-2</v>
          </cell>
          <cell r="Y7">
            <v>1.3338063878300499</v>
          </cell>
          <cell r="AE7">
            <v>3.0041302301067999E-2</v>
          </cell>
        </row>
        <row r="8">
          <cell r="O8">
            <v>1.3338063878300499</v>
          </cell>
          <cell r="U8">
            <v>2.6381484547543799E-2</v>
          </cell>
          <cell r="Y8">
            <v>1.3338063878300499</v>
          </cell>
          <cell r="AE8">
            <v>2.6381484547543799E-2</v>
          </cell>
        </row>
        <row r="9">
          <cell r="O9">
            <v>1.3338063878300499</v>
          </cell>
          <cell r="U9">
            <v>2.58939136416045E-2</v>
          </cell>
          <cell r="Y9">
            <v>1.3338063878300499</v>
          </cell>
          <cell r="AE9">
            <v>2.58939136416045E-2</v>
          </cell>
          <cell r="AF9" t="str">
            <v>row</v>
          </cell>
        </row>
        <row r="10">
          <cell r="O10">
            <v>1.3338063878300499</v>
          </cell>
          <cell r="U10">
            <v>2.7212693061586999E-2</v>
          </cell>
          <cell r="Y10">
            <v>1.3338063878300499</v>
          </cell>
          <cell r="AE10">
            <v>2.7212693061586999E-2</v>
          </cell>
          <cell r="AF10" t="str">
            <v>col</v>
          </cell>
        </row>
        <row r="11">
          <cell r="O11">
            <v>1.3338063878300499</v>
          </cell>
          <cell r="P11">
            <v>1.29294110243798</v>
          </cell>
          <cell r="U11">
            <v>2.8263857715585601E-2</v>
          </cell>
          <cell r="Y11">
            <v>1.3338063878300499</v>
          </cell>
          <cell r="Z11">
            <v>1.29294110243798</v>
          </cell>
          <cell r="AE11">
            <v>2.8263857715585601E-2</v>
          </cell>
        </row>
        <row r="12">
          <cell r="O12">
            <v>1.3338063878300499</v>
          </cell>
          <cell r="P12">
            <v>1.2943625855015399</v>
          </cell>
          <cell r="U12">
            <v>3.00424943766881E-2</v>
          </cell>
          <cell r="V12">
            <v>-1.0747583640456199E-3</v>
          </cell>
          <cell r="Y12">
            <v>1.3338063878300499</v>
          </cell>
          <cell r="Z12">
            <v>1.2943625855015399</v>
          </cell>
          <cell r="AE12">
            <v>3.00424943766881E-2</v>
          </cell>
          <cell r="AF12">
            <v>-1.0747583640456199E-3</v>
          </cell>
        </row>
        <row r="13">
          <cell r="O13">
            <v>1.3338063878300499</v>
          </cell>
          <cell r="P13">
            <v>1.2949387272911801</v>
          </cell>
          <cell r="U13">
            <v>3.3432895469621603E-2</v>
          </cell>
          <cell r="V13">
            <v>3.4144570761993199E-3</v>
          </cell>
          <cell r="Y13">
            <v>1.3338063878300499</v>
          </cell>
          <cell r="Z13">
            <v>1.2949387272911801</v>
          </cell>
          <cell r="AE13">
            <v>3.3432895469621603E-2</v>
          </cell>
          <cell r="AF13">
            <v>3.4144570761993199E-3</v>
          </cell>
        </row>
        <row r="14">
          <cell r="O14">
            <v>1.3338063878300499</v>
          </cell>
          <cell r="P14">
            <v>1.29518241087869</v>
          </cell>
          <cell r="U14">
            <v>3.2007567367947E-2</v>
          </cell>
          <cell r="V14">
            <v>2.4341461660740298E-3</v>
          </cell>
          <cell r="Y14">
            <v>1.3338063878300499</v>
          </cell>
          <cell r="Z14">
            <v>1.29518241087869</v>
          </cell>
          <cell r="AE14">
            <v>3.2007567367947E-2</v>
          </cell>
          <cell r="AF14">
            <v>2.4341461660740298E-3</v>
          </cell>
        </row>
        <row r="15">
          <cell r="O15">
            <v>1.3338063878300499</v>
          </cell>
          <cell r="P15">
            <v>1.2952365856613599</v>
          </cell>
          <cell r="U15">
            <v>2.94657098362178E-2</v>
          </cell>
          <cell r="V15">
            <v>8.0452488649974699E-5</v>
          </cell>
          <cell r="Y15">
            <v>1.3338063878300499</v>
          </cell>
          <cell r="Z15">
            <v>1.2952365856613599</v>
          </cell>
          <cell r="AE15">
            <v>2.94657098362178E-2</v>
          </cell>
          <cell r="AF15">
            <v>8.0452488649974699E-5</v>
          </cell>
        </row>
        <row r="16">
          <cell r="O16">
            <v>1.3338063878300499</v>
          </cell>
          <cell r="P16">
            <v>1.29551729116384</v>
          </cell>
          <cell r="U16">
            <v>2.85510778682748E-2</v>
          </cell>
          <cell r="V16">
            <v>-7.9235243683922795E-4</v>
          </cell>
          <cell r="Y16">
            <v>1.3338063878300499</v>
          </cell>
          <cell r="Z16">
            <v>1.29551729116384</v>
          </cell>
          <cell r="AE16">
            <v>2.85510778682748E-2</v>
          </cell>
          <cell r="AF16">
            <v>-7.9235243683922795E-4</v>
          </cell>
        </row>
        <row r="17">
          <cell r="O17">
            <v>1.3338063878300499</v>
          </cell>
          <cell r="P17">
            <v>1.2958966971539501</v>
          </cell>
          <cell r="U17">
            <v>2.71143043557815E-2</v>
          </cell>
          <cell r="V17">
            <v>-2.0124280174370702E-3</v>
          </cell>
          <cell r="Y17">
            <v>1.3338063878300499</v>
          </cell>
          <cell r="Z17">
            <v>1.2958966971539501</v>
          </cell>
          <cell r="AE17">
            <v>2.71143043557815E-2</v>
          </cell>
          <cell r="AF17">
            <v>-2.0124280174370702E-3</v>
          </cell>
        </row>
        <row r="18">
          <cell r="O18">
            <v>1.3338063878300499</v>
          </cell>
          <cell r="P18">
            <v>1.2955315865646</v>
          </cell>
          <cell r="U18">
            <v>2.9195976329977499E-2</v>
          </cell>
          <cell r="V18">
            <v>3.62061696056911E-4</v>
          </cell>
          <cell r="Y18">
            <v>1.3338063878300499</v>
          </cell>
          <cell r="Z18">
            <v>1.2955315865646</v>
          </cell>
          <cell r="AE18">
            <v>2.9195976329977499E-2</v>
          </cell>
          <cell r="AF18">
            <v>3.62061696056911E-4</v>
          </cell>
        </row>
        <row r="19">
          <cell r="O19">
            <v>1.3338063878300499</v>
          </cell>
          <cell r="P19">
            <v>1.2953565208506399</v>
          </cell>
          <cell r="U19">
            <v>2.72417790957898E-2</v>
          </cell>
          <cell r="V19">
            <v>-1.87391882656297E-3</v>
          </cell>
          <cell r="Y19">
            <v>1.3338063878300499</v>
          </cell>
          <cell r="Z19">
            <v>1.2953565208506399</v>
          </cell>
          <cell r="AE19">
            <v>2.72417790957898E-2</v>
          </cell>
          <cell r="AF19">
            <v>-1.87391882656297E-3</v>
          </cell>
        </row>
        <row r="20">
          <cell r="O20">
            <v>1.3338063878300499</v>
          </cell>
          <cell r="P20">
            <v>1.2958903131230699</v>
          </cell>
          <cell r="U20">
            <v>2.31087026560906E-2</v>
          </cell>
          <cell r="V20">
            <v>-6.1421348068135496E-3</v>
          </cell>
          <cell r="Y20">
            <v>1.3338063878300499</v>
          </cell>
          <cell r="Z20">
            <v>1.2958903131230699</v>
          </cell>
          <cell r="AE20">
            <v>2.31087026560906E-2</v>
          </cell>
          <cell r="AF20">
            <v>-6.1421348068135496E-3</v>
          </cell>
        </row>
        <row r="21">
          <cell r="O21">
            <v>1.3338063878300499</v>
          </cell>
          <cell r="P21">
            <v>1.29620435992078</v>
          </cell>
          <cell r="Q21">
            <v>1.29457273117938</v>
          </cell>
          <cell r="U21">
            <v>2.5844773373747999E-2</v>
          </cell>
          <cell r="V21">
            <v>-2.9940676147334599E-3</v>
          </cell>
          <cell r="Y21">
            <v>1.3338063878300499</v>
          </cell>
          <cell r="Z21">
            <v>1.29620435992078</v>
          </cell>
          <cell r="AA21">
            <v>1.29457273117938</v>
          </cell>
          <cell r="AE21">
            <v>2.5844773373747999E-2</v>
          </cell>
          <cell r="AF21">
            <v>-2.9940676147334599E-3</v>
          </cell>
        </row>
        <row r="22">
          <cell r="O22">
            <v>1.3338063878300499</v>
          </cell>
          <cell r="P22">
            <v>1.29604017198074</v>
          </cell>
          <cell r="Q22">
            <v>1.2952013787411401</v>
          </cell>
          <cell r="U22">
            <v>3.1311815042729702E-2</v>
          </cell>
          <cell r="V22">
            <v>2.7152852649574501E-3</v>
          </cell>
          <cell r="W22">
            <v>1.4557180387985401E-3</v>
          </cell>
          <cell r="Y22">
            <v>1.3338063878300499</v>
          </cell>
          <cell r="Z22">
            <v>1.29604017198074</v>
          </cell>
          <cell r="AA22">
            <v>1.2952013787411401</v>
          </cell>
          <cell r="AE22">
            <v>3.1311815042729702E-2</v>
          </cell>
          <cell r="AF22">
            <v>2.7152852649574501E-3</v>
          </cell>
          <cell r="AG22">
            <v>1.4557180387985401E-3</v>
          </cell>
          <cell r="AR22">
            <v>0</v>
          </cell>
          <cell r="BC22">
            <v>0</v>
          </cell>
          <cell r="BF22">
            <v>0</v>
          </cell>
        </row>
        <row r="23">
          <cell r="O23">
            <v>1.3338063878300499</v>
          </cell>
          <cell r="P23">
            <v>1.2970144025057899</v>
          </cell>
          <cell r="Q23">
            <v>1.29597656489848</v>
          </cell>
          <cell r="U23">
            <v>2.5908808569228801E-2</v>
          </cell>
          <cell r="V23">
            <v>-2.8143974832833701E-3</v>
          </cell>
          <cell r="W23">
            <v>-3.4618039504011999E-3</v>
          </cell>
          <cell r="Y23">
            <v>1.3338063878300499</v>
          </cell>
          <cell r="Z23">
            <v>1.2970144025057899</v>
          </cell>
          <cell r="AA23">
            <v>1.29597656489848</v>
          </cell>
          <cell r="AE23">
            <v>2.5908808569228801E-2</v>
          </cell>
          <cell r="AF23">
            <v>-2.8143974832833701E-3</v>
          </cell>
          <cell r="AG23">
            <v>-3.4618039504011999E-3</v>
          </cell>
          <cell r="AR23">
            <v>0</v>
          </cell>
          <cell r="BC23">
            <v>0</v>
          </cell>
          <cell r="BF23">
            <v>0</v>
          </cell>
        </row>
        <row r="24">
          <cell r="O24">
            <v>1.3338063878300499</v>
          </cell>
          <cell r="P24">
            <v>1.2979656923527001</v>
          </cell>
          <cell r="Q24">
            <v>1.2965740516157001</v>
          </cell>
          <cell r="U24">
            <v>2.46704314302943E-2</v>
          </cell>
          <cell r="V24">
            <v>-3.3013592216557001E-3</v>
          </cell>
          <cell r="W24">
            <v>-4.1018538440990198E-3</v>
          </cell>
          <cell r="Y24">
            <v>1.3338063878300499</v>
          </cell>
          <cell r="Z24">
            <v>1.2979656923527001</v>
          </cell>
          <cell r="AA24">
            <v>1.2965740516157001</v>
          </cell>
          <cell r="AE24">
            <v>2.46704314302943E-2</v>
          </cell>
          <cell r="AF24">
            <v>-3.3013592216557001E-3</v>
          </cell>
          <cell r="AG24">
            <v>-4.1018538440990198E-3</v>
          </cell>
          <cell r="AR24">
            <v>0</v>
          </cell>
          <cell r="BC24">
            <v>0</v>
          </cell>
          <cell r="BF24">
            <v>0</v>
          </cell>
        </row>
        <row r="25">
          <cell r="O25">
            <v>1.3338063878300499</v>
          </cell>
          <cell r="P25">
            <v>1.29816649937155</v>
          </cell>
          <cell r="Q25">
            <v>1.2967015425164501</v>
          </cell>
          <cell r="U25">
            <v>2.79163709799111E-2</v>
          </cell>
          <cell r="V25">
            <v>6.7775735033146097E-4</v>
          </cell>
          <cell r="W25">
            <v>-3.9498849886684099E-4</v>
          </cell>
          <cell r="Y25">
            <v>1.3338063878300499</v>
          </cell>
          <cell r="Z25">
            <v>1.29816649937155</v>
          </cell>
          <cell r="AA25">
            <v>1.2967015425164501</v>
          </cell>
          <cell r="AE25">
            <v>2.79163709799111E-2</v>
          </cell>
          <cell r="AF25">
            <v>6.7775735033146097E-4</v>
          </cell>
          <cell r="AG25">
            <v>-3.9498849886684099E-4</v>
          </cell>
          <cell r="AR25">
            <v>0</v>
          </cell>
          <cell r="BC25">
            <v>0</v>
          </cell>
          <cell r="BF25">
            <v>0</v>
          </cell>
        </row>
        <row r="26">
          <cell r="O26">
            <v>1.3338063878300499</v>
          </cell>
          <cell r="P26">
            <v>1.2986098512236699</v>
          </cell>
          <cell r="Q26">
            <v>1.2970635711937499</v>
          </cell>
          <cell r="U26">
            <v>2.5136683570901E-2</v>
          </cell>
          <cell r="V26">
            <v>-1.94723299056628E-3</v>
          </cell>
          <cell r="W26">
            <v>-3.0763516872308301E-3</v>
          </cell>
          <cell r="Y26">
            <v>1.3338063878300499</v>
          </cell>
          <cell r="Z26">
            <v>1.2986098512236699</v>
          </cell>
          <cell r="AA26">
            <v>1.2970635711937499</v>
          </cell>
          <cell r="AE26">
            <v>2.5136683570901E-2</v>
          </cell>
          <cell r="AF26">
            <v>-1.94723299056628E-3</v>
          </cell>
          <cell r="AG26">
            <v>-3.0763516872308301E-3</v>
          </cell>
          <cell r="AR26">
            <v>0</v>
          </cell>
          <cell r="BC26">
            <v>0</v>
          </cell>
          <cell r="BF26">
            <v>0</v>
          </cell>
        </row>
        <row r="27">
          <cell r="O27">
            <v>1.3338063878300499</v>
          </cell>
          <cell r="P27">
            <v>1.2987600702239499</v>
          </cell>
          <cell r="Q27">
            <v>1.29732838368895</v>
          </cell>
          <cell r="U27">
            <v>2.5957775412513099E-2</v>
          </cell>
          <cell r="V27">
            <v>-7.8467789099796704E-4</v>
          </cell>
          <cell r="W27">
            <v>-1.9761068276847298E-3</v>
          </cell>
          <cell r="Y27">
            <v>1.3338063878300499</v>
          </cell>
          <cell r="Z27">
            <v>1.2987600702239499</v>
          </cell>
          <cell r="AA27">
            <v>1.29732838368895</v>
          </cell>
          <cell r="AE27">
            <v>2.5957775412513099E-2</v>
          </cell>
          <cell r="AF27">
            <v>-7.8467789099796704E-4</v>
          </cell>
          <cell r="AG27">
            <v>-1.9761068276847298E-3</v>
          </cell>
          <cell r="AR27">
            <v>0</v>
          </cell>
          <cell r="BC27">
            <v>0</v>
          </cell>
          <cell r="BF27">
            <v>0</v>
          </cell>
        </row>
        <row r="28">
          <cell r="O28">
            <v>1.3338063878300499</v>
          </cell>
          <cell r="P28">
            <v>1.2996727921668501</v>
          </cell>
          <cell r="Q28">
            <v>1.2976021893657299</v>
          </cell>
          <cell r="U28">
            <v>2.2174961924741301E-2</v>
          </cell>
          <cell r="V28">
            <v>-4.4518212932650597E-3</v>
          </cell>
          <cell r="W28">
            <v>-5.5547780727097E-3</v>
          </cell>
          <cell r="Y28">
            <v>1.3338063878300499</v>
          </cell>
          <cell r="Z28">
            <v>1.2996727921668501</v>
          </cell>
          <cell r="AA28">
            <v>1.2976021893657299</v>
          </cell>
          <cell r="AE28">
            <v>2.2174961924741301E-2</v>
          </cell>
          <cell r="AF28">
            <v>-4.4518212932650597E-3</v>
          </cell>
          <cell r="AG28">
            <v>-5.5547780727097E-3</v>
          </cell>
          <cell r="AR28">
            <v>0</v>
          </cell>
          <cell r="BC28">
            <v>0</v>
          </cell>
          <cell r="BF28">
            <v>0</v>
          </cell>
        </row>
        <row r="29">
          <cell r="O29">
            <v>1.3338063878300499</v>
          </cell>
          <cell r="P29">
            <v>1.3004082342672401</v>
          </cell>
          <cell r="Q29">
            <v>1.2978823775589401</v>
          </cell>
          <cell r="U29">
            <v>2.15916397468978E-2</v>
          </cell>
          <cell r="V29">
            <v>-4.3326262010693097E-3</v>
          </cell>
          <cell r="W29">
            <v>-5.9270690340465504E-3</v>
          </cell>
          <cell r="Y29">
            <v>1.3338063878300499</v>
          </cell>
          <cell r="Z29">
            <v>1.3004082342672401</v>
          </cell>
          <cell r="AA29">
            <v>1.2978823775589401</v>
          </cell>
          <cell r="AE29">
            <v>2.15916397468978E-2</v>
          </cell>
          <cell r="AF29">
            <v>-4.3326262010693097E-3</v>
          </cell>
          <cell r="AG29">
            <v>-5.9270690340465504E-3</v>
          </cell>
          <cell r="AR29">
            <v>0</v>
          </cell>
          <cell r="BC29">
            <v>0</v>
          </cell>
          <cell r="BF29">
            <v>0</v>
          </cell>
        </row>
        <row r="30">
          <cell r="O30">
            <v>1.3338063878300499</v>
          </cell>
          <cell r="P30">
            <v>1.30127607418555</v>
          </cell>
          <cell r="Q30">
            <v>1.29858319365431</v>
          </cell>
          <cell r="U30">
            <v>1.6472174962321999E-2</v>
          </cell>
          <cell r="V30">
            <v>-8.8863839076547494E-3</v>
          </cell>
          <cell r="W30">
            <v>-1.0830629476233301E-2</v>
          </cell>
          <cell r="Y30">
            <v>1.3338063878300499</v>
          </cell>
          <cell r="Z30">
            <v>1.30127607418555</v>
          </cell>
          <cell r="AA30">
            <v>1.29858319365431</v>
          </cell>
          <cell r="AE30">
            <v>1.6472174962321999E-2</v>
          </cell>
          <cell r="AF30">
            <v>-8.8863839076547494E-3</v>
          </cell>
          <cell r="AG30">
            <v>-1.0830629476233301E-2</v>
          </cell>
          <cell r="AR30">
            <v>0</v>
          </cell>
          <cell r="BC30">
            <v>0</v>
          </cell>
          <cell r="BF30">
            <v>0</v>
          </cell>
        </row>
        <row r="31">
          <cell r="O31">
            <v>1.3338063878300499</v>
          </cell>
          <cell r="P31">
            <v>1.3027760638521599</v>
          </cell>
          <cell r="Q31">
            <v>1.29949021188647</v>
          </cell>
          <cell r="U31">
            <v>1.4370485952901401E-2</v>
          </cell>
          <cell r="V31">
            <v>-1.0320935903038999E-2</v>
          </cell>
          <cell r="W31">
            <v>-1.2392495335167999E-2</v>
          </cell>
          <cell r="Y31">
            <v>1.3338063878300499</v>
          </cell>
          <cell r="Z31">
            <v>1.3027760638521599</v>
          </cell>
          <cell r="AA31">
            <v>1.29949021188647</v>
          </cell>
          <cell r="AE31">
            <v>1.4370485952901401E-2</v>
          </cell>
          <cell r="AF31">
            <v>-1.0320935903038999E-2</v>
          </cell>
          <cell r="AG31">
            <v>-1.2392495335167999E-2</v>
          </cell>
          <cell r="AR31">
            <v>0</v>
          </cell>
          <cell r="BC31">
            <v>0</v>
          </cell>
          <cell r="BF31">
            <v>0</v>
          </cell>
        </row>
        <row r="32">
          <cell r="O32">
            <v>1.3338063878300499</v>
          </cell>
          <cell r="P32">
            <v>1.3061364087892999</v>
          </cell>
          <cell r="Q32">
            <v>1.3010882903850201</v>
          </cell>
          <cell r="U32">
            <v>5.64895365111567E-3</v>
          </cell>
          <cell r="V32">
            <v>-1.7890425347772399E-2</v>
          </cell>
          <cell r="W32">
            <v>-2.0415803893871199E-2</v>
          </cell>
          <cell r="Y32">
            <v>1.3338063878300499</v>
          </cell>
          <cell r="Z32">
            <v>1.3061364087892999</v>
          </cell>
          <cell r="AA32">
            <v>1.3010882903850201</v>
          </cell>
          <cell r="AE32">
            <v>5.64895365111567E-3</v>
          </cell>
          <cell r="AF32">
            <v>-1.7890425347772399E-2</v>
          </cell>
          <cell r="AG32">
            <v>-2.0415803893871199E-2</v>
          </cell>
          <cell r="AR32">
            <v>0</v>
          </cell>
          <cell r="BC32">
            <v>0</v>
          </cell>
          <cell r="BF32">
            <v>0</v>
          </cell>
        </row>
        <row r="33">
          <cell r="O33">
            <v>1.3338063878300499</v>
          </cell>
          <cell r="P33">
            <v>1.3088208146884499</v>
          </cell>
          <cell r="Q33">
            <v>1.3029176085971199</v>
          </cell>
          <cell r="U33">
            <v>5.4650578340921198E-3</v>
          </cell>
          <cell r="V33">
            <v>-1.54982693955905E-2</v>
          </cell>
          <cell r="W33">
            <v>-1.9370681860972301E-2</v>
          </cell>
          <cell r="Y33">
            <v>1.3338063878300499</v>
          </cell>
          <cell r="Z33">
            <v>1.3088208146884499</v>
          </cell>
          <cell r="AA33">
            <v>1.3029176085971199</v>
          </cell>
          <cell r="AE33">
            <v>5.4650578340921198E-3</v>
          </cell>
          <cell r="AF33">
            <v>-1.54982693955905E-2</v>
          </cell>
          <cell r="AG33">
            <v>-1.9370681860972301E-2</v>
          </cell>
          <cell r="AR33">
            <v>0</v>
          </cell>
          <cell r="BC33">
            <v>0</v>
          </cell>
          <cell r="BF33">
            <v>0</v>
          </cell>
        </row>
        <row r="34">
          <cell r="O34">
            <v>1.3338063878300499</v>
          </cell>
          <cell r="P34">
            <v>1.3116612675060499</v>
          </cell>
          <cell r="Q34">
            <v>1.30481347992938</v>
          </cell>
          <cell r="U34">
            <v>3.0774935733743E-3</v>
          </cell>
          <cell r="V34">
            <v>-1.58327164442916E-2</v>
          </cell>
          <cell r="W34">
            <v>-2.03532427661011E-2</v>
          </cell>
          <cell r="Y34">
            <v>1.3338063878300499</v>
          </cell>
          <cell r="Z34">
            <v>1.3116612675060499</v>
          </cell>
          <cell r="AA34">
            <v>1.30481347992938</v>
          </cell>
          <cell r="AE34">
            <v>3.0774935733743E-3</v>
          </cell>
          <cell r="AF34">
            <v>-1.58327164442916E-2</v>
          </cell>
          <cell r="AG34">
            <v>-2.03532427661011E-2</v>
          </cell>
          <cell r="AR34">
            <v>0</v>
          </cell>
          <cell r="BC34">
            <v>0</v>
          </cell>
          <cell r="BF34">
            <v>0</v>
          </cell>
        </row>
        <row r="35">
          <cell r="O35">
            <v>1.3338063878300499</v>
          </cell>
          <cell r="P35">
            <v>1.3163741061143099</v>
          </cell>
          <cell r="Q35">
            <v>1.30727030274293</v>
          </cell>
          <cell r="U35">
            <v>-7.7731541633349202E-3</v>
          </cell>
          <cell r="V35">
            <v>-2.45154776311561E-2</v>
          </cell>
          <cell r="W35">
            <v>-2.9749851261858098E-2</v>
          </cell>
          <cell r="Y35">
            <v>1.3338063878300499</v>
          </cell>
          <cell r="Z35">
            <v>1.3163741061143099</v>
          </cell>
          <cell r="AA35">
            <v>1.30727030274293</v>
          </cell>
          <cell r="AE35">
            <v>-7.7731541633349202E-3</v>
          </cell>
          <cell r="AF35">
            <v>-2.45154776311561E-2</v>
          </cell>
          <cell r="AG35">
            <v>-2.9749851261858098E-2</v>
          </cell>
          <cell r="AR35">
            <v>0</v>
          </cell>
          <cell r="BC35">
            <v>0</v>
          </cell>
          <cell r="BF35">
            <v>0</v>
          </cell>
        </row>
        <row r="36">
          <cell r="O36">
            <v>1.3338063878300499</v>
          </cell>
          <cell r="P36">
            <v>1.32007171397667</v>
          </cell>
          <cell r="Q36">
            <v>1.30934078260017</v>
          </cell>
          <cell r="U36">
            <v>-2.89464215103681E-3</v>
          </cell>
          <cell r="V36">
            <v>-1.60503748845147E-2</v>
          </cell>
          <cell r="W36">
            <v>-2.2990217706423E-2</v>
          </cell>
          <cell r="Y36">
            <v>1.3338063878300499</v>
          </cell>
          <cell r="Z36">
            <v>1.32007171397667</v>
          </cell>
          <cell r="AA36">
            <v>1.30934078260017</v>
          </cell>
          <cell r="AE36">
            <v>-2.89464215103681E-3</v>
          </cell>
          <cell r="AF36">
            <v>-1.60503748845147E-2</v>
          </cell>
          <cell r="AG36">
            <v>-2.2990217706423E-2</v>
          </cell>
          <cell r="AR36">
            <v>4.8785120122979992E-3</v>
          </cell>
          <cell r="BC36">
            <v>0</v>
          </cell>
          <cell r="BF36">
            <v>4.8785120122979992E-3</v>
          </cell>
        </row>
        <row r="37">
          <cell r="O37">
            <v>1.3338063878300499</v>
          </cell>
          <cell r="P37">
            <v>1.3252874782823501</v>
          </cell>
          <cell r="Q37">
            <v>1.31202377425315</v>
          </cell>
          <cell r="U37">
            <v>-1.33905350715298E-2</v>
          </cell>
          <cell r="V37">
            <v>-2.3741271579719999E-2</v>
          </cell>
          <cell r="W37">
            <v>-3.1903544305943797E-2</v>
          </cell>
          <cell r="Y37">
            <v>1.3338063878300499</v>
          </cell>
          <cell r="Z37">
            <v>1.3252874782823501</v>
          </cell>
          <cell r="AA37">
            <v>1.31202377425315</v>
          </cell>
          <cell r="AE37">
            <v>-1.33905350715298E-2</v>
          </cell>
          <cell r="AF37">
            <v>-2.3741271579719999E-2</v>
          </cell>
          <cell r="AG37">
            <v>-3.1903544305943797E-2</v>
          </cell>
          <cell r="AR37">
            <v>-5.6173809081950105E-3</v>
          </cell>
          <cell r="BC37">
            <v>0</v>
          </cell>
          <cell r="BF37">
            <v>-5.6173809081950105E-3</v>
          </cell>
        </row>
        <row r="38">
          <cell r="O38">
            <v>1.3338063878300499</v>
          </cell>
          <cell r="P38">
            <v>1.33109573385056</v>
          </cell>
          <cell r="Q38">
            <v>1.3153842630087</v>
          </cell>
          <cell r="U38">
            <v>-2.1385258687260499E-2</v>
          </cell>
          <cell r="V38">
            <v>-2.7792658442050401E-2</v>
          </cell>
          <cell r="W38">
            <v>-3.7851248110683897E-2</v>
          </cell>
          <cell r="Y38">
            <v>1.3338063878300499</v>
          </cell>
          <cell r="Z38">
            <v>1.33109573385056</v>
          </cell>
          <cell r="AA38">
            <v>1.3153842630087</v>
          </cell>
          <cell r="AE38">
            <v>-2.1385258687260499E-2</v>
          </cell>
          <cell r="AF38">
            <v>-2.7792658442050401E-2</v>
          </cell>
          <cell r="AG38">
            <v>-3.7851248110683897E-2</v>
          </cell>
          <cell r="AR38">
            <v>-1.361210452392551E-2</v>
          </cell>
          <cell r="BC38">
            <v>0</v>
          </cell>
          <cell r="BF38">
            <v>-1.361210452392551E-2</v>
          </cell>
        </row>
        <row r="39">
          <cell r="O39">
            <v>1.3338063878300499</v>
          </cell>
          <cell r="P39">
            <v>1.33214020434403</v>
          </cell>
          <cell r="Q39">
            <v>1.31627421930563</v>
          </cell>
          <cell r="U39">
            <v>1.36218156183177E-2</v>
          </cell>
          <cell r="V39">
            <v>1.158747830267E-2</v>
          </cell>
          <cell r="W39">
            <v>-2.8614662368466E-4</v>
          </cell>
          <cell r="Y39">
            <v>1.3338063878300499</v>
          </cell>
          <cell r="Z39">
            <v>1.33214020434403</v>
          </cell>
          <cell r="AA39">
            <v>1.31627421930563</v>
          </cell>
          <cell r="AE39">
            <v>1.36218156183177E-2</v>
          </cell>
          <cell r="AF39">
            <v>1.158747830267E-2</v>
          </cell>
          <cell r="AG39">
            <v>-2.8614662368466E-4</v>
          </cell>
          <cell r="AR39">
            <v>2.1394969781652787E-2</v>
          </cell>
          <cell r="BC39">
            <v>0</v>
          </cell>
          <cell r="BF39">
            <v>2.1394969781652787E-2</v>
          </cell>
        </row>
        <row r="40">
          <cell r="O40">
            <v>1.3338063878300499</v>
          </cell>
          <cell r="P40">
            <v>1.3339859917700201</v>
          </cell>
          <cell r="Q40">
            <v>1.3176310329777901</v>
          </cell>
          <cell r="U40">
            <v>2.5018817118014798E-3</v>
          </cell>
          <cell r="V40">
            <v>1.2519064063279499E-3</v>
          </cell>
          <cell r="W40">
            <v>-1.07297341601548E-2</v>
          </cell>
          <cell r="Y40">
            <v>1.3338063878300499</v>
          </cell>
          <cell r="Z40">
            <v>1.3339859917700201</v>
          </cell>
          <cell r="AA40">
            <v>1.3176310329777901</v>
          </cell>
          <cell r="AE40">
            <v>2.5018817118014798E-3</v>
          </cell>
          <cell r="AF40">
            <v>1.2519064063279499E-3</v>
          </cell>
          <cell r="AG40">
            <v>-1.07297341601548E-2</v>
          </cell>
          <cell r="AR40">
            <v>2.1394969781652787E-2</v>
          </cell>
          <cell r="BC40">
            <v>0</v>
          </cell>
          <cell r="BF40">
            <v>2.1394969781652787E-2</v>
          </cell>
        </row>
        <row r="41">
          <cell r="O41">
            <v>1.3338063878300499</v>
          </cell>
          <cell r="P41">
            <v>1.3361380026338701</v>
          </cell>
          <cell r="Q41">
            <v>1.31945703324302</v>
          </cell>
          <cell r="U41">
            <v>-1.8648938022533901E-3</v>
          </cell>
          <cell r="V41">
            <v>-1.7302476869017001E-3</v>
          </cell>
          <cell r="W41">
            <v>-1.4066241944577E-2</v>
          </cell>
          <cell r="Y41">
            <v>1.3338063878300499</v>
          </cell>
          <cell r="Z41">
            <v>1.3361380026338701</v>
          </cell>
          <cell r="AA41">
            <v>1.31945703324302</v>
          </cell>
          <cell r="AE41">
            <v>-1.8648938022533901E-3</v>
          </cell>
          <cell r="AF41">
            <v>-1.7302476869017001E-3</v>
          </cell>
          <cell r="AG41">
            <v>-1.4066241944577E-2</v>
          </cell>
          <cell r="AR41">
            <v>2.1394969781652787E-2</v>
          </cell>
          <cell r="BC41">
            <v>0</v>
          </cell>
          <cell r="BF41">
            <v>2.1394969781652787E-2</v>
          </cell>
        </row>
        <row r="42">
          <cell r="O42">
            <v>1.3338063878300499</v>
          </cell>
          <cell r="P42">
            <v>1.3371269576876399</v>
          </cell>
          <cell r="Q42">
            <v>1.32163168323847</v>
          </cell>
          <cell r="U42">
            <v>-1.7799189851126101E-3</v>
          </cell>
          <cell r="V42">
            <v>-3.3354221549078297E-5</v>
          </cell>
          <cell r="W42">
            <v>-1.25964058628845E-2</v>
          </cell>
          <cell r="Y42">
            <v>1.3338063878300499</v>
          </cell>
          <cell r="Z42">
            <v>1.3371269576876399</v>
          </cell>
          <cell r="AA42">
            <v>1.32163168323847</v>
          </cell>
          <cell r="AE42">
            <v>-1.7799189851126101E-3</v>
          </cell>
          <cell r="AF42">
            <v>-3.3354221549078297E-5</v>
          </cell>
          <cell r="AG42">
            <v>-1.25964058628845E-2</v>
          </cell>
          <cell r="AR42">
            <v>2.1394969781652787E-2</v>
          </cell>
          <cell r="BC42">
            <v>0</v>
          </cell>
          <cell r="BF42">
            <v>2.1394969781652787E-2</v>
          </cell>
        </row>
        <row r="43">
          <cell r="O43">
            <v>1.3338063878300499</v>
          </cell>
          <cell r="P43">
            <v>1.33580276709072</v>
          </cell>
          <cell r="Q43">
            <v>1.3223117908895801</v>
          </cell>
          <cell r="U43">
            <v>1.5497527444074601E-2</v>
          </cell>
          <cell r="V43">
            <v>1.7983977788425299E-2</v>
          </cell>
          <cell r="W43">
            <v>6.3278239350976701E-3</v>
          </cell>
          <cell r="Y43">
            <v>1.3338063878300499</v>
          </cell>
          <cell r="Z43">
            <v>1.33580276709072</v>
          </cell>
          <cell r="AA43">
            <v>1.3223117908895801</v>
          </cell>
          <cell r="AE43">
            <v>1.5497527444074601E-2</v>
          </cell>
          <cell r="AF43">
            <v>1.7983977788425299E-2</v>
          </cell>
          <cell r="AG43">
            <v>6.3278239350976701E-3</v>
          </cell>
          <cell r="AR43">
            <v>2.1394969781652787E-2</v>
          </cell>
          <cell r="BC43">
            <v>0</v>
          </cell>
          <cell r="BF43">
            <v>2.1394969781652787E-2</v>
          </cell>
        </row>
        <row r="44">
          <cell r="O44">
            <v>1.3338063878300499</v>
          </cell>
          <cell r="P44">
            <v>1.3337571755964901</v>
          </cell>
          <cell r="Q44">
            <v>1.3227092215512699</v>
          </cell>
          <cell r="U44">
            <v>1.8580817070813601E-2</v>
          </cell>
          <cell r="V44">
            <v>2.0076451462934901E-2</v>
          </cell>
          <cell r="W44">
            <v>9.9255781657647205E-3</v>
          </cell>
          <cell r="Y44">
            <v>1.3338063878300499</v>
          </cell>
          <cell r="Z44">
            <v>1.3337571755964901</v>
          </cell>
          <cell r="AA44">
            <v>1.3227092215512699</v>
          </cell>
          <cell r="AE44">
            <v>1.8580817070813601E-2</v>
          </cell>
          <cell r="AF44">
            <v>2.0076451462934901E-2</v>
          </cell>
          <cell r="AG44">
            <v>9.9255781657647205E-3</v>
          </cell>
          <cell r="AR44">
            <v>2.1394969781652787E-2</v>
          </cell>
          <cell r="BC44">
            <v>0</v>
          </cell>
          <cell r="BF44">
            <v>2.1394969781652787E-2</v>
          </cell>
        </row>
        <row r="45">
          <cell r="O45">
            <v>1.3338063878300499</v>
          </cell>
          <cell r="P45">
            <v>1.32977030442172</v>
          </cell>
          <cell r="Q45">
            <v>1.3230722052680099</v>
          </cell>
          <cell r="U45">
            <v>2.23350661442238E-2</v>
          </cell>
          <cell r="V45">
            <v>2.22981693787676E-2</v>
          </cell>
          <cell r="W45">
            <v>1.3980339532127E-2</v>
          </cell>
          <cell r="Y45">
            <v>1.3338063878300499</v>
          </cell>
          <cell r="Z45">
            <v>1.32977030442172</v>
          </cell>
          <cell r="AA45">
            <v>1.3230722052680099</v>
          </cell>
          <cell r="AE45">
            <v>2.23350661442238E-2</v>
          </cell>
          <cell r="AF45">
            <v>2.22981693787676E-2</v>
          </cell>
          <cell r="AG45">
            <v>1.3980339532127E-2</v>
          </cell>
          <cell r="AR45">
            <v>2.1394969781652787E-2</v>
          </cell>
          <cell r="BC45">
            <v>0</v>
          </cell>
          <cell r="BF45">
            <v>2.1394969781652787E-2</v>
          </cell>
        </row>
        <row r="46">
          <cell r="O46">
            <v>1.3338063878300499</v>
          </cell>
          <cell r="P46">
            <v>1.3285545998095301</v>
          </cell>
          <cell r="Q46">
            <v>1.3243131568930999</v>
          </cell>
          <cell r="U46">
            <v>6.2351131398841898E-3</v>
          </cell>
          <cell r="V46">
            <v>3.2045366153492499E-3</v>
          </cell>
          <cell r="W46">
            <v>-1.8452266953298999E-3</v>
          </cell>
          <cell r="Y46">
            <v>1.3338063878300499</v>
          </cell>
          <cell r="Z46">
            <v>1.3285545998095301</v>
          </cell>
          <cell r="AA46">
            <v>1.3243131568930999</v>
          </cell>
          <cell r="AE46">
            <v>6.2351131398841898E-3</v>
          </cell>
          <cell r="AF46">
            <v>3.2045366153492499E-3</v>
          </cell>
          <cell r="AG46">
            <v>-1.8452266953298999E-3</v>
          </cell>
          <cell r="AR46">
            <v>2.1394969781652787E-2</v>
          </cell>
          <cell r="BC46">
            <v>0</v>
          </cell>
          <cell r="BF46">
            <v>2.1394969781652787E-2</v>
          </cell>
        </row>
        <row r="47">
          <cell r="O47">
            <v>1.3338063878300499</v>
          </cell>
          <cell r="P47">
            <v>1.3255588276553001</v>
          </cell>
          <cell r="Q47">
            <v>1.3254231529688201</v>
          </cell>
          <cell r="U47">
            <v>9.0202934401419198E-3</v>
          </cell>
          <cell r="V47">
            <v>5.0750772528573504E-3</v>
          </cell>
          <cell r="W47">
            <v>1.87744591995901E-3</v>
          </cell>
          <cell r="Y47">
            <v>1.3338063878300499</v>
          </cell>
          <cell r="Z47">
            <v>1.3255588276553001</v>
          </cell>
          <cell r="AA47">
            <v>1.3254231529688201</v>
          </cell>
          <cell r="AE47">
            <v>9.0202934401419198E-3</v>
          </cell>
          <cell r="AF47">
            <v>5.0750772528573504E-3</v>
          </cell>
          <cell r="AG47">
            <v>1.87744591995901E-3</v>
          </cell>
          <cell r="AR47">
            <v>2.1394969781652787E-2</v>
          </cell>
          <cell r="BC47">
            <v>0</v>
          </cell>
          <cell r="BF47">
            <v>2.1394969781652787E-2</v>
          </cell>
        </row>
        <row r="48">
          <cell r="O48">
            <v>1.3338063878300499</v>
          </cell>
          <cell r="P48">
            <v>1.32101999909312</v>
          </cell>
          <cell r="Q48">
            <v>1.3260578664718401</v>
          </cell>
          <cell r="U48">
            <v>1.2491270984336601E-2</v>
          </cell>
          <cell r="V48">
            <v>6.2885978282120197E-3</v>
          </cell>
          <cell r="W48">
            <v>6.1862397680020401E-3</v>
          </cell>
          <cell r="Y48">
            <v>1.3338063878300499</v>
          </cell>
          <cell r="Z48">
            <v>1.32101999909312</v>
          </cell>
          <cell r="AA48">
            <v>1.3260578664718401</v>
          </cell>
          <cell r="AE48">
            <v>1.2491270984336601E-2</v>
          </cell>
          <cell r="AF48">
            <v>6.2885978282120197E-3</v>
          </cell>
          <cell r="AG48">
            <v>6.1862397680020401E-3</v>
          </cell>
          <cell r="AR48">
            <v>2.1394969781652787E-2</v>
          </cell>
          <cell r="BC48">
            <v>0</v>
          </cell>
          <cell r="BF48">
            <v>2.1394969781652787E-2</v>
          </cell>
        </row>
        <row r="49">
          <cell r="O49">
            <v>1.3338063878300499</v>
          </cell>
          <cell r="P49">
            <v>1.3194479627379501</v>
          </cell>
          <cell r="Q49">
            <v>1.32579408354099</v>
          </cell>
          <cell r="U49">
            <v>2.5641500969097199E-2</v>
          </cell>
          <cell r="V49">
            <v>1.6008865352670199E-2</v>
          </cell>
          <cell r="W49">
            <v>1.9815231252832698E-2</v>
          </cell>
          <cell r="Y49">
            <v>1.3338063878300499</v>
          </cell>
          <cell r="Z49">
            <v>1.3194479627379501</v>
          </cell>
          <cell r="AA49">
            <v>1.32579408354099</v>
          </cell>
          <cell r="AE49">
            <v>2.5641500969097199E-2</v>
          </cell>
          <cell r="AF49">
            <v>1.6008865352670199E-2</v>
          </cell>
          <cell r="AG49">
            <v>1.9815231252832698E-2</v>
          </cell>
          <cell r="AR49">
            <v>2.1394969781652787E-2</v>
          </cell>
          <cell r="BC49">
            <v>0</v>
          </cell>
          <cell r="BF49">
            <v>2.1394969781652787E-2</v>
          </cell>
        </row>
        <row r="50">
          <cell r="O50">
            <v>1.3338063878300499</v>
          </cell>
          <cell r="P50">
            <v>1.3166969325059601</v>
          </cell>
          <cell r="Q50">
            <v>1.32534146213799</v>
          </cell>
          <cell r="U50">
            <v>2.3395721655505901E-2</v>
          </cell>
          <cell r="V50">
            <v>1.2572360331647599E-2</v>
          </cell>
          <cell r="W50">
            <v>1.73705095120745E-2</v>
          </cell>
          <cell r="Y50">
            <v>1.3338063878300499</v>
          </cell>
          <cell r="Z50">
            <v>1.3166969325059601</v>
          </cell>
          <cell r="AA50">
            <v>1.32534146213799</v>
          </cell>
          <cell r="AE50">
            <v>2.3395721655505901E-2</v>
          </cell>
          <cell r="AF50">
            <v>1.2572360331647599E-2</v>
          </cell>
          <cell r="AG50">
            <v>1.73705095120745E-2</v>
          </cell>
          <cell r="AR50">
            <v>2.1394969781652787E-2</v>
          </cell>
          <cell r="BC50">
            <v>2.2457793135913394E-3</v>
          </cell>
          <cell r="BF50">
            <v>2.3640749095244128E-2</v>
          </cell>
        </row>
        <row r="51">
          <cell r="O51">
            <v>1.3338063878300499</v>
          </cell>
          <cell r="P51">
            <v>1.31322853200734</v>
          </cell>
          <cell r="Q51">
            <v>1.3246832673205999</v>
          </cell>
          <cell r="U51">
            <v>2.4433218875301799E-2</v>
          </cell>
          <cell r="V51">
            <v>1.15226951684992E-2</v>
          </cell>
          <cell r="W51">
            <v>1.80665519857055E-2</v>
          </cell>
          <cell r="Y51">
            <v>1.3338063878300499</v>
          </cell>
          <cell r="Z51">
            <v>1.31322853200734</v>
          </cell>
          <cell r="AA51">
            <v>1.3246832673205999</v>
          </cell>
          <cell r="AE51">
            <v>2.4433218875301799E-2</v>
          </cell>
          <cell r="AF51">
            <v>1.15226951684992E-2</v>
          </cell>
          <cell r="AG51">
            <v>1.80665519857055E-2</v>
          </cell>
          <cell r="AR51">
            <v>2.1394969781652787E-2</v>
          </cell>
          <cell r="BC51">
            <v>1.2082820937955379E-3</v>
          </cell>
          <cell r="BF51">
            <v>2.2603251875448326E-2</v>
          </cell>
        </row>
        <row r="52">
          <cell r="O52">
            <v>1.3338063878300499</v>
          </cell>
          <cell r="P52">
            <v>1.30938333543973</v>
          </cell>
          <cell r="Q52">
            <v>1.3232551465636799</v>
          </cell>
          <cell r="U52">
            <v>2.7419751006654999E-2</v>
          </cell>
          <cell r="V52">
            <v>1.1871584099480401E-2</v>
          </cell>
          <cell r="W52">
            <v>2.05563379368385E-2</v>
          </cell>
          <cell r="Y52">
            <v>1.3338063878300499</v>
          </cell>
          <cell r="Z52">
            <v>1.30938333543973</v>
          </cell>
          <cell r="AA52">
            <v>1.3232551465636799</v>
          </cell>
          <cell r="AE52">
            <v>2.7419751006654999E-2</v>
          </cell>
          <cell r="AF52">
            <v>1.1871584099480401E-2</v>
          </cell>
          <cell r="AG52">
            <v>2.05563379368385E-2</v>
          </cell>
          <cell r="AR52">
            <v>2.1394969781652787E-2</v>
          </cell>
          <cell r="BC52">
            <v>-1.7782500375577719E-3</v>
          </cell>
          <cell r="BF52">
            <v>1.9616719744095016E-2</v>
          </cell>
        </row>
        <row r="53">
          <cell r="O53">
            <v>1.3338063878300499</v>
          </cell>
          <cell r="P53">
            <v>1.3085198953002499</v>
          </cell>
          <cell r="Q53">
            <v>1.3221613311954801</v>
          </cell>
          <cell r="U53">
            <v>2.2093844415376599E-2</v>
          </cell>
          <cell r="V53">
            <v>3.6133340908448401E-3</v>
          </cell>
          <cell r="W53">
            <v>1.41517650987148E-2</v>
          </cell>
          <cell r="Y53">
            <v>1.3338063878300499</v>
          </cell>
          <cell r="Z53">
            <v>1.3085198953002499</v>
          </cell>
          <cell r="AA53">
            <v>1.3221613311954801</v>
          </cell>
          <cell r="AE53">
            <v>2.2093844415376599E-2</v>
          </cell>
          <cell r="AF53">
            <v>3.6133340908448401E-3</v>
          </cell>
          <cell r="AG53">
            <v>1.41517650987148E-2</v>
          </cell>
          <cell r="AR53">
            <v>2.1394969781652787E-2</v>
          </cell>
          <cell r="BC53">
            <v>3.5476565537206277E-3</v>
          </cell>
          <cell r="BF53">
            <v>2.4942626335373416E-2</v>
          </cell>
        </row>
        <row r="54">
          <cell r="O54">
            <v>1.3338063878300499</v>
          </cell>
          <cell r="P54">
            <v>1.30741202530656</v>
          </cell>
          <cell r="Q54">
            <v>1.32058460045152</v>
          </cell>
          <cell r="U54">
            <v>2.7078676310425199E-2</v>
          </cell>
          <cell r="V54">
            <v>7.9385234439925002E-3</v>
          </cell>
          <cell r="W54">
            <v>1.8309645593310098E-2</v>
          </cell>
          <cell r="Y54">
            <v>1.3338063878300499</v>
          </cell>
          <cell r="Z54">
            <v>1.30741202530656</v>
          </cell>
          <cell r="AA54">
            <v>1.32058460045152</v>
          </cell>
          <cell r="AE54">
            <v>2.7078676310425199E-2</v>
          </cell>
          <cell r="AF54">
            <v>7.9385234439925002E-3</v>
          </cell>
          <cell r="AG54">
            <v>1.8309645593310098E-2</v>
          </cell>
          <cell r="AR54">
            <v>2.1394969781652787E-2</v>
          </cell>
          <cell r="BC54">
            <v>-1.437175341327875E-3</v>
          </cell>
          <cell r="BF54">
            <v>1.9957794440324913E-2</v>
          </cell>
        </row>
        <row r="55">
          <cell r="O55">
            <v>1.3338063878300499</v>
          </cell>
          <cell r="P55">
            <v>1.30836889154554</v>
          </cell>
          <cell r="Q55">
            <v>1.31906959798363</v>
          </cell>
          <cell r="U55">
            <v>1.5025858602429099E-2</v>
          </cell>
          <cell r="V55">
            <v>-4.961311765644E-3</v>
          </cell>
          <cell r="W55">
            <v>5.0635758877121502E-3</v>
          </cell>
          <cell r="Y55">
            <v>1.3338063878300499</v>
          </cell>
          <cell r="Z55">
            <v>1.30836889154554</v>
          </cell>
          <cell r="AA55">
            <v>1.31906959798363</v>
          </cell>
          <cell r="AE55">
            <v>1.5025858602429099E-2</v>
          </cell>
          <cell r="AF55">
            <v>-4.961311765644E-3</v>
          </cell>
          <cell r="AG55">
            <v>5.0635758877121502E-3</v>
          </cell>
          <cell r="AR55">
            <v>2.1394969781652787E-2</v>
          </cell>
          <cell r="BC55">
            <v>1.0615642366668177E-2</v>
          </cell>
          <cell r="BF55">
            <v>3.201061214832096E-2</v>
          </cell>
        </row>
        <row r="56">
          <cell r="O56">
            <v>1.3338063878300499</v>
          </cell>
          <cell r="P56">
            <v>1.30708520536134</v>
          </cell>
          <cell r="Q56">
            <v>1.31781990258543</v>
          </cell>
          <cell r="U56">
            <v>1.5966739619254201E-2</v>
          </cell>
          <cell r="V56">
            <v>-3.2888203333602799E-3</v>
          </cell>
          <cell r="W56">
            <v>4.8565772806502799E-3</v>
          </cell>
          <cell r="Y56">
            <v>1.3338063878300499</v>
          </cell>
          <cell r="Z56">
            <v>1.30708520536134</v>
          </cell>
          <cell r="AA56">
            <v>1.31781990258543</v>
          </cell>
          <cell r="AE56">
            <v>1.5966739619254201E-2</v>
          </cell>
          <cell r="AF56">
            <v>-3.2888203333602799E-3</v>
          </cell>
          <cell r="AG56">
            <v>4.8565772806502799E-3</v>
          </cell>
          <cell r="AR56">
            <v>2.1394969781652787E-2</v>
          </cell>
          <cell r="BC56">
            <v>9.6747613498430786E-3</v>
          </cell>
          <cell r="BF56">
            <v>3.1069731131495863E-2</v>
          </cell>
        </row>
        <row r="57">
          <cell r="O57">
            <v>1.3338063878300499</v>
          </cell>
          <cell r="P57">
            <v>1.3067992863757301</v>
          </cell>
          <cell r="Q57">
            <v>1.3161790570155201</v>
          </cell>
          <cell r="U57">
            <v>1.11856917349209E-2</v>
          </cell>
          <cell r="V57">
            <v>-9.0514845945931094E-3</v>
          </cell>
          <cell r="W57">
            <v>-8.7232639475000502E-4</v>
          </cell>
          <cell r="Y57">
            <v>1.3338063878300499</v>
          </cell>
          <cell r="Z57">
            <v>1.3067992863757301</v>
          </cell>
          <cell r="AA57">
            <v>1.3161790570155201</v>
          </cell>
          <cell r="AE57">
            <v>1.11856917349209E-2</v>
          </cell>
          <cell r="AF57">
            <v>-9.0514845945931094E-3</v>
          </cell>
          <cell r="AG57">
            <v>-8.7232639475000502E-4</v>
          </cell>
          <cell r="AR57">
            <v>2.1394969781652787E-2</v>
          </cell>
          <cell r="BC57">
            <v>9.6747613498430786E-3</v>
          </cell>
          <cell r="BF57">
            <v>3.1069731131495863E-2</v>
          </cell>
        </row>
        <row r="58">
          <cell r="O58">
            <v>1.3338063878300499</v>
          </cell>
          <cell r="P58">
            <v>1.30607179712055</v>
          </cell>
          <cell r="Q58">
            <v>1.31354589810683</v>
          </cell>
          <cell r="U58">
            <v>1.8029369898270801E-2</v>
          </cell>
          <cell r="V58">
            <v>-2.4265758433202E-3</v>
          </cell>
          <cell r="W58">
            <v>4.72545470688065E-3</v>
          </cell>
          <cell r="Y58">
            <v>1.3338063878300499</v>
          </cell>
          <cell r="Z58">
            <v>1.30607179712055</v>
          </cell>
          <cell r="AA58">
            <v>1.31354589810683</v>
          </cell>
          <cell r="AE58">
            <v>1.8029369898270801E-2</v>
          </cell>
          <cell r="AF58">
            <v>-2.4265758433202E-3</v>
          </cell>
          <cell r="AG58">
            <v>4.72545470688065E-3</v>
          </cell>
          <cell r="AR58">
            <v>2.1394969781652787E-2</v>
          </cell>
          <cell r="BC58">
            <v>9.6747613498430786E-3</v>
          </cell>
          <cell r="BF58">
            <v>3.1069731131495863E-2</v>
          </cell>
        </row>
        <row r="59">
          <cell r="O59">
            <v>1.3338063878300499</v>
          </cell>
          <cell r="P59">
            <v>1.3069370564212901</v>
          </cell>
          <cell r="Q59">
            <v>1.31319250957962</v>
          </cell>
          <cell r="U59">
            <v>1.9007917700266198E-2</v>
          </cell>
          <cell r="V59">
            <v>-2.0048785331639798E-3</v>
          </cell>
          <cell r="W59">
            <v>3.70139019494106E-3</v>
          </cell>
          <cell r="Y59">
            <v>1.3338063878300499</v>
          </cell>
          <cell r="Z59">
            <v>1.3069370564212901</v>
          </cell>
          <cell r="AA59">
            <v>1.31319250957962</v>
          </cell>
          <cell r="AE59">
            <v>1.9007917700266198E-2</v>
          </cell>
          <cell r="AF59">
            <v>-2.0048785331639798E-3</v>
          </cell>
          <cell r="AG59">
            <v>3.70139019494106E-3</v>
          </cell>
          <cell r="AR59">
            <v>2.1394969781652787E-2</v>
          </cell>
          <cell r="BC59">
            <v>9.6747613498430786E-3</v>
          </cell>
          <cell r="BF59">
            <v>3.1069731131495863E-2</v>
          </cell>
        </row>
        <row r="60">
          <cell r="O60">
            <v>1.3338063878300499</v>
          </cell>
          <cell r="P60">
            <v>1.3082174009860901</v>
          </cell>
          <cell r="Q60">
            <v>1.3124571667460301</v>
          </cell>
          <cell r="U60">
            <v>1.3617280867167E-2</v>
          </cell>
          <cell r="V60">
            <v>-6.7332448720897999E-3</v>
          </cell>
          <cell r="W60">
            <v>-1.9583168495747802E-3</v>
          </cell>
          <cell r="Y60">
            <v>1.3338063878300499</v>
          </cell>
          <cell r="Z60">
            <v>1.3082174009860901</v>
          </cell>
          <cell r="AA60">
            <v>1.3124571667460301</v>
          </cell>
          <cell r="AE60">
            <v>1.3617280867167E-2</v>
          </cell>
          <cell r="AF60">
            <v>-6.7332448720897999E-3</v>
          </cell>
          <cell r="AG60">
            <v>-1.9583168495747802E-3</v>
          </cell>
          <cell r="AR60">
            <v>2.1394969781652787E-2</v>
          </cell>
          <cell r="BC60">
            <v>9.6747613498430786E-3</v>
          </cell>
          <cell r="BF60">
            <v>3.1069731131495863E-2</v>
          </cell>
        </row>
        <row r="61">
          <cell r="O61">
            <v>1.3338063878300499</v>
          </cell>
          <cell r="P61">
            <v>1.3074099579526901</v>
          </cell>
          <cell r="Q61">
            <v>1.3103192449800101</v>
          </cell>
          <cell r="U61">
            <v>3.0655947455706101E-2</v>
          </cell>
          <cell r="V61">
            <v>1.12845949836194E-2</v>
          </cell>
          <cell r="W61">
            <v>1.4520227145727999E-2</v>
          </cell>
          <cell r="Y61">
            <v>1.3338063878300499</v>
          </cell>
          <cell r="Z61">
            <v>1.3074099579526901</v>
          </cell>
          <cell r="AA61">
            <v>1.3103192449800101</v>
          </cell>
          <cell r="AE61">
            <v>3.0655947455706101E-2</v>
          </cell>
          <cell r="AF61">
            <v>1.12845949836194E-2</v>
          </cell>
          <cell r="AG61">
            <v>1.4520227145727999E-2</v>
          </cell>
          <cell r="AR61">
            <v>2.1394969781652787E-2</v>
          </cell>
          <cell r="BC61">
            <v>9.6747613498430786E-3</v>
          </cell>
          <cell r="BF61">
            <v>3.1069731131495863E-2</v>
          </cell>
        </row>
        <row r="62">
          <cell r="O62">
            <v>1.3338063878300499</v>
          </cell>
          <cell r="P62">
            <v>1.3075340978446399</v>
          </cell>
          <cell r="Q62">
            <v>1.3084587166421799</v>
          </cell>
          <cell r="U62">
            <v>2.6463616090691599E-2</v>
          </cell>
          <cell r="V62">
            <v>6.4748644647921998E-3</v>
          </cell>
          <cell r="W62">
            <v>8.6976216712098698E-3</v>
          </cell>
          <cell r="Y62">
            <v>1.3338063878300499</v>
          </cell>
          <cell r="Z62">
            <v>1.3075340978446399</v>
          </cell>
          <cell r="AA62">
            <v>1.3084587166421799</v>
          </cell>
          <cell r="AE62">
            <v>2.6463616090691599E-2</v>
          </cell>
          <cell r="AF62">
            <v>6.4748644647921998E-3</v>
          </cell>
          <cell r="AG62">
            <v>8.6976216712098698E-3</v>
          </cell>
          <cell r="AR62">
            <v>2.1394969781652787E-2</v>
          </cell>
          <cell r="BC62">
            <v>9.6747613498430786E-3</v>
          </cell>
          <cell r="BF62">
            <v>3.1069731131495863E-2</v>
          </cell>
        </row>
        <row r="63">
          <cell r="O63">
            <v>1.3338063878300499</v>
          </cell>
          <cell r="P63">
            <v>1.3067789300607699</v>
          </cell>
          <cell r="Q63">
            <v>1.30764941268051</v>
          </cell>
          <cell r="U63">
            <v>2.7898892700128498E-2</v>
          </cell>
          <cell r="V63">
            <v>8.0050875735694308E-3</v>
          </cell>
          <cell r="W63">
            <v>8.7119846498370408E-3</v>
          </cell>
          <cell r="Y63">
            <v>1.3338063878300499</v>
          </cell>
          <cell r="Z63">
            <v>1.3067789300607699</v>
          </cell>
          <cell r="AA63">
            <v>1.30764941268051</v>
          </cell>
          <cell r="AE63">
            <v>2.7898892700128498E-2</v>
          </cell>
          <cell r="AF63">
            <v>8.0050875735694308E-3</v>
          </cell>
          <cell r="AG63">
            <v>8.7119846498370408E-3</v>
          </cell>
          <cell r="AR63">
            <v>2.1394969781652787E-2</v>
          </cell>
          <cell r="BC63">
            <v>9.6747613498430786E-3</v>
          </cell>
          <cell r="BF63">
            <v>3.1069731131495863E-2</v>
          </cell>
        </row>
        <row r="64">
          <cell r="O64">
            <v>1.3338063878300499</v>
          </cell>
          <cell r="P64">
            <v>1.3057381351039801</v>
          </cell>
          <cell r="Q64">
            <v>1.30657508020527</v>
          </cell>
          <cell r="U64">
            <v>3.51283690206248E-2</v>
          </cell>
          <cell r="V64">
            <v>1.46568459262441E-2</v>
          </cell>
          <cell r="W64">
            <v>1.53227526085375E-2</v>
          </cell>
          <cell r="Y64">
            <v>1.3338063878300499</v>
          </cell>
          <cell r="Z64">
            <v>1.3057381351039801</v>
          </cell>
          <cell r="AA64">
            <v>1.30657508020527</v>
          </cell>
          <cell r="AE64">
            <v>3.51283690206248E-2</v>
          </cell>
          <cell r="AF64">
            <v>1.46568459262441E-2</v>
          </cell>
          <cell r="AG64">
            <v>1.53227526085375E-2</v>
          </cell>
          <cell r="AR64">
            <v>2.1394969781652787E-2</v>
          </cell>
          <cell r="BC64">
            <v>9.6747613498430786E-3</v>
          </cell>
          <cell r="BF64">
            <v>3.1069731131495863E-2</v>
          </cell>
        </row>
        <row r="65">
          <cell r="O65">
            <v>1.3338063878300499</v>
          </cell>
          <cell r="P65">
            <v>1.3039874055574801</v>
          </cell>
          <cell r="Q65">
            <v>1.30617814855151</v>
          </cell>
          <cell r="U65">
            <v>2.8439957198234399E-2</v>
          </cell>
          <cell r="V65">
            <v>7.1716584381687903E-3</v>
          </cell>
          <cell r="W65">
            <v>7.8124277953956498E-3</v>
          </cell>
          <cell r="Y65">
            <v>1.3338063878300499</v>
          </cell>
          <cell r="Z65">
            <v>1.3039874055574801</v>
          </cell>
          <cell r="AA65">
            <v>1.30617814855151</v>
          </cell>
          <cell r="AE65">
            <v>2.8439957198234399E-2</v>
          </cell>
          <cell r="AF65">
            <v>7.1716584381687903E-3</v>
          </cell>
          <cell r="AG65">
            <v>7.8124277953956498E-3</v>
          </cell>
          <cell r="AR65">
            <v>2.1394969781652787E-2</v>
          </cell>
          <cell r="BC65">
            <v>1.6363173172233576E-2</v>
          </cell>
          <cell r="BF65">
            <v>3.775814295388636E-2</v>
          </cell>
        </row>
        <row r="66">
          <cell r="O66">
            <v>1.3338063878300499</v>
          </cell>
          <cell r="P66">
            <v>1.30235279998352</v>
          </cell>
          <cell r="Q66">
            <v>1.30471900267243</v>
          </cell>
          <cell r="U66">
            <v>2.84973607164925E-2</v>
          </cell>
          <cell r="V66">
            <v>5.8873654585700399E-3</v>
          </cell>
          <cell r="W66">
            <v>7.5659896400918098E-3</v>
          </cell>
          <cell r="Y66">
            <v>1.3338063878300499</v>
          </cell>
          <cell r="Z66">
            <v>1.30235279998352</v>
          </cell>
          <cell r="AA66">
            <v>1.30471900267243</v>
          </cell>
          <cell r="AE66">
            <v>2.84973607164925E-2</v>
          </cell>
          <cell r="AF66">
            <v>5.8873654585700399E-3</v>
          </cell>
          <cell r="AG66">
            <v>7.5659896400918098E-3</v>
          </cell>
          <cell r="AR66">
            <v>2.1394969781652787E-2</v>
          </cell>
          <cell r="BC66">
            <v>1.6305769653975455E-2</v>
          </cell>
          <cell r="BF66">
            <v>3.7700739435628239E-2</v>
          </cell>
        </row>
        <row r="67">
          <cell r="O67">
            <v>1.3338063878300499</v>
          </cell>
          <cell r="P67">
            <v>1.30128850414718</v>
          </cell>
          <cell r="Q67">
            <v>1.3040438952614599</v>
          </cell>
          <cell r="U67">
            <v>1.92875672586976E-2</v>
          </cell>
          <cell r="V67">
            <v>-4.5767583316956304E-3</v>
          </cell>
          <cell r="W67">
            <v>-2.7615391756875898E-3</v>
          </cell>
          <cell r="Y67">
            <v>1.3338063878300499</v>
          </cell>
          <cell r="Z67">
            <v>1.30128850414718</v>
          </cell>
          <cell r="AA67">
            <v>1.3040438952614599</v>
          </cell>
          <cell r="AE67">
            <v>1.92875672586976E-2</v>
          </cell>
          <cell r="AF67">
            <v>-4.5767583316956304E-3</v>
          </cell>
          <cell r="AG67">
            <v>-2.7615391756875898E-3</v>
          </cell>
          <cell r="AR67">
            <v>2.1394969781652787E-2</v>
          </cell>
          <cell r="BC67">
            <v>2.5515563111770251E-2</v>
          </cell>
          <cell r="BF67">
            <v>4.6910532893423035E-2</v>
          </cell>
        </row>
        <row r="68">
          <cell r="O68">
            <v>1.3338063878300499</v>
          </cell>
          <cell r="P68">
            <v>1.30150332895493</v>
          </cell>
          <cell r="Q68">
            <v>1.30378756303774</v>
          </cell>
          <cell r="U68">
            <v>1.6390796747102501E-2</v>
          </cell>
          <cell r="V68">
            <v>-8.2910730218458996E-3</v>
          </cell>
          <cell r="W68">
            <v>-6.1758787055926096E-3</v>
          </cell>
          <cell r="Y68">
            <v>1.3338063878300499</v>
          </cell>
          <cell r="Z68">
            <v>1.30150332895493</v>
          </cell>
          <cell r="AA68">
            <v>1.30378756303774</v>
          </cell>
          <cell r="AE68">
            <v>1.6390796747102501E-2</v>
          </cell>
          <cell r="AF68">
            <v>-8.2910730218458996E-3</v>
          </cell>
          <cell r="AG68">
            <v>-6.1758787055926096E-3</v>
          </cell>
          <cell r="AR68">
            <v>2.1394969781652787E-2</v>
          </cell>
          <cell r="BC68">
            <v>2.5515563111770251E-2</v>
          </cell>
          <cell r="BF68">
            <v>4.6910532893423035E-2</v>
          </cell>
        </row>
        <row r="69">
          <cell r="O69">
            <v>1.3338063878300499</v>
          </cell>
          <cell r="P69">
            <v>1.30220053033719</v>
          </cell>
          <cell r="Q69">
            <v>1.30456879337924</v>
          </cell>
          <cell r="U69">
            <v>1.3694594966122299E-2</v>
          </cell>
          <cell r="V69">
            <v>-1.08222022023132E-2</v>
          </cell>
          <cell r="W69">
            <v>-9.0686669827765801E-3</v>
          </cell>
          <cell r="Y69">
            <v>1.3338063878300499</v>
          </cell>
          <cell r="Z69">
            <v>1.30220053033719</v>
          </cell>
          <cell r="AA69">
            <v>1.30456879337924</v>
          </cell>
          <cell r="AE69">
            <v>1.3694594966122299E-2</v>
          </cell>
          <cell r="AF69">
            <v>-1.08222022023132E-2</v>
          </cell>
          <cell r="AG69">
            <v>-9.0686669827765801E-3</v>
          </cell>
          <cell r="AR69">
            <v>2.1394969781652787E-2</v>
          </cell>
          <cell r="BC69">
            <v>2.5515563111770251E-2</v>
          </cell>
          <cell r="BF69">
            <v>4.6910532893423035E-2</v>
          </cell>
        </row>
        <row r="70">
          <cell r="O70">
            <v>1.3338063878300499</v>
          </cell>
          <cell r="P70">
            <v>1.3021559185818901</v>
          </cell>
          <cell r="Q70">
            <v>1.3051866597839901</v>
          </cell>
          <cell r="U70">
            <v>1.3956393574121199E-2</v>
          </cell>
          <cell r="V70">
            <v>-1.00248577437886E-2</v>
          </cell>
          <cell r="W70">
            <v>-8.2078471843385608E-3</v>
          </cell>
          <cell r="Y70">
            <v>1.3338063878300499</v>
          </cell>
          <cell r="Z70">
            <v>1.3021559185818901</v>
          </cell>
          <cell r="AA70">
            <v>1.3051866597839901</v>
          </cell>
          <cell r="AE70">
            <v>1.3956393574121199E-2</v>
          </cell>
          <cell r="AF70">
            <v>-1.00248577437886E-2</v>
          </cell>
          <cell r="AG70">
            <v>-8.2078471843385608E-3</v>
          </cell>
          <cell r="AR70">
            <v>2.1394969781652787E-2</v>
          </cell>
          <cell r="BC70">
            <v>2.5515563111770251E-2</v>
          </cell>
          <cell r="BF70">
            <v>4.6910532893423035E-2</v>
          </cell>
        </row>
        <row r="71">
          <cell r="O71">
            <v>1.3338063878300499</v>
          </cell>
          <cell r="P71">
            <v>1.3056116068710399</v>
          </cell>
          <cell r="Q71">
            <v>1.30651078241187</v>
          </cell>
          <cell r="U71">
            <v>4.2915444382626696E-3</v>
          </cell>
          <cell r="V71">
            <v>-1.9723966211023101E-2</v>
          </cell>
          <cell r="W71">
            <v>-1.73991910991999E-2</v>
          </cell>
          <cell r="Y71">
            <v>1.3338063878300499</v>
          </cell>
          <cell r="Z71">
            <v>1.3056116068710399</v>
          </cell>
          <cell r="AA71">
            <v>1.30651078241187</v>
          </cell>
          <cell r="AE71">
            <v>4.2915444382626696E-3</v>
          </cell>
          <cell r="AF71">
            <v>-1.9723966211023101E-2</v>
          </cell>
          <cell r="AG71">
            <v>-1.73991910991999E-2</v>
          </cell>
          <cell r="AR71">
            <v>2.1394969781652787E-2</v>
          </cell>
          <cell r="BC71">
            <v>2.5515563111770251E-2</v>
          </cell>
          <cell r="BF71">
            <v>4.6910532893423035E-2</v>
          </cell>
        </row>
        <row r="72">
          <cell r="O72">
            <v>1.3338063878300499</v>
          </cell>
          <cell r="P72">
            <v>1.30741403273399</v>
          </cell>
          <cell r="Q72">
            <v>1.30747406528931</v>
          </cell>
          <cell r="U72">
            <v>1.26832166014114E-2</v>
          </cell>
          <cell r="V72">
            <v>-8.6819885446525E-3</v>
          </cell>
          <cell r="W72">
            <v>-7.99352495655253E-3</v>
          </cell>
          <cell r="Y72">
            <v>1.3338063878300499</v>
          </cell>
          <cell r="Z72">
            <v>1.30741403273399</v>
          </cell>
          <cell r="AA72">
            <v>1.30747406528931</v>
          </cell>
          <cell r="AE72">
            <v>1.26832166014114E-2</v>
          </cell>
          <cell r="AF72">
            <v>-8.6819885446525E-3</v>
          </cell>
          <cell r="AG72">
            <v>-7.99352495655253E-3</v>
          </cell>
          <cell r="AR72">
            <v>2.1394969781652787E-2</v>
          </cell>
          <cell r="BC72">
            <v>2.5515563111770251E-2</v>
          </cell>
          <cell r="BF72">
            <v>4.6910532893423035E-2</v>
          </cell>
        </row>
        <row r="73">
          <cell r="O73">
            <v>1.3338063878300499</v>
          </cell>
          <cell r="P73">
            <v>1.30944747928079</v>
          </cell>
          <cell r="Q73">
            <v>1.30811320467078</v>
          </cell>
          <cell r="U73">
            <v>1.23437440160259E-2</v>
          </cell>
          <cell r="V73">
            <v>-7.6418909325692503E-3</v>
          </cell>
          <cell r="W73">
            <v>-7.5959749674616803E-3</v>
          </cell>
          <cell r="Y73">
            <v>1.3338063878300499</v>
          </cell>
          <cell r="Z73">
            <v>1.30944747928079</v>
          </cell>
          <cell r="AA73">
            <v>1.30811320467078</v>
          </cell>
          <cell r="AE73">
            <v>1.23437440160259E-2</v>
          </cell>
          <cell r="AF73">
            <v>-7.6418909325692503E-3</v>
          </cell>
          <cell r="AG73">
            <v>-7.5959749674616803E-3</v>
          </cell>
          <cell r="AR73">
            <v>2.1394969781652787E-2</v>
          </cell>
          <cell r="BC73">
            <v>2.5515563111770251E-2</v>
          </cell>
          <cell r="BF73">
            <v>4.6910532893423035E-2</v>
          </cell>
        </row>
        <row r="74">
          <cell r="O74">
            <v>1.3338063878300499</v>
          </cell>
          <cell r="P74">
            <v>1.3123052555392201</v>
          </cell>
          <cell r="Q74">
            <v>1.3090216953216001</v>
          </cell>
          <cell r="U74">
            <v>1.31792757026278E-2</v>
          </cell>
          <cell r="V74">
            <v>-5.2522479972533596E-3</v>
          </cell>
          <cell r="W74">
            <v>-6.2717274949022203E-3</v>
          </cell>
          <cell r="Y74">
            <v>1.3338063878300499</v>
          </cell>
          <cell r="Z74">
            <v>1.3123052555392201</v>
          </cell>
          <cell r="AA74">
            <v>1.3090216953216001</v>
          </cell>
          <cell r="AE74">
            <v>1.31792757026278E-2</v>
          </cell>
          <cell r="AF74">
            <v>-5.2522479972533596E-3</v>
          </cell>
          <cell r="AG74">
            <v>-6.2717274949022203E-3</v>
          </cell>
          <cell r="AR74">
            <v>2.1394969781652787E-2</v>
          </cell>
          <cell r="BC74">
            <v>2.5515563111770251E-2</v>
          </cell>
          <cell r="BF74">
            <v>4.6910532893423035E-2</v>
          </cell>
        </row>
        <row r="75">
          <cell r="O75">
            <v>1.3338063878300499</v>
          </cell>
          <cell r="P75">
            <v>1.31468006535496</v>
          </cell>
          <cell r="Q75">
            <v>1.30933373545622</v>
          </cell>
          <cell r="U75">
            <v>1.0287325258744999E-2</v>
          </cell>
          <cell r="V75">
            <v>-5.9641473994737999E-3</v>
          </cell>
          <cell r="W75">
            <v>-8.4694143856795696E-3</v>
          </cell>
          <cell r="Y75">
            <v>1.3338063878300499</v>
          </cell>
          <cell r="Z75">
            <v>1.31468006535496</v>
          </cell>
          <cell r="AA75">
            <v>1.30933373545622</v>
          </cell>
          <cell r="AE75">
            <v>1.0287325258744999E-2</v>
          </cell>
          <cell r="AF75">
            <v>-5.9641473994737999E-3</v>
          </cell>
          <cell r="AG75">
            <v>-8.4694143856795696E-3</v>
          </cell>
          <cell r="AR75">
            <v>2.1394969781652787E-2</v>
          </cell>
          <cell r="BC75">
            <v>2.5515563111770251E-2</v>
          </cell>
          <cell r="BF75">
            <v>4.6910532893423035E-2</v>
          </cell>
        </row>
        <row r="76">
          <cell r="O76">
            <v>1.3338063878300499</v>
          </cell>
          <cell r="P76">
            <v>1.31555885533798</v>
          </cell>
          <cell r="Q76">
            <v>1.30895582766075</v>
          </cell>
          <cell r="U76">
            <v>2.1741189585691101E-2</v>
          </cell>
          <cell r="V76">
            <v>7.2977289051345401E-3</v>
          </cell>
          <cell r="W76">
            <v>3.22279812916145E-3</v>
          </cell>
          <cell r="Y76">
            <v>1.3338063878300499</v>
          </cell>
          <cell r="Z76">
            <v>1.31555885533798</v>
          </cell>
          <cell r="AA76">
            <v>1.30895582766075</v>
          </cell>
          <cell r="AE76">
            <v>2.1741189585691101E-2</v>
          </cell>
          <cell r="AF76">
            <v>7.2977289051345401E-3</v>
          </cell>
          <cell r="AG76">
            <v>3.22279812916145E-3</v>
          </cell>
          <cell r="AR76">
            <v>2.1394969781652787E-2</v>
          </cell>
          <cell r="BC76">
            <v>2.5515563111770251E-2</v>
          </cell>
          <cell r="BF76">
            <v>4.6910532893423035E-2</v>
          </cell>
        </row>
        <row r="77">
          <cell r="O77">
            <v>1.3338063878300499</v>
          </cell>
          <cell r="P77">
            <v>1.3142261297436</v>
          </cell>
          <cell r="Q77">
            <v>1.30775731694539</v>
          </cell>
          <cell r="U77">
            <v>2.9526291420611198E-2</v>
          </cell>
          <cell r="V77">
            <v>1.5751051416741799E-2</v>
          </cell>
          <cell r="W77">
            <v>1.0719232275512299E-2</v>
          </cell>
          <cell r="Y77">
            <v>1.3338063878300499</v>
          </cell>
          <cell r="Z77">
            <v>1.3142261297436</v>
          </cell>
          <cell r="AA77">
            <v>1.30775731694539</v>
          </cell>
          <cell r="AE77">
            <v>2.9526291420611198E-2</v>
          </cell>
          <cell r="AF77">
            <v>1.5751051416741799E-2</v>
          </cell>
          <cell r="AG77">
            <v>1.0719232275512299E-2</v>
          </cell>
          <cell r="AR77">
            <v>2.1394969781652787E-2</v>
          </cell>
          <cell r="BC77">
            <v>2.5515563111770251E-2</v>
          </cell>
          <cell r="BF77">
            <v>4.6910532893423035E-2</v>
          </cell>
        </row>
        <row r="78">
          <cell r="O78">
            <v>1.3338063878300499</v>
          </cell>
          <cell r="P78">
            <v>1.3124211191181601</v>
          </cell>
          <cell r="Q78">
            <v>1.3069622240365499</v>
          </cell>
          <cell r="U78">
            <v>3.0242712308550301E-2</v>
          </cell>
          <cell r="V78">
            <v>1.5453909814945E-2</v>
          </cell>
          <cell r="W78">
            <v>1.05196102248969E-2</v>
          </cell>
          <cell r="Y78">
            <v>1.3338063878300499</v>
          </cell>
          <cell r="Z78">
            <v>1.3124211191181601</v>
          </cell>
          <cell r="AA78">
            <v>1.3069622240365499</v>
          </cell>
          <cell r="AE78">
            <v>3.0242712308550301E-2</v>
          </cell>
          <cell r="AF78">
            <v>1.5453909814945E-2</v>
          </cell>
          <cell r="AG78">
            <v>1.05196102248969E-2</v>
          </cell>
          <cell r="AR78">
            <v>2.1394969781652787E-2</v>
          </cell>
          <cell r="BC78">
            <v>2.5515563111770251E-2</v>
          </cell>
          <cell r="BF78">
            <v>4.6910532893423035E-2</v>
          </cell>
        </row>
        <row r="79">
          <cell r="O79">
            <v>1.3338063878300499</v>
          </cell>
          <cell r="P79">
            <v>1.31038123653262</v>
          </cell>
          <cell r="Q79">
            <v>1.3062908834349101</v>
          </cell>
          <cell r="U79">
            <v>2.9320622845618701E-2</v>
          </cell>
          <cell r="V79">
            <v>1.31574364027805E-2</v>
          </cell>
          <cell r="W79">
            <v>8.9893538661384997E-3</v>
          </cell>
          <cell r="Y79">
            <v>1.3338063878300499</v>
          </cell>
          <cell r="Z79">
            <v>1.31038123653262</v>
          </cell>
          <cell r="AA79">
            <v>1.3062908834349101</v>
          </cell>
          <cell r="AE79">
            <v>2.9320622845618701E-2</v>
          </cell>
          <cell r="AF79">
            <v>1.31574364027805E-2</v>
          </cell>
          <cell r="AG79">
            <v>8.9893538661384997E-3</v>
          </cell>
          <cell r="AR79">
            <v>2.1394969781652787E-2</v>
          </cell>
          <cell r="BC79">
            <v>2.5515563111770251E-2</v>
          </cell>
          <cell r="BF79">
            <v>4.6910532893423035E-2</v>
          </cell>
        </row>
        <row r="80">
          <cell r="O80">
            <v>1.3338063878300499</v>
          </cell>
          <cell r="P80">
            <v>1.30833536205223</v>
          </cell>
          <cell r="Q80">
            <v>1.30524564031706</v>
          </cell>
          <cell r="U80">
            <v>2.96328183288679E-2</v>
          </cell>
          <cell r="V80">
            <v>1.19141330567349E-2</v>
          </cell>
          <cell r="W80">
            <v>8.7877524925196494E-3</v>
          </cell>
          <cell r="Y80">
            <v>1.3338063878300499</v>
          </cell>
          <cell r="Z80">
            <v>1.30833536205223</v>
          </cell>
          <cell r="AA80">
            <v>1.30524564031706</v>
          </cell>
          <cell r="AE80">
            <v>2.96328183288679E-2</v>
          </cell>
          <cell r="AF80">
            <v>1.19141330567349E-2</v>
          </cell>
          <cell r="AG80">
            <v>8.7877524925196494E-3</v>
          </cell>
          <cell r="AR80">
            <v>2.1394969781652787E-2</v>
          </cell>
          <cell r="BC80">
            <v>2.5515563111770251E-2</v>
          </cell>
          <cell r="BF80">
            <v>4.6910532893423035E-2</v>
          </cell>
        </row>
        <row r="81">
          <cell r="O81">
            <v>1.3338063878300499</v>
          </cell>
          <cell r="P81">
            <v>1.30392216884114</v>
          </cell>
          <cell r="Q81">
            <v>1.3047668878560901</v>
          </cell>
          <cell r="U81">
            <v>3.80856988478845E-2</v>
          </cell>
          <cell r="V81">
            <v>1.8804511625194399E-2</v>
          </cell>
          <cell r="W81">
            <v>1.6440151636568701E-2</v>
          </cell>
          <cell r="Y81">
            <v>1.3338063878300499</v>
          </cell>
          <cell r="Z81">
            <v>1.30392216884114</v>
          </cell>
          <cell r="AA81">
            <v>1.3047668878560901</v>
          </cell>
          <cell r="AE81">
            <v>3.80856988478845E-2</v>
          </cell>
          <cell r="AF81">
            <v>1.8804511625194399E-2</v>
          </cell>
          <cell r="AG81">
            <v>1.6440151636568701E-2</v>
          </cell>
          <cell r="AR81">
            <v>2.1394969781652787E-2</v>
          </cell>
          <cell r="BC81">
            <v>2.5515563111770251E-2</v>
          </cell>
          <cell r="BF81">
            <v>4.6910532893423035E-2</v>
          </cell>
        </row>
        <row r="82">
          <cell r="O82">
            <v>1.3338063878300499</v>
          </cell>
          <cell r="P82">
            <v>1.3018876858161099</v>
          </cell>
          <cell r="Q82">
            <v>1.3046508592750501</v>
          </cell>
          <cell r="U82">
            <v>2.8251681500560899E-2</v>
          </cell>
          <cell r="V82">
            <v>5.5916563512710899E-3</v>
          </cell>
          <cell r="W82">
            <v>6.23927592272431E-3</v>
          </cell>
          <cell r="Y82">
            <v>1.3338063878300499</v>
          </cell>
          <cell r="Z82">
            <v>1.3018876858161099</v>
          </cell>
          <cell r="AA82">
            <v>1.3046508592750501</v>
          </cell>
          <cell r="AE82">
            <v>2.8251681500560899E-2</v>
          </cell>
          <cell r="AF82">
            <v>5.5916563512710899E-3</v>
          </cell>
          <cell r="AG82">
            <v>6.23927592272431E-3</v>
          </cell>
          <cell r="AR82">
            <v>2.1394969781652787E-2</v>
          </cell>
          <cell r="BC82">
            <v>3.5349580459094053E-2</v>
          </cell>
          <cell r="BF82">
            <v>5.6744550240746837E-2</v>
          </cell>
        </row>
        <row r="83">
          <cell r="O83">
            <v>1.3338063878300499</v>
          </cell>
          <cell r="P83">
            <v>1.2992793115547301</v>
          </cell>
          <cell r="Q83">
            <v>1.30436339541776</v>
          </cell>
          <cell r="U83">
            <v>3.2341122769625801E-2</v>
          </cell>
          <cell r="V83">
            <v>8.1195996201861003E-3</v>
          </cell>
          <cell r="W83">
            <v>1.02397865625378E-2</v>
          </cell>
          <cell r="Y83">
            <v>1.3338063878300499</v>
          </cell>
          <cell r="Z83">
            <v>1.2992793115547301</v>
          </cell>
          <cell r="AA83">
            <v>1.30436339541776</v>
          </cell>
          <cell r="AE83">
            <v>3.2341122769625801E-2</v>
          </cell>
          <cell r="AF83">
            <v>8.1195996201861003E-3</v>
          </cell>
          <cell r="AG83">
            <v>1.02397865625378E-2</v>
          </cell>
          <cell r="AR83">
            <v>2.1394969781652787E-2</v>
          </cell>
          <cell r="BC83">
            <v>3.1260139190029054E-2</v>
          </cell>
          <cell r="BF83">
            <v>5.2655108971681838E-2</v>
          </cell>
        </row>
        <row r="84">
          <cell r="O84">
            <v>1.3338063878300499</v>
          </cell>
          <cell r="P84">
            <v>1.2958655657915501</v>
          </cell>
          <cell r="Q84">
            <v>1.3040854106653801</v>
          </cell>
          <cell r="U84">
            <v>3.9455035507435003E-2</v>
          </cell>
          <cell r="V84">
            <v>1.32279701238317E-2</v>
          </cell>
          <cell r="W84">
            <v>1.7133337255225999E-2</v>
          </cell>
          <cell r="Y84">
            <v>1.3338063878300499</v>
          </cell>
          <cell r="Z84">
            <v>1.2958655657915501</v>
          </cell>
          <cell r="AA84">
            <v>1.3040854106653801</v>
          </cell>
          <cell r="AE84">
            <v>3.9455035507435003E-2</v>
          </cell>
          <cell r="AF84">
            <v>1.32279701238317E-2</v>
          </cell>
          <cell r="AG84">
            <v>1.7133337255225999E-2</v>
          </cell>
          <cell r="AR84">
            <v>2.1394969781652787E-2</v>
          </cell>
          <cell r="BC84">
            <v>2.4146226452220046E-2</v>
          </cell>
          <cell r="BF84">
            <v>4.554119623387283E-2</v>
          </cell>
        </row>
        <row r="85">
          <cell r="O85">
            <v>1.3338063878300499</v>
          </cell>
          <cell r="P85">
            <v>1.29243167502756</v>
          </cell>
          <cell r="Q85">
            <v>1.30355587019126</v>
          </cell>
          <cell r="U85">
            <v>3.6642862535098103E-2</v>
          </cell>
          <cell r="V85">
            <v>7.7849245848060399E-3</v>
          </cell>
          <cell r="W85">
            <v>1.4108022470194499E-2</v>
          </cell>
          <cell r="Y85">
            <v>1.3338063878300499</v>
          </cell>
          <cell r="Z85">
            <v>1.29243167502756</v>
          </cell>
          <cell r="AA85">
            <v>1.30355587019126</v>
          </cell>
          <cell r="AE85">
            <v>3.6642862535098103E-2</v>
          </cell>
          <cell r="AF85">
            <v>7.7849245848060399E-3</v>
          </cell>
          <cell r="AG85">
            <v>1.4108022470194499E-2</v>
          </cell>
          <cell r="AR85">
            <v>2.1394969781652787E-2</v>
          </cell>
          <cell r="BC85">
            <v>2.6958399424556564E-2</v>
          </cell>
          <cell r="BF85">
            <v>4.8353369206209348E-2</v>
          </cell>
        </row>
        <row r="86">
          <cell r="O86">
            <v>1.3338063878300499</v>
          </cell>
          <cell r="P86">
            <v>1.2913014461891399</v>
          </cell>
          <cell r="Q86">
            <v>1.3034301507635599</v>
          </cell>
          <cell r="U86">
            <v>3.0438860594814598E-2</v>
          </cell>
          <cell r="V86">
            <v>-1.07247645086305E-3</v>
          </cell>
          <cell r="W86">
            <v>7.4978753401632502E-3</v>
          </cell>
          <cell r="Y86">
            <v>1.3338063878300499</v>
          </cell>
          <cell r="Z86">
            <v>1.2913014461891399</v>
          </cell>
          <cell r="AA86">
            <v>1.3034301507635599</v>
          </cell>
          <cell r="AE86">
            <v>3.0438860594814598E-2</v>
          </cell>
          <cell r="AF86">
            <v>-1.07247645086305E-3</v>
          </cell>
          <cell r="AG86">
            <v>7.4978753401632502E-3</v>
          </cell>
          <cell r="AR86">
            <v>2.1394969781652787E-2</v>
          </cell>
          <cell r="BC86">
            <v>3.3162401364840263E-2</v>
          </cell>
          <cell r="BF86">
            <v>5.4557371146493047E-2</v>
          </cell>
        </row>
        <row r="87">
          <cell r="O87">
            <v>1.3338063878300499</v>
          </cell>
          <cell r="P87">
            <v>1.2934147746191</v>
          </cell>
          <cell r="Q87">
            <v>1.3038204521813499</v>
          </cell>
          <cell r="U87">
            <v>1.33388759451423E-2</v>
          </cell>
          <cell r="V87">
            <v>-1.9047341637716798E-2</v>
          </cell>
          <cell r="W87">
            <v>-9.6985574122511794E-3</v>
          </cell>
          <cell r="Y87">
            <v>1.3338063878300499</v>
          </cell>
          <cell r="Z87">
            <v>1.2934147746191</v>
          </cell>
          <cell r="AA87">
            <v>1.3038204521813499</v>
          </cell>
          <cell r="AE87">
            <v>1.33388759451423E-2</v>
          </cell>
          <cell r="AF87">
            <v>-1.9047341637716798E-2</v>
          </cell>
          <cell r="AG87">
            <v>-9.6985574122511794E-3</v>
          </cell>
          <cell r="AR87">
            <v>2.1394969781652787E-2</v>
          </cell>
          <cell r="BC87">
            <v>5.026238601451237E-2</v>
          </cell>
          <cell r="BF87">
            <v>7.1657355796165154E-2</v>
          </cell>
        </row>
        <row r="88">
          <cell r="O88">
            <v>1.3338063878300499</v>
          </cell>
          <cell r="P88">
            <v>1.2952085568048901</v>
          </cell>
          <cell r="Q88">
            <v>1.30381483796153</v>
          </cell>
          <cell r="U88">
            <v>1.64763750424856E-2</v>
          </cell>
          <cell r="V88">
            <v>-1.4274592307581199E-2</v>
          </cell>
          <cell r="W88">
            <v>-6.2616613790973897E-3</v>
          </cell>
          <cell r="Y88">
            <v>1.3338063878300499</v>
          </cell>
          <cell r="Z88">
            <v>1.2952085568048901</v>
          </cell>
          <cell r="AA88">
            <v>1.30381483796153</v>
          </cell>
          <cell r="AE88">
            <v>1.64763750424856E-2</v>
          </cell>
          <cell r="AF88">
            <v>-1.4274592307581199E-2</v>
          </cell>
          <cell r="AG88">
            <v>-6.2616613790973897E-3</v>
          </cell>
          <cell r="AR88">
            <v>2.1394969781652787E-2</v>
          </cell>
          <cell r="BC88">
            <v>5.026238601451237E-2</v>
          </cell>
          <cell r="BF88">
            <v>7.1657355796165154E-2</v>
          </cell>
        </row>
        <row r="89">
          <cell r="O89">
            <v>1.3338063878300499</v>
          </cell>
          <cell r="P89">
            <v>1.2976617311415199</v>
          </cell>
          <cell r="Q89">
            <v>1.3040214838370701</v>
          </cell>
          <cell r="U89">
            <v>1.05582039973249E-2</v>
          </cell>
          <cell r="V89">
            <v>-1.8806866493105302E-2</v>
          </cell>
          <cell r="W89">
            <v>-1.2184138409719899E-2</v>
          </cell>
          <cell r="Y89">
            <v>1.3338063878300499</v>
          </cell>
          <cell r="Z89">
            <v>1.2976617311415199</v>
          </cell>
          <cell r="AA89">
            <v>1.3040214838370701</v>
          </cell>
          <cell r="AE89">
            <v>1.05582039973249E-2</v>
          </cell>
          <cell r="AF89">
            <v>-1.8806866493105302E-2</v>
          </cell>
          <cell r="AG89">
            <v>-1.2184138409719899E-2</v>
          </cell>
          <cell r="AR89">
            <v>2.1394969781652787E-2</v>
          </cell>
          <cell r="BC89">
            <v>5.026238601451237E-2</v>
          </cell>
          <cell r="BF89">
            <v>7.1657355796165154E-2</v>
          </cell>
        </row>
        <row r="90">
          <cell r="O90">
            <v>1.3338063878300499</v>
          </cell>
          <cell r="P90">
            <v>1.30138476227039</v>
          </cell>
          <cell r="Q90">
            <v>1.30486006216131</v>
          </cell>
          <cell r="U90">
            <v>1.28606759322331E-3</v>
          </cell>
          <cell r="V90">
            <v>-2.6186756239115799E-2</v>
          </cell>
          <cell r="W90">
            <v>-2.1297794103777998E-2</v>
          </cell>
          <cell r="Y90">
            <v>1.3338063878300499</v>
          </cell>
          <cell r="Z90">
            <v>1.30138476227039</v>
          </cell>
          <cell r="AA90">
            <v>1.30486006216131</v>
          </cell>
          <cell r="AE90">
            <v>1.28606759322331E-3</v>
          </cell>
          <cell r="AF90">
            <v>-2.6186756239115799E-2</v>
          </cell>
          <cell r="AG90">
            <v>-2.1297794103777998E-2</v>
          </cell>
          <cell r="AR90">
            <v>2.1394969781652787E-2</v>
          </cell>
          <cell r="BC90">
            <v>5.026238601451237E-2</v>
          </cell>
          <cell r="BF90">
            <v>7.1657355796165154E-2</v>
          </cell>
        </row>
        <row r="91">
          <cell r="O91">
            <v>1.3338063878300499</v>
          </cell>
          <cell r="P91">
            <v>1.3054515465152201</v>
          </cell>
          <cell r="Q91">
            <v>1.30468685767818</v>
          </cell>
          <cell r="U91">
            <v>6.9032675403866697E-3</v>
          </cell>
          <cell r="V91">
            <v>-1.7704633571412599E-2</v>
          </cell>
          <cell r="W91">
            <v>-1.50377298959441E-2</v>
          </cell>
          <cell r="Y91">
            <v>1.3338063878300499</v>
          </cell>
          <cell r="Z91">
            <v>1.3054515465152201</v>
          </cell>
          <cell r="AA91">
            <v>1.30468685767818</v>
          </cell>
          <cell r="AE91">
            <v>6.9032675403866697E-3</v>
          </cell>
          <cell r="AF91">
            <v>-1.7704633571412599E-2</v>
          </cell>
          <cell r="AG91">
            <v>-1.50377298959441E-2</v>
          </cell>
          <cell r="AR91">
            <v>2.1394969781652787E-2</v>
          </cell>
          <cell r="BC91">
            <v>5.026238601451237E-2</v>
          </cell>
          <cell r="BF91">
            <v>7.1657355796165154E-2</v>
          </cell>
        </row>
        <row r="92">
          <cell r="O92">
            <v>1.3338063878300499</v>
          </cell>
          <cell r="P92">
            <v>1.3092111862384599</v>
          </cell>
          <cell r="Q92">
            <v>1.3055494360272899</v>
          </cell>
          <cell r="U92">
            <v>-3.3090800503665603E-4</v>
          </cell>
          <cell r="V92">
            <v>-2.1818714824535498E-2</v>
          </cell>
          <cell r="W92">
            <v>-2.2404652227464E-2</v>
          </cell>
          <cell r="Y92">
            <v>1.3338063878300499</v>
          </cell>
          <cell r="Z92">
            <v>1.3092111862384599</v>
          </cell>
          <cell r="AA92">
            <v>1.3055494360272899</v>
          </cell>
          <cell r="AE92">
            <v>-3.3090800503665603E-4</v>
          </cell>
          <cell r="AF92">
            <v>-2.1818714824535498E-2</v>
          </cell>
          <cell r="AG92">
            <v>-2.2404652227464E-2</v>
          </cell>
          <cell r="AR92">
            <v>2.1394969781652787E-2</v>
          </cell>
          <cell r="BC92">
            <v>5.026238601451237E-2</v>
          </cell>
          <cell r="BF92">
            <v>7.1657355796165154E-2</v>
          </cell>
        </row>
        <row r="93">
          <cell r="O93">
            <v>1.3338063878300499</v>
          </cell>
          <cell r="P93">
            <v>1.3136257801862401</v>
          </cell>
          <cell r="Q93">
            <v>1.3064525458704901</v>
          </cell>
          <cell r="U93">
            <v>-1.27315980544819E-3</v>
          </cell>
          <cell r="V93">
            <v>-1.9885152266746201E-2</v>
          </cell>
          <cell r="W93">
            <v>-2.2685984261656401E-2</v>
          </cell>
          <cell r="Y93">
            <v>1.3338063878300499</v>
          </cell>
          <cell r="Z93">
            <v>1.3136257801862401</v>
          </cell>
          <cell r="AA93">
            <v>1.3064525458704901</v>
          </cell>
          <cell r="AE93">
            <v>-1.27315980544819E-3</v>
          </cell>
          <cell r="AF93">
            <v>-1.9885152266746201E-2</v>
          </cell>
          <cell r="AG93">
            <v>-2.2685984261656401E-2</v>
          </cell>
          <cell r="AR93">
            <v>2.1394969781652787E-2</v>
          </cell>
          <cell r="BC93">
            <v>5.026238601451237E-2</v>
          </cell>
          <cell r="BF93">
            <v>7.1657355796165154E-2</v>
          </cell>
        </row>
        <row r="94">
          <cell r="O94">
            <v>1.3338063878300499</v>
          </cell>
          <cell r="P94">
            <v>1.31891110766557</v>
          </cell>
          <cell r="Q94">
            <v>1.3073883367285599</v>
          </cell>
          <cell r="U94">
            <v>-9.3863451116052898E-4</v>
          </cell>
          <cell r="V94">
            <v>-1.61843497900944E-2</v>
          </cell>
          <cell r="W94">
            <v>-2.1659951161902599E-2</v>
          </cell>
          <cell r="Y94">
            <v>1.3338063878300499</v>
          </cell>
          <cell r="Z94">
            <v>1.31891110766557</v>
          </cell>
          <cell r="AA94">
            <v>1.3073883367285599</v>
          </cell>
          <cell r="AE94">
            <v>-9.3863451116052898E-4</v>
          </cell>
          <cell r="AF94">
            <v>-1.61843497900944E-2</v>
          </cell>
          <cell r="AG94">
            <v>-2.1659951161902599E-2</v>
          </cell>
          <cell r="AR94">
            <v>2.1394969781652787E-2</v>
          </cell>
          <cell r="BC94">
            <v>5.026238601451237E-2</v>
          </cell>
          <cell r="BF94">
            <v>7.1657355796165154E-2</v>
          </cell>
        </row>
        <row r="95">
          <cell r="O95">
            <v>1.3338063878300499</v>
          </cell>
          <cell r="P95">
            <v>1.32479720978277</v>
          </cell>
          <cell r="Q95">
            <v>1.30861444240516</v>
          </cell>
          <cell r="U95">
            <v>-8.1174348821235198E-3</v>
          </cell>
          <cell r="V95">
            <v>-1.9347757552383001E-2</v>
          </cell>
          <cell r="W95">
            <v>-2.81227240927212E-2</v>
          </cell>
          <cell r="Y95">
            <v>1.3338063878300499</v>
          </cell>
          <cell r="Z95">
            <v>1.32479720978277</v>
          </cell>
          <cell r="AA95">
            <v>1.30861444240516</v>
          </cell>
          <cell r="AE95">
            <v>-8.1174348821235198E-3</v>
          </cell>
          <cell r="AF95">
            <v>-1.9347757552383001E-2</v>
          </cell>
          <cell r="AG95">
            <v>-2.81227240927212E-2</v>
          </cell>
          <cell r="AR95">
            <v>2.1394969781652787E-2</v>
          </cell>
          <cell r="BC95">
            <v>5.026238601451237E-2</v>
          </cell>
          <cell r="BF95">
            <v>7.1657355796165154E-2</v>
          </cell>
        </row>
        <row r="96">
          <cell r="O96">
            <v>1.3338063878300499</v>
          </cell>
          <cell r="P96">
            <v>1.32955464928488</v>
          </cell>
          <cell r="Q96">
            <v>1.31042804773701</v>
          </cell>
          <cell r="U96">
            <v>-5.6717633169368403E-3</v>
          </cell>
          <cell r="V96">
            <v>-1.24491652134519E-2</v>
          </cell>
          <cell r="W96">
            <v>-2.4739663793726802E-2</v>
          </cell>
          <cell r="Y96">
            <v>1.3338063878300499</v>
          </cell>
          <cell r="Z96">
            <v>1.32955464928488</v>
          </cell>
          <cell r="AA96">
            <v>1.31042804773701</v>
          </cell>
          <cell r="AE96">
            <v>-5.6717633169368403E-3</v>
          </cell>
          <cell r="AF96">
            <v>-1.24491652134519E-2</v>
          </cell>
          <cell r="AG96">
            <v>-2.4739663793726802E-2</v>
          </cell>
          <cell r="AR96">
            <v>2.3840641346839466E-2</v>
          </cell>
          <cell r="BC96">
            <v>5.026238601451237E-2</v>
          </cell>
          <cell r="BF96">
            <v>7.4103027361351839E-2</v>
          </cell>
        </row>
        <row r="97">
          <cell r="O97">
            <v>1.3338063878300499</v>
          </cell>
          <cell r="P97">
            <v>1.33266741521165</v>
          </cell>
          <cell r="Q97">
            <v>1.3130410949153699</v>
          </cell>
          <cell r="U97">
            <v>-1.00366213408307E-2</v>
          </cell>
          <cell r="V97">
            <v>-1.32293857446713E-2</v>
          </cell>
          <cell r="W97">
            <v>-2.7719583903438899E-2</v>
          </cell>
          <cell r="Y97">
            <v>1.3338063878300499</v>
          </cell>
          <cell r="Z97">
            <v>1.33266741521165</v>
          </cell>
          <cell r="AA97">
            <v>1.3130410949153699</v>
          </cell>
          <cell r="AE97">
            <v>-1.00366213408307E-2</v>
          </cell>
          <cell r="AF97">
            <v>-1.32293857446713E-2</v>
          </cell>
          <cell r="AG97">
            <v>-2.7719583903438899E-2</v>
          </cell>
          <cell r="AR97">
            <v>1.9475783322945566E-2</v>
          </cell>
          <cell r="BC97">
            <v>5.026238601451237E-2</v>
          </cell>
          <cell r="BF97">
            <v>6.9738169337457939E-2</v>
          </cell>
        </row>
        <row r="98">
          <cell r="O98">
            <v>1.3338063878300499</v>
          </cell>
          <cell r="P98">
            <v>1.33602078949701</v>
          </cell>
          <cell r="Q98">
            <v>1.3156146731509499</v>
          </cell>
          <cell r="U98">
            <v>-8.7615108378374194E-3</v>
          </cell>
          <cell r="V98">
            <v>-9.6158021392399907E-3</v>
          </cell>
          <cell r="W98">
            <v>-2.4452417919409102E-2</v>
          </cell>
          <cell r="Y98">
            <v>1.3338063878300499</v>
          </cell>
          <cell r="Z98">
            <v>1.33602078949701</v>
          </cell>
          <cell r="AA98">
            <v>1.3156146731509499</v>
          </cell>
          <cell r="AE98">
            <v>-8.7615108378374194E-3</v>
          </cell>
          <cell r="AF98">
            <v>-9.6158021392399907E-3</v>
          </cell>
          <cell r="AG98">
            <v>-2.4452417919409102E-2</v>
          </cell>
          <cell r="AR98">
            <v>2.0750893825938987E-2</v>
          </cell>
          <cell r="BC98">
            <v>5.026238601451237E-2</v>
          </cell>
          <cell r="BF98">
            <v>7.101327984045136E-2</v>
          </cell>
        </row>
        <row r="99">
          <cell r="O99">
            <v>1.3338063878300499</v>
          </cell>
          <cell r="P99">
            <v>1.33840986515805</v>
          </cell>
          <cell r="Q99">
            <v>1.3180357981497799</v>
          </cell>
          <cell r="U99">
            <v>-7.3817385426237997E-3</v>
          </cell>
          <cell r="V99">
            <v>-5.7229029494075302E-3</v>
          </cell>
          <cell r="W99">
            <v>-2.1114550472195098E-2</v>
          </cell>
          <cell r="Y99">
            <v>1.3338063878300499</v>
          </cell>
          <cell r="Z99">
            <v>1.33840986515805</v>
          </cell>
          <cell r="AA99">
            <v>1.3180357981497799</v>
          </cell>
          <cell r="AE99">
            <v>-7.3817385426237997E-3</v>
          </cell>
          <cell r="AF99">
            <v>-5.7229029494075302E-3</v>
          </cell>
          <cell r="AG99">
            <v>-2.1114550472195098E-2</v>
          </cell>
          <cell r="AR99">
            <v>2.2130666121152612E-2</v>
          </cell>
          <cell r="BC99">
            <v>5.026238601451237E-2</v>
          </cell>
          <cell r="BF99">
            <v>7.2393052135664993E-2</v>
          </cell>
        </row>
        <row r="100">
          <cell r="O100">
            <v>1.3338063878300499</v>
          </cell>
          <cell r="P100">
            <v>1.34013883254739</v>
          </cell>
          <cell r="Q100">
            <v>1.3207617974088901</v>
          </cell>
          <cell r="U100">
            <v>-1.1609760589371401E-2</v>
          </cell>
          <cell r="V100">
            <v>-8.1643194677104101E-3</v>
          </cell>
          <cell r="W100">
            <v>-2.3503964315413399E-2</v>
          </cell>
          <cell r="Y100">
            <v>1.3338063878300499</v>
          </cell>
          <cell r="Z100">
            <v>1.34013883254739</v>
          </cell>
          <cell r="AA100">
            <v>1.3207617974088901</v>
          </cell>
          <cell r="AE100">
            <v>-1.1609760589371401E-2</v>
          </cell>
          <cell r="AF100">
            <v>-8.1643194677104101E-3</v>
          </cell>
          <cell r="AG100">
            <v>-2.3503964315413399E-2</v>
          </cell>
          <cell r="AR100">
            <v>1.7902644074405012E-2</v>
          </cell>
          <cell r="BC100">
            <v>5.026238601451237E-2</v>
          </cell>
          <cell r="BF100">
            <v>6.8165030088917389E-2</v>
          </cell>
        </row>
        <row r="101">
          <cell r="O101">
            <v>1.3338063878300499</v>
          </cell>
          <cell r="P101">
            <v>1.3423204607385</v>
          </cell>
          <cell r="Q101">
            <v>1.32388600362686</v>
          </cell>
          <cell r="U101">
            <v>-9.43228937119415E-3</v>
          </cell>
          <cell r="V101">
            <v>-4.6958747974208603E-3</v>
          </cell>
          <cell r="W101">
            <v>-1.9260400393947601E-2</v>
          </cell>
          <cell r="Y101">
            <v>1.3338063878300499</v>
          </cell>
          <cell r="Z101">
            <v>1.3423204607385</v>
          </cell>
          <cell r="AA101">
            <v>1.32388600362686</v>
          </cell>
          <cell r="AE101">
            <v>-9.43228937119415E-3</v>
          </cell>
          <cell r="AF101">
            <v>-4.6958747974208603E-3</v>
          </cell>
          <cell r="AG101">
            <v>-1.9260400393947601E-2</v>
          </cell>
          <cell r="AR101">
            <v>2.0080115292582364E-2</v>
          </cell>
          <cell r="BC101">
            <v>5.026238601451237E-2</v>
          </cell>
          <cell r="BF101">
            <v>7.034250130709474E-2</v>
          </cell>
        </row>
        <row r="102">
          <cell r="O102">
            <v>1.3338063878300499</v>
          </cell>
          <cell r="P102">
            <v>1.3429763431470401</v>
          </cell>
          <cell r="Q102">
            <v>1.32609376469275</v>
          </cell>
          <cell r="U102">
            <v>-5.2346116692598803E-3</v>
          </cell>
          <cell r="V102">
            <v>1.1283913694984499E-3</v>
          </cell>
          <cell r="W102">
            <v>-1.27000582418949E-2</v>
          </cell>
          <cell r="Y102">
            <v>1.3338063878300499</v>
          </cell>
          <cell r="Z102">
            <v>1.3429763431470401</v>
          </cell>
          <cell r="AA102">
            <v>1.32609376469275</v>
          </cell>
          <cell r="AE102">
            <v>-5.2346116692598803E-3</v>
          </cell>
          <cell r="AF102">
            <v>1.1283913694984499E-3</v>
          </cell>
          <cell r="AG102">
            <v>-1.27000582418949E-2</v>
          </cell>
          <cell r="AR102">
            <v>2.4277792994517357E-2</v>
          </cell>
          <cell r="BC102">
            <v>5.026238601451237E-2</v>
          </cell>
          <cell r="BF102">
            <v>7.4540179009029733E-2</v>
          </cell>
        </row>
        <row r="103">
          <cell r="O103">
            <v>1.3338063878300499</v>
          </cell>
          <cell r="P103">
            <v>1.34343909877356</v>
          </cell>
          <cell r="Q103">
            <v>1.3285324394799001</v>
          </cell>
          <cell r="U103">
            <v>-4.7321923868751696E-3</v>
          </cell>
          <cell r="V103">
            <v>2.1193096666920199E-3</v>
          </cell>
          <cell r="W103">
            <v>-1.05313910861625E-2</v>
          </cell>
          <cell r="Y103">
            <v>1.3338063878300499</v>
          </cell>
          <cell r="Z103">
            <v>1.34343909877356</v>
          </cell>
          <cell r="AA103">
            <v>1.3285324394799001</v>
          </cell>
          <cell r="AE103">
            <v>-4.7321923868751696E-3</v>
          </cell>
          <cell r="AF103">
            <v>2.1193096666920199E-3</v>
          </cell>
          <cell r="AG103">
            <v>-1.05313910861625E-2</v>
          </cell>
          <cell r="AR103">
            <v>2.4277792994517357E-2</v>
          </cell>
          <cell r="BC103">
            <v>5.026238601451237E-2</v>
          </cell>
          <cell r="BF103">
            <v>7.4540179009029733E-2</v>
          </cell>
        </row>
        <row r="104">
          <cell r="O104">
            <v>1.3338063878300499</v>
          </cell>
          <cell r="P104">
            <v>1.34543924384858</v>
          </cell>
          <cell r="Q104">
            <v>1.3321751757570801</v>
          </cell>
          <cell r="U104">
            <v>-1.5809216063899699E-2</v>
          </cell>
          <cell r="V104">
            <v>-8.6131986953334495E-3</v>
          </cell>
          <cell r="W104">
            <v>-1.9771112419576999E-2</v>
          </cell>
          <cell r="Y104">
            <v>1.3338063878300499</v>
          </cell>
          <cell r="Z104">
            <v>1.34543924384858</v>
          </cell>
          <cell r="AA104">
            <v>1.3321751757570801</v>
          </cell>
          <cell r="AE104">
            <v>-1.5809216063899699E-2</v>
          </cell>
          <cell r="AF104">
            <v>-8.6131986953334495E-3</v>
          </cell>
          <cell r="AG104">
            <v>-1.9771112419576999E-2</v>
          </cell>
          <cell r="AR104">
            <v>2.4277792994517357E-2</v>
          </cell>
          <cell r="BC104">
            <v>5.026238601451237E-2</v>
          </cell>
          <cell r="BF104">
            <v>7.4540179009029733E-2</v>
          </cell>
        </row>
        <row r="105">
          <cell r="O105">
            <v>1.3338063878300499</v>
          </cell>
          <cell r="P105">
            <v>1.3466662239243801</v>
          </cell>
          <cell r="Q105">
            <v>1.3357317168535801</v>
          </cell>
          <cell r="U105">
            <v>-1.7200772268861901E-2</v>
          </cell>
          <cell r="V105">
            <v>-8.5170375780029492E-3</v>
          </cell>
          <cell r="W105">
            <v>-1.8424495867569401E-2</v>
          </cell>
          <cell r="Y105">
            <v>1.3338063878300499</v>
          </cell>
          <cell r="Z105">
            <v>1.3466662239243801</v>
          </cell>
          <cell r="AA105">
            <v>1.3357317168535801</v>
          </cell>
          <cell r="AE105">
            <v>-1.7200772268861901E-2</v>
          </cell>
          <cell r="AF105">
            <v>-8.5170375780029492E-3</v>
          </cell>
          <cell r="AG105">
            <v>-1.8424495867569401E-2</v>
          </cell>
          <cell r="AR105">
            <v>2.4277792994517357E-2</v>
          </cell>
          <cell r="BC105">
            <v>5.026238601451237E-2</v>
          </cell>
          <cell r="BF105">
            <v>7.4540179009029733E-2</v>
          </cell>
        </row>
        <row r="106">
          <cell r="O106">
            <v>1.3338063878300499</v>
          </cell>
          <cell r="P106">
            <v>1.34837684562752</v>
          </cell>
          <cell r="Q106">
            <v>1.3389657474562</v>
          </cell>
          <cell r="U106">
            <v>-1.8343711399011399E-2</v>
          </cell>
          <cell r="V106">
            <v>-8.7484372640613105E-3</v>
          </cell>
          <cell r="W106">
            <v>-1.6901267588996498E-2</v>
          </cell>
          <cell r="Y106">
            <v>1.3338063878300499</v>
          </cell>
          <cell r="Z106">
            <v>1.34837684562752</v>
          </cell>
          <cell r="AA106">
            <v>1.3389657474562</v>
          </cell>
          <cell r="AE106">
            <v>-1.8343711399011399E-2</v>
          </cell>
          <cell r="AF106">
            <v>-8.7484372640613105E-3</v>
          </cell>
          <cell r="AG106">
            <v>-1.6901267588996498E-2</v>
          </cell>
          <cell r="AR106">
            <v>2.4277792994517357E-2</v>
          </cell>
          <cell r="BC106">
            <v>5.026238601451237E-2</v>
          </cell>
          <cell r="BF106">
            <v>7.4540179009029733E-2</v>
          </cell>
        </row>
        <row r="107">
          <cell r="O107">
            <v>1.3338063878300499</v>
          </cell>
          <cell r="P107">
            <v>1.3488395695334201</v>
          </cell>
          <cell r="Q107">
            <v>1.3407534923725299</v>
          </cell>
          <cell r="U107">
            <v>-1.3465290304579099E-2</v>
          </cell>
          <cell r="V107">
            <v>-2.6005582138851498E-3</v>
          </cell>
          <cell r="W107">
            <v>-9.6046050135785103E-3</v>
          </cell>
          <cell r="Y107">
            <v>1.3338063878300499</v>
          </cell>
          <cell r="Z107">
            <v>1.3488395695334201</v>
          </cell>
          <cell r="AA107">
            <v>1.3407534923725299</v>
          </cell>
          <cell r="AE107">
            <v>-1.3465290304579099E-2</v>
          </cell>
          <cell r="AF107">
            <v>-2.6005582138851498E-3</v>
          </cell>
          <cell r="AG107">
            <v>-9.6046050135785103E-3</v>
          </cell>
          <cell r="AR107">
            <v>2.4277792994517357E-2</v>
          </cell>
          <cell r="BC107">
            <v>5.026238601451237E-2</v>
          </cell>
          <cell r="BF107">
            <v>7.4540179009029733E-2</v>
          </cell>
        </row>
        <row r="108">
          <cell r="O108">
            <v>1.3338063878300499</v>
          </cell>
          <cell r="P108">
            <v>1.3503960633904599</v>
          </cell>
          <cell r="Q108">
            <v>1.3432084264437301</v>
          </cell>
          <cell r="U108">
            <v>-2.0262883017009299E-2</v>
          </cell>
          <cell r="V108">
            <v>-9.0550387401037002E-3</v>
          </cell>
          <cell r="W108">
            <v>-1.50679197501723E-2</v>
          </cell>
          <cell r="Y108">
            <v>1.3338063878300499</v>
          </cell>
          <cell r="Z108">
            <v>1.3503960633904599</v>
          </cell>
          <cell r="AA108">
            <v>1.3432084264437301</v>
          </cell>
          <cell r="AE108">
            <v>-2.0262883017009299E-2</v>
          </cell>
          <cell r="AF108">
            <v>-9.0550387401037002E-3</v>
          </cell>
          <cell r="AG108">
            <v>-1.50679197501723E-2</v>
          </cell>
          <cell r="AR108">
            <v>2.4277792994517357E-2</v>
          </cell>
          <cell r="BC108">
            <v>5.026238601451237E-2</v>
          </cell>
          <cell r="BF108">
            <v>7.4540179009029733E-2</v>
          </cell>
        </row>
        <row r="109">
          <cell r="O109">
            <v>1.3338063878300499</v>
          </cell>
          <cell r="P109">
            <v>1.3511002695809</v>
          </cell>
          <cell r="Q109">
            <v>1.3447550673694699</v>
          </cell>
          <cell r="U109">
            <v>-1.2608896689058799E-2</v>
          </cell>
          <cell r="V109">
            <v>-2.4776737799731501E-4</v>
          </cell>
          <cell r="W109">
            <v>-5.5845969188956903E-3</v>
          </cell>
          <cell r="Y109">
            <v>1.3338063878300499</v>
          </cell>
          <cell r="Z109">
            <v>1.3511002695809</v>
          </cell>
          <cell r="AA109">
            <v>1.3447550673694699</v>
          </cell>
          <cell r="AE109">
            <v>-1.2608896689058799E-2</v>
          </cell>
          <cell r="AF109">
            <v>-2.4776737799731501E-4</v>
          </cell>
          <cell r="AG109">
            <v>-5.5845969188956903E-3</v>
          </cell>
          <cell r="AR109">
            <v>2.4277792994517357E-2</v>
          </cell>
          <cell r="BC109">
            <v>5.026238601451237E-2</v>
          </cell>
          <cell r="BF109">
            <v>7.4540179009029733E-2</v>
          </cell>
        </row>
        <row r="110">
          <cell r="O110">
            <v>1.3338063878300499</v>
          </cell>
          <cell r="P110">
            <v>1.35114120723107</v>
          </cell>
          <cell r="Q110">
            <v>1.34564001988923</v>
          </cell>
          <cell r="U110">
            <v>-1.1913095358003899E-2</v>
          </cell>
          <cell r="V110">
            <v>9.6937925180534397E-4</v>
          </cell>
          <cell r="W110">
            <v>-3.7380053334452302E-3</v>
          </cell>
          <cell r="Y110">
            <v>1.3338063878300499</v>
          </cell>
          <cell r="Z110">
            <v>1.35114120723107</v>
          </cell>
          <cell r="AA110">
            <v>1.34564001988923</v>
          </cell>
          <cell r="AE110">
            <v>-1.1913095358003899E-2</v>
          </cell>
          <cell r="AF110">
            <v>9.6937925180534397E-4</v>
          </cell>
          <cell r="AG110">
            <v>-3.7380053334452302E-3</v>
          </cell>
          <cell r="AR110">
            <v>2.4277792994517357E-2</v>
          </cell>
          <cell r="BC110">
            <v>5.026238601451237E-2</v>
          </cell>
          <cell r="BF110">
            <v>7.4540179009029733E-2</v>
          </cell>
        </row>
        <row r="111">
          <cell r="O111">
            <v>1.3338063878300499</v>
          </cell>
          <cell r="P111">
            <v>1.35163234972468</v>
          </cell>
          <cell r="Q111">
            <v>1.34697640523159</v>
          </cell>
          <cell r="U111">
            <v>-1.307334606574E-2</v>
          </cell>
          <cell r="V111">
            <v>-1.6057242416027699E-4</v>
          </cell>
          <cell r="W111">
            <v>-4.2403953753901297E-3</v>
          </cell>
          <cell r="Y111">
            <v>1.3338063878300499</v>
          </cell>
          <cell r="Z111">
            <v>1.35163234972468</v>
          </cell>
          <cell r="AA111">
            <v>1.34697640523159</v>
          </cell>
          <cell r="AE111">
            <v>-1.307334606574E-2</v>
          </cell>
          <cell r="AF111">
            <v>-1.6057242416027699E-4</v>
          </cell>
          <cell r="AG111">
            <v>-4.2403953753901297E-3</v>
          </cell>
          <cell r="AR111">
            <v>2.4277792994517357E-2</v>
          </cell>
          <cell r="BC111">
            <v>5.026238601451237E-2</v>
          </cell>
          <cell r="BF111">
            <v>7.4540179009029733E-2</v>
          </cell>
        </row>
        <row r="112">
          <cell r="O112">
            <v>1.3338063878300499</v>
          </cell>
          <cell r="P112">
            <v>1.35267217843416</v>
          </cell>
          <cell r="Q112">
            <v>1.3478242607905999</v>
          </cell>
          <cell r="U112">
            <v>-1.29599415620518E-2</v>
          </cell>
          <cell r="V112">
            <v>3.1626800093829E-4</v>
          </cell>
          <cell r="W112">
            <v>-3.1343612200181699E-3</v>
          </cell>
          <cell r="Y112">
            <v>1.3338063878300499</v>
          </cell>
          <cell r="Z112">
            <v>1.35267217843416</v>
          </cell>
          <cell r="AA112">
            <v>1.3478242607905999</v>
          </cell>
          <cell r="AE112">
            <v>-1.29599415620518E-2</v>
          </cell>
          <cell r="AF112">
            <v>3.1626800093829E-4</v>
          </cell>
          <cell r="AG112">
            <v>-3.1343612200181699E-3</v>
          </cell>
          <cell r="AR112">
            <v>2.4277792994517357E-2</v>
          </cell>
          <cell r="BC112">
            <v>5.026238601451237E-2</v>
          </cell>
          <cell r="BF112">
            <v>7.4540179009029733E-2</v>
          </cell>
        </row>
        <row r="113">
          <cell r="O113">
            <v>1.3338063878300499</v>
          </cell>
          <cell r="P113">
            <v>1.35286502070878</v>
          </cell>
          <cell r="Q113">
            <v>1.34815205974117</v>
          </cell>
          <cell r="U113">
            <v>-6.1701364908604396E-3</v>
          </cell>
          <cell r="V113">
            <v>7.8750905772893998E-3</v>
          </cell>
          <cell r="W113">
            <v>4.2846967659984098E-3</v>
          </cell>
          <cell r="Y113">
            <v>1.3338063878300499</v>
          </cell>
          <cell r="Z113">
            <v>1.35286502070878</v>
          </cell>
          <cell r="AA113">
            <v>1.34815205974117</v>
          </cell>
          <cell r="AE113">
            <v>-6.1701364908604396E-3</v>
          </cell>
          <cell r="AF113">
            <v>7.8750905772893998E-3</v>
          </cell>
          <cell r="AG113">
            <v>4.2846967659984098E-3</v>
          </cell>
          <cell r="AR113">
            <v>2.4277792994517357E-2</v>
          </cell>
          <cell r="BC113">
            <v>5.026238601451237E-2</v>
          </cell>
          <cell r="BF113">
            <v>7.4540179009029733E-2</v>
          </cell>
        </row>
        <row r="114">
          <cell r="O114">
            <v>1.3338063878300499</v>
          </cell>
          <cell r="P114">
            <v>1.35251758812224</v>
          </cell>
          <cell r="Q114">
            <v>1.3489784159854099</v>
          </cell>
          <cell r="U114">
            <v>-1.32419596080845E-2</v>
          </cell>
          <cell r="V114">
            <v>9.45821238302761E-4</v>
          </cell>
          <cell r="W114">
            <v>-2.5439499184877999E-3</v>
          </cell>
          <cell r="Y114">
            <v>1.3338063878300499</v>
          </cell>
          <cell r="Z114">
            <v>1.35251758812224</v>
          </cell>
          <cell r="AA114">
            <v>1.3489784159854099</v>
          </cell>
          <cell r="AE114">
            <v>-1.32419596080845E-2</v>
          </cell>
          <cell r="AF114">
            <v>9.45821238302761E-4</v>
          </cell>
          <cell r="AG114">
            <v>-2.5439499184877999E-3</v>
          </cell>
          <cell r="AR114">
            <v>2.4277792994517357E-2</v>
          </cell>
          <cell r="BC114">
            <v>5.026238601451237E-2</v>
          </cell>
          <cell r="BF114">
            <v>7.4540179009029733E-2</v>
          </cell>
        </row>
        <row r="115">
          <cell r="O115">
            <v>1.3338063878300499</v>
          </cell>
          <cell r="P115">
            <v>1.3520572261416799</v>
          </cell>
          <cell r="Q115">
            <v>1.3493617250330301</v>
          </cell>
          <cell r="U115">
            <v>-1.38023745775619E-2</v>
          </cell>
          <cell r="V115">
            <v>1.28560832386386E-4</v>
          </cell>
          <cell r="W115">
            <v>-2.4915978916832198E-3</v>
          </cell>
          <cell r="Y115">
            <v>1.3338063878300499</v>
          </cell>
          <cell r="Z115">
            <v>1.3520572261416799</v>
          </cell>
          <cell r="AA115">
            <v>1.3493617250330301</v>
          </cell>
          <cell r="AE115">
            <v>-1.38023745775619E-2</v>
          </cell>
          <cell r="AF115">
            <v>1.28560832386386E-4</v>
          </cell>
          <cell r="AG115">
            <v>-2.4915978916832198E-3</v>
          </cell>
          <cell r="AR115">
            <v>2.4277792994517357E-2</v>
          </cell>
          <cell r="BC115">
            <v>5.026238601451237E-2</v>
          </cell>
          <cell r="BF115">
            <v>7.4540179009029733E-2</v>
          </cell>
        </row>
        <row r="116">
          <cell r="O116">
            <v>1.3338063878300499</v>
          </cell>
          <cell r="P116">
            <v>1.3521507318630399</v>
          </cell>
          <cell r="Q116">
            <v>1.35026378874528</v>
          </cell>
          <cell r="U116">
            <v>-1.90317762919026E-2</v>
          </cell>
          <cell r="V116">
            <v>-5.4412729399497496E-3</v>
          </cell>
          <cell r="W116">
            <v>-7.4368923177159096E-3</v>
          </cell>
          <cell r="Y116">
            <v>1.3338063878300499</v>
          </cell>
          <cell r="Z116">
            <v>1.3521507318630399</v>
          </cell>
          <cell r="AA116">
            <v>1.35026378874528</v>
          </cell>
          <cell r="AE116">
            <v>-1.90317762919026E-2</v>
          </cell>
          <cell r="AF116">
            <v>-5.4412729399497496E-3</v>
          </cell>
          <cell r="AG116">
            <v>-7.4368923177159096E-3</v>
          </cell>
          <cell r="AR116">
            <v>2.4277792994517357E-2</v>
          </cell>
          <cell r="BC116">
            <v>5.026238601451237E-2</v>
          </cell>
          <cell r="BF116">
            <v>7.4540179009029733E-2</v>
          </cell>
        </row>
        <row r="117">
          <cell r="O117">
            <v>1.3338063878300499</v>
          </cell>
          <cell r="P117">
            <v>1.35311994724185</v>
          </cell>
          <cell r="Q117">
            <v>1.35097975838763</v>
          </cell>
          <cell r="U117">
            <v>-2.06090597354242E-2</v>
          </cell>
          <cell r="V117">
            <v>-6.94940066552542E-3</v>
          </cell>
          <cell r="W117">
            <v>-8.3458877033433104E-3</v>
          </cell>
          <cell r="Y117">
            <v>1.3338063878300499</v>
          </cell>
          <cell r="Z117">
            <v>1.35311994724185</v>
          </cell>
          <cell r="AA117">
            <v>1.35097975838763</v>
          </cell>
          <cell r="AE117">
            <v>-2.06090597354242E-2</v>
          </cell>
          <cell r="AF117">
            <v>-6.94940066552542E-3</v>
          </cell>
          <cell r="AG117">
            <v>-8.3458877033433104E-3</v>
          </cell>
          <cell r="AR117">
            <v>2.4277792994517357E-2</v>
          </cell>
          <cell r="BC117">
            <v>5.026238601451237E-2</v>
          </cell>
          <cell r="BF117">
            <v>7.4540179009029733E-2</v>
          </cell>
        </row>
        <row r="118">
          <cell r="O118">
            <v>1.3338063878300499</v>
          </cell>
          <cell r="P118">
            <v>1.35378008691837</v>
          </cell>
          <cell r="Q118">
            <v>1.35208807515441</v>
          </cell>
          <cell r="U118">
            <v>-2.51011735065753E-2</v>
          </cell>
          <cell r="V118">
            <v>-1.07249758457282E-2</v>
          </cell>
          <cell r="W118">
            <v>-1.2307897730327999E-2</v>
          </cell>
          <cell r="Y118">
            <v>1.3338063878300499</v>
          </cell>
          <cell r="Z118">
            <v>1.35378008691837</v>
          </cell>
          <cell r="AA118">
            <v>1.35208807515441</v>
          </cell>
          <cell r="AE118">
            <v>-2.51011735065753E-2</v>
          </cell>
          <cell r="AF118">
            <v>-1.07249758457282E-2</v>
          </cell>
          <cell r="AG118">
            <v>-1.2307897730327999E-2</v>
          </cell>
          <cell r="AR118">
            <v>2.4277792994517357E-2</v>
          </cell>
          <cell r="BC118">
            <v>5.026238601451237E-2</v>
          </cell>
          <cell r="BF118">
            <v>7.4540179009029733E-2</v>
          </cell>
        </row>
        <row r="119">
          <cell r="O119">
            <v>1.3338063878300499</v>
          </cell>
          <cell r="P119">
            <v>1.3544160823523299</v>
          </cell>
          <cell r="Q119">
            <v>1.3527581759666101</v>
          </cell>
          <cell r="U119">
            <v>-1.73063750337124E-2</v>
          </cell>
          <cell r="V119">
            <v>-2.4424314780911302E-3</v>
          </cell>
          <cell r="W119">
            <v>-3.6930555906826801E-3</v>
          </cell>
          <cell r="Y119">
            <v>1.3338063878300499</v>
          </cell>
          <cell r="Z119">
            <v>1.3544160823523299</v>
          </cell>
          <cell r="AA119">
            <v>1.3527581759666101</v>
          </cell>
          <cell r="AE119">
            <v>-1.73063750337124E-2</v>
          </cell>
          <cell r="AF119">
            <v>-2.4424314780911302E-3</v>
          </cell>
          <cell r="AG119">
            <v>-3.6930555906826801E-3</v>
          </cell>
          <cell r="AR119">
            <v>2.4277792994517357E-2</v>
          </cell>
          <cell r="BC119">
            <v>5.026238601451237E-2</v>
          </cell>
          <cell r="BF119">
            <v>7.4540179009029733E-2</v>
          </cell>
        </row>
        <row r="120">
          <cell r="O120">
            <v>1.3338063878300499</v>
          </cell>
          <cell r="P120">
            <v>1.35575440187623</v>
          </cell>
          <cell r="Q120">
            <v>1.35344780455365</v>
          </cell>
          <cell r="U120">
            <v>-2.1779275795060199E-2</v>
          </cell>
          <cell r="V120">
            <v>-6.4456502770571401E-3</v>
          </cell>
          <cell r="W120">
            <v>-7.6704747137452999E-3</v>
          </cell>
          <cell r="Y120">
            <v>1.3338063878300499</v>
          </cell>
          <cell r="Z120">
            <v>1.35575440187623</v>
          </cell>
          <cell r="AA120">
            <v>1.35344780455365</v>
          </cell>
          <cell r="AE120">
            <v>-2.1779275795060199E-2</v>
          </cell>
          <cell r="AF120">
            <v>-6.4456502770571401E-3</v>
          </cell>
          <cell r="AG120">
            <v>-7.6704747137452999E-3</v>
          </cell>
          <cell r="AR120">
            <v>2.4277792994517357E-2</v>
          </cell>
          <cell r="BC120">
            <v>5.026238601451237E-2</v>
          </cell>
          <cell r="BF120">
            <v>7.4540179009029733E-2</v>
          </cell>
        </row>
        <row r="121">
          <cell r="O121">
            <v>1.3338063878300499</v>
          </cell>
          <cell r="P121">
            <v>1.3536243708912601</v>
          </cell>
          <cell r="Q121">
            <v>1.3526283603079701</v>
          </cell>
          <cell r="U121">
            <v>2.8143472192167702E-3</v>
          </cell>
          <cell r="V121">
            <v>1.91356003720656E-2</v>
          </cell>
          <cell r="W121">
            <v>1.7432812832300301E-2</v>
          </cell>
          <cell r="Y121">
            <v>1.3338063878300499</v>
          </cell>
          <cell r="Z121">
            <v>1.3536243708912601</v>
          </cell>
          <cell r="AA121">
            <v>1.3526283603079701</v>
          </cell>
          <cell r="AE121">
            <v>2.8143472192167702E-3</v>
          </cell>
          <cell r="AF121">
            <v>1.91356003720656E-2</v>
          </cell>
          <cell r="AG121">
            <v>1.7432812832300301E-2</v>
          </cell>
          <cell r="AR121">
            <v>2.4277792994517357E-2</v>
          </cell>
          <cell r="BC121">
            <v>5.026238601451237E-2</v>
          </cell>
          <cell r="BF121">
            <v>7.4540179009029733E-2</v>
          </cell>
        </row>
        <row r="122">
          <cell r="O122">
            <v>1.3338063878300499</v>
          </cell>
          <cell r="P122">
            <v>1.35401851934621</v>
          </cell>
          <cell r="Q122">
            <v>1.3533453488901801</v>
          </cell>
          <cell r="U122">
            <v>-1.5872709940936799E-2</v>
          </cell>
          <cell r="V122">
            <v>-1.12379613407487E-3</v>
          </cell>
          <cell r="W122">
            <v>-1.8598771488116199E-3</v>
          </cell>
          <cell r="Y122">
            <v>1.3338063878300499</v>
          </cell>
          <cell r="Z122">
            <v>1.35401851934621</v>
          </cell>
          <cell r="AA122">
            <v>1.3533453488901801</v>
          </cell>
          <cell r="AE122">
            <v>-1.5872709940936799E-2</v>
          </cell>
          <cell r="AF122">
            <v>-1.12379613407487E-3</v>
          </cell>
          <cell r="AG122">
            <v>-1.8598771488116199E-3</v>
          </cell>
          <cell r="AR122">
            <v>2.4277792994517357E-2</v>
          </cell>
          <cell r="BC122">
            <v>6.8949443174665684E-2</v>
          </cell>
          <cell r="BF122">
            <v>9.3227236169183048E-2</v>
          </cell>
        </row>
        <row r="123">
          <cell r="O123">
            <v>1.3338063878300499</v>
          </cell>
          <cell r="P123">
            <v>1.3575206274876199</v>
          </cell>
          <cell r="Q123">
            <v>1.3551928240982001</v>
          </cell>
          <cell r="U123">
            <v>-3.1930459956347801E-2</v>
          </cell>
          <cell r="V123">
            <v>-1.68904084524443E-2</v>
          </cell>
          <cell r="W123">
            <v>-1.7387696960869E-2</v>
          </cell>
          <cell r="Y123">
            <v>1.3338063878300499</v>
          </cell>
          <cell r="Z123">
            <v>1.3575206274876199</v>
          </cell>
          <cell r="AA123">
            <v>1.3551928240982001</v>
          </cell>
          <cell r="AE123">
            <v>-3.1930459956347801E-2</v>
          </cell>
          <cell r="AF123">
            <v>-1.68904084524443E-2</v>
          </cell>
          <cell r="AG123">
            <v>-1.7387696960869E-2</v>
          </cell>
          <cell r="AR123">
            <v>2.4277792994517357E-2</v>
          </cell>
          <cell r="BC123">
            <v>6.8949443174665684E-2</v>
          </cell>
          <cell r="BF123">
            <v>9.3227236169183048E-2</v>
          </cell>
        </row>
        <row r="124">
          <cell r="O124">
            <v>1.3338063878300499</v>
          </cell>
          <cell r="P124">
            <v>1.3604683379273701</v>
          </cell>
          <cell r="Q124">
            <v>1.3564929630248099</v>
          </cell>
          <cell r="U124">
            <v>-3.4816809090421501E-2</v>
          </cell>
          <cell r="V124">
            <v>-1.7193641578172301E-2</v>
          </cell>
          <cell r="W124">
            <v>-1.8909859676635599E-2</v>
          </cell>
          <cell r="Y124">
            <v>1.3338063878300499</v>
          </cell>
          <cell r="Z124">
            <v>1.3604683379273701</v>
          </cell>
          <cell r="AA124">
            <v>1.3564929630248099</v>
          </cell>
          <cell r="AE124">
            <v>-3.4816809090421501E-2</v>
          </cell>
          <cell r="AF124">
            <v>-1.7193641578172301E-2</v>
          </cell>
          <cell r="AG124">
            <v>-1.8909859676635599E-2</v>
          </cell>
          <cell r="AR124">
            <v>2.4277792994517357E-2</v>
          </cell>
          <cell r="BC124">
            <v>6.8949443174665684E-2</v>
          </cell>
          <cell r="BF124">
            <v>9.3227236169183048E-2</v>
          </cell>
        </row>
        <row r="125">
          <cell r="O125">
            <v>1.3338063878300499</v>
          </cell>
          <cell r="P125">
            <v>1.36270769051723</v>
          </cell>
          <cell r="Q125">
            <v>1.35738245832945</v>
          </cell>
          <cell r="U125">
            <v>-3.0225817482434799E-2</v>
          </cell>
          <cell r="V125">
            <v>-1.0433611292732899E-2</v>
          </cell>
          <cell r="W125">
            <v>-1.3359952376862201E-2</v>
          </cell>
          <cell r="Y125">
            <v>1.3338063878300499</v>
          </cell>
          <cell r="Z125">
            <v>1.36270769051723</v>
          </cell>
          <cell r="AA125">
            <v>1.35738245832945</v>
          </cell>
          <cell r="AE125">
            <v>-3.0225817482434799E-2</v>
          </cell>
          <cell r="AF125">
            <v>-1.0433611292732899E-2</v>
          </cell>
          <cell r="AG125">
            <v>-1.3359952376862201E-2</v>
          </cell>
          <cell r="AR125">
            <v>2.4277792994517357E-2</v>
          </cell>
          <cell r="BC125">
            <v>6.8949443174665684E-2</v>
          </cell>
          <cell r="BF125">
            <v>9.3227236169183048E-2</v>
          </cell>
        </row>
        <row r="126">
          <cell r="O126">
            <v>1.3338063878300499</v>
          </cell>
          <cell r="P126">
            <v>1.36512498985941</v>
          </cell>
          <cell r="Q126">
            <v>1.35863786086123</v>
          </cell>
          <cell r="U126">
            <v>-3.66571897727462E-2</v>
          </cell>
          <cell r="V126">
            <v>-1.5220320828060199E-2</v>
          </cell>
          <cell r="W126">
            <v>-1.9135807962540999E-2</v>
          </cell>
          <cell r="Y126">
            <v>1.3338063878300499</v>
          </cell>
          <cell r="Z126">
            <v>1.36512498985941</v>
          </cell>
          <cell r="AA126">
            <v>1.35863786086123</v>
          </cell>
          <cell r="AE126">
            <v>-3.66571897727462E-2</v>
          </cell>
          <cell r="AF126">
            <v>-1.5220320828060199E-2</v>
          </cell>
          <cell r="AG126">
            <v>-1.9135807962540999E-2</v>
          </cell>
          <cell r="AR126">
            <v>2.4277792994517357E-2</v>
          </cell>
          <cell r="BC126">
            <v>6.8949443174665684E-2</v>
          </cell>
          <cell r="BF126">
            <v>9.3227236169183048E-2</v>
          </cell>
        </row>
        <row r="127">
          <cell r="O127">
            <v>1.3338063878300499</v>
          </cell>
          <cell r="P127">
            <v>1.36806380856458</v>
          </cell>
          <cell r="Q127">
            <v>1.36059187790321</v>
          </cell>
          <cell r="U127">
            <v>-4.1963310249095699E-2</v>
          </cell>
          <cell r="V127">
            <v>-1.8754118542586799E-2</v>
          </cell>
          <cell r="W127">
            <v>-2.3517485707508199E-2</v>
          </cell>
          <cell r="Y127">
            <v>1.3338063878300499</v>
          </cell>
          <cell r="Z127">
            <v>1.36806380856458</v>
          </cell>
          <cell r="AA127">
            <v>1.36059187790321</v>
          </cell>
          <cell r="AE127">
            <v>-4.1963310249095699E-2</v>
          </cell>
          <cell r="AF127">
            <v>-1.8754118542586799E-2</v>
          </cell>
          <cell r="AG127">
            <v>-2.3517485707508199E-2</v>
          </cell>
          <cell r="AR127">
            <v>2.4277792994517357E-2</v>
          </cell>
          <cell r="BC127">
            <v>6.8949443174665684E-2</v>
          </cell>
          <cell r="BF127">
            <v>9.3227236169183048E-2</v>
          </cell>
        </row>
        <row r="128">
          <cell r="O128">
            <v>1.3338063878300499</v>
          </cell>
          <cell r="P128">
            <v>1.3702918929700401</v>
          </cell>
          <cell r="Q128">
            <v>1.36203598994421</v>
          </cell>
          <cell r="U128">
            <v>-4.1260522540198401E-2</v>
          </cell>
          <cell r="V128">
            <v>-1.5900861140985899E-2</v>
          </cell>
          <cell r="W128">
            <v>-2.1377513526504299E-2</v>
          </cell>
          <cell r="Y128">
            <v>1.3338063878300499</v>
          </cell>
          <cell r="Z128">
            <v>1.3702918929700401</v>
          </cell>
          <cell r="AA128">
            <v>1.36203598994421</v>
          </cell>
          <cell r="AE128">
            <v>-4.1260522540198401E-2</v>
          </cell>
          <cell r="AF128">
            <v>-1.5900861140985899E-2</v>
          </cell>
          <cell r="AG128">
            <v>-2.1377513526504299E-2</v>
          </cell>
          <cell r="AR128">
            <v>2.4277792994517357E-2</v>
          </cell>
          <cell r="BC128">
            <v>6.8949443174665684E-2</v>
          </cell>
          <cell r="BF128">
            <v>9.3227236169183048E-2</v>
          </cell>
        </row>
        <row r="129">
          <cell r="O129">
            <v>1.3338063878300499</v>
          </cell>
          <cell r="P129">
            <v>1.3731240388564701</v>
          </cell>
          <cell r="Q129">
            <v>1.3637700606044001</v>
          </cell>
          <cell r="U129">
            <v>-3.7960841651036303E-2</v>
          </cell>
          <cell r="V129">
            <v>-1.09738643440307E-2</v>
          </cell>
          <cell r="W129">
            <v>-1.7017010338802398E-2</v>
          </cell>
          <cell r="Y129">
            <v>1.3338063878300499</v>
          </cell>
          <cell r="Z129">
            <v>1.3731240388564701</v>
          </cell>
          <cell r="AA129">
            <v>1.3637700606044001</v>
          </cell>
          <cell r="AE129">
            <v>-3.7960841651036303E-2</v>
          </cell>
          <cell r="AF129">
            <v>-1.09738643440307E-2</v>
          </cell>
          <cell r="AG129">
            <v>-1.7017010338802398E-2</v>
          </cell>
          <cell r="AR129">
            <v>2.4277792994517357E-2</v>
          </cell>
          <cell r="BC129">
            <v>6.8949443174665684E-2</v>
          </cell>
          <cell r="BF129">
            <v>9.3227236169183048E-2</v>
          </cell>
        </row>
        <row r="130">
          <cell r="O130">
            <v>1.3338063878300499</v>
          </cell>
          <cell r="P130">
            <v>1.3758400443418199</v>
          </cell>
          <cell r="Q130">
            <v>1.3657972231090201</v>
          </cell>
          <cell r="U130">
            <v>-4.1507511840757599E-2</v>
          </cell>
          <cell r="V130">
            <v>-1.2455848053163699E-2</v>
          </cell>
          <cell r="W130">
            <v>-1.9291344300655999E-2</v>
          </cell>
          <cell r="Y130">
            <v>1.3338063878300499</v>
          </cell>
          <cell r="Z130">
            <v>1.3758400443418199</v>
          </cell>
          <cell r="AA130">
            <v>1.3657972231090201</v>
          </cell>
          <cell r="AE130">
            <v>-4.1507511840757599E-2</v>
          </cell>
          <cell r="AF130">
            <v>-1.2455848053163699E-2</v>
          </cell>
          <cell r="AG130">
            <v>-1.9291344300655999E-2</v>
          </cell>
          <cell r="AR130">
            <v>2.4277792994517357E-2</v>
          </cell>
          <cell r="BC130">
            <v>6.8949443174665684E-2</v>
          </cell>
          <cell r="BF130">
            <v>9.3227236169183048E-2</v>
          </cell>
        </row>
        <row r="131">
          <cell r="O131">
            <v>1.3338063878300499</v>
          </cell>
          <cell r="P131">
            <v>1.3809536731688301</v>
          </cell>
          <cell r="Q131">
            <v>1.36728902203004</v>
          </cell>
          <cell r="U131">
            <v>-3.49116572576392E-2</v>
          </cell>
          <cell r="V131">
            <v>-3.8839717492067899E-3</v>
          </cell>
          <cell r="W131">
            <v>-1.12101532765448E-2</v>
          </cell>
          <cell r="Y131">
            <v>1.3338063878300499</v>
          </cell>
          <cell r="Z131">
            <v>1.3809536731688301</v>
          </cell>
          <cell r="AA131">
            <v>1.36728902203004</v>
          </cell>
          <cell r="AE131">
            <v>-3.49116572576392E-2</v>
          </cell>
          <cell r="AF131">
            <v>-3.8839717492067899E-3</v>
          </cell>
          <cell r="AG131">
            <v>-1.12101532765448E-2</v>
          </cell>
          <cell r="AR131">
            <v>2.4277792994517357E-2</v>
          </cell>
          <cell r="BC131">
            <v>6.8949443174665684E-2</v>
          </cell>
          <cell r="BF131">
            <v>9.3227236169183048E-2</v>
          </cell>
        </row>
        <row r="132">
          <cell r="O132">
            <v>1.3338063878300499</v>
          </cell>
          <cell r="P132">
            <v>1.38346951614737</v>
          </cell>
          <cell r="Q132">
            <v>1.36874401774679</v>
          </cell>
          <cell r="U132">
            <v>-3.4267582770107802E-2</v>
          </cell>
          <cell r="V132">
            <v>4.6994483452830201E-4</v>
          </cell>
          <cell r="W132">
            <v>-9.4744198105792092E-3</v>
          </cell>
          <cell r="Y132">
            <v>1.3338063878300499</v>
          </cell>
          <cell r="Z132">
            <v>1.38346951614737</v>
          </cell>
          <cell r="AA132">
            <v>1.36874401774679</v>
          </cell>
          <cell r="AE132">
            <v>-3.4267582770107802E-2</v>
          </cell>
          <cell r="AF132">
            <v>4.6994483452830201E-4</v>
          </cell>
          <cell r="AG132">
            <v>-9.4744198105792092E-3</v>
          </cell>
          <cell r="AR132">
            <v>2.4277792994517357E-2</v>
          </cell>
          <cell r="BC132">
            <v>6.8949443174665684E-2</v>
          </cell>
          <cell r="BF132">
            <v>9.3227236169183048E-2</v>
          </cell>
        </row>
        <row r="133">
          <cell r="O133">
            <v>1.3338063878300499</v>
          </cell>
          <cell r="P133">
            <v>1.3841713404175999</v>
          </cell>
          <cell r="Q133">
            <v>1.3708459839526099</v>
          </cell>
          <cell r="U133">
            <v>-3.7013974009817298E-2</v>
          </cell>
          <cell r="V133">
            <v>-4.5628827393763501E-4</v>
          </cell>
          <cell r="W133">
            <v>-1.1157230433570101E-2</v>
          </cell>
          <cell r="Y133">
            <v>1.3338063878300499</v>
          </cell>
          <cell r="Z133">
            <v>1.3841713404175999</v>
          </cell>
          <cell r="AA133">
            <v>1.3708459839526099</v>
          </cell>
          <cell r="AE133">
            <v>-3.7013974009817298E-2</v>
          </cell>
          <cell r="AF133">
            <v>-4.5628827393763501E-4</v>
          </cell>
          <cell r="AG133">
            <v>-1.1157230433570101E-2</v>
          </cell>
          <cell r="AR133">
            <v>2.4277792994517357E-2</v>
          </cell>
          <cell r="BC133">
            <v>6.8949443174665684E-2</v>
          </cell>
          <cell r="BF133">
            <v>9.3227236169183048E-2</v>
          </cell>
        </row>
        <row r="134">
          <cell r="O134">
            <v>1.3338063878300499</v>
          </cell>
          <cell r="P134">
            <v>1.3849236340554301</v>
          </cell>
          <cell r="Q134">
            <v>1.3726959859914001</v>
          </cell>
          <cell r="U134">
            <v>-4.0249233324915798E-2</v>
          </cell>
          <cell r="V134">
            <v>-3.1843833132884801E-3</v>
          </cell>
          <cell r="W134">
            <v>-1.2857977929762799E-2</v>
          </cell>
          <cell r="Y134">
            <v>1.3338063878300499</v>
          </cell>
          <cell r="Z134">
            <v>1.3849236340554301</v>
          </cell>
          <cell r="AA134">
            <v>1.3726959859914001</v>
          </cell>
          <cell r="AE134">
            <v>-4.0249233324915798E-2</v>
          </cell>
          <cell r="AF134">
            <v>-3.1843833132884801E-3</v>
          </cell>
          <cell r="AG134">
            <v>-1.2857977929762799E-2</v>
          </cell>
          <cell r="AR134">
            <v>2.4277792994517357E-2</v>
          </cell>
          <cell r="BC134">
            <v>6.8949443174665684E-2</v>
          </cell>
          <cell r="BF134">
            <v>9.3227236169183048E-2</v>
          </cell>
        </row>
        <row r="135">
          <cell r="O135">
            <v>1.3338063878300499</v>
          </cell>
          <cell r="P135">
            <v>1.38492992879597</v>
          </cell>
          <cell r="Q135">
            <v>1.3738188096566</v>
          </cell>
          <cell r="U135">
            <v>-3.0271605115340799E-2</v>
          </cell>
          <cell r="V135">
            <v>7.3365947367744098E-3</v>
          </cell>
          <cell r="W135">
            <v>-1.53172641538244E-3</v>
          </cell>
          <cell r="Y135">
            <v>1.3338063878300499</v>
          </cell>
          <cell r="Z135">
            <v>1.38492992879597</v>
          </cell>
          <cell r="AA135">
            <v>1.3738188096566</v>
          </cell>
          <cell r="AE135">
            <v>-3.0271605115340799E-2</v>
          </cell>
          <cell r="AF135">
            <v>7.3365947367744098E-3</v>
          </cell>
          <cell r="AG135">
            <v>-1.53172641538244E-3</v>
          </cell>
          <cell r="AR135">
            <v>2.4277792994517357E-2</v>
          </cell>
          <cell r="BC135">
            <v>6.8949443174665684E-2</v>
          </cell>
          <cell r="BF135">
            <v>9.3227236169183048E-2</v>
          </cell>
        </row>
        <row r="136">
          <cell r="O136">
            <v>1.3338063878300499</v>
          </cell>
          <cell r="P136">
            <v>1.38359484323895</v>
          </cell>
          <cell r="Q136">
            <v>1.37435991654918</v>
          </cell>
          <cell r="U136">
            <v>-2.6961022834337801E-2</v>
          </cell>
          <cell r="V136">
            <v>1.0651722197076999E-2</v>
          </cell>
          <cell r="W136">
            <v>2.5964911680245099E-3</v>
          </cell>
          <cell r="Y136">
            <v>1.3338063878300499</v>
          </cell>
          <cell r="Z136">
            <v>1.38359484323895</v>
          </cell>
          <cell r="AA136">
            <v>1.37435991654918</v>
          </cell>
          <cell r="AE136">
            <v>-2.6961022834337801E-2</v>
          </cell>
          <cell r="AF136">
            <v>1.0651722197076999E-2</v>
          </cell>
          <cell r="AG136">
            <v>2.5964911680245099E-3</v>
          </cell>
          <cell r="AR136">
            <v>2.4277792994517357E-2</v>
          </cell>
          <cell r="BC136">
            <v>6.8949443174665684E-2</v>
          </cell>
          <cell r="BF136">
            <v>9.3227236169183048E-2</v>
          </cell>
        </row>
        <row r="137">
          <cell r="O137">
            <v>1.3338063878300499</v>
          </cell>
          <cell r="P137">
            <v>1.38167264631749</v>
          </cell>
          <cell r="Q137">
            <v>1.37486822744104</v>
          </cell>
          <cell r="U137">
            <v>-2.8047808861360098E-2</v>
          </cell>
          <cell r="V137">
            <v>8.6004617510478804E-3</v>
          </cell>
          <cell r="W137">
            <v>1.9034982334364E-3</v>
          </cell>
          <cell r="Y137">
            <v>1.3338063878300499</v>
          </cell>
          <cell r="Z137">
            <v>1.38167264631749</v>
          </cell>
          <cell r="AA137">
            <v>1.37486822744104</v>
          </cell>
          <cell r="AE137">
            <v>-2.8047808861360098E-2</v>
          </cell>
          <cell r="AF137">
            <v>8.6004617510478804E-3</v>
          </cell>
          <cell r="AG137">
            <v>1.9034982334364E-3</v>
          </cell>
          <cell r="AR137">
            <v>2.4277792994517357E-2</v>
          </cell>
          <cell r="BC137">
            <v>6.8949443174665684E-2</v>
          </cell>
          <cell r="BF137">
            <v>9.3227236169183048E-2</v>
          </cell>
        </row>
        <row r="138">
          <cell r="O138">
            <v>1.3338063878300499</v>
          </cell>
          <cell r="P138">
            <v>1.38013113902019</v>
          </cell>
          <cell r="Q138">
            <v>1.3752115159951099</v>
          </cell>
          <cell r="U138">
            <v>-3.01085176472611E-2</v>
          </cell>
          <cell r="V138">
            <v>5.1495097150300101E-3</v>
          </cell>
          <cell r="W138">
            <v>2.1257388958517701E-4</v>
          </cell>
          <cell r="Y138">
            <v>1.3338063878300499</v>
          </cell>
          <cell r="Z138">
            <v>1.38013113902019</v>
          </cell>
          <cell r="AA138">
            <v>1.3752115159951099</v>
          </cell>
          <cell r="AE138">
            <v>-3.01085176472611E-2</v>
          </cell>
          <cell r="AF138">
            <v>5.1495097150300101E-3</v>
          </cell>
          <cell r="AG138">
            <v>2.1257388958517701E-4</v>
          </cell>
          <cell r="AR138">
            <v>2.4277792994517357E-2</v>
          </cell>
          <cell r="BC138">
            <v>6.8949443174665684E-2</v>
          </cell>
          <cell r="BF138">
            <v>9.3227236169183048E-2</v>
          </cell>
        </row>
        <row r="139">
          <cell r="O139">
            <v>1.3338063878300499</v>
          </cell>
          <cell r="P139">
            <v>1.3788427435452699</v>
          </cell>
          <cell r="Q139">
            <v>1.3759833912008701</v>
          </cell>
          <cell r="U139">
            <v>-2.8617601906886701E-2</v>
          </cell>
          <cell r="V139">
            <v>5.5241206219006399E-3</v>
          </cell>
          <cell r="W139">
            <v>1.9531467947599399E-3</v>
          </cell>
          <cell r="Y139">
            <v>1.3338063878300499</v>
          </cell>
          <cell r="Z139">
            <v>1.3788427435452699</v>
          </cell>
          <cell r="AA139">
            <v>1.3759833912008701</v>
          </cell>
          <cell r="AE139">
            <v>-2.8617601906886701E-2</v>
          </cell>
          <cell r="AF139">
            <v>5.5241206219006399E-3</v>
          </cell>
          <cell r="AG139">
            <v>1.9531467947599399E-3</v>
          </cell>
          <cell r="AR139">
            <v>2.4277792994517357E-2</v>
          </cell>
          <cell r="BC139">
            <v>6.8949443174665684E-2</v>
          </cell>
          <cell r="BF139">
            <v>9.3227236169183048E-2</v>
          </cell>
        </row>
        <row r="140">
          <cell r="O140">
            <v>1.3338063878300499</v>
          </cell>
          <cell r="P140">
            <v>1.3766437928774999</v>
          </cell>
          <cell r="Q140">
            <v>1.3762419186096599</v>
          </cell>
          <cell r="U140">
            <v>-2.5565120815856698E-2</v>
          </cell>
          <cell r="V140">
            <v>7.6426345038037996E-3</v>
          </cell>
          <cell r="W140">
            <v>5.5667478733193903E-3</v>
          </cell>
          <cell r="Y140">
            <v>1.3338063878300499</v>
          </cell>
          <cell r="Z140">
            <v>1.3766437928774999</v>
          </cell>
          <cell r="AA140">
            <v>1.3762419186096599</v>
          </cell>
          <cell r="AE140">
            <v>-2.5565120815856698E-2</v>
          </cell>
          <cell r="AF140">
            <v>7.6426345038037996E-3</v>
          </cell>
          <cell r="AG140">
            <v>5.5667478733193903E-3</v>
          </cell>
          <cell r="AR140">
            <v>2.4277792994517357E-2</v>
          </cell>
          <cell r="BC140">
            <v>6.8949443174665684E-2</v>
          </cell>
          <cell r="BF140">
            <v>9.3227236169183048E-2</v>
          </cell>
        </row>
        <row r="141">
          <cell r="O141">
            <v>1.3338063878300499</v>
          </cell>
          <cell r="P141">
            <v>1.37649201706321</v>
          </cell>
          <cell r="Q141">
            <v>1.3787228451160201</v>
          </cell>
          <cell r="U141">
            <v>-3.3812179203318297E-2</v>
          </cell>
          <cell r="V141">
            <v>-2.2004767806668201E-3</v>
          </cell>
          <cell r="W141">
            <v>-2.4924426033072601E-3</v>
          </cell>
          <cell r="Y141">
            <v>1.3338063878300499</v>
          </cell>
          <cell r="Z141">
            <v>1.37649201706321</v>
          </cell>
          <cell r="AA141">
            <v>1.3787228451160201</v>
          </cell>
          <cell r="AE141">
            <v>-3.3812179203318297E-2</v>
          </cell>
          <cell r="AF141">
            <v>-2.2004767806668201E-3</v>
          </cell>
          <cell r="AG141">
            <v>-2.4924426033072601E-3</v>
          </cell>
          <cell r="AR141">
            <v>2.4277792994517357E-2</v>
          </cell>
          <cell r="BC141">
            <v>6.8949443174665684E-2</v>
          </cell>
          <cell r="BF141">
            <v>9.3227236169183048E-2</v>
          </cell>
        </row>
        <row r="142">
          <cell r="O142">
            <v>1.3338063878300499</v>
          </cell>
          <cell r="P142">
            <v>1.3761340318969399</v>
          </cell>
          <cell r="Q142">
            <v>1.37980177402216</v>
          </cell>
          <cell r="U142">
            <v>-3.1670691287527697E-2</v>
          </cell>
          <cell r="V142">
            <v>-1.6924555028595799E-4</v>
          </cell>
          <cell r="W142">
            <v>1.45010441107193E-3</v>
          </cell>
          <cell r="Y142">
            <v>1.3338063878300499</v>
          </cell>
          <cell r="Z142">
            <v>1.3761340318969399</v>
          </cell>
          <cell r="AA142">
            <v>1.37980177402216</v>
          </cell>
          <cell r="AE142">
            <v>-3.1670691287527697E-2</v>
          </cell>
          <cell r="AF142">
            <v>-1.6924555028595799E-4</v>
          </cell>
          <cell r="AG142">
            <v>1.45010441107193E-3</v>
          </cell>
          <cell r="AR142">
            <v>2.4277792994517357E-2</v>
          </cell>
          <cell r="BC142">
            <v>6.8949443174665684E-2</v>
          </cell>
          <cell r="BF142">
            <v>9.3227236169183048E-2</v>
          </cell>
        </row>
        <row r="143">
          <cell r="O143">
            <v>1.3338063878300499</v>
          </cell>
          <cell r="P143">
            <v>1.3757828191786201</v>
          </cell>
          <cell r="Q143">
            <v>1.3799770797981099</v>
          </cell>
          <cell r="U143">
            <v>-3.44732700361364E-2</v>
          </cell>
          <cell r="V143">
            <v>-3.2319287678040298E-3</v>
          </cell>
          <cell r="W143">
            <v>-5.7022359837866001E-4</v>
          </cell>
          <cell r="Y143">
            <v>1.3338063878300499</v>
          </cell>
          <cell r="Z143">
            <v>1.3757828191786201</v>
          </cell>
          <cell r="AA143">
            <v>1.3799770797981099</v>
          </cell>
          <cell r="AE143">
            <v>-3.44732700361364E-2</v>
          </cell>
          <cell r="AF143">
            <v>-3.2319287678040298E-3</v>
          </cell>
          <cell r="AG143">
            <v>-5.7022359837866001E-4</v>
          </cell>
          <cell r="AR143">
            <v>2.4277792994517357E-2</v>
          </cell>
          <cell r="BC143">
            <v>6.8949443174665684E-2</v>
          </cell>
          <cell r="BF143">
            <v>9.3227236169183048E-2</v>
          </cell>
        </row>
        <row r="144">
          <cell r="O144">
            <v>1.3338063878300499</v>
          </cell>
          <cell r="P144">
            <v>1.37495265203242</v>
          </cell>
          <cell r="Q144">
            <v>1.3799381430439299</v>
          </cell>
          <cell r="U144">
            <v>-3.4252783679277699E-2</v>
          </cell>
          <cell r="V144">
            <v>-3.2666919255443499E-3</v>
          </cell>
          <cell r="W144">
            <v>-2.22693890964001E-4</v>
          </cell>
          <cell r="Y144">
            <v>1.3338063878300499</v>
          </cell>
          <cell r="Z144">
            <v>1.37495265203242</v>
          </cell>
          <cell r="AA144">
            <v>1.3799381430439299</v>
          </cell>
          <cell r="AE144">
            <v>-3.4252783679277699E-2</v>
          </cell>
          <cell r="AF144">
            <v>-3.2666919255443499E-3</v>
          </cell>
          <cell r="AG144">
            <v>-2.22693890964001E-4</v>
          </cell>
          <cell r="AR144">
            <v>2.4277792994517357E-2</v>
          </cell>
          <cell r="BC144">
            <v>6.8949443174665684E-2</v>
          </cell>
          <cell r="BF144">
            <v>9.3227236169183048E-2</v>
          </cell>
        </row>
        <row r="145">
          <cell r="O145">
            <v>1.3338063878300499</v>
          </cell>
          <cell r="P145">
            <v>1.37573927349109</v>
          </cell>
          <cell r="Q145">
            <v>1.38033460114353</v>
          </cell>
          <cell r="U145">
            <v>-3.5977013064739903E-2</v>
          </cell>
          <cell r="V145">
            <v>-5.5945178255325098E-3</v>
          </cell>
          <cell r="W145">
            <v>-1.9751391823822099E-3</v>
          </cell>
          <cell r="Y145">
            <v>1.3338063878300499</v>
          </cell>
          <cell r="Z145">
            <v>1.37573927349109</v>
          </cell>
          <cell r="AA145">
            <v>1.38033460114353</v>
          </cell>
          <cell r="AE145">
            <v>-3.5977013064739903E-2</v>
          </cell>
          <cell r="AF145">
            <v>-5.5945178255325098E-3</v>
          </cell>
          <cell r="AG145">
            <v>-1.9751391823822099E-3</v>
          </cell>
          <cell r="AR145">
            <v>2.4277792994517357E-2</v>
          </cell>
          <cell r="BC145">
            <v>6.8949443174665684E-2</v>
          </cell>
          <cell r="BF145">
            <v>9.3227236169183048E-2</v>
          </cell>
        </row>
        <row r="146">
          <cell r="O146">
            <v>1.3338063878300499</v>
          </cell>
          <cell r="P146">
            <v>1.37722421280758</v>
          </cell>
          <cell r="Q146">
            <v>1.38040952802327</v>
          </cell>
          <cell r="U146">
            <v>-3.7739669460914997E-2</v>
          </cell>
          <cell r="V146">
            <v>-6.7852297790685998E-3</v>
          </cell>
          <cell r="W146">
            <v>-3.4505354857550601E-3</v>
          </cell>
          <cell r="Y146">
            <v>1.3338063878300499</v>
          </cell>
          <cell r="Z146">
            <v>1.37722421280758</v>
          </cell>
          <cell r="AA146">
            <v>1.38040952802327</v>
          </cell>
          <cell r="AE146">
            <v>-3.7739669460914997E-2</v>
          </cell>
          <cell r="AF146">
            <v>-6.7852297790685998E-3</v>
          </cell>
          <cell r="AG146">
            <v>-3.4505354857550601E-3</v>
          </cell>
          <cell r="AR146">
            <v>2.4277792994517357E-2</v>
          </cell>
          <cell r="BC146">
            <v>6.8949443174665684E-2</v>
          </cell>
          <cell r="BF146">
            <v>9.3227236169183048E-2</v>
          </cell>
        </row>
        <row r="147">
          <cell r="O147">
            <v>1.3338063878300499</v>
          </cell>
          <cell r="P147">
            <v>1.3777166810256301</v>
          </cell>
          <cell r="Q147">
            <v>1.3796946636715599</v>
          </cell>
          <cell r="U147">
            <v>-3.1631462213956997E-2</v>
          </cell>
          <cell r="V147">
            <v>4.0177089751380598E-4</v>
          </cell>
          <cell r="W147">
            <v>2.7119519670118701E-3</v>
          </cell>
          <cell r="Y147">
            <v>1.3338063878300499</v>
          </cell>
          <cell r="Z147">
            <v>1.3777166810256301</v>
          </cell>
          <cell r="AA147">
            <v>1.3796946636715599</v>
          </cell>
          <cell r="AE147">
            <v>-3.1631462213956997E-2</v>
          </cell>
          <cell r="AF147">
            <v>4.0177089751380598E-4</v>
          </cell>
          <cell r="AG147">
            <v>2.7119519670118701E-3</v>
          </cell>
          <cell r="AR147">
            <v>2.4277792994517357E-2</v>
          </cell>
          <cell r="BC147">
            <v>6.8949443174665684E-2</v>
          </cell>
          <cell r="BF147">
            <v>9.3227236169183048E-2</v>
          </cell>
        </row>
        <row r="148">
          <cell r="O148">
            <v>1.3338063878300499</v>
          </cell>
          <cell r="P148">
            <v>1.3784979141912801</v>
          </cell>
          <cell r="Q148">
            <v>1.3793145266057301</v>
          </cell>
          <cell r="U148">
            <v>-3.5775876119544997E-2</v>
          </cell>
          <cell r="V148">
            <v>-3.38512664581843E-3</v>
          </cell>
          <cell r="W148">
            <v>-1.95046004157719E-3</v>
          </cell>
          <cell r="Y148">
            <v>1.3338063878300499</v>
          </cell>
          <cell r="Z148">
            <v>1.3784979141912801</v>
          </cell>
          <cell r="AA148">
            <v>1.3793145266057301</v>
          </cell>
          <cell r="AE148">
            <v>-3.5775876119544997E-2</v>
          </cell>
          <cell r="AF148">
            <v>-3.38512664581843E-3</v>
          </cell>
          <cell r="AG148">
            <v>-1.95046004157719E-3</v>
          </cell>
          <cell r="AR148">
            <v>2.4277792994517357E-2</v>
          </cell>
          <cell r="BC148">
            <v>6.8949443174665684E-2</v>
          </cell>
          <cell r="BF148">
            <v>9.3227236169183048E-2</v>
          </cell>
        </row>
        <row r="149">
          <cell r="O149">
            <v>1.3338063878300499</v>
          </cell>
          <cell r="P149">
            <v>1.37890178338233</v>
          </cell>
          <cell r="Q149">
            <v>1.3788722634638</v>
          </cell>
          <cell r="U149">
            <v>-3.1555801449317397E-2</v>
          </cell>
          <cell r="V149">
            <v>1.4018365300581799E-3</v>
          </cell>
          <cell r="W149">
            <v>1.99405406178147E-3</v>
          </cell>
          <cell r="Y149">
            <v>1.3338063878300499</v>
          </cell>
          <cell r="Z149">
            <v>1.37890178338233</v>
          </cell>
          <cell r="AA149">
            <v>1.3788722634638</v>
          </cell>
          <cell r="AE149">
            <v>-3.1555801449317397E-2</v>
          </cell>
          <cell r="AF149">
            <v>1.4018365300581799E-3</v>
          </cell>
          <cell r="AG149">
            <v>1.99405406178147E-3</v>
          </cell>
          <cell r="AR149">
            <v>2.4277792994517357E-2</v>
          </cell>
          <cell r="BC149">
            <v>6.8949443174665684E-2</v>
          </cell>
          <cell r="BF149">
            <v>9.3227236169183048E-2</v>
          </cell>
        </row>
        <row r="150">
          <cell r="O150">
            <v>1.3338063878300499</v>
          </cell>
          <cell r="P150">
            <v>1.37971363710087</v>
          </cell>
          <cell r="Q150">
            <v>1.37817871498918</v>
          </cell>
          <cell r="U150">
            <v>-3.14806965140592E-2</v>
          </cell>
          <cell r="V150">
            <v>1.7698762866933701E-3</v>
          </cell>
          <cell r="W150">
            <v>1.7484677753147101E-3</v>
          </cell>
          <cell r="Y150">
            <v>1.3338063878300499</v>
          </cell>
          <cell r="Z150">
            <v>1.37971363710087</v>
          </cell>
          <cell r="AA150">
            <v>1.37817871498918</v>
          </cell>
          <cell r="AE150">
            <v>-3.14806965140592E-2</v>
          </cell>
          <cell r="AF150">
            <v>1.7698762866933701E-3</v>
          </cell>
          <cell r="AG150">
            <v>1.7484677753147101E-3</v>
          </cell>
          <cell r="AR150">
            <v>2.4277792994517357E-2</v>
          </cell>
          <cell r="BC150">
            <v>6.8949443174665684E-2</v>
          </cell>
          <cell r="BF150">
            <v>9.3227236169183048E-2</v>
          </cell>
        </row>
        <row r="151">
          <cell r="O151">
            <v>1.3338063878300499</v>
          </cell>
          <cell r="P151">
            <v>1.37977310826747</v>
          </cell>
          <cell r="Q151">
            <v>1.37813256266534</v>
          </cell>
          <cell r="U151">
            <v>-3.4243137888063699E-2</v>
          </cell>
          <cell r="V151">
            <v>-4.0397000011472E-4</v>
          </cell>
          <cell r="W151">
            <v>-1.51708253259179E-3</v>
          </cell>
          <cell r="Y151">
            <v>1.3338063878300499</v>
          </cell>
          <cell r="Z151">
            <v>1.37977310826747</v>
          </cell>
          <cell r="AA151">
            <v>1.37813256266534</v>
          </cell>
          <cell r="AE151">
            <v>-3.4243137888063699E-2</v>
          </cell>
          <cell r="AF151">
            <v>-4.0397000011472E-4</v>
          </cell>
          <cell r="AG151">
            <v>-1.51708253259179E-3</v>
          </cell>
          <cell r="AR151">
            <v>2.4277792994517357E-2</v>
          </cell>
          <cell r="BC151">
            <v>6.8949443174665684E-2</v>
          </cell>
          <cell r="BF151">
            <v>9.3227236169183048E-2</v>
          </cell>
        </row>
        <row r="152">
          <cell r="O152">
            <v>1.3338063878300499</v>
          </cell>
          <cell r="P152">
            <v>1.37939500976479</v>
          </cell>
          <cell r="Q152">
            <v>1.37776452083086</v>
          </cell>
          <cell r="U152">
            <v>-2.89205512641439E-2</v>
          </cell>
          <cell r="V152">
            <v>4.9617196875968803E-3</v>
          </cell>
          <cell r="W152">
            <v>3.7720156212676399E-3</v>
          </cell>
          <cell r="Y152">
            <v>1.3338063878300499</v>
          </cell>
          <cell r="Z152">
            <v>1.37939500976479</v>
          </cell>
          <cell r="AA152">
            <v>1.37776452083086</v>
          </cell>
          <cell r="AE152">
            <v>-2.89205512641439E-2</v>
          </cell>
          <cell r="AF152">
            <v>4.9617196875968803E-3</v>
          </cell>
          <cell r="AG152">
            <v>3.7720156212676399E-3</v>
          </cell>
          <cell r="AR152">
            <v>2.4277792994517357E-2</v>
          </cell>
          <cell r="BC152">
            <v>6.8949443174665684E-2</v>
          </cell>
          <cell r="BF152">
            <v>9.3227236169183048E-2</v>
          </cell>
        </row>
        <row r="153">
          <cell r="O153">
            <v>1.3338063878300499</v>
          </cell>
          <cell r="P153">
            <v>1.37994296023054</v>
          </cell>
          <cell r="Q153">
            <v>1.3778628897045799</v>
          </cell>
          <cell r="U153">
            <v>-3.8434376627171397E-2</v>
          </cell>
          <cell r="V153">
            <v>-4.82617270496556E-3</v>
          </cell>
          <cell r="W153">
            <v>-6.0089037772130703E-3</v>
          </cell>
          <cell r="Y153">
            <v>1.3338063878300499</v>
          </cell>
          <cell r="Z153">
            <v>1.37994296023054</v>
          </cell>
          <cell r="AA153">
            <v>1.3778628897045799</v>
          </cell>
          <cell r="AE153">
            <v>-3.8434376627171397E-2</v>
          </cell>
          <cell r="AF153">
            <v>-4.82617270496556E-3</v>
          </cell>
          <cell r="AG153">
            <v>-6.0089037772130703E-3</v>
          </cell>
          <cell r="AR153">
            <v>2.4277792994517357E-2</v>
          </cell>
          <cell r="BC153">
            <v>6.8949443174665684E-2</v>
          </cell>
          <cell r="BF153">
            <v>9.3227236169183048E-2</v>
          </cell>
        </row>
        <row r="154">
          <cell r="O154">
            <v>1.3338063878300499</v>
          </cell>
          <cell r="P154">
            <v>1.3789778143015501</v>
          </cell>
          <cell r="Q154">
            <v>1.3769652331669899</v>
          </cell>
          <cell r="U154">
            <v>-2.7235852590759699E-2</v>
          </cell>
          <cell r="V154">
            <v>6.7695121569134398E-3</v>
          </cell>
          <cell r="W154">
            <v>5.2610151606872196E-3</v>
          </cell>
          <cell r="Y154">
            <v>1.3338063878300499</v>
          </cell>
          <cell r="Z154">
            <v>1.3789778143015501</v>
          </cell>
          <cell r="AA154">
            <v>1.3769652331669899</v>
          </cell>
          <cell r="AE154">
            <v>-2.7235852590759699E-2</v>
          </cell>
          <cell r="AF154">
            <v>6.7695121569134398E-3</v>
          </cell>
          <cell r="AG154">
            <v>5.2610151606872196E-3</v>
          </cell>
          <cell r="AR154">
            <v>2.4277792994517357E-2</v>
          </cell>
          <cell r="BC154">
            <v>6.8949443174665684E-2</v>
          </cell>
          <cell r="BF154">
            <v>9.3227236169183048E-2</v>
          </cell>
        </row>
        <row r="155">
          <cell r="O155">
            <v>1.3338063878300499</v>
          </cell>
          <cell r="P155">
            <v>1.37706847117681</v>
          </cell>
          <cell r="Q155">
            <v>1.37640387233395</v>
          </cell>
          <cell r="U155">
            <v>-2.20716419361617E-2</v>
          </cell>
          <cell r="V155">
            <v>1.123406809343E-2</v>
          </cell>
          <cell r="W155">
            <v>9.7735288459467901E-3</v>
          </cell>
          <cell r="Y155">
            <v>1.3338063878300499</v>
          </cell>
          <cell r="Z155">
            <v>1.37706847117681</v>
          </cell>
          <cell r="AA155">
            <v>1.37640387233395</v>
          </cell>
          <cell r="AE155">
            <v>-2.20716419361617E-2</v>
          </cell>
          <cell r="AF155">
            <v>1.123406809343E-2</v>
          </cell>
          <cell r="AG155">
            <v>9.7735288459467901E-3</v>
          </cell>
          <cell r="AR155">
            <v>2.4277792994517357E-2</v>
          </cell>
          <cell r="BC155">
            <v>6.8949443174665684E-2</v>
          </cell>
          <cell r="BF155">
            <v>9.3227236169183048E-2</v>
          </cell>
        </row>
        <row r="156">
          <cell r="O156">
            <v>1.3338063878300499</v>
          </cell>
          <cell r="P156">
            <v>1.37480648989535</v>
          </cell>
          <cell r="Q156">
            <v>1.3760153513514699</v>
          </cell>
          <cell r="U156">
            <v>-2.1274104773142202E-2</v>
          </cell>
          <cell r="V156">
            <v>1.06460382285896E-2</v>
          </cell>
          <cell r="W156">
            <v>1.01633031415052E-2</v>
          </cell>
          <cell r="Y156">
            <v>1.3338063878300499</v>
          </cell>
          <cell r="Z156">
            <v>1.37480648989535</v>
          </cell>
          <cell r="AA156">
            <v>1.3760153513514699</v>
          </cell>
          <cell r="AE156">
            <v>-2.1274104773142202E-2</v>
          </cell>
          <cell r="AF156">
            <v>1.06460382285896E-2</v>
          </cell>
          <cell r="AG156">
            <v>1.01633031415052E-2</v>
          </cell>
          <cell r="AR156">
            <v>2.4277792994517357E-2</v>
          </cell>
          <cell r="BC156">
            <v>6.8949443174665684E-2</v>
          </cell>
          <cell r="BF156">
            <v>9.3227236169183048E-2</v>
          </cell>
        </row>
        <row r="157">
          <cell r="O157">
            <v>1.3338063878300499</v>
          </cell>
          <cell r="P157">
            <v>1.3743455987870401</v>
          </cell>
          <cell r="Q157">
            <v>1.3760311399063401</v>
          </cell>
          <cell r="U157">
            <v>-2.82779787953059E-2</v>
          </cell>
          <cell r="V157">
            <v>1.99820739669685E-3</v>
          </cell>
          <cell r="W157">
            <v>2.8771167581160099E-3</v>
          </cell>
          <cell r="Y157">
            <v>1.3338063878300499</v>
          </cell>
          <cell r="Z157">
            <v>1.3743455987870401</v>
          </cell>
          <cell r="AA157">
            <v>1.3760311399063401</v>
          </cell>
          <cell r="AE157">
            <v>-2.82779787953059E-2</v>
          </cell>
          <cell r="AF157">
            <v>1.99820739669685E-3</v>
          </cell>
          <cell r="AG157">
            <v>2.8771167581160099E-3</v>
          </cell>
          <cell r="AR157">
            <v>2.4277792994517357E-2</v>
          </cell>
          <cell r="BC157">
            <v>6.8949443174665684E-2</v>
          </cell>
          <cell r="BF157">
            <v>9.3227236169183048E-2</v>
          </cell>
        </row>
        <row r="158">
          <cell r="O158">
            <v>1.3338063878300499</v>
          </cell>
          <cell r="P158">
            <v>1.3730254354236999</v>
          </cell>
          <cell r="Q158">
            <v>1.3757616748074899</v>
          </cell>
          <cell r="U158">
            <v>-2.6180110192925599E-2</v>
          </cell>
          <cell r="V158">
            <v>3.7607790800557E-3</v>
          </cell>
          <cell r="W158">
            <v>4.98645940711587E-3</v>
          </cell>
          <cell r="Y158">
            <v>1.3338063878300499</v>
          </cell>
          <cell r="Z158">
            <v>1.3730254354236999</v>
          </cell>
          <cell r="AA158">
            <v>1.3757616748074899</v>
          </cell>
          <cell r="AE158">
            <v>-2.6180110192925599E-2</v>
          </cell>
          <cell r="AF158">
            <v>3.7607790800557E-3</v>
          </cell>
          <cell r="AG158">
            <v>4.98645940711587E-3</v>
          </cell>
          <cell r="AR158">
            <v>2.4277792994517357E-2</v>
          </cell>
          <cell r="BC158">
            <v>6.8949443174665684E-2</v>
          </cell>
          <cell r="BF158">
            <v>9.3227236169183048E-2</v>
          </cell>
        </row>
        <row r="159">
          <cell r="O159">
            <v>1.3338063878300499</v>
          </cell>
          <cell r="P159">
            <v>1.37282478235715</v>
          </cell>
          <cell r="Q159">
            <v>1.3758632828697399</v>
          </cell>
          <cell r="U159">
            <v>-3.0097104040305599E-2</v>
          </cell>
          <cell r="V159">
            <v>-1.1172523909347401E-3</v>
          </cell>
          <cell r="W159">
            <v>8.7361862077461503E-4</v>
          </cell>
          <cell r="Y159">
            <v>1.3338063878300499</v>
          </cell>
          <cell r="Z159">
            <v>1.37282478235715</v>
          </cell>
          <cell r="AA159">
            <v>1.3758632828697399</v>
          </cell>
          <cell r="AE159">
            <v>-3.0097104040305599E-2</v>
          </cell>
          <cell r="AF159">
            <v>-1.1172523909347401E-3</v>
          </cell>
          <cell r="AG159">
            <v>8.7361862077461503E-4</v>
          </cell>
          <cell r="AR159">
            <v>2.4277792994517357E-2</v>
          </cell>
          <cell r="BC159">
            <v>6.8949443174665684E-2</v>
          </cell>
          <cell r="BF159">
            <v>9.3227236169183048E-2</v>
          </cell>
        </row>
        <row r="160">
          <cell r="O160">
            <v>1.3338063878300499</v>
          </cell>
          <cell r="P160">
            <v>1.3711043052215599</v>
          </cell>
          <cell r="Q160">
            <v>1.3754089711612101</v>
          </cell>
          <cell r="U160">
            <v>-1.89026660752105E-2</v>
          </cell>
          <cell r="V160">
            <v>9.9310355288252106E-3</v>
          </cell>
          <cell r="W160">
            <v>1.21419097190976E-2</v>
          </cell>
          <cell r="Y160">
            <v>1.3338063878300499</v>
          </cell>
          <cell r="Z160">
            <v>1.3711043052215599</v>
          </cell>
          <cell r="AA160">
            <v>1.3754089711612101</v>
          </cell>
          <cell r="AE160">
            <v>-1.89026660752105E-2</v>
          </cell>
          <cell r="AF160">
            <v>9.9310355288252106E-3</v>
          </cell>
          <cell r="AG160">
            <v>1.21419097190976E-2</v>
          </cell>
          <cell r="AR160">
            <v>2.4277792994517357E-2</v>
          </cell>
          <cell r="BC160">
            <v>6.8949443174665684E-2</v>
          </cell>
          <cell r="BF160">
            <v>9.3227236169183048E-2</v>
          </cell>
        </row>
        <row r="161">
          <cell r="O161">
            <v>1.3338063878300499</v>
          </cell>
          <cell r="P161">
            <v>1.36910784530124</v>
          </cell>
          <cell r="Q161">
            <v>1.3744404767843601</v>
          </cell>
          <cell r="U161">
            <v>-1.9673251460663899E-2</v>
          </cell>
          <cell r="V161">
            <v>7.9064254902959097E-3</v>
          </cell>
          <cell r="W161">
            <v>1.10410686041438E-2</v>
          </cell>
          <cell r="Y161">
            <v>1.3338063878300499</v>
          </cell>
          <cell r="Z161">
            <v>1.36910784530124</v>
          </cell>
          <cell r="AA161">
            <v>1.3744404767843601</v>
          </cell>
          <cell r="AE161">
            <v>-1.9673251460663899E-2</v>
          </cell>
          <cell r="AF161">
            <v>7.9064254902959097E-3</v>
          </cell>
          <cell r="AG161">
            <v>1.10410686041438E-2</v>
          </cell>
          <cell r="AR161">
            <v>2.4277792994517357E-2</v>
          </cell>
          <cell r="BC161">
            <v>6.8949443174665684E-2</v>
          </cell>
          <cell r="BF161">
            <v>9.3227236169183048E-2</v>
          </cell>
        </row>
        <row r="162">
          <cell r="O162">
            <v>1.3338063878300499</v>
          </cell>
          <cell r="P162">
            <v>1.3678586544278399</v>
          </cell>
          <cell r="Q162">
            <v>1.3736268320963101</v>
          </cell>
          <cell r="U162">
            <v>-1.9780276578963901E-2</v>
          </cell>
          <cell r="V162">
            <v>6.3422429229324298E-3</v>
          </cell>
          <cell r="W162">
            <v>1.0229645346791501E-2</v>
          </cell>
          <cell r="Y162">
            <v>1.3338063878300499</v>
          </cell>
          <cell r="Z162">
            <v>1.3678586544278399</v>
          </cell>
          <cell r="AA162">
            <v>1.3736268320963101</v>
          </cell>
          <cell r="AE162">
            <v>-1.9780276578963901E-2</v>
          </cell>
          <cell r="AF162">
            <v>6.3422429229324298E-3</v>
          </cell>
          <cell r="AG162">
            <v>1.0229645346791501E-2</v>
          </cell>
          <cell r="AR162">
            <v>2.4277792994517357E-2</v>
          </cell>
          <cell r="BC162">
            <v>6.8949443174665684E-2</v>
          </cell>
          <cell r="BF162">
            <v>9.3227236169183048E-2</v>
          </cell>
        </row>
        <row r="163">
          <cell r="O163">
            <v>1.3338063878300499</v>
          </cell>
          <cell r="P163">
            <v>1.3657940260479</v>
          </cell>
          <cell r="Q163">
            <v>1.3728684931392201</v>
          </cell>
          <cell r="U163">
            <v>-2.3426748790487398E-2</v>
          </cell>
          <cell r="V163">
            <v>1.7829418841130899E-3</v>
          </cell>
          <cell r="W163">
            <v>5.9910153600998004E-3</v>
          </cell>
          <cell r="Y163">
            <v>1.3338063878300499</v>
          </cell>
          <cell r="Z163">
            <v>1.3657940260479</v>
          </cell>
          <cell r="AA163">
            <v>1.3728684931392201</v>
          </cell>
          <cell r="AE163">
            <v>-2.3426748790487398E-2</v>
          </cell>
          <cell r="AF163">
            <v>1.7829418841130899E-3</v>
          </cell>
          <cell r="AG163">
            <v>5.9910153600998004E-3</v>
          </cell>
          <cell r="AR163">
            <v>2.4277792994517357E-2</v>
          </cell>
          <cell r="BC163">
            <v>6.8949443174665684E-2</v>
          </cell>
          <cell r="BF163">
            <v>9.3227236169183048E-2</v>
          </cell>
        </row>
        <row r="164">
          <cell r="O164">
            <v>1.3338063878300499</v>
          </cell>
          <cell r="P164">
            <v>1.36403013520713</v>
          </cell>
          <cell r="Q164">
            <v>1.37150397475434</v>
          </cell>
          <cell r="U164">
            <v>-1.4283157637463699E-2</v>
          </cell>
          <cell r="V164">
            <v>9.4160055387055401E-3</v>
          </cell>
          <cell r="W164">
            <v>1.45823834895503E-2</v>
          </cell>
          <cell r="Y164">
            <v>1.3338063878300499</v>
          </cell>
          <cell r="Z164">
            <v>1.36403013520713</v>
          </cell>
          <cell r="AA164">
            <v>1.37150397475434</v>
          </cell>
          <cell r="AE164">
            <v>-1.4283157637463699E-2</v>
          </cell>
          <cell r="AF164">
            <v>9.4160055387055401E-3</v>
          </cell>
          <cell r="AG164">
            <v>1.45823834895503E-2</v>
          </cell>
          <cell r="AR164">
            <v>2.4277792994517357E-2</v>
          </cell>
          <cell r="BC164">
            <v>6.8949443174665684E-2</v>
          </cell>
          <cell r="BF164">
            <v>9.3227236169183048E-2</v>
          </cell>
        </row>
        <row r="165">
          <cell r="O165">
            <v>1.3338063878300499</v>
          </cell>
          <cell r="P165">
            <v>1.36193442089548</v>
          </cell>
          <cell r="Q165">
            <v>1.3695014460361401</v>
          </cell>
          <cell r="U165">
            <v>-6.5830241260703198E-3</v>
          </cell>
          <cell r="V165">
            <v>1.58238279105824E-2</v>
          </cell>
          <cell r="W165">
            <v>2.1288104971757201E-2</v>
          </cell>
          <cell r="Y165">
            <v>1.3338063878300499</v>
          </cell>
          <cell r="Z165">
            <v>1.36193442089548</v>
          </cell>
          <cell r="AA165">
            <v>1.3695014460361401</v>
          </cell>
          <cell r="AE165">
            <v>-6.5830241260703198E-3</v>
          </cell>
          <cell r="AF165">
            <v>1.58238279105824E-2</v>
          </cell>
          <cell r="AG165">
            <v>2.1288104971757201E-2</v>
          </cell>
          <cell r="AR165">
            <v>2.4277792994517357E-2</v>
          </cell>
          <cell r="BC165">
            <v>6.8949443174665684E-2</v>
          </cell>
          <cell r="BF165">
            <v>9.3227236169183048E-2</v>
          </cell>
        </row>
        <row r="166">
          <cell r="O166">
            <v>1.3338063878300499</v>
          </cell>
          <cell r="P166">
            <v>1.36026553090942</v>
          </cell>
          <cell r="Q166">
            <v>1.3675360104023899</v>
          </cell>
          <cell r="U166">
            <v>-8.9496086891679705E-3</v>
          </cell>
          <cell r="V166">
            <v>1.1919648355761901E-2</v>
          </cell>
          <cell r="W166">
            <v>1.7460356516541101E-2</v>
          </cell>
          <cell r="Y166">
            <v>1.3338063878300499</v>
          </cell>
          <cell r="Z166">
            <v>1.36026553090942</v>
          </cell>
          <cell r="AA166">
            <v>1.3675360104023899</v>
          </cell>
          <cell r="AE166">
            <v>-8.9496086891679705E-3</v>
          </cell>
          <cell r="AF166">
            <v>1.1919648355761901E-2</v>
          </cell>
          <cell r="AG166">
            <v>1.7460356516541101E-2</v>
          </cell>
          <cell r="AR166">
            <v>2.4277792994517357E-2</v>
          </cell>
          <cell r="BC166">
            <v>7.1316027737763327E-2</v>
          </cell>
          <cell r="BF166">
            <v>9.5593820732280704E-2</v>
          </cell>
        </row>
        <row r="167">
          <cell r="O167">
            <v>1.3338063878300499</v>
          </cell>
          <cell r="P167">
            <v>1.3586820443578</v>
          </cell>
          <cell r="Q167">
            <v>1.36651382157242</v>
          </cell>
          <cell r="U167">
            <v>-1.6669940523002202E-2</v>
          </cell>
          <cell r="V167">
            <v>2.9731830822908299E-3</v>
          </cell>
          <cell r="W167">
            <v>8.3038470615646696E-3</v>
          </cell>
          <cell r="Y167">
            <v>1.3338063878300499</v>
          </cell>
          <cell r="Z167">
            <v>1.3586820443578</v>
          </cell>
          <cell r="AA167">
            <v>1.36651382157242</v>
          </cell>
          <cell r="AE167">
            <v>-1.6669940523002202E-2</v>
          </cell>
          <cell r="AF167">
            <v>2.9731830822908299E-3</v>
          </cell>
          <cell r="AG167">
            <v>8.3038470615646696E-3</v>
          </cell>
          <cell r="AR167">
            <v>2.4277792994517357E-2</v>
          </cell>
          <cell r="BC167">
            <v>7.9036359571597326E-2</v>
          </cell>
          <cell r="BF167">
            <v>0.1033141525661147</v>
          </cell>
        </row>
        <row r="168">
          <cell r="O168">
            <v>1.3338063878300499</v>
          </cell>
          <cell r="P168">
            <v>1.3561228789461699</v>
          </cell>
          <cell r="Q168">
            <v>1.3645741571849399</v>
          </cell>
          <cell r="U168">
            <v>-7.3120877575476896E-3</v>
          </cell>
          <cell r="V168">
            <v>1.1166256691980099E-2</v>
          </cell>
          <cell r="W168">
            <v>1.6913952755523199E-2</v>
          </cell>
          <cell r="Y168">
            <v>1.3338063878300499</v>
          </cell>
          <cell r="Z168">
            <v>1.3561228789461699</v>
          </cell>
          <cell r="AA168">
            <v>1.3645741571849399</v>
          </cell>
          <cell r="AE168">
            <v>-7.3120877575476896E-3</v>
          </cell>
          <cell r="AF168">
            <v>1.1166256691980099E-2</v>
          </cell>
          <cell r="AG168">
            <v>1.6913952755523199E-2</v>
          </cell>
          <cell r="AR168">
            <v>2.4277792994517357E-2</v>
          </cell>
          <cell r="BC168">
            <v>6.9678506806143001E-2</v>
          </cell>
          <cell r="BF168">
            <v>9.3956299800660378E-2</v>
          </cell>
        </row>
        <row r="169">
          <cell r="O169">
            <v>1.3338063878300499</v>
          </cell>
          <cell r="P169">
            <v>1.3533038826488299</v>
          </cell>
          <cell r="Q169">
            <v>1.3630643325029901</v>
          </cell>
          <cell r="U169">
            <v>-9.3755383412288396E-3</v>
          </cell>
          <cell r="V169">
            <v>7.2174653622929701E-3</v>
          </cell>
          <cell r="W169">
            <v>1.34300684628583E-2</v>
          </cell>
          <cell r="Y169">
            <v>1.3338063878300499</v>
          </cell>
          <cell r="Z169">
            <v>1.3533038826488299</v>
          </cell>
          <cell r="AA169">
            <v>1.3630643325029901</v>
          </cell>
          <cell r="AE169">
            <v>-9.3755383412288396E-3</v>
          </cell>
          <cell r="AF169">
            <v>7.2174653622929701E-3</v>
          </cell>
          <cell r="AG169">
            <v>1.34300684628583E-2</v>
          </cell>
          <cell r="AR169">
            <v>2.4277792994517357E-2</v>
          </cell>
          <cell r="BC169">
            <v>7.1741957389824071E-2</v>
          </cell>
          <cell r="BF169">
            <v>9.6019750384341448E-2</v>
          </cell>
        </row>
        <row r="170">
          <cell r="O170">
            <v>1.3338063878300499</v>
          </cell>
          <cell r="P170">
            <v>1.3535060756855</v>
          </cell>
          <cell r="Q170">
            <v>1.3623051904535299</v>
          </cell>
          <cell r="U170">
            <v>-2.0389085138503099E-2</v>
          </cell>
          <cell r="V170">
            <v>-5.8769624202194897E-3</v>
          </cell>
          <cell r="W170">
            <v>1.3094652562720499E-3</v>
          </cell>
          <cell r="Y170">
            <v>1.3338063878300499</v>
          </cell>
          <cell r="Z170">
            <v>1.3535060756855</v>
          </cell>
          <cell r="AA170">
            <v>1.3623051904535299</v>
          </cell>
          <cell r="AE170">
            <v>-2.0389085138503099E-2</v>
          </cell>
          <cell r="AF170">
            <v>-5.8769624202194897E-3</v>
          </cell>
          <cell r="AG170">
            <v>1.3094652562720499E-3</v>
          </cell>
          <cell r="AR170">
            <v>2.4277792994517357E-2</v>
          </cell>
          <cell r="BC170">
            <v>8.2755504187098178E-2</v>
          </cell>
          <cell r="BF170">
            <v>0.10703329718161556</v>
          </cell>
        </row>
        <row r="171">
          <cell r="O171">
            <v>1.3338063878300499</v>
          </cell>
          <cell r="P171">
            <v>1.35299045473838</v>
          </cell>
          <cell r="Q171">
            <v>1.3610491500198101</v>
          </cell>
          <cell r="U171">
            <v>-1.5875573194992599E-2</v>
          </cell>
          <cell r="V171">
            <v>-1.21405466380378E-3</v>
          </cell>
          <cell r="W171">
            <v>5.2658842531585603E-3</v>
          </cell>
          <cell r="Y171">
            <v>1.3338063878300499</v>
          </cell>
          <cell r="Z171">
            <v>1.35299045473838</v>
          </cell>
          <cell r="AA171">
            <v>1.3610491500198101</v>
          </cell>
          <cell r="AE171">
            <v>-1.5875573194992599E-2</v>
          </cell>
          <cell r="AF171">
            <v>-1.21405466380378E-3</v>
          </cell>
          <cell r="AG171">
            <v>5.2658842531585603E-3</v>
          </cell>
          <cell r="AR171">
            <v>2.4277792994517357E-2</v>
          </cell>
          <cell r="BC171">
            <v>8.2755504187098178E-2</v>
          </cell>
          <cell r="BF171">
            <v>0.10703329718161556</v>
          </cell>
        </row>
        <row r="172">
          <cell r="O172">
            <v>1.3338063878300499</v>
          </cell>
          <cell r="P172">
            <v>1.3514329906882401</v>
          </cell>
          <cell r="Q172">
            <v>1.3596458225580399</v>
          </cell>
          <cell r="U172">
            <v>-8.2661063950783195E-3</v>
          </cell>
          <cell r="V172">
            <v>6.0143874811244896E-3</v>
          </cell>
          <cell r="W172">
            <v>1.1952929387912901E-2</v>
          </cell>
          <cell r="Y172">
            <v>1.3338063878300499</v>
          </cell>
          <cell r="Z172">
            <v>1.3514329906882401</v>
          </cell>
          <cell r="AA172">
            <v>1.3596458225580399</v>
          </cell>
          <cell r="AE172">
            <v>-8.2661063950783195E-3</v>
          </cell>
          <cell r="AF172">
            <v>6.0143874811244896E-3</v>
          </cell>
          <cell r="AG172">
            <v>1.1952929387912901E-2</v>
          </cell>
          <cell r="AR172">
            <v>2.4277792994517357E-2</v>
          </cell>
          <cell r="BC172">
            <v>8.2755504187098178E-2</v>
          </cell>
          <cell r="BF172">
            <v>0.10703329718161556</v>
          </cell>
        </row>
        <row r="173">
          <cell r="O173">
            <v>1.3338063878300499</v>
          </cell>
          <cell r="P173">
            <v>1.3492335283705701</v>
          </cell>
          <cell r="Q173">
            <v>1.3575137772092301</v>
          </cell>
          <cell r="U173">
            <v>-7.1873030018283499E-3</v>
          </cell>
          <cell r="V173">
            <v>5.9414006656661501E-3</v>
          </cell>
          <cell r="W173">
            <v>1.20001378391584E-2</v>
          </cell>
          <cell r="Y173">
            <v>1.3338063878300499</v>
          </cell>
          <cell r="Z173">
            <v>1.3492335283705701</v>
          </cell>
          <cell r="AA173">
            <v>1.3575137772092301</v>
          </cell>
          <cell r="AE173">
            <v>-7.1873030018283499E-3</v>
          </cell>
          <cell r="AF173">
            <v>5.9414006656661501E-3</v>
          </cell>
          <cell r="AG173">
            <v>1.20001378391584E-2</v>
          </cell>
          <cell r="AR173">
            <v>2.4277792994517357E-2</v>
          </cell>
          <cell r="BC173">
            <v>8.2755504187098178E-2</v>
          </cell>
          <cell r="BF173">
            <v>0.10703329718161556</v>
          </cell>
        </row>
        <row r="174">
          <cell r="O174">
            <v>1.3338063878300499</v>
          </cell>
          <cell r="P174">
            <v>1.3484309805447501</v>
          </cell>
          <cell r="Q174">
            <v>1.3562305578759399</v>
          </cell>
          <cell r="U174">
            <v>-8.33385217819008E-3</v>
          </cell>
          <cell r="V174">
            <v>3.16602187378221E-3</v>
          </cell>
          <cell r="W174">
            <v>9.2842691524184194E-3</v>
          </cell>
          <cell r="Y174">
            <v>1.3338063878300499</v>
          </cell>
          <cell r="Z174">
            <v>1.3484309805447501</v>
          </cell>
          <cell r="AA174">
            <v>1.3562305578759399</v>
          </cell>
          <cell r="AE174">
            <v>-8.33385217819008E-3</v>
          </cell>
          <cell r="AF174">
            <v>3.16602187378221E-3</v>
          </cell>
          <cell r="AG174">
            <v>9.2842691524184194E-3</v>
          </cell>
          <cell r="AR174">
            <v>2.4277792994517357E-2</v>
          </cell>
          <cell r="BC174">
            <v>8.2755504187098178E-2</v>
          </cell>
          <cell r="BF174">
            <v>0.10703329718161556</v>
          </cell>
        </row>
        <row r="175">
          <cell r="O175">
            <v>1.3338063878300499</v>
          </cell>
          <cell r="P175">
            <v>1.34849458331326</v>
          </cell>
          <cell r="Q175">
            <v>1.35521450210437</v>
          </cell>
          <cell r="U175">
            <v>-7.0566347204965201E-3</v>
          </cell>
          <cell r="V175">
            <v>3.8482447746324101E-3</v>
          </cell>
          <cell r="W175">
            <v>9.6157678757816702E-3</v>
          </cell>
          <cell r="Y175">
            <v>1.3338063878300499</v>
          </cell>
          <cell r="Z175">
            <v>1.34849458331326</v>
          </cell>
          <cell r="AA175">
            <v>1.35521450210437</v>
          </cell>
          <cell r="AE175">
            <v>-7.0566347204965201E-3</v>
          </cell>
          <cell r="AF175">
            <v>3.8482447746324101E-3</v>
          </cell>
          <cell r="AG175">
            <v>9.6157678757816702E-3</v>
          </cell>
          <cell r="AR175">
            <v>2.4277792994517357E-2</v>
          </cell>
          <cell r="BC175">
            <v>8.2755504187098178E-2</v>
          </cell>
          <cell r="BF175">
            <v>0.10703329718161556</v>
          </cell>
        </row>
        <row r="176">
          <cell r="O176">
            <v>1.3338063878300499</v>
          </cell>
          <cell r="P176">
            <v>1.34729651858954</v>
          </cell>
          <cell r="Q176">
            <v>1.3537810247494799</v>
          </cell>
          <cell r="U176">
            <v>-7.4775570452221803E-6</v>
          </cell>
          <cell r="V176">
            <v>1.0944568807928099E-2</v>
          </cell>
          <cell r="W176">
            <v>1.59154679809855E-2</v>
          </cell>
          <cell r="Y176">
            <v>1.3338063878300499</v>
          </cell>
          <cell r="Z176">
            <v>1.34729651858954</v>
          </cell>
          <cell r="AA176">
            <v>1.3537810247494799</v>
          </cell>
          <cell r="AE176">
            <v>-7.4775570452221803E-6</v>
          </cell>
          <cell r="AF176">
            <v>1.0944568807928099E-2</v>
          </cell>
          <cell r="AG176">
            <v>1.59154679809855E-2</v>
          </cell>
          <cell r="AR176">
            <v>2.4277792994517357E-2</v>
          </cell>
          <cell r="BC176">
            <v>8.2755504187098178E-2</v>
          </cell>
          <cell r="BF176">
            <v>0.10703329718161556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E036D-9A70-4A57-AF63-97D102F5E586}">
  <dimension ref="A1:DT179"/>
  <sheetViews>
    <sheetView tabSelected="1" workbookViewId="0">
      <selection activeCell="I1" sqref="I1"/>
    </sheetView>
  </sheetViews>
  <sheetFormatPr defaultRowHeight="15" x14ac:dyDescent="0.25"/>
  <cols>
    <col min="1" max="1" width="9.42578125" bestFit="1" customWidth="1"/>
    <col min="2" max="3" width="11" style="21" bestFit="1" customWidth="1"/>
    <col min="4" max="4" width="9.85546875" style="22" bestFit="1" customWidth="1"/>
    <col min="5" max="5" width="10.7109375" style="22" bestFit="1" customWidth="1"/>
    <col min="6" max="6" width="9" style="21" bestFit="1" customWidth="1"/>
    <col min="7" max="7" width="16.5703125" style="21" bestFit="1" customWidth="1"/>
    <col min="8" max="8" width="9.140625" style="21" bestFit="1"/>
    <col min="9" max="9" width="17.5703125" style="21" bestFit="1" customWidth="1"/>
    <col min="10" max="10" width="19.28515625" style="21" bestFit="1" customWidth="1"/>
    <col min="11" max="11" width="20.140625" style="21" bestFit="1" customWidth="1"/>
    <col min="12" max="13" width="11" style="21" bestFit="1" customWidth="1"/>
    <col min="14" max="14" width="9.42578125" style="23" bestFit="1" customWidth="1"/>
    <col min="15" max="15" width="12.85546875" style="23" bestFit="1" customWidth="1"/>
    <col min="16" max="17" width="16.28515625" style="23" bestFit="1" customWidth="1"/>
    <col min="18" max="18" width="11" style="21" bestFit="1" customWidth="1"/>
    <col min="19" max="20" width="13.42578125" style="21" bestFit="1" customWidth="1"/>
    <col min="21" max="21" width="20.7109375" style="22" bestFit="1" customWidth="1"/>
    <col min="22" max="23" width="24.140625" style="22" bestFit="1" customWidth="1"/>
    <col min="24" max="24" width="11.42578125" style="23" bestFit="1" customWidth="1"/>
    <col min="25" max="25" width="15" style="23" bestFit="1" customWidth="1"/>
    <col min="26" max="27" width="18.42578125" style="23" bestFit="1" customWidth="1"/>
    <col min="28" max="28" width="11" style="21" bestFit="1" customWidth="1"/>
    <col min="29" max="30" width="14.42578125" style="21" bestFit="1" customWidth="1"/>
    <col min="31" max="31" width="22.85546875" style="22" bestFit="1" customWidth="1"/>
    <col min="32" max="33" width="26.28515625" style="22" bestFit="1" customWidth="1"/>
    <col min="34" max="34" width="1.7109375" style="26" customWidth="1"/>
    <col min="35" max="35" width="7.7109375" style="22" bestFit="1" customWidth="1"/>
    <col min="36" max="36" width="8.140625" style="22" bestFit="1" customWidth="1"/>
    <col min="37" max="38" width="7.42578125" style="22" bestFit="1" customWidth="1"/>
    <col min="39" max="39" width="7.85546875" style="22" bestFit="1" customWidth="1"/>
    <col min="40" max="40" width="8.42578125" style="22" bestFit="1" customWidth="1"/>
    <col min="41" max="41" width="11.85546875" style="22" bestFit="1" customWidth="1"/>
    <col min="42" max="42" width="10.28515625" style="22" bestFit="1" customWidth="1"/>
    <col min="43" max="43" width="7.42578125" style="22" bestFit="1" customWidth="1"/>
    <col min="44" max="44" width="8.7109375" style="22" bestFit="1" customWidth="1"/>
    <col min="45" max="45" width="1.7109375" style="26" customWidth="1"/>
    <col min="46" max="46" width="7.7109375" style="22" bestFit="1" customWidth="1"/>
    <col min="47" max="49" width="7.42578125" style="22" bestFit="1" customWidth="1"/>
    <col min="50" max="50" width="7.85546875" style="22" bestFit="1" customWidth="1"/>
    <col min="51" max="51" width="8.42578125" style="22" bestFit="1" customWidth="1"/>
    <col min="52" max="52" width="11.85546875" style="22" bestFit="1" customWidth="1"/>
    <col min="53" max="53" width="10.28515625" style="22" bestFit="1" customWidth="1"/>
    <col min="54" max="54" width="7.42578125" style="22" bestFit="1" customWidth="1"/>
    <col min="55" max="55" width="8.7109375" style="22" bestFit="1" customWidth="1"/>
    <col min="56" max="56" width="1.7109375" style="26" customWidth="1"/>
    <col min="57" max="57" width="7.140625" bestFit="1" customWidth="1"/>
    <col min="58" max="58" width="8.7109375" bestFit="1" customWidth="1"/>
    <col min="59" max="59" width="1.7109375" style="26" customWidth="1"/>
    <col min="60" max="60" width="6.85546875" customWidth="1"/>
    <col min="61" max="61" width="8.7109375" bestFit="1" customWidth="1"/>
    <col min="78" max="78" width="7.28515625" style="5" bestFit="1" customWidth="1"/>
    <col min="79" max="79" width="6.7109375" style="5" bestFit="1" customWidth="1"/>
    <col min="80" max="80" width="5.7109375" bestFit="1" customWidth="1"/>
    <col min="81" max="81" width="4.5703125" bestFit="1" customWidth="1"/>
    <col min="82" max="82" width="4.85546875" bestFit="1" customWidth="1"/>
    <col min="83" max="83" width="7.28515625" bestFit="1" customWidth="1"/>
    <col min="84" max="84" width="7.7109375" bestFit="1" customWidth="1"/>
    <col min="85" max="85" width="10.7109375" bestFit="1" customWidth="1"/>
    <col min="86" max="86" width="9.28515625" bestFit="1" customWidth="1"/>
    <col min="87" max="87" width="6.7109375" bestFit="1" customWidth="1"/>
    <col min="88" max="88" width="7.42578125" bestFit="1" customWidth="1"/>
    <col min="90" max="90" width="7.28515625" style="5" bestFit="1" customWidth="1"/>
    <col min="91" max="91" width="6.140625" style="5" bestFit="1" customWidth="1"/>
    <col min="92" max="92" width="4.5703125" bestFit="1" customWidth="1"/>
    <col min="93" max="93" width="5.7109375" bestFit="1" customWidth="1"/>
    <col min="94" max="94" width="4.85546875" bestFit="1" customWidth="1"/>
    <col min="95" max="95" width="7.28515625" bestFit="1" customWidth="1"/>
    <col min="96" max="96" width="7.7109375" bestFit="1" customWidth="1"/>
    <col min="97" max="97" width="10.7109375" bestFit="1" customWidth="1"/>
    <col min="98" max="98" width="9.28515625" bestFit="1" customWidth="1"/>
    <col min="99" max="99" width="6.7109375" bestFit="1" customWidth="1"/>
    <col min="100" max="100" width="7.42578125" bestFit="1" customWidth="1"/>
    <col min="102" max="102" width="6.7109375" bestFit="1" customWidth="1"/>
    <col min="103" max="103" width="7.42578125" bestFit="1" customWidth="1"/>
    <col min="116" max="116" width="7.5703125" bestFit="1" customWidth="1"/>
    <col min="117" max="124" width="7.42578125" bestFit="1" customWidth="1"/>
  </cols>
  <sheetData>
    <row r="1" spans="1:124" s="2" customFormat="1" x14ac:dyDescent="0.25">
      <c r="A1" s="2" t="s">
        <v>0</v>
      </c>
      <c r="B1" s="18" t="s">
        <v>1</v>
      </c>
      <c r="C1" s="18" t="s">
        <v>2</v>
      </c>
      <c r="D1" s="19" t="s">
        <v>3</v>
      </c>
      <c r="E1" s="19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18" t="s">
        <v>17</v>
      </c>
      <c r="S1" s="18" t="s">
        <v>18</v>
      </c>
      <c r="T1" s="18" t="s">
        <v>19</v>
      </c>
      <c r="U1" s="19" t="s">
        <v>20</v>
      </c>
      <c r="V1" s="19" t="s">
        <v>21</v>
      </c>
      <c r="W1" s="19" t="s">
        <v>22</v>
      </c>
      <c r="X1" s="20" t="s">
        <v>23</v>
      </c>
      <c r="Y1" s="20" t="s">
        <v>24</v>
      </c>
      <c r="Z1" s="20" t="s">
        <v>25</v>
      </c>
      <c r="AA1" s="20" t="s">
        <v>26</v>
      </c>
      <c r="AB1" s="18" t="s">
        <v>27</v>
      </c>
      <c r="AC1" s="18" t="s">
        <v>28</v>
      </c>
      <c r="AD1" s="18" t="s">
        <v>29</v>
      </c>
      <c r="AE1" s="19" t="s">
        <v>30</v>
      </c>
      <c r="AF1" s="19" t="s">
        <v>31</v>
      </c>
      <c r="AG1" s="19" t="s">
        <v>32</v>
      </c>
      <c r="AH1" s="24"/>
      <c r="AI1" s="6">
        <f>AQ16</f>
        <v>0.60207141335122949</v>
      </c>
      <c r="AJ1" s="7">
        <v>0</v>
      </c>
      <c r="AK1" s="7">
        <f t="shared" ref="AK1:AQ1" si="0">AJ1-$AK12</f>
        <v>-5.0000000000000001E-3</v>
      </c>
      <c r="AL1" s="7">
        <f t="shared" si="0"/>
        <v>-0.01</v>
      </c>
      <c r="AM1" s="7">
        <f t="shared" si="0"/>
        <v>-1.4999999999999999E-2</v>
      </c>
      <c r="AN1" s="7">
        <f t="shared" si="0"/>
        <v>-0.02</v>
      </c>
      <c r="AO1" s="7">
        <f t="shared" si="0"/>
        <v>-2.5000000000000001E-2</v>
      </c>
      <c r="AP1" s="7">
        <f t="shared" si="0"/>
        <v>-3.0000000000000002E-2</v>
      </c>
      <c r="AQ1" s="7">
        <f t="shared" si="0"/>
        <v>-3.5000000000000003E-2</v>
      </c>
      <c r="AR1" s="25" t="s">
        <v>33</v>
      </c>
      <c r="AS1" s="24"/>
      <c r="AT1" s="6">
        <f>BB16</f>
        <v>-0.27550088927374466</v>
      </c>
      <c r="AU1" s="7">
        <v>0</v>
      </c>
      <c r="AV1" s="13">
        <f>AU1+$AV12</f>
        <v>5.0000000000000001E-3</v>
      </c>
      <c r="AW1" s="13">
        <f t="shared" ref="AW1:BB1" si="1">AV1+$AV12</f>
        <v>0.01</v>
      </c>
      <c r="AX1" s="13">
        <f t="shared" si="1"/>
        <v>1.4999999999999999E-2</v>
      </c>
      <c r="AY1" s="13">
        <f t="shared" si="1"/>
        <v>0.02</v>
      </c>
      <c r="AZ1" s="13">
        <f t="shared" si="1"/>
        <v>2.5000000000000001E-2</v>
      </c>
      <c r="BA1" s="13">
        <f t="shared" si="1"/>
        <v>3.0000000000000002E-2</v>
      </c>
      <c r="BB1" s="13">
        <f t="shared" si="1"/>
        <v>3.5000000000000003E-2</v>
      </c>
      <c r="BC1" s="25" t="s">
        <v>33</v>
      </c>
      <c r="BD1" s="24"/>
      <c r="BG1" s="24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Z1" s="3"/>
      <c r="CA1" s="3"/>
      <c r="CB1" s="3"/>
      <c r="CC1" s="3"/>
      <c r="CD1" s="3"/>
      <c r="CE1" s="3"/>
      <c r="CF1" s="3"/>
      <c r="CK1" s="3"/>
      <c r="CL1" s="3"/>
      <c r="CM1" s="3"/>
      <c r="CN1" s="3"/>
      <c r="CO1" s="3"/>
      <c r="CP1" s="3"/>
      <c r="CQ1" s="3"/>
      <c r="CR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</row>
    <row r="2" spans="1:124" x14ac:dyDescent="0.25">
      <c r="A2" s="1">
        <v>46024</v>
      </c>
      <c r="B2" s="21">
        <v>121.52</v>
      </c>
      <c r="C2" s="21">
        <v>169</v>
      </c>
      <c r="F2" s="21">
        <v>0</v>
      </c>
      <c r="G2" s="21">
        <v>0</v>
      </c>
      <c r="H2" s="21">
        <v>0</v>
      </c>
      <c r="I2" s="21">
        <v>0</v>
      </c>
      <c r="J2" s="21">
        <v>0</v>
      </c>
      <c r="K2" s="21">
        <v>0</v>
      </c>
      <c r="L2" s="21">
        <v>121.52</v>
      </c>
      <c r="M2" s="21">
        <v>169</v>
      </c>
      <c r="N2" s="23">
        <v>1.3907175773535201</v>
      </c>
      <c r="O2" s="23">
        <v>1.3022492118915701</v>
      </c>
      <c r="X2" s="23">
        <v>1.3907175773535201</v>
      </c>
      <c r="Y2" s="23">
        <v>1.3022759807794699</v>
      </c>
      <c r="AI2" s="7">
        <v>0</v>
      </c>
      <c r="AJ2" s="8">
        <f t="dataTable" ref="AJ2:AQ9" dt2D="1" dtr="1" r1="AI21" r2="AI22"/>
        <v>0.53208268156697891</v>
      </c>
      <c r="AK2" s="8">
        <v>0.5655762311168876</v>
      </c>
      <c r="AL2" s="8">
        <v>0.57842786912278388</v>
      </c>
      <c r="AM2" s="8">
        <v>1.0232035981834275</v>
      </c>
      <c r="AN2" s="8">
        <v>0.28848658924489973</v>
      </c>
      <c r="AO2" s="8">
        <v>-0.35142514438532702</v>
      </c>
      <c r="AP2" s="8">
        <v>-0.71092582164136686</v>
      </c>
      <c r="AQ2" s="8">
        <v>-0.71092582164136686</v>
      </c>
      <c r="AR2"/>
      <c r="AT2" s="7">
        <v>0</v>
      </c>
      <c r="AU2" s="8">
        <f t="dataTable" ref="AU2:BB9" dt2D="1" dtr="1" r1="AT21" r2="AT22"/>
        <v>0.13570153333826385</v>
      </c>
      <c r="AV2" s="9">
        <v>6.2917859939885398E-2</v>
      </c>
      <c r="AW2" s="9">
        <v>0.21369034078503057</v>
      </c>
      <c r="AX2" s="9">
        <v>-0.31237850733168138</v>
      </c>
      <c r="AY2" s="9">
        <v>-0.49759129060184382</v>
      </c>
      <c r="AZ2" s="9">
        <v>-0.21630741654761881</v>
      </c>
      <c r="BA2" s="9">
        <v>0.64343195712843859</v>
      </c>
      <c r="BB2" s="9">
        <v>0.9481631351976908</v>
      </c>
      <c r="BC2"/>
    </row>
    <row r="3" spans="1:124" ht="15.75" thickBot="1" x14ac:dyDescent="0.3">
      <c r="A3" s="1">
        <v>46027</v>
      </c>
      <c r="B3" s="21">
        <v>120.15</v>
      </c>
      <c r="C3" s="21">
        <v>167.34</v>
      </c>
      <c r="D3" s="22">
        <v>-1.1337896105039399E-2</v>
      </c>
      <c r="E3" s="22">
        <v>-9.8710440556208992E-3</v>
      </c>
      <c r="F3" s="21">
        <v>0</v>
      </c>
      <c r="G3" s="21">
        <v>0</v>
      </c>
      <c r="H3" s="21">
        <v>0</v>
      </c>
      <c r="I3" s="21">
        <v>0</v>
      </c>
      <c r="J3" s="21">
        <v>0</v>
      </c>
      <c r="K3" s="21">
        <v>0</v>
      </c>
      <c r="L3" s="21">
        <v>120.15</v>
      </c>
      <c r="M3" s="21">
        <v>167.34</v>
      </c>
      <c r="N3" s="23">
        <v>1.39275905118601</v>
      </c>
      <c r="O3" s="23">
        <v>1.3022492118915701</v>
      </c>
      <c r="R3" s="21">
        <v>156.46524280877199</v>
      </c>
      <c r="U3" s="22">
        <v>-6.7193776231800603E-2</v>
      </c>
      <c r="X3" s="23">
        <v>1.39275905118601</v>
      </c>
      <c r="Y3" s="23">
        <v>1.3022759807794699</v>
      </c>
      <c r="AB3" s="21">
        <v>156.468459090653</v>
      </c>
      <c r="AE3" s="22">
        <v>-6.7173220555874602E-2</v>
      </c>
      <c r="AI3" s="7">
        <f t="shared" ref="AI3:AI9" si="2">AI2-AK$12</f>
        <v>-5.0000000000000001E-3</v>
      </c>
      <c r="AJ3" s="8">
        <v>0.53208268156697891</v>
      </c>
      <c r="AK3" s="8">
        <v>0.80299142763086306</v>
      </c>
      <c r="AL3" s="8">
        <v>1.0435108278037646</v>
      </c>
      <c r="AM3" s="8">
        <v>1.2444610639065219</v>
      </c>
      <c r="AN3" s="8">
        <v>0.48040453284126566</v>
      </c>
      <c r="AO3" s="9">
        <v>-0.14785705242211997</v>
      </c>
      <c r="AP3" s="8">
        <v>-0.23570641365939185</v>
      </c>
      <c r="AQ3" s="8">
        <v>-0.23570641365939185</v>
      </c>
      <c r="AR3"/>
      <c r="AT3" s="7">
        <f>AT2+AV$12</f>
        <v>5.0000000000000001E-3</v>
      </c>
      <c r="AU3" s="8">
        <v>0.13570153333826385</v>
      </c>
      <c r="AV3" s="9">
        <v>-0.27734064418360682</v>
      </c>
      <c r="AW3" s="9">
        <v>-0.1936748735945707</v>
      </c>
      <c r="AX3" s="9">
        <v>-0.27550088927374466</v>
      </c>
      <c r="AY3" s="9">
        <v>-1.3544013923421063</v>
      </c>
      <c r="AZ3" s="9">
        <v>-1.0550075356705502</v>
      </c>
      <c r="BA3" s="9">
        <v>-4.1661318352141145E-2</v>
      </c>
      <c r="BB3" s="9">
        <v>0.33730363917049183</v>
      </c>
      <c r="BC3"/>
    </row>
    <row r="4" spans="1:124" ht="15.75" thickBot="1" x14ac:dyDescent="0.3">
      <c r="A4" s="1">
        <v>46028</v>
      </c>
      <c r="B4" s="21">
        <v>122.09</v>
      </c>
      <c r="C4" s="21">
        <v>171.24</v>
      </c>
      <c r="D4" s="22">
        <v>1.6017515498285999E-2</v>
      </c>
      <c r="E4" s="22">
        <v>2.3038410409292699E-2</v>
      </c>
      <c r="F4" s="21">
        <v>0</v>
      </c>
      <c r="G4" s="21">
        <v>0</v>
      </c>
      <c r="H4" s="21">
        <v>0</v>
      </c>
      <c r="I4" s="21">
        <v>0</v>
      </c>
      <c r="J4" s="21">
        <v>0</v>
      </c>
      <c r="K4" s="21">
        <v>0</v>
      </c>
      <c r="L4" s="21">
        <v>122.09</v>
      </c>
      <c r="M4" s="21">
        <v>171.24</v>
      </c>
      <c r="N4" s="23">
        <v>1.4025718732082799</v>
      </c>
      <c r="O4" s="23">
        <v>1.3022492118915701</v>
      </c>
      <c r="R4" s="21">
        <v>158.99160627984199</v>
      </c>
      <c r="U4" s="22">
        <v>-7.4214671142807206E-2</v>
      </c>
      <c r="X4" s="23">
        <v>1.4025718732082799</v>
      </c>
      <c r="Y4" s="23">
        <v>1.3022759807794699</v>
      </c>
      <c r="AB4" s="21">
        <v>158.99487449336601</v>
      </c>
      <c r="AE4" s="22">
        <v>-7.4194115466881094E-2</v>
      </c>
      <c r="AI4" s="7">
        <f t="shared" si="2"/>
        <v>-0.01</v>
      </c>
      <c r="AJ4" s="8">
        <v>0.53208268156697891</v>
      </c>
      <c r="AK4" s="9">
        <v>0.80299142763086306</v>
      </c>
      <c r="AL4" s="9">
        <v>1.975818042328797</v>
      </c>
      <c r="AM4" s="9">
        <v>2.3764172390838567</v>
      </c>
      <c r="AN4" s="8">
        <v>1.7399930759728635</v>
      </c>
      <c r="AO4" s="9">
        <v>0.69870767202429795</v>
      </c>
      <c r="AP4" s="9">
        <v>1.0540389178861351</v>
      </c>
      <c r="AQ4" s="9">
        <v>1.0540389178861351</v>
      </c>
      <c r="AR4"/>
      <c r="AT4" s="7">
        <f t="shared" ref="AT4:AT9" si="3">AT3+AV$12</f>
        <v>0.01</v>
      </c>
      <c r="AU4" s="8">
        <v>0.13570153333826385</v>
      </c>
      <c r="AV4" s="9">
        <v>-0.27734064418360682</v>
      </c>
      <c r="AW4" s="9">
        <v>-6.9671748980716569E-2</v>
      </c>
      <c r="AX4" s="9">
        <v>-5.5045602489689031E-2</v>
      </c>
      <c r="AY4" s="9">
        <v>-1.414178083562156</v>
      </c>
      <c r="AZ4" s="9">
        <v>-1.0737508000296951</v>
      </c>
      <c r="BA4" s="10">
        <v>0.19446654179717437</v>
      </c>
      <c r="BB4" s="9">
        <v>0.71982651480719595</v>
      </c>
      <c r="BC4"/>
      <c r="BE4" s="3"/>
      <c r="BF4" s="3"/>
    </row>
    <row r="5" spans="1:124" ht="15.75" thickBot="1" x14ac:dyDescent="0.3">
      <c r="A5" s="1">
        <v>46029</v>
      </c>
      <c r="B5" s="21">
        <v>126.43</v>
      </c>
      <c r="C5" s="21">
        <v>176.74</v>
      </c>
      <c r="D5" s="22">
        <v>3.4930317643042198E-2</v>
      </c>
      <c r="E5" s="22">
        <v>3.1613644813112997E-2</v>
      </c>
      <c r="F5" s="21">
        <v>0</v>
      </c>
      <c r="G5" s="21">
        <v>0</v>
      </c>
      <c r="H5" s="21">
        <v>0</v>
      </c>
      <c r="I5" s="21">
        <v>0</v>
      </c>
      <c r="J5" s="21">
        <v>0</v>
      </c>
      <c r="K5" s="21">
        <v>0</v>
      </c>
      <c r="L5" s="21">
        <v>126.43</v>
      </c>
      <c r="M5" s="21">
        <v>176.74</v>
      </c>
      <c r="N5" s="23">
        <v>1.3979277070315499</v>
      </c>
      <c r="O5" s="23">
        <v>1.3022492118915701</v>
      </c>
      <c r="R5" s="21">
        <v>164.64336785945099</v>
      </c>
      <c r="U5" s="22">
        <v>-7.0897998312877797E-2</v>
      </c>
      <c r="X5" s="23">
        <v>1.3979277070315499</v>
      </c>
      <c r="Y5" s="23">
        <v>1.3022759807794699</v>
      </c>
      <c r="AB5" s="21">
        <v>164.64675224994801</v>
      </c>
      <c r="AE5" s="22">
        <v>-7.0877442636952004E-2</v>
      </c>
      <c r="AI5" s="7">
        <f t="shared" si="2"/>
        <v>-1.4999999999999999E-2</v>
      </c>
      <c r="AJ5" s="8">
        <v>0.53208268156697891</v>
      </c>
      <c r="AK5" s="9">
        <v>0.80299142763086306</v>
      </c>
      <c r="AL5" s="9">
        <v>1.975818042328797</v>
      </c>
      <c r="AM5" s="9">
        <v>1.81818467670085</v>
      </c>
      <c r="AN5" s="9">
        <v>1.3421584208600013</v>
      </c>
      <c r="AO5" s="10">
        <v>0.60207141335122949</v>
      </c>
      <c r="AP5" s="8">
        <v>0.93001813279193413</v>
      </c>
      <c r="AQ5" s="9">
        <v>0.93001813279193413</v>
      </c>
      <c r="AR5"/>
      <c r="AT5" s="7">
        <f t="shared" si="3"/>
        <v>1.4999999999999999E-2</v>
      </c>
      <c r="AU5" s="8">
        <v>0.13570153333826385</v>
      </c>
      <c r="AV5" s="9">
        <v>-0.27734064418360682</v>
      </c>
      <c r="AW5" s="9">
        <v>-6.9671748980716569E-2</v>
      </c>
      <c r="AX5" s="9">
        <v>2.0981447479473173E-2</v>
      </c>
      <c r="AY5" s="9">
        <v>-1.3685291002100282</v>
      </c>
      <c r="AZ5" s="9">
        <v>-1.2039852265703666</v>
      </c>
      <c r="BA5" s="9">
        <v>4.6896217493638537E-2</v>
      </c>
      <c r="BB5" s="9">
        <v>0.56457470226494366</v>
      </c>
      <c r="BC5"/>
    </row>
    <row r="6" spans="1:124" x14ac:dyDescent="0.25">
      <c r="A6" s="1">
        <v>46030</v>
      </c>
      <c r="B6" s="21">
        <v>123.71</v>
      </c>
      <c r="C6" s="21">
        <v>172.26</v>
      </c>
      <c r="D6" s="22">
        <v>-2.1748678449066201E-2</v>
      </c>
      <c r="E6" s="22">
        <v>-2.5674762728830802E-2</v>
      </c>
      <c r="F6" s="21">
        <v>0</v>
      </c>
      <c r="G6" s="21">
        <v>0</v>
      </c>
      <c r="H6" s="21">
        <v>0</v>
      </c>
      <c r="I6" s="21">
        <v>0</v>
      </c>
      <c r="J6" s="21">
        <v>0</v>
      </c>
      <c r="K6" s="21">
        <v>0</v>
      </c>
      <c r="L6" s="21">
        <v>123.71</v>
      </c>
      <c r="M6" s="21">
        <v>172.26</v>
      </c>
      <c r="N6" s="23">
        <v>1.39245008487591</v>
      </c>
      <c r="O6" s="23">
        <v>1.3022492118915701</v>
      </c>
      <c r="R6" s="21">
        <v>161.101250003106</v>
      </c>
      <c r="U6" s="22">
        <v>-6.69719140331132E-2</v>
      </c>
      <c r="X6" s="23">
        <v>1.39245008487591</v>
      </c>
      <c r="Y6" s="23">
        <v>1.3022759807794699</v>
      </c>
      <c r="AB6" s="21">
        <v>161.104561582228</v>
      </c>
      <c r="AE6" s="22">
        <v>-6.6951358357187199E-2</v>
      </c>
      <c r="AI6" s="7">
        <f t="shared" si="2"/>
        <v>-0.02</v>
      </c>
      <c r="AJ6" s="8">
        <v>0.53208268156697891</v>
      </c>
      <c r="AK6" s="9">
        <v>0.80299142763086306</v>
      </c>
      <c r="AL6" s="9">
        <v>1.975818042328797</v>
      </c>
      <c r="AM6" s="9">
        <v>1.81818467670085</v>
      </c>
      <c r="AN6" s="9">
        <v>1.2598726219857947</v>
      </c>
      <c r="AO6" s="9">
        <v>0.26027019934866286</v>
      </c>
      <c r="AP6" s="9">
        <v>0.93001813279193413</v>
      </c>
      <c r="AQ6" s="9">
        <v>0.93001813279193413</v>
      </c>
      <c r="AR6"/>
      <c r="AT6" s="7">
        <f t="shared" si="3"/>
        <v>0.02</v>
      </c>
      <c r="AU6" s="8">
        <v>0.13570153333826385</v>
      </c>
      <c r="AV6" s="9">
        <v>-0.27734064418360682</v>
      </c>
      <c r="AW6" s="9">
        <v>-6.9671748980716569E-2</v>
      </c>
      <c r="AX6" s="9">
        <v>2.0981447479473173E-2</v>
      </c>
      <c r="AY6" s="9">
        <v>-1.5058507454321459</v>
      </c>
      <c r="AZ6" s="9">
        <v>-1.1519962245878319</v>
      </c>
      <c r="BA6" s="9">
        <v>-0.55829581018981722</v>
      </c>
      <c r="BB6" s="9">
        <v>-3.2684984868111874E-2</v>
      </c>
      <c r="BC6"/>
    </row>
    <row r="7" spans="1:124" x14ac:dyDescent="0.25">
      <c r="A7" s="1">
        <v>46031</v>
      </c>
      <c r="B7" s="21">
        <v>124.5</v>
      </c>
      <c r="C7" s="21">
        <v>172.39</v>
      </c>
      <c r="D7" s="22">
        <v>6.3655990300220599E-3</v>
      </c>
      <c r="E7" s="22">
        <v>7.5438854585964995E-4</v>
      </c>
      <c r="F7" s="21">
        <v>0</v>
      </c>
      <c r="G7" s="21">
        <v>0</v>
      </c>
      <c r="H7" s="21">
        <v>0</v>
      </c>
      <c r="I7" s="21">
        <v>0</v>
      </c>
      <c r="J7" s="21">
        <v>0</v>
      </c>
      <c r="K7" s="21">
        <v>0</v>
      </c>
      <c r="L7" s="21">
        <v>124.5</v>
      </c>
      <c r="M7" s="21">
        <v>172.39</v>
      </c>
      <c r="N7" s="23">
        <v>1.38465863453815</v>
      </c>
      <c r="O7" s="23">
        <v>1.3022492118915701</v>
      </c>
      <c r="R7" s="21">
        <v>162.13002688050099</v>
      </c>
      <c r="U7" s="22">
        <v>-6.1360703548950797E-2</v>
      </c>
      <c r="X7" s="23">
        <v>1.38465863453815</v>
      </c>
      <c r="Y7" s="23">
        <v>1.3022759807794699</v>
      </c>
      <c r="AB7" s="21">
        <v>162.13335960704401</v>
      </c>
      <c r="AE7" s="22">
        <v>-6.1340147873024803E-2</v>
      </c>
      <c r="AI7" s="7">
        <f t="shared" si="2"/>
        <v>-2.5000000000000001E-2</v>
      </c>
      <c r="AJ7" s="8">
        <v>0.53208268156697891</v>
      </c>
      <c r="AK7" s="9">
        <v>0.80299142763086306</v>
      </c>
      <c r="AL7" s="9">
        <v>1.975818042328797</v>
      </c>
      <c r="AM7" s="9">
        <v>1.81818467670085</v>
      </c>
      <c r="AN7" s="9">
        <v>1.2598726219857947</v>
      </c>
      <c r="AO7" s="9">
        <v>0.44611899901794272</v>
      </c>
      <c r="AP7" s="9">
        <v>1.1024075325142006</v>
      </c>
      <c r="AQ7" s="9">
        <v>1.1024075325142006</v>
      </c>
      <c r="AR7"/>
      <c r="AT7" s="7">
        <f t="shared" si="3"/>
        <v>2.5000000000000001E-2</v>
      </c>
      <c r="AU7" s="8">
        <v>0.13570153333826385</v>
      </c>
      <c r="AV7" s="9">
        <v>-0.27734064418360682</v>
      </c>
      <c r="AW7" s="9">
        <v>-6.9671748980716569E-2</v>
      </c>
      <c r="AX7" s="9">
        <v>2.0981447479473173E-2</v>
      </c>
      <c r="AY7" s="9">
        <v>-1.5058507454321459</v>
      </c>
      <c r="AZ7" s="9">
        <v>-1.1749470099074917</v>
      </c>
      <c r="BA7" s="9">
        <v>-0.19739751386414031</v>
      </c>
      <c r="BB7" s="9">
        <v>0.51006264739543161</v>
      </c>
      <c r="BC7"/>
    </row>
    <row r="8" spans="1:124" x14ac:dyDescent="0.25">
      <c r="A8" s="1">
        <v>46034</v>
      </c>
      <c r="B8" s="21">
        <v>123.93</v>
      </c>
      <c r="C8" s="21">
        <v>171.4</v>
      </c>
      <c r="D8" s="22">
        <v>-4.58882582797934E-3</v>
      </c>
      <c r="E8" s="22">
        <v>-5.7593457432077002E-3</v>
      </c>
      <c r="F8" s="21">
        <v>0</v>
      </c>
      <c r="G8" s="21">
        <v>0</v>
      </c>
      <c r="H8" s="21">
        <v>0</v>
      </c>
      <c r="I8" s="21">
        <v>0</v>
      </c>
      <c r="J8" s="21">
        <v>0</v>
      </c>
      <c r="K8" s="21">
        <v>0</v>
      </c>
      <c r="L8" s="21">
        <v>123.93</v>
      </c>
      <c r="M8" s="21">
        <v>171.4</v>
      </c>
      <c r="N8" s="23">
        <v>1.38303881223271</v>
      </c>
      <c r="O8" s="23">
        <v>1.3022492118915701</v>
      </c>
      <c r="R8" s="21">
        <v>161.38774482972201</v>
      </c>
      <c r="U8" s="22">
        <v>-6.0190183633722402E-2</v>
      </c>
      <c r="X8" s="23">
        <v>1.38303881223271</v>
      </c>
      <c r="Y8" s="23">
        <v>1.3022759807794699</v>
      </c>
      <c r="AB8" s="21">
        <v>161.39106229800001</v>
      </c>
      <c r="AE8" s="22">
        <v>-6.0169627957796401E-2</v>
      </c>
      <c r="AI8" s="7">
        <f t="shared" si="2"/>
        <v>-3.0000000000000002E-2</v>
      </c>
      <c r="AJ8" s="8">
        <v>0.53208268156697891</v>
      </c>
      <c r="AK8" s="9">
        <v>0.80299142763086306</v>
      </c>
      <c r="AL8" s="9">
        <v>1.975818042328797</v>
      </c>
      <c r="AM8" s="9">
        <v>1.81818467670085</v>
      </c>
      <c r="AN8" s="9">
        <v>1.2598726219857947</v>
      </c>
      <c r="AO8" s="9">
        <v>0.44611899901794272</v>
      </c>
      <c r="AP8" s="9">
        <v>1.1024075325142006</v>
      </c>
      <c r="AQ8" s="9">
        <v>1.1024075325142006</v>
      </c>
      <c r="AR8"/>
      <c r="AT8" s="7">
        <f t="shared" si="3"/>
        <v>3.0000000000000002E-2</v>
      </c>
      <c r="AU8" s="8">
        <v>0.13570153333826385</v>
      </c>
      <c r="AV8" s="9">
        <v>-0.27734064418360682</v>
      </c>
      <c r="AW8" s="9">
        <v>-6.9671748980716569E-2</v>
      </c>
      <c r="AX8" s="9">
        <v>2.0981447479473173E-2</v>
      </c>
      <c r="AY8" s="9">
        <v>-1.5058507454321459</v>
      </c>
      <c r="AZ8" s="9">
        <v>-1.1749470099074917</v>
      </c>
      <c r="BA8" s="9">
        <v>-0.19739751386414031</v>
      </c>
      <c r="BB8" s="9">
        <v>0.51006264739543161</v>
      </c>
      <c r="BC8"/>
    </row>
    <row r="9" spans="1:124" x14ac:dyDescent="0.25">
      <c r="A9" s="1">
        <v>46035</v>
      </c>
      <c r="B9" s="21">
        <v>123.85</v>
      </c>
      <c r="C9" s="21">
        <v>171.32</v>
      </c>
      <c r="D9" s="22">
        <v>-6.4573414141435399E-4</v>
      </c>
      <c r="E9" s="22">
        <v>-4.6685341650930202E-4</v>
      </c>
      <c r="F9" s="21">
        <v>0</v>
      </c>
      <c r="G9" s="21">
        <v>0</v>
      </c>
      <c r="H9" s="21">
        <v>0</v>
      </c>
      <c r="I9" s="21">
        <v>0</v>
      </c>
      <c r="J9" s="21">
        <v>0</v>
      </c>
      <c r="K9" s="21">
        <v>0</v>
      </c>
      <c r="L9" s="21">
        <v>123.85</v>
      </c>
      <c r="M9" s="21">
        <v>171.32</v>
      </c>
      <c r="N9" s="23">
        <v>1.3832862333467899</v>
      </c>
      <c r="O9" s="23">
        <v>1.3022492118915701</v>
      </c>
      <c r="R9" s="21">
        <v>161.28356489277101</v>
      </c>
      <c r="U9" s="22">
        <v>-6.0369064358627503E-2</v>
      </c>
      <c r="X9" s="23">
        <v>1.3832862333467899</v>
      </c>
      <c r="Y9" s="23">
        <v>1.3022759807794699</v>
      </c>
      <c r="AB9" s="21">
        <v>161.28688021953701</v>
      </c>
      <c r="AE9" s="22">
        <v>-6.0348508682701599E-2</v>
      </c>
      <c r="AI9" s="7">
        <f t="shared" si="2"/>
        <v>-3.5000000000000003E-2</v>
      </c>
      <c r="AJ9" s="8">
        <v>0.53208268156697891</v>
      </c>
      <c r="AK9" s="9">
        <v>0.80299142763086306</v>
      </c>
      <c r="AL9" s="9">
        <v>1.975818042328797</v>
      </c>
      <c r="AM9" s="9">
        <v>1.81818467670085</v>
      </c>
      <c r="AN9" s="9">
        <v>1.2598726219857947</v>
      </c>
      <c r="AO9" s="9">
        <v>0.44611899901794272</v>
      </c>
      <c r="AP9" s="9">
        <v>1.1024075325142006</v>
      </c>
      <c r="AQ9" s="9">
        <v>1.1024075325142006</v>
      </c>
      <c r="AR9"/>
      <c r="AT9" s="7">
        <f t="shared" si="3"/>
        <v>3.5000000000000003E-2</v>
      </c>
      <c r="AU9" s="8">
        <v>0.13570153333826385</v>
      </c>
      <c r="AV9" s="8">
        <v>-0.27734064418360682</v>
      </c>
      <c r="AW9" s="8">
        <v>-6.9671748980716569E-2</v>
      </c>
      <c r="AX9" s="8">
        <v>2.0981447479473173E-2</v>
      </c>
      <c r="AY9" s="8">
        <v>-1.5058507454321459</v>
      </c>
      <c r="AZ9" s="8">
        <v>-1.1749470099074917</v>
      </c>
      <c r="BA9" s="8">
        <v>-0.19739751386414031</v>
      </c>
      <c r="BB9" s="8">
        <v>0.19377593151612499</v>
      </c>
      <c r="BC9"/>
    </row>
    <row r="10" spans="1:124" x14ac:dyDescent="0.25">
      <c r="A10" s="1">
        <v>46036</v>
      </c>
      <c r="B10" s="21">
        <v>126.82</v>
      </c>
      <c r="C10" s="21">
        <v>172.83</v>
      </c>
      <c r="D10" s="22">
        <v>2.3697602336517E-2</v>
      </c>
      <c r="E10" s="22">
        <v>8.7752996652312593E-3</v>
      </c>
      <c r="F10" s="21">
        <v>0</v>
      </c>
      <c r="G10" s="21">
        <v>0</v>
      </c>
      <c r="H10" s="21">
        <v>0</v>
      </c>
      <c r="I10" s="21">
        <v>0</v>
      </c>
      <c r="J10" s="21">
        <v>0</v>
      </c>
      <c r="K10" s="21">
        <v>0</v>
      </c>
      <c r="L10" s="21">
        <v>126.82</v>
      </c>
      <c r="M10" s="21">
        <v>172.83</v>
      </c>
      <c r="N10" s="23">
        <v>1.3627976659832799</v>
      </c>
      <c r="O10" s="23">
        <v>1.3022492118915701</v>
      </c>
      <c r="R10" s="21">
        <v>165.151245052089</v>
      </c>
      <c r="U10" s="22">
        <v>-4.5446761687341901E-2</v>
      </c>
      <c r="X10" s="23">
        <v>1.3627976659832799</v>
      </c>
      <c r="Y10" s="23">
        <v>1.3022759807794699</v>
      </c>
      <c r="AB10" s="21">
        <v>165.15463988245199</v>
      </c>
      <c r="AE10" s="22">
        <v>-4.54262060114159E-2</v>
      </c>
      <c r="AI10" s="27" t="s">
        <v>36</v>
      </c>
      <c r="AJ10"/>
      <c r="AK10"/>
      <c r="AL10"/>
      <c r="AM10"/>
      <c r="AN10"/>
      <c r="AO10"/>
      <c r="AP10"/>
      <c r="AQ10"/>
      <c r="AR10"/>
      <c r="AT10" s="27" t="s">
        <v>36</v>
      </c>
      <c r="AU10"/>
      <c r="AV10"/>
      <c r="AW10"/>
      <c r="AX10"/>
      <c r="AY10"/>
      <c r="AZ10"/>
      <c r="BA10"/>
      <c r="BB10"/>
      <c r="BC10"/>
      <c r="BZ10" s="12"/>
      <c r="CL10" s="12"/>
    </row>
    <row r="11" spans="1:124" x14ac:dyDescent="0.25">
      <c r="A11" s="1">
        <v>46037</v>
      </c>
      <c r="B11" s="21">
        <v>124.35</v>
      </c>
      <c r="C11" s="21">
        <v>170.56</v>
      </c>
      <c r="D11" s="22">
        <v>-1.96685880224719E-2</v>
      </c>
      <c r="E11" s="22">
        <v>-1.3221311434921701E-2</v>
      </c>
      <c r="F11" s="21">
        <v>0</v>
      </c>
      <c r="G11" s="21">
        <v>0</v>
      </c>
      <c r="H11" s="21">
        <v>0</v>
      </c>
      <c r="I11" s="21">
        <v>0</v>
      </c>
      <c r="J11" s="21">
        <v>0</v>
      </c>
      <c r="K11" s="21">
        <v>0</v>
      </c>
      <c r="L11" s="21">
        <v>124.35</v>
      </c>
      <c r="M11" s="21">
        <v>170.56</v>
      </c>
      <c r="N11" s="23">
        <v>1.3716123843988699</v>
      </c>
      <c r="O11" s="23">
        <v>1.3022492118915701</v>
      </c>
      <c r="P11" s="23">
        <v>1.38618200241551</v>
      </c>
      <c r="R11" s="21">
        <v>161.93468949871701</v>
      </c>
      <c r="U11" s="22">
        <v>-5.1894038274891897E-2</v>
      </c>
      <c r="X11" s="23">
        <v>1.3716123843988699</v>
      </c>
      <c r="Y11" s="23">
        <v>1.3022759807794699</v>
      </c>
      <c r="Z11" s="23">
        <v>1.38618200241551</v>
      </c>
      <c r="AB11" s="21">
        <v>161.93801820992701</v>
      </c>
      <c r="AE11" s="22">
        <v>-5.1873482598965903E-2</v>
      </c>
      <c r="AL11" s="28" t="s">
        <v>34</v>
      </c>
      <c r="AM11" s="28" t="s">
        <v>35</v>
      </c>
      <c r="AW11" s="28" t="s">
        <v>34</v>
      </c>
      <c r="AX11" s="28" t="s">
        <v>35</v>
      </c>
    </row>
    <row r="12" spans="1:124" x14ac:dyDescent="0.25">
      <c r="A12" s="1">
        <v>46038</v>
      </c>
      <c r="B12" s="21">
        <v>124.18</v>
      </c>
      <c r="C12" s="21">
        <v>169.96</v>
      </c>
      <c r="D12" s="22">
        <v>-1.3680443126668699E-3</v>
      </c>
      <c r="E12" s="22">
        <v>-3.5240257308688599E-3</v>
      </c>
      <c r="F12" s="21">
        <v>0</v>
      </c>
      <c r="G12" s="21">
        <v>0</v>
      </c>
      <c r="H12" s="21">
        <v>0</v>
      </c>
      <c r="I12" s="21">
        <v>0</v>
      </c>
      <c r="J12" s="21">
        <v>0</v>
      </c>
      <c r="K12" s="21">
        <v>0</v>
      </c>
      <c r="L12" s="21">
        <v>124.18</v>
      </c>
      <c r="M12" s="21">
        <v>169.96</v>
      </c>
      <c r="N12" s="23">
        <v>1.3686583990980801</v>
      </c>
      <c r="O12" s="23">
        <v>1.3022492118915701</v>
      </c>
      <c r="P12" s="23">
        <v>1.38397608458996</v>
      </c>
      <c r="R12" s="21">
        <v>161.71330713269501</v>
      </c>
      <c r="S12" s="21">
        <v>172.136081059958</v>
      </c>
      <c r="U12" s="22">
        <v>-4.9738056856689999E-2</v>
      </c>
      <c r="V12" s="22">
        <v>1.2722217710910699E-2</v>
      </c>
      <c r="X12" s="23">
        <v>1.3686583990980801</v>
      </c>
      <c r="Y12" s="23">
        <v>1.3022759807794699</v>
      </c>
      <c r="Z12" s="23">
        <v>1.38397608458996</v>
      </c>
      <c r="AB12" s="21">
        <v>161.71663129319501</v>
      </c>
      <c r="AC12" s="21">
        <v>172.136081059958</v>
      </c>
      <c r="AE12" s="22">
        <v>-4.9717501180763901E-2</v>
      </c>
      <c r="AF12" s="22">
        <v>1.2722217710910699E-2</v>
      </c>
      <c r="AK12" s="29">
        <v>5.0000000000000001E-3</v>
      </c>
      <c r="AL12" s="30" t="s">
        <v>46</v>
      </c>
      <c r="AM12" s="31" t="s">
        <v>47</v>
      </c>
      <c r="AV12" s="29">
        <v>5.0000000000000001E-3</v>
      </c>
      <c r="AW12" s="30" t="s">
        <v>48</v>
      </c>
      <c r="AX12" s="31" t="s">
        <v>49</v>
      </c>
    </row>
    <row r="13" spans="1:124" x14ac:dyDescent="0.25">
      <c r="A13" s="1">
        <v>46042</v>
      </c>
      <c r="B13" s="21">
        <v>125.29</v>
      </c>
      <c r="C13" s="21">
        <v>170.72</v>
      </c>
      <c r="D13" s="22">
        <v>8.8989243207145598E-3</v>
      </c>
      <c r="E13" s="22">
        <v>4.4616723068322704E-3</v>
      </c>
      <c r="F13" s="21">
        <v>0</v>
      </c>
      <c r="G13" s="21">
        <v>0</v>
      </c>
      <c r="H13" s="21">
        <v>0</v>
      </c>
      <c r="I13" s="21">
        <v>0</v>
      </c>
      <c r="J13" s="21">
        <v>0</v>
      </c>
      <c r="K13" s="21">
        <v>0</v>
      </c>
      <c r="L13" s="21">
        <v>125.29</v>
      </c>
      <c r="M13" s="21">
        <v>170.72</v>
      </c>
      <c r="N13" s="23">
        <v>1.3625987708516201</v>
      </c>
      <c r="O13" s="23">
        <v>1.3022492118915701</v>
      </c>
      <c r="P13" s="23">
        <v>1.3809600565565201</v>
      </c>
      <c r="R13" s="21">
        <v>163.15880375789499</v>
      </c>
      <c r="S13" s="21">
        <v>173.398363638277</v>
      </c>
      <c r="U13" s="22">
        <v>-4.5300804842807699E-2</v>
      </c>
      <c r="V13" s="22">
        <v>1.5566839829653E-2</v>
      </c>
      <c r="X13" s="23">
        <v>1.3625987708516201</v>
      </c>
      <c r="Y13" s="23">
        <v>1.3022759807794699</v>
      </c>
      <c r="Z13" s="23">
        <v>1.3809600565565201</v>
      </c>
      <c r="AB13" s="21">
        <v>163.16215763186</v>
      </c>
      <c r="AC13" s="21">
        <v>173.398363638277</v>
      </c>
      <c r="AE13" s="22">
        <v>-4.5280249166881802E-2</v>
      </c>
      <c r="AF13" s="22">
        <v>1.5566839829653E-2</v>
      </c>
    </row>
    <row r="14" spans="1:124" x14ac:dyDescent="0.25">
      <c r="A14" s="1">
        <v>46043</v>
      </c>
      <c r="B14" s="21">
        <v>128.18</v>
      </c>
      <c r="C14" s="21">
        <v>175.16</v>
      </c>
      <c r="D14" s="22">
        <v>2.2804475818619399E-2</v>
      </c>
      <c r="E14" s="22">
        <v>2.56750543797543E-2</v>
      </c>
      <c r="F14" s="21">
        <v>0</v>
      </c>
      <c r="G14" s="21">
        <v>0</v>
      </c>
      <c r="H14" s="21">
        <v>0</v>
      </c>
      <c r="I14" s="21">
        <v>0</v>
      </c>
      <c r="J14" s="21">
        <v>0</v>
      </c>
      <c r="K14" s="21">
        <v>0</v>
      </c>
      <c r="L14" s="21">
        <v>128.18</v>
      </c>
      <c r="M14" s="21">
        <v>175.16</v>
      </c>
      <c r="N14" s="23">
        <v>1.36651583710407</v>
      </c>
      <c r="O14" s="23">
        <v>1.3022492118915701</v>
      </c>
      <c r="P14" s="23">
        <v>1.3773544529460999</v>
      </c>
      <c r="R14" s="21">
        <v>166.922303980262</v>
      </c>
      <c r="S14" s="21">
        <v>177.01146004941501</v>
      </c>
      <c r="U14" s="22">
        <v>-4.81713834039426E-2</v>
      </c>
      <c r="V14" s="22">
        <v>1.05146345865944E-2</v>
      </c>
      <c r="X14" s="23">
        <v>1.36651583710407</v>
      </c>
      <c r="Y14" s="23">
        <v>1.3022759807794699</v>
      </c>
      <c r="Z14" s="23">
        <v>1.3773544529460999</v>
      </c>
      <c r="AB14" s="21">
        <v>166.925735216313</v>
      </c>
      <c r="AC14" s="21">
        <v>177.01146004941501</v>
      </c>
      <c r="AE14" s="22">
        <v>-4.8150827728016599E-2</v>
      </c>
      <c r="AF14" s="22">
        <v>1.05146345865944E-2</v>
      </c>
      <c r="AQ14" s="32">
        <f>AVERAGE(AQ22:AQ176)</f>
        <v>9.0513285644570746E-5</v>
      </c>
      <c r="AR14" s="33" t="s">
        <v>50</v>
      </c>
      <c r="BB14" s="32">
        <f>AVERAGE(BB22:BB176)</f>
        <v>-6.2974468343687776E-5</v>
      </c>
      <c r="BC14" s="33" t="s">
        <v>50</v>
      </c>
      <c r="BD14" s="34"/>
      <c r="BE14" s="32">
        <f>AVERAGE(BE22:BE176)</f>
        <v>2.7538817300882977E-5</v>
      </c>
      <c r="BF14" s="33" t="s">
        <v>50</v>
      </c>
    </row>
    <row r="15" spans="1:124" x14ac:dyDescent="0.25">
      <c r="A15" s="1">
        <v>46044</v>
      </c>
      <c r="B15" s="21">
        <v>131.57</v>
      </c>
      <c r="C15" s="21">
        <v>177.64</v>
      </c>
      <c r="D15" s="22">
        <v>2.6103503301665901E-2</v>
      </c>
      <c r="E15" s="22">
        <v>1.4059188490703801E-2</v>
      </c>
      <c r="F15" s="21">
        <v>0</v>
      </c>
      <c r="G15" s="21">
        <v>0</v>
      </c>
      <c r="H15" s="21">
        <v>0</v>
      </c>
      <c r="I15" s="21">
        <v>0</v>
      </c>
      <c r="J15" s="21">
        <v>0</v>
      </c>
      <c r="K15" s="21">
        <v>0</v>
      </c>
      <c r="L15" s="21">
        <v>131.57</v>
      </c>
      <c r="M15" s="21">
        <v>177.64</v>
      </c>
      <c r="N15" s="23">
        <v>1.3501558105951199</v>
      </c>
      <c r="O15" s="23">
        <v>1.3022492118915701</v>
      </c>
      <c r="P15" s="23">
        <v>1.37257726330246</v>
      </c>
      <c r="R15" s="21">
        <v>171.33692880857399</v>
      </c>
      <c r="S15" s="21">
        <v>181.218525374119</v>
      </c>
      <c r="U15" s="22">
        <v>-3.61270685929806E-2</v>
      </c>
      <c r="V15" s="22">
        <v>1.9944595123128701E-2</v>
      </c>
      <c r="X15" s="23">
        <v>1.3501558105951199</v>
      </c>
      <c r="Y15" s="23">
        <v>1.3022759807794699</v>
      </c>
      <c r="Z15" s="23">
        <v>1.37257726330246</v>
      </c>
      <c r="AB15" s="21">
        <v>171.34045079115501</v>
      </c>
      <c r="AC15" s="21">
        <v>181.218525374119</v>
      </c>
      <c r="AE15" s="22">
        <v>-3.6106512917054502E-2</v>
      </c>
      <c r="AF15" s="22">
        <v>1.9944595123128701E-2</v>
      </c>
      <c r="AQ15" s="32">
        <f>STDEV(AQ22:AQ176)</f>
        <v>2.3865173351771576E-3</v>
      </c>
      <c r="AR15" s="33" t="s">
        <v>51</v>
      </c>
      <c r="BB15" s="32">
        <f>STDEV(BB22:BB176)</f>
        <v>3.6286223820865019E-3</v>
      </c>
      <c r="BC15" s="33" t="s">
        <v>51</v>
      </c>
      <c r="BD15" s="34"/>
      <c r="BE15" s="32">
        <f>STDEV(BE22:BE176)</f>
        <v>4.3444032341940185E-3</v>
      </c>
      <c r="BF15" s="33" t="s">
        <v>51</v>
      </c>
    </row>
    <row r="16" spans="1:124" x14ac:dyDescent="0.25">
      <c r="A16" s="1">
        <v>46045</v>
      </c>
      <c r="B16" s="21">
        <v>128.04</v>
      </c>
      <c r="C16" s="21">
        <v>175.33</v>
      </c>
      <c r="D16" s="22">
        <v>-2.7196314276084502E-2</v>
      </c>
      <c r="E16" s="22">
        <v>-1.3089117941864299E-2</v>
      </c>
      <c r="F16" s="21">
        <v>0</v>
      </c>
      <c r="G16" s="21">
        <v>0</v>
      </c>
      <c r="H16" s="21">
        <v>0</v>
      </c>
      <c r="I16" s="21">
        <v>0</v>
      </c>
      <c r="J16" s="21">
        <v>0</v>
      </c>
      <c r="K16" s="21">
        <v>0</v>
      </c>
      <c r="L16" s="21">
        <v>128.04</v>
      </c>
      <c r="M16" s="21">
        <v>175.33</v>
      </c>
      <c r="N16" s="23">
        <v>1.36933770696657</v>
      </c>
      <c r="O16" s="23">
        <v>1.3022492118915701</v>
      </c>
      <c r="P16" s="23">
        <v>1.37026602551152</v>
      </c>
      <c r="R16" s="21">
        <v>166.73998909059699</v>
      </c>
      <c r="S16" s="21">
        <v>175.744792793247</v>
      </c>
      <c r="U16" s="22">
        <v>-5.0234264927200602E-2</v>
      </c>
      <c r="V16" s="22">
        <v>2.3629892818810899E-3</v>
      </c>
      <c r="X16" s="23">
        <v>1.36933770696657</v>
      </c>
      <c r="Y16" s="23">
        <v>1.3022759807794699</v>
      </c>
      <c r="Z16" s="23">
        <v>1.37026602551152</v>
      </c>
      <c r="AB16" s="21">
        <v>166.743416579003</v>
      </c>
      <c r="AC16" s="21">
        <v>175.744792793247</v>
      </c>
      <c r="AE16" s="22">
        <v>-5.0213709251274698E-2</v>
      </c>
      <c r="AF16" s="22">
        <v>2.3629892818810899E-3</v>
      </c>
      <c r="AQ16" s="35">
        <f>SQRT(252)*AQ14/AQ15</f>
        <v>0.60207141335122949</v>
      </c>
      <c r="AR16" s="33" t="s">
        <v>52</v>
      </c>
      <c r="BB16" s="35">
        <f>SQRT(252)*BB14/BB15</f>
        <v>-0.27550088927374466</v>
      </c>
      <c r="BC16" s="33" t="s">
        <v>52</v>
      </c>
      <c r="BD16" s="34"/>
      <c r="BE16" s="35">
        <f>SQRT(252)*BE14/BE15</f>
        <v>0.10062720891859844</v>
      </c>
      <c r="BF16" s="33" t="s">
        <v>52</v>
      </c>
    </row>
    <row r="17" spans="1:124" x14ac:dyDescent="0.25">
      <c r="A17" s="1">
        <v>46048</v>
      </c>
      <c r="B17" s="21">
        <v>127.86</v>
      </c>
      <c r="C17" s="21">
        <v>175.85</v>
      </c>
      <c r="D17" s="22">
        <v>-1.40679976308146E-3</v>
      </c>
      <c r="E17" s="22">
        <v>2.9614464379543702E-3</v>
      </c>
      <c r="F17" s="21">
        <v>0</v>
      </c>
      <c r="G17" s="21">
        <v>0</v>
      </c>
      <c r="H17" s="21">
        <v>0</v>
      </c>
      <c r="I17" s="21">
        <v>0</v>
      </c>
      <c r="J17" s="21">
        <v>0</v>
      </c>
      <c r="K17" s="21">
        <v>0</v>
      </c>
      <c r="L17" s="21">
        <v>127.86</v>
      </c>
      <c r="M17" s="21">
        <v>175.85</v>
      </c>
      <c r="N17" s="23">
        <v>1.3753323948068199</v>
      </c>
      <c r="O17" s="23">
        <v>1.3022492118915701</v>
      </c>
      <c r="P17" s="23">
        <v>1.36933340153839</v>
      </c>
      <c r="R17" s="21">
        <v>166.50558423245599</v>
      </c>
      <c r="S17" s="21">
        <v>175.20221402190401</v>
      </c>
      <c r="U17" s="22">
        <v>-5.46025111282364E-2</v>
      </c>
      <c r="V17" s="22">
        <v>-3.6905433862237302E-3</v>
      </c>
      <c r="X17" s="23">
        <v>1.3753323948068199</v>
      </c>
      <c r="Y17" s="23">
        <v>1.3022759807794699</v>
      </c>
      <c r="Z17" s="23">
        <v>1.36933340153839</v>
      </c>
      <c r="AB17" s="21">
        <v>166.509006902463</v>
      </c>
      <c r="AC17" s="21">
        <v>175.20221402190401</v>
      </c>
      <c r="AE17" s="22">
        <v>-5.4581955452310503E-2</v>
      </c>
      <c r="AF17" s="22">
        <v>-3.6905433862237302E-3</v>
      </c>
    </row>
    <row r="18" spans="1:124" x14ac:dyDescent="0.25">
      <c r="A18" s="1">
        <v>46049</v>
      </c>
      <c r="B18" s="21">
        <v>128.53</v>
      </c>
      <c r="C18" s="21">
        <v>176.9</v>
      </c>
      <c r="D18" s="22">
        <v>5.22642478345961E-3</v>
      </c>
      <c r="E18" s="22">
        <v>5.9532422457481797E-3</v>
      </c>
      <c r="F18" s="21">
        <v>0</v>
      </c>
      <c r="G18" s="21">
        <v>0</v>
      </c>
      <c r="H18" s="21">
        <v>0</v>
      </c>
      <c r="I18" s="21">
        <v>0</v>
      </c>
      <c r="J18" s="21">
        <v>0</v>
      </c>
      <c r="K18" s="21">
        <v>0</v>
      </c>
      <c r="L18" s="21">
        <v>128.53</v>
      </c>
      <c r="M18" s="21">
        <v>176.9</v>
      </c>
      <c r="N18" s="23">
        <v>1.3763323737648701</v>
      </c>
      <c r="O18" s="23">
        <v>1.3022492118915701</v>
      </c>
      <c r="P18" s="23">
        <v>1.3686627576916099</v>
      </c>
      <c r="R18" s="21">
        <v>167.37809120442401</v>
      </c>
      <c r="S18" s="21">
        <v>176.00042209972901</v>
      </c>
      <c r="U18" s="22">
        <v>-5.5329328590525001E-2</v>
      </c>
      <c r="V18" s="22">
        <v>-5.0982078365435501E-3</v>
      </c>
      <c r="X18" s="23">
        <v>1.3763323737648701</v>
      </c>
      <c r="Y18" s="23">
        <v>1.3022759807794699</v>
      </c>
      <c r="Z18" s="23">
        <v>1.3686627576916099</v>
      </c>
      <c r="AB18" s="21">
        <v>167.381531809585</v>
      </c>
      <c r="AC18" s="21">
        <v>176.00042209972901</v>
      </c>
      <c r="AE18" s="22">
        <v>-5.5308772914599E-2</v>
      </c>
      <c r="AF18" s="22">
        <v>-5.0982078365435501E-3</v>
      </c>
      <c r="BE18" s="4">
        <f>SUM(BE22:BE176)</f>
        <v>4.2685166816368615E-3</v>
      </c>
      <c r="BF18" s="32">
        <f>BF176</f>
        <v>4.2685166816368615E-3</v>
      </c>
    </row>
    <row r="19" spans="1:124" x14ac:dyDescent="0.25">
      <c r="A19" s="1">
        <v>46050</v>
      </c>
      <c r="B19" s="21">
        <v>125.94</v>
      </c>
      <c r="C19" s="21">
        <v>174.03</v>
      </c>
      <c r="D19" s="22">
        <v>-2.0356737061443801E-2</v>
      </c>
      <c r="E19" s="22">
        <v>-1.63569030196569E-2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125.94</v>
      </c>
      <c r="M19" s="21">
        <v>174.03</v>
      </c>
      <c r="N19" s="23">
        <v>1.3818484992853699</v>
      </c>
      <c r="O19" s="23">
        <v>1.3022492118915701</v>
      </c>
      <c r="P19" s="23">
        <v>1.3685189842854699</v>
      </c>
      <c r="R19" s="21">
        <v>164.005265745624</v>
      </c>
      <c r="S19" s="21">
        <v>172.36938770368101</v>
      </c>
      <c r="U19" s="22">
        <v>-5.9329162632311999E-2</v>
      </c>
      <c r="V19" s="22">
        <v>-9.5879212070025793E-3</v>
      </c>
      <c r="X19" s="23">
        <v>1.3818484992853699</v>
      </c>
      <c r="Y19" s="23">
        <v>1.3022759807794699</v>
      </c>
      <c r="Z19" s="23">
        <v>1.3685189842854699</v>
      </c>
      <c r="AB19" s="21">
        <v>164.00863701936601</v>
      </c>
      <c r="AC19" s="21">
        <v>172.36938770368101</v>
      </c>
      <c r="AE19" s="22">
        <v>-5.9308606956385998E-2</v>
      </c>
      <c r="AF19" s="22">
        <v>-9.5879212070025793E-3</v>
      </c>
      <c r="AI19" s="5"/>
      <c r="AJ19"/>
      <c r="AK19"/>
      <c r="AL19"/>
      <c r="AM19"/>
      <c r="AN19"/>
      <c r="AO19"/>
      <c r="AP19"/>
      <c r="AQ19" s="4">
        <f>SUM(AQ22:AQ176)</f>
        <v>1.4029559274908466E-2</v>
      </c>
      <c r="AR19" s="4">
        <f>AR176</f>
        <v>1.4029559274908466E-2</v>
      </c>
      <c r="AU19"/>
      <c r="AV19"/>
      <c r="AW19"/>
      <c r="AX19"/>
      <c r="AY19"/>
      <c r="AZ19"/>
      <c r="BA19"/>
      <c r="BB19" s="4">
        <f>SUM(BB22:BB176)</f>
        <v>-9.7610425932716047E-3</v>
      </c>
      <c r="BC19" s="4">
        <f>BC176</f>
        <v>-9.7610425932716047E-3</v>
      </c>
      <c r="BE19" s="2" t="s">
        <v>37</v>
      </c>
      <c r="BF19" s="2" t="s">
        <v>37</v>
      </c>
      <c r="BH19" s="2"/>
    </row>
    <row r="20" spans="1:124" x14ac:dyDescent="0.25">
      <c r="A20" s="1">
        <v>46051</v>
      </c>
      <c r="B20" s="21">
        <v>126.74</v>
      </c>
      <c r="C20" s="21">
        <v>174.25</v>
      </c>
      <c r="D20" s="22">
        <v>6.3321408347743599E-3</v>
      </c>
      <c r="E20" s="22">
        <v>1.26335149455057E-3</v>
      </c>
      <c r="F20" s="21">
        <v>0</v>
      </c>
      <c r="G20" s="21">
        <v>0</v>
      </c>
      <c r="H20" s="21">
        <v>0</v>
      </c>
      <c r="I20" s="21">
        <v>0</v>
      </c>
      <c r="J20" s="21">
        <v>0</v>
      </c>
      <c r="K20" s="21">
        <v>0</v>
      </c>
      <c r="L20" s="21">
        <v>126.74</v>
      </c>
      <c r="M20" s="21">
        <v>174.25</v>
      </c>
      <c r="N20" s="23">
        <v>1.3748619220451299</v>
      </c>
      <c r="O20" s="23">
        <v>1.3022492118915701</v>
      </c>
      <c r="P20" s="23">
        <v>1.36972540989165</v>
      </c>
      <c r="R20" s="21">
        <v>165.047065115138</v>
      </c>
      <c r="S20" s="21">
        <v>173.44609606834001</v>
      </c>
      <c r="U20" s="22">
        <v>-5.4260373292088299E-2</v>
      </c>
      <c r="V20" s="22">
        <v>-4.6241840115225996E-3</v>
      </c>
      <c r="X20" s="23">
        <v>1.3748619220451299</v>
      </c>
      <c r="Y20" s="23">
        <v>1.3022759807794699</v>
      </c>
      <c r="Z20" s="23">
        <v>1.36972540989165</v>
      </c>
      <c r="AB20" s="21">
        <v>165.05045780399001</v>
      </c>
      <c r="AC20" s="21">
        <v>173.44609606834001</v>
      </c>
      <c r="AE20" s="22">
        <v>-5.4239817616162297E-2</v>
      </c>
      <c r="AF20" s="22">
        <v>-4.6241840115225996E-3</v>
      </c>
      <c r="AI20" s="14" t="s">
        <v>38</v>
      </c>
      <c r="AJ20" s="2" t="s">
        <v>39</v>
      </c>
      <c r="AK20" s="2" t="s">
        <v>40</v>
      </c>
      <c r="AL20" s="2" t="s">
        <v>41</v>
      </c>
      <c r="AM20" s="2" t="s">
        <v>42</v>
      </c>
      <c r="AN20" s="2" t="s">
        <v>43</v>
      </c>
      <c r="AO20" s="2" t="str">
        <f>D1</f>
        <v>XBI log rtn</v>
      </c>
      <c r="AP20" s="2" t="str">
        <f>E1</f>
        <v>IBB log rtn</v>
      </c>
      <c r="AQ20" s="2" t="s">
        <v>44</v>
      </c>
      <c r="AR20" s="2" t="s">
        <v>45</v>
      </c>
      <c r="AT20" s="14" t="s">
        <v>38</v>
      </c>
      <c r="AU20" s="2" t="s">
        <v>40</v>
      </c>
      <c r="AV20" s="2" t="s">
        <v>39</v>
      </c>
      <c r="AW20" s="2" t="s">
        <v>41</v>
      </c>
      <c r="AX20" s="2" t="s">
        <v>42</v>
      </c>
      <c r="AY20" s="2" t="s">
        <v>43</v>
      </c>
      <c r="AZ20" s="4" t="str">
        <f>D1</f>
        <v>XBI log rtn</v>
      </c>
      <c r="BA20" s="4" t="str">
        <f>E1</f>
        <v>IBB log rtn</v>
      </c>
      <c r="BB20" s="2" t="s">
        <v>44</v>
      </c>
      <c r="BC20" s="2" t="s">
        <v>45</v>
      </c>
      <c r="BE20" s="2" t="s">
        <v>44</v>
      </c>
      <c r="BF20" s="2" t="s">
        <v>45</v>
      </c>
      <c r="BH20" s="2"/>
    </row>
    <row r="21" spans="1:124" x14ac:dyDescent="0.25">
      <c r="A21" s="1">
        <v>46052</v>
      </c>
      <c r="B21" s="21">
        <v>124.75</v>
      </c>
      <c r="C21" s="21">
        <v>172.43</v>
      </c>
      <c r="D21" s="22">
        <v>-1.58260092637428E-2</v>
      </c>
      <c r="E21" s="22">
        <v>-1.04996926285929E-2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124.75</v>
      </c>
      <c r="M21" s="21">
        <v>172.43</v>
      </c>
      <c r="N21" s="23">
        <v>1.38220440881763</v>
      </c>
      <c r="O21" s="23">
        <v>1.3022492118915701</v>
      </c>
      <c r="P21" s="23">
        <v>1.3707846123335301</v>
      </c>
      <c r="Q21" s="23">
        <v>1.37848330737452</v>
      </c>
      <c r="R21" s="21">
        <v>162.45558918347299</v>
      </c>
      <c r="S21" s="21">
        <v>170.87324488398301</v>
      </c>
      <c r="U21" s="22">
        <v>-5.9586689927238E-2</v>
      </c>
      <c r="V21" s="22">
        <v>-9.0693333653211593E-3</v>
      </c>
      <c r="X21" s="23">
        <v>1.38220440881763</v>
      </c>
      <c r="Y21" s="23">
        <v>1.3022759807794699</v>
      </c>
      <c r="Z21" s="23">
        <v>1.3707846123335301</v>
      </c>
      <c r="AA21" s="23">
        <v>1.37848330737452</v>
      </c>
      <c r="AB21" s="21">
        <v>162.45892860223901</v>
      </c>
      <c r="AC21" s="21">
        <v>170.87324488398301</v>
      </c>
      <c r="AE21" s="22">
        <v>-5.9566134251312103E-2</v>
      </c>
      <c r="AF21" s="22">
        <v>-9.0693333653211593E-3</v>
      </c>
      <c r="AI21" s="15">
        <v>-2.5000000000000001E-2</v>
      </c>
      <c r="AJ21"/>
      <c r="AK21"/>
      <c r="AL21"/>
      <c r="AM21">
        <f t="shared" ref="AM21:AM84" si="4">IF(F22+H22&gt;0,0,1)</f>
        <v>1</v>
      </c>
      <c r="AN21" s="16">
        <v>0</v>
      </c>
      <c r="AO21"/>
      <c r="AP21"/>
      <c r="AQ21"/>
      <c r="AR21"/>
      <c r="AT21" s="15">
        <v>1.4999999999999999E-2</v>
      </c>
      <c r="AU21"/>
      <c r="AV21"/>
      <c r="AW21"/>
      <c r="AX21">
        <f t="shared" ref="AX21:AX84" si="5">IF(F22+H22&gt;0,0,1)</f>
        <v>1</v>
      </c>
      <c r="AY21" s="16">
        <v>0</v>
      </c>
      <c r="AZ21"/>
      <c r="BA21"/>
      <c r="BB21"/>
      <c r="BC21"/>
    </row>
    <row r="22" spans="1:124" x14ac:dyDescent="0.25">
      <c r="A22" s="1">
        <v>46055</v>
      </c>
      <c r="B22" s="21">
        <v>127.35</v>
      </c>
      <c r="C22" s="21">
        <v>174.14</v>
      </c>
      <c r="D22" s="22">
        <v>2.0627466793837999E-2</v>
      </c>
      <c r="E22" s="22">
        <v>9.8682163884291508E-3</v>
      </c>
      <c r="F22" s="21">
        <v>0</v>
      </c>
      <c r="G22" s="21">
        <v>0</v>
      </c>
      <c r="H22" s="21">
        <v>0</v>
      </c>
      <c r="I22" s="21">
        <v>0</v>
      </c>
      <c r="J22" s="21">
        <v>0</v>
      </c>
      <c r="K22" s="21">
        <v>0</v>
      </c>
      <c r="L22" s="21">
        <v>127.35</v>
      </c>
      <c r="M22" s="21">
        <v>174.14</v>
      </c>
      <c r="N22" s="23">
        <v>1.3674126423243</v>
      </c>
      <c r="O22" s="23">
        <v>1.3022492118915701</v>
      </c>
      <c r="P22" s="23">
        <v>1.3706600366561501</v>
      </c>
      <c r="Q22" s="23">
        <v>1.3773180606230599</v>
      </c>
      <c r="R22" s="21">
        <v>165.84143713439099</v>
      </c>
      <c r="S22" s="21">
        <v>174.56942038067501</v>
      </c>
      <c r="T22" s="21">
        <v>175.549849194145</v>
      </c>
      <c r="U22" s="22">
        <v>-4.8827439521829399E-2</v>
      </c>
      <c r="V22" s="22">
        <v>2.4629136619045799E-3</v>
      </c>
      <c r="W22" s="22">
        <v>8.0634701657267202E-3</v>
      </c>
      <c r="X22" s="23">
        <v>1.3674126423243</v>
      </c>
      <c r="Y22" s="23">
        <v>1.3022759807794699</v>
      </c>
      <c r="Z22" s="23">
        <v>1.3706600366561501</v>
      </c>
      <c r="AA22" s="23">
        <v>1.3773180606230599</v>
      </c>
      <c r="AB22" s="21">
        <v>165.844846152266</v>
      </c>
      <c r="AC22" s="21">
        <v>174.56942038067501</v>
      </c>
      <c r="AD22" s="21">
        <v>175.549849194145</v>
      </c>
      <c r="AE22" s="22">
        <v>-4.8806883845903398E-2</v>
      </c>
      <c r="AF22" s="22">
        <v>2.4629136619045799E-3</v>
      </c>
      <c r="AG22" s="22">
        <v>8.0634701657267202E-3</v>
      </c>
      <c r="AI22" s="15">
        <v>-1.4999999999999999E-2</v>
      </c>
      <c r="AJ22">
        <f t="shared" ref="AJ22:AJ85" si="6">IF($AG22&lt;AI$21,1,0)</f>
        <v>0</v>
      </c>
      <c r="AK22">
        <f t="shared" ref="AK22:AK85" si="7">IF($AG22&gt;AI$22,1,0)</f>
        <v>1</v>
      </c>
      <c r="AL22">
        <f>AN21</f>
        <v>0</v>
      </c>
      <c r="AM22">
        <f t="shared" si="4"/>
        <v>1</v>
      </c>
      <c r="AN22">
        <f>IF(AJ21,1,IF(AK21,0,AL21))*AM21</f>
        <v>0</v>
      </c>
      <c r="AO22" s="17">
        <f t="shared" ref="AO22:AO85" si="8">AN22*D22</f>
        <v>0</v>
      </c>
      <c r="AP22" s="17">
        <f t="shared" ref="AP22:AP85" si="9">-AN22*$E22</f>
        <v>0</v>
      </c>
      <c r="AQ22" s="17">
        <f>AO22+AP22</f>
        <v>0</v>
      </c>
      <c r="AR22" s="11">
        <f>AR21+AQ22</f>
        <v>0</v>
      </c>
      <c r="AT22" s="15">
        <v>5.0000000000000001E-3</v>
      </c>
      <c r="AU22">
        <f t="shared" ref="AU22:AU85" si="10">IF($AG22&gt;AT$21,1,0)</f>
        <v>0</v>
      </c>
      <c r="AV22">
        <f t="shared" ref="AV22:AV85" si="11">IF($AG22&lt;AT$22,1,0)</f>
        <v>0</v>
      </c>
      <c r="AW22">
        <f>AY21</f>
        <v>0</v>
      </c>
      <c r="AX22">
        <f t="shared" si="5"/>
        <v>1</v>
      </c>
      <c r="AY22">
        <f>IF(AU21,1,IF(AV21,0,AW21))*AX21</f>
        <v>0</v>
      </c>
      <c r="AZ22" s="17">
        <f t="shared" ref="AZ22:AZ85" si="12">-AY22*D22</f>
        <v>0</v>
      </c>
      <c r="BA22" s="17">
        <f t="shared" ref="BA22:BA85" si="13">AY22*$E22</f>
        <v>0</v>
      </c>
      <c r="BB22" s="17">
        <f>AZ22+BA22</f>
        <v>0</v>
      </c>
      <c r="BC22" s="11">
        <f>BC21+BB22</f>
        <v>0</v>
      </c>
      <c r="BE22" s="11">
        <f>AQ22+BB22</f>
        <v>0</v>
      </c>
      <c r="BF22" s="11">
        <f>BF21+BE22</f>
        <v>0</v>
      </c>
      <c r="BH22" s="11"/>
    </row>
    <row r="23" spans="1:124" x14ac:dyDescent="0.25">
      <c r="A23" s="1">
        <v>46056</v>
      </c>
      <c r="B23" s="21">
        <v>127.65</v>
      </c>
      <c r="C23" s="21">
        <v>173.8</v>
      </c>
      <c r="D23" s="22">
        <v>2.3529422620268301E-3</v>
      </c>
      <c r="E23" s="22">
        <v>-1.9543605691777701E-3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127.65</v>
      </c>
      <c r="M23" s="21">
        <v>173.8</v>
      </c>
      <c r="N23" s="23">
        <v>1.3615354484919699</v>
      </c>
      <c r="O23" s="23">
        <v>1.3022492118915701</v>
      </c>
      <c r="P23" s="23">
        <v>1.3705537044201801</v>
      </c>
      <c r="Q23" s="23">
        <v>1.37575688048835</v>
      </c>
      <c r="R23" s="21">
        <v>166.23211189795899</v>
      </c>
      <c r="S23" s="21">
        <v>174.96475367915801</v>
      </c>
      <c r="T23" s="21">
        <v>175.81465043853299</v>
      </c>
      <c r="U23" s="22">
        <v>-4.4520136690624698E-2</v>
      </c>
      <c r="V23" s="22">
        <v>6.6793332593297998E-3</v>
      </c>
      <c r="W23" s="22">
        <v>1.15251047753844E-2</v>
      </c>
      <c r="X23" s="23">
        <v>1.3615354484919699</v>
      </c>
      <c r="Y23" s="23">
        <v>1.3022759807794699</v>
      </c>
      <c r="Z23" s="23">
        <v>1.3705537044201801</v>
      </c>
      <c r="AA23" s="23">
        <v>1.37575688048835</v>
      </c>
      <c r="AB23" s="21">
        <v>166.23552894649899</v>
      </c>
      <c r="AC23" s="21">
        <v>174.96475367915801</v>
      </c>
      <c r="AD23" s="21">
        <v>175.81465043853299</v>
      </c>
      <c r="AE23" s="22">
        <v>-4.4499581014698801E-2</v>
      </c>
      <c r="AF23" s="22">
        <v>6.6793332593297998E-3</v>
      </c>
      <c r="AG23" s="22">
        <v>1.15251047753844E-2</v>
      </c>
      <c r="AI23" s="5"/>
      <c r="AJ23">
        <f t="shared" si="6"/>
        <v>0</v>
      </c>
      <c r="AK23">
        <f t="shared" si="7"/>
        <v>1</v>
      </c>
      <c r="AL23">
        <f t="shared" ref="AL23:AL86" si="14">AN23</f>
        <v>0</v>
      </c>
      <c r="AM23">
        <f t="shared" si="4"/>
        <v>1</v>
      </c>
      <c r="AN23">
        <f t="shared" ref="AN23:AN86" si="15">IF(AJ22,1,IF(AK22,0,AL22))*AM22</f>
        <v>0</v>
      </c>
      <c r="AO23" s="17">
        <f t="shared" si="8"/>
        <v>0</v>
      </c>
      <c r="AP23" s="17">
        <f t="shared" si="9"/>
        <v>0</v>
      </c>
      <c r="AQ23" s="17">
        <f t="shared" ref="AQ23:AQ86" si="16">AO23+AP23</f>
        <v>0</v>
      </c>
      <c r="AR23" s="11">
        <f t="shared" ref="AR23:AR86" si="17">AR22+AQ23</f>
        <v>0</v>
      </c>
      <c r="AT23" s="5"/>
      <c r="AU23">
        <f t="shared" si="10"/>
        <v>0</v>
      </c>
      <c r="AV23">
        <f t="shared" si="11"/>
        <v>0</v>
      </c>
      <c r="AW23">
        <f t="shared" ref="AW23:AW86" si="18">AY23</f>
        <v>0</v>
      </c>
      <c r="AX23">
        <f t="shared" si="5"/>
        <v>1</v>
      </c>
      <c r="AY23">
        <f t="shared" ref="AY23:AY86" si="19">IF(AU22,1,IF(AV22,0,AW22))*AX22</f>
        <v>0</v>
      </c>
      <c r="AZ23" s="17">
        <f t="shared" si="12"/>
        <v>0</v>
      </c>
      <c r="BA23" s="17">
        <f t="shared" si="13"/>
        <v>0</v>
      </c>
      <c r="BB23" s="17">
        <f t="shared" ref="BB23:BB86" si="20">AZ23+BA23</f>
        <v>0</v>
      </c>
      <c r="BC23" s="11">
        <f t="shared" ref="BC23:BC86" si="21">BC22+BB23</f>
        <v>0</v>
      </c>
      <c r="BE23" s="11">
        <f t="shared" ref="BE23:BE86" si="22">AQ23+BB23</f>
        <v>0</v>
      </c>
      <c r="BF23" s="11">
        <f t="shared" ref="BF23:BF86" si="23">BF22+BE23</f>
        <v>0</v>
      </c>
      <c r="BH23" s="11"/>
    </row>
    <row r="24" spans="1:124" x14ac:dyDescent="0.25">
      <c r="A24" s="1">
        <v>46057</v>
      </c>
      <c r="B24" s="21">
        <v>125.29</v>
      </c>
      <c r="C24" s="21">
        <v>174.05</v>
      </c>
      <c r="D24" s="22">
        <v>-1.86610934300314E-2</v>
      </c>
      <c r="E24" s="22">
        <v>1.4374014261562299E-3</v>
      </c>
      <c r="F24" s="21">
        <v>0</v>
      </c>
      <c r="G24" s="21">
        <v>0</v>
      </c>
      <c r="H24" s="21">
        <v>0</v>
      </c>
      <c r="I24" s="21">
        <v>0</v>
      </c>
      <c r="J24" s="21">
        <v>0</v>
      </c>
      <c r="K24" s="21">
        <v>0</v>
      </c>
      <c r="L24" s="21">
        <v>125.29</v>
      </c>
      <c r="M24" s="21">
        <v>174.05</v>
      </c>
      <c r="N24" s="23">
        <v>1.3891771091068701</v>
      </c>
      <c r="O24" s="23">
        <v>1.3022492118915701</v>
      </c>
      <c r="P24" s="23">
        <v>1.3728198316204601</v>
      </c>
      <c r="Q24" s="23">
        <v>1.37508714228328</v>
      </c>
      <c r="R24" s="21">
        <v>163.15880375789499</v>
      </c>
      <c r="S24" s="21">
        <v>171.716673626805</v>
      </c>
      <c r="T24" s="21">
        <v>172.36857955638601</v>
      </c>
      <c r="U24" s="22">
        <v>-6.4618631546812494E-2</v>
      </c>
      <c r="V24" s="22">
        <v>-1.3496742001789901E-2</v>
      </c>
      <c r="W24" s="22">
        <v>-9.7075257911902399E-3</v>
      </c>
      <c r="X24" s="23">
        <v>1.3891771091068701</v>
      </c>
      <c r="Y24" s="23">
        <v>1.3022759807794699</v>
      </c>
      <c r="Z24" s="23">
        <v>1.3728198316204601</v>
      </c>
      <c r="AA24" s="23">
        <v>1.37508714228328</v>
      </c>
      <c r="AB24" s="21">
        <v>163.16215763186</v>
      </c>
      <c r="AC24" s="21">
        <v>171.716673626805</v>
      </c>
      <c r="AD24" s="21">
        <v>172.36857955638601</v>
      </c>
      <c r="AE24" s="22">
        <v>-6.4598075870886507E-2</v>
      </c>
      <c r="AF24" s="22">
        <v>-1.3496742001789901E-2</v>
      </c>
      <c r="AG24" s="22">
        <v>-9.7075257911902399E-3</v>
      </c>
      <c r="AI24" s="5"/>
      <c r="AJ24">
        <f t="shared" si="6"/>
        <v>0</v>
      </c>
      <c r="AK24">
        <f t="shared" si="7"/>
        <v>1</v>
      </c>
      <c r="AL24">
        <f t="shared" si="14"/>
        <v>0</v>
      </c>
      <c r="AM24">
        <f t="shared" si="4"/>
        <v>1</v>
      </c>
      <c r="AN24">
        <f t="shared" si="15"/>
        <v>0</v>
      </c>
      <c r="AO24" s="17">
        <f t="shared" si="8"/>
        <v>0</v>
      </c>
      <c r="AP24" s="17">
        <f t="shared" si="9"/>
        <v>0</v>
      </c>
      <c r="AQ24" s="17">
        <f t="shared" si="16"/>
        <v>0</v>
      </c>
      <c r="AR24" s="11">
        <f t="shared" si="17"/>
        <v>0</v>
      </c>
      <c r="AT24" s="5"/>
      <c r="AU24">
        <f t="shared" si="10"/>
        <v>0</v>
      </c>
      <c r="AV24">
        <f t="shared" si="11"/>
        <v>1</v>
      </c>
      <c r="AW24">
        <f t="shared" si="18"/>
        <v>0</v>
      </c>
      <c r="AX24">
        <f t="shared" si="5"/>
        <v>1</v>
      </c>
      <c r="AY24">
        <f t="shared" si="19"/>
        <v>0</v>
      </c>
      <c r="AZ24" s="17">
        <f t="shared" si="12"/>
        <v>0</v>
      </c>
      <c r="BA24" s="17">
        <f t="shared" si="13"/>
        <v>0</v>
      </c>
      <c r="BB24" s="17">
        <f t="shared" si="20"/>
        <v>0</v>
      </c>
      <c r="BC24" s="11">
        <f t="shared" si="21"/>
        <v>0</v>
      </c>
      <c r="BE24" s="11">
        <f t="shared" si="22"/>
        <v>0</v>
      </c>
      <c r="BF24" s="11">
        <f t="shared" si="23"/>
        <v>0</v>
      </c>
      <c r="BH24" s="11"/>
    </row>
    <row r="25" spans="1:124" x14ac:dyDescent="0.25">
      <c r="A25" s="1">
        <v>46058</v>
      </c>
      <c r="B25" s="21">
        <v>120.72</v>
      </c>
      <c r="C25" s="21">
        <v>170.04</v>
      </c>
      <c r="D25" s="22">
        <v>-3.7157235797867803E-2</v>
      </c>
      <c r="E25" s="22">
        <v>-2.33089107668586E-2</v>
      </c>
      <c r="F25" s="21">
        <v>0</v>
      </c>
      <c r="G25" s="21">
        <v>0</v>
      </c>
      <c r="H25" s="21">
        <v>0</v>
      </c>
      <c r="I25" s="21">
        <v>0</v>
      </c>
      <c r="J25" s="21">
        <v>0</v>
      </c>
      <c r="K25" s="21">
        <v>0</v>
      </c>
      <c r="L25" s="21">
        <v>120.72</v>
      </c>
      <c r="M25" s="21">
        <v>170.04</v>
      </c>
      <c r="N25" s="23">
        <v>1.40854870775347</v>
      </c>
      <c r="O25" s="23">
        <v>1.3022492118915701</v>
      </c>
      <c r="P25" s="23">
        <v>1.3786591213363</v>
      </c>
      <c r="Q25" s="23">
        <v>1.37561819231938</v>
      </c>
      <c r="R25" s="21">
        <v>157.20752485955001</v>
      </c>
      <c r="S25" s="21">
        <v>165.726810073222</v>
      </c>
      <c r="T25" s="21">
        <v>166.00051981643799</v>
      </c>
      <c r="U25" s="22">
        <v>-7.8466956577821698E-2</v>
      </c>
      <c r="V25" s="22">
        <v>-2.5692993273298499E-2</v>
      </c>
      <c r="W25" s="22">
        <v>-2.4042783714620802E-2</v>
      </c>
      <c r="X25" s="23">
        <v>1.40854870775347</v>
      </c>
      <c r="Y25" s="23">
        <v>1.3022759807794699</v>
      </c>
      <c r="Z25" s="23">
        <v>1.3786591213363</v>
      </c>
      <c r="AA25" s="23">
        <v>1.37561819231938</v>
      </c>
      <c r="AB25" s="21">
        <v>157.210756399698</v>
      </c>
      <c r="AC25" s="21">
        <v>165.726810073222</v>
      </c>
      <c r="AD25" s="21">
        <v>166.00051981643799</v>
      </c>
      <c r="AE25" s="22">
        <v>-7.8446400901895794E-2</v>
      </c>
      <c r="AF25" s="22">
        <v>-2.5692993273298499E-2</v>
      </c>
      <c r="AG25" s="22">
        <v>-2.4042783714620802E-2</v>
      </c>
      <c r="AI25" s="5"/>
      <c r="AJ25">
        <f t="shared" si="6"/>
        <v>0</v>
      </c>
      <c r="AK25">
        <f t="shared" si="7"/>
        <v>0</v>
      </c>
      <c r="AL25">
        <f t="shared" si="14"/>
        <v>0</v>
      </c>
      <c r="AM25">
        <f t="shared" si="4"/>
        <v>1</v>
      </c>
      <c r="AN25">
        <f t="shared" si="15"/>
        <v>0</v>
      </c>
      <c r="AO25" s="17">
        <f t="shared" si="8"/>
        <v>0</v>
      </c>
      <c r="AP25" s="17">
        <f t="shared" si="9"/>
        <v>0</v>
      </c>
      <c r="AQ25" s="17">
        <f t="shared" si="16"/>
        <v>0</v>
      </c>
      <c r="AR25" s="11">
        <f t="shared" si="17"/>
        <v>0</v>
      </c>
      <c r="AT25" s="5"/>
      <c r="AU25">
        <f t="shared" si="10"/>
        <v>0</v>
      </c>
      <c r="AV25">
        <f t="shared" si="11"/>
        <v>1</v>
      </c>
      <c r="AW25">
        <f t="shared" si="18"/>
        <v>0</v>
      </c>
      <c r="AX25">
        <f t="shared" si="5"/>
        <v>1</v>
      </c>
      <c r="AY25">
        <f t="shared" si="19"/>
        <v>0</v>
      </c>
      <c r="AZ25" s="17">
        <f t="shared" si="12"/>
        <v>0</v>
      </c>
      <c r="BA25" s="17">
        <f t="shared" si="13"/>
        <v>0</v>
      </c>
      <c r="BB25" s="17">
        <f t="shared" si="20"/>
        <v>0</v>
      </c>
      <c r="BC25" s="11">
        <f t="shared" si="21"/>
        <v>0</v>
      </c>
      <c r="BE25" s="11">
        <f t="shared" si="22"/>
        <v>0</v>
      </c>
      <c r="BF25" s="11">
        <f t="shared" si="23"/>
        <v>0</v>
      </c>
      <c r="BH25" s="11"/>
      <c r="DL25" s="7"/>
      <c r="DM25" s="7"/>
      <c r="DN25" s="7"/>
      <c r="DO25" s="7"/>
      <c r="DP25" s="7"/>
      <c r="DR25" s="7"/>
      <c r="DS25" s="7"/>
      <c r="DT25" s="7"/>
    </row>
    <row r="26" spans="1:124" x14ac:dyDescent="0.25">
      <c r="A26" s="1">
        <v>46059</v>
      </c>
      <c r="B26" s="21">
        <v>125.51</v>
      </c>
      <c r="C26" s="21">
        <v>174.98</v>
      </c>
      <c r="D26" s="22">
        <v>3.8911622212761503E-2</v>
      </c>
      <c r="E26" s="22">
        <v>2.8637978187529101E-2</v>
      </c>
      <c r="F26" s="21">
        <v>0</v>
      </c>
      <c r="G26" s="21">
        <v>0</v>
      </c>
      <c r="H26" s="21">
        <v>0</v>
      </c>
      <c r="I26" s="21">
        <v>0</v>
      </c>
      <c r="J26" s="21">
        <v>0</v>
      </c>
      <c r="K26" s="21">
        <v>0</v>
      </c>
      <c r="L26" s="21">
        <v>125.51</v>
      </c>
      <c r="M26" s="21">
        <v>174.98</v>
      </c>
      <c r="N26" s="23">
        <v>1.39415186040952</v>
      </c>
      <c r="O26" s="23">
        <v>1.3022492118915701</v>
      </c>
      <c r="P26" s="23">
        <v>1.38114053668059</v>
      </c>
      <c r="Q26" s="23">
        <v>1.3757032810960601</v>
      </c>
      <c r="R26" s="21">
        <v>163.44529858451099</v>
      </c>
      <c r="S26" s="21">
        <v>173.035506318919</v>
      </c>
      <c r="T26" s="21">
        <v>172.653839318005</v>
      </c>
      <c r="U26" s="22">
        <v>-6.8193312552589397E-2</v>
      </c>
      <c r="V26" s="22">
        <v>-1.1174869401263301E-2</v>
      </c>
      <c r="W26" s="22">
        <v>-1.33830205104177E-2</v>
      </c>
      <c r="X26" s="23">
        <v>1.39415186040952</v>
      </c>
      <c r="Y26" s="23">
        <v>1.3022759807794699</v>
      </c>
      <c r="Z26" s="23">
        <v>1.38114053668059</v>
      </c>
      <c r="AA26" s="23">
        <v>1.3757032810960601</v>
      </c>
      <c r="AB26" s="21">
        <v>163.44865834763101</v>
      </c>
      <c r="AC26" s="21">
        <v>173.035506318919</v>
      </c>
      <c r="AD26" s="21">
        <v>172.653839318005</v>
      </c>
      <c r="AE26" s="22">
        <v>-6.8172756876663507E-2</v>
      </c>
      <c r="AF26" s="22">
        <v>-1.1174869401263301E-2</v>
      </c>
      <c r="AG26" s="22">
        <v>-1.33830205104177E-2</v>
      </c>
      <c r="AI26" s="5"/>
      <c r="AJ26">
        <f t="shared" si="6"/>
        <v>0</v>
      </c>
      <c r="AK26">
        <f t="shared" si="7"/>
        <v>1</v>
      </c>
      <c r="AL26">
        <f t="shared" si="14"/>
        <v>0</v>
      </c>
      <c r="AM26">
        <f t="shared" si="4"/>
        <v>1</v>
      </c>
      <c r="AN26">
        <f t="shared" si="15"/>
        <v>0</v>
      </c>
      <c r="AO26" s="17">
        <f t="shared" si="8"/>
        <v>0</v>
      </c>
      <c r="AP26" s="17">
        <f t="shared" si="9"/>
        <v>0</v>
      </c>
      <c r="AQ26" s="17">
        <f t="shared" si="16"/>
        <v>0</v>
      </c>
      <c r="AR26" s="11">
        <f t="shared" si="17"/>
        <v>0</v>
      </c>
      <c r="AT26" s="5"/>
      <c r="AU26">
        <f t="shared" si="10"/>
        <v>0</v>
      </c>
      <c r="AV26">
        <f t="shared" si="11"/>
        <v>1</v>
      </c>
      <c r="AW26">
        <f t="shared" si="18"/>
        <v>0</v>
      </c>
      <c r="AX26">
        <f t="shared" si="5"/>
        <v>1</v>
      </c>
      <c r="AY26">
        <f t="shared" si="19"/>
        <v>0</v>
      </c>
      <c r="AZ26" s="17">
        <f t="shared" si="12"/>
        <v>0</v>
      </c>
      <c r="BA26" s="17">
        <f t="shared" si="13"/>
        <v>0</v>
      </c>
      <c r="BB26" s="17">
        <f t="shared" si="20"/>
        <v>0</v>
      </c>
      <c r="BC26" s="11">
        <f t="shared" si="21"/>
        <v>0</v>
      </c>
      <c r="BE26" s="11">
        <f t="shared" si="22"/>
        <v>0</v>
      </c>
      <c r="BF26" s="11">
        <f t="shared" si="23"/>
        <v>0</v>
      </c>
      <c r="BH26" s="11"/>
      <c r="DL26" s="7"/>
      <c r="DM26" s="8"/>
      <c r="DN26" s="8"/>
      <c r="DO26" s="8"/>
      <c r="DP26" s="8"/>
      <c r="DR26" s="8"/>
      <c r="DS26" s="8"/>
      <c r="DT26" s="8"/>
    </row>
    <row r="27" spans="1:124" x14ac:dyDescent="0.25">
      <c r="A27" s="1">
        <v>46062</v>
      </c>
      <c r="B27" s="21">
        <v>126.11</v>
      </c>
      <c r="C27" s="21">
        <v>174.37</v>
      </c>
      <c r="D27" s="22">
        <v>4.7691052954282097E-3</v>
      </c>
      <c r="E27" s="22">
        <v>-3.4922033487159998E-3</v>
      </c>
      <c r="F27" s="21">
        <v>0</v>
      </c>
      <c r="G27" s="21">
        <v>0</v>
      </c>
      <c r="H27" s="21">
        <v>0</v>
      </c>
      <c r="I27" s="21">
        <v>0</v>
      </c>
      <c r="J27" s="21">
        <v>0</v>
      </c>
      <c r="K27" s="21">
        <v>0</v>
      </c>
      <c r="L27" s="21">
        <v>126.11</v>
      </c>
      <c r="M27" s="21">
        <v>174.37</v>
      </c>
      <c r="N27" s="23">
        <v>1.3826817857425999</v>
      </c>
      <c r="O27" s="23">
        <v>1.3022492118915701</v>
      </c>
      <c r="P27" s="23">
        <v>1.38187547577417</v>
      </c>
      <c r="Q27" s="23">
        <v>1.37560443865628</v>
      </c>
      <c r="R27" s="21">
        <v>164.226648111646</v>
      </c>
      <c r="S27" s="21">
        <v>174.17563308078999</v>
      </c>
      <c r="T27" s="21">
        <v>173.48994077902401</v>
      </c>
      <c r="U27" s="22">
        <v>-5.9932003908445101E-2</v>
      </c>
      <c r="V27" s="22">
        <v>-1.1153026801074199E-3</v>
      </c>
      <c r="W27" s="22">
        <v>-5.0598588421687596E-3</v>
      </c>
      <c r="X27" s="23">
        <v>1.3826817857425999</v>
      </c>
      <c r="Y27" s="23">
        <v>1.3022759807794699</v>
      </c>
      <c r="Z27" s="23">
        <v>1.38187547577417</v>
      </c>
      <c r="AA27" s="23">
        <v>1.37560443865628</v>
      </c>
      <c r="AB27" s="21">
        <v>164.230023936099</v>
      </c>
      <c r="AC27" s="21">
        <v>174.17563308078999</v>
      </c>
      <c r="AD27" s="21">
        <v>173.48994077902401</v>
      </c>
      <c r="AE27" s="22">
        <v>-5.9911448232519197E-2</v>
      </c>
      <c r="AF27" s="22">
        <v>-1.1153026801074199E-3</v>
      </c>
      <c r="AG27" s="22">
        <v>-5.0598588421687596E-3</v>
      </c>
      <c r="AI27" s="5"/>
      <c r="AJ27">
        <f t="shared" si="6"/>
        <v>0</v>
      </c>
      <c r="AK27">
        <f t="shared" si="7"/>
        <v>1</v>
      </c>
      <c r="AL27">
        <f t="shared" si="14"/>
        <v>0</v>
      </c>
      <c r="AM27">
        <f t="shared" si="4"/>
        <v>1</v>
      </c>
      <c r="AN27">
        <f t="shared" si="15"/>
        <v>0</v>
      </c>
      <c r="AO27" s="17">
        <f t="shared" si="8"/>
        <v>0</v>
      </c>
      <c r="AP27" s="17">
        <f t="shared" si="9"/>
        <v>0</v>
      </c>
      <c r="AQ27" s="17">
        <f t="shared" si="16"/>
        <v>0</v>
      </c>
      <c r="AR27" s="11">
        <f t="shared" si="17"/>
        <v>0</v>
      </c>
      <c r="AT27" s="5"/>
      <c r="AU27">
        <f t="shared" si="10"/>
        <v>0</v>
      </c>
      <c r="AV27">
        <f t="shared" si="11"/>
        <v>1</v>
      </c>
      <c r="AW27">
        <f t="shared" si="18"/>
        <v>0</v>
      </c>
      <c r="AX27">
        <f t="shared" si="5"/>
        <v>1</v>
      </c>
      <c r="AY27">
        <f t="shared" si="19"/>
        <v>0</v>
      </c>
      <c r="AZ27" s="17">
        <f t="shared" si="12"/>
        <v>0</v>
      </c>
      <c r="BA27" s="17">
        <f t="shared" si="13"/>
        <v>0</v>
      </c>
      <c r="BB27" s="17">
        <f t="shared" si="20"/>
        <v>0</v>
      </c>
      <c r="BC27" s="11">
        <f t="shared" si="21"/>
        <v>0</v>
      </c>
      <c r="BE27" s="11">
        <f t="shared" si="22"/>
        <v>0</v>
      </c>
      <c r="BF27" s="11">
        <f t="shared" si="23"/>
        <v>0</v>
      </c>
      <c r="BH27" s="11"/>
      <c r="DL27" s="7"/>
      <c r="DM27" s="8"/>
      <c r="DN27" s="8"/>
      <c r="DO27" s="8"/>
      <c r="DP27" s="8"/>
      <c r="DR27" s="8"/>
      <c r="DS27" s="8"/>
      <c r="DT27" s="8"/>
    </row>
    <row r="28" spans="1:124" x14ac:dyDescent="0.25">
      <c r="A28" s="1">
        <v>46063</v>
      </c>
      <c r="B28" s="21">
        <v>125.34</v>
      </c>
      <c r="C28" s="21">
        <v>172.06</v>
      </c>
      <c r="D28" s="22">
        <v>-6.1244971712537E-3</v>
      </c>
      <c r="E28" s="22">
        <v>-1.3336225136200299E-2</v>
      </c>
      <c r="F28" s="21">
        <v>0</v>
      </c>
      <c r="G28" s="21">
        <v>0</v>
      </c>
      <c r="H28" s="21">
        <v>0</v>
      </c>
      <c r="I28" s="21">
        <v>0</v>
      </c>
      <c r="J28" s="21">
        <v>0</v>
      </c>
      <c r="K28" s="21">
        <v>0</v>
      </c>
      <c r="L28" s="21">
        <v>125.34</v>
      </c>
      <c r="M28" s="21">
        <v>172.06</v>
      </c>
      <c r="N28" s="23">
        <v>1.37274613052497</v>
      </c>
      <c r="O28" s="23">
        <v>1.3022492118915701</v>
      </c>
      <c r="P28" s="23">
        <v>1.3815168514501801</v>
      </c>
      <c r="Q28" s="23">
        <v>1.3750898045708899</v>
      </c>
      <c r="R28" s="21">
        <v>163.22391621848899</v>
      </c>
      <c r="S28" s="21">
        <v>173.204272133535</v>
      </c>
      <c r="T28" s="21">
        <v>172.41826034117801</v>
      </c>
      <c r="U28" s="22">
        <v>-5.2720275943498401E-2</v>
      </c>
      <c r="V28" s="22">
        <v>6.6284085289451296E-3</v>
      </c>
      <c r="W28" s="22">
        <v>2.0800178797415799E-3</v>
      </c>
      <c r="X28" s="23">
        <v>1.37274613052497</v>
      </c>
      <c r="Y28" s="23">
        <v>1.3022759807794699</v>
      </c>
      <c r="Z28" s="23">
        <v>1.3815168514501801</v>
      </c>
      <c r="AA28" s="23">
        <v>1.3750898045708899</v>
      </c>
      <c r="AB28" s="21">
        <v>163.22727143089901</v>
      </c>
      <c r="AC28" s="21">
        <v>173.204272133535</v>
      </c>
      <c r="AD28" s="21">
        <v>172.41826034117801</v>
      </c>
      <c r="AE28" s="22">
        <v>-5.2699720267572601E-2</v>
      </c>
      <c r="AF28" s="22">
        <v>6.6284085289451296E-3</v>
      </c>
      <c r="AG28" s="22">
        <v>2.0800178797415799E-3</v>
      </c>
      <c r="AI28" s="5"/>
      <c r="AJ28">
        <f t="shared" si="6"/>
        <v>0</v>
      </c>
      <c r="AK28">
        <f t="shared" si="7"/>
        <v>1</v>
      </c>
      <c r="AL28">
        <f t="shared" si="14"/>
        <v>0</v>
      </c>
      <c r="AM28">
        <f t="shared" si="4"/>
        <v>1</v>
      </c>
      <c r="AN28">
        <f t="shared" si="15"/>
        <v>0</v>
      </c>
      <c r="AO28" s="17">
        <f t="shared" si="8"/>
        <v>0</v>
      </c>
      <c r="AP28" s="17">
        <f t="shared" si="9"/>
        <v>0</v>
      </c>
      <c r="AQ28" s="17">
        <f t="shared" si="16"/>
        <v>0</v>
      </c>
      <c r="AR28" s="11">
        <f t="shared" si="17"/>
        <v>0</v>
      </c>
      <c r="AT28" s="5"/>
      <c r="AU28">
        <f t="shared" si="10"/>
        <v>0</v>
      </c>
      <c r="AV28">
        <f t="shared" si="11"/>
        <v>1</v>
      </c>
      <c r="AW28">
        <f t="shared" si="18"/>
        <v>0</v>
      </c>
      <c r="AX28">
        <f t="shared" si="5"/>
        <v>1</v>
      </c>
      <c r="AY28">
        <f t="shared" si="19"/>
        <v>0</v>
      </c>
      <c r="AZ28" s="17">
        <f t="shared" si="12"/>
        <v>0</v>
      </c>
      <c r="BA28" s="17">
        <f t="shared" si="13"/>
        <v>0</v>
      </c>
      <c r="BB28" s="17">
        <f t="shared" si="20"/>
        <v>0</v>
      </c>
      <c r="BC28" s="11">
        <f t="shared" si="21"/>
        <v>0</v>
      </c>
      <c r="BE28" s="11">
        <f t="shared" si="22"/>
        <v>0</v>
      </c>
      <c r="BF28" s="11">
        <f t="shared" si="23"/>
        <v>0</v>
      </c>
      <c r="BH28" s="11"/>
      <c r="DL28" s="7"/>
      <c r="DM28" s="8"/>
      <c r="DN28" s="8"/>
      <c r="DO28" s="8"/>
      <c r="DP28" s="9"/>
      <c r="DR28" s="8"/>
      <c r="DS28" s="8"/>
      <c r="DT28" s="8"/>
    </row>
    <row r="29" spans="1:124" x14ac:dyDescent="0.25">
      <c r="A29" s="1">
        <v>46064</v>
      </c>
      <c r="B29" s="21">
        <v>124.65</v>
      </c>
      <c r="C29" s="21">
        <v>172.7</v>
      </c>
      <c r="D29" s="22">
        <v>-5.5202348269625199E-3</v>
      </c>
      <c r="E29" s="22">
        <v>3.7127319594306798E-3</v>
      </c>
      <c r="F29" s="21">
        <v>0</v>
      </c>
      <c r="G29" s="21">
        <v>0</v>
      </c>
      <c r="H29" s="21">
        <v>0</v>
      </c>
      <c r="I29" s="21">
        <v>0</v>
      </c>
      <c r="J29" s="21">
        <v>0</v>
      </c>
      <c r="K29" s="21">
        <v>0</v>
      </c>
      <c r="L29" s="21">
        <v>124.65</v>
      </c>
      <c r="M29" s="21">
        <v>172.7</v>
      </c>
      <c r="N29" s="23">
        <v>1.38547934215804</v>
      </c>
      <c r="O29" s="23">
        <v>1.3022492118915701</v>
      </c>
      <c r="P29" s="23">
        <v>1.38187993573745</v>
      </c>
      <c r="Q29" s="23">
        <v>1.3751994600114601</v>
      </c>
      <c r="R29" s="21">
        <v>162.32536426228401</v>
      </c>
      <c r="S29" s="21">
        <v>172.20607553326499</v>
      </c>
      <c r="T29" s="21">
        <v>171.40494413976199</v>
      </c>
      <c r="U29" s="22">
        <v>-6.1953242729891798E-2</v>
      </c>
      <c r="V29" s="22">
        <v>-2.86411193896528E-3</v>
      </c>
      <c r="W29" s="22">
        <v>-7.5271337820944596E-3</v>
      </c>
      <c r="X29" s="23">
        <v>1.38547934215804</v>
      </c>
      <c r="Y29" s="23">
        <v>1.3022759807794699</v>
      </c>
      <c r="Z29" s="23">
        <v>1.38187993573745</v>
      </c>
      <c r="AA29" s="23">
        <v>1.3751994600114601</v>
      </c>
      <c r="AB29" s="21">
        <v>162.32870100416099</v>
      </c>
      <c r="AC29" s="21">
        <v>172.20607553326499</v>
      </c>
      <c r="AD29" s="21">
        <v>171.40494413976199</v>
      </c>
      <c r="AE29" s="22">
        <v>-6.19326870539657E-2</v>
      </c>
      <c r="AF29" s="22">
        <v>-2.86411193896528E-3</v>
      </c>
      <c r="AG29" s="22">
        <v>-7.5271337820944596E-3</v>
      </c>
      <c r="AI29" s="5"/>
      <c r="AJ29">
        <f t="shared" si="6"/>
        <v>0</v>
      </c>
      <c r="AK29">
        <f t="shared" si="7"/>
        <v>1</v>
      </c>
      <c r="AL29">
        <f t="shared" si="14"/>
        <v>0</v>
      </c>
      <c r="AM29">
        <f t="shared" si="4"/>
        <v>1</v>
      </c>
      <c r="AN29">
        <f t="shared" si="15"/>
        <v>0</v>
      </c>
      <c r="AO29" s="17">
        <f t="shared" si="8"/>
        <v>0</v>
      </c>
      <c r="AP29" s="17">
        <f t="shared" si="9"/>
        <v>0</v>
      </c>
      <c r="AQ29" s="17">
        <f t="shared" si="16"/>
        <v>0</v>
      </c>
      <c r="AR29" s="11">
        <f t="shared" si="17"/>
        <v>0</v>
      </c>
      <c r="AT29" s="5"/>
      <c r="AU29">
        <f t="shared" si="10"/>
        <v>0</v>
      </c>
      <c r="AV29">
        <f t="shared" si="11"/>
        <v>1</v>
      </c>
      <c r="AW29">
        <f t="shared" si="18"/>
        <v>0</v>
      </c>
      <c r="AX29">
        <f t="shared" si="5"/>
        <v>1</v>
      </c>
      <c r="AY29">
        <f t="shared" si="19"/>
        <v>0</v>
      </c>
      <c r="AZ29" s="17">
        <f t="shared" si="12"/>
        <v>0</v>
      </c>
      <c r="BA29" s="17">
        <f t="shared" si="13"/>
        <v>0</v>
      </c>
      <c r="BB29" s="17">
        <f t="shared" si="20"/>
        <v>0</v>
      </c>
      <c r="BC29" s="11">
        <f t="shared" si="21"/>
        <v>0</v>
      </c>
      <c r="BE29" s="11">
        <f t="shared" si="22"/>
        <v>0</v>
      </c>
      <c r="BF29" s="11">
        <f t="shared" si="23"/>
        <v>0</v>
      </c>
      <c r="BH29" s="11"/>
      <c r="DL29" s="7"/>
      <c r="DM29" s="8"/>
      <c r="DN29" s="8"/>
      <c r="DO29" s="8"/>
      <c r="DP29" s="8"/>
      <c r="DR29" s="8"/>
      <c r="DS29" s="8"/>
      <c r="DT29" s="8"/>
    </row>
    <row r="30" spans="1:124" x14ac:dyDescent="0.25">
      <c r="A30" s="1">
        <v>46065</v>
      </c>
      <c r="B30" s="21">
        <v>123.18</v>
      </c>
      <c r="C30" s="21">
        <v>170.64</v>
      </c>
      <c r="D30" s="22">
        <v>-1.18631097106696E-2</v>
      </c>
      <c r="E30" s="22">
        <v>-1.19999109895378E-2</v>
      </c>
      <c r="F30" s="21">
        <v>0</v>
      </c>
      <c r="G30" s="21">
        <v>0</v>
      </c>
      <c r="H30" s="21">
        <v>0</v>
      </c>
      <c r="I30" s="21">
        <v>0</v>
      </c>
      <c r="J30" s="21">
        <v>0</v>
      </c>
      <c r="K30" s="21">
        <v>0</v>
      </c>
      <c r="L30" s="21">
        <v>123.18</v>
      </c>
      <c r="M30" s="21">
        <v>170.64</v>
      </c>
      <c r="N30" s="23">
        <v>1.38528981977593</v>
      </c>
      <c r="O30" s="23">
        <v>1.3022492118915701</v>
      </c>
      <c r="P30" s="23">
        <v>1.3829227255105301</v>
      </c>
      <c r="Q30" s="23">
        <v>1.3763240677010899</v>
      </c>
      <c r="R30" s="21">
        <v>160.41105792080401</v>
      </c>
      <c r="S30" s="21">
        <v>170.219970484139</v>
      </c>
      <c r="T30" s="21">
        <v>169.39706948421099</v>
      </c>
      <c r="U30" s="22">
        <v>-6.1816441451023697E-2</v>
      </c>
      <c r="V30" s="22">
        <v>-2.46452951260558E-3</v>
      </c>
      <c r="W30" s="22">
        <v>-7.3105914795945203E-3</v>
      </c>
      <c r="X30" s="23">
        <v>1.38528981977593</v>
      </c>
      <c r="Y30" s="23">
        <v>1.3022759807794699</v>
      </c>
      <c r="Z30" s="23">
        <v>1.3829227255105301</v>
      </c>
      <c r="AA30" s="23">
        <v>1.3763240677010899</v>
      </c>
      <c r="AB30" s="21">
        <v>160.41435531241501</v>
      </c>
      <c r="AC30" s="21">
        <v>170.219970484139</v>
      </c>
      <c r="AD30" s="21">
        <v>169.39706948421099</v>
      </c>
      <c r="AE30" s="22">
        <v>-6.1795885775097599E-2</v>
      </c>
      <c r="AF30" s="22">
        <v>-2.46452951260558E-3</v>
      </c>
      <c r="AG30" s="22">
        <v>-7.3105914795945203E-3</v>
      </c>
      <c r="AI30" s="5"/>
      <c r="AJ30">
        <f t="shared" si="6"/>
        <v>0</v>
      </c>
      <c r="AK30">
        <f t="shared" si="7"/>
        <v>1</v>
      </c>
      <c r="AL30">
        <f t="shared" si="14"/>
        <v>0</v>
      </c>
      <c r="AM30">
        <f t="shared" si="4"/>
        <v>1</v>
      </c>
      <c r="AN30">
        <f t="shared" si="15"/>
        <v>0</v>
      </c>
      <c r="AO30" s="17">
        <f t="shared" si="8"/>
        <v>0</v>
      </c>
      <c r="AP30" s="17">
        <f t="shared" si="9"/>
        <v>0</v>
      </c>
      <c r="AQ30" s="17">
        <f t="shared" si="16"/>
        <v>0</v>
      </c>
      <c r="AR30" s="11">
        <f t="shared" si="17"/>
        <v>0</v>
      </c>
      <c r="AT30" s="5"/>
      <c r="AU30">
        <f t="shared" si="10"/>
        <v>0</v>
      </c>
      <c r="AV30">
        <f t="shared" si="11"/>
        <v>1</v>
      </c>
      <c r="AW30">
        <f t="shared" si="18"/>
        <v>0</v>
      </c>
      <c r="AX30">
        <f t="shared" si="5"/>
        <v>1</v>
      </c>
      <c r="AY30">
        <f t="shared" si="19"/>
        <v>0</v>
      </c>
      <c r="AZ30" s="17">
        <f t="shared" si="12"/>
        <v>0</v>
      </c>
      <c r="BA30" s="17">
        <f t="shared" si="13"/>
        <v>0</v>
      </c>
      <c r="BB30" s="17">
        <f t="shared" si="20"/>
        <v>0</v>
      </c>
      <c r="BC30" s="11">
        <f t="shared" si="21"/>
        <v>0</v>
      </c>
      <c r="BE30" s="11">
        <f t="shared" si="22"/>
        <v>0</v>
      </c>
      <c r="BF30" s="11">
        <f t="shared" si="23"/>
        <v>0</v>
      </c>
      <c r="BH30" s="11"/>
      <c r="DL30" s="7"/>
      <c r="DM30" s="8"/>
      <c r="DN30" s="8"/>
      <c r="DO30" s="8"/>
      <c r="DP30" s="8"/>
      <c r="DR30" s="8"/>
      <c r="DS30" s="8"/>
      <c r="DT30" s="8"/>
    </row>
    <row r="31" spans="1:124" x14ac:dyDescent="0.25">
      <c r="A31" s="1">
        <v>46066</v>
      </c>
      <c r="B31" s="21">
        <v>122.86</v>
      </c>
      <c r="C31" s="21">
        <v>172.5</v>
      </c>
      <c r="D31" s="22">
        <v>-2.6012045231159301E-3</v>
      </c>
      <c r="E31" s="22">
        <v>1.0841162308319399E-2</v>
      </c>
      <c r="F31" s="21">
        <v>0</v>
      </c>
      <c r="G31" s="21">
        <v>0</v>
      </c>
      <c r="H31" s="21">
        <v>0</v>
      </c>
      <c r="I31" s="21">
        <v>0</v>
      </c>
      <c r="J31" s="21">
        <v>0</v>
      </c>
      <c r="K31" s="21">
        <v>0</v>
      </c>
      <c r="L31" s="21">
        <v>122.86</v>
      </c>
      <c r="M31" s="21">
        <v>172.5</v>
      </c>
      <c r="N31" s="23">
        <v>1.4040371154159199</v>
      </c>
      <c r="O31" s="23">
        <v>1.3022492118915701</v>
      </c>
      <c r="P31" s="23">
        <v>1.38510599617036</v>
      </c>
      <c r="Q31" s="23">
        <v>1.3779453042519401</v>
      </c>
      <c r="R31" s="21">
        <v>159.994338172998</v>
      </c>
      <c r="S31" s="21">
        <v>169.90588605622401</v>
      </c>
      <c r="T31" s="21">
        <v>169.095174957756</v>
      </c>
      <c r="U31" s="22">
        <v>-7.52588082824589E-2</v>
      </c>
      <c r="V31" s="22">
        <v>-1.51525641545189E-2</v>
      </c>
      <c r="W31" s="22">
        <v>-1.9935514635967998E-2</v>
      </c>
      <c r="X31" s="23">
        <v>1.4040371154159199</v>
      </c>
      <c r="Y31" s="23">
        <v>1.3022759807794699</v>
      </c>
      <c r="Z31" s="23">
        <v>1.38510599617036</v>
      </c>
      <c r="AA31" s="23">
        <v>1.3779453042519401</v>
      </c>
      <c r="AB31" s="21">
        <v>159.99762699856601</v>
      </c>
      <c r="AC31" s="21">
        <v>169.90588605622401</v>
      </c>
      <c r="AD31" s="21">
        <v>169.095174957756</v>
      </c>
      <c r="AE31" s="22">
        <v>-7.5238252606532899E-2</v>
      </c>
      <c r="AF31" s="22">
        <v>-1.51525641545189E-2</v>
      </c>
      <c r="AG31" s="22">
        <v>-1.9935514635967998E-2</v>
      </c>
      <c r="AI31" s="5"/>
      <c r="AJ31">
        <f t="shared" si="6"/>
        <v>0</v>
      </c>
      <c r="AK31">
        <f t="shared" si="7"/>
        <v>0</v>
      </c>
      <c r="AL31">
        <f t="shared" si="14"/>
        <v>0</v>
      </c>
      <c r="AM31">
        <f t="shared" si="4"/>
        <v>1</v>
      </c>
      <c r="AN31">
        <f t="shared" si="15"/>
        <v>0</v>
      </c>
      <c r="AO31" s="17">
        <f t="shared" si="8"/>
        <v>0</v>
      </c>
      <c r="AP31" s="17">
        <f t="shared" si="9"/>
        <v>0</v>
      </c>
      <c r="AQ31" s="17">
        <f t="shared" si="16"/>
        <v>0</v>
      </c>
      <c r="AR31" s="11">
        <f t="shared" si="17"/>
        <v>0</v>
      </c>
      <c r="AT31" s="5"/>
      <c r="AU31">
        <f t="shared" si="10"/>
        <v>0</v>
      </c>
      <c r="AV31">
        <f t="shared" si="11"/>
        <v>1</v>
      </c>
      <c r="AW31">
        <f t="shared" si="18"/>
        <v>0</v>
      </c>
      <c r="AX31">
        <f t="shared" si="5"/>
        <v>1</v>
      </c>
      <c r="AY31">
        <f t="shared" si="19"/>
        <v>0</v>
      </c>
      <c r="AZ31" s="17">
        <f t="shared" si="12"/>
        <v>0</v>
      </c>
      <c r="BA31" s="17">
        <f t="shared" si="13"/>
        <v>0</v>
      </c>
      <c r="BB31" s="17">
        <f t="shared" si="20"/>
        <v>0</v>
      </c>
      <c r="BC31" s="11">
        <f t="shared" si="21"/>
        <v>0</v>
      </c>
      <c r="BE31" s="11">
        <f t="shared" si="22"/>
        <v>0</v>
      </c>
      <c r="BF31" s="11">
        <f t="shared" si="23"/>
        <v>0</v>
      </c>
      <c r="BH31" s="11"/>
      <c r="DL31" s="7"/>
      <c r="DM31" s="8"/>
      <c r="DN31" s="8"/>
      <c r="DO31" s="8"/>
      <c r="DP31" s="8"/>
      <c r="DR31" s="8"/>
      <c r="DS31" s="8"/>
      <c r="DT31" s="8"/>
    </row>
    <row r="32" spans="1:124" x14ac:dyDescent="0.25">
      <c r="A32" s="1">
        <v>46070</v>
      </c>
      <c r="B32" s="21">
        <v>124.63</v>
      </c>
      <c r="C32" s="21">
        <v>174.02</v>
      </c>
      <c r="D32" s="22">
        <v>1.4303852102504001E-2</v>
      </c>
      <c r="E32" s="22">
        <v>8.7729986664639194E-3</v>
      </c>
      <c r="F32" s="21">
        <v>0</v>
      </c>
      <c r="G32" s="21">
        <v>0</v>
      </c>
      <c r="H32" s="21">
        <v>0</v>
      </c>
      <c r="I32" s="21">
        <v>0</v>
      </c>
      <c r="J32" s="21">
        <v>0</v>
      </c>
      <c r="K32" s="21">
        <v>0</v>
      </c>
      <c r="L32" s="21">
        <v>124.63</v>
      </c>
      <c r="M32" s="21">
        <v>174.02</v>
      </c>
      <c r="N32" s="23">
        <v>1.3962930273609799</v>
      </c>
      <c r="O32" s="23">
        <v>1.3022492118915701</v>
      </c>
      <c r="P32" s="23">
        <v>1.38799403467403</v>
      </c>
      <c r="Q32" s="23">
        <v>1.37932703566509</v>
      </c>
      <c r="R32" s="21">
        <v>162.299319278046</v>
      </c>
      <c r="S32" s="21">
        <v>172.625760302712</v>
      </c>
      <c r="T32" s="21">
        <v>171.73332326892</v>
      </c>
      <c r="U32" s="22">
        <v>-6.9727954846418805E-2</v>
      </c>
      <c r="V32" s="22">
        <v>-8.0442190577313197E-3</v>
      </c>
      <c r="W32" s="22">
        <v>-1.3227407620736001E-2</v>
      </c>
      <c r="X32" s="23">
        <v>1.3962930273609799</v>
      </c>
      <c r="Y32" s="23">
        <v>1.3022759807794699</v>
      </c>
      <c r="Z32" s="23">
        <v>1.38799403467403</v>
      </c>
      <c r="AA32" s="23">
        <v>1.37932703566509</v>
      </c>
      <c r="AB32" s="21">
        <v>162.302655484545</v>
      </c>
      <c r="AC32" s="21">
        <v>172.625760302712</v>
      </c>
      <c r="AD32" s="21">
        <v>171.73332326892</v>
      </c>
      <c r="AE32" s="22">
        <v>-6.9707399170492901E-2</v>
      </c>
      <c r="AF32" s="22">
        <v>-8.0442190577313197E-3</v>
      </c>
      <c r="AG32" s="22">
        <v>-1.3227407620736001E-2</v>
      </c>
      <c r="AI32" s="5"/>
      <c r="AJ32">
        <f t="shared" si="6"/>
        <v>0</v>
      </c>
      <c r="AK32">
        <f t="shared" si="7"/>
        <v>1</v>
      </c>
      <c r="AL32">
        <f t="shared" si="14"/>
        <v>0</v>
      </c>
      <c r="AM32">
        <f t="shared" si="4"/>
        <v>1</v>
      </c>
      <c r="AN32">
        <f t="shared" si="15"/>
        <v>0</v>
      </c>
      <c r="AO32" s="17">
        <f t="shared" si="8"/>
        <v>0</v>
      </c>
      <c r="AP32" s="17">
        <f t="shared" si="9"/>
        <v>0</v>
      </c>
      <c r="AQ32" s="17">
        <f t="shared" si="16"/>
        <v>0</v>
      </c>
      <c r="AR32" s="11">
        <f t="shared" si="17"/>
        <v>0</v>
      </c>
      <c r="AT32" s="5"/>
      <c r="AU32">
        <f t="shared" si="10"/>
        <v>0</v>
      </c>
      <c r="AV32">
        <f t="shared" si="11"/>
        <v>1</v>
      </c>
      <c r="AW32">
        <f t="shared" si="18"/>
        <v>0</v>
      </c>
      <c r="AX32">
        <f t="shared" si="5"/>
        <v>1</v>
      </c>
      <c r="AY32">
        <f t="shared" si="19"/>
        <v>0</v>
      </c>
      <c r="AZ32" s="17">
        <f t="shared" si="12"/>
        <v>0</v>
      </c>
      <c r="BA32" s="17">
        <f t="shared" si="13"/>
        <v>0</v>
      </c>
      <c r="BB32" s="17">
        <f t="shared" si="20"/>
        <v>0</v>
      </c>
      <c r="BC32" s="11">
        <f t="shared" si="21"/>
        <v>0</v>
      </c>
      <c r="BE32" s="11">
        <f t="shared" si="22"/>
        <v>0</v>
      </c>
      <c r="BF32" s="11">
        <f t="shared" si="23"/>
        <v>0</v>
      </c>
      <c r="BH32" s="11"/>
      <c r="DL32" s="7"/>
      <c r="DM32" s="8"/>
      <c r="DN32" s="8"/>
      <c r="DO32" s="8"/>
      <c r="DP32" s="8"/>
      <c r="DR32" s="8"/>
      <c r="DS32" s="8"/>
      <c r="DT32" s="8"/>
    </row>
    <row r="33" spans="1:124" x14ac:dyDescent="0.25">
      <c r="A33" s="1">
        <v>46071</v>
      </c>
      <c r="B33" s="21">
        <v>125.6</v>
      </c>
      <c r="C33" s="21">
        <v>174.76</v>
      </c>
      <c r="D33" s="22">
        <v>7.7529061958128403E-3</v>
      </c>
      <c r="E33" s="22">
        <v>4.2433689453567399E-3</v>
      </c>
      <c r="F33" s="21">
        <v>0</v>
      </c>
      <c r="G33" s="21">
        <v>0</v>
      </c>
      <c r="H33" s="21">
        <v>0</v>
      </c>
      <c r="I33" s="21">
        <v>0</v>
      </c>
      <c r="J33" s="21">
        <v>0</v>
      </c>
      <c r="K33" s="21">
        <v>0</v>
      </c>
      <c r="L33" s="21">
        <v>125.6</v>
      </c>
      <c r="M33" s="21">
        <v>174.76</v>
      </c>
      <c r="N33" s="23">
        <v>1.3914012738853501</v>
      </c>
      <c r="O33" s="23">
        <v>1.3022492118915701</v>
      </c>
      <c r="P33" s="23">
        <v>1.3909806172133601</v>
      </c>
      <c r="Q33" s="23">
        <v>1.38076716081677</v>
      </c>
      <c r="R33" s="21">
        <v>163.562501013581</v>
      </c>
      <c r="S33" s="21">
        <v>174.33205075505799</v>
      </c>
      <c r="T33" s="21">
        <v>173.24347567953501</v>
      </c>
      <c r="U33" s="22">
        <v>-6.6218417595962795E-2</v>
      </c>
      <c r="V33" s="22">
        <v>-2.4517857590393502E-3</v>
      </c>
      <c r="W33" s="22">
        <v>-8.7156251376970806E-3</v>
      </c>
      <c r="X33" s="23">
        <v>1.3914012738853501</v>
      </c>
      <c r="Y33" s="23">
        <v>1.3022759807794699</v>
      </c>
      <c r="Z33" s="23">
        <v>1.3909806172133601</v>
      </c>
      <c r="AA33" s="23">
        <v>1.38076716081677</v>
      </c>
      <c r="AB33" s="21">
        <v>163.56586318590101</v>
      </c>
      <c r="AC33" s="21">
        <v>174.33205075505799</v>
      </c>
      <c r="AD33" s="21">
        <v>173.24347567953501</v>
      </c>
      <c r="AE33" s="22">
        <v>-6.6197861920036599E-2</v>
      </c>
      <c r="AF33" s="22">
        <v>-2.4517857590393502E-3</v>
      </c>
      <c r="AG33" s="22">
        <v>-8.7156251376970806E-3</v>
      </c>
      <c r="AI33" s="5"/>
      <c r="AJ33">
        <f t="shared" si="6"/>
        <v>0</v>
      </c>
      <c r="AK33">
        <f t="shared" si="7"/>
        <v>1</v>
      </c>
      <c r="AL33">
        <f t="shared" si="14"/>
        <v>0</v>
      </c>
      <c r="AM33">
        <f t="shared" si="4"/>
        <v>1</v>
      </c>
      <c r="AN33">
        <f t="shared" si="15"/>
        <v>0</v>
      </c>
      <c r="AO33" s="17">
        <f t="shared" si="8"/>
        <v>0</v>
      </c>
      <c r="AP33" s="17">
        <f t="shared" si="9"/>
        <v>0</v>
      </c>
      <c r="AQ33" s="17">
        <f t="shared" si="16"/>
        <v>0</v>
      </c>
      <c r="AR33" s="11">
        <f t="shared" si="17"/>
        <v>0</v>
      </c>
      <c r="AT33" s="5"/>
      <c r="AU33">
        <f t="shared" si="10"/>
        <v>0</v>
      </c>
      <c r="AV33">
        <f t="shared" si="11"/>
        <v>1</v>
      </c>
      <c r="AW33">
        <f t="shared" si="18"/>
        <v>0</v>
      </c>
      <c r="AX33">
        <f t="shared" si="5"/>
        <v>1</v>
      </c>
      <c r="AY33">
        <f t="shared" si="19"/>
        <v>0</v>
      </c>
      <c r="AZ33" s="17">
        <f t="shared" si="12"/>
        <v>0</v>
      </c>
      <c r="BA33" s="17">
        <f t="shared" si="13"/>
        <v>0</v>
      </c>
      <c r="BB33" s="17">
        <f t="shared" si="20"/>
        <v>0</v>
      </c>
      <c r="BC33" s="11">
        <f t="shared" si="21"/>
        <v>0</v>
      </c>
      <c r="BE33" s="11">
        <f t="shared" si="22"/>
        <v>0</v>
      </c>
      <c r="BF33" s="11">
        <f t="shared" si="23"/>
        <v>0</v>
      </c>
      <c r="BH33" s="11"/>
      <c r="DL33" s="7"/>
      <c r="DM33" s="8"/>
      <c r="DN33" s="8"/>
      <c r="DO33" s="8"/>
      <c r="DP33" s="8"/>
      <c r="DQ33" s="8"/>
      <c r="DR33" s="8"/>
      <c r="DS33" s="8"/>
      <c r="DT33" s="8"/>
    </row>
    <row r="34" spans="1:124" x14ac:dyDescent="0.25">
      <c r="A34" s="1">
        <v>46072</v>
      </c>
      <c r="B34" s="21">
        <v>126.74</v>
      </c>
      <c r="C34" s="21">
        <v>175.03</v>
      </c>
      <c r="D34" s="22">
        <v>9.0354898612726303E-3</v>
      </c>
      <c r="E34" s="22">
        <v>1.54378371950902E-3</v>
      </c>
      <c r="F34" s="21">
        <v>0</v>
      </c>
      <c r="G34" s="21">
        <v>0</v>
      </c>
      <c r="H34" s="21">
        <v>0</v>
      </c>
      <c r="I34" s="21">
        <v>0</v>
      </c>
      <c r="J34" s="21">
        <v>0</v>
      </c>
      <c r="K34" s="21">
        <v>0</v>
      </c>
      <c r="L34" s="21">
        <v>126.74</v>
      </c>
      <c r="M34" s="21">
        <v>175.03</v>
      </c>
      <c r="N34" s="23">
        <v>1.3810162537478301</v>
      </c>
      <c r="O34" s="23">
        <v>1.3022492118915701</v>
      </c>
      <c r="P34" s="23">
        <v>1.39016453167746</v>
      </c>
      <c r="Q34" s="23">
        <v>1.38149218164896</v>
      </c>
      <c r="R34" s="21">
        <v>165.047065115138</v>
      </c>
      <c r="S34" s="21">
        <v>176.29288342562199</v>
      </c>
      <c r="T34" s="21">
        <v>174.99842996191799</v>
      </c>
      <c r="U34" s="22">
        <v>-5.8726711454199297E-2</v>
      </c>
      <c r="V34" s="22">
        <v>7.18933451080115E-3</v>
      </c>
      <c r="W34" s="22">
        <v>-1.8038556565552199E-4</v>
      </c>
      <c r="X34" s="23">
        <v>1.3810162537478301</v>
      </c>
      <c r="Y34" s="23">
        <v>1.3022759807794699</v>
      </c>
      <c r="Z34" s="23">
        <v>1.39016453167746</v>
      </c>
      <c r="AA34" s="23">
        <v>1.38149218164896</v>
      </c>
      <c r="AB34" s="21">
        <v>165.05045780399001</v>
      </c>
      <c r="AC34" s="21">
        <v>176.29288342562199</v>
      </c>
      <c r="AD34" s="21">
        <v>174.99842996191799</v>
      </c>
      <c r="AE34" s="22">
        <v>-5.8706155778273102E-2</v>
      </c>
      <c r="AF34" s="22">
        <v>7.18933451080115E-3</v>
      </c>
      <c r="AG34" s="22">
        <v>-1.8038556565552199E-4</v>
      </c>
      <c r="AI34" s="5"/>
      <c r="AJ34">
        <f t="shared" si="6"/>
        <v>0</v>
      </c>
      <c r="AK34">
        <f t="shared" si="7"/>
        <v>1</v>
      </c>
      <c r="AL34">
        <f t="shared" si="14"/>
        <v>0</v>
      </c>
      <c r="AM34">
        <f t="shared" si="4"/>
        <v>1</v>
      </c>
      <c r="AN34">
        <f t="shared" si="15"/>
        <v>0</v>
      </c>
      <c r="AO34" s="17">
        <f t="shared" si="8"/>
        <v>0</v>
      </c>
      <c r="AP34" s="17">
        <f t="shared" si="9"/>
        <v>0</v>
      </c>
      <c r="AQ34" s="17">
        <f t="shared" si="16"/>
        <v>0</v>
      </c>
      <c r="AR34" s="11">
        <f t="shared" si="17"/>
        <v>0</v>
      </c>
      <c r="AT34" s="5"/>
      <c r="AU34">
        <f t="shared" si="10"/>
        <v>0</v>
      </c>
      <c r="AV34">
        <f t="shared" si="11"/>
        <v>1</v>
      </c>
      <c r="AW34">
        <f t="shared" si="18"/>
        <v>0</v>
      </c>
      <c r="AX34">
        <f t="shared" si="5"/>
        <v>1</v>
      </c>
      <c r="AY34">
        <f t="shared" si="19"/>
        <v>0</v>
      </c>
      <c r="AZ34" s="17">
        <f t="shared" si="12"/>
        <v>0</v>
      </c>
      <c r="BA34" s="17">
        <f t="shared" si="13"/>
        <v>0</v>
      </c>
      <c r="BB34" s="17">
        <f t="shared" si="20"/>
        <v>0</v>
      </c>
      <c r="BC34" s="11">
        <f t="shared" si="21"/>
        <v>0</v>
      </c>
      <c r="BE34" s="11">
        <f t="shared" si="22"/>
        <v>0</v>
      </c>
      <c r="BF34" s="11">
        <f t="shared" si="23"/>
        <v>0</v>
      </c>
      <c r="BH34" s="11"/>
    </row>
    <row r="35" spans="1:124" x14ac:dyDescent="0.25">
      <c r="A35" s="1">
        <v>46073</v>
      </c>
      <c r="B35" s="21">
        <v>124.78</v>
      </c>
      <c r="C35" s="21">
        <v>174.39</v>
      </c>
      <c r="D35" s="22">
        <v>-1.55855572127305E-2</v>
      </c>
      <c r="E35" s="22">
        <v>-3.6632174213753E-3</v>
      </c>
      <c r="F35" s="21">
        <v>0</v>
      </c>
      <c r="G35" s="21">
        <v>0</v>
      </c>
      <c r="H35" s="21">
        <v>0</v>
      </c>
      <c r="I35" s="21">
        <v>0</v>
      </c>
      <c r="J35" s="21">
        <v>0</v>
      </c>
      <c r="K35" s="21">
        <v>0</v>
      </c>
      <c r="L35" s="21">
        <v>124.78</v>
      </c>
      <c r="M35" s="21">
        <v>174.39</v>
      </c>
      <c r="N35" s="23">
        <v>1.3975797403429999</v>
      </c>
      <c r="O35" s="23">
        <v>1.3022492118915701</v>
      </c>
      <c r="P35" s="23">
        <v>1.3890676349364099</v>
      </c>
      <c r="Q35" s="23">
        <v>1.3838633781363601</v>
      </c>
      <c r="R35" s="21">
        <v>162.49465665983001</v>
      </c>
      <c r="S35" s="21">
        <v>173.464730262714</v>
      </c>
      <c r="T35" s="21">
        <v>172.38259442615799</v>
      </c>
      <c r="U35" s="22">
        <v>-7.0649051245554401E-2</v>
      </c>
      <c r="V35" s="22">
        <v>-5.31987544779594E-3</v>
      </c>
      <c r="W35" s="22">
        <v>-1.1577777653736399E-2</v>
      </c>
      <c r="X35" s="23">
        <v>1.3975797403429999</v>
      </c>
      <c r="Y35" s="23">
        <v>1.3022759807794699</v>
      </c>
      <c r="Z35" s="23">
        <v>1.3890676349364099</v>
      </c>
      <c r="AA35" s="23">
        <v>1.3838633781363601</v>
      </c>
      <c r="AB35" s="21">
        <v>162.497996881662</v>
      </c>
      <c r="AC35" s="21">
        <v>173.464730262714</v>
      </c>
      <c r="AD35" s="21">
        <v>172.38259442615799</v>
      </c>
      <c r="AE35" s="22">
        <v>-7.0628495569628302E-2</v>
      </c>
      <c r="AF35" s="22">
        <v>-5.31987544779594E-3</v>
      </c>
      <c r="AG35" s="22">
        <v>-1.1577777653736399E-2</v>
      </c>
      <c r="AI35" s="5"/>
      <c r="AJ35">
        <f t="shared" si="6"/>
        <v>0</v>
      </c>
      <c r="AK35">
        <f t="shared" si="7"/>
        <v>1</v>
      </c>
      <c r="AL35">
        <f t="shared" si="14"/>
        <v>0</v>
      </c>
      <c r="AM35">
        <f t="shared" si="4"/>
        <v>1</v>
      </c>
      <c r="AN35">
        <f t="shared" si="15"/>
        <v>0</v>
      </c>
      <c r="AO35" s="17">
        <f t="shared" si="8"/>
        <v>0</v>
      </c>
      <c r="AP35" s="17">
        <f t="shared" si="9"/>
        <v>0</v>
      </c>
      <c r="AQ35" s="17">
        <f t="shared" si="16"/>
        <v>0</v>
      </c>
      <c r="AR35" s="11">
        <f t="shared" si="17"/>
        <v>0</v>
      </c>
      <c r="AT35" s="5"/>
      <c r="AU35">
        <f t="shared" si="10"/>
        <v>0</v>
      </c>
      <c r="AV35">
        <f t="shared" si="11"/>
        <v>1</v>
      </c>
      <c r="AW35">
        <f t="shared" si="18"/>
        <v>0</v>
      </c>
      <c r="AX35">
        <f t="shared" si="5"/>
        <v>1</v>
      </c>
      <c r="AY35">
        <f t="shared" si="19"/>
        <v>0</v>
      </c>
      <c r="AZ35" s="17">
        <f t="shared" si="12"/>
        <v>0</v>
      </c>
      <c r="BA35" s="17">
        <f t="shared" si="13"/>
        <v>0</v>
      </c>
      <c r="BB35" s="17">
        <f t="shared" si="20"/>
        <v>0</v>
      </c>
      <c r="BC35" s="11">
        <f t="shared" si="21"/>
        <v>0</v>
      </c>
      <c r="BE35" s="11">
        <f t="shared" si="22"/>
        <v>0</v>
      </c>
      <c r="BF35" s="11">
        <f t="shared" si="23"/>
        <v>0</v>
      </c>
      <c r="BH35" s="11"/>
    </row>
    <row r="36" spans="1:124" x14ac:dyDescent="0.25">
      <c r="A36" s="1">
        <v>46076</v>
      </c>
      <c r="B36" s="21">
        <v>126.97</v>
      </c>
      <c r="C36" s="21">
        <v>175.1</v>
      </c>
      <c r="D36" s="22">
        <v>1.73986513990597E-2</v>
      </c>
      <c r="E36" s="22">
        <v>4.0630689104372199E-3</v>
      </c>
      <c r="F36" s="21">
        <v>0</v>
      </c>
      <c r="G36" s="21">
        <v>0</v>
      </c>
      <c r="H36" s="21">
        <v>0</v>
      </c>
      <c r="I36" s="21">
        <v>0</v>
      </c>
      <c r="J36" s="21">
        <v>0</v>
      </c>
      <c r="K36" s="21">
        <v>0</v>
      </c>
      <c r="L36" s="21">
        <v>126.97</v>
      </c>
      <c r="M36" s="21">
        <v>175.1</v>
      </c>
      <c r="N36" s="23">
        <v>1.3790659210837199</v>
      </c>
      <c r="O36" s="23">
        <v>1.3022492118915701</v>
      </c>
      <c r="P36" s="23">
        <v>1.3875590410038301</v>
      </c>
      <c r="Q36" s="23">
        <v>1.38434978884221</v>
      </c>
      <c r="R36" s="21">
        <v>165.34658243387301</v>
      </c>
      <c r="S36" s="21">
        <v>176.369917607877</v>
      </c>
      <c r="T36" s="21">
        <v>175.709133121973</v>
      </c>
      <c r="U36" s="22">
        <v>-5.7313468756932003E-2</v>
      </c>
      <c r="V36" s="22">
        <v>7.2263546353827602E-3</v>
      </c>
      <c r="W36" s="22">
        <v>3.4727358933112399E-3</v>
      </c>
      <c r="X36" s="23">
        <v>1.3790659210837199</v>
      </c>
      <c r="Y36" s="23">
        <v>1.3022759807794699</v>
      </c>
      <c r="Z36" s="23">
        <v>1.3875590410038301</v>
      </c>
      <c r="AA36" s="23">
        <v>1.38434978884221</v>
      </c>
      <c r="AB36" s="21">
        <v>165.34998127956899</v>
      </c>
      <c r="AC36" s="21">
        <v>176.369917607877</v>
      </c>
      <c r="AD36" s="21">
        <v>175.709133121973</v>
      </c>
      <c r="AE36" s="22">
        <v>-5.7292913081006099E-2</v>
      </c>
      <c r="AF36" s="22">
        <v>7.2263546353827602E-3</v>
      </c>
      <c r="AG36" s="22">
        <v>3.4727358933112399E-3</v>
      </c>
      <c r="AI36" s="5"/>
      <c r="AJ36">
        <f t="shared" si="6"/>
        <v>0</v>
      </c>
      <c r="AK36">
        <f t="shared" si="7"/>
        <v>1</v>
      </c>
      <c r="AL36">
        <f t="shared" si="14"/>
        <v>0</v>
      </c>
      <c r="AM36">
        <f t="shared" si="4"/>
        <v>1</v>
      </c>
      <c r="AN36">
        <f t="shared" si="15"/>
        <v>0</v>
      </c>
      <c r="AO36" s="17">
        <f t="shared" si="8"/>
        <v>0</v>
      </c>
      <c r="AP36" s="17">
        <f t="shared" si="9"/>
        <v>0</v>
      </c>
      <c r="AQ36" s="17">
        <f t="shared" si="16"/>
        <v>0</v>
      </c>
      <c r="AR36" s="11">
        <f t="shared" si="17"/>
        <v>0</v>
      </c>
      <c r="AT36" s="5"/>
      <c r="AU36">
        <f t="shared" si="10"/>
        <v>0</v>
      </c>
      <c r="AV36">
        <f t="shared" si="11"/>
        <v>1</v>
      </c>
      <c r="AW36">
        <f t="shared" si="18"/>
        <v>0</v>
      </c>
      <c r="AX36">
        <f t="shared" si="5"/>
        <v>1</v>
      </c>
      <c r="AY36">
        <f t="shared" si="19"/>
        <v>0</v>
      </c>
      <c r="AZ36" s="17">
        <f t="shared" si="12"/>
        <v>0</v>
      </c>
      <c r="BA36" s="17">
        <f t="shared" si="13"/>
        <v>0</v>
      </c>
      <c r="BB36" s="17">
        <f t="shared" si="20"/>
        <v>0</v>
      </c>
      <c r="BC36" s="11">
        <f t="shared" si="21"/>
        <v>0</v>
      </c>
      <c r="BE36" s="11">
        <f t="shared" si="22"/>
        <v>0</v>
      </c>
      <c r="BF36" s="11">
        <f t="shared" si="23"/>
        <v>0</v>
      </c>
      <c r="BH36" s="11"/>
    </row>
    <row r="37" spans="1:124" x14ac:dyDescent="0.25">
      <c r="A37" s="1">
        <v>46077</v>
      </c>
      <c r="B37" s="21">
        <v>129.16</v>
      </c>
      <c r="C37" s="21">
        <v>176.36</v>
      </c>
      <c r="D37" s="22">
        <v>1.7101107808374399E-2</v>
      </c>
      <c r="E37" s="22">
        <v>7.1701211979308E-3</v>
      </c>
      <c r="F37" s="21">
        <v>0</v>
      </c>
      <c r="G37" s="21">
        <v>0</v>
      </c>
      <c r="H37" s="21">
        <v>0</v>
      </c>
      <c r="I37" s="21">
        <v>0</v>
      </c>
      <c r="J37" s="21">
        <v>0</v>
      </c>
      <c r="K37" s="21">
        <v>0</v>
      </c>
      <c r="L37" s="21">
        <v>129.16</v>
      </c>
      <c r="M37" s="21">
        <v>176.36</v>
      </c>
      <c r="N37" s="23">
        <v>1.3654382161659899</v>
      </c>
      <c r="O37" s="23">
        <v>1.3022492118915701</v>
      </c>
      <c r="P37" s="23">
        <v>1.3858346840461699</v>
      </c>
      <c r="Q37" s="23">
        <v>1.3838550799101701</v>
      </c>
      <c r="R37" s="21">
        <v>168.19850820791501</v>
      </c>
      <c r="S37" s="21">
        <v>179.21712573605501</v>
      </c>
      <c r="T37" s="21">
        <v>178.80261872686</v>
      </c>
      <c r="U37" s="22">
        <v>-4.7382482146488401E-2</v>
      </c>
      <c r="V37" s="22">
        <v>1.6070703208313799E-2</v>
      </c>
      <c r="W37" s="22">
        <v>1.37551482658065E-2</v>
      </c>
      <c r="X37" s="23">
        <v>1.3654382161659899</v>
      </c>
      <c r="Y37" s="23">
        <v>1.3022759807794699</v>
      </c>
      <c r="Z37" s="23">
        <v>1.3858346840461699</v>
      </c>
      <c r="AA37" s="23">
        <v>1.3838550799101701</v>
      </c>
      <c r="AB37" s="21">
        <v>168.20196567747601</v>
      </c>
      <c r="AC37" s="21">
        <v>179.21712573605501</v>
      </c>
      <c r="AD37" s="21">
        <v>178.80261872686</v>
      </c>
      <c r="AE37" s="22">
        <v>-4.7361926470562497E-2</v>
      </c>
      <c r="AF37" s="22">
        <v>1.6070703208313799E-2</v>
      </c>
      <c r="AG37" s="22">
        <v>1.37551482658065E-2</v>
      </c>
      <c r="AI37" s="5"/>
      <c r="AJ37">
        <f t="shared" si="6"/>
        <v>0</v>
      </c>
      <c r="AK37">
        <f t="shared" si="7"/>
        <v>1</v>
      </c>
      <c r="AL37">
        <f t="shared" si="14"/>
        <v>0</v>
      </c>
      <c r="AM37">
        <f t="shared" si="4"/>
        <v>1</v>
      </c>
      <c r="AN37">
        <f t="shared" si="15"/>
        <v>0</v>
      </c>
      <c r="AO37" s="17">
        <f t="shared" si="8"/>
        <v>0</v>
      </c>
      <c r="AP37" s="17">
        <f t="shared" si="9"/>
        <v>0</v>
      </c>
      <c r="AQ37" s="17">
        <f t="shared" si="16"/>
        <v>0</v>
      </c>
      <c r="AR37" s="11">
        <f t="shared" si="17"/>
        <v>0</v>
      </c>
      <c r="AT37" s="5"/>
      <c r="AU37">
        <f t="shared" si="10"/>
        <v>0</v>
      </c>
      <c r="AV37">
        <f t="shared" si="11"/>
        <v>0</v>
      </c>
      <c r="AW37">
        <f t="shared" si="18"/>
        <v>0</v>
      </c>
      <c r="AX37">
        <f t="shared" si="5"/>
        <v>1</v>
      </c>
      <c r="AY37">
        <f t="shared" si="19"/>
        <v>0</v>
      </c>
      <c r="AZ37" s="17">
        <f t="shared" si="12"/>
        <v>0</v>
      </c>
      <c r="BA37" s="17">
        <f t="shared" si="13"/>
        <v>0</v>
      </c>
      <c r="BB37" s="17">
        <f t="shared" si="20"/>
        <v>0</v>
      </c>
      <c r="BC37" s="11">
        <f t="shared" si="21"/>
        <v>0</v>
      </c>
      <c r="BE37" s="11">
        <f t="shared" si="22"/>
        <v>0</v>
      </c>
      <c r="BF37" s="11">
        <f t="shared" si="23"/>
        <v>0</v>
      </c>
      <c r="BH37" s="11"/>
    </row>
    <row r="38" spans="1:124" x14ac:dyDescent="0.25">
      <c r="A38" s="1">
        <v>46078</v>
      </c>
      <c r="B38" s="21">
        <v>128.28</v>
      </c>
      <c r="C38" s="21">
        <v>175.3</v>
      </c>
      <c r="D38" s="22">
        <v>-6.83657106512023E-3</v>
      </c>
      <c r="E38" s="22">
        <v>-6.0285685625480296E-3</v>
      </c>
      <c r="F38" s="21">
        <v>0</v>
      </c>
      <c r="G38" s="21">
        <v>0</v>
      </c>
      <c r="H38" s="21">
        <v>0</v>
      </c>
      <c r="I38" s="21">
        <v>0</v>
      </c>
      <c r="J38" s="21">
        <v>0</v>
      </c>
      <c r="K38" s="21">
        <v>0</v>
      </c>
      <c r="L38" s="21">
        <v>128.28</v>
      </c>
      <c r="M38" s="21">
        <v>175.3</v>
      </c>
      <c r="N38" s="23">
        <v>1.3665419395073199</v>
      </c>
      <c r="O38" s="23">
        <v>1.3022492118915701</v>
      </c>
      <c r="P38" s="23">
        <v>1.3852142649444099</v>
      </c>
      <c r="Q38" s="23">
        <v>1.3833655581972899</v>
      </c>
      <c r="R38" s="21">
        <v>167.05252890145101</v>
      </c>
      <c r="S38" s="21">
        <v>177.77487326944299</v>
      </c>
      <c r="T38" s="21">
        <v>177.52092965087701</v>
      </c>
      <c r="U38" s="22">
        <v>-4.8190484649060603E-2</v>
      </c>
      <c r="V38" s="22">
        <v>1.40192009716197E-2</v>
      </c>
      <c r="W38" s="22">
        <v>1.25897235630986E-2</v>
      </c>
      <c r="X38" s="23">
        <v>1.3665419395073199</v>
      </c>
      <c r="Y38" s="23">
        <v>1.3022759807794699</v>
      </c>
      <c r="Z38" s="23">
        <v>1.3852142649444099</v>
      </c>
      <c r="AA38" s="23">
        <v>1.3833655581972899</v>
      </c>
      <c r="AB38" s="21">
        <v>167.05596281439</v>
      </c>
      <c r="AC38" s="21">
        <v>177.77487326944299</v>
      </c>
      <c r="AD38" s="21">
        <v>177.52092965087701</v>
      </c>
      <c r="AE38" s="22">
        <v>-4.8169928973134699E-2</v>
      </c>
      <c r="AF38" s="22">
        <v>1.40192009716197E-2</v>
      </c>
      <c r="AG38" s="22">
        <v>1.25897235630986E-2</v>
      </c>
      <c r="AI38" s="5"/>
      <c r="AJ38">
        <f t="shared" si="6"/>
        <v>0</v>
      </c>
      <c r="AK38">
        <f t="shared" si="7"/>
        <v>1</v>
      </c>
      <c r="AL38">
        <f t="shared" si="14"/>
        <v>0</v>
      </c>
      <c r="AM38">
        <f t="shared" si="4"/>
        <v>1</v>
      </c>
      <c r="AN38">
        <f t="shared" si="15"/>
        <v>0</v>
      </c>
      <c r="AO38" s="17">
        <f t="shared" si="8"/>
        <v>0</v>
      </c>
      <c r="AP38" s="17">
        <f t="shared" si="9"/>
        <v>0</v>
      </c>
      <c r="AQ38" s="17">
        <f t="shared" si="16"/>
        <v>0</v>
      </c>
      <c r="AR38" s="11">
        <f t="shared" si="17"/>
        <v>0</v>
      </c>
      <c r="AT38" s="5"/>
      <c r="AU38">
        <f t="shared" si="10"/>
        <v>0</v>
      </c>
      <c r="AV38">
        <f t="shared" si="11"/>
        <v>0</v>
      </c>
      <c r="AW38">
        <f t="shared" si="18"/>
        <v>0</v>
      </c>
      <c r="AX38">
        <f t="shared" si="5"/>
        <v>1</v>
      </c>
      <c r="AY38">
        <f t="shared" si="19"/>
        <v>0</v>
      </c>
      <c r="AZ38" s="17">
        <f t="shared" si="12"/>
        <v>0</v>
      </c>
      <c r="BA38" s="17">
        <f t="shared" si="13"/>
        <v>0</v>
      </c>
      <c r="BB38" s="17">
        <f t="shared" si="20"/>
        <v>0</v>
      </c>
      <c r="BC38" s="11">
        <f t="shared" si="21"/>
        <v>0</v>
      </c>
      <c r="BE38" s="11">
        <f t="shared" si="22"/>
        <v>0</v>
      </c>
      <c r="BF38" s="11">
        <f t="shared" si="23"/>
        <v>0</v>
      </c>
      <c r="BH38" s="11"/>
    </row>
    <row r="39" spans="1:124" x14ac:dyDescent="0.25">
      <c r="A39" s="1">
        <v>46079</v>
      </c>
      <c r="B39" s="21">
        <v>127.67</v>
      </c>
      <c r="C39" s="21">
        <v>173.88</v>
      </c>
      <c r="D39" s="22">
        <v>-4.7665649926947398E-3</v>
      </c>
      <c r="E39" s="22">
        <v>-8.13338580659753E-3</v>
      </c>
      <c r="F39" s="21">
        <v>0</v>
      </c>
      <c r="G39" s="21">
        <v>0</v>
      </c>
      <c r="H39" s="21">
        <v>0</v>
      </c>
      <c r="I39" s="21">
        <v>0</v>
      </c>
      <c r="J39" s="21">
        <v>0</v>
      </c>
      <c r="K39" s="21">
        <v>0</v>
      </c>
      <c r="L39" s="21">
        <v>127.67</v>
      </c>
      <c r="M39" s="21">
        <v>173.88</v>
      </c>
      <c r="N39" s="23">
        <v>1.36194877418344</v>
      </c>
      <c r="O39" s="23">
        <v>1.3022492118915701</v>
      </c>
      <c r="P39" s="23">
        <v>1.38286120814695</v>
      </c>
      <c r="Q39" s="23">
        <v>1.3823705719421999</v>
      </c>
      <c r="R39" s="21">
        <v>166.258156882197</v>
      </c>
      <c r="S39" s="21">
        <v>176.850305205453</v>
      </c>
      <c r="T39" s="21">
        <v>176.614280815049</v>
      </c>
      <c r="U39" s="22">
        <v>-4.4823663835157797E-2</v>
      </c>
      <c r="V39" s="22">
        <v>1.69382353165341E-2</v>
      </c>
      <c r="W39" s="22">
        <v>1.56027440972243E-2</v>
      </c>
      <c r="X39" s="23">
        <v>1.36194877418344</v>
      </c>
      <c r="Y39" s="23">
        <v>1.3022759807794699</v>
      </c>
      <c r="Z39" s="23">
        <v>1.38286120814695</v>
      </c>
      <c r="AA39" s="23">
        <v>1.3823705719421999</v>
      </c>
      <c r="AB39" s="21">
        <v>166.26157446611501</v>
      </c>
      <c r="AC39" s="21">
        <v>176.850305205453</v>
      </c>
      <c r="AD39" s="21">
        <v>176.614280815049</v>
      </c>
      <c r="AE39" s="22">
        <v>-4.4803108159231698E-2</v>
      </c>
      <c r="AF39" s="22">
        <v>1.69382353165341E-2</v>
      </c>
      <c r="AG39" s="22">
        <v>1.56027440972243E-2</v>
      </c>
      <c r="AI39" s="5"/>
      <c r="AJ39">
        <f t="shared" si="6"/>
        <v>0</v>
      </c>
      <c r="AK39">
        <f t="shared" si="7"/>
        <v>1</v>
      </c>
      <c r="AL39">
        <f t="shared" si="14"/>
        <v>0</v>
      </c>
      <c r="AM39">
        <f t="shared" si="4"/>
        <v>1</v>
      </c>
      <c r="AN39">
        <f t="shared" si="15"/>
        <v>0</v>
      </c>
      <c r="AO39" s="17">
        <f t="shared" si="8"/>
        <v>0</v>
      </c>
      <c r="AP39" s="17">
        <f t="shared" si="9"/>
        <v>0</v>
      </c>
      <c r="AQ39" s="17">
        <f t="shared" si="16"/>
        <v>0</v>
      </c>
      <c r="AR39" s="11">
        <f t="shared" si="17"/>
        <v>0</v>
      </c>
      <c r="AT39" s="5"/>
      <c r="AU39">
        <f t="shared" si="10"/>
        <v>1</v>
      </c>
      <c r="AV39">
        <f t="shared" si="11"/>
        <v>0</v>
      </c>
      <c r="AW39">
        <f t="shared" si="18"/>
        <v>0</v>
      </c>
      <c r="AX39">
        <f t="shared" si="5"/>
        <v>1</v>
      </c>
      <c r="AY39">
        <f t="shared" si="19"/>
        <v>0</v>
      </c>
      <c r="AZ39" s="17">
        <f t="shared" si="12"/>
        <v>0</v>
      </c>
      <c r="BA39" s="17">
        <f t="shared" si="13"/>
        <v>0</v>
      </c>
      <c r="BB39" s="17">
        <f t="shared" si="20"/>
        <v>0</v>
      </c>
      <c r="BC39" s="11">
        <f t="shared" si="21"/>
        <v>0</v>
      </c>
      <c r="BE39" s="11">
        <f t="shared" si="22"/>
        <v>0</v>
      </c>
      <c r="BF39" s="11">
        <f t="shared" si="23"/>
        <v>0</v>
      </c>
      <c r="BH39" s="11"/>
    </row>
    <row r="40" spans="1:124" x14ac:dyDescent="0.25">
      <c r="A40" s="1">
        <v>46080</v>
      </c>
      <c r="B40" s="21">
        <v>127.37</v>
      </c>
      <c r="C40" s="21">
        <v>175.37</v>
      </c>
      <c r="D40" s="22">
        <v>-2.3525732305912902E-3</v>
      </c>
      <c r="E40" s="22">
        <v>8.5326215606100295E-3</v>
      </c>
      <c r="F40" s="21">
        <v>0</v>
      </c>
      <c r="G40" s="21">
        <v>0</v>
      </c>
      <c r="H40" s="21">
        <v>0</v>
      </c>
      <c r="I40" s="21">
        <v>0</v>
      </c>
      <c r="J40" s="21">
        <v>0</v>
      </c>
      <c r="K40" s="21">
        <v>0</v>
      </c>
      <c r="L40" s="21">
        <v>127.37</v>
      </c>
      <c r="M40" s="21">
        <v>175.37</v>
      </c>
      <c r="N40" s="23">
        <v>1.37685483237811</v>
      </c>
      <c r="O40" s="23">
        <v>1.3022492118915701</v>
      </c>
      <c r="P40" s="23">
        <v>1.38201770940716</v>
      </c>
      <c r="Q40" s="23">
        <v>1.3824702174588499</v>
      </c>
      <c r="R40" s="21">
        <v>165.867482118629</v>
      </c>
      <c r="S40" s="21">
        <v>176.135032081677</v>
      </c>
      <c r="T40" s="21">
        <v>176.07253974827799</v>
      </c>
      <c r="U40" s="22">
        <v>-5.5708858626358999E-2</v>
      </c>
      <c r="V40" s="22">
        <v>4.3529009250062797E-3</v>
      </c>
      <c r="W40" s="22">
        <v>3.9980401039855602E-3</v>
      </c>
      <c r="X40" s="23">
        <v>1.37685483237811</v>
      </c>
      <c r="Y40" s="23">
        <v>1.3022759807794699</v>
      </c>
      <c r="Z40" s="23">
        <v>1.38201770940716</v>
      </c>
      <c r="AA40" s="23">
        <v>1.3824702174588499</v>
      </c>
      <c r="AB40" s="21">
        <v>165.870891671881</v>
      </c>
      <c r="AC40" s="21">
        <v>176.135032081677</v>
      </c>
      <c r="AD40" s="21">
        <v>176.07253974827799</v>
      </c>
      <c r="AE40" s="22">
        <v>-5.5688302950432998E-2</v>
      </c>
      <c r="AF40" s="22">
        <v>4.3529009250062797E-3</v>
      </c>
      <c r="AG40" s="22">
        <v>3.9980401039855602E-3</v>
      </c>
      <c r="AI40" s="5"/>
      <c r="AJ40">
        <f t="shared" si="6"/>
        <v>0</v>
      </c>
      <c r="AK40">
        <f t="shared" si="7"/>
        <v>1</v>
      </c>
      <c r="AL40">
        <f t="shared" si="14"/>
        <v>0</v>
      </c>
      <c r="AM40">
        <f t="shared" si="4"/>
        <v>1</v>
      </c>
      <c r="AN40">
        <f t="shared" si="15"/>
        <v>0</v>
      </c>
      <c r="AO40" s="17">
        <f t="shared" si="8"/>
        <v>0</v>
      </c>
      <c r="AP40" s="17">
        <f t="shared" si="9"/>
        <v>0</v>
      </c>
      <c r="AQ40" s="17">
        <f t="shared" si="16"/>
        <v>0</v>
      </c>
      <c r="AR40" s="11">
        <f t="shared" si="17"/>
        <v>0</v>
      </c>
      <c r="AT40" s="5"/>
      <c r="AU40">
        <f t="shared" si="10"/>
        <v>0</v>
      </c>
      <c r="AV40">
        <f t="shared" si="11"/>
        <v>1</v>
      </c>
      <c r="AW40">
        <f t="shared" si="18"/>
        <v>1</v>
      </c>
      <c r="AX40">
        <f t="shared" si="5"/>
        <v>1</v>
      </c>
      <c r="AY40">
        <f t="shared" si="19"/>
        <v>1</v>
      </c>
      <c r="AZ40" s="17">
        <f t="shared" si="12"/>
        <v>2.3525732305912902E-3</v>
      </c>
      <c r="BA40" s="17">
        <f t="shared" si="13"/>
        <v>8.5326215606100295E-3</v>
      </c>
      <c r="BB40" s="17">
        <f t="shared" si="20"/>
        <v>1.0885194791201321E-2</v>
      </c>
      <c r="BC40" s="11">
        <f t="shared" si="21"/>
        <v>1.0885194791201321E-2</v>
      </c>
      <c r="BE40" s="11">
        <f t="shared" si="22"/>
        <v>1.0885194791201321E-2</v>
      </c>
      <c r="BF40" s="11">
        <f t="shared" si="23"/>
        <v>1.0885194791201321E-2</v>
      </c>
      <c r="BH40" s="11"/>
    </row>
    <row r="41" spans="1:124" x14ac:dyDescent="0.25">
      <c r="A41" s="1">
        <v>46083</v>
      </c>
      <c r="B41" s="21">
        <v>126.55</v>
      </c>
      <c r="C41" s="21">
        <v>173.92</v>
      </c>
      <c r="D41" s="22">
        <v>-6.4587496105350797E-3</v>
      </c>
      <c r="E41" s="22">
        <v>-8.3026043083019793E-3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126.55</v>
      </c>
      <c r="M41" s="21">
        <v>173.92</v>
      </c>
      <c r="N41" s="23">
        <v>1.3743184512050499</v>
      </c>
      <c r="O41" s="23">
        <v>1.3022492118915701</v>
      </c>
      <c r="P41" s="23">
        <v>1.3790458429860799</v>
      </c>
      <c r="Q41" s="23">
        <v>1.38207591957822</v>
      </c>
      <c r="R41" s="21">
        <v>164.79963776487801</v>
      </c>
      <c r="S41" s="21">
        <v>174.89434112547701</v>
      </c>
      <c r="T41" s="21">
        <v>174.951606019417</v>
      </c>
      <c r="U41" s="22">
        <v>-5.3865003928591997E-2</v>
      </c>
      <c r="V41" s="22">
        <v>5.5866032138586798E-3</v>
      </c>
      <c r="W41" s="22">
        <v>5.9139752753004302E-3</v>
      </c>
      <c r="X41" s="23">
        <v>1.3743184512050499</v>
      </c>
      <c r="Y41" s="23">
        <v>1.3022759807794699</v>
      </c>
      <c r="Z41" s="23">
        <v>1.3790458429860799</v>
      </c>
      <c r="AA41" s="23">
        <v>1.38207591957822</v>
      </c>
      <c r="AB41" s="21">
        <v>164.80302536764199</v>
      </c>
      <c r="AC41" s="21">
        <v>174.89434112547701</v>
      </c>
      <c r="AD41" s="21">
        <v>174.951606019417</v>
      </c>
      <c r="AE41" s="22">
        <v>-5.3844448252666099E-2</v>
      </c>
      <c r="AF41" s="22">
        <v>5.5866032138586798E-3</v>
      </c>
      <c r="AG41" s="22">
        <v>5.9139752753004302E-3</v>
      </c>
      <c r="AI41" s="5"/>
      <c r="AJ41">
        <f t="shared" si="6"/>
        <v>0</v>
      </c>
      <c r="AK41">
        <f t="shared" si="7"/>
        <v>1</v>
      </c>
      <c r="AL41">
        <f t="shared" si="14"/>
        <v>0</v>
      </c>
      <c r="AM41">
        <f t="shared" si="4"/>
        <v>1</v>
      </c>
      <c r="AN41">
        <f t="shared" si="15"/>
        <v>0</v>
      </c>
      <c r="AO41" s="17">
        <f t="shared" si="8"/>
        <v>0</v>
      </c>
      <c r="AP41" s="17">
        <f t="shared" si="9"/>
        <v>0</v>
      </c>
      <c r="AQ41" s="17">
        <f t="shared" si="16"/>
        <v>0</v>
      </c>
      <c r="AR41" s="11">
        <f t="shared" si="17"/>
        <v>0</v>
      </c>
      <c r="AT41" s="5"/>
      <c r="AU41">
        <f t="shared" si="10"/>
        <v>0</v>
      </c>
      <c r="AV41">
        <f t="shared" si="11"/>
        <v>0</v>
      </c>
      <c r="AW41">
        <f t="shared" si="18"/>
        <v>0</v>
      </c>
      <c r="AX41">
        <f t="shared" si="5"/>
        <v>1</v>
      </c>
      <c r="AY41">
        <f t="shared" si="19"/>
        <v>0</v>
      </c>
      <c r="AZ41" s="17">
        <f t="shared" si="12"/>
        <v>0</v>
      </c>
      <c r="BA41" s="17">
        <f t="shared" si="13"/>
        <v>0</v>
      </c>
      <c r="BB41" s="17">
        <f t="shared" si="20"/>
        <v>0</v>
      </c>
      <c r="BC41" s="11">
        <f t="shared" si="21"/>
        <v>1.0885194791201321E-2</v>
      </c>
      <c r="BE41" s="11">
        <f t="shared" si="22"/>
        <v>0</v>
      </c>
      <c r="BF41" s="11">
        <f t="shared" si="23"/>
        <v>1.0885194791201321E-2</v>
      </c>
      <c r="BH41" s="11"/>
    </row>
    <row r="42" spans="1:124" x14ac:dyDescent="0.25">
      <c r="A42" s="1">
        <v>46084</v>
      </c>
      <c r="B42" s="21">
        <v>123.5</v>
      </c>
      <c r="C42" s="21">
        <v>170.1</v>
      </c>
      <c r="D42" s="22">
        <v>-2.43963309231012E-2</v>
      </c>
      <c r="E42" s="22">
        <v>-2.2208923971083198E-2</v>
      </c>
      <c r="F42" s="21">
        <v>0</v>
      </c>
      <c r="G42" s="21">
        <v>0</v>
      </c>
      <c r="H42" s="21">
        <v>0</v>
      </c>
      <c r="I42" s="21">
        <v>0</v>
      </c>
      <c r="J42" s="21">
        <v>0</v>
      </c>
      <c r="K42" s="21">
        <v>0</v>
      </c>
      <c r="L42" s="21">
        <v>123.5</v>
      </c>
      <c r="M42" s="21">
        <v>170.1</v>
      </c>
      <c r="N42" s="23">
        <v>1.3773279352226699</v>
      </c>
      <c r="O42" s="23">
        <v>1.3022492118915701</v>
      </c>
      <c r="P42" s="23">
        <v>1.37714933377225</v>
      </c>
      <c r="Q42" s="23">
        <v>1.3825716842231399</v>
      </c>
      <c r="R42" s="21">
        <v>160.827777668609</v>
      </c>
      <c r="S42" s="21">
        <v>170.312161608781</v>
      </c>
      <c r="T42" s="21">
        <v>170.68637606791</v>
      </c>
      <c r="U42" s="22">
        <v>-5.6052410880609999E-2</v>
      </c>
      <c r="V42" s="22">
        <v>1.2464985695529499E-3</v>
      </c>
      <c r="W42" s="22">
        <v>3.4413150746421799E-3</v>
      </c>
      <c r="X42" s="23">
        <v>1.3773279352226699</v>
      </c>
      <c r="Y42" s="23">
        <v>1.3022759807794699</v>
      </c>
      <c r="Z42" s="23">
        <v>1.37714933377225</v>
      </c>
      <c r="AA42" s="23">
        <v>1.3825716842231399</v>
      </c>
      <c r="AB42" s="21">
        <v>160.83108362626501</v>
      </c>
      <c r="AC42" s="21">
        <v>170.312161608781</v>
      </c>
      <c r="AD42" s="21">
        <v>170.68637606791</v>
      </c>
      <c r="AE42" s="22">
        <v>-5.6031855204683997E-2</v>
      </c>
      <c r="AF42" s="22">
        <v>1.2464985695529499E-3</v>
      </c>
      <c r="AG42" s="22">
        <v>3.4413150746421799E-3</v>
      </c>
      <c r="AI42" s="5"/>
      <c r="AJ42">
        <f t="shared" si="6"/>
        <v>0</v>
      </c>
      <c r="AK42">
        <f t="shared" si="7"/>
        <v>1</v>
      </c>
      <c r="AL42">
        <f t="shared" si="14"/>
        <v>0</v>
      </c>
      <c r="AM42">
        <f t="shared" si="4"/>
        <v>1</v>
      </c>
      <c r="AN42">
        <f t="shared" si="15"/>
        <v>0</v>
      </c>
      <c r="AO42" s="17">
        <f t="shared" si="8"/>
        <v>0</v>
      </c>
      <c r="AP42" s="17">
        <f t="shared" si="9"/>
        <v>0</v>
      </c>
      <c r="AQ42" s="17">
        <f t="shared" si="16"/>
        <v>0</v>
      </c>
      <c r="AR42" s="11">
        <f t="shared" si="17"/>
        <v>0</v>
      </c>
      <c r="AT42" s="5"/>
      <c r="AU42">
        <f t="shared" si="10"/>
        <v>0</v>
      </c>
      <c r="AV42">
        <f t="shared" si="11"/>
        <v>1</v>
      </c>
      <c r="AW42">
        <f t="shared" si="18"/>
        <v>0</v>
      </c>
      <c r="AX42">
        <f t="shared" si="5"/>
        <v>1</v>
      </c>
      <c r="AY42">
        <f t="shared" si="19"/>
        <v>0</v>
      </c>
      <c r="AZ42" s="17">
        <f t="shared" si="12"/>
        <v>0</v>
      </c>
      <c r="BA42" s="17">
        <f t="shared" si="13"/>
        <v>0</v>
      </c>
      <c r="BB42" s="17">
        <f t="shared" si="20"/>
        <v>0</v>
      </c>
      <c r="BC42" s="11">
        <f t="shared" si="21"/>
        <v>1.0885194791201321E-2</v>
      </c>
      <c r="BE42" s="11">
        <f t="shared" si="22"/>
        <v>0</v>
      </c>
      <c r="BF42" s="11">
        <f t="shared" si="23"/>
        <v>1.0885194791201321E-2</v>
      </c>
      <c r="BH42" s="11"/>
    </row>
    <row r="43" spans="1:124" x14ac:dyDescent="0.25">
      <c r="A43" s="1">
        <v>46085</v>
      </c>
      <c r="B43" s="21">
        <v>126.42</v>
      </c>
      <c r="C43" s="21">
        <v>172.97</v>
      </c>
      <c r="D43" s="22">
        <v>2.3368540976120799E-2</v>
      </c>
      <c r="E43" s="22">
        <v>1.6731669654015801E-2</v>
      </c>
      <c r="F43" s="21">
        <v>0</v>
      </c>
      <c r="G43" s="21">
        <v>0</v>
      </c>
      <c r="H43" s="21">
        <v>0</v>
      </c>
      <c r="I43" s="21">
        <v>0</v>
      </c>
      <c r="J43" s="21">
        <v>0</v>
      </c>
      <c r="K43" s="21">
        <v>0</v>
      </c>
      <c r="L43" s="21">
        <v>126.42</v>
      </c>
      <c r="M43" s="21">
        <v>172.97</v>
      </c>
      <c r="N43" s="23">
        <v>1.3682170542635601</v>
      </c>
      <c r="O43" s="23">
        <v>1.3022492118915701</v>
      </c>
      <c r="P43" s="23">
        <v>1.3748309118100699</v>
      </c>
      <c r="Q43" s="23">
        <v>1.38290576451172</v>
      </c>
      <c r="R43" s="21">
        <v>164.63034536733201</v>
      </c>
      <c r="S43" s="21">
        <v>174.099218775488</v>
      </c>
      <c r="T43" s="21">
        <v>174.78471231948899</v>
      </c>
      <c r="U43" s="22">
        <v>-4.9415539558505098E-2</v>
      </c>
      <c r="V43" s="22">
        <v>6.5071904910581502E-3</v>
      </c>
      <c r="W43" s="22">
        <v>1.0436832214428E-2</v>
      </c>
      <c r="X43" s="23">
        <v>1.3682170542635601</v>
      </c>
      <c r="Y43" s="23">
        <v>1.3022759807794699</v>
      </c>
      <c r="Z43" s="23">
        <v>1.3748309118100699</v>
      </c>
      <c r="AA43" s="23">
        <v>1.38290576451172</v>
      </c>
      <c r="AB43" s="21">
        <v>164.63372949014101</v>
      </c>
      <c r="AC43" s="21">
        <v>174.099218775488</v>
      </c>
      <c r="AD43" s="21">
        <v>174.78471231948899</v>
      </c>
      <c r="AE43" s="22">
        <v>-4.9394983882579298E-2</v>
      </c>
      <c r="AF43" s="22">
        <v>6.5071904910581502E-3</v>
      </c>
      <c r="AG43" s="22">
        <v>1.0436832214428E-2</v>
      </c>
      <c r="AI43" s="5"/>
      <c r="AJ43">
        <f t="shared" si="6"/>
        <v>0</v>
      </c>
      <c r="AK43">
        <f t="shared" si="7"/>
        <v>1</v>
      </c>
      <c r="AL43">
        <f t="shared" si="14"/>
        <v>0</v>
      </c>
      <c r="AM43">
        <f t="shared" si="4"/>
        <v>1</v>
      </c>
      <c r="AN43">
        <f t="shared" si="15"/>
        <v>0</v>
      </c>
      <c r="AO43" s="17">
        <f t="shared" si="8"/>
        <v>0</v>
      </c>
      <c r="AP43" s="17">
        <f t="shared" si="9"/>
        <v>0</v>
      </c>
      <c r="AQ43" s="17">
        <f t="shared" si="16"/>
        <v>0</v>
      </c>
      <c r="AR43" s="11">
        <f t="shared" si="17"/>
        <v>0</v>
      </c>
      <c r="AT43" s="5"/>
      <c r="AU43">
        <f t="shared" si="10"/>
        <v>0</v>
      </c>
      <c r="AV43">
        <f t="shared" si="11"/>
        <v>0</v>
      </c>
      <c r="AW43">
        <f t="shared" si="18"/>
        <v>0</v>
      </c>
      <c r="AX43">
        <f t="shared" si="5"/>
        <v>1</v>
      </c>
      <c r="AY43">
        <f t="shared" si="19"/>
        <v>0</v>
      </c>
      <c r="AZ43" s="17">
        <f t="shared" si="12"/>
        <v>0</v>
      </c>
      <c r="BA43" s="17">
        <f t="shared" si="13"/>
        <v>0</v>
      </c>
      <c r="BB43" s="17">
        <f t="shared" si="20"/>
        <v>0</v>
      </c>
      <c r="BC43" s="11">
        <f t="shared" si="21"/>
        <v>1.0885194791201321E-2</v>
      </c>
      <c r="BE43" s="11">
        <f t="shared" si="22"/>
        <v>0</v>
      </c>
      <c r="BF43" s="11">
        <f t="shared" si="23"/>
        <v>1.0885194791201321E-2</v>
      </c>
      <c r="BH43" s="11"/>
    </row>
    <row r="44" spans="1:124" x14ac:dyDescent="0.25">
      <c r="A44" s="1">
        <v>46086</v>
      </c>
      <c r="B44" s="21">
        <v>123.9</v>
      </c>
      <c r="C44" s="21">
        <v>168.67</v>
      </c>
      <c r="D44" s="22">
        <v>-2.01349084090559E-2</v>
      </c>
      <c r="E44" s="22">
        <v>-2.5174025785908799E-2</v>
      </c>
      <c r="F44" s="21">
        <v>0</v>
      </c>
      <c r="G44" s="21">
        <v>0</v>
      </c>
      <c r="H44" s="21">
        <v>0</v>
      </c>
      <c r="I44" s="21">
        <v>0</v>
      </c>
      <c r="J44" s="21">
        <v>0</v>
      </c>
      <c r="K44" s="21">
        <v>0</v>
      </c>
      <c r="L44" s="21">
        <v>123.9</v>
      </c>
      <c r="M44" s="21">
        <v>168.67</v>
      </c>
      <c r="N44" s="23">
        <v>1.3613397901533399</v>
      </c>
      <c r="O44" s="23">
        <v>1.3022492118915701</v>
      </c>
      <c r="P44" s="23">
        <v>1.3728632654506201</v>
      </c>
      <c r="Q44" s="23">
        <v>1.3815138985640401</v>
      </c>
      <c r="R44" s="21">
        <v>161.34867735336601</v>
      </c>
      <c r="S44" s="21">
        <v>170.341549973268</v>
      </c>
      <c r="T44" s="21">
        <v>171.342024223002</v>
      </c>
      <c r="U44" s="22">
        <v>-4.4376422181652102E-2</v>
      </c>
      <c r="V44" s="22">
        <v>9.8613956928426602E-3</v>
      </c>
      <c r="W44" s="22">
        <v>1.5717557267639199E-2</v>
      </c>
      <c r="X44" s="23">
        <v>1.3613397901533399</v>
      </c>
      <c r="Y44" s="23">
        <v>1.3022759807794699</v>
      </c>
      <c r="Z44" s="23">
        <v>1.3728632654506201</v>
      </c>
      <c r="AA44" s="23">
        <v>1.3815138985640401</v>
      </c>
      <c r="AB44" s="21">
        <v>161.35199401857599</v>
      </c>
      <c r="AC44" s="21">
        <v>170.341549973268</v>
      </c>
      <c r="AD44" s="21">
        <v>171.342024223002</v>
      </c>
      <c r="AE44" s="22">
        <v>-4.4355866505726198E-2</v>
      </c>
      <c r="AF44" s="22">
        <v>9.8613956928426602E-3</v>
      </c>
      <c r="AG44" s="22">
        <v>1.5717557267639199E-2</v>
      </c>
      <c r="AI44" s="5"/>
      <c r="AJ44">
        <f t="shared" si="6"/>
        <v>0</v>
      </c>
      <c r="AK44">
        <f t="shared" si="7"/>
        <v>1</v>
      </c>
      <c r="AL44">
        <f t="shared" si="14"/>
        <v>0</v>
      </c>
      <c r="AM44">
        <f t="shared" si="4"/>
        <v>1</v>
      </c>
      <c r="AN44">
        <f t="shared" si="15"/>
        <v>0</v>
      </c>
      <c r="AO44" s="17">
        <f t="shared" si="8"/>
        <v>0</v>
      </c>
      <c r="AP44" s="17">
        <f t="shared" si="9"/>
        <v>0</v>
      </c>
      <c r="AQ44" s="17">
        <f t="shared" si="16"/>
        <v>0</v>
      </c>
      <c r="AR44" s="11">
        <f t="shared" si="17"/>
        <v>0</v>
      </c>
      <c r="AT44" s="5"/>
      <c r="AU44">
        <f t="shared" si="10"/>
        <v>1</v>
      </c>
      <c r="AV44">
        <f t="shared" si="11"/>
        <v>0</v>
      </c>
      <c r="AW44">
        <f t="shared" si="18"/>
        <v>0</v>
      </c>
      <c r="AX44">
        <f t="shared" si="5"/>
        <v>1</v>
      </c>
      <c r="AY44">
        <f t="shared" si="19"/>
        <v>0</v>
      </c>
      <c r="AZ44" s="17">
        <f t="shared" si="12"/>
        <v>0</v>
      </c>
      <c r="BA44" s="17">
        <f t="shared" si="13"/>
        <v>0</v>
      </c>
      <c r="BB44" s="17">
        <f t="shared" si="20"/>
        <v>0</v>
      </c>
      <c r="BC44" s="11">
        <f t="shared" si="21"/>
        <v>1.0885194791201321E-2</v>
      </c>
      <c r="BE44" s="11">
        <f t="shared" si="22"/>
        <v>0</v>
      </c>
      <c r="BF44" s="11">
        <f t="shared" si="23"/>
        <v>1.0885194791201321E-2</v>
      </c>
      <c r="BH44" s="11"/>
    </row>
    <row r="45" spans="1:124" x14ac:dyDescent="0.25">
      <c r="A45" s="1">
        <v>46087</v>
      </c>
      <c r="B45" s="21">
        <v>124</v>
      </c>
      <c r="C45" s="21">
        <v>167.56</v>
      </c>
      <c r="D45" s="22">
        <v>8.0677696994011004E-4</v>
      </c>
      <c r="E45" s="22">
        <v>-6.6026471910890202E-3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124</v>
      </c>
      <c r="M45" s="21">
        <v>167.56</v>
      </c>
      <c r="N45" s="23">
        <v>1.3512903225806401</v>
      </c>
      <c r="O45" s="23">
        <v>1.3022492118915701</v>
      </c>
      <c r="P45" s="23">
        <v>1.3682343236743799</v>
      </c>
      <c r="Q45" s="23">
        <v>1.3786509793054</v>
      </c>
      <c r="R45" s="21">
        <v>161.478902274555</v>
      </c>
      <c r="S45" s="21">
        <v>170.23504491587701</v>
      </c>
      <c r="T45" s="21">
        <v>171.30772342194101</v>
      </c>
      <c r="U45" s="22">
        <v>-3.6966998020623199E-2</v>
      </c>
      <c r="V45" s="22">
        <v>1.5838603188657999E-2</v>
      </c>
      <c r="W45" s="22">
        <v>2.2119995344838599E-2</v>
      </c>
      <c r="X45" s="23">
        <v>1.3512903225806401</v>
      </c>
      <c r="Y45" s="23">
        <v>1.3022759807794699</v>
      </c>
      <c r="Z45" s="23">
        <v>1.3682343236743799</v>
      </c>
      <c r="AA45" s="23">
        <v>1.3786509793054</v>
      </c>
      <c r="AB45" s="21">
        <v>161.48222161665399</v>
      </c>
      <c r="AC45" s="21">
        <v>170.23504491587701</v>
      </c>
      <c r="AD45" s="21">
        <v>171.30772342194101</v>
      </c>
      <c r="AE45" s="22">
        <v>-3.6946442344697197E-2</v>
      </c>
      <c r="AF45" s="22">
        <v>1.5838603188657999E-2</v>
      </c>
      <c r="AG45" s="22">
        <v>2.2119995344838599E-2</v>
      </c>
      <c r="AI45" s="5"/>
      <c r="AJ45">
        <f t="shared" si="6"/>
        <v>0</v>
      </c>
      <c r="AK45">
        <f t="shared" si="7"/>
        <v>1</v>
      </c>
      <c r="AL45">
        <f t="shared" si="14"/>
        <v>0</v>
      </c>
      <c r="AM45">
        <f t="shared" si="4"/>
        <v>1</v>
      </c>
      <c r="AN45">
        <f t="shared" si="15"/>
        <v>0</v>
      </c>
      <c r="AO45" s="17">
        <f t="shared" si="8"/>
        <v>0</v>
      </c>
      <c r="AP45" s="17">
        <f t="shared" si="9"/>
        <v>0</v>
      </c>
      <c r="AQ45" s="17">
        <f t="shared" si="16"/>
        <v>0</v>
      </c>
      <c r="AR45" s="11">
        <f t="shared" si="17"/>
        <v>0</v>
      </c>
      <c r="AT45" s="5"/>
      <c r="AU45">
        <f t="shared" si="10"/>
        <v>1</v>
      </c>
      <c r="AV45">
        <f t="shared" si="11"/>
        <v>0</v>
      </c>
      <c r="AW45">
        <f t="shared" si="18"/>
        <v>1</v>
      </c>
      <c r="AX45">
        <f t="shared" si="5"/>
        <v>1</v>
      </c>
      <c r="AY45">
        <f t="shared" si="19"/>
        <v>1</v>
      </c>
      <c r="AZ45" s="17">
        <f t="shared" si="12"/>
        <v>-8.0677696994011004E-4</v>
      </c>
      <c r="BA45" s="17">
        <f t="shared" si="13"/>
        <v>-6.6026471910890202E-3</v>
      </c>
      <c r="BB45" s="17">
        <f t="shared" si="20"/>
        <v>-7.4094241610291305E-3</v>
      </c>
      <c r="BC45" s="11">
        <f t="shared" si="21"/>
        <v>3.47577063017219E-3</v>
      </c>
      <c r="BE45" s="11">
        <f t="shared" si="22"/>
        <v>-7.4094241610291305E-3</v>
      </c>
      <c r="BF45" s="11">
        <f t="shared" si="23"/>
        <v>3.47577063017219E-3</v>
      </c>
      <c r="BH45" s="11"/>
    </row>
    <row r="46" spans="1:124" x14ac:dyDescent="0.25">
      <c r="A46" s="1">
        <v>46090</v>
      </c>
      <c r="B46" s="21">
        <v>127.12</v>
      </c>
      <c r="C46" s="21">
        <v>171.29</v>
      </c>
      <c r="D46" s="22">
        <v>2.48499566234236E-2</v>
      </c>
      <c r="E46" s="22">
        <v>2.2016530431059299E-2</v>
      </c>
      <c r="F46" s="21">
        <v>0</v>
      </c>
      <c r="G46" s="21">
        <v>0</v>
      </c>
      <c r="H46" s="21">
        <v>0</v>
      </c>
      <c r="I46" s="21">
        <v>0</v>
      </c>
      <c r="J46" s="21">
        <v>0</v>
      </c>
      <c r="K46" s="21">
        <v>0</v>
      </c>
      <c r="L46" s="21">
        <v>127.12</v>
      </c>
      <c r="M46" s="21">
        <v>171.29</v>
      </c>
      <c r="N46" s="23">
        <v>1.3474669603524201</v>
      </c>
      <c r="O46" s="23">
        <v>1.3022492118915701</v>
      </c>
      <c r="P46" s="23">
        <v>1.3650744276012501</v>
      </c>
      <c r="Q46" s="23">
        <v>1.37631673430254</v>
      </c>
      <c r="R46" s="21">
        <v>165.541919815656</v>
      </c>
      <c r="S46" s="21">
        <v>173.92994722548801</v>
      </c>
      <c r="T46" s="21">
        <v>175.254112489302</v>
      </c>
      <c r="U46" s="22">
        <v>-3.4133571828258803E-2</v>
      </c>
      <c r="V46" s="22">
        <v>1.52945894862639E-2</v>
      </c>
      <c r="W46" s="22">
        <v>2.28789655448969E-2</v>
      </c>
      <c r="X46" s="23">
        <v>1.3474669603524201</v>
      </c>
      <c r="Y46" s="23">
        <v>1.3022759807794699</v>
      </c>
      <c r="Z46" s="23">
        <v>1.3650744276012501</v>
      </c>
      <c r="AA46" s="23">
        <v>1.37631673430254</v>
      </c>
      <c r="AB46" s="21">
        <v>165.545322676686</v>
      </c>
      <c r="AC46" s="21">
        <v>173.92994722548801</v>
      </c>
      <c r="AD46" s="21">
        <v>175.254112489302</v>
      </c>
      <c r="AE46" s="22">
        <v>-3.4113016152332899E-2</v>
      </c>
      <c r="AF46" s="22">
        <v>1.52945894862639E-2</v>
      </c>
      <c r="AG46" s="22">
        <v>2.28789655448969E-2</v>
      </c>
      <c r="AI46" s="5"/>
      <c r="AJ46">
        <f t="shared" si="6"/>
        <v>0</v>
      </c>
      <c r="AK46">
        <f t="shared" si="7"/>
        <v>1</v>
      </c>
      <c r="AL46">
        <f t="shared" si="14"/>
        <v>0</v>
      </c>
      <c r="AM46">
        <f t="shared" si="4"/>
        <v>1</v>
      </c>
      <c r="AN46">
        <f t="shared" si="15"/>
        <v>0</v>
      </c>
      <c r="AO46" s="17">
        <f t="shared" si="8"/>
        <v>0</v>
      </c>
      <c r="AP46" s="17">
        <f t="shared" si="9"/>
        <v>0</v>
      </c>
      <c r="AQ46" s="17">
        <f t="shared" si="16"/>
        <v>0</v>
      </c>
      <c r="AR46" s="11">
        <f t="shared" si="17"/>
        <v>0</v>
      </c>
      <c r="AT46" s="5"/>
      <c r="AU46">
        <f t="shared" si="10"/>
        <v>1</v>
      </c>
      <c r="AV46">
        <f t="shared" si="11"/>
        <v>0</v>
      </c>
      <c r="AW46">
        <f t="shared" si="18"/>
        <v>1</v>
      </c>
      <c r="AX46">
        <f t="shared" si="5"/>
        <v>1</v>
      </c>
      <c r="AY46">
        <f t="shared" si="19"/>
        <v>1</v>
      </c>
      <c r="AZ46" s="17">
        <f t="shared" si="12"/>
        <v>-2.48499566234236E-2</v>
      </c>
      <c r="BA46" s="17">
        <f t="shared" si="13"/>
        <v>2.2016530431059299E-2</v>
      </c>
      <c r="BB46" s="17">
        <f t="shared" si="20"/>
        <v>-2.8334261923643016E-3</v>
      </c>
      <c r="BC46" s="11">
        <f t="shared" si="21"/>
        <v>6.4234443780788845E-4</v>
      </c>
      <c r="BE46" s="11">
        <f t="shared" si="22"/>
        <v>-2.8334261923643016E-3</v>
      </c>
      <c r="BF46" s="11">
        <f t="shared" si="23"/>
        <v>6.4234443780788845E-4</v>
      </c>
      <c r="BH46" s="11"/>
    </row>
    <row r="47" spans="1:124" x14ac:dyDescent="0.25">
      <c r="A47" s="1">
        <v>46091</v>
      </c>
      <c r="B47" s="21">
        <v>127.43</v>
      </c>
      <c r="C47" s="21">
        <v>172.27</v>
      </c>
      <c r="D47" s="22">
        <v>2.4356719957271699E-3</v>
      </c>
      <c r="E47" s="22">
        <v>5.7049869483843099E-3</v>
      </c>
      <c r="F47" s="21">
        <v>0</v>
      </c>
      <c r="G47" s="21">
        <v>0</v>
      </c>
      <c r="H47" s="21">
        <v>0</v>
      </c>
      <c r="I47" s="21">
        <v>0</v>
      </c>
      <c r="J47" s="21">
        <v>0</v>
      </c>
      <c r="K47" s="21">
        <v>0</v>
      </c>
      <c r="L47" s="21">
        <v>127.43</v>
      </c>
      <c r="M47" s="21">
        <v>172.27</v>
      </c>
      <c r="N47" s="23">
        <v>1.35187946323471</v>
      </c>
      <c r="O47" s="23">
        <v>1.3022492118915701</v>
      </c>
      <c r="P47" s="23">
        <v>1.3637185523081301</v>
      </c>
      <c r="Q47" s="23">
        <v>1.3747766181771499</v>
      </c>
      <c r="R47" s="21">
        <v>165.94561707134301</v>
      </c>
      <c r="S47" s="21">
        <v>173.95143430922801</v>
      </c>
      <c r="T47" s="21">
        <v>175.38404145217299</v>
      </c>
      <c r="U47" s="22">
        <v>-3.7402886780915801E-2</v>
      </c>
      <c r="V47" s="22">
        <v>9.7131336315680796E-3</v>
      </c>
      <c r="W47" s="22">
        <v>1.7915078601500899E-2</v>
      </c>
      <c r="X47" s="23">
        <v>1.35187946323471</v>
      </c>
      <c r="Y47" s="23">
        <v>1.3022759807794699</v>
      </c>
      <c r="Z47" s="23">
        <v>1.3637185523081301</v>
      </c>
      <c r="AA47" s="23">
        <v>1.3747766181771499</v>
      </c>
      <c r="AB47" s="21">
        <v>165.949028230728</v>
      </c>
      <c r="AC47" s="21">
        <v>173.95143430922801</v>
      </c>
      <c r="AD47" s="21">
        <v>175.38404145217299</v>
      </c>
      <c r="AE47" s="22">
        <v>-3.7382331104989897E-2</v>
      </c>
      <c r="AF47" s="22">
        <v>9.7131336315680796E-3</v>
      </c>
      <c r="AG47" s="22">
        <v>1.7915078601500899E-2</v>
      </c>
      <c r="AI47" s="5"/>
      <c r="AJ47">
        <f t="shared" si="6"/>
        <v>0</v>
      </c>
      <c r="AK47">
        <f t="shared" si="7"/>
        <v>1</v>
      </c>
      <c r="AL47">
        <f t="shared" si="14"/>
        <v>0</v>
      </c>
      <c r="AM47">
        <f t="shared" si="4"/>
        <v>1</v>
      </c>
      <c r="AN47">
        <f t="shared" si="15"/>
        <v>0</v>
      </c>
      <c r="AO47" s="17">
        <f t="shared" si="8"/>
        <v>0</v>
      </c>
      <c r="AP47" s="17">
        <f t="shared" si="9"/>
        <v>0</v>
      </c>
      <c r="AQ47" s="17">
        <f t="shared" si="16"/>
        <v>0</v>
      </c>
      <c r="AR47" s="11">
        <f t="shared" si="17"/>
        <v>0</v>
      </c>
      <c r="AT47" s="5"/>
      <c r="AU47">
        <f t="shared" si="10"/>
        <v>1</v>
      </c>
      <c r="AV47">
        <f t="shared" si="11"/>
        <v>0</v>
      </c>
      <c r="AW47">
        <f t="shared" si="18"/>
        <v>1</v>
      </c>
      <c r="AX47">
        <f t="shared" si="5"/>
        <v>1</v>
      </c>
      <c r="AY47">
        <f t="shared" si="19"/>
        <v>1</v>
      </c>
      <c r="AZ47" s="17">
        <f t="shared" si="12"/>
        <v>-2.4356719957271699E-3</v>
      </c>
      <c r="BA47" s="17">
        <f t="shared" si="13"/>
        <v>5.7049869483843099E-3</v>
      </c>
      <c r="BB47" s="17">
        <f t="shared" si="20"/>
        <v>3.26931495265714E-3</v>
      </c>
      <c r="BC47" s="11">
        <f t="shared" si="21"/>
        <v>3.911659390465028E-3</v>
      </c>
      <c r="BE47" s="11">
        <f t="shared" si="22"/>
        <v>3.26931495265714E-3</v>
      </c>
      <c r="BF47" s="11">
        <f t="shared" si="23"/>
        <v>3.911659390465028E-3</v>
      </c>
      <c r="BH47" s="11"/>
    </row>
    <row r="48" spans="1:124" x14ac:dyDescent="0.25">
      <c r="A48" s="1">
        <v>46092</v>
      </c>
      <c r="B48" s="21">
        <v>126.38</v>
      </c>
      <c r="C48" s="21">
        <v>170.87</v>
      </c>
      <c r="D48" s="22">
        <v>-8.2739528788786793E-3</v>
      </c>
      <c r="E48" s="22">
        <v>-8.1599799980958208E-3</v>
      </c>
      <c r="F48" s="21">
        <v>0</v>
      </c>
      <c r="G48" s="21">
        <v>0</v>
      </c>
      <c r="H48" s="21">
        <v>0</v>
      </c>
      <c r="I48" s="21">
        <v>0</v>
      </c>
      <c r="J48" s="21">
        <v>0</v>
      </c>
      <c r="K48" s="21">
        <v>0</v>
      </c>
      <c r="L48" s="21">
        <v>126.38</v>
      </c>
      <c r="M48" s="21">
        <v>170.87</v>
      </c>
      <c r="N48" s="23">
        <v>1.35203354961228</v>
      </c>
      <c r="O48" s="23">
        <v>1.3022492118915701</v>
      </c>
      <c r="P48" s="23">
        <v>1.3622677133186201</v>
      </c>
      <c r="Q48" s="23">
        <v>1.37374098913151</v>
      </c>
      <c r="R48" s="21">
        <v>164.57825539885701</v>
      </c>
      <c r="S48" s="21">
        <v>172.346750640701</v>
      </c>
      <c r="T48" s="21">
        <v>173.74426900522801</v>
      </c>
      <c r="U48" s="22">
        <v>-3.7516859661698702E-2</v>
      </c>
      <c r="V48" s="22">
        <v>8.60540606533069E-3</v>
      </c>
      <c r="W48" s="22">
        <v>1.66814662981618E-2</v>
      </c>
      <c r="X48" s="23">
        <v>1.35203354961228</v>
      </c>
      <c r="Y48" s="23">
        <v>1.3022759807794699</v>
      </c>
      <c r="Z48" s="23">
        <v>1.3622677133186201</v>
      </c>
      <c r="AA48" s="23">
        <v>1.37374098913151</v>
      </c>
      <c r="AB48" s="21">
        <v>164.581638450909</v>
      </c>
      <c r="AC48" s="21">
        <v>172.346750640701</v>
      </c>
      <c r="AD48" s="21">
        <v>173.74426900522801</v>
      </c>
      <c r="AE48" s="22">
        <v>-3.7496303985772701E-2</v>
      </c>
      <c r="AF48" s="22">
        <v>8.60540606533069E-3</v>
      </c>
      <c r="AG48" s="22">
        <v>1.66814662981618E-2</v>
      </c>
      <c r="AI48" s="5"/>
      <c r="AJ48">
        <f t="shared" si="6"/>
        <v>0</v>
      </c>
      <c r="AK48">
        <f t="shared" si="7"/>
        <v>1</v>
      </c>
      <c r="AL48">
        <f t="shared" si="14"/>
        <v>0</v>
      </c>
      <c r="AM48">
        <f t="shared" si="4"/>
        <v>1</v>
      </c>
      <c r="AN48">
        <f t="shared" si="15"/>
        <v>0</v>
      </c>
      <c r="AO48" s="17">
        <f t="shared" si="8"/>
        <v>0</v>
      </c>
      <c r="AP48" s="17">
        <f t="shared" si="9"/>
        <v>0</v>
      </c>
      <c r="AQ48" s="17">
        <f t="shared" si="16"/>
        <v>0</v>
      </c>
      <c r="AR48" s="11">
        <f t="shared" si="17"/>
        <v>0</v>
      </c>
      <c r="AT48" s="5"/>
      <c r="AU48">
        <f t="shared" si="10"/>
        <v>1</v>
      </c>
      <c r="AV48">
        <f t="shared" si="11"/>
        <v>0</v>
      </c>
      <c r="AW48">
        <f t="shared" si="18"/>
        <v>1</v>
      </c>
      <c r="AX48">
        <f t="shared" si="5"/>
        <v>1</v>
      </c>
      <c r="AY48">
        <f t="shared" si="19"/>
        <v>1</v>
      </c>
      <c r="AZ48" s="17">
        <f t="shared" si="12"/>
        <v>8.2739528788786793E-3</v>
      </c>
      <c r="BA48" s="17">
        <f t="shared" si="13"/>
        <v>-8.1599799980958208E-3</v>
      </c>
      <c r="BB48" s="17">
        <f t="shared" si="20"/>
        <v>1.1397288078285849E-4</v>
      </c>
      <c r="BC48" s="11">
        <f t="shared" si="21"/>
        <v>4.0256322712478865E-3</v>
      </c>
      <c r="BE48" s="11">
        <f t="shared" si="22"/>
        <v>1.1397288078285849E-4</v>
      </c>
      <c r="BF48" s="11">
        <f t="shared" si="23"/>
        <v>4.0256322712478865E-3</v>
      </c>
      <c r="BH48" s="11"/>
    </row>
    <row r="49" spans="1:60" x14ac:dyDescent="0.25">
      <c r="A49" s="1">
        <v>46093</v>
      </c>
      <c r="B49" s="21">
        <v>122.62</v>
      </c>
      <c r="C49" s="21">
        <v>166.23</v>
      </c>
      <c r="D49" s="22">
        <v>-3.02030990107672E-2</v>
      </c>
      <c r="E49" s="22">
        <v>-2.75306619128141E-2</v>
      </c>
      <c r="F49" s="21">
        <v>0</v>
      </c>
      <c r="G49" s="21">
        <v>0</v>
      </c>
      <c r="H49" s="21">
        <v>0</v>
      </c>
      <c r="I49" s="21">
        <v>0</v>
      </c>
      <c r="J49" s="21">
        <v>0</v>
      </c>
      <c r="K49" s="21">
        <v>0</v>
      </c>
      <c r="L49" s="21">
        <v>122.62</v>
      </c>
      <c r="M49" s="21">
        <v>166.23</v>
      </c>
      <c r="N49" s="23">
        <v>1.3556516065894599</v>
      </c>
      <c r="O49" s="23">
        <v>1.3022492118915701</v>
      </c>
      <c r="P49" s="23">
        <v>1.36163799655922</v>
      </c>
      <c r="Q49" s="23">
        <v>1.3722496023530899</v>
      </c>
      <c r="R49" s="21">
        <v>159.68179836214401</v>
      </c>
      <c r="S49" s="21">
        <v>167.04126700712899</v>
      </c>
      <c r="T49" s="21">
        <v>168.44812008730599</v>
      </c>
      <c r="U49" s="22">
        <v>-4.0189296759651903E-2</v>
      </c>
      <c r="V49" s="22">
        <v>4.8685181704022397E-3</v>
      </c>
      <c r="W49" s="22">
        <v>1.32554381794405E-2</v>
      </c>
      <c r="X49" s="23">
        <v>1.3556516065894599</v>
      </c>
      <c r="Y49" s="23">
        <v>1.3022759807794699</v>
      </c>
      <c r="Z49" s="23">
        <v>1.36163799655922</v>
      </c>
      <c r="AA49" s="23">
        <v>1.3722496023530899</v>
      </c>
      <c r="AB49" s="21">
        <v>159.685080763179</v>
      </c>
      <c r="AC49" s="21">
        <v>167.04126700712899</v>
      </c>
      <c r="AD49" s="21">
        <v>168.44812008730599</v>
      </c>
      <c r="AE49" s="22">
        <v>-4.0168741083725902E-2</v>
      </c>
      <c r="AF49" s="22">
        <v>4.8685181704022397E-3</v>
      </c>
      <c r="AG49" s="22">
        <v>1.32554381794405E-2</v>
      </c>
      <c r="AI49" s="5"/>
      <c r="AJ49">
        <f t="shared" si="6"/>
        <v>0</v>
      </c>
      <c r="AK49">
        <f t="shared" si="7"/>
        <v>1</v>
      </c>
      <c r="AL49">
        <f t="shared" si="14"/>
        <v>0</v>
      </c>
      <c r="AM49">
        <f t="shared" si="4"/>
        <v>1</v>
      </c>
      <c r="AN49">
        <f t="shared" si="15"/>
        <v>0</v>
      </c>
      <c r="AO49" s="17">
        <f t="shared" si="8"/>
        <v>0</v>
      </c>
      <c r="AP49" s="17">
        <f t="shared" si="9"/>
        <v>0</v>
      </c>
      <c r="AQ49" s="17">
        <f t="shared" si="16"/>
        <v>0</v>
      </c>
      <c r="AR49" s="11">
        <f t="shared" si="17"/>
        <v>0</v>
      </c>
      <c r="AT49" s="5"/>
      <c r="AU49">
        <f t="shared" si="10"/>
        <v>0</v>
      </c>
      <c r="AV49">
        <f t="shared" si="11"/>
        <v>0</v>
      </c>
      <c r="AW49">
        <f t="shared" si="18"/>
        <v>1</v>
      </c>
      <c r="AX49">
        <f t="shared" si="5"/>
        <v>1</v>
      </c>
      <c r="AY49">
        <f t="shared" si="19"/>
        <v>1</v>
      </c>
      <c r="AZ49" s="17">
        <f t="shared" si="12"/>
        <v>3.02030990107672E-2</v>
      </c>
      <c r="BA49" s="17">
        <f t="shared" si="13"/>
        <v>-2.75306619128141E-2</v>
      </c>
      <c r="BB49" s="17">
        <f t="shared" si="20"/>
        <v>2.6724370979531002E-3</v>
      </c>
      <c r="BC49" s="11">
        <f t="shared" si="21"/>
        <v>6.6980693692009867E-3</v>
      </c>
      <c r="BE49" s="11">
        <f t="shared" si="22"/>
        <v>2.6724370979531002E-3</v>
      </c>
      <c r="BF49" s="11">
        <f t="shared" si="23"/>
        <v>6.6980693692009867E-3</v>
      </c>
      <c r="BH49" s="11"/>
    </row>
    <row r="50" spans="1:60" x14ac:dyDescent="0.25">
      <c r="A50" s="1">
        <v>46094</v>
      </c>
      <c r="B50" s="21">
        <v>121.83</v>
      </c>
      <c r="C50" s="21">
        <v>165.51</v>
      </c>
      <c r="D50" s="22">
        <v>-6.4635119682257903E-3</v>
      </c>
      <c r="E50" s="22">
        <v>-4.3407555949188598E-3</v>
      </c>
      <c r="F50" s="21">
        <v>0</v>
      </c>
      <c r="G50" s="21">
        <v>0</v>
      </c>
      <c r="H50" s="21">
        <v>0</v>
      </c>
      <c r="I50" s="21">
        <v>0</v>
      </c>
      <c r="J50" s="21">
        <v>0</v>
      </c>
      <c r="K50" s="21">
        <v>0</v>
      </c>
      <c r="L50" s="21">
        <v>121.83</v>
      </c>
      <c r="M50" s="21">
        <v>165.51</v>
      </c>
      <c r="N50" s="23">
        <v>1.3585323811868899</v>
      </c>
      <c r="O50" s="23">
        <v>1.3022492118915701</v>
      </c>
      <c r="P50" s="23">
        <v>1.3598057514401001</v>
      </c>
      <c r="Q50" s="23">
        <v>1.37091173042363</v>
      </c>
      <c r="R50" s="21">
        <v>158.65302148475001</v>
      </c>
      <c r="S50" s="21">
        <v>165.88835712081001</v>
      </c>
      <c r="T50" s="21">
        <v>167.18116905467599</v>
      </c>
      <c r="U50" s="22">
        <v>-4.2312053132958799E-2</v>
      </c>
      <c r="V50" s="22">
        <v>2.2833986775993402E-3</v>
      </c>
      <c r="W50" s="22">
        <v>1.0046453084379001E-2</v>
      </c>
      <c r="X50" s="23">
        <v>1.3585323811868899</v>
      </c>
      <c r="Y50" s="23">
        <v>1.3022759807794699</v>
      </c>
      <c r="Z50" s="23">
        <v>1.3598057514401001</v>
      </c>
      <c r="AA50" s="23">
        <v>1.37091173042363</v>
      </c>
      <c r="AB50" s="21">
        <v>158.65628273836299</v>
      </c>
      <c r="AC50" s="21">
        <v>165.88835712081001</v>
      </c>
      <c r="AD50" s="21">
        <v>167.18116905467599</v>
      </c>
      <c r="AE50" s="22">
        <v>-4.2291497457032902E-2</v>
      </c>
      <c r="AF50" s="22">
        <v>2.2833986775993402E-3</v>
      </c>
      <c r="AG50" s="22">
        <v>1.0046453084379001E-2</v>
      </c>
      <c r="AI50" s="5"/>
      <c r="AJ50">
        <f t="shared" si="6"/>
        <v>0</v>
      </c>
      <c r="AK50">
        <f t="shared" si="7"/>
        <v>1</v>
      </c>
      <c r="AL50">
        <f t="shared" si="14"/>
        <v>0</v>
      </c>
      <c r="AM50">
        <f t="shared" si="4"/>
        <v>1</v>
      </c>
      <c r="AN50">
        <f t="shared" si="15"/>
        <v>0</v>
      </c>
      <c r="AO50" s="17">
        <f t="shared" si="8"/>
        <v>0</v>
      </c>
      <c r="AP50" s="17">
        <f t="shared" si="9"/>
        <v>0</v>
      </c>
      <c r="AQ50" s="17">
        <f t="shared" si="16"/>
        <v>0</v>
      </c>
      <c r="AR50" s="11">
        <f t="shared" si="17"/>
        <v>0</v>
      </c>
      <c r="AT50" s="5"/>
      <c r="AU50">
        <f t="shared" si="10"/>
        <v>0</v>
      </c>
      <c r="AV50">
        <f t="shared" si="11"/>
        <v>0</v>
      </c>
      <c r="AW50">
        <f t="shared" si="18"/>
        <v>1</v>
      </c>
      <c r="AX50">
        <f t="shared" si="5"/>
        <v>1</v>
      </c>
      <c r="AY50">
        <f t="shared" si="19"/>
        <v>1</v>
      </c>
      <c r="AZ50" s="17">
        <f t="shared" si="12"/>
        <v>6.4635119682257903E-3</v>
      </c>
      <c r="BA50" s="17">
        <f t="shared" si="13"/>
        <v>-4.3407555949188598E-3</v>
      </c>
      <c r="BB50" s="17">
        <f t="shared" si="20"/>
        <v>2.1227563733069305E-3</v>
      </c>
      <c r="BC50" s="11">
        <f t="shared" si="21"/>
        <v>8.8208257425079171E-3</v>
      </c>
      <c r="BE50" s="11">
        <f t="shared" si="22"/>
        <v>2.1227563733069305E-3</v>
      </c>
      <c r="BF50" s="11">
        <f t="shared" si="23"/>
        <v>8.8208257425079171E-3</v>
      </c>
      <c r="BH50" s="11"/>
    </row>
    <row r="51" spans="1:60" x14ac:dyDescent="0.25">
      <c r="A51" s="1">
        <v>46097</v>
      </c>
      <c r="B51" s="21">
        <v>123.91</v>
      </c>
      <c r="C51" s="21">
        <v>167.14</v>
      </c>
      <c r="D51" s="22">
        <v>1.69288652620854E-2</v>
      </c>
      <c r="E51" s="22">
        <v>9.8001686208409496E-3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123.91</v>
      </c>
      <c r="M51" s="21">
        <v>167.14</v>
      </c>
      <c r="N51" s="23">
        <v>1.34888225324832</v>
      </c>
      <c r="O51" s="23">
        <v>1.3022492118915701</v>
      </c>
      <c r="P51" s="23">
        <v>1.35726213164443</v>
      </c>
      <c r="Q51" s="23">
        <v>1.36815398731525</v>
      </c>
      <c r="R51" s="21">
        <v>161.361699845484</v>
      </c>
      <c r="S51" s="21">
        <v>168.49353066094301</v>
      </c>
      <c r="T51" s="21">
        <v>169.86967251679201</v>
      </c>
      <c r="U51" s="22">
        <v>-3.5183356491714397E-2</v>
      </c>
      <c r="V51" s="22">
        <v>8.0655707784709103E-3</v>
      </c>
      <c r="W51" s="22">
        <v>1.6199726210030099E-2</v>
      </c>
      <c r="X51" s="23">
        <v>1.34888225324832</v>
      </c>
      <c r="Y51" s="23">
        <v>1.3022759807794699</v>
      </c>
      <c r="Z51" s="23">
        <v>1.35726213164443</v>
      </c>
      <c r="AA51" s="23">
        <v>1.36815398731525</v>
      </c>
      <c r="AB51" s="21">
        <v>161.36501677838399</v>
      </c>
      <c r="AC51" s="21">
        <v>168.49353066094301</v>
      </c>
      <c r="AD51" s="21">
        <v>169.86967251679201</v>
      </c>
      <c r="AE51" s="22">
        <v>-3.5162800815788403E-2</v>
      </c>
      <c r="AF51" s="22">
        <v>8.0655707784709103E-3</v>
      </c>
      <c r="AG51" s="22">
        <v>1.6199726210030099E-2</v>
      </c>
      <c r="AI51" s="5"/>
      <c r="AJ51">
        <f t="shared" si="6"/>
        <v>0</v>
      </c>
      <c r="AK51">
        <f t="shared" si="7"/>
        <v>1</v>
      </c>
      <c r="AL51">
        <f t="shared" si="14"/>
        <v>0</v>
      </c>
      <c r="AM51">
        <f t="shared" si="4"/>
        <v>0</v>
      </c>
      <c r="AN51">
        <f t="shared" si="15"/>
        <v>0</v>
      </c>
      <c r="AO51" s="17">
        <f t="shared" si="8"/>
        <v>0</v>
      </c>
      <c r="AP51" s="17">
        <f t="shared" si="9"/>
        <v>0</v>
      </c>
      <c r="AQ51" s="17">
        <f t="shared" si="16"/>
        <v>0</v>
      </c>
      <c r="AR51" s="11">
        <f t="shared" si="17"/>
        <v>0</v>
      </c>
      <c r="AT51" s="5"/>
      <c r="AU51">
        <f t="shared" si="10"/>
        <v>1</v>
      </c>
      <c r="AV51">
        <f t="shared" si="11"/>
        <v>0</v>
      </c>
      <c r="AW51">
        <f t="shared" si="18"/>
        <v>1</v>
      </c>
      <c r="AX51">
        <f t="shared" si="5"/>
        <v>0</v>
      </c>
      <c r="AY51">
        <f t="shared" si="19"/>
        <v>1</v>
      </c>
      <c r="AZ51" s="17">
        <f t="shared" si="12"/>
        <v>-1.69288652620854E-2</v>
      </c>
      <c r="BA51" s="17">
        <f t="shared" si="13"/>
        <v>9.8001686208409496E-3</v>
      </c>
      <c r="BB51" s="17">
        <f t="shared" si="20"/>
        <v>-7.1286966412444502E-3</v>
      </c>
      <c r="BC51" s="11">
        <f t="shared" si="21"/>
        <v>1.6921291012634669E-3</v>
      </c>
      <c r="BE51" s="11">
        <f t="shared" si="22"/>
        <v>-7.1286966412444502E-3</v>
      </c>
      <c r="BF51" s="11">
        <f t="shared" si="23"/>
        <v>1.6921291012634669E-3</v>
      </c>
      <c r="BH51" s="11"/>
    </row>
    <row r="52" spans="1:60" x14ac:dyDescent="0.25">
      <c r="A52" s="1">
        <v>46098</v>
      </c>
      <c r="B52" s="21">
        <v>124.19</v>
      </c>
      <c r="C52" s="21">
        <v>167.17</v>
      </c>
      <c r="D52" s="22">
        <v>2.25715533153956E-3</v>
      </c>
      <c r="E52" s="22">
        <v>1.79474141249352E-4</v>
      </c>
      <c r="F52" s="21">
        <v>0</v>
      </c>
      <c r="G52" s="21">
        <v>0</v>
      </c>
      <c r="H52" s="21">
        <v>0.121818</v>
      </c>
      <c r="I52" s="21">
        <v>0.121818</v>
      </c>
      <c r="J52" s="21">
        <v>0</v>
      </c>
      <c r="K52" s="21">
        <v>0.121818</v>
      </c>
      <c r="L52" s="21">
        <v>124.19</v>
      </c>
      <c r="M52" s="21">
        <v>167.29181799999901</v>
      </c>
      <c r="N52" s="23">
        <v>1.3460826153474501</v>
      </c>
      <c r="O52" s="23">
        <v>1.3022492118915701</v>
      </c>
      <c r="P52" s="23">
        <v>1.3541375996569101</v>
      </c>
      <c r="Q52" s="23">
        <v>1.36564346671458</v>
      </c>
      <c r="R52" s="21">
        <v>161.72632962481401</v>
      </c>
      <c r="S52" s="21">
        <v>168.558384128922</v>
      </c>
      <c r="T52" s="21">
        <v>169.911043684681</v>
      </c>
      <c r="U52" s="22">
        <v>-3.3105675301423998E-2</v>
      </c>
      <c r="V52" s="22">
        <v>8.2709244096397395E-3</v>
      </c>
      <c r="W52" s="22">
        <v>1.6263768937871698E-2</v>
      </c>
      <c r="X52" s="23">
        <v>1.34706351558096</v>
      </c>
      <c r="Y52" s="23">
        <v>1.3022759807794699</v>
      </c>
      <c r="Z52" s="23">
        <v>1.3542356896802601</v>
      </c>
      <c r="AA52" s="23">
        <v>1.3656925117262499</v>
      </c>
      <c r="AB52" s="21">
        <v>161.72965405300201</v>
      </c>
      <c r="AC52" s="21">
        <v>168.558384128922</v>
      </c>
      <c r="AD52" s="21">
        <v>169.911043684681</v>
      </c>
      <c r="AE52" s="22">
        <v>-3.3813561551186901E-2</v>
      </c>
      <c r="AF52" s="22">
        <v>7.5424824839509397E-3</v>
      </c>
      <c r="AG52" s="22">
        <v>1.55353270121829E-2</v>
      </c>
      <c r="AI52" s="5"/>
      <c r="AJ52">
        <f t="shared" si="6"/>
        <v>0</v>
      </c>
      <c r="AK52">
        <f t="shared" si="7"/>
        <v>1</v>
      </c>
      <c r="AL52">
        <f t="shared" si="14"/>
        <v>0</v>
      </c>
      <c r="AM52">
        <f t="shared" si="4"/>
        <v>1</v>
      </c>
      <c r="AN52">
        <f t="shared" si="15"/>
        <v>0</v>
      </c>
      <c r="AO52" s="17">
        <f t="shared" si="8"/>
        <v>0</v>
      </c>
      <c r="AP52" s="17">
        <f t="shared" si="9"/>
        <v>0</v>
      </c>
      <c r="AQ52" s="17">
        <f t="shared" si="16"/>
        <v>0</v>
      </c>
      <c r="AR52" s="11">
        <f t="shared" si="17"/>
        <v>0</v>
      </c>
      <c r="AT52" s="5"/>
      <c r="AU52">
        <f t="shared" si="10"/>
        <v>1</v>
      </c>
      <c r="AV52">
        <f t="shared" si="11"/>
        <v>0</v>
      </c>
      <c r="AW52">
        <f t="shared" si="18"/>
        <v>0</v>
      </c>
      <c r="AX52">
        <f t="shared" si="5"/>
        <v>1</v>
      </c>
      <c r="AY52">
        <f t="shared" si="19"/>
        <v>0</v>
      </c>
      <c r="AZ52" s="17">
        <f t="shared" si="12"/>
        <v>0</v>
      </c>
      <c r="BA52" s="17">
        <f t="shared" si="13"/>
        <v>0</v>
      </c>
      <c r="BB52" s="17">
        <f t="shared" si="20"/>
        <v>0</v>
      </c>
      <c r="BC52" s="11">
        <f t="shared" si="21"/>
        <v>1.6921291012634669E-3</v>
      </c>
      <c r="BE52" s="11">
        <f t="shared" si="22"/>
        <v>0</v>
      </c>
      <c r="BF52" s="11">
        <f t="shared" si="23"/>
        <v>1.6921291012634669E-3</v>
      </c>
      <c r="BH52" s="11"/>
    </row>
    <row r="53" spans="1:60" x14ac:dyDescent="0.25">
      <c r="A53" s="1">
        <v>46099</v>
      </c>
      <c r="B53" s="21">
        <v>121.11</v>
      </c>
      <c r="C53" s="21">
        <v>163.78</v>
      </c>
      <c r="D53" s="22">
        <v>-2.5113427426981999E-2</v>
      </c>
      <c r="E53" s="22">
        <v>-2.0487194872496998E-2</v>
      </c>
      <c r="F53" s="21">
        <v>0</v>
      </c>
      <c r="G53" s="21">
        <v>0</v>
      </c>
      <c r="H53" s="21">
        <v>0</v>
      </c>
      <c r="I53" s="21">
        <v>0.121818</v>
      </c>
      <c r="J53" s="21">
        <v>0</v>
      </c>
      <c r="K53" s="21">
        <v>0.121818</v>
      </c>
      <c r="L53" s="21">
        <v>121.11</v>
      </c>
      <c r="M53" s="21">
        <v>163.90181799999999</v>
      </c>
      <c r="N53" s="23">
        <v>1.35232433325076</v>
      </c>
      <c r="O53" s="23">
        <v>1.3022492118915701</v>
      </c>
      <c r="P53" s="23">
        <v>1.35254832755563</v>
      </c>
      <c r="Q53" s="23">
        <v>1.3636896196828501</v>
      </c>
      <c r="R53" s="21">
        <v>157.71540205218801</v>
      </c>
      <c r="S53" s="21">
        <v>163.99960469444801</v>
      </c>
      <c r="T53" s="21">
        <v>165.393080253802</v>
      </c>
      <c r="U53" s="22">
        <v>-3.7731907855908998E-2</v>
      </c>
      <c r="V53" s="22">
        <v>1.3399535795475201E-3</v>
      </c>
      <c r="W53" s="22">
        <v>9.8008814382994896E-3</v>
      </c>
      <c r="X53" s="23">
        <v>1.35333017917595</v>
      </c>
      <c r="Y53" s="23">
        <v>1.3022759807794699</v>
      </c>
      <c r="Z53" s="23">
        <v>1.3527470021715</v>
      </c>
      <c r="AA53" s="23">
        <v>1.36378895699078</v>
      </c>
      <c r="AB53" s="21">
        <v>157.71864403220201</v>
      </c>
      <c r="AC53" s="21">
        <v>164.011484377176</v>
      </c>
      <c r="AD53" s="21">
        <v>165.399020095167</v>
      </c>
      <c r="AE53" s="22">
        <v>-3.8454866155554601E-2</v>
      </c>
      <c r="AF53" s="22">
        <v>6.6887424493216696E-4</v>
      </c>
      <c r="AG53" s="22">
        <v>9.0932802995726796E-3</v>
      </c>
      <c r="AI53" s="5"/>
      <c r="AJ53">
        <f t="shared" si="6"/>
        <v>0</v>
      </c>
      <c r="AK53">
        <f t="shared" si="7"/>
        <v>1</v>
      </c>
      <c r="AL53">
        <f t="shared" si="14"/>
        <v>0</v>
      </c>
      <c r="AM53">
        <f t="shared" si="4"/>
        <v>1</v>
      </c>
      <c r="AN53">
        <f t="shared" si="15"/>
        <v>0</v>
      </c>
      <c r="AO53" s="17">
        <f t="shared" si="8"/>
        <v>0</v>
      </c>
      <c r="AP53" s="17">
        <f t="shared" si="9"/>
        <v>0</v>
      </c>
      <c r="AQ53" s="17">
        <f t="shared" si="16"/>
        <v>0</v>
      </c>
      <c r="AR53" s="11">
        <f t="shared" si="17"/>
        <v>0</v>
      </c>
      <c r="AT53" s="5"/>
      <c r="AU53">
        <f t="shared" si="10"/>
        <v>0</v>
      </c>
      <c r="AV53">
        <f t="shared" si="11"/>
        <v>0</v>
      </c>
      <c r="AW53">
        <f t="shared" si="18"/>
        <v>1</v>
      </c>
      <c r="AX53">
        <f t="shared" si="5"/>
        <v>1</v>
      </c>
      <c r="AY53">
        <f t="shared" si="19"/>
        <v>1</v>
      </c>
      <c r="AZ53" s="17">
        <f t="shared" si="12"/>
        <v>2.5113427426981999E-2</v>
      </c>
      <c r="BA53" s="17">
        <f t="shared" si="13"/>
        <v>-2.0487194872496998E-2</v>
      </c>
      <c r="BB53" s="17">
        <f t="shared" si="20"/>
        <v>4.6262325544850005E-3</v>
      </c>
      <c r="BC53" s="11">
        <f t="shared" si="21"/>
        <v>6.3183616557484674E-3</v>
      </c>
      <c r="BE53" s="11">
        <f t="shared" si="22"/>
        <v>4.6262325544850005E-3</v>
      </c>
      <c r="BF53" s="11">
        <f t="shared" si="23"/>
        <v>6.3183616557484674E-3</v>
      </c>
      <c r="BH53" s="11"/>
    </row>
    <row r="54" spans="1:60" x14ac:dyDescent="0.25">
      <c r="A54" s="1">
        <v>46100</v>
      </c>
      <c r="B54" s="21">
        <v>122.33</v>
      </c>
      <c r="C54" s="21">
        <v>164.46</v>
      </c>
      <c r="D54" s="22">
        <v>1.0023087525865801E-2</v>
      </c>
      <c r="E54" s="22">
        <v>4.14331570070738E-3</v>
      </c>
      <c r="F54" s="21">
        <v>0</v>
      </c>
      <c r="G54" s="21">
        <v>0</v>
      </c>
      <c r="H54" s="21">
        <v>0</v>
      </c>
      <c r="I54" s="21">
        <v>0.121818</v>
      </c>
      <c r="J54" s="21">
        <v>0</v>
      </c>
      <c r="K54" s="21">
        <v>0.121818</v>
      </c>
      <c r="L54" s="21">
        <v>122.33</v>
      </c>
      <c r="M54" s="21">
        <v>164.581818</v>
      </c>
      <c r="N54" s="23">
        <v>1.34439630507643</v>
      </c>
      <c r="O54" s="23">
        <v>1.3022492118915701</v>
      </c>
      <c r="P54" s="23">
        <v>1.3508539790479399</v>
      </c>
      <c r="Q54" s="23">
        <v>1.3618586222492799</v>
      </c>
      <c r="R54" s="21">
        <v>159.30414609069601</v>
      </c>
      <c r="S54" s="21">
        <v>165.45723690988001</v>
      </c>
      <c r="T54" s="21">
        <v>166.82015117580301</v>
      </c>
      <c r="U54" s="22">
        <v>-3.1852136030750301E-2</v>
      </c>
      <c r="V54" s="22">
        <v>6.04539463515316E-3</v>
      </c>
      <c r="W54" s="22">
        <v>1.42489134914019E-2</v>
      </c>
      <c r="X54" s="23">
        <v>1.3453921196762799</v>
      </c>
      <c r="Y54" s="23">
        <v>1.3022759807794699</v>
      </c>
      <c r="Z54" s="23">
        <v>1.3511522351237899</v>
      </c>
      <c r="AA54" s="23">
        <v>1.3620077502872101</v>
      </c>
      <c r="AB54" s="21">
        <v>159.30742072875299</v>
      </c>
      <c r="AC54" s="21">
        <v>165.48154077563899</v>
      </c>
      <c r="AD54" s="21">
        <v>166.83230310868299</v>
      </c>
      <c r="AE54" s="22">
        <v>-3.2572021228303702E-2</v>
      </c>
      <c r="AF54" s="22">
        <v>5.4518320814230404E-3</v>
      </c>
      <c r="AG54" s="22">
        <v>1.3581314479141E-2</v>
      </c>
      <c r="AI54" s="5"/>
      <c r="AJ54">
        <f t="shared" si="6"/>
        <v>0</v>
      </c>
      <c r="AK54">
        <f t="shared" si="7"/>
        <v>1</v>
      </c>
      <c r="AL54">
        <f t="shared" si="14"/>
        <v>0</v>
      </c>
      <c r="AM54">
        <f t="shared" si="4"/>
        <v>1</v>
      </c>
      <c r="AN54">
        <f t="shared" si="15"/>
        <v>0</v>
      </c>
      <c r="AO54" s="17">
        <f t="shared" si="8"/>
        <v>0</v>
      </c>
      <c r="AP54" s="17">
        <f t="shared" si="9"/>
        <v>0</v>
      </c>
      <c r="AQ54" s="17">
        <f t="shared" si="16"/>
        <v>0</v>
      </c>
      <c r="AR54" s="11">
        <f t="shared" si="17"/>
        <v>0</v>
      </c>
      <c r="AT54" s="5"/>
      <c r="AU54">
        <f t="shared" si="10"/>
        <v>0</v>
      </c>
      <c r="AV54">
        <f t="shared" si="11"/>
        <v>0</v>
      </c>
      <c r="AW54">
        <f t="shared" si="18"/>
        <v>1</v>
      </c>
      <c r="AX54">
        <f t="shared" si="5"/>
        <v>1</v>
      </c>
      <c r="AY54">
        <f t="shared" si="19"/>
        <v>1</v>
      </c>
      <c r="AZ54" s="17">
        <f t="shared" si="12"/>
        <v>-1.0023087525865801E-2</v>
      </c>
      <c r="BA54" s="17">
        <f t="shared" si="13"/>
        <v>4.14331570070738E-3</v>
      </c>
      <c r="BB54" s="17">
        <f t="shared" si="20"/>
        <v>-5.8797718251584205E-3</v>
      </c>
      <c r="BC54" s="11">
        <f t="shared" si="21"/>
        <v>4.3858983059004691E-4</v>
      </c>
      <c r="BE54" s="11">
        <f t="shared" si="22"/>
        <v>-5.8797718251584205E-3</v>
      </c>
      <c r="BF54" s="11">
        <f t="shared" si="23"/>
        <v>4.3858983059004691E-4</v>
      </c>
      <c r="BH54" s="11"/>
    </row>
    <row r="55" spans="1:60" x14ac:dyDescent="0.25">
      <c r="A55" s="1">
        <v>46101</v>
      </c>
      <c r="B55" s="21">
        <v>120.31</v>
      </c>
      <c r="C55" s="21">
        <v>161.65</v>
      </c>
      <c r="D55" s="22">
        <v>-1.66505660133918E-2</v>
      </c>
      <c r="E55" s="22">
        <v>-1.72338753713073E-2</v>
      </c>
      <c r="F55" s="21">
        <v>0</v>
      </c>
      <c r="G55" s="21">
        <v>0</v>
      </c>
      <c r="H55" s="21">
        <v>0</v>
      </c>
      <c r="I55" s="21">
        <v>0.121818</v>
      </c>
      <c r="J55" s="21">
        <v>0</v>
      </c>
      <c r="K55" s="21">
        <v>0.121818</v>
      </c>
      <c r="L55" s="21">
        <v>120.31</v>
      </c>
      <c r="M55" s="21">
        <v>161.771818</v>
      </c>
      <c r="N55" s="23">
        <v>1.3436123348017599</v>
      </c>
      <c r="O55" s="23">
        <v>1.3022492118915701</v>
      </c>
      <c r="P55" s="23">
        <v>1.3500861802700499</v>
      </c>
      <c r="Q55" s="23">
        <v>1.3591602519722199</v>
      </c>
      <c r="R55" s="21">
        <v>156.67360268267501</v>
      </c>
      <c r="S55" s="21">
        <v>162.521242219257</v>
      </c>
      <c r="T55" s="21">
        <v>163.84521084281101</v>
      </c>
      <c r="U55" s="22">
        <v>-3.1268826672834898E-2</v>
      </c>
      <c r="V55" s="22">
        <v>5.37521040433707E-3</v>
      </c>
      <c r="W55" s="22">
        <v>1.3488641634467001E-2</v>
      </c>
      <c r="X55" s="23">
        <v>1.3446248690881799</v>
      </c>
      <c r="Y55" s="23">
        <v>1.3022759807794699</v>
      </c>
      <c r="Z55" s="23">
        <v>1.3504856897745501</v>
      </c>
      <c r="AA55" s="23">
        <v>1.35936000672446</v>
      </c>
      <c r="AB55" s="21">
        <v>156.676823247578</v>
      </c>
      <c r="AC55" s="21">
        <v>162.557125407743</v>
      </c>
      <c r="AD55" s="21">
        <v>163.863152437054</v>
      </c>
      <c r="AE55" s="22">
        <v>-3.2001578281581199E-2</v>
      </c>
      <c r="AF55" s="22">
        <v>4.8426695083597197E-3</v>
      </c>
      <c r="AG55" s="22">
        <v>1.28448316728504E-2</v>
      </c>
      <c r="AI55" s="5"/>
      <c r="AJ55">
        <f t="shared" si="6"/>
        <v>0</v>
      </c>
      <c r="AK55">
        <f t="shared" si="7"/>
        <v>1</v>
      </c>
      <c r="AL55">
        <f t="shared" si="14"/>
        <v>0</v>
      </c>
      <c r="AM55">
        <f t="shared" si="4"/>
        <v>1</v>
      </c>
      <c r="AN55">
        <f t="shared" si="15"/>
        <v>0</v>
      </c>
      <c r="AO55" s="17">
        <f t="shared" si="8"/>
        <v>0</v>
      </c>
      <c r="AP55" s="17">
        <f t="shared" si="9"/>
        <v>0</v>
      </c>
      <c r="AQ55" s="17">
        <f t="shared" si="16"/>
        <v>0</v>
      </c>
      <c r="AR55" s="11">
        <f t="shared" si="17"/>
        <v>0</v>
      </c>
      <c r="AT55" s="5"/>
      <c r="AU55">
        <f t="shared" si="10"/>
        <v>0</v>
      </c>
      <c r="AV55">
        <f t="shared" si="11"/>
        <v>0</v>
      </c>
      <c r="AW55">
        <f t="shared" si="18"/>
        <v>1</v>
      </c>
      <c r="AX55">
        <f t="shared" si="5"/>
        <v>1</v>
      </c>
      <c r="AY55">
        <f t="shared" si="19"/>
        <v>1</v>
      </c>
      <c r="AZ55" s="17">
        <f t="shared" si="12"/>
        <v>1.66505660133918E-2</v>
      </c>
      <c r="BA55" s="17">
        <f t="shared" si="13"/>
        <v>-1.72338753713073E-2</v>
      </c>
      <c r="BB55" s="17">
        <f t="shared" si="20"/>
        <v>-5.8330935791549993E-4</v>
      </c>
      <c r="BC55" s="11">
        <f t="shared" si="21"/>
        <v>-1.4471952732545302E-4</v>
      </c>
      <c r="BE55" s="11">
        <f t="shared" si="22"/>
        <v>-5.8330935791549993E-4</v>
      </c>
      <c r="BF55" s="11">
        <f t="shared" si="23"/>
        <v>-1.4471952732545302E-4</v>
      </c>
      <c r="BH55" s="11"/>
    </row>
    <row r="56" spans="1:60" x14ac:dyDescent="0.25">
      <c r="A56" s="1">
        <v>46104</v>
      </c>
      <c r="B56" s="21">
        <v>121.7</v>
      </c>
      <c r="C56" s="21">
        <v>162.69</v>
      </c>
      <c r="D56" s="22">
        <v>1.1487254948048401E-2</v>
      </c>
      <c r="E56" s="22">
        <v>6.4130453496367397E-3</v>
      </c>
      <c r="F56" s="21">
        <v>0</v>
      </c>
      <c r="G56" s="21">
        <v>0</v>
      </c>
      <c r="H56" s="21">
        <v>0</v>
      </c>
      <c r="I56" s="21">
        <v>0.121818</v>
      </c>
      <c r="J56" s="21">
        <v>0</v>
      </c>
      <c r="K56" s="21">
        <v>0</v>
      </c>
      <c r="L56" s="21">
        <v>121.7</v>
      </c>
      <c r="M56" s="21">
        <v>162.69</v>
      </c>
      <c r="N56" s="23">
        <v>1.33681183237469</v>
      </c>
      <c r="O56" s="23">
        <v>1.3022492118915701</v>
      </c>
      <c r="P56" s="23">
        <v>1.34902066747227</v>
      </c>
      <c r="Q56" s="23">
        <v>1.35704754753676</v>
      </c>
      <c r="R56" s="21">
        <v>158.48372908720401</v>
      </c>
      <c r="S56" s="21">
        <v>164.305488138865</v>
      </c>
      <c r="T56" s="21">
        <v>165.40980266501899</v>
      </c>
      <c r="U56" s="22">
        <v>-2.6194617074423401E-2</v>
      </c>
      <c r="V56" s="22">
        <v>9.8808781223064697E-3</v>
      </c>
      <c r="W56" s="22">
        <v>1.65794977271955E-2</v>
      </c>
      <c r="X56" s="23">
        <v>1.33681183237469</v>
      </c>
      <c r="Y56" s="23">
        <v>1.3022759807794699</v>
      </c>
      <c r="Z56" s="23">
        <v>1.34942017697677</v>
      </c>
      <c r="AA56" s="23">
        <v>1.3572473022890099</v>
      </c>
      <c r="AB56" s="21">
        <v>158.486986860862</v>
      </c>
      <c r="AC56" s="21">
        <v>164.35410844556199</v>
      </c>
      <c r="AD56" s="21">
        <v>165.434112818367</v>
      </c>
      <c r="AE56" s="22">
        <v>-2.61740613984974E-2</v>
      </c>
      <c r="AF56" s="22">
        <v>1.01767484243298E-2</v>
      </c>
      <c r="AG56" s="22">
        <v>1.6726456170466E-2</v>
      </c>
      <c r="AI56" s="5"/>
      <c r="AJ56">
        <f t="shared" si="6"/>
        <v>0</v>
      </c>
      <c r="AK56">
        <f t="shared" si="7"/>
        <v>1</v>
      </c>
      <c r="AL56">
        <f t="shared" si="14"/>
        <v>0</v>
      </c>
      <c r="AM56">
        <f t="shared" si="4"/>
        <v>1</v>
      </c>
      <c r="AN56">
        <f t="shared" si="15"/>
        <v>0</v>
      </c>
      <c r="AO56" s="17">
        <f t="shared" si="8"/>
        <v>0</v>
      </c>
      <c r="AP56" s="17">
        <f t="shared" si="9"/>
        <v>0</v>
      </c>
      <c r="AQ56" s="17">
        <f t="shared" si="16"/>
        <v>0</v>
      </c>
      <c r="AR56" s="11">
        <f t="shared" si="17"/>
        <v>0</v>
      </c>
      <c r="AT56" s="5"/>
      <c r="AU56">
        <f t="shared" si="10"/>
        <v>1</v>
      </c>
      <c r="AV56">
        <f t="shared" si="11"/>
        <v>0</v>
      </c>
      <c r="AW56">
        <f t="shared" si="18"/>
        <v>1</v>
      </c>
      <c r="AX56">
        <f t="shared" si="5"/>
        <v>1</v>
      </c>
      <c r="AY56">
        <f t="shared" si="19"/>
        <v>1</v>
      </c>
      <c r="AZ56" s="17">
        <f t="shared" si="12"/>
        <v>-1.1487254948048401E-2</v>
      </c>
      <c r="BA56" s="17">
        <f t="shared" si="13"/>
        <v>6.4130453496367397E-3</v>
      </c>
      <c r="BB56" s="17">
        <f t="shared" si="20"/>
        <v>-5.074209598411661E-3</v>
      </c>
      <c r="BC56" s="11">
        <f t="shared" si="21"/>
        <v>-5.2189291257371141E-3</v>
      </c>
      <c r="BE56" s="11">
        <f t="shared" si="22"/>
        <v>-5.074209598411661E-3</v>
      </c>
      <c r="BF56" s="11">
        <f t="shared" si="23"/>
        <v>-5.2189291257371141E-3</v>
      </c>
      <c r="BH56" s="11"/>
    </row>
    <row r="57" spans="1:60" x14ac:dyDescent="0.25">
      <c r="A57" s="1">
        <v>46105</v>
      </c>
      <c r="B57" s="21">
        <v>119.54</v>
      </c>
      <c r="C57" s="21">
        <v>161.63999999999999</v>
      </c>
      <c r="D57" s="22">
        <v>-1.7907956597373299E-2</v>
      </c>
      <c r="E57" s="22">
        <v>-6.4749093108061196E-3</v>
      </c>
      <c r="F57" s="21">
        <v>0</v>
      </c>
      <c r="G57" s="21">
        <v>0</v>
      </c>
      <c r="H57" s="21">
        <v>0</v>
      </c>
      <c r="I57" s="21">
        <v>0.121818</v>
      </c>
      <c r="J57" s="21">
        <v>0</v>
      </c>
      <c r="K57" s="21">
        <v>0</v>
      </c>
      <c r="L57" s="21">
        <v>119.54</v>
      </c>
      <c r="M57" s="21">
        <v>161.63999999999999</v>
      </c>
      <c r="N57" s="23">
        <v>1.3521833695834</v>
      </c>
      <c r="O57" s="23">
        <v>1.3022492118915701</v>
      </c>
      <c r="P57" s="23">
        <v>1.34905105810714</v>
      </c>
      <c r="Q57" s="23">
        <v>1.3563848052076299</v>
      </c>
      <c r="R57" s="21">
        <v>155.67087078951801</v>
      </c>
      <c r="S57" s="21">
        <v>161.26193058963599</v>
      </c>
      <c r="T57" s="21">
        <v>162.221463832545</v>
      </c>
      <c r="U57" s="22">
        <v>-3.76276643609905E-2</v>
      </c>
      <c r="V57" s="22">
        <v>-2.3416991185967501E-3</v>
      </c>
      <c r="W57" s="22">
        <v>3.5908221401046098E-3</v>
      </c>
      <c r="X57" s="23">
        <v>1.3521833695834</v>
      </c>
      <c r="Y57" s="23">
        <v>1.3022759807794699</v>
      </c>
      <c r="Z57" s="23">
        <v>1.34945056761164</v>
      </c>
      <c r="AA57" s="23">
        <v>1.35658455995988</v>
      </c>
      <c r="AB57" s="21">
        <v>155.67407074237801</v>
      </c>
      <c r="AC57" s="21">
        <v>161.30968795580301</v>
      </c>
      <c r="AD57" s="21">
        <v>162.24534251562901</v>
      </c>
      <c r="AE57" s="22">
        <v>-3.7607108685064602E-2</v>
      </c>
      <c r="AF57" s="22">
        <v>-2.0455951604615602E-3</v>
      </c>
      <c r="AG57" s="22">
        <v>3.7380093571622E-3</v>
      </c>
      <c r="AI57" s="5"/>
      <c r="AJ57">
        <f t="shared" si="6"/>
        <v>0</v>
      </c>
      <c r="AK57">
        <f t="shared" si="7"/>
        <v>1</v>
      </c>
      <c r="AL57">
        <f t="shared" si="14"/>
        <v>0</v>
      </c>
      <c r="AM57">
        <f t="shared" si="4"/>
        <v>1</v>
      </c>
      <c r="AN57">
        <f t="shared" si="15"/>
        <v>0</v>
      </c>
      <c r="AO57" s="17">
        <f t="shared" si="8"/>
        <v>0</v>
      </c>
      <c r="AP57" s="17">
        <f t="shared" si="9"/>
        <v>0</v>
      </c>
      <c r="AQ57" s="17">
        <f t="shared" si="16"/>
        <v>0</v>
      </c>
      <c r="AR57" s="11">
        <f t="shared" si="17"/>
        <v>0</v>
      </c>
      <c r="AT57" s="5"/>
      <c r="AU57">
        <f t="shared" si="10"/>
        <v>0</v>
      </c>
      <c r="AV57">
        <f t="shared" si="11"/>
        <v>1</v>
      </c>
      <c r="AW57">
        <f t="shared" si="18"/>
        <v>1</v>
      </c>
      <c r="AX57">
        <f t="shared" si="5"/>
        <v>1</v>
      </c>
      <c r="AY57">
        <f t="shared" si="19"/>
        <v>1</v>
      </c>
      <c r="AZ57" s="17">
        <f t="shared" si="12"/>
        <v>1.7907956597373299E-2</v>
      </c>
      <c r="BA57" s="17">
        <f t="shared" si="13"/>
        <v>-6.4749093108061196E-3</v>
      </c>
      <c r="BB57" s="17">
        <f t="shared" si="20"/>
        <v>1.143304728656718E-2</v>
      </c>
      <c r="BC57" s="11">
        <f t="shared" si="21"/>
        <v>6.2141181608300657E-3</v>
      </c>
      <c r="BE57" s="11">
        <f t="shared" si="22"/>
        <v>1.143304728656718E-2</v>
      </c>
      <c r="BF57" s="11">
        <f t="shared" si="23"/>
        <v>6.2141181608300657E-3</v>
      </c>
      <c r="BH57" s="11"/>
    </row>
    <row r="58" spans="1:60" x14ac:dyDescent="0.25">
      <c r="A58" s="1">
        <v>46106</v>
      </c>
      <c r="B58" s="21">
        <v>123.92</v>
      </c>
      <c r="C58" s="21">
        <v>165.75</v>
      </c>
      <c r="D58" s="22">
        <v>3.5985152712504902E-2</v>
      </c>
      <c r="E58" s="22">
        <v>2.5108988855699E-2</v>
      </c>
      <c r="F58" s="21">
        <v>0</v>
      </c>
      <c r="G58" s="21">
        <v>0</v>
      </c>
      <c r="H58" s="21">
        <v>0</v>
      </c>
      <c r="I58" s="21">
        <v>0.121818</v>
      </c>
      <c r="J58" s="21">
        <v>0</v>
      </c>
      <c r="K58" s="21">
        <v>0</v>
      </c>
      <c r="L58" s="21">
        <v>123.92</v>
      </c>
      <c r="M58" s="21">
        <v>165.75</v>
      </c>
      <c r="N58" s="23">
        <v>1.33755648805681</v>
      </c>
      <c r="O58" s="23">
        <v>1.3022492118915701</v>
      </c>
      <c r="P58" s="23">
        <v>1.3476033519516</v>
      </c>
      <c r="Q58" s="23">
        <v>1.35493553263511</v>
      </c>
      <c r="R58" s="21">
        <v>161.374722337603</v>
      </c>
      <c r="S58" s="21">
        <v>167.174407120637</v>
      </c>
      <c r="T58" s="21">
        <v>168.08320506133001</v>
      </c>
      <c r="U58" s="22">
        <v>-2.6751500504184501E-2</v>
      </c>
      <c r="V58" s="22">
        <v>8.5569924083093406E-3</v>
      </c>
      <c r="W58" s="22">
        <v>1.39784959546669E-2</v>
      </c>
      <c r="X58" s="23">
        <v>1.33755648805681</v>
      </c>
      <c r="Y58" s="23">
        <v>1.3022759807794699</v>
      </c>
      <c r="Z58" s="23">
        <v>1.3480028614560899</v>
      </c>
      <c r="AA58" s="23">
        <v>1.3551352873873601</v>
      </c>
      <c r="AB58" s="21">
        <v>161.37803953819201</v>
      </c>
      <c r="AC58" s="21">
        <v>167.22391433843501</v>
      </c>
      <c r="AD58" s="21">
        <v>168.10795867022901</v>
      </c>
      <c r="AE58" s="22">
        <v>-2.67309448282586E-2</v>
      </c>
      <c r="AF58" s="22">
        <v>8.8530896969747294E-3</v>
      </c>
      <c r="AG58" s="22">
        <v>1.41257550834836E-2</v>
      </c>
      <c r="AI58" s="5"/>
      <c r="AJ58">
        <f t="shared" si="6"/>
        <v>0</v>
      </c>
      <c r="AK58">
        <f t="shared" si="7"/>
        <v>1</v>
      </c>
      <c r="AL58">
        <f t="shared" si="14"/>
        <v>0</v>
      </c>
      <c r="AM58">
        <f t="shared" si="4"/>
        <v>1</v>
      </c>
      <c r="AN58">
        <f t="shared" si="15"/>
        <v>0</v>
      </c>
      <c r="AO58" s="17">
        <f t="shared" si="8"/>
        <v>0</v>
      </c>
      <c r="AP58" s="17">
        <f t="shared" si="9"/>
        <v>0</v>
      </c>
      <c r="AQ58" s="17">
        <f t="shared" si="16"/>
        <v>0</v>
      </c>
      <c r="AR58" s="11">
        <f t="shared" si="17"/>
        <v>0</v>
      </c>
      <c r="AT58" s="5"/>
      <c r="AU58">
        <f t="shared" si="10"/>
        <v>0</v>
      </c>
      <c r="AV58">
        <f t="shared" si="11"/>
        <v>0</v>
      </c>
      <c r="AW58">
        <f t="shared" si="18"/>
        <v>0</v>
      </c>
      <c r="AX58">
        <f t="shared" si="5"/>
        <v>1</v>
      </c>
      <c r="AY58">
        <f t="shared" si="19"/>
        <v>0</v>
      </c>
      <c r="AZ58" s="17">
        <f t="shared" si="12"/>
        <v>0</v>
      </c>
      <c r="BA58" s="17">
        <f t="shared" si="13"/>
        <v>0</v>
      </c>
      <c r="BB58" s="17">
        <f t="shared" si="20"/>
        <v>0</v>
      </c>
      <c r="BC58" s="11">
        <f t="shared" si="21"/>
        <v>6.2141181608300657E-3</v>
      </c>
      <c r="BE58" s="11">
        <f t="shared" si="22"/>
        <v>0</v>
      </c>
      <c r="BF58" s="11">
        <f t="shared" si="23"/>
        <v>6.2141181608300657E-3</v>
      </c>
      <c r="BH58" s="11"/>
    </row>
    <row r="59" spans="1:60" x14ac:dyDescent="0.25">
      <c r="A59" s="1">
        <v>46107</v>
      </c>
      <c r="B59" s="21">
        <v>123.9</v>
      </c>
      <c r="C59" s="21">
        <v>165.26</v>
      </c>
      <c r="D59" s="22">
        <v>-1.6140747351642301E-4</v>
      </c>
      <c r="E59" s="22">
        <v>-2.96063779293366E-3</v>
      </c>
      <c r="F59" s="21">
        <v>0</v>
      </c>
      <c r="G59" s="21">
        <v>0</v>
      </c>
      <c r="H59" s="21">
        <v>0</v>
      </c>
      <c r="I59" s="21">
        <v>0.121818</v>
      </c>
      <c r="J59" s="21">
        <v>0</v>
      </c>
      <c r="K59" s="21">
        <v>0</v>
      </c>
      <c r="L59" s="21">
        <v>123.9</v>
      </c>
      <c r="M59" s="21">
        <v>165.26</v>
      </c>
      <c r="N59" s="23">
        <v>1.3338175948345401</v>
      </c>
      <c r="O59" s="23">
        <v>1.3022492118915701</v>
      </c>
      <c r="P59" s="23">
        <v>1.3454199507761</v>
      </c>
      <c r="Q59" s="23">
        <v>1.3535289736676599</v>
      </c>
      <c r="R59" s="21">
        <v>161.34867735336601</v>
      </c>
      <c r="S59" s="21">
        <v>166.968055306803</v>
      </c>
      <c r="T59" s="21">
        <v>167.87651249349</v>
      </c>
      <c r="U59" s="22">
        <v>-2.3952270184767199E-2</v>
      </c>
      <c r="V59" s="22">
        <v>1.02825172582911E-2</v>
      </c>
      <c r="W59" s="22">
        <v>1.5708673170822599E-2</v>
      </c>
      <c r="X59" s="23">
        <v>1.3338175948345401</v>
      </c>
      <c r="Y59" s="23">
        <v>1.3022759807794699</v>
      </c>
      <c r="Z59" s="23">
        <v>1.3458194602806</v>
      </c>
      <c r="AA59" s="23">
        <v>1.35372872841991</v>
      </c>
      <c r="AB59" s="21">
        <v>161.35199401857599</v>
      </c>
      <c r="AC59" s="21">
        <v>167.01755453441001</v>
      </c>
      <c r="AD59" s="21">
        <v>167.901262107294</v>
      </c>
      <c r="AE59" s="22">
        <v>-2.3931714508841399E-2</v>
      </c>
      <c r="AF59" s="22">
        <v>1.0578932591833999E-2</v>
      </c>
      <c r="AG59" s="22">
        <v>1.5856089800037599E-2</v>
      </c>
      <c r="AI59" s="5"/>
      <c r="AJ59">
        <f t="shared" si="6"/>
        <v>0</v>
      </c>
      <c r="AK59">
        <f t="shared" si="7"/>
        <v>1</v>
      </c>
      <c r="AL59">
        <f t="shared" si="14"/>
        <v>0</v>
      </c>
      <c r="AM59">
        <f t="shared" si="4"/>
        <v>1</v>
      </c>
      <c r="AN59">
        <f t="shared" si="15"/>
        <v>0</v>
      </c>
      <c r="AO59" s="17">
        <f t="shared" si="8"/>
        <v>0</v>
      </c>
      <c r="AP59" s="17">
        <f t="shared" si="9"/>
        <v>0</v>
      </c>
      <c r="AQ59" s="17">
        <f t="shared" si="16"/>
        <v>0</v>
      </c>
      <c r="AR59" s="11">
        <f t="shared" si="17"/>
        <v>0</v>
      </c>
      <c r="AT59" s="5"/>
      <c r="AU59">
        <f t="shared" si="10"/>
        <v>1</v>
      </c>
      <c r="AV59">
        <f t="shared" si="11"/>
        <v>0</v>
      </c>
      <c r="AW59">
        <f t="shared" si="18"/>
        <v>0</v>
      </c>
      <c r="AX59">
        <f t="shared" si="5"/>
        <v>1</v>
      </c>
      <c r="AY59">
        <f t="shared" si="19"/>
        <v>0</v>
      </c>
      <c r="AZ59" s="17">
        <f t="shared" si="12"/>
        <v>0</v>
      </c>
      <c r="BA59" s="17">
        <f t="shared" si="13"/>
        <v>0</v>
      </c>
      <c r="BB59" s="17">
        <f t="shared" si="20"/>
        <v>0</v>
      </c>
      <c r="BC59" s="11">
        <f t="shared" si="21"/>
        <v>6.2141181608300657E-3</v>
      </c>
      <c r="BE59" s="11">
        <f t="shared" si="22"/>
        <v>0</v>
      </c>
      <c r="BF59" s="11">
        <f t="shared" si="23"/>
        <v>6.2141181608300657E-3</v>
      </c>
      <c r="BH59" s="11"/>
    </row>
    <row r="60" spans="1:60" x14ac:dyDescent="0.25">
      <c r="A60" s="1">
        <v>46108</v>
      </c>
      <c r="B60" s="21">
        <v>119.59</v>
      </c>
      <c r="C60" s="21">
        <v>160.41</v>
      </c>
      <c r="D60" s="22">
        <v>-3.54055626543806E-2</v>
      </c>
      <c r="E60" s="22">
        <v>-2.9786953644288301E-2</v>
      </c>
      <c r="F60" s="21">
        <v>0</v>
      </c>
      <c r="G60" s="21">
        <v>0</v>
      </c>
      <c r="H60" s="21">
        <v>0</v>
      </c>
      <c r="I60" s="21">
        <v>0.121818</v>
      </c>
      <c r="J60" s="21">
        <v>0</v>
      </c>
      <c r="K60" s="21">
        <v>0</v>
      </c>
      <c r="L60" s="21">
        <v>119.59</v>
      </c>
      <c r="M60" s="21">
        <v>160.41</v>
      </c>
      <c r="N60" s="23">
        <v>1.34133288736516</v>
      </c>
      <c r="O60" s="23">
        <v>1.3022492118915701</v>
      </c>
      <c r="P60" s="23">
        <v>1.34370000139393</v>
      </c>
      <c r="Q60" s="23">
        <v>1.3517528764170199</v>
      </c>
      <c r="R60" s="21">
        <v>155.73598325011301</v>
      </c>
      <c r="S60" s="21">
        <v>160.89877191331399</v>
      </c>
      <c r="T60" s="21">
        <v>161.86852996091599</v>
      </c>
      <c r="U60" s="22">
        <v>-2.9570879194859599E-2</v>
      </c>
      <c r="V60" s="22">
        <v>3.0423837320987701E-3</v>
      </c>
      <c r="W60" s="22">
        <v>9.0514246728446105E-3</v>
      </c>
      <c r="X60" s="23">
        <v>1.34133288736516</v>
      </c>
      <c r="Y60" s="23">
        <v>1.3022759807794699</v>
      </c>
      <c r="Z60" s="23">
        <v>1.3440995108984299</v>
      </c>
      <c r="AA60" s="23">
        <v>1.35195263116927</v>
      </c>
      <c r="AB60" s="21">
        <v>155.73918454141699</v>
      </c>
      <c r="AC60" s="21">
        <v>160.94654925495701</v>
      </c>
      <c r="AD60" s="21">
        <v>161.892418631737</v>
      </c>
      <c r="AE60" s="22">
        <v>-2.9550323518933601E-2</v>
      </c>
      <c r="AF60" s="22">
        <v>3.3392800288693401E-3</v>
      </c>
      <c r="AG60" s="22">
        <v>9.1989944830314103E-3</v>
      </c>
      <c r="AI60" s="5"/>
      <c r="AJ60">
        <f t="shared" si="6"/>
        <v>0</v>
      </c>
      <c r="AK60">
        <f t="shared" si="7"/>
        <v>1</v>
      </c>
      <c r="AL60">
        <f t="shared" si="14"/>
        <v>0</v>
      </c>
      <c r="AM60">
        <f t="shared" si="4"/>
        <v>1</v>
      </c>
      <c r="AN60">
        <f t="shared" si="15"/>
        <v>0</v>
      </c>
      <c r="AO60" s="17">
        <f t="shared" si="8"/>
        <v>0</v>
      </c>
      <c r="AP60" s="17">
        <f t="shared" si="9"/>
        <v>0</v>
      </c>
      <c r="AQ60" s="17">
        <f t="shared" si="16"/>
        <v>0</v>
      </c>
      <c r="AR60" s="11">
        <f t="shared" si="17"/>
        <v>0</v>
      </c>
      <c r="AT60" s="5"/>
      <c r="AU60">
        <f t="shared" si="10"/>
        <v>0</v>
      </c>
      <c r="AV60">
        <f t="shared" si="11"/>
        <v>0</v>
      </c>
      <c r="AW60">
        <f t="shared" si="18"/>
        <v>1</v>
      </c>
      <c r="AX60">
        <f t="shared" si="5"/>
        <v>1</v>
      </c>
      <c r="AY60">
        <f t="shared" si="19"/>
        <v>1</v>
      </c>
      <c r="AZ60" s="17">
        <f t="shared" si="12"/>
        <v>3.54055626543806E-2</v>
      </c>
      <c r="BA60" s="17">
        <f t="shared" si="13"/>
        <v>-2.9786953644288301E-2</v>
      </c>
      <c r="BB60" s="17">
        <f t="shared" si="20"/>
        <v>5.6186090100922986E-3</v>
      </c>
      <c r="BC60" s="11">
        <f t="shared" si="21"/>
        <v>1.1832727170922364E-2</v>
      </c>
      <c r="BE60" s="11">
        <f t="shared" si="22"/>
        <v>5.6186090100922986E-3</v>
      </c>
      <c r="BF60" s="11">
        <f t="shared" si="23"/>
        <v>1.1832727170922364E-2</v>
      </c>
      <c r="BH60" s="11"/>
    </row>
    <row r="61" spans="1:60" x14ac:dyDescent="0.25">
      <c r="A61" s="1">
        <v>46111</v>
      </c>
      <c r="B61" s="21">
        <v>118.78</v>
      </c>
      <c r="C61" s="21">
        <v>161.86000000000001</v>
      </c>
      <c r="D61" s="22">
        <v>-6.7961833930019902E-3</v>
      </c>
      <c r="E61" s="22">
        <v>8.9987264388059606E-3</v>
      </c>
      <c r="F61" s="21">
        <v>0</v>
      </c>
      <c r="G61" s="21">
        <v>0</v>
      </c>
      <c r="H61" s="21">
        <v>0</v>
      </c>
      <c r="I61" s="21">
        <v>0.121818</v>
      </c>
      <c r="J61" s="21">
        <v>0</v>
      </c>
      <c r="K61" s="21">
        <v>0</v>
      </c>
      <c r="L61" s="21">
        <v>118.78</v>
      </c>
      <c r="M61" s="21">
        <v>161.86000000000001</v>
      </c>
      <c r="N61" s="23">
        <v>1.3626873210978201</v>
      </c>
      <c r="O61" s="23">
        <v>1.3022492118915701</v>
      </c>
      <c r="P61" s="23">
        <v>1.3450805081788799</v>
      </c>
      <c r="Q61" s="23">
        <v>1.35117131991165</v>
      </c>
      <c r="R61" s="21">
        <v>154.681161388481</v>
      </c>
      <c r="S61" s="21">
        <v>159.604686165571</v>
      </c>
      <c r="T61" s="21">
        <v>160.56120666081301</v>
      </c>
      <c r="U61" s="22">
        <v>-4.5365789026667602E-2</v>
      </c>
      <c r="V61" s="22">
        <v>-1.40317175432291E-2</v>
      </c>
      <c r="W61" s="22">
        <v>-8.0565442812695499E-3</v>
      </c>
      <c r="X61" s="23">
        <v>1.3626873210978201</v>
      </c>
      <c r="Y61" s="23">
        <v>1.3022759807794699</v>
      </c>
      <c r="Z61" s="23">
        <v>1.3454800176833801</v>
      </c>
      <c r="AA61" s="23">
        <v>1.3513710746639001</v>
      </c>
      <c r="AB61" s="21">
        <v>154.68434099698499</v>
      </c>
      <c r="AC61" s="21">
        <v>159.652139904515</v>
      </c>
      <c r="AD61" s="21">
        <v>160.58493353028501</v>
      </c>
      <c r="AE61" s="22">
        <v>-4.5345233350741497E-2</v>
      </c>
      <c r="AF61" s="22">
        <v>-1.3734441272723601E-2</v>
      </c>
      <c r="AG61" s="22">
        <v>-7.9087805902521308E-3</v>
      </c>
      <c r="AI61" s="5"/>
      <c r="AJ61">
        <f t="shared" si="6"/>
        <v>0</v>
      </c>
      <c r="AK61">
        <f t="shared" si="7"/>
        <v>1</v>
      </c>
      <c r="AL61">
        <f t="shared" si="14"/>
        <v>0</v>
      </c>
      <c r="AM61">
        <f t="shared" si="4"/>
        <v>1</v>
      </c>
      <c r="AN61">
        <f t="shared" si="15"/>
        <v>0</v>
      </c>
      <c r="AO61" s="17">
        <f t="shared" si="8"/>
        <v>0</v>
      </c>
      <c r="AP61" s="17">
        <f t="shared" si="9"/>
        <v>0</v>
      </c>
      <c r="AQ61" s="17">
        <f t="shared" si="16"/>
        <v>0</v>
      </c>
      <c r="AR61" s="11">
        <f t="shared" si="17"/>
        <v>0</v>
      </c>
      <c r="AT61" s="5"/>
      <c r="AU61">
        <f t="shared" si="10"/>
        <v>0</v>
      </c>
      <c r="AV61">
        <f t="shared" si="11"/>
        <v>1</v>
      </c>
      <c r="AW61">
        <f t="shared" si="18"/>
        <v>1</v>
      </c>
      <c r="AX61">
        <f t="shared" si="5"/>
        <v>1</v>
      </c>
      <c r="AY61">
        <f t="shared" si="19"/>
        <v>1</v>
      </c>
      <c r="AZ61" s="17">
        <f t="shared" si="12"/>
        <v>6.7961833930019902E-3</v>
      </c>
      <c r="BA61" s="17">
        <f t="shared" si="13"/>
        <v>8.9987264388059606E-3</v>
      </c>
      <c r="BB61" s="17">
        <f t="shared" si="20"/>
        <v>1.5794909831807952E-2</v>
      </c>
      <c r="BC61" s="11">
        <f t="shared" si="21"/>
        <v>2.7627637002730316E-2</v>
      </c>
      <c r="BE61" s="11">
        <f t="shared" si="22"/>
        <v>1.5794909831807952E-2</v>
      </c>
      <c r="BF61" s="11">
        <f t="shared" si="23"/>
        <v>2.7627637002730316E-2</v>
      </c>
      <c r="BH61" s="11"/>
    </row>
    <row r="62" spans="1:60" x14ac:dyDescent="0.25">
      <c r="A62" s="1">
        <v>46112</v>
      </c>
      <c r="B62" s="21">
        <v>127.73</v>
      </c>
      <c r="C62" s="21">
        <v>168.85</v>
      </c>
      <c r="D62" s="22">
        <v>7.2645618466971304E-2</v>
      </c>
      <c r="E62" s="22">
        <v>4.2278982764020701E-2</v>
      </c>
      <c r="F62" s="21">
        <v>0</v>
      </c>
      <c r="G62" s="21">
        <v>0</v>
      </c>
      <c r="H62" s="21">
        <v>0</v>
      </c>
      <c r="I62" s="21">
        <v>0.121818</v>
      </c>
      <c r="J62" s="21">
        <v>0</v>
      </c>
      <c r="K62" s="21">
        <v>0</v>
      </c>
      <c r="L62" s="21">
        <v>127.73</v>
      </c>
      <c r="M62" s="21">
        <v>168.85</v>
      </c>
      <c r="N62" s="23">
        <v>1.3219290691301899</v>
      </c>
      <c r="O62" s="23">
        <v>1.3022492118915701</v>
      </c>
      <c r="P62" s="23">
        <v>1.3426651535571501</v>
      </c>
      <c r="Q62" s="23">
        <v>1.34840137660703</v>
      </c>
      <c r="R62" s="21">
        <v>166.33629183491001</v>
      </c>
      <c r="S62" s="21">
        <v>171.80713330968899</v>
      </c>
      <c r="T62" s="21">
        <v>172.58511269231599</v>
      </c>
      <c r="U62" s="22">
        <v>-1.4999153323717001E-2</v>
      </c>
      <c r="V62" s="22">
        <v>1.73617828676004E-2</v>
      </c>
      <c r="W62" s="22">
        <v>2.1879774866651099E-2</v>
      </c>
      <c r="X62" s="23">
        <v>1.3219290691301899</v>
      </c>
      <c r="Y62" s="23">
        <v>1.3022759807794699</v>
      </c>
      <c r="Z62" s="23">
        <v>1.3429665730383</v>
      </c>
      <c r="AA62" s="23">
        <v>1.3486011313592801</v>
      </c>
      <c r="AB62" s="21">
        <v>166.33971102496201</v>
      </c>
      <c r="AC62" s="21">
        <v>171.85816265869801</v>
      </c>
      <c r="AD62" s="21">
        <v>172.61062736682101</v>
      </c>
      <c r="AE62" s="22">
        <v>-1.4978597647790999E-2</v>
      </c>
      <c r="AF62" s="22">
        <v>1.76587540775727E-2</v>
      </c>
      <c r="AG62" s="22">
        <v>2.2027602151813298E-2</v>
      </c>
      <c r="AI62" s="5"/>
      <c r="AJ62">
        <f t="shared" si="6"/>
        <v>0</v>
      </c>
      <c r="AK62">
        <f t="shared" si="7"/>
        <v>1</v>
      </c>
      <c r="AL62">
        <f t="shared" si="14"/>
        <v>0</v>
      </c>
      <c r="AM62">
        <f t="shared" si="4"/>
        <v>1</v>
      </c>
      <c r="AN62">
        <f t="shared" si="15"/>
        <v>0</v>
      </c>
      <c r="AO62" s="17">
        <f t="shared" si="8"/>
        <v>0</v>
      </c>
      <c r="AP62" s="17">
        <f t="shared" si="9"/>
        <v>0</v>
      </c>
      <c r="AQ62" s="17">
        <f t="shared" si="16"/>
        <v>0</v>
      </c>
      <c r="AR62" s="11">
        <f t="shared" si="17"/>
        <v>0</v>
      </c>
      <c r="AT62" s="5"/>
      <c r="AU62">
        <f t="shared" si="10"/>
        <v>1</v>
      </c>
      <c r="AV62">
        <f t="shared" si="11"/>
        <v>0</v>
      </c>
      <c r="AW62">
        <f t="shared" si="18"/>
        <v>0</v>
      </c>
      <c r="AX62">
        <f t="shared" si="5"/>
        <v>1</v>
      </c>
      <c r="AY62">
        <f t="shared" si="19"/>
        <v>0</v>
      </c>
      <c r="AZ62" s="17">
        <f t="shared" si="12"/>
        <v>0</v>
      </c>
      <c r="BA62" s="17">
        <f t="shared" si="13"/>
        <v>0</v>
      </c>
      <c r="BB62" s="17">
        <f t="shared" si="20"/>
        <v>0</v>
      </c>
      <c r="BC62" s="11">
        <f t="shared" si="21"/>
        <v>2.7627637002730316E-2</v>
      </c>
      <c r="BE62" s="11">
        <f t="shared" si="22"/>
        <v>0</v>
      </c>
      <c r="BF62" s="11">
        <f t="shared" si="23"/>
        <v>2.7627637002730316E-2</v>
      </c>
      <c r="BH62" s="11"/>
    </row>
    <row r="63" spans="1:60" x14ac:dyDescent="0.25">
      <c r="A63" s="1">
        <v>46113</v>
      </c>
      <c r="B63" s="21">
        <v>128.55000000000001</v>
      </c>
      <c r="C63" s="21">
        <v>170.13</v>
      </c>
      <c r="D63" s="22">
        <v>6.3992726572130601E-3</v>
      </c>
      <c r="E63" s="22">
        <v>7.5521038624696201E-3</v>
      </c>
      <c r="F63" s="21">
        <v>0</v>
      </c>
      <c r="G63" s="21">
        <v>0</v>
      </c>
      <c r="H63" s="21">
        <v>0</v>
      </c>
      <c r="I63" s="21">
        <v>0.121818</v>
      </c>
      <c r="J63" s="21">
        <v>0</v>
      </c>
      <c r="K63" s="21">
        <v>0</v>
      </c>
      <c r="L63" s="21">
        <v>128.55000000000001</v>
      </c>
      <c r="M63" s="21">
        <v>170.13</v>
      </c>
      <c r="N63" s="23">
        <v>1.3234539089848301</v>
      </c>
      <c r="O63" s="23">
        <v>1.3022492118915701</v>
      </c>
      <c r="P63" s="23">
        <v>1.33977811113056</v>
      </c>
      <c r="Q63" s="23">
        <v>1.3461632193430899</v>
      </c>
      <c r="R63" s="21">
        <v>167.404136188661</v>
      </c>
      <c r="S63" s="21">
        <v>172.59960548977199</v>
      </c>
      <c r="T63" s="21">
        <v>173.33699696283401</v>
      </c>
      <c r="U63" s="22">
        <v>-1.6151984528973599E-2</v>
      </c>
      <c r="V63" s="22">
        <v>1.4411642261897799E-2</v>
      </c>
      <c r="W63" s="22">
        <v>1.86748083139931E-2</v>
      </c>
      <c r="X63" s="23">
        <v>1.3234539089848301</v>
      </c>
      <c r="Y63" s="23">
        <v>1.3022759807794699</v>
      </c>
      <c r="Z63" s="23">
        <v>1.33997894601919</v>
      </c>
      <c r="AA63" s="23">
        <v>1.34636297409534</v>
      </c>
      <c r="AB63" s="21">
        <v>167.40757732920099</v>
      </c>
      <c r="AC63" s="21">
        <v>172.63835296407399</v>
      </c>
      <c r="AD63" s="21">
        <v>173.362675436236</v>
      </c>
      <c r="AE63" s="22">
        <v>-1.6131428853047601E-2</v>
      </c>
      <c r="AF63" s="22">
        <v>1.4636110478762799E-2</v>
      </c>
      <c r="AG63" s="22">
        <v>1.88229392497446E-2</v>
      </c>
      <c r="AI63" s="5"/>
      <c r="AJ63">
        <f t="shared" si="6"/>
        <v>0</v>
      </c>
      <c r="AK63">
        <f t="shared" si="7"/>
        <v>1</v>
      </c>
      <c r="AL63">
        <f t="shared" si="14"/>
        <v>0</v>
      </c>
      <c r="AM63">
        <f t="shared" si="4"/>
        <v>1</v>
      </c>
      <c r="AN63">
        <f t="shared" si="15"/>
        <v>0</v>
      </c>
      <c r="AO63" s="17">
        <f t="shared" si="8"/>
        <v>0</v>
      </c>
      <c r="AP63" s="17">
        <f t="shared" si="9"/>
        <v>0</v>
      </c>
      <c r="AQ63" s="17">
        <f t="shared" si="16"/>
        <v>0</v>
      </c>
      <c r="AR63" s="11">
        <f t="shared" si="17"/>
        <v>0</v>
      </c>
      <c r="AT63" s="5"/>
      <c r="AU63">
        <f t="shared" si="10"/>
        <v>1</v>
      </c>
      <c r="AV63">
        <f t="shared" si="11"/>
        <v>0</v>
      </c>
      <c r="AW63">
        <f t="shared" si="18"/>
        <v>1</v>
      </c>
      <c r="AX63">
        <f t="shared" si="5"/>
        <v>1</v>
      </c>
      <c r="AY63">
        <f t="shared" si="19"/>
        <v>1</v>
      </c>
      <c r="AZ63" s="17">
        <f t="shared" si="12"/>
        <v>-6.3992726572130601E-3</v>
      </c>
      <c r="BA63" s="17">
        <f t="shared" si="13"/>
        <v>7.5521038624696201E-3</v>
      </c>
      <c r="BB63" s="17">
        <f t="shared" si="20"/>
        <v>1.15283120525656E-3</v>
      </c>
      <c r="BC63" s="11">
        <f t="shared" si="21"/>
        <v>2.8780468207986874E-2</v>
      </c>
      <c r="BE63" s="11">
        <f t="shared" si="22"/>
        <v>1.15283120525656E-3</v>
      </c>
      <c r="BF63" s="11">
        <f t="shared" si="23"/>
        <v>2.8780468207986874E-2</v>
      </c>
      <c r="BH63" s="11"/>
    </row>
    <row r="64" spans="1:60" x14ac:dyDescent="0.25">
      <c r="A64" s="1">
        <v>46114</v>
      </c>
      <c r="B64" s="21">
        <v>128.96</v>
      </c>
      <c r="C64" s="21">
        <v>169.43</v>
      </c>
      <c r="D64" s="22">
        <v>3.1843450464195898E-3</v>
      </c>
      <c r="E64" s="22">
        <v>-4.1229885240314E-3</v>
      </c>
      <c r="F64" s="21">
        <v>0</v>
      </c>
      <c r="G64" s="21">
        <v>0</v>
      </c>
      <c r="H64" s="21">
        <v>0</v>
      </c>
      <c r="I64" s="21">
        <v>0.121818</v>
      </c>
      <c r="J64" s="21">
        <v>0</v>
      </c>
      <c r="K64" s="21">
        <v>0</v>
      </c>
      <c r="L64" s="21">
        <v>128.96</v>
      </c>
      <c r="M64" s="21">
        <v>169.43</v>
      </c>
      <c r="N64" s="23">
        <v>1.3138182382133901</v>
      </c>
      <c r="O64" s="23">
        <v>1.3022492118915701</v>
      </c>
      <c r="P64" s="23">
        <v>1.3367203044442599</v>
      </c>
      <c r="Q64" s="23">
        <v>1.3437871417461</v>
      </c>
      <c r="R64" s="21">
        <v>167.93805836553699</v>
      </c>
      <c r="S64" s="21">
        <v>172.777785211397</v>
      </c>
      <c r="T64" s="21">
        <v>173.601208766486</v>
      </c>
      <c r="U64" s="22">
        <v>-8.8446509585227307E-3</v>
      </c>
      <c r="V64" s="22">
        <v>1.95664281312669E-2</v>
      </c>
      <c r="W64" s="22">
        <v>2.43209029725816E-2</v>
      </c>
      <c r="X64" s="23">
        <v>1.3138182382133901</v>
      </c>
      <c r="Y64" s="23">
        <v>1.3022759807794699</v>
      </c>
      <c r="Z64" s="23">
        <v>1.3368215578728999</v>
      </c>
      <c r="AA64" s="23">
        <v>1.3439868964983499</v>
      </c>
      <c r="AB64" s="21">
        <v>167.94151048132099</v>
      </c>
      <c r="AC64" s="21">
        <v>172.80368487863501</v>
      </c>
      <c r="AD64" s="21">
        <v>173.62696913933601</v>
      </c>
      <c r="AE64" s="22">
        <v>-8.8240952825966792E-3</v>
      </c>
      <c r="AF64" s="22">
        <v>1.9716318501715301E-2</v>
      </c>
      <c r="AG64" s="22">
        <v>2.4469280175449699E-2</v>
      </c>
      <c r="AI64" s="5"/>
      <c r="AJ64">
        <f t="shared" si="6"/>
        <v>0</v>
      </c>
      <c r="AK64">
        <f t="shared" si="7"/>
        <v>1</v>
      </c>
      <c r="AL64">
        <f t="shared" si="14"/>
        <v>0</v>
      </c>
      <c r="AM64">
        <f t="shared" si="4"/>
        <v>1</v>
      </c>
      <c r="AN64">
        <f t="shared" si="15"/>
        <v>0</v>
      </c>
      <c r="AO64" s="17">
        <f t="shared" si="8"/>
        <v>0</v>
      </c>
      <c r="AP64" s="17">
        <f t="shared" si="9"/>
        <v>0</v>
      </c>
      <c r="AQ64" s="17">
        <f t="shared" si="16"/>
        <v>0</v>
      </c>
      <c r="AR64" s="11">
        <f t="shared" si="17"/>
        <v>0</v>
      </c>
      <c r="AT64" s="5"/>
      <c r="AU64">
        <f t="shared" si="10"/>
        <v>1</v>
      </c>
      <c r="AV64">
        <f t="shared" si="11"/>
        <v>0</v>
      </c>
      <c r="AW64">
        <f t="shared" si="18"/>
        <v>1</v>
      </c>
      <c r="AX64">
        <f t="shared" si="5"/>
        <v>1</v>
      </c>
      <c r="AY64">
        <f t="shared" si="19"/>
        <v>1</v>
      </c>
      <c r="AZ64" s="17">
        <f t="shared" si="12"/>
        <v>-3.1843450464195898E-3</v>
      </c>
      <c r="BA64" s="17">
        <f t="shared" si="13"/>
        <v>-4.1229885240314E-3</v>
      </c>
      <c r="BB64" s="17">
        <f t="shared" si="20"/>
        <v>-7.3073335704509895E-3</v>
      </c>
      <c r="BC64" s="11">
        <f t="shared" si="21"/>
        <v>2.1473134637535883E-2</v>
      </c>
      <c r="BE64" s="11">
        <f t="shared" si="22"/>
        <v>-7.3073335704509895E-3</v>
      </c>
      <c r="BF64" s="11">
        <f t="shared" si="23"/>
        <v>2.1473134637535883E-2</v>
      </c>
      <c r="BH64" s="11"/>
    </row>
    <row r="65" spans="1:60" x14ac:dyDescent="0.25">
      <c r="A65" s="1">
        <v>46118</v>
      </c>
      <c r="B65" s="21">
        <v>128.80000000000001</v>
      </c>
      <c r="C65" s="21">
        <v>168.83</v>
      </c>
      <c r="D65" s="22">
        <v>-1.24146508806487E-3</v>
      </c>
      <c r="E65" s="22">
        <v>-3.5475706809125602E-3</v>
      </c>
      <c r="F65" s="21">
        <v>0</v>
      </c>
      <c r="G65" s="21">
        <v>0</v>
      </c>
      <c r="H65" s="21">
        <v>0</v>
      </c>
      <c r="I65" s="21">
        <v>0.121818</v>
      </c>
      <c r="J65" s="21">
        <v>0</v>
      </c>
      <c r="K65" s="21">
        <v>0</v>
      </c>
      <c r="L65" s="21">
        <v>128.80000000000001</v>
      </c>
      <c r="M65" s="21">
        <v>168.83</v>
      </c>
      <c r="N65" s="23">
        <v>1.31079192546583</v>
      </c>
      <c r="O65" s="23">
        <v>1.3022492118915701</v>
      </c>
      <c r="P65" s="23">
        <v>1.3334382635106701</v>
      </c>
      <c r="Q65" s="23">
        <v>1.34176222189036</v>
      </c>
      <c r="R65" s="21">
        <v>167.729698491634</v>
      </c>
      <c r="S65" s="21">
        <v>172.16957521242099</v>
      </c>
      <c r="T65" s="21">
        <v>173.079783856897</v>
      </c>
      <c r="U65" s="22">
        <v>-6.53854536567484E-3</v>
      </c>
      <c r="V65" s="22">
        <v>1.9587602039576199E-2</v>
      </c>
      <c r="W65" s="22">
        <v>2.4860375062190802E-2</v>
      </c>
      <c r="X65" s="23">
        <v>1.31079192546583</v>
      </c>
      <c r="Y65" s="23">
        <v>1.3022759807794699</v>
      </c>
      <c r="Z65" s="23">
        <v>1.3334382635106701</v>
      </c>
      <c r="AA65" s="23">
        <v>1.3419619766426101</v>
      </c>
      <c r="AB65" s="21">
        <v>167.73314632439599</v>
      </c>
      <c r="AC65" s="21">
        <v>172.18261665403</v>
      </c>
      <c r="AD65" s="21">
        <v>173.10551226898701</v>
      </c>
      <c r="AE65" s="22">
        <v>-6.5179896897489603E-3</v>
      </c>
      <c r="AF65" s="22">
        <v>1.96633468260097E-2</v>
      </c>
      <c r="AG65" s="22">
        <v>2.5009014605377598E-2</v>
      </c>
      <c r="AI65" s="5"/>
      <c r="AJ65">
        <f t="shared" si="6"/>
        <v>0</v>
      </c>
      <c r="AK65">
        <f t="shared" si="7"/>
        <v>1</v>
      </c>
      <c r="AL65">
        <f t="shared" si="14"/>
        <v>0</v>
      </c>
      <c r="AM65">
        <f t="shared" si="4"/>
        <v>1</v>
      </c>
      <c r="AN65">
        <f t="shared" si="15"/>
        <v>0</v>
      </c>
      <c r="AO65" s="17">
        <f t="shared" si="8"/>
        <v>0</v>
      </c>
      <c r="AP65" s="17">
        <f t="shared" si="9"/>
        <v>0</v>
      </c>
      <c r="AQ65" s="17">
        <f t="shared" si="16"/>
        <v>0</v>
      </c>
      <c r="AR65" s="11">
        <f t="shared" si="17"/>
        <v>0</v>
      </c>
      <c r="AT65" s="5"/>
      <c r="AU65">
        <f t="shared" si="10"/>
        <v>1</v>
      </c>
      <c r="AV65">
        <f t="shared" si="11"/>
        <v>0</v>
      </c>
      <c r="AW65">
        <f t="shared" si="18"/>
        <v>1</v>
      </c>
      <c r="AX65">
        <f t="shared" si="5"/>
        <v>1</v>
      </c>
      <c r="AY65">
        <f t="shared" si="19"/>
        <v>1</v>
      </c>
      <c r="AZ65" s="17">
        <f t="shared" si="12"/>
        <v>1.24146508806487E-3</v>
      </c>
      <c r="BA65" s="17">
        <f t="shared" si="13"/>
        <v>-3.5475706809125602E-3</v>
      </c>
      <c r="BB65" s="17">
        <f t="shared" si="20"/>
        <v>-2.3061055928476903E-3</v>
      </c>
      <c r="BC65" s="11">
        <f t="shared" si="21"/>
        <v>1.9167029044688193E-2</v>
      </c>
      <c r="BE65" s="11">
        <f t="shared" si="22"/>
        <v>-2.3061055928476903E-3</v>
      </c>
      <c r="BF65" s="11">
        <f t="shared" si="23"/>
        <v>1.9167029044688193E-2</v>
      </c>
      <c r="BH65" s="11"/>
    </row>
    <row r="66" spans="1:60" x14ac:dyDescent="0.25">
      <c r="A66" s="1">
        <v>46119</v>
      </c>
      <c r="B66" s="21">
        <v>128.85</v>
      </c>
      <c r="C66" s="21">
        <v>168.5</v>
      </c>
      <c r="D66" s="22">
        <v>3.8812342812071101E-4</v>
      </c>
      <c r="E66" s="22">
        <v>-1.9565416966858601E-3</v>
      </c>
      <c r="F66" s="21">
        <v>0</v>
      </c>
      <c r="G66" s="21">
        <v>0</v>
      </c>
      <c r="H66" s="21">
        <v>0</v>
      </c>
      <c r="I66" s="21">
        <v>0.121818</v>
      </c>
      <c r="J66" s="21">
        <v>0</v>
      </c>
      <c r="K66" s="21">
        <v>0</v>
      </c>
      <c r="L66" s="21">
        <v>128.85</v>
      </c>
      <c r="M66" s="21">
        <v>168.5</v>
      </c>
      <c r="N66" s="23">
        <v>1.30772215754753</v>
      </c>
      <c r="O66" s="23">
        <v>1.3022492118915701</v>
      </c>
      <c r="P66" s="23">
        <v>1.33052929602795</v>
      </c>
      <c r="Q66" s="23">
        <v>1.3397749817501099</v>
      </c>
      <c r="R66" s="21">
        <v>167.794810952229</v>
      </c>
      <c r="S66" s="21">
        <v>171.813520253349</v>
      </c>
      <c r="T66" s="21">
        <v>172.88606229057299</v>
      </c>
      <c r="U66" s="22">
        <v>-4.1938802408682703E-3</v>
      </c>
      <c r="V66" s="22">
        <v>1.9473954294245199E-2</v>
      </c>
      <c r="W66" s="22">
        <v>2.5697028257000602E-2</v>
      </c>
      <c r="X66" s="23">
        <v>1.30772215754753</v>
      </c>
      <c r="Y66" s="23">
        <v>1.3022759807794699</v>
      </c>
      <c r="Z66" s="23">
        <v>1.33052929602795</v>
      </c>
      <c r="AA66" s="23">
        <v>1.33997473650236</v>
      </c>
      <c r="AB66" s="21">
        <v>167.798260123435</v>
      </c>
      <c r="AC66" s="21">
        <v>171.813520253349</v>
      </c>
      <c r="AD66" s="21">
        <v>172.91180069040001</v>
      </c>
      <c r="AE66" s="22">
        <v>-4.1733245649423203E-3</v>
      </c>
      <c r="AF66" s="22">
        <v>1.9473954294245199E-2</v>
      </c>
      <c r="AG66" s="22">
        <v>2.5845892102791399E-2</v>
      </c>
      <c r="AI66" s="5"/>
      <c r="AJ66">
        <f t="shared" si="6"/>
        <v>0</v>
      </c>
      <c r="AK66">
        <f t="shared" si="7"/>
        <v>1</v>
      </c>
      <c r="AL66">
        <f t="shared" si="14"/>
        <v>0</v>
      </c>
      <c r="AM66">
        <f t="shared" si="4"/>
        <v>1</v>
      </c>
      <c r="AN66">
        <f t="shared" si="15"/>
        <v>0</v>
      </c>
      <c r="AO66" s="17">
        <f t="shared" si="8"/>
        <v>0</v>
      </c>
      <c r="AP66" s="17">
        <f t="shared" si="9"/>
        <v>0</v>
      </c>
      <c r="AQ66" s="17">
        <f t="shared" si="16"/>
        <v>0</v>
      </c>
      <c r="AR66" s="11">
        <f t="shared" si="17"/>
        <v>0</v>
      </c>
      <c r="AT66" s="5"/>
      <c r="AU66">
        <f t="shared" si="10"/>
        <v>1</v>
      </c>
      <c r="AV66">
        <f t="shared" si="11"/>
        <v>0</v>
      </c>
      <c r="AW66">
        <f t="shared" si="18"/>
        <v>1</v>
      </c>
      <c r="AX66">
        <f t="shared" si="5"/>
        <v>1</v>
      </c>
      <c r="AY66">
        <f t="shared" si="19"/>
        <v>1</v>
      </c>
      <c r="AZ66" s="17">
        <f t="shared" si="12"/>
        <v>-3.8812342812071101E-4</v>
      </c>
      <c r="BA66" s="17">
        <f t="shared" si="13"/>
        <v>-1.9565416966858601E-3</v>
      </c>
      <c r="BB66" s="17">
        <f t="shared" si="20"/>
        <v>-2.344665124806571E-3</v>
      </c>
      <c r="BC66" s="11">
        <f t="shared" si="21"/>
        <v>1.6822363919881622E-2</v>
      </c>
      <c r="BE66" s="11">
        <f t="shared" si="22"/>
        <v>-2.344665124806571E-3</v>
      </c>
      <c r="BF66" s="11">
        <f t="shared" si="23"/>
        <v>1.6822363919881622E-2</v>
      </c>
      <c r="BH66" s="11"/>
    </row>
    <row r="67" spans="1:60" x14ac:dyDescent="0.25">
      <c r="A67" s="1">
        <v>46120</v>
      </c>
      <c r="B67" s="21">
        <v>130.65</v>
      </c>
      <c r="C67" s="21">
        <v>171.86</v>
      </c>
      <c r="D67" s="22">
        <v>1.38730548682474E-2</v>
      </c>
      <c r="E67" s="22">
        <v>1.9744442092660599E-2</v>
      </c>
      <c r="F67" s="21">
        <v>0</v>
      </c>
      <c r="G67" s="21">
        <v>0</v>
      </c>
      <c r="H67" s="21">
        <v>0</v>
      </c>
      <c r="I67" s="21">
        <v>0.121818</v>
      </c>
      <c r="J67" s="21">
        <v>0</v>
      </c>
      <c r="K67" s="21">
        <v>0</v>
      </c>
      <c r="L67" s="21">
        <v>130.65</v>
      </c>
      <c r="M67" s="21">
        <v>171.86</v>
      </c>
      <c r="N67" s="23">
        <v>1.3154228855721299</v>
      </c>
      <c r="O67" s="23">
        <v>1.3022492118915701</v>
      </c>
      <c r="P67" s="23">
        <v>1.32685324762682</v>
      </c>
      <c r="Q67" s="23">
        <v>1.33795215286698</v>
      </c>
      <c r="R67" s="21">
        <v>170.13885953363399</v>
      </c>
      <c r="S67" s="21">
        <v>173.83365252605199</v>
      </c>
      <c r="T67" s="21">
        <v>175.04160136565201</v>
      </c>
      <c r="U67" s="22">
        <v>-1.0065267465281301E-2</v>
      </c>
      <c r="V67" s="22">
        <v>1.14186300856803E-2</v>
      </c>
      <c r="W67" s="22">
        <v>1.8343475876462699E-2</v>
      </c>
      <c r="X67" s="23">
        <v>1.3154228855721299</v>
      </c>
      <c r="Y67" s="23">
        <v>1.3022759807794699</v>
      </c>
      <c r="Z67" s="23">
        <v>1.32685324762682</v>
      </c>
      <c r="AA67" s="23">
        <v>1.3381519076192301</v>
      </c>
      <c r="AB67" s="21">
        <v>170.14235688883801</v>
      </c>
      <c r="AC67" s="21">
        <v>173.83365252605199</v>
      </c>
      <c r="AD67" s="21">
        <v>175.06769932403401</v>
      </c>
      <c r="AE67" s="22">
        <v>-1.0044711789355501E-2</v>
      </c>
      <c r="AF67" s="22">
        <v>1.14186300856803E-2</v>
      </c>
      <c r="AG67" s="22">
        <v>1.8492560510194701E-2</v>
      </c>
      <c r="AI67" s="5"/>
      <c r="AJ67">
        <f t="shared" si="6"/>
        <v>0</v>
      </c>
      <c r="AK67">
        <f t="shared" si="7"/>
        <v>1</v>
      </c>
      <c r="AL67">
        <f t="shared" si="14"/>
        <v>0</v>
      </c>
      <c r="AM67">
        <f t="shared" si="4"/>
        <v>1</v>
      </c>
      <c r="AN67">
        <f t="shared" si="15"/>
        <v>0</v>
      </c>
      <c r="AO67" s="17">
        <f t="shared" si="8"/>
        <v>0</v>
      </c>
      <c r="AP67" s="17">
        <f t="shared" si="9"/>
        <v>0</v>
      </c>
      <c r="AQ67" s="17">
        <f t="shared" si="16"/>
        <v>0</v>
      </c>
      <c r="AR67" s="11">
        <f t="shared" si="17"/>
        <v>0</v>
      </c>
      <c r="AT67" s="5"/>
      <c r="AU67">
        <f t="shared" si="10"/>
        <v>1</v>
      </c>
      <c r="AV67">
        <f t="shared" si="11"/>
        <v>0</v>
      </c>
      <c r="AW67">
        <f t="shared" si="18"/>
        <v>1</v>
      </c>
      <c r="AX67">
        <f t="shared" si="5"/>
        <v>1</v>
      </c>
      <c r="AY67">
        <f t="shared" si="19"/>
        <v>1</v>
      </c>
      <c r="AZ67" s="17">
        <f t="shared" si="12"/>
        <v>-1.38730548682474E-2</v>
      </c>
      <c r="BA67" s="17">
        <f t="shared" si="13"/>
        <v>1.9744442092660599E-2</v>
      </c>
      <c r="BB67" s="17">
        <f t="shared" si="20"/>
        <v>5.8713872244131986E-3</v>
      </c>
      <c r="BC67" s="11">
        <f t="shared" si="21"/>
        <v>2.2693751144294821E-2</v>
      </c>
      <c r="BE67" s="11">
        <f t="shared" si="22"/>
        <v>5.8713872244131986E-3</v>
      </c>
      <c r="BF67" s="11">
        <f t="shared" si="23"/>
        <v>2.2693751144294821E-2</v>
      </c>
      <c r="BH67" s="11"/>
    </row>
    <row r="68" spans="1:60" x14ac:dyDescent="0.25">
      <c r="A68" s="1">
        <v>46121</v>
      </c>
      <c r="B68" s="21">
        <v>131.82</v>
      </c>
      <c r="C68" s="21">
        <v>172.16</v>
      </c>
      <c r="D68" s="22">
        <v>8.9153636579523202E-3</v>
      </c>
      <c r="E68" s="22">
        <v>1.7440850883425601E-3</v>
      </c>
      <c r="F68" s="21">
        <v>0</v>
      </c>
      <c r="G68" s="21">
        <v>0</v>
      </c>
      <c r="H68" s="21">
        <v>0</v>
      </c>
      <c r="I68" s="21">
        <v>0.121818</v>
      </c>
      <c r="J68" s="21">
        <v>0</v>
      </c>
      <c r="K68" s="21">
        <v>0</v>
      </c>
      <c r="L68" s="21">
        <v>131.82</v>
      </c>
      <c r="M68" s="21">
        <v>172.16</v>
      </c>
      <c r="N68" s="23">
        <v>1.30602336519496</v>
      </c>
      <c r="O68" s="23">
        <v>1.3022492118915701</v>
      </c>
      <c r="P68" s="23">
        <v>1.32369993534064</v>
      </c>
      <c r="Q68" s="23">
        <v>1.3356516436461201</v>
      </c>
      <c r="R68" s="21">
        <v>171.66249111154701</v>
      </c>
      <c r="S68" s="21">
        <v>174.90579510216801</v>
      </c>
      <c r="T68" s="21">
        <v>176.36885279092601</v>
      </c>
      <c r="U68" s="22">
        <v>-2.8939888956716099E-3</v>
      </c>
      <c r="V68" s="22">
        <v>1.5823238305360799E-2</v>
      </c>
      <c r="W68" s="22">
        <v>2.4153279528682899E-2</v>
      </c>
      <c r="X68" s="23">
        <v>1.30602336519496</v>
      </c>
      <c r="Y68" s="23">
        <v>1.3022759807794699</v>
      </c>
      <c r="Z68" s="23">
        <v>1.32369993534064</v>
      </c>
      <c r="AA68" s="23">
        <v>1.33585139839837</v>
      </c>
      <c r="AB68" s="21">
        <v>171.66601978635001</v>
      </c>
      <c r="AC68" s="21">
        <v>174.90579510216801</v>
      </c>
      <c r="AD68" s="21">
        <v>176.39518446236701</v>
      </c>
      <c r="AE68" s="22">
        <v>-2.8734332197457501E-3</v>
      </c>
      <c r="AF68" s="22">
        <v>1.5823238305360799E-2</v>
      </c>
      <c r="AG68" s="22">
        <v>2.4302567260479E-2</v>
      </c>
      <c r="AI68" s="5"/>
      <c r="AJ68">
        <f t="shared" si="6"/>
        <v>0</v>
      </c>
      <c r="AK68">
        <f t="shared" si="7"/>
        <v>1</v>
      </c>
      <c r="AL68">
        <f t="shared" si="14"/>
        <v>0</v>
      </c>
      <c r="AM68">
        <f t="shared" si="4"/>
        <v>1</v>
      </c>
      <c r="AN68">
        <f t="shared" si="15"/>
        <v>0</v>
      </c>
      <c r="AO68" s="17">
        <f t="shared" si="8"/>
        <v>0</v>
      </c>
      <c r="AP68" s="17">
        <f t="shared" si="9"/>
        <v>0</v>
      </c>
      <c r="AQ68" s="17">
        <f t="shared" si="16"/>
        <v>0</v>
      </c>
      <c r="AR68" s="11">
        <f t="shared" si="17"/>
        <v>0</v>
      </c>
      <c r="AT68" s="5"/>
      <c r="AU68">
        <f t="shared" si="10"/>
        <v>1</v>
      </c>
      <c r="AV68">
        <f t="shared" si="11"/>
        <v>0</v>
      </c>
      <c r="AW68">
        <f t="shared" si="18"/>
        <v>1</v>
      </c>
      <c r="AX68">
        <f t="shared" si="5"/>
        <v>1</v>
      </c>
      <c r="AY68">
        <f t="shared" si="19"/>
        <v>1</v>
      </c>
      <c r="AZ68" s="17">
        <f t="shared" si="12"/>
        <v>-8.9153636579523202E-3</v>
      </c>
      <c r="BA68" s="17">
        <f t="shared" si="13"/>
        <v>1.7440850883425601E-3</v>
      </c>
      <c r="BB68" s="17">
        <f t="shared" si="20"/>
        <v>-7.1712785696097601E-3</v>
      </c>
      <c r="BC68" s="11">
        <f t="shared" si="21"/>
        <v>1.5522472574685061E-2</v>
      </c>
      <c r="BE68" s="11">
        <f t="shared" si="22"/>
        <v>-7.1712785696097601E-3</v>
      </c>
      <c r="BF68" s="11">
        <f t="shared" si="23"/>
        <v>1.5522472574685061E-2</v>
      </c>
      <c r="BH68" s="11"/>
    </row>
    <row r="69" spans="1:60" x14ac:dyDescent="0.25">
      <c r="A69" s="1">
        <v>46122</v>
      </c>
      <c r="B69" s="21">
        <v>129.44</v>
      </c>
      <c r="C69" s="21">
        <v>169.37</v>
      </c>
      <c r="D69" s="22">
        <v>-1.8219902314392199E-2</v>
      </c>
      <c r="E69" s="22">
        <v>-1.6338606070389599E-2</v>
      </c>
      <c r="F69" s="21">
        <v>0</v>
      </c>
      <c r="G69" s="21">
        <v>0</v>
      </c>
      <c r="H69" s="21">
        <v>0</v>
      </c>
      <c r="I69" s="21">
        <v>0.121818</v>
      </c>
      <c r="J69" s="21">
        <v>0</v>
      </c>
      <c r="K69" s="21">
        <v>0</v>
      </c>
      <c r="L69" s="21">
        <v>129.44</v>
      </c>
      <c r="M69" s="21">
        <v>169.37</v>
      </c>
      <c r="N69" s="23">
        <v>1.3084826946847901</v>
      </c>
      <c r="O69" s="23">
        <v>1.3022492118915701</v>
      </c>
      <c r="P69" s="23">
        <v>1.32116644532566</v>
      </c>
      <c r="Q69" s="23">
        <v>1.33329319805088</v>
      </c>
      <c r="R69" s="21">
        <v>168.563137987245</v>
      </c>
      <c r="S69" s="21">
        <v>171.339719630492</v>
      </c>
      <c r="T69" s="21">
        <v>172.886748753554</v>
      </c>
      <c r="U69" s="22">
        <v>-4.7752851396743604E-3</v>
      </c>
      <c r="V69" s="22">
        <v>1.15625792972988E-2</v>
      </c>
      <c r="W69" s="22">
        <v>2.0551077747655001E-2</v>
      </c>
      <c r="X69" s="23">
        <v>1.3084826946847901</v>
      </c>
      <c r="Y69" s="23">
        <v>1.3022759807794699</v>
      </c>
      <c r="Z69" s="23">
        <v>1.32116644532566</v>
      </c>
      <c r="AA69" s="23">
        <v>1.3334929528031301</v>
      </c>
      <c r="AB69" s="21">
        <v>168.566602952095</v>
      </c>
      <c r="AC69" s="21">
        <v>171.339719630492</v>
      </c>
      <c r="AD69" s="21">
        <v>172.91260500868501</v>
      </c>
      <c r="AE69" s="22">
        <v>-4.7547294637482404E-3</v>
      </c>
      <c r="AF69" s="22">
        <v>1.15625792972988E-2</v>
      </c>
      <c r="AG69" s="22">
        <v>2.0700622591496E-2</v>
      </c>
      <c r="AI69" s="5"/>
      <c r="AJ69">
        <f t="shared" si="6"/>
        <v>0</v>
      </c>
      <c r="AK69">
        <f t="shared" si="7"/>
        <v>1</v>
      </c>
      <c r="AL69">
        <f t="shared" si="14"/>
        <v>0</v>
      </c>
      <c r="AM69">
        <f t="shared" si="4"/>
        <v>1</v>
      </c>
      <c r="AN69">
        <f t="shared" si="15"/>
        <v>0</v>
      </c>
      <c r="AO69" s="17">
        <f t="shared" si="8"/>
        <v>0</v>
      </c>
      <c r="AP69" s="17">
        <f t="shared" si="9"/>
        <v>0</v>
      </c>
      <c r="AQ69" s="17">
        <f t="shared" si="16"/>
        <v>0</v>
      </c>
      <c r="AR69" s="11">
        <f t="shared" si="17"/>
        <v>0</v>
      </c>
      <c r="AT69" s="5"/>
      <c r="AU69">
        <f t="shared" si="10"/>
        <v>1</v>
      </c>
      <c r="AV69">
        <f t="shared" si="11"/>
        <v>0</v>
      </c>
      <c r="AW69">
        <f t="shared" si="18"/>
        <v>1</v>
      </c>
      <c r="AX69">
        <f t="shared" si="5"/>
        <v>1</v>
      </c>
      <c r="AY69">
        <f t="shared" si="19"/>
        <v>1</v>
      </c>
      <c r="AZ69" s="17">
        <f t="shared" si="12"/>
        <v>1.8219902314392199E-2</v>
      </c>
      <c r="BA69" s="17">
        <f t="shared" si="13"/>
        <v>-1.6338606070389599E-2</v>
      </c>
      <c r="BB69" s="17">
        <f t="shared" si="20"/>
        <v>1.8812962440026004E-3</v>
      </c>
      <c r="BC69" s="11">
        <f t="shared" si="21"/>
        <v>1.7403768818687659E-2</v>
      </c>
      <c r="BE69" s="11">
        <f t="shared" si="22"/>
        <v>1.8812962440026004E-3</v>
      </c>
      <c r="BF69" s="11">
        <f t="shared" si="23"/>
        <v>1.7403768818687659E-2</v>
      </c>
      <c r="BH69" s="11"/>
    </row>
    <row r="70" spans="1:60" x14ac:dyDescent="0.25">
      <c r="A70" s="1">
        <v>46125</v>
      </c>
      <c r="B70" s="21">
        <v>132.05000000000001</v>
      </c>
      <c r="C70" s="21">
        <v>172.19</v>
      </c>
      <c r="D70" s="22">
        <v>1.9963185432959701E-2</v>
      </c>
      <c r="E70" s="22">
        <v>1.65128473950646E-2</v>
      </c>
      <c r="F70" s="21">
        <v>0</v>
      </c>
      <c r="G70" s="21">
        <v>0</v>
      </c>
      <c r="H70" s="21">
        <v>0</v>
      </c>
      <c r="I70" s="21">
        <v>0.121818</v>
      </c>
      <c r="J70" s="21">
        <v>0</v>
      </c>
      <c r="K70" s="21">
        <v>0</v>
      </c>
      <c r="L70" s="21">
        <v>132.05000000000001</v>
      </c>
      <c r="M70" s="21">
        <v>172.19</v>
      </c>
      <c r="N70" s="23">
        <v>1.30397576675501</v>
      </c>
      <c r="O70" s="23">
        <v>1.3022492118915701</v>
      </c>
      <c r="P70" s="23">
        <v>1.31743073326465</v>
      </c>
      <c r="Q70" s="23">
        <v>1.3305653673292901</v>
      </c>
      <c r="R70" s="21">
        <v>171.962008430282</v>
      </c>
      <c r="S70" s="21">
        <v>174.46002910525399</v>
      </c>
      <c r="T70" s="21">
        <v>176.06136680261901</v>
      </c>
      <c r="U70" s="22">
        <v>-1.32494710177912E-3</v>
      </c>
      <c r="V70" s="22">
        <v>1.3097137537496001E-2</v>
      </c>
      <c r="W70" s="22">
        <v>2.2234090981936301E-2</v>
      </c>
      <c r="X70" s="23">
        <v>1.30397576675501</v>
      </c>
      <c r="Y70" s="23">
        <v>1.3022759807794699</v>
      </c>
      <c r="Z70" s="23">
        <v>1.31743073326465</v>
      </c>
      <c r="AA70" s="23">
        <v>1.33076512208154</v>
      </c>
      <c r="AB70" s="21">
        <v>171.96554326192901</v>
      </c>
      <c r="AC70" s="21">
        <v>174.46002910525399</v>
      </c>
      <c r="AD70" s="21">
        <v>176.08774441765399</v>
      </c>
      <c r="AE70" s="22">
        <v>-1.30439142585302E-3</v>
      </c>
      <c r="AF70" s="22">
        <v>1.3097137537496001E-2</v>
      </c>
      <c r="AG70" s="22">
        <v>2.238390033396E-2</v>
      </c>
      <c r="AI70" s="5"/>
      <c r="AJ70">
        <f t="shared" si="6"/>
        <v>0</v>
      </c>
      <c r="AK70">
        <f t="shared" si="7"/>
        <v>1</v>
      </c>
      <c r="AL70">
        <f t="shared" si="14"/>
        <v>0</v>
      </c>
      <c r="AM70">
        <f t="shared" si="4"/>
        <v>1</v>
      </c>
      <c r="AN70">
        <f t="shared" si="15"/>
        <v>0</v>
      </c>
      <c r="AO70" s="17">
        <f t="shared" si="8"/>
        <v>0</v>
      </c>
      <c r="AP70" s="17">
        <f t="shared" si="9"/>
        <v>0</v>
      </c>
      <c r="AQ70" s="17">
        <f t="shared" si="16"/>
        <v>0</v>
      </c>
      <c r="AR70" s="11">
        <f t="shared" si="17"/>
        <v>0</v>
      </c>
      <c r="AT70" s="5"/>
      <c r="AU70">
        <f t="shared" si="10"/>
        <v>1</v>
      </c>
      <c r="AV70">
        <f t="shared" si="11"/>
        <v>0</v>
      </c>
      <c r="AW70">
        <f t="shared" si="18"/>
        <v>1</v>
      </c>
      <c r="AX70">
        <f t="shared" si="5"/>
        <v>1</v>
      </c>
      <c r="AY70">
        <f t="shared" si="19"/>
        <v>1</v>
      </c>
      <c r="AZ70" s="17">
        <f t="shared" si="12"/>
        <v>-1.9963185432959701E-2</v>
      </c>
      <c r="BA70" s="17">
        <f t="shared" si="13"/>
        <v>1.65128473950646E-2</v>
      </c>
      <c r="BB70" s="17">
        <f t="shared" si="20"/>
        <v>-3.450338037895101E-3</v>
      </c>
      <c r="BC70" s="11">
        <f t="shared" si="21"/>
        <v>1.3953430780792558E-2</v>
      </c>
      <c r="BE70" s="11">
        <f t="shared" si="22"/>
        <v>-3.450338037895101E-3</v>
      </c>
      <c r="BF70" s="11">
        <f t="shared" si="23"/>
        <v>1.3953430780792558E-2</v>
      </c>
      <c r="BH70" s="11"/>
    </row>
    <row r="71" spans="1:60" x14ac:dyDescent="0.25">
      <c r="A71" s="1">
        <v>46126</v>
      </c>
      <c r="B71" s="21">
        <v>135.72</v>
      </c>
      <c r="C71" s="21">
        <v>175.85</v>
      </c>
      <c r="D71" s="22">
        <v>2.7413301172888101E-2</v>
      </c>
      <c r="E71" s="22">
        <v>2.1032840621897E-2</v>
      </c>
      <c r="F71" s="21">
        <v>0</v>
      </c>
      <c r="G71" s="21">
        <v>0</v>
      </c>
      <c r="H71" s="21">
        <v>0</v>
      </c>
      <c r="I71" s="21">
        <v>0.121818</v>
      </c>
      <c r="J71" s="21">
        <v>0</v>
      </c>
      <c r="K71" s="21">
        <v>0</v>
      </c>
      <c r="L71" s="21">
        <v>135.72</v>
      </c>
      <c r="M71" s="21">
        <v>175.85</v>
      </c>
      <c r="N71" s="23">
        <v>1.2956822870615901</v>
      </c>
      <c r="O71" s="23">
        <v>1.3022492118915701</v>
      </c>
      <c r="P71" s="23">
        <v>1.3107302298610299</v>
      </c>
      <c r="Q71" s="23">
        <v>1.32790536901995</v>
      </c>
      <c r="R71" s="21">
        <v>176.741263037924</v>
      </c>
      <c r="S71" s="21">
        <v>178.80169911867799</v>
      </c>
      <c r="T71" s="21">
        <v>180.584331653931</v>
      </c>
      <c r="U71" s="22">
        <v>5.0555134492120497E-3</v>
      </c>
      <c r="V71" s="22">
        <v>1.6646006675158798E-2</v>
      </c>
      <c r="W71" s="22">
        <v>2.6566521122815E-2</v>
      </c>
      <c r="X71" s="23">
        <v>1.2956822870615901</v>
      </c>
      <c r="Y71" s="23">
        <v>1.3022759807794699</v>
      </c>
      <c r="Z71" s="23">
        <v>1.3107302298610299</v>
      </c>
      <c r="AA71" s="23">
        <v>1.3281051237721999</v>
      </c>
      <c r="AB71" s="21">
        <v>176.74489611139001</v>
      </c>
      <c r="AC71" s="21">
        <v>178.80169911867799</v>
      </c>
      <c r="AD71" s="21">
        <v>180.61144236890701</v>
      </c>
      <c r="AE71" s="22">
        <v>5.0760691251381298E-3</v>
      </c>
      <c r="AF71" s="22">
        <v>1.6646006675158798E-2</v>
      </c>
      <c r="AG71" s="22">
        <v>2.67166375802932E-2</v>
      </c>
      <c r="AI71" s="5"/>
      <c r="AJ71">
        <f t="shared" si="6"/>
        <v>0</v>
      </c>
      <c r="AK71">
        <f t="shared" si="7"/>
        <v>1</v>
      </c>
      <c r="AL71">
        <f t="shared" si="14"/>
        <v>0</v>
      </c>
      <c r="AM71">
        <f t="shared" si="4"/>
        <v>1</v>
      </c>
      <c r="AN71">
        <f t="shared" si="15"/>
        <v>0</v>
      </c>
      <c r="AO71" s="17">
        <f t="shared" si="8"/>
        <v>0</v>
      </c>
      <c r="AP71" s="17">
        <f t="shared" si="9"/>
        <v>0</v>
      </c>
      <c r="AQ71" s="17">
        <f t="shared" si="16"/>
        <v>0</v>
      </c>
      <c r="AR71" s="11">
        <f t="shared" si="17"/>
        <v>0</v>
      </c>
      <c r="AT71" s="5"/>
      <c r="AU71">
        <f t="shared" si="10"/>
        <v>1</v>
      </c>
      <c r="AV71">
        <f t="shared" si="11"/>
        <v>0</v>
      </c>
      <c r="AW71">
        <f t="shared" si="18"/>
        <v>1</v>
      </c>
      <c r="AX71">
        <f t="shared" si="5"/>
        <v>1</v>
      </c>
      <c r="AY71">
        <f t="shared" si="19"/>
        <v>1</v>
      </c>
      <c r="AZ71" s="17">
        <f t="shared" si="12"/>
        <v>-2.7413301172888101E-2</v>
      </c>
      <c r="BA71" s="17">
        <f t="shared" si="13"/>
        <v>2.1032840621897E-2</v>
      </c>
      <c r="BB71" s="17">
        <f t="shared" si="20"/>
        <v>-6.380460550991101E-3</v>
      </c>
      <c r="BC71" s="11">
        <f t="shared" si="21"/>
        <v>7.5729702298014574E-3</v>
      </c>
      <c r="BE71" s="11">
        <f t="shared" si="22"/>
        <v>-6.380460550991101E-3</v>
      </c>
      <c r="BF71" s="11">
        <f t="shared" si="23"/>
        <v>7.5729702298014574E-3</v>
      </c>
      <c r="BH71" s="11"/>
    </row>
    <row r="72" spans="1:60" x14ac:dyDescent="0.25">
      <c r="A72" s="1">
        <v>46127</v>
      </c>
      <c r="B72" s="21">
        <v>136.44999999999999</v>
      </c>
      <c r="C72" s="21">
        <v>175.99</v>
      </c>
      <c r="D72" s="22">
        <v>5.3643072383179396E-3</v>
      </c>
      <c r="E72" s="22">
        <v>7.9581632212823996E-4</v>
      </c>
      <c r="F72" s="21">
        <v>0</v>
      </c>
      <c r="G72" s="21">
        <v>0</v>
      </c>
      <c r="H72" s="21">
        <v>0</v>
      </c>
      <c r="I72" s="21">
        <v>0.121818</v>
      </c>
      <c r="J72" s="21">
        <v>0</v>
      </c>
      <c r="K72" s="21">
        <v>0</v>
      </c>
      <c r="L72" s="21">
        <v>136.44999999999999</v>
      </c>
      <c r="M72" s="21">
        <v>175.99</v>
      </c>
      <c r="N72" s="23">
        <v>1.28977647489923</v>
      </c>
      <c r="O72" s="23">
        <v>1.3022492118915701</v>
      </c>
      <c r="P72" s="23">
        <v>1.3075149704379301</v>
      </c>
      <c r="Q72" s="23">
        <v>1.3250900619975401</v>
      </c>
      <c r="R72" s="21">
        <v>177.69190496260501</v>
      </c>
      <c r="S72" s="21">
        <v>178.84913986453699</v>
      </c>
      <c r="T72" s="21">
        <v>181.19268760277299</v>
      </c>
      <c r="U72" s="22">
        <v>9.6240043654018705E-3</v>
      </c>
      <c r="V72" s="22">
        <v>1.6115481195193401E-2</v>
      </c>
      <c r="W72" s="22">
        <v>2.9133862159375402E-2</v>
      </c>
      <c r="X72" s="23">
        <v>1.28977647489923</v>
      </c>
      <c r="Y72" s="23">
        <v>1.3022759807794699</v>
      </c>
      <c r="Z72" s="23">
        <v>1.3075149704379301</v>
      </c>
      <c r="AA72" s="23">
        <v>1.32524077173812</v>
      </c>
      <c r="AB72" s="21">
        <v>177.69555757735901</v>
      </c>
      <c r="AC72" s="21">
        <v>178.84913986453699</v>
      </c>
      <c r="AD72" s="21">
        <v>181.21994413871701</v>
      </c>
      <c r="AE72" s="22">
        <v>9.6445600413279202E-3</v>
      </c>
      <c r="AF72" s="22">
        <v>1.6115481195193401E-2</v>
      </c>
      <c r="AG72" s="22">
        <v>2.9284279300548499E-2</v>
      </c>
      <c r="AI72" s="5"/>
      <c r="AJ72">
        <f t="shared" si="6"/>
        <v>0</v>
      </c>
      <c r="AK72">
        <f t="shared" si="7"/>
        <v>1</v>
      </c>
      <c r="AL72">
        <f t="shared" si="14"/>
        <v>0</v>
      </c>
      <c r="AM72">
        <f t="shared" si="4"/>
        <v>1</v>
      </c>
      <c r="AN72">
        <f t="shared" si="15"/>
        <v>0</v>
      </c>
      <c r="AO72" s="17">
        <f t="shared" si="8"/>
        <v>0</v>
      </c>
      <c r="AP72" s="17">
        <f t="shared" si="9"/>
        <v>0</v>
      </c>
      <c r="AQ72" s="17">
        <f t="shared" si="16"/>
        <v>0</v>
      </c>
      <c r="AR72" s="11">
        <f t="shared" si="17"/>
        <v>0</v>
      </c>
      <c r="AT72" s="5"/>
      <c r="AU72">
        <f t="shared" si="10"/>
        <v>1</v>
      </c>
      <c r="AV72">
        <f t="shared" si="11"/>
        <v>0</v>
      </c>
      <c r="AW72">
        <f t="shared" si="18"/>
        <v>1</v>
      </c>
      <c r="AX72">
        <f t="shared" si="5"/>
        <v>1</v>
      </c>
      <c r="AY72">
        <f t="shared" si="19"/>
        <v>1</v>
      </c>
      <c r="AZ72" s="17">
        <f t="shared" si="12"/>
        <v>-5.3643072383179396E-3</v>
      </c>
      <c r="BA72" s="17">
        <f t="shared" si="13"/>
        <v>7.9581632212823996E-4</v>
      </c>
      <c r="BB72" s="17">
        <f t="shared" si="20"/>
        <v>-4.5684909161896993E-3</v>
      </c>
      <c r="BC72" s="11">
        <f t="shared" si="21"/>
        <v>3.0044793136117581E-3</v>
      </c>
      <c r="BE72" s="11">
        <f t="shared" si="22"/>
        <v>-4.5684909161896993E-3</v>
      </c>
      <c r="BF72" s="11">
        <f t="shared" si="23"/>
        <v>3.0044793136117581E-3</v>
      </c>
      <c r="BH72" s="11"/>
    </row>
    <row r="73" spans="1:60" x14ac:dyDescent="0.25">
      <c r="A73" s="1">
        <v>46128</v>
      </c>
      <c r="B73" s="21">
        <v>135.46</v>
      </c>
      <c r="C73" s="21">
        <v>174.12</v>
      </c>
      <c r="D73" s="22">
        <v>-7.28185336758971E-3</v>
      </c>
      <c r="E73" s="22">
        <v>-1.06824585580228E-2</v>
      </c>
      <c r="F73" s="21">
        <v>0</v>
      </c>
      <c r="G73" s="21">
        <v>0</v>
      </c>
      <c r="H73" s="21">
        <v>0</v>
      </c>
      <c r="I73" s="21">
        <v>0.121818</v>
      </c>
      <c r="J73" s="21">
        <v>0</v>
      </c>
      <c r="K73" s="21">
        <v>0</v>
      </c>
      <c r="L73" s="21">
        <v>135.46</v>
      </c>
      <c r="M73" s="21">
        <v>174.12</v>
      </c>
      <c r="N73" s="23">
        <v>1.2853979034401299</v>
      </c>
      <c r="O73" s="23">
        <v>1.3022492118915701</v>
      </c>
      <c r="P73" s="23">
        <v>1.3037093698834601</v>
      </c>
      <c r="Q73" s="23">
        <v>1.32174374050701</v>
      </c>
      <c r="R73" s="21">
        <v>176.402678242832</v>
      </c>
      <c r="S73" s="21">
        <v>177.11597789552201</v>
      </c>
      <c r="T73" s="21">
        <v>179.496699798187</v>
      </c>
      <c r="U73" s="22">
        <v>1.30246095558348E-2</v>
      </c>
      <c r="V73" s="22">
        <v>1.7060043659779402E-2</v>
      </c>
      <c r="W73" s="22">
        <v>3.04121055498047E-2</v>
      </c>
      <c r="X73" s="23">
        <v>1.2853979034401299</v>
      </c>
      <c r="Y73" s="23">
        <v>1.3022759807794699</v>
      </c>
      <c r="Z73" s="23">
        <v>1.3037093698834601</v>
      </c>
      <c r="AA73" s="23">
        <v>1.32184415795132</v>
      </c>
      <c r="AB73" s="21">
        <v>176.40630435638701</v>
      </c>
      <c r="AC73" s="21">
        <v>177.11597789552201</v>
      </c>
      <c r="AD73" s="21">
        <v>179.51711493964501</v>
      </c>
      <c r="AE73" s="22">
        <v>1.30451652317609E-2</v>
      </c>
      <c r="AF73" s="22">
        <v>1.7060043659779402E-2</v>
      </c>
      <c r="AG73" s="22">
        <v>3.0525834552099399E-2</v>
      </c>
      <c r="AI73" s="5"/>
      <c r="AJ73">
        <f t="shared" si="6"/>
        <v>0</v>
      </c>
      <c r="AK73">
        <f t="shared" si="7"/>
        <v>1</v>
      </c>
      <c r="AL73">
        <f t="shared" si="14"/>
        <v>0</v>
      </c>
      <c r="AM73">
        <f t="shared" si="4"/>
        <v>1</v>
      </c>
      <c r="AN73">
        <f t="shared" si="15"/>
        <v>0</v>
      </c>
      <c r="AO73" s="17">
        <f t="shared" si="8"/>
        <v>0</v>
      </c>
      <c r="AP73" s="17">
        <f t="shared" si="9"/>
        <v>0</v>
      </c>
      <c r="AQ73" s="17">
        <f t="shared" si="16"/>
        <v>0</v>
      </c>
      <c r="AR73" s="11">
        <f t="shared" si="17"/>
        <v>0</v>
      </c>
      <c r="AT73" s="5"/>
      <c r="AU73">
        <f t="shared" si="10"/>
        <v>1</v>
      </c>
      <c r="AV73">
        <f t="shared" si="11"/>
        <v>0</v>
      </c>
      <c r="AW73">
        <f t="shared" si="18"/>
        <v>1</v>
      </c>
      <c r="AX73">
        <f t="shared" si="5"/>
        <v>1</v>
      </c>
      <c r="AY73">
        <f t="shared" si="19"/>
        <v>1</v>
      </c>
      <c r="AZ73" s="17">
        <f t="shared" si="12"/>
        <v>7.28185336758971E-3</v>
      </c>
      <c r="BA73" s="17">
        <f t="shared" si="13"/>
        <v>-1.06824585580228E-2</v>
      </c>
      <c r="BB73" s="17">
        <f t="shared" si="20"/>
        <v>-3.4006051904330904E-3</v>
      </c>
      <c r="BC73" s="11">
        <f t="shared" si="21"/>
        <v>-3.9612587682133233E-4</v>
      </c>
      <c r="BE73" s="11">
        <f t="shared" si="22"/>
        <v>-3.4006051904330904E-3</v>
      </c>
      <c r="BF73" s="11">
        <f t="shared" si="23"/>
        <v>-3.9612587682133233E-4</v>
      </c>
      <c r="BH73" s="11"/>
    </row>
    <row r="74" spans="1:60" x14ac:dyDescent="0.25">
      <c r="A74" s="1">
        <v>46129</v>
      </c>
      <c r="B74" s="21">
        <v>138.66999999999999</v>
      </c>
      <c r="C74" s="21">
        <v>176.66</v>
      </c>
      <c r="D74" s="22">
        <v>2.3420615979015E-2</v>
      </c>
      <c r="E74" s="22">
        <v>1.44822646328893E-2</v>
      </c>
      <c r="F74" s="21">
        <v>0</v>
      </c>
      <c r="G74" s="21">
        <v>0</v>
      </c>
      <c r="H74" s="21">
        <v>0</v>
      </c>
      <c r="I74" s="21">
        <v>0.121818</v>
      </c>
      <c r="J74" s="21">
        <v>0</v>
      </c>
      <c r="K74" s="21">
        <v>0</v>
      </c>
      <c r="L74" s="21">
        <v>138.66999999999999</v>
      </c>
      <c r="M74" s="21">
        <v>176.66</v>
      </c>
      <c r="N74" s="23">
        <v>1.27395976058267</v>
      </c>
      <c r="O74" s="23">
        <v>1.3022492118915701</v>
      </c>
      <c r="P74" s="23">
        <v>1.29972352212039</v>
      </c>
      <c r="Q74" s="23">
        <v>1.3182219132823201</v>
      </c>
      <c r="R74" s="21">
        <v>180.582898213004</v>
      </c>
      <c r="S74" s="21">
        <v>180.78537832174001</v>
      </c>
      <c r="T74" s="21">
        <v>183.28620449610699</v>
      </c>
      <c r="U74" s="22">
        <v>2.19629609019606E-2</v>
      </c>
      <c r="V74" s="22">
        <v>2.30835912564945E-2</v>
      </c>
      <c r="W74" s="22">
        <v>3.6821908809327501E-2</v>
      </c>
      <c r="X74" s="23">
        <v>1.27395976058267</v>
      </c>
      <c r="Y74" s="23">
        <v>1.3022759807794699</v>
      </c>
      <c r="Z74" s="23">
        <v>1.29972352212039</v>
      </c>
      <c r="AA74" s="23">
        <v>1.31827253999664</v>
      </c>
      <c r="AB74" s="21">
        <v>180.58661025468899</v>
      </c>
      <c r="AC74" s="21">
        <v>180.78537832174001</v>
      </c>
      <c r="AD74" s="21">
        <v>183.30012938311</v>
      </c>
      <c r="AE74" s="22">
        <v>2.1983516577886698E-2</v>
      </c>
      <c r="AF74" s="22">
        <v>2.3083591256494299E-2</v>
      </c>
      <c r="AG74" s="22">
        <v>3.6897879382820298E-2</v>
      </c>
      <c r="AI74" s="5"/>
      <c r="AJ74">
        <f t="shared" si="6"/>
        <v>0</v>
      </c>
      <c r="AK74">
        <f t="shared" si="7"/>
        <v>1</v>
      </c>
      <c r="AL74">
        <f t="shared" si="14"/>
        <v>0</v>
      </c>
      <c r="AM74">
        <f t="shared" si="4"/>
        <v>1</v>
      </c>
      <c r="AN74">
        <f t="shared" si="15"/>
        <v>0</v>
      </c>
      <c r="AO74" s="17">
        <f t="shared" si="8"/>
        <v>0</v>
      </c>
      <c r="AP74" s="17">
        <f t="shared" si="9"/>
        <v>0</v>
      </c>
      <c r="AQ74" s="17">
        <f t="shared" si="16"/>
        <v>0</v>
      </c>
      <c r="AR74" s="11">
        <f t="shared" si="17"/>
        <v>0</v>
      </c>
      <c r="AT74" s="5"/>
      <c r="AU74">
        <f t="shared" si="10"/>
        <v>1</v>
      </c>
      <c r="AV74">
        <f t="shared" si="11"/>
        <v>0</v>
      </c>
      <c r="AW74">
        <f t="shared" si="18"/>
        <v>1</v>
      </c>
      <c r="AX74">
        <f t="shared" si="5"/>
        <v>1</v>
      </c>
      <c r="AY74">
        <f t="shared" si="19"/>
        <v>1</v>
      </c>
      <c r="AZ74" s="17">
        <f t="shared" si="12"/>
        <v>-2.3420615979015E-2</v>
      </c>
      <c r="BA74" s="17">
        <f t="shared" si="13"/>
        <v>1.44822646328893E-2</v>
      </c>
      <c r="BB74" s="17">
        <f t="shared" si="20"/>
        <v>-8.9383513461256999E-3</v>
      </c>
      <c r="BC74" s="11">
        <f t="shared" si="21"/>
        <v>-9.3344772229470331E-3</v>
      </c>
      <c r="BE74" s="11">
        <f t="shared" si="22"/>
        <v>-8.9383513461256999E-3</v>
      </c>
      <c r="BF74" s="11">
        <f t="shared" si="23"/>
        <v>-9.3344772229470331E-3</v>
      </c>
      <c r="BH74" s="11"/>
    </row>
    <row r="75" spans="1:60" x14ac:dyDescent="0.25">
      <c r="A75" s="1">
        <v>46132</v>
      </c>
      <c r="B75" s="21">
        <v>137.79</v>
      </c>
      <c r="C75" s="21">
        <v>175.76</v>
      </c>
      <c r="D75" s="22">
        <v>-6.3662227599610103E-3</v>
      </c>
      <c r="E75" s="22">
        <v>-5.1075532406313698E-3</v>
      </c>
      <c r="F75" s="21">
        <v>0</v>
      </c>
      <c r="G75" s="21">
        <v>0</v>
      </c>
      <c r="H75" s="21">
        <v>0</v>
      </c>
      <c r="I75" s="21">
        <v>0.121818</v>
      </c>
      <c r="J75" s="21">
        <v>0</v>
      </c>
      <c r="K75" s="21">
        <v>0</v>
      </c>
      <c r="L75" s="21">
        <v>137.79</v>
      </c>
      <c r="M75" s="21">
        <v>175.76</v>
      </c>
      <c r="N75" s="23">
        <v>1.2755642644604099</v>
      </c>
      <c r="O75" s="23">
        <v>1.3022492118915701</v>
      </c>
      <c r="P75" s="23">
        <v>1.2962007560198401</v>
      </c>
      <c r="Q75" s="23">
        <v>1.31481950976526</v>
      </c>
      <c r="R75" s="21">
        <v>179.43691890654</v>
      </c>
      <c r="S75" s="21">
        <v>179.08890411296801</v>
      </c>
      <c r="T75" s="21">
        <v>181.63779743117101</v>
      </c>
      <c r="U75" s="22">
        <v>2.0704291382630899E-2</v>
      </c>
      <c r="V75" s="22">
        <v>1.8762925486345401E-2</v>
      </c>
      <c r="W75" s="22">
        <v>3.2895152067828802E-2</v>
      </c>
      <c r="X75" s="23">
        <v>1.2755642644604099</v>
      </c>
      <c r="Y75" s="23">
        <v>1.3022759807794699</v>
      </c>
      <c r="Z75" s="23">
        <v>1.2962007560198401</v>
      </c>
      <c r="AA75" s="23">
        <v>1.31481950976526</v>
      </c>
      <c r="AB75" s="21">
        <v>179.44060739160301</v>
      </c>
      <c r="AC75" s="21">
        <v>179.08890411296801</v>
      </c>
      <c r="AD75" s="21">
        <v>181.64477328613799</v>
      </c>
      <c r="AE75" s="22">
        <v>2.07248470585569E-2</v>
      </c>
      <c r="AF75" s="22">
        <v>1.8762925486345401E-2</v>
      </c>
      <c r="AG75" s="22">
        <v>3.29335566351244E-2</v>
      </c>
      <c r="AI75" s="5"/>
      <c r="AJ75">
        <f t="shared" si="6"/>
        <v>0</v>
      </c>
      <c r="AK75">
        <f t="shared" si="7"/>
        <v>1</v>
      </c>
      <c r="AL75">
        <f t="shared" si="14"/>
        <v>0</v>
      </c>
      <c r="AM75">
        <f t="shared" si="4"/>
        <v>1</v>
      </c>
      <c r="AN75">
        <f t="shared" si="15"/>
        <v>0</v>
      </c>
      <c r="AO75" s="17">
        <f t="shared" si="8"/>
        <v>0</v>
      </c>
      <c r="AP75" s="17">
        <f t="shared" si="9"/>
        <v>0</v>
      </c>
      <c r="AQ75" s="17">
        <f t="shared" si="16"/>
        <v>0</v>
      </c>
      <c r="AR75" s="11">
        <f t="shared" si="17"/>
        <v>0</v>
      </c>
      <c r="AT75" s="5"/>
      <c r="AU75">
        <f t="shared" si="10"/>
        <v>1</v>
      </c>
      <c r="AV75">
        <f t="shared" si="11"/>
        <v>0</v>
      </c>
      <c r="AW75">
        <f t="shared" si="18"/>
        <v>1</v>
      </c>
      <c r="AX75">
        <f t="shared" si="5"/>
        <v>1</v>
      </c>
      <c r="AY75">
        <f t="shared" si="19"/>
        <v>1</v>
      </c>
      <c r="AZ75" s="17">
        <f t="shared" si="12"/>
        <v>6.3662227599610103E-3</v>
      </c>
      <c r="BA75" s="17">
        <f t="shared" si="13"/>
        <v>-5.1075532406313698E-3</v>
      </c>
      <c r="BB75" s="17">
        <f t="shared" si="20"/>
        <v>1.2586695193296405E-3</v>
      </c>
      <c r="BC75" s="11">
        <f t="shared" si="21"/>
        <v>-8.0758077036173926E-3</v>
      </c>
      <c r="BE75" s="11">
        <f t="shared" si="22"/>
        <v>1.2586695193296405E-3</v>
      </c>
      <c r="BF75" s="11">
        <f t="shared" si="23"/>
        <v>-8.0758077036173926E-3</v>
      </c>
      <c r="BH75" s="11"/>
    </row>
    <row r="76" spans="1:60" x14ac:dyDescent="0.25">
      <c r="A76" s="1">
        <v>46133</v>
      </c>
      <c r="B76" s="21">
        <v>136.38999999999999</v>
      </c>
      <c r="C76" s="21">
        <v>173.99</v>
      </c>
      <c r="D76" s="22">
        <v>-1.0212358067028001E-2</v>
      </c>
      <c r="E76" s="22">
        <v>-1.01216017777298E-2</v>
      </c>
      <c r="F76" s="21">
        <v>0</v>
      </c>
      <c r="G76" s="21">
        <v>0</v>
      </c>
      <c r="H76" s="21">
        <v>0</v>
      </c>
      <c r="I76" s="21">
        <v>0.121818</v>
      </c>
      <c r="J76" s="21">
        <v>0</v>
      </c>
      <c r="K76" s="21">
        <v>0</v>
      </c>
      <c r="L76" s="21">
        <v>136.38999999999999</v>
      </c>
      <c r="M76" s="21">
        <v>173.99</v>
      </c>
      <c r="N76" s="23">
        <v>1.2756800351931901</v>
      </c>
      <c r="O76" s="23">
        <v>1.3022492118915701</v>
      </c>
      <c r="P76" s="23">
        <v>1.29299654378441</v>
      </c>
      <c r="Q76" s="23">
        <v>1.31176291990618</v>
      </c>
      <c r="R76" s="21">
        <v>177.613770009891</v>
      </c>
      <c r="S76" s="21">
        <v>176.78882111354699</v>
      </c>
      <c r="T76" s="21">
        <v>179.32823293688301</v>
      </c>
      <c r="U76" s="22">
        <v>2.0613535093332799E-2</v>
      </c>
      <c r="V76" s="22">
        <v>1.5958092910107802E-2</v>
      </c>
      <c r="W76" s="22">
        <v>3.0220003918205601E-2</v>
      </c>
      <c r="X76" s="23">
        <v>1.2756800351931901</v>
      </c>
      <c r="Y76" s="23">
        <v>1.3022759807794699</v>
      </c>
      <c r="Z76" s="23">
        <v>1.29299654378441</v>
      </c>
      <c r="AA76" s="23">
        <v>1.31176291990618</v>
      </c>
      <c r="AB76" s="21">
        <v>177.617421018512</v>
      </c>
      <c r="AC76" s="21">
        <v>176.78882111354699</v>
      </c>
      <c r="AD76" s="21">
        <v>179.32823293688301</v>
      </c>
      <c r="AE76" s="22">
        <v>2.06340907692588E-2</v>
      </c>
      <c r="AF76" s="22">
        <v>1.59580929101075E-2</v>
      </c>
      <c r="AG76" s="22">
        <v>3.0220003918205601E-2</v>
      </c>
      <c r="AI76" s="5"/>
      <c r="AJ76">
        <f t="shared" si="6"/>
        <v>0</v>
      </c>
      <c r="AK76">
        <f t="shared" si="7"/>
        <v>1</v>
      </c>
      <c r="AL76">
        <f t="shared" si="14"/>
        <v>0</v>
      </c>
      <c r="AM76">
        <f t="shared" si="4"/>
        <v>1</v>
      </c>
      <c r="AN76">
        <f t="shared" si="15"/>
        <v>0</v>
      </c>
      <c r="AO76" s="17">
        <f t="shared" si="8"/>
        <v>0</v>
      </c>
      <c r="AP76" s="17">
        <f t="shared" si="9"/>
        <v>0</v>
      </c>
      <c r="AQ76" s="17">
        <f t="shared" si="16"/>
        <v>0</v>
      </c>
      <c r="AR76" s="11">
        <f t="shared" si="17"/>
        <v>0</v>
      </c>
      <c r="AT76" s="5"/>
      <c r="AU76">
        <f t="shared" si="10"/>
        <v>1</v>
      </c>
      <c r="AV76">
        <f t="shared" si="11"/>
        <v>0</v>
      </c>
      <c r="AW76">
        <f t="shared" si="18"/>
        <v>1</v>
      </c>
      <c r="AX76">
        <f t="shared" si="5"/>
        <v>1</v>
      </c>
      <c r="AY76">
        <f t="shared" si="19"/>
        <v>1</v>
      </c>
      <c r="AZ76" s="17">
        <f t="shared" si="12"/>
        <v>1.0212358067028001E-2</v>
      </c>
      <c r="BA76" s="17">
        <f t="shared" si="13"/>
        <v>-1.01216017777298E-2</v>
      </c>
      <c r="BB76" s="17">
        <f t="shared" si="20"/>
        <v>9.0756289298200843E-5</v>
      </c>
      <c r="BC76" s="11">
        <f t="shared" si="21"/>
        <v>-7.9850514143191918E-3</v>
      </c>
      <c r="BE76" s="11">
        <f t="shared" si="22"/>
        <v>9.0756289298200843E-5</v>
      </c>
      <c r="BF76" s="11">
        <f t="shared" si="23"/>
        <v>-7.9850514143191918E-3</v>
      </c>
      <c r="BH76" s="11"/>
    </row>
    <row r="77" spans="1:60" x14ac:dyDescent="0.25">
      <c r="A77" s="1">
        <v>46134</v>
      </c>
      <c r="B77" s="21">
        <v>137.31</v>
      </c>
      <c r="C77" s="21">
        <v>174.36</v>
      </c>
      <c r="D77" s="22">
        <v>6.7227143948767297E-3</v>
      </c>
      <c r="E77" s="22">
        <v>2.1243010715670599E-3</v>
      </c>
      <c r="F77" s="21">
        <v>0</v>
      </c>
      <c r="G77" s="21">
        <v>0</v>
      </c>
      <c r="H77" s="21">
        <v>0</v>
      </c>
      <c r="I77" s="21">
        <v>0.121818</v>
      </c>
      <c r="J77" s="21">
        <v>0</v>
      </c>
      <c r="K77" s="21">
        <v>0</v>
      </c>
      <c r="L77" s="21">
        <v>137.31</v>
      </c>
      <c r="M77" s="21">
        <v>174.36</v>
      </c>
      <c r="N77" s="23">
        <v>1.2698273978588499</v>
      </c>
      <c r="O77" s="23">
        <v>1.3022492118915701</v>
      </c>
      <c r="P77" s="23">
        <v>1.2884369950130801</v>
      </c>
      <c r="Q77" s="23">
        <v>1.30764512131995</v>
      </c>
      <c r="R77" s="21">
        <v>178.81183928483199</v>
      </c>
      <c r="S77" s="21">
        <v>177.54135542703801</v>
      </c>
      <c r="T77" s="21">
        <v>180.11816653231801</v>
      </c>
      <c r="U77" s="22">
        <v>2.52119484166425E-2</v>
      </c>
      <c r="V77" s="22">
        <v>1.8081442729056301E-2</v>
      </c>
      <c r="W77" s="22">
        <v>3.2490988865903098E-2</v>
      </c>
      <c r="X77" s="23">
        <v>1.2698273978588499</v>
      </c>
      <c r="Y77" s="23">
        <v>1.3022759807794699</v>
      </c>
      <c r="Z77" s="23">
        <v>1.2884369950130801</v>
      </c>
      <c r="AA77" s="23">
        <v>1.30764512131995</v>
      </c>
      <c r="AB77" s="21">
        <v>178.815514920829</v>
      </c>
      <c r="AC77" s="21">
        <v>177.54135542703801</v>
      </c>
      <c r="AD77" s="21">
        <v>180.11816653231801</v>
      </c>
      <c r="AE77" s="22">
        <v>2.5232504092568601E-2</v>
      </c>
      <c r="AF77" s="22">
        <v>1.8081442729056301E-2</v>
      </c>
      <c r="AG77" s="22">
        <v>3.2490988865903098E-2</v>
      </c>
      <c r="AI77" s="5"/>
      <c r="AJ77">
        <f t="shared" si="6"/>
        <v>0</v>
      </c>
      <c r="AK77">
        <f t="shared" si="7"/>
        <v>1</v>
      </c>
      <c r="AL77">
        <f t="shared" si="14"/>
        <v>0</v>
      </c>
      <c r="AM77">
        <f t="shared" si="4"/>
        <v>1</v>
      </c>
      <c r="AN77">
        <f t="shared" si="15"/>
        <v>0</v>
      </c>
      <c r="AO77" s="17">
        <f t="shared" si="8"/>
        <v>0</v>
      </c>
      <c r="AP77" s="17">
        <f t="shared" si="9"/>
        <v>0</v>
      </c>
      <c r="AQ77" s="17">
        <f t="shared" si="16"/>
        <v>0</v>
      </c>
      <c r="AR77" s="11">
        <f t="shared" si="17"/>
        <v>0</v>
      </c>
      <c r="AT77" s="5"/>
      <c r="AU77">
        <f t="shared" si="10"/>
        <v>1</v>
      </c>
      <c r="AV77">
        <f t="shared" si="11"/>
        <v>0</v>
      </c>
      <c r="AW77">
        <f t="shared" si="18"/>
        <v>1</v>
      </c>
      <c r="AX77">
        <f t="shared" si="5"/>
        <v>1</v>
      </c>
      <c r="AY77">
        <f t="shared" si="19"/>
        <v>1</v>
      </c>
      <c r="AZ77" s="17">
        <f t="shared" si="12"/>
        <v>-6.7227143948767297E-3</v>
      </c>
      <c r="BA77" s="17">
        <f t="shared" si="13"/>
        <v>2.1243010715670599E-3</v>
      </c>
      <c r="BB77" s="17">
        <f t="shared" si="20"/>
        <v>-4.5984133233096698E-3</v>
      </c>
      <c r="BC77" s="11">
        <f t="shared" si="21"/>
        <v>-1.2583464737628862E-2</v>
      </c>
      <c r="BE77" s="11">
        <f t="shared" si="22"/>
        <v>-4.5984133233096698E-3</v>
      </c>
      <c r="BF77" s="11">
        <f t="shared" si="23"/>
        <v>-1.2583464737628862E-2</v>
      </c>
      <c r="BH77" s="11"/>
    </row>
    <row r="78" spans="1:60" x14ac:dyDescent="0.25">
      <c r="A78" s="1">
        <v>46135</v>
      </c>
      <c r="B78" s="21">
        <v>134.49</v>
      </c>
      <c r="C78" s="21">
        <v>171.53</v>
      </c>
      <c r="D78" s="22">
        <v>-2.0751296498202499E-2</v>
      </c>
      <c r="E78" s="22">
        <v>-1.6363948948458201E-2</v>
      </c>
      <c r="F78" s="21">
        <v>0</v>
      </c>
      <c r="G78" s="21">
        <v>0</v>
      </c>
      <c r="H78" s="21">
        <v>0</v>
      </c>
      <c r="I78" s="21">
        <v>0.121818</v>
      </c>
      <c r="J78" s="21">
        <v>0</v>
      </c>
      <c r="K78" s="21">
        <v>0</v>
      </c>
      <c r="L78" s="21">
        <v>134.49</v>
      </c>
      <c r="M78" s="21">
        <v>171.53</v>
      </c>
      <c r="N78" s="23">
        <v>1.27541081121272</v>
      </c>
      <c r="O78" s="23">
        <v>1.3022492118915701</v>
      </c>
      <c r="P78" s="23">
        <v>1.28537573961486</v>
      </c>
      <c r="Q78" s="23">
        <v>1.3045378374777501</v>
      </c>
      <c r="R78" s="21">
        <v>175.139496507297</v>
      </c>
      <c r="S78" s="21">
        <v>173.28189145931</v>
      </c>
      <c r="T78" s="21">
        <v>175.865192366321</v>
      </c>
      <c r="U78" s="22">
        <v>2.0824600866898298E-2</v>
      </c>
      <c r="V78" s="22">
        <v>1.0161520395276499E-2</v>
      </c>
      <c r="W78" s="22">
        <v>2.49595706608687E-2</v>
      </c>
      <c r="X78" s="23">
        <v>1.27541081121272</v>
      </c>
      <c r="Y78" s="23">
        <v>1.3022759807794699</v>
      </c>
      <c r="Z78" s="23">
        <v>1.28537573961486</v>
      </c>
      <c r="AA78" s="23">
        <v>1.3045378374777501</v>
      </c>
      <c r="AB78" s="21">
        <v>175.143096655031</v>
      </c>
      <c r="AC78" s="21">
        <v>173.28189145931</v>
      </c>
      <c r="AD78" s="21">
        <v>175.865192366321</v>
      </c>
      <c r="AE78" s="22">
        <v>2.0845156542824199E-2</v>
      </c>
      <c r="AF78" s="22">
        <v>1.0161520395276701E-2</v>
      </c>
      <c r="AG78" s="22">
        <v>2.49595706608687E-2</v>
      </c>
      <c r="AI78" s="5"/>
      <c r="AJ78">
        <f t="shared" si="6"/>
        <v>0</v>
      </c>
      <c r="AK78">
        <f t="shared" si="7"/>
        <v>1</v>
      </c>
      <c r="AL78">
        <f t="shared" si="14"/>
        <v>0</v>
      </c>
      <c r="AM78">
        <f t="shared" si="4"/>
        <v>1</v>
      </c>
      <c r="AN78">
        <f t="shared" si="15"/>
        <v>0</v>
      </c>
      <c r="AO78" s="17">
        <f t="shared" si="8"/>
        <v>0</v>
      </c>
      <c r="AP78" s="17">
        <f t="shared" si="9"/>
        <v>0</v>
      </c>
      <c r="AQ78" s="17">
        <f t="shared" si="16"/>
        <v>0</v>
      </c>
      <c r="AR78" s="11">
        <f t="shared" si="17"/>
        <v>0</v>
      </c>
      <c r="AT78" s="5"/>
      <c r="AU78">
        <f t="shared" si="10"/>
        <v>1</v>
      </c>
      <c r="AV78">
        <f t="shared" si="11"/>
        <v>0</v>
      </c>
      <c r="AW78">
        <f t="shared" si="18"/>
        <v>1</v>
      </c>
      <c r="AX78">
        <f t="shared" si="5"/>
        <v>1</v>
      </c>
      <c r="AY78">
        <f t="shared" si="19"/>
        <v>1</v>
      </c>
      <c r="AZ78" s="17">
        <f t="shared" si="12"/>
        <v>2.0751296498202499E-2</v>
      </c>
      <c r="BA78" s="17">
        <f t="shared" si="13"/>
        <v>-1.6363948948458201E-2</v>
      </c>
      <c r="BB78" s="17">
        <f t="shared" si="20"/>
        <v>4.3873475497442985E-3</v>
      </c>
      <c r="BC78" s="11">
        <f t="shared" si="21"/>
        <v>-8.1961171878845631E-3</v>
      </c>
      <c r="BE78" s="11">
        <f t="shared" si="22"/>
        <v>4.3873475497442985E-3</v>
      </c>
      <c r="BF78" s="11">
        <f t="shared" si="23"/>
        <v>-8.1961171878845631E-3</v>
      </c>
      <c r="BH78" s="11"/>
    </row>
    <row r="79" spans="1:60" x14ac:dyDescent="0.25">
      <c r="A79" s="1">
        <v>46136</v>
      </c>
      <c r="B79" s="21">
        <v>133.28</v>
      </c>
      <c r="C79" s="21">
        <v>169.78</v>
      </c>
      <c r="D79" s="22">
        <v>-9.0376684169253506E-3</v>
      </c>
      <c r="E79" s="22">
        <v>-1.02546971119119E-2</v>
      </c>
      <c r="F79" s="21">
        <v>0</v>
      </c>
      <c r="G79" s="21">
        <v>0</v>
      </c>
      <c r="H79" s="21">
        <v>0</v>
      </c>
      <c r="I79" s="21">
        <v>0.121818</v>
      </c>
      <c r="J79" s="21">
        <v>0</v>
      </c>
      <c r="K79" s="21">
        <v>0</v>
      </c>
      <c r="L79" s="21">
        <v>133.28</v>
      </c>
      <c r="M79" s="21">
        <v>169.78</v>
      </c>
      <c r="N79" s="23">
        <v>1.27385954381752</v>
      </c>
      <c r="O79" s="23">
        <v>1.3022492118915701</v>
      </c>
      <c r="P79" s="23">
        <v>1.2819134245281301</v>
      </c>
      <c r="Q79" s="23">
        <v>1.3015399349268999</v>
      </c>
      <c r="R79" s="21">
        <v>173.563774960909</v>
      </c>
      <c r="S79" s="21">
        <v>171.31487857586899</v>
      </c>
      <c r="T79" s="21">
        <v>173.868802979035</v>
      </c>
      <c r="U79" s="22">
        <v>2.20416295618849E-2</v>
      </c>
      <c r="V79" s="22">
        <v>8.9997770836124508E-3</v>
      </c>
      <c r="W79" s="22">
        <v>2.37975276316971E-2</v>
      </c>
      <c r="X79" s="23">
        <v>1.27385954381752</v>
      </c>
      <c r="Y79" s="23">
        <v>1.3022759807794699</v>
      </c>
      <c r="Z79" s="23">
        <v>1.2819134245281301</v>
      </c>
      <c r="AA79" s="23">
        <v>1.3015399349268999</v>
      </c>
      <c r="AB79" s="21">
        <v>173.56734271828799</v>
      </c>
      <c r="AC79" s="21">
        <v>171.31487857586899</v>
      </c>
      <c r="AD79" s="21">
        <v>173.868802979035</v>
      </c>
      <c r="AE79" s="22">
        <v>2.2062185237810901E-2</v>
      </c>
      <c r="AF79" s="22">
        <v>8.9997770836124508E-3</v>
      </c>
      <c r="AG79" s="22">
        <v>2.3797527631697499E-2</v>
      </c>
      <c r="AI79" s="5"/>
      <c r="AJ79">
        <f t="shared" si="6"/>
        <v>0</v>
      </c>
      <c r="AK79">
        <f t="shared" si="7"/>
        <v>1</v>
      </c>
      <c r="AL79">
        <f t="shared" si="14"/>
        <v>0</v>
      </c>
      <c r="AM79">
        <f t="shared" si="4"/>
        <v>1</v>
      </c>
      <c r="AN79">
        <f t="shared" si="15"/>
        <v>0</v>
      </c>
      <c r="AO79" s="17">
        <f t="shared" si="8"/>
        <v>0</v>
      </c>
      <c r="AP79" s="17">
        <f t="shared" si="9"/>
        <v>0</v>
      </c>
      <c r="AQ79" s="17">
        <f t="shared" si="16"/>
        <v>0</v>
      </c>
      <c r="AR79" s="11">
        <f t="shared" si="17"/>
        <v>0</v>
      </c>
      <c r="AT79" s="5"/>
      <c r="AU79">
        <f t="shared" si="10"/>
        <v>1</v>
      </c>
      <c r="AV79">
        <f t="shared" si="11"/>
        <v>0</v>
      </c>
      <c r="AW79">
        <f t="shared" si="18"/>
        <v>1</v>
      </c>
      <c r="AX79">
        <f t="shared" si="5"/>
        <v>1</v>
      </c>
      <c r="AY79">
        <f t="shared" si="19"/>
        <v>1</v>
      </c>
      <c r="AZ79" s="17">
        <f t="shared" si="12"/>
        <v>9.0376684169253506E-3</v>
      </c>
      <c r="BA79" s="17">
        <f t="shared" si="13"/>
        <v>-1.02546971119119E-2</v>
      </c>
      <c r="BB79" s="17">
        <f t="shared" si="20"/>
        <v>-1.2170286949865494E-3</v>
      </c>
      <c r="BC79" s="11">
        <f t="shared" si="21"/>
        <v>-9.4131458828711125E-3</v>
      </c>
      <c r="BE79" s="11">
        <f t="shared" si="22"/>
        <v>-1.2170286949865494E-3</v>
      </c>
      <c r="BF79" s="11">
        <f t="shared" si="23"/>
        <v>-9.4131458828711125E-3</v>
      </c>
      <c r="BH79" s="11"/>
    </row>
    <row r="80" spans="1:60" x14ac:dyDescent="0.25">
      <c r="A80" s="1">
        <v>46139</v>
      </c>
      <c r="B80" s="21">
        <v>133.04</v>
      </c>
      <c r="C80" s="21">
        <v>169.02</v>
      </c>
      <c r="D80" s="22">
        <v>-1.8023435338603601E-3</v>
      </c>
      <c r="E80" s="22">
        <v>-4.4864301934854503E-3</v>
      </c>
      <c r="F80" s="21">
        <v>0</v>
      </c>
      <c r="G80" s="21">
        <v>0</v>
      </c>
      <c r="H80" s="21">
        <v>0</v>
      </c>
      <c r="I80" s="21">
        <v>0.121818</v>
      </c>
      <c r="J80" s="21">
        <v>0</v>
      </c>
      <c r="K80" s="21">
        <v>0</v>
      </c>
      <c r="L80" s="21">
        <v>133.04</v>
      </c>
      <c r="M80" s="21">
        <v>169.02</v>
      </c>
      <c r="N80" s="23">
        <v>1.27044497895369</v>
      </c>
      <c r="O80" s="23">
        <v>1.3022492118915701</v>
      </c>
      <c r="P80" s="23">
        <v>1.2785603457479999</v>
      </c>
      <c r="Q80" s="23">
        <v>1.2979955395063301</v>
      </c>
      <c r="R80" s="21">
        <v>173.25123515005501</v>
      </c>
      <c r="S80" s="21">
        <v>170.545761999223</v>
      </c>
      <c r="T80" s="21">
        <v>173.15687294267499</v>
      </c>
      <c r="U80" s="22">
        <v>2.4725716221509899E-2</v>
      </c>
      <c r="V80" s="22">
        <v>8.9866084171397395E-3</v>
      </c>
      <c r="W80" s="22">
        <v>2.4180912520272501E-2</v>
      </c>
      <c r="X80" s="23">
        <v>1.27044497895369</v>
      </c>
      <c r="Y80" s="23">
        <v>1.3022759807794699</v>
      </c>
      <c r="Z80" s="23">
        <v>1.2785603457479999</v>
      </c>
      <c r="AA80" s="23">
        <v>1.2979955395063301</v>
      </c>
      <c r="AB80" s="21">
        <v>173.25479648290101</v>
      </c>
      <c r="AC80" s="21">
        <v>170.545761999223</v>
      </c>
      <c r="AD80" s="21">
        <v>173.15687294267499</v>
      </c>
      <c r="AE80" s="22">
        <v>2.4746271897436001E-2</v>
      </c>
      <c r="AF80" s="22">
        <v>8.9866084171397395E-3</v>
      </c>
      <c r="AG80" s="22">
        <v>2.4180912520272501E-2</v>
      </c>
      <c r="AI80" s="5"/>
      <c r="AJ80">
        <f t="shared" si="6"/>
        <v>0</v>
      </c>
      <c r="AK80">
        <f t="shared" si="7"/>
        <v>1</v>
      </c>
      <c r="AL80">
        <f t="shared" si="14"/>
        <v>0</v>
      </c>
      <c r="AM80">
        <f t="shared" si="4"/>
        <v>1</v>
      </c>
      <c r="AN80">
        <f t="shared" si="15"/>
        <v>0</v>
      </c>
      <c r="AO80" s="17">
        <f t="shared" si="8"/>
        <v>0</v>
      </c>
      <c r="AP80" s="17">
        <f t="shared" si="9"/>
        <v>0</v>
      </c>
      <c r="AQ80" s="17">
        <f t="shared" si="16"/>
        <v>0</v>
      </c>
      <c r="AR80" s="11">
        <f t="shared" si="17"/>
        <v>0</v>
      </c>
      <c r="AT80" s="5"/>
      <c r="AU80">
        <f t="shared" si="10"/>
        <v>1</v>
      </c>
      <c r="AV80">
        <f t="shared" si="11"/>
        <v>0</v>
      </c>
      <c r="AW80">
        <f t="shared" si="18"/>
        <v>1</v>
      </c>
      <c r="AX80">
        <f t="shared" si="5"/>
        <v>1</v>
      </c>
      <c r="AY80">
        <f t="shared" si="19"/>
        <v>1</v>
      </c>
      <c r="AZ80" s="17">
        <f t="shared" si="12"/>
        <v>1.8023435338603601E-3</v>
      </c>
      <c r="BA80" s="17">
        <f t="shared" si="13"/>
        <v>-4.4864301934854503E-3</v>
      </c>
      <c r="BB80" s="17">
        <f t="shared" si="20"/>
        <v>-2.6840866596250903E-3</v>
      </c>
      <c r="BC80" s="11">
        <f t="shared" si="21"/>
        <v>-1.2097232542496204E-2</v>
      </c>
      <c r="BE80" s="11">
        <f t="shared" si="22"/>
        <v>-2.6840866596250903E-3</v>
      </c>
      <c r="BF80" s="11">
        <f t="shared" si="23"/>
        <v>-1.2097232542496204E-2</v>
      </c>
      <c r="BH80" s="11"/>
    </row>
    <row r="81" spans="1:60" x14ac:dyDescent="0.25">
      <c r="A81" s="1">
        <v>46140</v>
      </c>
      <c r="B81" s="21">
        <v>131.16</v>
      </c>
      <c r="C81" s="21">
        <v>167.81</v>
      </c>
      <c r="D81" s="22">
        <v>-1.4231882908224599E-2</v>
      </c>
      <c r="E81" s="22">
        <v>-7.1846641032658901E-3</v>
      </c>
      <c r="F81" s="21">
        <v>0</v>
      </c>
      <c r="G81" s="21">
        <v>0</v>
      </c>
      <c r="H81" s="21">
        <v>0</v>
      </c>
      <c r="I81" s="21">
        <v>0.121818</v>
      </c>
      <c r="J81" s="21">
        <v>0</v>
      </c>
      <c r="K81" s="21">
        <v>0</v>
      </c>
      <c r="L81" s="21">
        <v>131.16</v>
      </c>
      <c r="M81" s="21">
        <v>167.81</v>
      </c>
      <c r="N81" s="23">
        <v>1.2794297041781</v>
      </c>
      <c r="O81" s="23">
        <v>1.3022492118915701</v>
      </c>
      <c r="P81" s="23">
        <v>1.2769350874596499</v>
      </c>
      <c r="Q81" s="23">
        <v>1.2938326586603399</v>
      </c>
      <c r="R81" s="21">
        <v>170.803006631698</v>
      </c>
      <c r="S81" s="21">
        <v>167.69597494830799</v>
      </c>
      <c r="T81" s="21">
        <v>170.24509496165001</v>
      </c>
      <c r="U81" s="22">
        <v>1.7678497416551E-2</v>
      </c>
      <c r="V81" s="22">
        <v>-6.7971997279194602E-4</v>
      </c>
      <c r="W81" s="22">
        <v>1.44067468035694E-2</v>
      </c>
      <c r="X81" s="23">
        <v>1.2794297041781</v>
      </c>
      <c r="Y81" s="23">
        <v>1.3022759807794699</v>
      </c>
      <c r="Z81" s="23">
        <v>1.2769350874596499</v>
      </c>
      <c r="AA81" s="23">
        <v>1.2938326586603399</v>
      </c>
      <c r="AB81" s="21">
        <v>170.80651763903501</v>
      </c>
      <c r="AC81" s="21">
        <v>167.69597494830799</v>
      </c>
      <c r="AD81" s="21">
        <v>170.24509496165001</v>
      </c>
      <c r="AE81" s="22">
        <v>1.7699053092477102E-2</v>
      </c>
      <c r="AF81" s="22">
        <v>-6.7971997279216905E-4</v>
      </c>
      <c r="AG81" s="22">
        <v>1.44067468035694E-2</v>
      </c>
      <c r="AI81" s="5"/>
      <c r="AJ81">
        <f t="shared" si="6"/>
        <v>0</v>
      </c>
      <c r="AK81">
        <f t="shared" si="7"/>
        <v>1</v>
      </c>
      <c r="AL81">
        <f t="shared" si="14"/>
        <v>0</v>
      </c>
      <c r="AM81">
        <f t="shared" si="4"/>
        <v>1</v>
      </c>
      <c r="AN81">
        <f t="shared" si="15"/>
        <v>0</v>
      </c>
      <c r="AO81" s="17">
        <f t="shared" si="8"/>
        <v>0</v>
      </c>
      <c r="AP81" s="17">
        <f t="shared" si="9"/>
        <v>0</v>
      </c>
      <c r="AQ81" s="17">
        <f t="shared" si="16"/>
        <v>0</v>
      </c>
      <c r="AR81" s="11">
        <f t="shared" si="17"/>
        <v>0</v>
      </c>
      <c r="AT81" s="5"/>
      <c r="AU81">
        <f t="shared" si="10"/>
        <v>0</v>
      </c>
      <c r="AV81">
        <f t="shared" si="11"/>
        <v>0</v>
      </c>
      <c r="AW81">
        <f t="shared" si="18"/>
        <v>1</v>
      </c>
      <c r="AX81">
        <f t="shared" si="5"/>
        <v>1</v>
      </c>
      <c r="AY81">
        <f t="shared" si="19"/>
        <v>1</v>
      </c>
      <c r="AZ81" s="17">
        <f t="shared" si="12"/>
        <v>1.4231882908224599E-2</v>
      </c>
      <c r="BA81" s="17">
        <f t="shared" si="13"/>
        <v>-7.1846641032658901E-3</v>
      </c>
      <c r="BB81" s="17">
        <f t="shared" si="20"/>
        <v>7.0472188049587091E-3</v>
      </c>
      <c r="BC81" s="11">
        <f t="shared" si="21"/>
        <v>-5.0500137375374945E-3</v>
      </c>
      <c r="BE81" s="11">
        <f t="shared" si="22"/>
        <v>7.0472188049587091E-3</v>
      </c>
      <c r="BF81" s="11">
        <f t="shared" si="23"/>
        <v>-5.0500137375374945E-3</v>
      </c>
      <c r="BH81" s="11"/>
    </row>
    <row r="82" spans="1:60" x14ac:dyDescent="0.25">
      <c r="A82" s="1">
        <v>46141</v>
      </c>
      <c r="B82" s="21">
        <v>128.9</v>
      </c>
      <c r="C82" s="21">
        <v>165.38</v>
      </c>
      <c r="D82" s="22">
        <v>-1.73810420313057E-2</v>
      </c>
      <c r="E82" s="22">
        <v>-1.45865307190497E-2</v>
      </c>
      <c r="F82" s="21">
        <v>0</v>
      </c>
      <c r="G82" s="21">
        <v>0</v>
      </c>
      <c r="H82" s="21">
        <v>0</v>
      </c>
      <c r="I82" s="21">
        <v>0.121818</v>
      </c>
      <c r="J82" s="21">
        <v>0</v>
      </c>
      <c r="K82" s="21">
        <v>0</v>
      </c>
      <c r="L82" s="21">
        <v>128.9</v>
      </c>
      <c r="M82" s="21">
        <v>165.38</v>
      </c>
      <c r="N82" s="23">
        <v>1.28301008533747</v>
      </c>
      <c r="O82" s="23">
        <v>1.3022492118915701</v>
      </c>
      <c r="P82" s="23">
        <v>1.27625844850348</v>
      </c>
      <c r="Q82" s="23">
        <v>1.2918867094707001</v>
      </c>
      <c r="R82" s="21">
        <v>167.85992341282301</v>
      </c>
      <c r="S82" s="21">
        <v>164.59693277354901</v>
      </c>
      <c r="T82" s="21">
        <v>166.775029701318</v>
      </c>
      <c r="U82" s="22">
        <v>1.4883986104295E-2</v>
      </c>
      <c r="V82" s="22">
        <v>-4.7462026502530699E-3</v>
      </c>
      <c r="W82" s="22">
        <v>8.3999203936927398E-3</v>
      </c>
      <c r="X82" s="23">
        <v>1.28301008533747</v>
      </c>
      <c r="Y82" s="23">
        <v>1.3022759807794699</v>
      </c>
      <c r="Z82" s="23">
        <v>1.27625844850348</v>
      </c>
      <c r="AA82" s="23">
        <v>1.2918867094707001</v>
      </c>
      <c r="AB82" s="21">
        <v>167.86337392247401</v>
      </c>
      <c r="AC82" s="21">
        <v>164.59693277354901</v>
      </c>
      <c r="AD82" s="21">
        <v>166.775029701318</v>
      </c>
      <c r="AE82" s="22">
        <v>1.49045417802212E-2</v>
      </c>
      <c r="AF82" s="22">
        <v>-4.7462026502530699E-3</v>
      </c>
      <c r="AG82" s="22">
        <v>8.3999203936927398E-3</v>
      </c>
      <c r="AI82" s="5"/>
      <c r="AJ82">
        <f t="shared" si="6"/>
        <v>0</v>
      </c>
      <c r="AK82">
        <f t="shared" si="7"/>
        <v>1</v>
      </c>
      <c r="AL82">
        <f t="shared" si="14"/>
        <v>0</v>
      </c>
      <c r="AM82">
        <f t="shared" si="4"/>
        <v>1</v>
      </c>
      <c r="AN82">
        <f t="shared" si="15"/>
        <v>0</v>
      </c>
      <c r="AO82" s="17">
        <f t="shared" si="8"/>
        <v>0</v>
      </c>
      <c r="AP82" s="17">
        <f t="shared" si="9"/>
        <v>0</v>
      </c>
      <c r="AQ82" s="17">
        <f t="shared" si="16"/>
        <v>0</v>
      </c>
      <c r="AR82" s="11">
        <f t="shared" si="17"/>
        <v>0</v>
      </c>
      <c r="AT82" s="5"/>
      <c r="AU82">
        <f t="shared" si="10"/>
        <v>0</v>
      </c>
      <c r="AV82">
        <f t="shared" si="11"/>
        <v>0</v>
      </c>
      <c r="AW82">
        <f t="shared" si="18"/>
        <v>1</v>
      </c>
      <c r="AX82">
        <f t="shared" si="5"/>
        <v>1</v>
      </c>
      <c r="AY82">
        <f t="shared" si="19"/>
        <v>1</v>
      </c>
      <c r="AZ82" s="17">
        <f t="shared" si="12"/>
        <v>1.73810420313057E-2</v>
      </c>
      <c r="BA82" s="17">
        <f t="shared" si="13"/>
        <v>-1.45865307190497E-2</v>
      </c>
      <c r="BB82" s="17">
        <f t="shared" si="20"/>
        <v>2.7945113122560001E-3</v>
      </c>
      <c r="BC82" s="11">
        <f t="shared" si="21"/>
        <v>-2.2555024252814944E-3</v>
      </c>
      <c r="BE82" s="11">
        <f t="shared" si="22"/>
        <v>2.7945113122560001E-3</v>
      </c>
      <c r="BF82" s="11">
        <f t="shared" si="23"/>
        <v>-2.2555024252814944E-3</v>
      </c>
      <c r="BH82" s="11"/>
    </row>
    <row r="83" spans="1:60" x14ac:dyDescent="0.25">
      <c r="A83" s="1">
        <v>46142</v>
      </c>
      <c r="B83" s="21">
        <v>131.33000000000001</v>
      </c>
      <c r="C83" s="21">
        <v>168.69</v>
      </c>
      <c r="D83" s="22">
        <v>1.8676329651926799E-2</v>
      </c>
      <c r="E83" s="22">
        <v>1.9816854678199498E-2</v>
      </c>
      <c r="F83" s="21">
        <v>0</v>
      </c>
      <c r="G83" s="21">
        <v>0</v>
      </c>
      <c r="H83" s="21">
        <v>0</v>
      </c>
      <c r="I83" s="21">
        <v>0.121818</v>
      </c>
      <c r="J83" s="21">
        <v>0</v>
      </c>
      <c r="K83" s="21">
        <v>0</v>
      </c>
      <c r="L83" s="21">
        <v>131.33000000000001</v>
      </c>
      <c r="M83" s="21">
        <v>168.69</v>
      </c>
      <c r="N83" s="23">
        <v>1.2844742252341399</v>
      </c>
      <c r="O83" s="23">
        <v>1.3022492118915701</v>
      </c>
      <c r="P83" s="23">
        <v>1.2761660806828801</v>
      </c>
      <c r="Q83" s="23">
        <v>1.2899377252831701</v>
      </c>
      <c r="R83" s="21">
        <v>171.02438899772</v>
      </c>
      <c r="S83" s="21">
        <v>167.611022041962</v>
      </c>
      <c r="T83" s="21">
        <v>169.66348155478801</v>
      </c>
      <c r="U83" s="22">
        <v>1.37434610780227E-2</v>
      </c>
      <c r="V83" s="22">
        <v>-6.41676111307169E-3</v>
      </c>
      <c r="W83" s="22">
        <v>5.7542439724187896E-3</v>
      </c>
      <c r="X83" s="23">
        <v>1.2844742252341399</v>
      </c>
      <c r="Y83" s="23">
        <v>1.3022759807794699</v>
      </c>
      <c r="Z83" s="23">
        <v>1.2761660806828801</v>
      </c>
      <c r="AA83" s="23">
        <v>1.2899377252831701</v>
      </c>
      <c r="AB83" s="21">
        <v>171.027904555768</v>
      </c>
      <c r="AC83" s="21">
        <v>167.611022041962</v>
      </c>
      <c r="AD83" s="21">
        <v>169.66348155478801</v>
      </c>
      <c r="AE83" s="22">
        <v>1.3764016753948701E-2</v>
      </c>
      <c r="AF83" s="22">
        <v>-6.41676111307169E-3</v>
      </c>
      <c r="AG83" s="22">
        <v>5.7542439724187896E-3</v>
      </c>
      <c r="AI83" s="5"/>
      <c r="AJ83">
        <f t="shared" si="6"/>
        <v>0</v>
      </c>
      <c r="AK83">
        <f t="shared" si="7"/>
        <v>1</v>
      </c>
      <c r="AL83">
        <f t="shared" si="14"/>
        <v>0</v>
      </c>
      <c r="AM83">
        <f t="shared" si="4"/>
        <v>1</v>
      </c>
      <c r="AN83">
        <f t="shared" si="15"/>
        <v>0</v>
      </c>
      <c r="AO83" s="17">
        <f t="shared" si="8"/>
        <v>0</v>
      </c>
      <c r="AP83" s="17">
        <f t="shared" si="9"/>
        <v>0</v>
      </c>
      <c r="AQ83" s="17">
        <f t="shared" si="16"/>
        <v>0</v>
      </c>
      <c r="AR83" s="11">
        <f t="shared" si="17"/>
        <v>0</v>
      </c>
      <c r="AT83" s="5"/>
      <c r="AU83">
        <f t="shared" si="10"/>
        <v>0</v>
      </c>
      <c r="AV83">
        <f t="shared" si="11"/>
        <v>0</v>
      </c>
      <c r="AW83">
        <f t="shared" si="18"/>
        <v>1</v>
      </c>
      <c r="AX83">
        <f t="shared" si="5"/>
        <v>1</v>
      </c>
      <c r="AY83">
        <f t="shared" si="19"/>
        <v>1</v>
      </c>
      <c r="AZ83" s="17">
        <f t="shared" si="12"/>
        <v>-1.8676329651926799E-2</v>
      </c>
      <c r="BA83" s="17">
        <f t="shared" si="13"/>
        <v>1.9816854678199498E-2</v>
      </c>
      <c r="BB83" s="17">
        <f t="shared" si="20"/>
        <v>1.1405250262726992E-3</v>
      </c>
      <c r="BC83" s="11">
        <f t="shared" si="21"/>
        <v>-1.1149773990087953E-3</v>
      </c>
      <c r="BE83" s="11">
        <f t="shared" si="22"/>
        <v>1.1405250262726992E-3</v>
      </c>
      <c r="BF83" s="11">
        <f t="shared" si="23"/>
        <v>-1.1149773990087953E-3</v>
      </c>
      <c r="BH83" s="11"/>
    </row>
    <row r="84" spans="1:60" x14ac:dyDescent="0.25">
      <c r="A84" s="1">
        <v>46143</v>
      </c>
      <c r="B84" s="21">
        <v>130.41999999999999</v>
      </c>
      <c r="C84" s="21">
        <v>167.27</v>
      </c>
      <c r="D84" s="22">
        <v>-6.9532276320124903E-3</v>
      </c>
      <c r="E84" s="22">
        <v>-8.4534376483025604E-3</v>
      </c>
      <c r="F84" s="21">
        <v>0</v>
      </c>
      <c r="G84" s="21">
        <v>0</v>
      </c>
      <c r="H84" s="21">
        <v>0</v>
      </c>
      <c r="I84" s="21">
        <v>0.121818</v>
      </c>
      <c r="J84" s="21">
        <v>0</v>
      </c>
      <c r="K84" s="21">
        <v>0</v>
      </c>
      <c r="L84" s="21">
        <v>130.41999999999999</v>
      </c>
      <c r="M84" s="21">
        <v>167.27</v>
      </c>
      <c r="N84" s="23">
        <v>1.2825486888513999</v>
      </c>
      <c r="O84" s="23">
        <v>1.3022492118915701</v>
      </c>
      <c r="P84" s="23">
        <v>1.2770249735097501</v>
      </c>
      <c r="Q84" s="23">
        <v>1.2883742478150699</v>
      </c>
      <c r="R84" s="21">
        <v>169.83934221489901</v>
      </c>
      <c r="S84" s="21">
        <v>166.437580242661</v>
      </c>
      <c r="T84" s="21">
        <v>168.23367813143099</v>
      </c>
      <c r="U84" s="22">
        <v>1.52436710943127E-2</v>
      </c>
      <c r="V84" s="22">
        <v>-4.9889276310008199E-3</v>
      </c>
      <c r="W84" s="22">
        <v>5.7446808751608703E-3</v>
      </c>
      <c r="X84" s="23">
        <v>1.2825486888513999</v>
      </c>
      <c r="Y84" s="23">
        <v>1.3022759807794699</v>
      </c>
      <c r="Z84" s="23">
        <v>1.2770249735097501</v>
      </c>
      <c r="AA84" s="23">
        <v>1.2883742478150699</v>
      </c>
      <c r="AB84" s="21">
        <v>169.842833413259</v>
      </c>
      <c r="AC84" s="21">
        <v>166.437580242661</v>
      </c>
      <c r="AD84" s="21">
        <v>168.23367813143099</v>
      </c>
      <c r="AE84" s="22">
        <v>1.52642267702387E-2</v>
      </c>
      <c r="AF84" s="22">
        <v>-4.9889276310005996E-3</v>
      </c>
      <c r="AG84" s="22">
        <v>5.7446808751608703E-3</v>
      </c>
      <c r="AI84" s="5"/>
      <c r="AJ84">
        <f t="shared" si="6"/>
        <v>0</v>
      </c>
      <c r="AK84">
        <f t="shared" si="7"/>
        <v>1</v>
      </c>
      <c r="AL84">
        <f t="shared" si="14"/>
        <v>0</v>
      </c>
      <c r="AM84">
        <f t="shared" si="4"/>
        <v>1</v>
      </c>
      <c r="AN84">
        <f t="shared" si="15"/>
        <v>0</v>
      </c>
      <c r="AO84" s="17">
        <f t="shared" si="8"/>
        <v>0</v>
      </c>
      <c r="AP84" s="17">
        <f t="shared" si="9"/>
        <v>0</v>
      </c>
      <c r="AQ84" s="17">
        <f t="shared" si="16"/>
        <v>0</v>
      </c>
      <c r="AR84" s="11">
        <f t="shared" si="17"/>
        <v>0</v>
      </c>
      <c r="AT84" s="5"/>
      <c r="AU84">
        <f t="shared" si="10"/>
        <v>0</v>
      </c>
      <c r="AV84">
        <f t="shared" si="11"/>
        <v>0</v>
      </c>
      <c r="AW84">
        <f t="shared" si="18"/>
        <v>1</v>
      </c>
      <c r="AX84">
        <f t="shared" si="5"/>
        <v>1</v>
      </c>
      <c r="AY84">
        <f t="shared" si="19"/>
        <v>1</v>
      </c>
      <c r="AZ84" s="17">
        <f t="shared" si="12"/>
        <v>6.9532276320124903E-3</v>
      </c>
      <c r="BA84" s="17">
        <f t="shared" si="13"/>
        <v>-8.4534376483025604E-3</v>
      </c>
      <c r="BB84" s="17">
        <f t="shared" si="20"/>
        <v>-1.5002100162900701E-3</v>
      </c>
      <c r="BC84" s="11">
        <f t="shared" si="21"/>
        <v>-2.6151874152988653E-3</v>
      </c>
      <c r="BE84" s="11">
        <f t="shared" si="22"/>
        <v>-1.5002100162900701E-3</v>
      </c>
      <c r="BF84" s="11">
        <f t="shared" si="23"/>
        <v>-2.6151874152988653E-3</v>
      </c>
      <c r="BH84" s="11"/>
    </row>
    <row r="85" spans="1:60" x14ac:dyDescent="0.25">
      <c r="A85" s="1">
        <v>46146</v>
      </c>
      <c r="B85" s="21">
        <v>133.5</v>
      </c>
      <c r="C85" s="21">
        <v>170.16</v>
      </c>
      <c r="D85" s="22">
        <v>2.3341465875248098E-2</v>
      </c>
      <c r="E85" s="22">
        <v>1.7129897568064201E-2</v>
      </c>
      <c r="F85" s="21">
        <v>0</v>
      </c>
      <c r="G85" s="21">
        <v>0</v>
      </c>
      <c r="H85" s="21">
        <v>0</v>
      </c>
      <c r="I85" s="21">
        <v>0.121818</v>
      </c>
      <c r="J85" s="21">
        <v>0</v>
      </c>
      <c r="K85" s="21">
        <v>0</v>
      </c>
      <c r="L85" s="21">
        <v>133.5</v>
      </c>
      <c r="M85" s="21">
        <v>170.16</v>
      </c>
      <c r="N85" s="23">
        <v>1.27460674157303</v>
      </c>
      <c r="O85" s="23">
        <v>1.3022492118915701</v>
      </c>
      <c r="P85" s="23">
        <v>1.2769292212210099</v>
      </c>
      <c r="Q85" s="23">
        <v>1.28656498862043</v>
      </c>
      <c r="R85" s="21">
        <v>173.85026978752501</v>
      </c>
      <c r="S85" s="21">
        <v>170.482833963552</v>
      </c>
      <c r="T85" s="21">
        <v>171.99796208331199</v>
      </c>
      <c r="U85" s="22">
        <v>2.1455239401496601E-2</v>
      </c>
      <c r="V85" s="22">
        <v>1.89544019728491E-3</v>
      </c>
      <c r="W85" s="22">
        <v>1.07434574984433E-2</v>
      </c>
      <c r="X85" s="23">
        <v>1.27460674157303</v>
      </c>
      <c r="Y85" s="23">
        <v>1.3022759807794699</v>
      </c>
      <c r="Z85" s="23">
        <v>1.2769292212210099</v>
      </c>
      <c r="AA85" s="23">
        <v>1.28656498862043</v>
      </c>
      <c r="AB85" s="21">
        <v>173.853843434059</v>
      </c>
      <c r="AC85" s="21">
        <v>170.482833963552</v>
      </c>
      <c r="AD85" s="21">
        <v>171.99796208331199</v>
      </c>
      <c r="AE85" s="22">
        <v>2.1475795077422501E-2</v>
      </c>
      <c r="AF85" s="22">
        <v>1.89544019728491E-3</v>
      </c>
      <c r="AG85" s="22">
        <v>1.07434574984433E-2</v>
      </c>
      <c r="AI85" s="5"/>
      <c r="AJ85">
        <f t="shared" si="6"/>
        <v>0</v>
      </c>
      <c r="AK85">
        <f t="shared" si="7"/>
        <v>1</v>
      </c>
      <c r="AL85">
        <f t="shared" si="14"/>
        <v>0</v>
      </c>
      <c r="AM85">
        <f t="shared" ref="AM85:AM148" si="24">IF(F86+H86&gt;0,0,1)</f>
        <v>1</v>
      </c>
      <c r="AN85">
        <f t="shared" si="15"/>
        <v>0</v>
      </c>
      <c r="AO85" s="17">
        <f t="shared" si="8"/>
        <v>0</v>
      </c>
      <c r="AP85" s="17">
        <f t="shared" si="9"/>
        <v>0</v>
      </c>
      <c r="AQ85" s="17">
        <f t="shared" si="16"/>
        <v>0</v>
      </c>
      <c r="AR85" s="11">
        <f t="shared" si="17"/>
        <v>0</v>
      </c>
      <c r="AT85" s="5"/>
      <c r="AU85">
        <f t="shared" si="10"/>
        <v>0</v>
      </c>
      <c r="AV85">
        <f t="shared" si="11"/>
        <v>0</v>
      </c>
      <c r="AW85">
        <f t="shared" si="18"/>
        <v>1</v>
      </c>
      <c r="AX85">
        <f t="shared" ref="AX85:AX148" si="25">IF(F86+H86&gt;0,0,1)</f>
        <v>1</v>
      </c>
      <c r="AY85">
        <f t="shared" si="19"/>
        <v>1</v>
      </c>
      <c r="AZ85" s="17">
        <f t="shared" si="12"/>
        <v>-2.3341465875248098E-2</v>
      </c>
      <c r="BA85" s="17">
        <f t="shared" si="13"/>
        <v>1.7129897568064201E-2</v>
      </c>
      <c r="BB85" s="17">
        <f t="shared" si="20"/>
        <v>-6.211568307183897E-3</v>
      </c>
      <c r="BC85" s="11">
        <f t="shared" si="21"/>
        <v>-8.8267557224827632E-3</v>
      </c>
      <c r="BE85" s="11">
        <f t="shared" si="22"/>
        <v>-6.211568307183897E-3</v>
      </c>
      <c r="BF85" s="11">
        <f t="shared" si="23"/>
        <v>-8.8267557224827632E-3</v>
      </c>
      <c r="BH85" s="11"/>
    </row>
    <row r="86" spans="1:60" x14ac:dyDescent="0.25">
      <c r="A86" s="1">
        <v>46147</v>
      </c>
      <c r="B86" s="21">
        <v>133.79</v>
      </c>
      <c r="C86" s="21">
        <v>170.34</v>
      </c>
      <c r="D86" s="22">
        <v>2.1699286452236798E-3</v>
      </c>
      <c r="E86" s="22">
        <v>1.05726882095312E-3</v>
      </c>
      <c r="F86" s="21">
        <v>0</v>
      </c>
      <c r="G86" s="21">
        <v>0</v>
      </c>
      <c r="H86" s="21">
        <v>0</v>
      </c>
      <c r="I86" s="21">
        <v>0.121818</v>
      </c>
      <c r="J86" s="21">
        <v>0</v>
      </c>
      <c r="K86" s="21">
        <v>0</v>
      </c>
      <c r="L86" s="21">
        <v>133.79</v>
      </c>
      <c r="M86" s="21">
        <v>170.34</v>
      </c>
      <c r="N86" s="23">
        <v>1.2731893265565399</v>
      </c>
      <c r="O86" s="23">
        <v>1.3022492118915701</v>
      </c>
      <c r="P86" s="23">
        <v>1.2766801503573499</v>
      </c>
      <c r="Q86" s="23">
        <v>1.28483834707088</v>
      </c>
      <c r="R86" s="21">
        <v>174.22792205897301</v>
      </c>
      <c r="S86" s="21">
        <v>170.84036050715901</v>
      </c>
      <c r="T86" s="21">
        <v>172.12952982752699</v>
      </c>
      <c r="U86" s="22">
        <v>2.2567899225767098E-2</v>
      </c>
      <c r="V86" s="22">
        <v>2.9331164615682601E-3</v>
      </c>
      <c r="W86" s="22">
        <v>1.0450834070367E-2</v>
      </c>
      <c r="X86" s="23">
        <v>1.2731893265565399</v>
      </c>
      <c r="Y86" s="23">
        <v>1.3022759807794699</v>
      </c>
      <c r="Z86" s="23">
        <v>1.2766801503573499</v>
      </c>
      <c r="AA86" s="23">
        <v>1.28483834707088</v>
      </c>
      <c r="AB86" s="21">
        <v>174.23150346848499</v>
      </c>
      <c r="AC86" s="21">
        <v>170.84036050715901</v>
      </c>
      <c r="AD86" s="21">
        <v>172.12952982752699</v>
      </c>
      <c r="AE86" s="22">
        <v>2.25884549016932E-2</v>
      </c>
      <c r="AF86" s="22">
        <v>2.93311646156848E-3</v>
      </c>
      <c r="AG86" s="22">
        <v>1.0450834070367E-2</v>
      </c>
      <c r="AI86" s="5"/>
      <c r="AJ86">
        <f t="shared" ref="AJ86:AJ149" si="26">IF($AG86&lt;AI$21,1,0)</f>
        <v>0</v>
      </c>
      <c r="AK86">
        <f t="shared" ref="AK86:AK149" si="27">IF($AG86&gt;AI$22,1,0)</f>
        <v>1</v>
      </c>
      <c r="AL86">
        <f t="shared" si="14"/>
        <v>0</v>
      </c>
      <c r="AM86">
        <f t="shared" si="24"/>
        <v>1</v>
      </c>
      <c r="AN86">
        <f t="shared" si="15"/>
        <v>0</v>
      </c>
      <c r="AO86" s="17">
        <f t="shared" ref="AO86:AO149" si="28">AN86*D86</f>
        <v>0</v>
      </c>
      <c r="AP86" s="17">
        <f t="shared" ref="AP86:AP149" si="29">-AN86*$E86</f>
        <v>0</v>
      </c>
      <c r="AQ86" s="17">
        <f t="shared" si="16"/>
        <v>0</v>
      </c>
      <c r="AR86" s="11">
        <f t="shared" si="17"/>
        <v>0</v>
      </c>
      <c r="AT86" s="5"/>
      <c r="AU86">
        <f t="shared" ref="AU86:AU149" si="30">IF($AG86&gt;AT$21,1,0)</f>
        <v>0</v>
      </c>
      <c r="AV86">
        <f t="shared" ref="AV86:AV149" si="31">IF($AG86&lt;AT$22,1,0)</f>
        <v>0</v>
      </c>
      <c r="AW86">
        <f t="shared" si="18"/>
        <v>1</v>
      </c>
      <c r="AX86">
        <f t="shared" si="25"/>
        <v>1</v>
      </c>
      <c r="AY86">
        <f t="shared" si="19"/>
        <v>1</v>
      </c>
      <c r="AZ86" s="17">
        <f t="shared" ref="AZ86:AZ149" si="32">-AY86*D86</f>
        <v>-2.1699286452236798E-3</v>
      </c>
      <c r="BA86" s="17">
        <f t="shared" ref="BA86:BA149" si="33">AY86*$E86</f>
        <v>1.05726882095312E-3</v>
      </c>
      <c r="BB86" s="17">
        <f t="shared" si="20"/>
        <v>-1.1126598242705598E-3</v>
      </c>
      <c r="BC86" s="11">
        <f t="shared" si="21"/>
        <v>-9.9394155467533232E-3</v>
      </c>
      <c r="BE86" s="11">
        <f t="shared" si="22"/>
        <v>-1.1126598242705598E-3</v>
      </c>
      <c r="BF86" s="11">
        <f t="shared" si="23"/>
        <v>-9.9394155467533232E-3</v>
      </c>
      <c r="BH86" s="11"/>
    </row>
    <row r="87" spans="1:60" x14ac:dyDescent="0.25">
      <c r="A87" s="1">
        <v>46148</v>
      </c>
      <c r="B87" s="21">
        <v>137.68</v>
      </c>
      <c r="C87" s="21">
        <v>173.87</v>
      </c>
      <c r="D87" s="22">
        <v>2.8660745417756199E-2</v>
      </c>
      <c r="E87" s="22">
        <v>2.0511453826763601E-2</v>
      </c>
      <c r="F87" s="21">
        <v>0</v>
      </c>
      <c r="G87" s="21">
        <v>0</v>
      </c>
      <c r="H87" s="21">
        <v>0</v>
      </c>
      <c r="I87" s="21">
        <v>0.121818</v>
      </c>
      <c r="J87" s="21">
        <v>0</v>
      </c>
      <c r="K87" s="21">
        <v>0</v>
      </c>
      <c r="L87" s="21">
        <v>137.68</v>
      </c>
      <c r="M87" s="21">
        <v>173.87</v>
      </c>
      <c r="N87" s="23">
        <v>1.26285589773387</v>
      </c>
      <c r="O87" s="23">
        <v>1.3022492118915701</v>
      </c>
      <c r="P87" s="23">
        <v>1.27598300034485</v>
      </c>
      <c r="Q87" s="23">
        <v>1.28220999767897</v>
      </c>
      <c r="R87" s="21">
        <v>179.29367149323099</v>
      </c>
      <c r="S87" s="21">
        <v>175.77332310119999</v>
      </c>
      <c r="T87" s="21">
        <v>176.89654362471899</v>
      </c>
      <c r="U87" s="22">
        <v>3.07171908167597E-2</v>
      </c>
      <c r="V87" s="22">
        <v>1.08873344698687E-2</v>
      </c>
      <c r="W87" s="22">
        <v>1.7257168852454E-2</v>
      </c>
      <c r="X87" s="23">
        <v>1.26285589773387</v>
      </c>
      <c r="Y87" s="23">
        <v>1.3022759807794699</v>
      </c>
      <c r="Z87" s="23">
        <v>1.27598300034485</v>
      </c>
      <c r="AA87" s="23">
        <v>1.28220999767897</v>
      </c>
      <c r="AB87" s="21">
        <v>179.29735703371799</v>
      </c>
      <c r="AC87" s="21">
        <v>175.77332310119999</v>
      </c>
      <c r="AD87" s="21">
        <v>176.89654362471899</v>
      </c>
      <c r="AE87" s="22">
        <v>3.07377464926856E-2</v>
      </c>
      <c r="AF87" s="22">
        <v>1.08873344698687E-2</v>
      </c>
      <c r="AG87" s="22">
        <v>1.7257168852454E-2</v>
      </c>
      <c r="AI87" s="5"/>
      <c r="AJ87">
        <f t="shared" si="26"/>
        <v>0</v>
      </c>
      <c r="AK87">
        <f t="shared" si="27"/>
        <v>1</v>
      </c>
      <c r="AL87">
        <f t="shared" ref="AL87:AL150" si="34">AN87</f>
        <v>0</v>
      </c>
      <c r="AM87">
        <f t="shared" si="24"/>
        <v>1</v>
      </c>
      <c r="AN87">
        <f t="shared" ref="AN87:AN150" si="35">IF(AJ86,1,IF(AK86,0,AL86))*AM86</f>
        <v>0</v>
      </c>
      <c r="AO87" s="17">
        <f t="shared" si="28"/>
        <v>0</v>
      </c>
      <c r="AP87" s="17">
        <f t="shared" si="29"/>
        <v>0</v>
      </c>
      <c r="AQ87" s="17">
        <f t="shared" ref="AQ87:AQ150" si="36">AO87+AP87</f>
        <v>0</v>
      </c>
      <c r="AR87" s="11">
        <f t="shared" ref="AR87:AR150" si="37">AR86+AQ87</f>
        <v>0</v>
      </c>
      <c r="AT87" s="5"/>
      <c r="AU87">
        <f t="shared" si="30"/>
        <v>1</v>
      </c>
      <c r="AV87">
        <f t="shared" si="31"/>
        <v>0</v>
      </c>
      <c r="AW87">
        <f t="shared" ref="AW87:AW150" si="38">AY87</f>
        <v>1</v>
      </c>
      <c r="AX87">
        <f t="shared" si="25"/>
        <v>1</v>
      </c>
      <c r="AY87">
        <f t="shared" ref="AY87:AY150" si="39">IF(AU86,1,IF(AV86,0,AW86))*AX86</f>
        <v>1</v>
      </c>
      <c r="AZ87" s="17">
        <f t="shared" si="32"/>
        <v>-2.8660745417756199E-2</v>
      </c>
      <c r="BA87" s="17">
        <f t="shared" si="33"/>
        <v>2.0511453826763601E-2</v>
      </c>
      <c r="BB87" s="17">
        <f t="shared" ref="BB87:BB150" si="40">AZ87+BA87</f>
        <v>-8.1492915909925981E-3</v>
      </c>
      <c r="BC87" s="11">
        <f t="shared" ref="BC87:BC150" si="41">BC86+BB87</f>
        <v>-1.8088707137745921E-2</v>
      </c>
      <c r="BE87" s="11">
        <f t="shared" ref="BE87:BE150" si="42">AQ87+BB87</f>
        <v>-8.1492915909925981E-3</v>
      </c>
      <c r="BF87" s="11">
        <f t="shared" ref="BF87:BF150" si="43">BF86+BE87</f>
        <v>-1.8088707137745921E-2</v>
      </c>
      <c r="BH87" s="11"/>
    </row>
    <row r="88" spans="1:60" x14ac:dyDescent="0.25">
      <c r="A88" s="1">
        <v>46149</v>
      </c>
      <c r="B88" s="21">
        <v>133.66</v>
      </c>
      <c r="C88" s="21">
        <v>170.1</v>
      </c>
      <c r="D88" s="22">
        <v>-2.9632889820360001E-2</v>
      </c>
      <c r="E88" s="22">
        <v>-2.19213941378823E-2</v>
      </c>
      <c r="F88" s="21">
        <v>0</v>
      </c>
      <c r="G88" s="21">
        <v>0</v>
      </c>
      <c r="H88" s="21">
        <v>0</v>
      </c>
      <c r="I88" s="21">
        <v>0.121818</v>
      </c>
      <c r="J88" s="21">
        <v>0</v>
      </c>
      <c r="K88" s="21">
        <v>0</v>
      </c>
      <c r="L88" s="21">
        <v>133.66</v>
      </c>
      <c r="M88" s="21">
        <v>170.1</v>
      </c>
      <c r="N88" s="23">
        <v>1.27263205147388</v>
      </c>
      <c r="O88" s="23">
        <v>1.3022492118915701</v>
      </c>
      <c r="P88" s="23">
        <v>1.2757051243709601</v>
      </c>
      <c r="Q88" s="23">
        <v>1.2805404319929099</v>
      </c>
      <c r="R88" s="21">
        <v>174.05862966142701</v>
      </c>
      <c r="S88" s="21">
        <v>170.54788782609299</v>
      </c>
      <c r="T88" s="21">
        <v>171.38018828977101</v>
      </c>
      <c r="U88" s="22">
        <v>2.3005695134281901E-2</v>
      </c>
      <c r="V88" s="22">
        <v>2.6296249012074898E-3</v>
      </c>
      <c r="W88" s="22">
        <v>7.49791250684097E-3</v>
      </c>
      <c r="X88" s="23">
        <v>1.27263205147388</v>
      </c>
      <c r="Y88" s="23">
        <v>1.3022759807794699</v>
      </c>
      <c r="Z88" s="23">
        <v>1.2757051243709601</v>
      </c>
      <c r="AA88" s="23">
        <v>1.2805404319929099</v>
      </c>
      <c r="AB88" s="21">
        <v>174.062207590984</v>
      </c>
      <c r="AC88" s="21">
        <v>170.54788782609299</v>
      </c>
      <c r="AD88" s="21">
        <v>171.38018828977101</v>
      </c>
      <c r="AE88" s="22">
        <v>2.3026250810207999E-2</v>
      </c>
      <c r="AF88" s="22">
        <v>2.6296249012074898E-3</v>
      </c>
      <c r="AG88" s="22">
        <v>7.49791250684097E-3</v>
      </c>
      <c r="AI88" s="5"/>
      <c r="AJ88">
        <f t="shared" si="26"/>
        <v>0</v>
      </c>
      <c r="AK88">
        <f t="shared" si="27"/>
        <v>1</v>
      </c>
      <c r="AL88">
        <f t="shared" si="34"/>
        <v>0</v>
      </c>
      <c r="AM88">
        <f t="shared" si="24"/>
        <v>1</v>
      </c>
      <c r="AN88">
        <f t="shared" si="35"/>
        <v>0</v>
      </c>
      <c r="AO88" s="17">
        <f t="shared" si="28"/>
        <v>0</v>
      </c>
      <c r="AP88" s="17">
        <f t="shared" si="29"/>
        <v>0</v>
      </c>
      <c r="AQ88" s="17">
        <f t="shared" si="36"/>
        <v>0</v>
      </c>
      <c r="AR88" s="11">
        <f t="shared" si="37"/>
        <v>0</v>
      </c>
      <c r="AT88" s="5"/>
      <c r="AU88">
        <f t="shared" si="30"/>
        <v>0</v>
      </c>
      <c r="AV88">
        <f t="shared" si="31"/>
        <v>0</v>
      </c>
      <c r="AW88">
        <f t="shared" si="38"/>
        <v>1</v>
      </c>
      <c r="AX88">
        <f t="shared" si="25"/>
        <v>1</v>
      </c>
      <c r="AY88">
        <f t="shared" si="39"/>
        <v>1</v>
      </c>
      <c r="AZ88" s="17">
        <f t="shared" si="32"/>
        <v>2.9632889820360001E-2</v>
      </c>
      <c r="BA88" s="17">
        <f t="shared" si="33"/>
        <v>-2.19213941378823E-2</v>
      </c>
      <c r="BB88" s="17">
        <f t="shared" si="40"/>
        <v>7.7114956824777016E-3</v>
      </c>
      <c r="BC88" s="11">
        <f t="shared" si="41"/>
        <v>-1.037721145526822E-2</v>
      </c>
      <c r="BE88" s="11">
        <f t="shared" si="42"/>
        <v>7.7114956824777016E-3</v>
      </c>
      <c r="BF88" s="11">
        <f t="shared" si="43"/>
        <v>-1.037721145526822E-2</v>
      </c>
      <c r="BH88" s="11"/>
    </row>
    <row r="89" spans="1:60" x14ac:dyDescent="0.25">
      <c r="A89" s="1">
        <v>46150</v>
      </c>
      <c r="B89" s="21">
        <v>134.71</v>
      </c>
      <c r="C89" s="21">
        <v>169.94</v>
      </c>
      <c r="D89" s="22">
        <v>7.8250576275525896E-3</v>
      </c>
      <c r="E89" s="22">
        <v>-9.4106582642079599E-4</v>
      </c>
      <c r="F89" s="21">
        <v>0</v>
      </c>
      <c r="G89" s="21">
        <v>0</v>
      </c>
      <c r="H89" s="21">
        <v>0</v>
      </c>
      <c r="I89" s="21">
        <v>0.121818</v>
      </c>
      <c r="J89" s="21">
        <v>0</v>
      </c>
      <c r="K89" s="21">
        <v>0</v>
      </c>
      <c r="L89" s="21">
        <v>134.71</v>
      </c>
      <c r="M89" s="21">
        <v>169.94</v>
      </c>
      <c r="N89" s="23">
        <v>1.26152475688516</v>
      </c>
      <c r="O89" s="23">
        <v>1.3022492118915701</v>
      </c>
      <c r="P89" s="23">
        <v>1.2744716456777301</v>
      </c>
      <c r="Q89" s="23">
        <v>1.27819253510293</v>
      </c>
      <c r="R89" s="21">
        <v>175.425991333913</v>
      </c>
      <c r="S89" s="21">
        <v>171.85023730401301</v>
      </c>
      <c r="T89" s="21">
        <v>172.501601593765</v>
      </c>
      <c r="U89" s="22">
        <v>3.1771818588255403E-2</v>
      </c>
      <c r="V89" s="22">
        <v>1.11779505982442E-2</v>
      </c>
      <c r="W89" s="22">
        <v>1.4961087454458301E-2</v>
      </c>
      <c r="X89" s="23">
        <v>1.26152475688516</v>
      </c>
      <c r="Y89" s="23">
        <v>1.3022759807794699</v>
      </c>
      <c r="Z89" s="23">
        <v>1.2744716456777301</v>
      </c>
      <c r="AA89" s="23">
        <v>1.27819253510293</v>
      </c>
      <c r="AB89" s="21">
        <v>175.42959737080201</v>
      </c>
      <c r="AC89" s="21">
        <v>171.85023730401301</v>
      </c>
      <c r="AD89" s="21">
        <v>172.501601593765</v>
      </c>
      <c r="AE89" s="22">
        <v>3.1792374264181501E-2</v>
      </c>
      <c r="AF89" s="22">
        <v>1.1177950598244E-2</v>
      </c>
      <c r="AG89" s="22">
        <v>1.49610874544585E-2</v>
      </c>
      <c r="AI89" s="5"/>
      <c r="AJ89">
        <f t="shared" si="26"/>
        <v>0</v>
      </c>
      <c r="AK89">
        <f t="shared" si="27"/>
        <v>1</v>
      </c>
      <c r="AL89">
        <f t="shared" si="34"/>
        <v>0</v>
      </c>
      <c r="AM89">
        <f t="shared" si="24"/>
        <v>1</v>
      </c>
      <c r="AN89">
        <f t="shared" si="35"/>
        <v>0</v>
      </c>
      <c r="AO89" s="17">
        <f t="shared" si="28"/>
        <v>0</v>
      </c>
      <c r="AP89" s="17">
        <f t="shared" si="29"/>
        <v>0</v>
      </c>
      <c r="AQ89" s="17">
        <f t="shared" si="36"/>
        <v>0</v>
      </c>
      <c r="AR89" s="11">
        <f t="shared" si="37"/>
        <v>0</v>
      </c>
      <c r="AT89" s="5"/>
      <c r="AU89">
        <f t="shared" si="30"/>
        <v>0</v>
      </c>
      <c r="AV89">
        <f t="shared" si="31"/>
        <v>0</v>
      </c>
      <c r="AW89">
        <f t="shared" si="38"/>
        <v>1</v>
      </c>
      <c r="AX89">
        <f t="shared" si="25"/>
        <v>1</v>
      </c>
      <c r="AY89">
        <f t="shared" si="39"/>
        <v>1</v>
      </c>
      <c r="AZ89" s="17">
        <f t="shared" si="32"/>
        <v>-7.8250576275525896E-3</v>
      </c>
      <c r="BA89" s="17">
        <f t="shared" si="33"/>
        <v>-9.4106582642079599E-4</v>
      </c>
      <c r="BB89" s="17">
        <f t="shared" si="40"/>
        <v>-8.7661234539733856E-3</v>
      </c>
      <c r="BC89" s="11">
        <f t="shared" si="41"/>
        <v>-1.9143334909241604E-2</v>
      </c>
      <c r="BE89" s="11">
        <f t="shared" si="42"/>
        <v>-8.7661234539733856E-3</v>
      </c>
      <c r="BF89" s="11">
        <f t="shared" si="43"/>
        <v>-1.9143334909241604E-2</v>
      </c>
      <c r="BH89" s="11"/>
    </row>
    <row r="90" spans="1:60" x14ac:dyDescent="0.25">
      <c r="A90" s="1">
        <v>46153</v>
      </c>
      <c r="B90" s="21">
        <v>134.75</v>
      </c>
      <c r="C90" s="21">
        <v>170</v>
      </c>
      <c r="D90" s="22">
        <v>2.96890078629885E-4</v>
      </c>
      <c r="E90" s="22">
        <v>3.5300347486649498E-4</v>
      </c>
      <c r="F90" s="21">
        <v>0</v>
      </c>
      <c r="G90" s="21">
        <v>0</v>
      </c>
      <c r="H90" s="21">
        <v>0</v>
      </c>
      <c r="I90" s="21">
        <v>0.121818</v>
      </c>
      <c r="J90" s="21">
        <v>0</v>
      </c>
      <c r="K90" s="21">
        <v>0</v>
      </c>
      <c r="L90" s="21">
        <v>134.75</v>
      </c>
      <c r="M90" s="21">
        <v>170</v>
      </c>
      <c r="N90" s="23">
        <v>1.2615955473098299</v>
      </c>
      <c r="O90" s="23">
        <v>1.3022492118915701</v>
      </c>
      <c r="P90" s="23">
        <v>1.2735867025133401</v>
      </c>
      <c r="Q90" s="23">
        <v>1.27607352413067</v>
      </c>
      <c r="R90" s="21">
        <v>175.478081302389</v>
      </c>
      <c r="S90" s="21">
        <v>171.735054255074</v>
      </c>
      <c r="T90" s="21">
        <v>172.23644410512</v>
      </c>
      <c r="U90" s="22">
        <v>3.1715705192018898E-2</v>
      </c>
      <c r="V90" s="22">
        <v>1.0154469916794801E-2</v>
      </c>
      <c r="W90" s="22">
        <v>1.3069770792273099E-2</v>
      </c>
      <c r="X90" s="23">
        <v>1.2615955473098299</v>
      </c>
      <c r="Y90" s="23">
        <v>1.3022759807794699</v>
      </c>
      <c r="Z90" s="23">
        <v>1.2735867025133401</v>
      </c>
      <c r="AA90" s="23">
        <v>1.27607352413067</v>
      </c>
      <c r="AB90" s="21">
        <v>175.481688410034</v>
      </c>
      <c r="AC90" s="21">
        <v>171.735054255074</v>
      </c>
      <c r="AD90" s="21">
        <v>172.23644410512</v>
      </c>
      <c r="AE90" s="22">
        <v>3.1736260867944698E-2</v>
      </c>
      <c r="AF90" s="22">
        <v>1.0154469916795099E-2</v>
      </c>
      <c r="AG90" s="22">
        <v>1.3069770792273099E-2</v>
      </c>
      <c r="AI90" s="5"/>
      <c r="AJ90">
        <f t="shared" si="26"/>
        <v>0</v>
      </c>
      <c r="AK90">
        <f t="shared" si="27"/>
        <v>1</v>
      </c>
      <c r="AL90">
        <f t="shared" si="34"/>
        <v>0</v>
      </c>
      <c r="AM90">
        <f t="shared" si="24"/>
        <v>1</v>
      </c>
      <c r="AN90">
        <f t="shared" si="35"/>
        <v>0</v>
      </c>
      <c r="AO90" s="17">
        <f t="shared" si="28"/>
        <v>0</v>
      </c>
      <c r="AP90" s="17">
        <f t="shared" si="29"/>
        <v>0</v>
      </c>
      <c r="AQ90" s="17">
        <f t="shared" si="36"/>
        <v>0</v>
      </c>
      <c r="AR90" s="11">
        <f t="shared" si="37"/>
        <v>0</v>
      </c>
      <c r="AT90" s="5"/>
      <c r="AU90">
        <f t="shared" si="30"/>
        <v>0</v>
      </c>
      <c r="AV90">
        <f t="shared" si="31"/>
        <v>0</v>
      </c>
      <c r="AW90">
        <f t="shared" si="38"/>
        <v>1</v>
      </c>
      <c r="AX90">
        <f t="shared" si="25"/>
        <v>1</v>
      </c>
      <c r="AY90">
        <f t="shared" si="39"/>
        <v>1</v>
      </c>
      <c r="AZ90" s="17">
        <f t="shared" si="32"/>
        <v>-2.96890078629885E-4</v>
      </c>
      <c r="BA90" s="17">
        <f t="shared" si="33"/>
        <v>3.5300347486649498E-4</v>
      </c>
      <c r="BB90" s="17">
        <f t="shared" si="40"/>
        <v>5.611339623660998E-5</v>
      </c>
      <c r="BC90" s="11">
        <f t="shared" si="41"/>
        <v>-1.9087221513004994E-2</v>
      </c>
      <c r="BE90" s="11">
        <f t="shared" si="42"/>
        <v>5.611339623660998E-5</v>
      </c>
      <c r="BF90" s="11">
        <f t="shared" si="43"/>
        <v>-1.9087221513004994E-2</v>
      </c>
      <c r="BH90" s="11"/>
    </row>
    <row r="91" spans="1:60" x14ac:dyDescent="0.25">
      <c r="A91" s="1">
        <v>46154</v>
      </c>
      <c r="B91" s="21">
        <v>134.91</v>
      </c>
      <c r="C91" s="21">
        <v>172.28</v>
      </c>
      <c r="D91" s="22">
        <v>1.18667966161917E-3</v>
      </c>
      <c r="E91" s="22">
        <v>1.3322623135648101E-2</v>
      </c>
      <c r="F91" s="21">
        <v>0</v>
      </c>
      <c r="G91" s="21">
        <v>0</v>
      </c>
      <c r="H91" s="21">
        <v>0</v>
      </c>
      <c r="I91" s="21">
        <v>0.121818</v>
      </c>
      <c r="J91" s="21">
        <v>0</v>
      </c>
      <c r="K91" s="21">
        <v>0</v>
      </c>
      <c r="L91" s="21">
        <v>134.91</v>
      </c>
      <c r="M91" s="21">
        <v>172.28</v>
      </c>
      <c r="N91" s="23">
        <v>1.27699948113557</v>
      </c>
      <c r="O91" s="23">
        <v>1.3022492118915701</v>
      </c>
      <c r="P91" s="23">
        <v>1.2733436802090901</v>
      </c>
      <c r="Q91" s="23">
        <v>1.2751393838343701</v>
      </c>
      <c r="R91" s="21">
        <v>175.68644117629199</v>
      </c>
      <c r="S91" s="21">
        <v>171.81958203607499</v>
      </c>
      <c r="T91" s="21">
        <v>172.15507914046901</v>
      </c>
      <c r="U91" s="22">
        <v>1.9579761717989901E-2</v>
      </c>
      <c r="V91" s="22">
        <v>-2.6760755474865001E-3</v>
      </c>
      <c r="W91" s="22">
        <v>-7.2536668053435898E-4</v>
      </c>
      <c r="X91" s="23">
        <v>1.27699948113557</v>
      </c>
      <c r="Y91" s="23">
        <v>1.3022759807794699</v>
      </c>
      <c r="Z91" s="23">
        <v>1.2733436802090901</v>
      </c>
      <c r="AA91" s="23">
        <v>1.2751393838343701</v>
      </c>
      <c r="AB91" s="21">
        <v>175.690052566958</v>
      </c>
      <c r="AC91" s="21">
        <v>171.81958203607499</v>
      </c>
      <c r="AD91" s="21">
        <v>172.15507914046901</v>
      </c>
      <c r="AE91" s="22">
        <v>1.9600317393915798E-2</v>
      </c>
      <c r="AF91" s="22">
        <v>-2.6760755474865001E-3</v>
      </c>
      <c r="AG91" s="22">
        <v>-7.2536668053458102E-4</v>
      </c>
      <c r="AI91" s="5"/>
      <c r="AJ91">
        <f t="shared" si="26"/>
        <v>0</v>
      </c>
      <c r="AK91">
        <f t="shared" si="27"/>
        <v>1</v>
      </c>
      <c r="AL91">
        <f t="shared" si="34"/>
        <v>0</v>
      </c>
      <c r="AM91">
        <f t="shared" si="24"/>
        <v>1</v>
      </c>
      <c r="AN91">
        <f t="shared" si="35"/>
        <v>0</v>
      </c>
      <c r="AO91" s="17">
        <f t="shared" si="28"/>
        <v>0</v>
      </c>
      <c r="AP91" s="17">
        <f t="shared" si="29"/>
        <v>0</v>
      </c>
      <c r="AQ91" s="17">
        <f t="shared" si="36"/>
        <v>0</v>
      </c>
      <c r="AR91" s="11">
        <f t="shared" si="37"/>
        <v>0</v>
      </c>
      <c r="AT91" s="5"/>
      <c r="AU91">
        <f t="shared" si="30"/>
        <v>0</v>
      </c>
      <c r="AV91">
        <f t="shared" si="31"/>
        <v>1</v>
      </c>
      <c r="AW91">
        <f t="shared" si="38"/>
        <v>1</v>
      </c>
      <c r="AX91">
        <f t="shared" si="25"/>
        <v>1</v>
      </c>
      <c r="AY91">
        <f t="shared" si="39"/>
        <v>1</v>
      </c>
      <c r="AZ91" s="17">
        <f t="shared" si="32"/>
        <v>-1.18667966161917E-3</v>
      </c>
      <c r="BA91" s="17">
        <f t="shared" si="33"/>
        <v>1.3322623135648101E-2</v>
      </c>
      <c r="BB91" s="17">
        <f t="shared" si="40"/>
        <v>1.213594347402893E-2</v>
      </c>
      <c r="BC91" s="11">
        <f t="shared" si="41"/>
        <v>-6.9512780389760637E-3</v>
      </c>
      <c r="BE91" s="11">
        <f t="shared" si="42"/>
        <v>1.213594347402893E-2</v>
      </c>
      <c r="BF91" s="11">
        <f t="shared" si="43"/>
        <v>-6.9512780389760637E-3</v>
      </c>
      <c r="BH91" s="11"/>
    </row>
    <row r="92" spans="1:60" x14ac:dyDescent="0.25">
      <c r="A92" s="1">
        <v>46155</v>
      </c>
      <c r="B92" s="21">
        <v>135.85</v>
      </c>
      <c r="C92" s="21">
        <v>172.65</v>
      </c>
      <c r="D92" s="22">
        <v>6.9434464216310398E-3</v>
      </c>
      <c r="E92" s="22">
        <v>2.1453636500914598E-3</v>
      </c>
      <c r="F92" s="21">
        <v>0</v>
      </c>
      <c r="G92" s="21">
        <v>0</v>
      </c>
      <c r="H92" s="21">
        <v>0</v>
      </c>
      <c r="I92" s="21">
        <v>0.121818</v>
      </c>
      <c r="J92" s="21">
        <v>0</v>
      </c>
      <c r="K92" s="21">
        <v>0</v>
      </c>
      <c r="L92" s="21">
        <v>135.85</v>
      </c>
      <c r="M92" s="21">
        <v>172.65</v>
      </c>
      <c r="N92" s="23">
        <v>1.2708870077291099</v>
      </c>
      <c r="O92" s="23">
        <v>1.3022492118915701</v>
      </c>
      <c r="P92" s="23">
        <v>1.2721313724482499</v>
      </c>
      <c r="Q92" s="23">
        <v>1.2741949104758601</v>
      </c>
      <c r="R92" s="21">
        <v>176.91055543547</v>
      </c>
      <c r="S92" s="21">
        <v>172.98373895640501</v>
      </c>
      <c r="T92" s="21">
        <v>173.22768529389899</v>
      </c>
      <c r="U92" s="22">
        <v>2.4377844489529499E-2</v>
      </c>
      <c r="V92" s="22">
        <v>1.9311717723740701E-3</v>
      </c>
      <c r="W92" s="22">
        <v>3.3404053260888398E-3</v>
      </c>
      <c r="X92" s="23">
        <v>1.2708870077291099</v>
      </c>
      <c r="Y92" s="23">
        <v>1.3022759807794699</v>
      </c>
      <c r="Z92" s="23">
        <v>1.2721313724482499</v>
      </c>
      <c r="AA92" s="23">
        <v>1.2741949104758601</v>
      </c>
      <c r="AB92" s="21">
        <v>176.91419198889099</v>
      </c>
      <c r="AC92" s="21">
        <v>172.98373895640501</v>
      </c>
      <c r="AD92" s="21">
        <v>173.22768529389899</v>
      </c>
      <c r="AE92" s="22">
        <v>2.4398400165455299E-2</v>
      </c>
      <c r="AF92" s="22">
        <v>1.9311717723740701E-3</v>
      </c>
      <c r="AG92" s="22">
        <v>3.3404053260888398E-3</v>
      </c>
      <c r="AI92" s="5"/>
      <c r="AJ92">
        <f t="shared" si="26"/>
        <v>0</v>
      </c>
      <c r="AK92">
        <f t="shared" si="27"/>
        <v>1</v>
      </c>
      <c r="AL92">
        <f t="shared" si="34"/>
        <v>0</v>
      </c>
      <c r="AM92">
        <f t="shared" si="24"/>
        <v>1</v>
      </c>
      <c r="AN92">
        <f t="shared" si="35"/>
        <v>0</v>
      </c>
      <c r="AO92" s="17">
        <f t="shared" si="28"/>
        <v>0</v>
      </c>
      <c r="AP92" s="17">
        <f t="shared" si="29"/>
        <v>0</v>
      </c>
      <c r="AQ92" s="17">
        <f t="shared" si="36"/>
        <v>0</v>
      </c>
      <c r="AR92" s="11">
        <f t="shared" si="37"/>
        <v>0</v>
      </c>
      <c r="AT92" s="5"/>
      <c r="AU92">
        <f t="shared" si="30"/>
        <v>0</v>
      </c>
      <c r="AV92">
        <f t="shared" si="31"/>
        <v>1</v>
      </c>
      <c r="AW92">
        <f t="shared" si="38"/>
        <v>0</v>
      </c>
      <c r="AX92">
        <f t="shared" si="25"/>
        <v>1</v>
      </c>
      <c r="AY92">
        <f t="shared" si="39"/>
        <v>0</v>
      </c>
      <c r="AZ92" s="17">
        <f t="shared" si="32"/>
        <v>0</v>
      </c>
      <c r="BA92" s="17">
        <f t="shared" si="33"/>
        <v>0</v>
      </c>
      <c r="BB92" s="17">
        <f t="shared" si="40"/>
        <v>0</v>
      </c>
      <c r="BC92" s="11">
        <f t="shared" si="41"/>
        <v>-6.9512780389760637E-3</v>
      </c>
      <c r="BE92" s="11">
        <f t="shared" si="42"/>
        <v>0</v>
      </c>
      <c r="BF92" s="11">
        <f t="shared" si="43"/>
        <v>-6.9512780389760637E-3</v>
      </c>
      <c r="BH92" s="11"/>
    </row>
    <row r="93" spans="1:60" x14ac:dyDescent="0.25">
      <c r="A93" s="1">
        <v>46156</v>
      </c>
      <c r="B93" s="21">
        <v>134.85</v>
      </c>
      <c r="C93" s="21">
        <v>171.33</v>
      </c>
      <c r="D93" s="22">
        <v>-7.3882862866177504E-3</v>
      </c>
      <c r="E93" s="22">
        <v>-7.6749024911199996E-3</v>
      </c>
      <c r="F93" s="21">
        <v>0</v>
      </c>
      <c r="G93" s="21">
        <v>0</v>
      </c>
      <c r="H93" s="21">
        <v>0</v>
      </c>
      <c r="I93" s="21">
        <v>0.121818</v>
      </c>
      <c r="J93" s="21">
        <v>0</v>
      </c>
      <c r="K93" s="21">
        <v>0</v>
      </c>
      <c r="L93" s="21">
        <v>134.85</v>
      </c>
      <c r="M93" s="21">
        <v>171.33</v>
      </c>
      <c r="N93" s="23">
        <v>1.2705228031145701</v>
      </c>
      <c r="O93" s="23">
        <v>1.3022492118915701</v>
      </c>
      <c r="P93" s="23">
        <v>1.2707362302362899</v>
      </c>
      <c r="Q93" s="23">
        <v>1.27345115545959</v>
      </c>
      <c r="R93" s="21">
        <v>175.60830622357801</v>
      </c>
      <c r="S93" s="21">
        <v>171.54691557464699</v>
      </c>
      <c r="T93" s="21">
        <v>171.82518367767</v>
      </c>
      <c r="U93" s="22">
        <v>2.4664460694031502E-2</v>
      </c>
      <c r="V93" s="22">
        <v>1.26526805236939E-3</v>
      </c>
      <c r="W93" s="22">
        <v>2.88606464327738E-3</v>
      </c>
      <c r="X93" s="23">
        <v>1.2705228031145701</v>
      </c>
      <c r="Y93" s="23">
        <v>1.3022759807794699</v>
      </c>
      <c r="Z93" s="23">
        <v>1.2707362302362899</v>
      </c>
      <c r="AA93" s="23">
        <v>1.27345115545959</v>
      </c>
      <c r="AB93" s="21">
        <v>175.61191600811199</v>
      </c>
      <c r="AC93" s="21">
        <v>171.54691557464699</v>
      </c>
      <c r="AD93" s="21">
        <v>171.82518367767</v>
      </c>
      <c r="AE93" s="22">
        <v>2.46850163699576E-2</v>
      </c>
      <c r="AF93" s="22">
        <v>1.26526805236939E-3</v>
      </c>
      <c r="AG93" s="22">
        <v>2.88606464327738E-3</v>
      </c>
      <c r="AI93" s="5"/>
      <c r="AJ93">
        <f t="shared" si="26"/>
        <v>0</v>
      </c>
      <c r="AK93">
        <f t="shared" si="27"/>
        <v>1</v>
      </c>
      <c r="AL93">
        <f t="shared" si="34"/>
        <v>0</v>
      </c>
      <c r="AM93">
        <f t="shared" si="24"/>
        <v>1</v>
      </c>
      <c r="AN93">
        <f t="shared" si="35"/>
        <v>0</v>
      </c>
      <c r="AO93" s="17">
        <f t="shared" si="28"/>
        <v>0</v>
      </c>
      <c r="AP93" s="17">
        <f t="shared" si="29"/>
        <v>0</v>
      </c>
      <c r="AQ93" s="17">
        <f t="shared" si="36"/>
        <v>0</v>
      </c>
      <c r="AR93" s="11">
        <f t="shared" si="37"/>
        <v>0</v>
      </c>
      <c r="AT93" s="5"/>
      <c r="AU93">
        <f t="shared" si="30"/>
        <v>0</v>
      </c>
      <c r="AV93">
        <f t="shared" si="31"/>
        <v>1</v>
      </c>
      <c r="AW93">
        <f t="shared" si="38"/>
        <v>0</v>
      </c>
      <c r="AX93">
        <f t="shared" si="25"/>
        <v>1</v>
      </c>
      <c r="AY93">
        <f t="shared" si="39"/>
        <v>0</v>
      </c>
      <c r="AZ93" s="17">
        <f t="shared" si="32"/>
        <v>0</v>
      </c>
      <c r="BA93" s="17">
        <f t="shared" si="33"/>
        <v>0</v>
      </c>
      <c r="BB93" s="17">
        <f t="shared" si="40"/>
        <v>0</v>
      </c>
      <c r="BC93" s="11">
        <f t="shared" si="41"/>
        <v>-6.9512780389760637E-3</v>
      </c>
      <c r="BE93" s="11">
        <f t="shared" si="42"/>
        <v>0</v>
      </c>
      <c r="BF93" s="11">
        <f t="shared" si="43"/>
        <v>-6.9512780389760637E-3</v>
      </c>
      <c r="BH93" s="11"/>
    </row>
    <row r="94" spans="1:60" x14ac:dyDescent="0.25">
      <c r="A94" s="1">
        <v>46157</v>
      </c>
      <c r="B94" s="21">
        <v>130.69</v>
      </c>
      <c r="C94" s="21">
        <v>166.83</v>
      </c>
      <c r="D94" s="22">
        <v>-3.1334942976794303E-2</v>
      </c>
      <c r="E94" s="22">
        <v>-2.6616191477298899E-2</v>
      </c>
      <c r="F94" s="21">
        <v>0</v>
      </c>
      <c r="G94" s="21">
        <v>0</v>
      </c>
      <c r="H94" s="21">
        <v>0</v>
      </c>
      <c r="I94" s="21">
        <v>0.121818</v>
      </c>
      <c r="J94" s="21">
        <v>0</v>
      </c>
      <c r="K94" s="21">
        <v>0</v>
      </c>
      <c r="L94" s="21">
        <v>130.69</v>
      </c>
      <c r="M94" s="21">
        <v>166.83</v>
      </c>
      <c r="N94" s="23">
        <v>1.27653225189379</v>
      </c>
      <c r="O94" s="23">
        <v>1.3022492118915701</v>
      </c>
      <c r="P94" s="23">
        <v>1.27013458654053</v>
      </c>
      <c r="Q94" s="23">
        <v>1.2735797800251401</v>
      </c>
      <c r="R94" s="21">
        <v>170.19094950210899</v>
      </c>
      <c r="S94" s="21">
        <v>166.07251792958101</v>
      </c>
      <c r="T94" s="21">
        <v>166.42733150701301</v>
      </c>
      <c r="U94" s="22">
        <v>1.9945709194536299E-2</v>
      </c>
      <c r="V94" s="22">
        <v>-4.5507819069207896E-3</v>
      </c>
      <c r="W94" s="22">
        <v>-2.4165631232960999E-3</v>
      </c>
      <c r="X94" s="23">
        <v>1.27653225189379</v>
      </c>
      <c r="Y94" s="23">
        <v>1.3022759807794699</v>
      </c>
      <c r="Z94" s="23">
        <v>1.27013458654053</v>
      </c>
      <c r="AA94" s="23">
        <v>1.2735797800251401</v>
      </c>
      <c r="AB94" s="21">
        <v>170.194447928069</v>
      </c>
      <c r="AC94" s="21">
        <v>166.07251792958101</v>
      </c>
      <c r="AD94" s="21">
        <v>166.42733150701301</v>
      </c>
      <c r="AE94" s="22">
        <v>1.99662648704623E-2</v>
      </c>
      <c r="AF94" s="22">
        <v>-4.5507819069207896E-3</v>
      </c>
      <c r="AG94" s="22">
        <v>-2.4165631232960999E-3</v>
      </c>
      <c r="AI94" s="5"/>
      <c r="AJ94">
        <f t="shared" si="26"/>
        <v>0</v>
      </c>
      <c r="AK94">
        <f t="shared" si="27"/>
        <v>1</v>
      </c>
      <c r="AL94">
        <f t="shared" si="34"/>
        <v>0</v>
      </c>
      <c r="AM94">
        <f t="shared" si="24"/>
        <v>1</v>
      </c>
      <c r="AN94">
        <f t="shared" si="35"/>
        <v>0</v>
      </c>
      <c r="AO94" s="17">
        <f t="shared" si="28"/>
        <v>0</v>
      </c>
      <c r="AP94" s="17">
        <f t="shared" si="29"/>
        <v>0</v>
      </c>
      <c r="AQ94" s="17">
        <f t="shared" si="36"/>
        <v>0</v>
      </c>
      <c r="AR94" s="11">
        <f t="shared" si="37"/>
        <v>0</v>
      </c>
      <c r="AT94" s="5"/>
      <c r="AU94">
        <f t="shared" si="30"/>
        <v>0</v>
      </c>
      <c r="AV94">
        <f t="shared" si="31"/>
        <v>1</v>
      </c>
      <c r="AW94">
        <f t="shared" si="38"/>
        <v>0</v>
      </c>
      <c r="AX94">
        <f t="shared" si="25"/>
        <v>1</v>
      </c>
      <c r="AY94">
        <f t="shared" si="39"/>
        <v>0</v>
      </c>
      <c r="AZ94" s="17">
        <f t="shared" si="32"/>
        <v>0</v>
      </c>
      <c r="BA94" s="17">
        <f t="shared" si="33"/>
        <v>0</v>
      </c>
      <c r="BB94" s="17">
        <f t="shared" si="40"/>
        <v>0</v>
      </c>
      <c r="BC94" s="11">
        <f t="shared" si="41"/>
        <v>-6.9512780389760637E-3</v>
      </c>
      <c r="BE94" s="11">
        <f t="shared" si="42"/>
        <v>0</v>
      </c>
      <c r="BF94" s="11">
        <f t="shared" si="43"/>
        <v>-6.9512780389760637E-3</v>
      </c>
      <c r="BH94" s="11"/>
    </row>
    <row r="95" spans="1:60" x14ac:dyDescent="0.25">
      <c r="A95" s="1">
        <v>46160</v>
      </c>
      <c r="B95" s="21">
        <v>127.67</v>
      </c>
      <c r="C95" s="21">
        <v>164.03</v>
      </c>
      <c r="D95" s="22">
        <v>-2.3379296776684998E-2</v>
      </c>
      <c r="E95" s="22">
        <v>-1.6925991943188001E-2</v>
      </c>
      <c r="F95" s="21">
        <v>0</v>
      </c>
      <c r="G95" s="21">
        <v>0</v>
      </c>
      <c r="H95" s="21">
        <v>0</v>
      </c>
      <c r="I95" s="21">
        <v>0.121818</v>
      </c>
      <c r="J95" s="21">
        <v>0</v>
      </c>
      <c r="K95" s="21">
        <v>0</v>
      </c>
      <c r="L95" s="21">
        <v>127.67</v>
      </c>
      <c r="M95" s="21">
        <v>164.03</v>
      </c>
      <c r="N95" s="23">
        <v>1.2847967415994299</v>
      </c>
      <c r="O95" s="23">
        <v>1.3022492118915701</v>
      </c>
      <c r="P95" s="23">
        <v>1.27115358654317</v>
      </c>
      <c r="Q95" s="23">
        <v>1.27404140388209</v>
      </c>
      <c r="R95" s="21">
        <v>166.258156882197</v>
      </c>
      <c r="S95" s="21">
        <v>162.15808266363001</v>
      </c>
      <c r="T95" s="21">
        <v>162.59793051580999</v>
      </c>
      <c r="U95" s="22">
        <v>1.3492404361039E-2</v>
      </c>
      <c r="V95" s="22">
        <v>-1.1477659582478299E-2</v>
      </c>
      <c r="W95" s="22">
        <v>-8.7688683467194092E-3</v>
      </c>
      <c r="X95" s="23">
        <v>1.2847967415994299</v>
      </c>
      <c r="Y95" s="23">
        <v>1.3022759807794699</v>
      </c>
      <c r="Z95" s="23">
        <v>1.27115358654317</v>
      </c>
      <c r="AA95" s="23">
        <v>1.27404140388209</v>
      </c>
      <c r="AB95" s="21">
        <v>166.26157446611501</v>
      </c>
      <c r="AC95" s="21">
        <v>162.15808266363001</v>
      </c>
      <c r="AD95" s="21">
        <v>162.59793051580999</v>
      </c>
      <c r="AE95" s="22">
        <v>1.3512960036965E-2</v>
      </c>
      <c r="AF95" s="22">
        <v>-1.1477659582478501E-2</v>
      </c>
      <c r="AG95" s="22">
        <v>-8.7688683467194092E-3</v>
      </c>
      <c r="AI95" s="5"/>
      <c r="AJ95">
        <f t="shared" si="26"/>
        <v>0</v>
      </c>
      <c r="AK95">
        <f t="shared" si="27"/>
        <v>1</v>
      </c>
      <c r="AL95">
        <f t="shared" si="34"/>
        <v>0</v>
      </c>
      <c r="AM95">
        <f t="shared" si="24"/>
        <v>1</v>
      </c>
      <c r="AN95">
        <f t="shared" si="35"/>
        <v>0</v>
      </c>
      <c r="AO95" s="17">
        <f t="shared" si="28"/>
        <v>0</v>
      </c>
      <c r="AP95" s="17">
        <f t="shared" si="29"/>
        <v>0</v>
      </c>
      <c r="AQ95" s="17">
        <f t="shared" si="36"/>
        <v>0</v>
      </c>
      <c r="AR95" s="11">
        <f t="shared" si="37"/>
        <v>0</v>
      </c>
      <c r="AT95" s="5"/>
      <c r="AU95">
        <f t="shared" si="30"/>
        <v>0</v>
      </c>
      <c r="AV95">
        <f t="shared" si="31"/>
        <v>1</v>
      </c>
      <c r="AW95">
        <f t="shared" si="38"/>
        <v>0</v>
      </c>
      <c r="AX95">
        <f t="shared" si="25"/>
        <v>1</v>
      </c>
      <c r="AY95">
        <f t="shared" si="39"/>
        <v>0</v>
      </c>
      <c r="AZ95" s="17">
        <f t="shared" si="32"/>
        <v>0</v>
      </c>
      <c r="BA95" s="17">
        <f t="shared" si="33"/>
        <v>0</v>
      </c>
      <c r="BB95" s="17">
        <f t="shared" si="40"/>
        <v>0</v>
      </c>
      <c r="BC95" s="11">
        <f t="shared" si="41"/>
        <v>-6.9512780389760637E-3</v>
      </c>
      <c r="BE95" s="11">
        <f t="shared" si="42"/>
        <v>0</v>
      </c>
      <c r="BF95" s="11">
        <f t="shared" si="43"/>
        <v>-6.9512780389760637E-3</v>
      </c>
      <c r="BH95" s="11"/>
    </row>
    <row r="96" spans="1:60" x14ac:dyDescent="0.25">
      <c r="A96" s="1">
        <v>46161</v>
      </c>
      <c r="B96" s="21">
        <v>126.79</v>
      </c>
      <c r="C96" s="21">
        <v>164.19</v>
      </c>
      <c r="D96" s="22">
        <v>-6.9166352924027999E-3</v>
      </c>
      <c r="E96" s="22">
        <v>9.7495589954210704E-4</v>
      </c>
      <c r="F96" s="21">
        <v>0</v>
      </c>
      <c r="G96" s="21">
        <v>0</v>
      </c>
      <c r="H96" s="21">
        <v>0</v>
      </c>
      <c r="I96" s="21">
        <v>0.121818</v>
      </c>
      <c r="J96" s="21">
        <v>0</v>
      </c>
      <c r="K96" s="21">
        <v>0</v>
      </c>
      <c r="L96" s="21">
        <v>126.79</v>
      </c>
      <c r="M96" s="21">
        <v>164.19</v>
      </c>
      <c r="N96" s="23">
        <v>1.2949759444751101</v>
      </c>
      <c r="O96" s="23">
        <v>1.3022492118915701</v>
      </c>
      <c r="P96" s="23">
        <v>1.27333224833503</v>
      </c>
      <c r="Q96" s="23">
        <v>1.2750061993461901</v>
      </c>
      <c r="R96" s="21">
        <v>165.11217757573201</v>
      </c>
      <c r="S96" s="21">
        <v>161.169563237809</v>
      </c>
      <c r="T96" s="21">
        <v>161.53570959821101</v>
      </c>
      <c r="U96" s="22">
        <v>5.6008131690943701E-3</v>
      </c>
      <c r="V96" s="22">
        <v>-1.8567295240182399E-2</v>
      </c>
      <c r="W96" s="22">
        <v>-1.62980635396676E-2</v>
      </c>
      <c r="X96" s="23">
        <v>1.2949759444751101</v>
      </c>
      <c r="Y96" s="23">
        <v>1.3022759807794699</v>
      </c>
      <c r="Z96" s="23">
        <v>1.27333224833503</v>
      </c>
      <c r="AA96" s="23">
        <v>1.2750061993461901</v>
      </c>
      <c r="AB96" s="21">
        <v>165.115571603029</v>
      </c>
      <c r="AC96" s="21">
        <v>161.169563237809</v>
      </c>
      <c r="AD96" s="21">
        <v>161.53570959821101</v>
      </c>
      <c r="AE96" s="22">
        <v>5.6213688450202099E-3</v>
      </c>
      <c r="AF96" s="22">
        <v>-1.8567295240182399E-2</v>
      </c>
      <c r="AG96" s="22">
        <v>-1.62980635396676E-2</v>
      </c>
      <c r="AI96" s="5"/>
      <c r="AJ96">
        <f t="shared" si="26"/>
        <v>0</v>
      </c>
      <c r="AK96">
        <f t="shared" si="27"/>
        <v>0</v>
      </c>
      <c r="AL96">
        <f t="shared" si="34"/>
        <v>0</v>
      </c>
      <c r="AM96">
        <f t="shared" si="24"/>
        <v>1</v>
      </c>
      <c r="AN96">
        <f t="shared" si="35"/>
        <v>0</v>
      </c>
      <c r="AO96" s="17">
        <f t="shared" si="28"/>
        <v>0</v>
      </c>
      <c r="AP96" s="17">
        <f t="shared" si="29"/>
        <v>0</v>
      </c>
      <c r="AQ96" s="17">
        <f t="shared" si="36"/>
        <v>0</v>
      </c>
      <c r="AR96" s="11">
        <f t="shared" si="37"/>
        <v>0</v>
      </c>
      <c r="AT96" s="5"/>
      <c r="AU96">
        <f t="shared" si="30"/>
        <v>0</v>
      </c>
      <c r="AV96">
        <f t="shared" si="31"/>
        <v>1</v>
      </c>
      <c r="AW96">
        <f t="shared" si="38"/>
        <v>0</v>
      </c>
      <c r="AX96">
        <f t="shared" si="25"/>
        <v>1</v>
      </c>
      <c r="AY96">
        <f t="shared" si="39"/>
        <v>0</v>
      </c>
      <c r="AZ96" s="17">
        <f t="shared" si="32"/>
        <v>0</v>
      </c>
      <c r="BA96" s="17">
        <f t="shared" si="33"/>
        <v>0</v>
      </c>
      <c r="BB96" s="17">
        <f t="shared" si="40"/>
        <v>0</v>
      </c>
      <c r="BC96" s="11">
        <f t="shared" si="41"/>
        <v>-6.9512780389760637E-3</v>
      </c>
      <c r="BE96" s="11">
        <f t="shared" si="42"/>
        <v>0</v>
      </c>
      <c r="BF96" s="11">
        <f t="shared" si="43"/>
        <v>-6.9512780389760637E-3</v>
      </c>
      <c r="BH96" s="11"/>
    </row>
    <row r="97" spans="1:60" x14ac:dyDescent="0.25">
      <c r="A97" s="1">
        <v>46162</v>
      </c>
      <c r="B97" s="21">
        <v>131.71</v>
      </c>
      <c r="C97" s="21">
        <v>167.91</v>
      </c>
      <c r="D97" s="22">
        <v>3.80703614710984E-2</v>
      </c>
      <c r="E97" s="22">
        <v>2.2403827747441301E-2</v>
      </c>
      <c r="F97" s="21">
        <v>0</v>
      </c>
      <c r="G97" s="21">
        <v>0</v>
      </c>
      <c r="H97" s="21">
        <v>0</v>
      </c>
      <c r="I97" s="21">
        <v>0.121818</v>
      </c>
      <c r="J97" s="21">
        <v>0</v>
      </c>
      <c r="K97" s="21">
        <v>0</v>
      </c>
      <c r="L97" s="21">
        <v>131.71</v>
      </c>
      <c r="M97" s="21">
        <v>167.91</v>
      </c>
      <c r="N97" s="23">
        <v>1.27484625313188</v>
      </c>
      <c r="O97" s="23">
        <v>1.3022492118915701</v>
      </c>
      <c r="P97" s="23">
        <v>1.2745312838748299</v>
      </c>
      <c r="Q97" s="23">
        <v>1.27525714210984</v>
      </c>
      <c r="R97" s="21">
        <v>171.51924369823899</v>
      </c>
      <c r="S97" s="21">
        <v>167.71059042820701</v>
      </c>
      <c r="T97" s="21">
        <v>167.93106651588701</v>
      </c>
      <c r="U97" s="22">
        <v>2.12673468927514E-2</v>
      </c>
      <c r="V97" s="22">
        <v>-1.18830370331498E-3</v>
      </c>
      <c r="W97" s="22">
        <v>1.2545527045494499E-4</v>
      </c>
      <c r="X97" s="23">
        <v>1.27484625313188</v>
      </c>
      <c r="Y97" s="23">
        <v>1.3022759807794699</v>
      </c>
      <c r="Z97" s="23">
        <v>1.2745312838748299</v>
      </c>
      <c r="AA97" s="23">
        <v>1.27525714210984</v>
      </c>
      <c r="AB97" s="21">
        <v>171.52276942846399</v>
      </c>
      <c r="AC97" s="21">
        <v>167.71059042820701</v>
      </c>
      <c r="AD97" s="21">
        <v>167.93106651588701</v>
      </c>
      <c r="AE97" s="22">
        <v>2.1287902568677401E-2</v>
      </c>
      <c r="AF97" s="22">
        <v>-1.18830370331498E-3</v>
      </c>
      <c r="AG97" s="22">
        <v>1.2545527045494499E-4</v>
      </c>
      <c r="AI97" s="5"/>
      <c r="AJ97">
        <f t="shared" si="26"/>
        <v>0</v>
      </c>
      <c r="AK97">
        <f t="shared" si="27"/>
        <v>1</v>
      </c>
      <c r="AL97">
        <f t="shared" si="34"/>
        <v>0</v>
      </c>
      <c r="AM97">
        <f t="shared" si="24"/>
        <v>1</v>
      </c>
      <c r="AN97">
        <f t="shared" si="35"/>
        <v>0</v>
      </c>
      <c r="AO97" s="17">
        <f t="shared" si="28"/>
        <v>0</v>
      </c>
      <c r="AP97" s="17">
        <f t="shared" si="29"/>
        <v>0</v>
      </c>
      <c r="AQ97" s="17">
        <f t="shared" si="36"/>
        <v>0</v>
      </c>
      <c r="AR97" s="11">
        <f t="shared" si="37"/>
        <v>0</v>
      </c>
      <c r="AT97" s="5"/>
      <c r="AU97">
        <f t="shared" si="30"/>
        <v>0</v>
      </c>
      <c r="AV97">
        <f t="shared" si="31"/>
        <v>1</v>
      </c>
      <c r="AW97">
        <f t="shared" si="38"/>
        <v>0</v>
      </c>
      <c r="AX97">
        <f t="shared" si="25"/>
        <v>1</v>
      </c>
      <c r="AY97">
        <f t="shared" si="39"/>
        <v>0</v>
      </c>
      <c r="AZ97" s="17">
        <f t="shared" si="32"/>
        <v>0</v>
      </c>
      <c r="BA97" s="17">
        <f t="shared" si="33"/>
        <v>0</v>
      </c>
      <c r="BB97" s="17">
        <f t="shared" si="40"/>
        <v>0</v>
      </c>
      <c r="BC97" s="11">
        <f t="shared" si="41"/>
        <v>-6.9512780389760637E-3</v>
      </c>
      <c r="BE97" s="11">
        <f t="shared" si="42"/>
        <v>0</v>
      </c>
      <c r="BF97" s="11">
        <f t="shared" si="43"/>
        <v>-6.9512780389760637E-3</v>
      </c>
      <c r="BH97" s="11"/>
    </row>
    <row r="98" spans="1:60" x14ac:dyDescent="0.25">
      <c r="A98" s="1">
        <v>46163</v>
      </c>
      <c r="B98" s="21">
        <v>132.78</v>
      </c>
      <c r="C98" s="21">
        <v>169.06</v>
      </c>
      <c r="D98" s="22">
        <v>8.0910872800581003E-3</v>
      </c>
      <c r="E98" s="22">
        <v>6.8255599294038197E-3</v>
      </c>
      <c r="F98" s="21">
        <v>0</v>
      </c>
      <c r="G98" s="21">
        <v>0</v>
      </c>
      <c r="H98" s="21">
        <v>0</v>
      </c>
      <c r="I98" s="21">
        <v>0.121818</v>
      </c>
      <c r="J98" s="21">
        <v>0</v>
      </c>
      <c r="K98" s="21">
        <v>0</v>
      </c>
      <c r="L98" s="21">
        <v>132.78</v>
      </c>
      <c r="M98" s="21">
        <v>169.06</v>
      </c>
      <c r="N98" s="23">
        <v>1.2732339207712</v>
      </c>
      <c r="O98" s="23">
        <v>1.3022492118915701</v>
      </c>
      <c r="P98" s="23">
        <v>1.27459147080456</v>
      </c>
      <c r="Q98" s="23">
        <v>1.2751482975877599</v>
      </c>
      <c r="R98" s="21">
        <v>172.91265035496301</v>
      </c>
      <c r="S98" s="21">
        <v>169.23226387290001</v>
      </c>
      <c r="T98" s="21">
        <v>169.328643329345</v>
      </c>
      <c r="U98" s="22">
        <v>2.2532874243405599E-2</v>
      </c>
      <c r="V98" s="22">
        <v>1.01843232131922E-3</v>
      </c>
      <c r="W98" s="22">
        <v>1.5877801520794699E-3</v>
      </c>
      <c r="X98" s="23">
        <v>1.2732339207712</v>
      </c>
      <c r="Y98" s="23">
        <v>1.3022759807794699</v>
      </c>
      <c r="Z98" s="23">
        <v>1.27459147080456</v>
      </c>
      <c r="AA98" s="23">
        <v>1.2751482975877599</v>
      </c>
      <c r="AB98" s="21">
        <v>172.91620472789799</v>
      </c>
      <c r="AC98" s="21">
        <v>169.23226387290001</v>
      </c>
      <c r="AD98" s="21">
        <v>169.328643329345</v>
      </c>
      <c r="AE98" s="22">
        <v>2.2553429919331701E-2</v>
      </c>
      <c r="AF98" s="22">
        <v>1.01843232131922E-3</v>
      </c>
      <c r="AG98" s="22">
        <v>1.5877801520792401E-3</v>
      </c>
      <c r="AI98" s="5"/>
      <c r="AJ98">
        <f t="shared" si="26"/>
        <v>0</v>
      </c>
      <c r="AK98">
        <f t="shared" si="27"/>
        <v>1</v>
      </c>
      <c r="AL98">
        <f t="shared" si="34"/>
        <v>0</v>
      </c>
      <c r="AM98">
        <f t="shared" si="24"/>
        <v>1</v>
      </c>
      <c r="AN98">
        <f t="shared" si="35"/>
        <v>0</v>
      </c>
      <c r="AO98" s="17">
        <f t="shared" si="28"/>
        <v>0</v>
      </c>
      <c r="AP98" s="17">
        <f t="shared" si="29"/>
        <v>0</v>
      </c>
      <c r="AQ98" s="17">
        <f t="shared" si="36"/>
        <v>0</v>
      </c>
      <c r="AR98" s="11">
        <f t="shared" si="37"/>
        <v>0</v>
      </c>
      <c r="AT98" s="5"/>
      <c r="AU98">
        <f t="shared" si="30"/>
        <v>0</v>
      </c>
      <c r="AV98">
        <f t="shared" si="31"/>
        <v>1</v>
      </c>
      <c r="AW98">
        <f t="shared" si="38"/>
        <v>0</v>
      </c>
      <c r="AX98">
        <f t="shared" si="25"/>
        <v>1</v>
      </c>
      <c r="AY98">
        <f t="shared" si="39"/>
        <v>0</v>
      </c>
      <c r="AZ98" s="17">
        <f t="shared" si="32"/>
        <v>0</v>
      </c>
      <c r="BA98" s="17">
        <f t="shared" si="33"/>
        <v>0</v>
      </c>
      <c r="BB98" s="17">
        <f t="shared" si="40"/>
        <v>0</v>
      </c>
      <c r="BC98" s="11">
        <f t="shared" si="41"/>
        <v>-6.9512780389760637E-3</v>
      </c>
      <c r="BE98" s="11">
        <f t="shared" si="42"/>
        <v>0</v>
      </c>
      <c r="BF98" s="11">
        <f t="shared" si="43"/>
        <v>-6.9512780389760637E-3</v>
      </c>
      <c r="BH98" s="11"/>
    </row>
    <row r="99" spans="1:60" x14ac:dyDescent="0.25">
      <c r="A99" s="1">
        <v>46164</v>
      </c>
      <c r="B99" s="21">
        <v>131.66</v>
      </c>
      <c r="C99" s="21">
        <v>168.79</v>
      </c>
      <c r="D99" s="22">
        <v>-8.4707812512826997E-3</v>
      </c>
      <c r="E99" s="22">
        <v>-1.5983427999453001E-3</v>
      </c>
      <c r="F99" s="21">
        <v>0</v>
      </c>
      <c r="G99" s="21">
        <v>0</v>
      </c>
      <c r="H99" s="21">
        <v>0</v>
      </c>
      <c r="I99" s="21">
        <v>0.121818</v>
      </c>
      <c r="J99" s="21">
        <v>0</v>
      </c>
      <c r="K99" s="21">
        <v>0</v>
      </c>
      <c r="L99" s="21">
        <v>131.66</v>
      </c>
      <c r="M99" s="21">
        <v>168.79</v>
      </c>
      <c r="N99" s="23">
        <v>1.2820142792040099</v>
      </c>
      <c r="O99" s="23">
        <v>1.3022492118915701</v>
      </c>
      <c r="P99" s="23">
        <v>1.2766404230364501</v>
      </c>
      <c r="Q99" s="23">
        <v>1.27555603435709</v>
      </c>
      <c r="R99" s="21">
        <v>171.45413123764399</v>
      </c>
      <c r="S99" s="21">
        <v>167.81271304612901</v>
      </c>
      <c r="T99" s="21">
        <v>167.886024860405</v>
      </c>
      <c r="U99" s="22">
        <v>1.56604357920683E-2</v>
      </c>
      <c r="V99" s="22">
        <v>-5.8067844498287799E-3</v>
      </c>
      <c r="W99" s="22">
        <v>-5.3700129808695396E-3</v>
      </c>
      <c r="X99" s="23">
        <v>1.2820142792040099</v>
      </c>
      <c r="Y99" s="23">
        <v>1.3022759807794699</v>
      </c>
      <c r="Z99" s="23">
        <v>1.2766404230364501</v>
      </c>
      <c r="AA99" s="23">
        <v>1.27555603435709</v>
      </c>
      <c r="AB99" s="21">
        <v>171.45765562942501</v>
      </c>
      <c r="AC99" s="21">
        <v>167.81271304612901</v>
      </c>
      <c r="AD99" s="21">
        <v>167.886024860405</v>
      </c>
      <c r="AE99" s="22">
        <v>1.5680991467994398E-2</v>
      </c>
      <c r="AF99" s="22">
        <v>-5.8067844498287799E-3</v>
      </c>
      <c r="AG99" s="22">
        <v>-5.3700129808695396E-3</v>
      </c>
      <c r="AI99" s="5"/>
      <c r="AJ99">
        <f t="shared" si="26"/>
        <v>0</v>
      </c>
      <c r="AK99">
        <f t="shared" si="27"/>
        <v>1</v>
      </c>
      <c r="AL99">
        <f t="shared" si="34"/>
        <v>0</v>
      </c>
      <c r="AM99">
        <f t="shared" si="24"/>
        <v>1</v>
      </c>
      <c r="AN99">
        <f t="shared" si="35"/>
        <v>0</v>
      </c>
      <c r="AO99" s="17">
        <f t="shared" si="28"/>
        <v>0</v>
      </c>
      <c r="AP99" s="17">
        <f t="shared" si="29"/>
        <v>0</v>
      </c>
      <c r="AQ99" s="17">
        <f t="shared" si="36"/>
        <v>0</v>
      </c>
      <c r="AR99" s="11">
        <f t="shared" si="37"/>
        <v>0</v>
      </c>
      <c r="AT99" s="5"/>
      <c r="AU99">
        <f t="shared" si="30"/>
        <v>0</v>
      </c>
      <c r="AV99">
        <f t="shared" si="31"/>
        <v>1</v>
      </c>
      <c r="AW99">
        <f t="shared" si="38"/>
        <v>0</v>
      </c>
      <c r="AX99">
        <f t="shared" si="25"/>
        <v>1</v>
      </c>
      <c r="AY99">
        <f t="shared" si="39"/>
        <v>0</v>
      </c>
      <c r="AZ99" s="17">
        <f t="shared" si="32"/>
        <v>0</v>
      </c>
      <c r="BA99" s="17">
        <f t="shared" si="33"/>
        <v>0</v>
      </c>
      <c r="BB99" s="17">
        <f t="shared" si="40"/>
        <v>0</v>
      </c>
      <c r="BC99" s="11">
        <f t="shared" si="41"/>
        <v>-6.9512780389760637E-3</v>
      </c>
      <c r="BE99" s="11">
        <f t="shared" si="42"/>
        <v>0</v>
      </c>
      <c r="BF99" s="11">
        <f t="shared" si="43"/>
        <v>-6.9512780389760637E-3</v>
      </c>
      <c r="BH99" s="11"/>
    </row>
    <row r="100" spans="1:60" x14ac:dyDescent="0.25">
      <c r="A100" s="1">
        <v>46168</v>
      </c>
      <c r="B100" s="21">
        <v>133.35</v>
      </c>
      <c r="C100" s="21">
        <v>169.42</v>
      </c>
      <c r="D100" s="22">
        <v>1.27544085882925E-2</v>
      </c>
      <c r="E100" s="22">
        <v>3.7255003025684599E-3</v>
      </c>
      <c r="F100" s="21">
        <v>0</v>
      </c>
      <c r="G100" s="21">
        <v>0</v>
      </c>
      <c r="H100" s="21">
        <v>0</v>
      </c>
      <c r="I100" s="21">
        <v>0.121818</v>
      </c>
      <c r="J100" s="21">
        <v>0</v>
      </c>
      <c r="K100" s="21">
        <v>0</v>
      </c>
      <c r="L100" s="21">
        <v>133.35</v>
      </c>
      <c r="M100" s="21">
        <v>169.42</v>
      </c>
      <c r="N100" s="23">
        <v>1.2704911886014201</v>
      </c>
      <c r="O100" s="23">
        <v>1.3022492118915701</v>
      </c>
      <c r="P100" s="23">
        <v>1.2775299871656101</v>
      </c>
      <c r="Q100" s="23">
        <v>1.2755583448394701</v>
      </c>
      <c r="R100" s="21">
        <v>173.65493240574099</v>
      </c>
      <c r="S100" s="21">
        <v>170.24000041190999</v>
      </c>
      <c r="T100" s="21">
        <v>170.095397181518</v>
      </c>
      <c r="U100" s="22">
        <v>2.4689344077792299E-2</v>
      </c>
      <c r="V100" s="22">
        <v>4.82836956946459E-3</v>
      </c>
      <c r="W100" s="22">
        <v>3.9786005468077099E-3</v>
      </c>
      <c r="X100" s="23">
        <v>1.2704911886014201</v>
      </c>
      <c r="Y100" s="23">
        <v>1.3022759807794699</v>
      </c>
      <c r="Z100" s="23">
        <v>1.2775299871656101</v>
      </c>
      <c r="AA100" s="23">
        <v>1.2755583448394701</v>
      </c>
      <c r="AB100" s="21">
        <v>173.658502036942</v>
      </c>
      <c r="AC100" s="21">
        <v>170.24000041190999</v>
      </c>
      <c r="AD100" s="21">
        <v>170.095397181518</v>
      </c>
      <c r="AE100" s="22">
        <v>2.4709899753718598E-2</v>
      </c>
      <c r="AF100" s="22">
        <v>4.82836956946459E-3</v>
      </c>
      <c r="AG100" s="22">
        <v>3.9786005468077099E-3</v>
      </c>
      <c r="AI100" s="5"/>
      <c r="AJ100">
        <f t="shared" si="26"/>
        <v>0</v>
      </c>
      <c r="AK100">
        <f t="shared" si="27"/>
        <v>1</v>
      </c>
      <c r="AL100">
        <f t="shared" si="34"/>
        <v>0</v>
      </c>
      <c r="AM100">
        <f t="shared" si="24"/>
        <v>1</v>
      </c>
      <c r="AN100">
        <f t="shared" si="35"/>
        <v>0</v>
      </c>
      <c r="AO100" s="17">
        <f t="shared" si="28"/>
        <v>0</v>
      </c>
      <c r="AP100" s="17">
        <f t="shared" si="29"/>
        <v>0</v>
      </c>
      <c r="AQ100" s="17">
        <f t="shared" si="36"/>
        <v>0</v>
      </c>
      <c r="AR100" s="11">
        <f t="shared" si="37"/>
        <v>0</v>
      </c>
      <c r="AT100" s="5"/>
      <c r="AU100">
        <f t="shared" si="30"/>
        <v>0</v>
      </c>
      <c r="AV100">
        <f t="shared" si="31"/>
        <v>1</v>
      </c>
      <c r="AW100">
        <f t="shared" si="38"/>
        <v>0</v>
      </c>
      <c r="AX100">
        <f t="shared" si="25"/>
        <v>1</v>
      </c>
      <c r="AY100">
        <f t="shared" si="39"/>
        <v>0</v>
      </c>
      <c r="AZ100" s="17">
        <f t="shared" si="32"/>
        <v>0</v>
      </c>
      <c r="BA100" s="17">
        <f t="shared" si="33"/>
        <v>0</v>
      </c>
      <c r="BB100" s="17">
        <f t="shared" si="40"/>
        <v>0</v>
      </c>
      <c r="BC100" s="11">
        <f t="shared" si="41"/>
        <v>-6.9512780389760637E-3</v>
      </c>
      <c r="BE100" s="11">
        <f t="shared" si="42"/>
        <v>0</v>
      </c>
      <c r="BF100" s="11">
        <f t="shared" si="43"/>
        <v>-6.9512780389760637E-3</v>
      </c>
      <c r="BH100" s="11"/>
    </row>
    <row r="101" spans="1:60" x14ac:dyDescent="0.25">
      <c r="A101" s="1">
        <v>46169</v>
      </c>
      <c r="B101" s="21">
        <v>134.44999999999999</v>
      </c>
      <c r="C101" s="21">
        <v>169.88</v>
      </c>
      <c r="D101" s="22">
        <v>8.2151320868502995E-3</v>
      </c>
      <c r="E101" s="22">
        <v>2.7114664416654998E-3</v>
      </c>
      <c r="F101" s="21">
        <v>0</v>
      </c>
      <c r="G101" s="21">
        <v>0</v>
      </c>
      <c r="H101" s="21">
        <v>0</v>
      </c>
      <c r="I101" s="21">
        <v>0.121818</v>
      </c>
      <c r="J101" s="21">
        <v>0</v>
      </c>
      <c r="K101" s="21">
        <v>0</v>
      </c>
      <c r="L101" s="21">
        <v>134.44999999999999</v>
      </c>
      <c r="M101" s="21">
        <v>169.88</v>
      </c>
      <c r="N101" s="23">
        <v>1.26351803644477</v>
      </c>
      <c r="O101" s="23">
        <v>1.3022492118915701</v>
      </c>
      <c r="P101" s="23">
        <v>1.2761818426965299</v>
      </c>
      <c r="Q101" s="23">
        <v>1.2747627614528101</v>
      </c>
      <c r="R101" s="21">
        <v>175.08740653882199</v>
      </c>
      <c r="S101" s="21">
        <v>171.763906774416</v>
      </c>
      <c r="T101" s="21">
        <v>171.49881946366699</v>
      </c>
      <c r="U101" s="22">
        <v>3.0193009722977199E-2</v>
      </c>
      <c r="V101" s="22">
        <v>1.1028593409493199E-2</v>
      </c>
      <c r="W101" s="22">
        <v>9.4840775434590196E-3</v>
      </c>
      <c r="X101" s="23">
        <v>1.26351803644477</v>
      </c>
      <c r="Y101" s="23">
        <v>1.3022759807794699</v>
      </c>
      <c r="Z101" s="23">
        <v>1.2761818426965299</v>
      </c>
      <c r="AA101" s="23">
        <v>1.2747627614528101</v>
      </c>
      <c r="AB101" s="21">
        <v>175.09100561579999</v>
      </c>
      <c r="AC101" s="21">
        <v>171.763906774416</v>
      </c>
      <c r="AD101" s="21">
        <v>171.49881946366699</v>
      </c>
      <c r="AE101" s="22">
        <v>3.02135653989032E-2</v>
      </c>
      <c r="AF101" s="22">
        <v>1.1028593409493199E-2</v>
      </c>
      <c r="AG101" s="22">
        <v>9.4840775434590196E-3</v>
      </c>
      <c r="AI101" s="5"/>
      <c r="AJ101">
        <f t="shared" si="26"/>
        <v>0</v>
      </c>
      <c r="AK101">
        <f t="shared" si="27"/>
        <v>1</v>
      </c>
      <c r="AL101">
        <f t="shared" si="34"/>
        <v>0</v>
      </c>
      <c r="AM101">
        <f t="shared" si="24"/>
        <v>1</v>
      </c>
      <c r="AN101">
        <f t="shared" si="35"/>
        <v>0</v>
      </c>
      <c r="AO101" s="17">
        <f t="shared" si="28"/>
        <v>0</v>
      </c>
      <c r="AP101" s="17">
        <f t="shared" si="29"/>
        <v>0</v>
      </c>
      <c r="AQ101" s="17">
        <f t="shared" si="36"/>
        <v>0</v>
      </c>
      <c r="AR101" s="11">
        <f t="shared" si="37"/>
        <v>0</v>
      </c>
      <c r="AT101" s="5"/>
      <c r="AU101">
        <f t="shared" si="30"/>
        <v>0</v>
      </c>
      <c r="AV101">
        <f t="shared" si="31"/>
        <v>0</v>
      </c>
      <c r="AW101">
        <f t="shared" si="38"/>
        <v>0</v>
      </c>
      <c r="AX101">
        <f t="shared" si="25"/>
        <v>1</v>
      </c>
      <c r="AY101">
        <f t="shared" si="39"/>
        <v>0</v>
      </c>
      <c r="AZ101" s="17">
        <f t="shared" si="32"/>
        <v>0</v>
      </c>
      <c r="BA101" s="17">
        <f t="shared" si="33"/>
        <v>0</v>
      </c>
      <c r="BB101" s="17">
        <f t="shared" si="40"/>
        <v>0</v>
      </c>
      <c r="BC101" s="11">
        <f t="shared" si="41"/>
        <v>-6.9512780389760637E-3</v>
      </c>
      <c r="BE101" s="11">
        <f t="shared" si="42"/>
        <v>0</v>
      </c>
      <c r="BF101" s="11">
        <f t="shared" si="43"/>
        <v>-6.9512780389760637E-3</v>
      </c>
      <c r="BH101" s="11"/>
    </row>
    <row r="102" spans="1:60" x14ac:dyDescent="0.25">
      <c r="A102" s="1">
        <v>46170</v>
      </c>
      <c r="B102" s="21">
        <v>135.99</v>
      </c>
      <c r="C102" s="21">
        <v>172.24</v>
      </c>
      <c r="D102" s="22">
        <v>1.1388970905994E-2</v>
      </c>
      <c r="E102" s="22">
        <v>1.37965476110373E-2</v>
      </c>
      <c r="F102" s="21">
        <v>0</v>
      </c>
      <c r="G102" s="21">
        <v>0</v>
      </c>
      <c r="H102" s="21">
        <v>0</v>
      </c>
      <c r="I102" s="21">
        <v>0.121818</v>
      </c>
      <c r="J102" s="21">
        <v>0</v>
      </c>
      <c r="K102" s="21">
        <v>0</v>
      </c>
      <c r="L102" s="21">
        <v>135.99</v>
      </c>
      <c r="M102" s="21">
        <v>172.24</v>
      </c>
      <c r="N102" s="23">
        <v>1.2665637179204301</v>
      </c>
      <c r="O102" s="23">
        <v>1.3022492118915701</v>
      </c>
      <c r="P102" s="23">
        <v>1.27574951371566</v>
      </c>
      <c r="Q102" s="23">
        <v>1.2739404430819601</v>
      </c>
      <c r="R102" s="21">
        <v>177.09287032513501</v>
      </c>
      <c r="S102" s="21">
        <v>173.54796878830101</v>
      </c>
      <c r="T102" s="21">
        <v>173.354987929967</v>
      </c>
      <c r="U102" s="22">
        <v>2.77854330179341E-2</v>
      </c>
      <c r="V102" s="22">
        <v>7.56518528404025E-3</v>
      </c>
      <c r="W102" s="22">
        <v>6.4525924133073198E-3</v>
      </c>
      <c r="X102" s="23">
        <v>1.2665637179204301</v>
      </c>
      <c r="Y102" s="23">
        <v>1.3022759807794699</v>
      </c>
      <c r="Z102" s="23">
        <v>1.27574951371566</v>
      </c>
      <c r="AA102" s="23">
        <v>1.2739404430819601</v>
      </c>
      <c r="AB102" s="21">
        <v>177.0965106262</v>
      </c>
      <c r="AC102" s="21">
        <v>173.54796878830101</v>
      </c>
      <c r="AD102" s="21">
        <v>173.354987929967</v>
      </c>
      <c r="AE102" s="22">
        <v>2.7805988693860001E-2</v>
      </c>
      <c r="AF102" s="22">
        <v>7.5651852840400297E-3</v>
      </c>
      <c r="AG102" s="22">
        <v>6.4525924133073198E-3</v>
      </c>
      <c r="AI102" s="5"/>
      <c r="AJ102">
        <f t="shared" si="26"/>
        <v>0</v>
      </c>
      <c r="AK102">
        <f t="shared" si="27"/>
        <v>1</v>
      </c>
      <c r="AL102">
        <f t="shared" si="34"/>
        <v>0</v>
      </c>
      <c r="AM102">
        <f t="shared" si="24"/>
        <v>1</v>
      </c>
      <c r="AN102">
        <f t="shared" si="35"/>
        <v>0</v>
      </c>
      <c r="AO102" s="17">
        <f t="shared" si="28"/>
        <v>0</v>
      </c>
      <c r="AP102" s="17">
        <f t="shared" si="29"/>
        <v>0</v>
      </c>
      <c r="AQ102" s="17">
        <f t="shared" si="36"/>
        <v>0</v>
      </c>
      <c r="AR102" s="11">
        <f t="shared" si="37"/>
        <v>0</v>
      </c>
      <c r="AT102" s="5"/>
      <c r="AU102">
        <f t="shared" si="30"/>
        <v>0</v>
      </c>
      <c r="AV102">
        <f t="shared" si="31"/>
        <v>0</v>
      </c>
      <c r="AW102">
        <f t="shared" si="38"/>
        <v>0</v>
      </c>
      <c r="AX102">
        <f t="shared" si="25"/>
        <v>1</v>
      </c>
      <c r="AY102">
        <f t="shared" si="39"/>
        <v>0</v>
      </c>
      <c r="AZ102" s="17">
        <f t="shared" si="32"/>
        <v>0</v>
      </c>
      <c r="BA102" s="17">
        <f t="shared" si="33"/>
        <v>0</v>
      </c>
      <c r="BB102" s="17">
        <f t="shared" si="40"/>
        <v>0</v>
      </c>
      <c r="BC102" s="11">
        <f t="shared" si="41"/>
        <v>-6.9512780389760637E-3</v>
      </c>
      <c r="BE102" s="11">
        <f t="shared" si="42"/>
        <v>0</v>
      </c>
      <c r="BF102" s="11">
        <f t="shared" si="43"/>
        <v>-6.9512780389760637E-3</v>
      </c>
      <c r="BH102" s="11"/>
    </row>
    <row r="103" spans="1:60" x14ac:dyDescent="0.25">
      <c r="A103" s="1">
        <v>46171</v>
      </c>
      <c r="B103" s="21">
        <v>136.69</v>
      </c>
      <c r="C103" s="21">
        <v>172.18</v>
      </c>
      <c r="D103" s="22">
        <v>5.1342345436939801E-3</v>
      </c>
      <c r="E103" s="22">
        <v>-3.4841182629903502E-4</v>
      </c>
      <c r="F103" s="21">
        <v>0</v>
      </c>
      <c r="G103" s="21">
        <v>0</v>
      </c>
      <c r="H103" s="21">
        <v>0</v>
      </c>
      <c r="I103" s="21">
        <v>0.121818</v>
      </c>
      <c r="J103" s="21">
        <v>0</v>
      </c>
      <c r="K103" s="21">
        <v>0</v>
      </c>
      <c r="L103" s="21">
        <v>136.69</v>
      </c>
      <c r="M103" s="21">
        <v>172.18</v>
      </c>
      <c r="N103" s="23">
        <v>1.25963859828809</v>
      </c>
      <c r="O103" s="23">
        <v>1.3022492118915701</v>
      </c>
      <c r="P103" s="23">
        <v>1.27466109323301</v>
      </c>
      <c r="Q103" s="23">
        <v>1.2726986617346501</v>
      </c>
      <c r="R103" s="21">
        <v>178.004444773459</v>
      </c>
      <c r="S103" s="21">
        <v>174.382201029794</v>
      </c>
      <c r="T103" s="21">
        <v>174.134919164873</v>
      </c>
      <c r="U103" s="22">
        <v>3.3268079387927002E-2</v>
      </c>
      <c r="V103" s="22">
        <v>1.2709006721366E-2</v>
      </c>
      <c r="W103" s="22">
        <v>1.1289955018660499E-2</v>
      </c>
      <c r="X103" s="23">
        <v>1.25963859828809</v>
      </c>
      <c r="Y103" s="23">
        <v>1.3022759807794699</v>
      </c>
      <c r="Z103" s="23">
        <v>1.27466109323301</v>
      </c>
      <c r="AA103" s="23">
        <v>1.2726986617346501</v>
      </c>
      <c r="AB103" s="21">
        <v>178.00810381274599</v>
      </c>
      <c r="AC103" s="21">
        <v>174.382201029794</v>
      </c>
      <c r="AD103" s="21">
        <v>174.134919164873</v>
      </c>
      <c r="AE103" s="22">
        <v>3.32886350638531E-2</v>
      </c>
      <c r="AF103" s="22">
        <v>1.2709006721366E-2</v>
      </c>
      <c r="AG103" s="22">
        <v>1.1289955018660499E-2</v>
      </c>
      <c r="AI103" s="5"/>
      <c r="AJ103">
        <f t="shared" si="26"/>
        <v>0</v>
      </c>
      <c r="AK103">
        <f t="shared" si="27"/>
        <v>1</v>
      </c>
      <c r="AL103">
        <f t="shared" si="34"/>
        <v>0</v>
      </c>
      <c r="AM103">
        <f t="shared" si="24"/>
        <v>1</v>
      </c>
      <c r="AN103">
        <f t="shared" si="35"/>
        <v>0</v>
      </c>
      <c r="AO103" s="17">
        <f t="shared" si="28"/>
        <v>0</v>
      </c>
      <c r="AP103" s="17">
        <f t="shared" si="29"/>
        <v>0</v>
      </c>
      <c r="AQ103" s="17">
        <f t="shared" si="36"/>
        <v>0</v>
      </c>
      <c r="AR103" s="11">
        <f t="shared" si="37"/>
        <v>0</v>
      </c>
      <c r="AT103" s="5"/>
      <c r="AU103">
        <f t="shared" si="30"/>
        <v>0</v>
      </c>
      <c r="AV103">
        <f t="shared" si="31"/>
        <v>0</v>
      </c>
      <c r="AW103">
        <f t="shared" si="38"/>
        <v>0</v>
      </c>
      <c r="AX103">
        <f t="shared" si="25"/>
        <v>1</v>
      </c>
      <c r="AY103">
        <f t="shared" si="39"/>
        <v>0</v>
      </c>
      <c r="AZ103" s="17">
        <f t="shared" si="32"/>
        <v>0</v>
      </c>
      <c r="BA103" s="17">
        <f t="shared" si="33"/>
        <v>0</v>
      </c>
      <c r="BB103" s="17">
        <f t="shared" si="40"/>
        <v>0</v>
      </c>
      <c r="BC103" s="11">
        <f t="shared" si="41"/>
        <v>-6.9512780389760637E-3</v>
      </c>
      <c r="BE103" s="11">
        <f t="shared" si="42"/>
        <v>0</v>
      </c>
      <c r="BF103" s="11">
        <f t="shared" si="43"/>
        <v>-6.9512780389760637E-3</v>
      </c>
      <c r="BH103" s="11"/>
    </row>
    <row r="104" spans="1:60" x14ac:dyDescent="0.25">
      <c r="A104" s="1">
        <v>46174</v>
      </c>
      <c r="B104" s="21">
        <v>133.62</v>
      </c>
      <c r="C104" s="21">
        <v>169.37</v>
      </c>
      <c r="D104" s="22">
        <v>-2.2715637667230299E-2</v>
      </c>
      <c r="E104" s="22">
        <v>-1.6454770326778601E-2</v>
      </c>
      <c r="F104" s="21">
        <v>0</v>
      </c>
      <c r="G104" s="21">
        <v>0</v>
      </c>
      <c r="H104" s="21">
        <v>0</v>
      </c>
      <c r="I104" s="21">
        <v>0.121818</v>
      </c>
      <c r="J104" s="21">
        <v>0</v>
      </c>
      <c r="K104" s="21">
        <v>0</v>
      </c>
      <c r="L104" s="21">
        <v>133.62</v>
      </c>
      <c r="M104" s="21">
        <v>169.37</v>
      </c>
      <c r="N104" s="23">
        <v>1.2675497679987999</v>
      </c>
      <c r="O104" s="23">
        <v>1.3022492118915701</v>
      </c>
      <c r="P104" s="23">
        <v>1.2737628448435101</v>
      </c>
      <c r="Q104" s="23">
        <v>1.2719487156920199</v>
      </c>
      <c r="R104" s="21">
        <v>174.006539692952</v>
      </c>
      <c r="S104" s="21">
        <v>170.320215277795</v>
      </c>
      <c r="T104" s="21">
        <v>170.05799518098499</v>
      </c>
      <c r="U104" s="22">
        <v>2.7007212047475498E-2</v>
      </c>
      <c r="V104" s="22">
        <v>5.5946136421498698E-3</v>
      </c>
      <c r="W104" s="22">
        <v>4.0538560928833501E-3</v>
      </c>
      <c r="X104" s="23">
        <v>1.2675497679987999</v>
      </c>
      <c r="Y104" s="23">
        <v>1.3022759807794699</v>
      </c>
      <c r="Z104" s="23">
        <v>1.2737628448435101</v>
      </c>
      <c r="AA104" s="23">
        <v>1.2719487156920199</v>
      </c>
      <c r="AB104" s="21">
        <v>174.01011655175299</v>
      </c>
      <c r="AC104" s="21">
        <v>170.320215277795</v>
      </c>
      <c r="AD104" s="21">
        <v>170.05799518098499</v>
      </c>
      <c r="AE104" s="22">
        <v>2.70277677234015E-2</v>
      </c>
      <c r="AF104" s="22">
        <v>5.5946136421500901E-3</v>
      </c>
      <c r="AG104" s="22">
        <v>4.0538560928833501E-3</v>
      </c>
      <c r="AI104" s="5"/>
      <c r="AJ104">
        <f t="shared" si="26"/>
        <v>0</v>
      </c>
      <c r="AK104">
        <f t="shared" si="27"/>
        <v>1</v>
      </c>
      <c r="AL104">
        <f t="shared" si="34"/>
        <v>0</v>
      </c>
      <c r="AM104">
        <f t="shared" si="24"/>
        <v>1</v>
      </c>
      <c r="AN104">
        <f t="shared" si="35"/>
        <v>0</v>
      </c>
      <c r="AO104" s="17">
        <f t="shared" si="28"/>
        <v>0</v>
      </c>
      <c r="AP104" s="17">
        <f t="shared" si="29"/>
        <v>0</v>
      </c>
      <c r="AQ104" s="17">
        <f t="shared" si="36"/>
        <v>0</v>
      </c>
      <c r="AR104" s="11">
        <f t="shared" si="37"/>
        <v>0</v>
      </c>
      <c r="AT104" s="5"/>
      <c r="AU104">
        <f t="shared" si="30"/>
        <v>0</v>
      </c>
      <c r="AV104">
        <f t="shared" si="31"/>
        <v>1</v>
      </c>
      <c r="AW104">
        <f t="shared" si="38"/>
        <v>0</v>
      </c>
      <c r="AX104">
        <f t="shared" si="25"/>
        <v>1</v>
      </c>
      <c r="AY104">
        <f t="shared" si="39"/>
        <v>0</v>
      </c>
      <c r="AZ104" s="17">
        <f t="shared" si="32"/>
        <v>0</v>
      </c>
      <c r="BA104" s="17">
        <f t="shared" si="33"/>
        <v>0</v>
      </c>
      <c r="BB104" s="17">
        <f t="shared" si="40"/>
        <v>0</v>
      </c>
      <c r="BC104" s="11">
        <f t="shared" si="41"/>
        <v>-6.9512780389760637E-3</v>
      </c>
      <c r="BE104" s="11">
        <f t="shared" si="42"/>
        <v>0</v>
      </c>
      <c r="BF104" s="11">
        <f t="shared" si="43"/>
        <v>-6.9512780389760637E-3</v>
      </c>
      <c r="BH104" s="11"/>
    </row>
    <row r="105" spans="1:60" x14ac:dyDescent="0.25">
      <c r="A105" s="1">
        <v>46175</v>
      </c>
      <c r="B105" s="21">
        <v>127.76</v>
      </c>
      <c r="C105" s="21">
        <v>164.27</v>
      </c>
      <c r="D105" s="22">
        <v>-4.4846446590574199E-2</v>
      </c>
      <c r="E105" s="22">
        <v>-3.0574255349921298E-2</v>
      </c>
      <c r="F105" s="21">
        <v>0</v>
      </c>
      <c r="G105" s="21">
        <v>0</v>
      </c>
      <c r="H105" s="21">
        <v>0</v>
      </c>
      <c r="I105" s="21">
        <v>0.121818</v>
      </c>
      <c r="J105" s="21">
        <v>0</v>
      </c>
      <c r="K105" s="21">
        <v>0</v>
      </c>
      <c r="L105" s="21">
        <v>127.76</v>
      </c>
      <c r="M105" s="21">
        <v>164.27</v>
      </c>
      <c r="N105" s="23">
        <v>1.2857701941139601</v>
      </c>
      <c r="O105" s="23">
        <v>1.3022492118915701</v>
      </c>
      <c r="P105" s="23">
        <v>1.27386019009497</v>
      </c>
      <c r="Q105" s="23">
        <v>1.27250688831907</v>
      </c>
      <c r="R105" s="21">
        <v>166.375359311267</v>
      </c>
      <c r="S105" s="21">
        <v>162.73594105720699</v>
      </c>
      <c r="T105" s="21">
        <v>162.504167916813</v>
      </c>
      <c r="U105" s="22">
        <v>1.2735020806822501E-2</v>
      </c>
      <c r="V105" s="22">
        <v>-9.3825218687843496E-3</v>
      </c>
      <c r="W105" s="22">
        <v>-1.0807765393386499E-2</v>
      </c>
      <c r="X105" s="23">
        <v>1.2857701941139601</v>
      </c>
      <c r="Y105" s="23">
        <v>1.3022759807794699</v>
      </c>
      <c r="Z105" s="23">
        <v>1.27386019009497</v>
      </c>
      <c r="AA105" s="23">
        <v>1.27250688831907</v>
      </c>
      <c r="AB105" s="21">
        <v>166.37877930438501</v>
      </c>
      <c r="AC105" s="21">
        <v>162.73594105720699</v>
      </c>
      <c r="AD105" s="21">
        <v>162.504167916813</v>
      </c>
      <c r="AE105" s="22">
        <v>1.2755576482748599E-2</v>
      </c>
      <c r="AF105" s="22">
        <v>-9.3825218687843496E-3</v>
      </c>
      <c r="AG105" s="22">
        <v>-1.08077653933867E-2</v>
      </c>
      <c r="AI105" s="5"/>
      <c r="AJ105">
        <f t="shared" si="26"/>
        <v>0</v>
      </c>
      <c r="AK105">
        <f t="shared" si="27"/>
        <v>1</v>
      </c>
      <c r="AL105">
        <f t="shared" si="34"/>
        <v>0</v>
      </c>
      <c r="AM105">
        <f t="shared" si="24"/>
        <v>1</v>
      </c>
      <c r="AN105">
        <f t="shared" si="35"/>
        <v>0</v>
      </c>
      <c r="AO105" s="17">
        <f t="shared" si="28"/>
        <v>0</v>
      </c>
      <c r="AP105" s="17">
        <f t="shared" si="29"/>
        <v>0</v>
      </c>
      <c r="AQ105" s="17">
        <f t="shared" si="36"/>
        <v>0</v>
      </c>
      <c r="AR105" s="11">
        <f t="shared" si="37"/>
        <v>0</v>
      </c>
      <c r="AT105" s="5"/>
      <c r="AU105">
        <f t="shared" si="30"/>
        <v>0</v>
      </c>
      <c r="AV105">
        <f t="shared" si="31"/>
        <v>1</v>
      </c>
      <c r="AW105">
        <f t="shared" si="38"/>
        <v>0</v>
      </c>
      <c r="AX105">
        <f t="shared" si="25"/>
        <v>1</v>
      </c>
      <c r="AY105">
        <f t="shared" si="39"/>
        <v>0</v>
      </c>
      <c r="AZ105" s="17">
        <f t="shared" si="32"/>
        <v>0</v>
      </c>
      <c r="BA105" s="17">
        <f t="shared" si="33"/>
        <v>0</v>
      </c>
      <c r="BB105" s="17">
        <f t="shared" si="40"/>
        <v>0</v>
      </c>
      <c r="BC105" s="11">
        <f t="shared" si="41"/>
        <v>-6.9512780389760637E-3</v>
      </c>
      <c r="BE105" s="11">
        <f t="shared" si="42"/>
        <v>0</v>
      </c>
      <c r="BF105" s="11">
        <f t="shared" si="43"/>
        <v>-6.9512780389760637E-3</v>
      </c>
      <c r="BH105" s="11"/>
    </row>
    <row r="106" spans="1:60" x14ac:dyDescent="0.25">
      <c r="A106" s="1">
        <v>46176</v>
      </c>
      <c r="B106" s="21">
        <v>129.83000000000001</v>
      </c>
      <c r="C106" s="21">
        <v>167.5</v>
      </c>
      <c r="D106" s="22">
        <v>1.6072398465405102E-2</v>
      </c>
      <c r="E106" s="22">
        <v>1.9471935712012601E-2</v>
      </c>
      <c r="F106" s="21">
        <v>0</v>
      </c>
      <c r="G106" s="21">
        <v>0</v>
      </c>
      <c r="H106" s="21">
        <v>0</v>
      </c>
      <c r="I106" s="21">
        <v>0.121818</v>
      </c>
      <c r="J106" s="21">
        <v>0</v>
      </c>
      <c r="K106" s="21">
        <v>0</v>
      </c>
      <c r="L106" s="21">
        <v>129.83000000000001</v>
      </c>
      <c r="M106" s="21">
        <v>167.5</v>
      </c>
      <c r="N106" s="23">
        <v>1.29014865593468</v>
      </c>
      <c r="O106" s="23">
        <v>1.3022492118915701</v>
      </c>
      <c r="P106" s="23">
        <v>1.2733774612409201</v>
      </c>
      <c r="Q106" s="23">
        <v>1.2733548547879801</v>
      </c>
      <c r="R106" s="21">
        <v>169.07101517988301</v>
      </c>
      <c r="S106" s="21">
        <v>165.38526848002999</v>
      </c>
      <c r="T106" s="21">
        <v>165.20956931046501</v>
      </c>
      <c r="U106" s="22">
        <v>9.3354835602149893E-3</v>
      </c>
      <c r="V106" s="22">
        <v>-1.27056386637277E-2</v>
      </c>
      <c r="W106" s="22">
        <v>-1.3768566247722099E-2</v>
      </c>
      <c r="X106" s="23">
        <v>1.29014865593468</v>
      </c>
      <c r="Y106" s="23">
        <v>1.3022759807794699</v>
      </c>
      <c r="Z106" s="23">
        <v>1.2733774612409201</v>
      </c>
      <c r="AA106" s="23">
        <v>1.2733548547879801</v>
      </c>
      <c r="AB106" s="21">
        <v>169.074490584599</v>
      </c>
      <c r="AC106" s="21">
        <v>165.38526848002999</v>
      </c>
      <c r="AD106" s="21">
        <v>165.20956931046501</v>
      </c>
      <c r="AE106" s="22">
        <v>9.3560392361410998E-3</v>
      </c>
      <c r="AF106" s="22">
        <v>-1.27056386637275E-2</v>
      </c>
      <c r="AG106" s="22">
        <v>-1.3768566247722099E-2</v>
      </c>
      <c r="AI106" s="5"/>
      <c r="AJ106">
        <f t="shared" si="26"/>
        <v>0</v>
      </c>
      <c r="AK106">
        <f t="shared" si="27"/>
        <v>1</v>
      </c>
      <c r="AL106">
        <f t="shared" si="34"/>
        <v>0</v>
      </c>
      <c r="AM106">
        <f t="shared" si="24"/>
        <v>1</v>
      </c>
      <c r="AN106">
        <f t="shared" si="35"/>
        <v>0</v>
      </c>
      <c r="AO106" s="17">
        <f t="shared" si="28"/>
        <v>0</v>
      </c>
      <c r="AP106" s="17">
        <f t="shared" si="29"/>
        <v>0</v>
      </c>
      <c r="AQ106" s="17">
        <f t="shared" si="36"/>
        <v>0</v>
      </c>
      <c r="AR106" s="11">
        <f t="shared" si="37"/>
        <v>0</v>
      </c>
      <c r="AT106" s="5"/>
      <c r="AU106">
        <f t="shared" si="30"/>
        <v>0</v>
      </c>
      <c r="AV106">
        <f t="shared" si="31"/>
        <v>1</v>
      </c>
      <c r="AW106">
        <f t="shared" si="38"/>
        <v>0</v>
      </c>
      <c r="AX106">
        <f t="shared" si="25"/>
        <v>1</v>
      </c>
      <c r="AY106">
        <f t="shared" si="39"/>
        <v>0</v>
      </c>
      <c r="AZ106" s="17">
        <f t="shared" si="32"/>
        <v>0</v>
      </c>
      <c r="BA106" s="17">
        <f t="shared" si="33"/>
        <v>0</v>
      </c>
      <c r="BB106" s="17">
        <f t="shared" si="40"/>
        <v>0</v>
      </c>
      <c r="BC106" s="11">
        <f t="shared" si="41"/>
        <v>-6.9512780389760637E-3</v>
      </c>
      <c r="BE106" s="11">
        <f t="shared" si="42"/>
        <v>0</v>
      </c>
      <c r="BF106" s="11">
        <f t="shared" si="43"/>
        <v>-6.9512780389760637E-3</v>
      </c>
      <c r="BH106" s="11"/>
    </row>
    <row r="107" spans="1:60" x14ac:dyDescent="0.25">
      <c r="A107" s="1">
        <v>46177</v>
      </c>
      <c r="B107" s="21">
        <v>133.41999999999999</v>
      </c>
      <c r="C107" s="21">
        <v>171.43</v>
      </c>
      <c r="D107" s="22">
        <v>2.7276144909207101E-2</v>
      </c>
      <c r="E107" s="22">
        <v>2.3191668754268601E-2</v>
      </c>
      <c r="F107" s="21">
        <v>0</v>
      </c>
      <c r="G107" s="21">
        <v>0</v>
      </c>
      <c r="H107" s="21">
        <v>0</v>
      </c>
      <c r="I107" s="21">
        <v>0.121818</v>
      </c>
      <c r="J107" s="21">
        <v>0</v>
      </c>
      <c r="K107" s="21">
        <v>0</v>
      </c>
      <c r="L107" s="21">
        <v>133.41999999999999</v>
      </c>
      <c r="M107" s="21">
        <v>171.43</v>
      </c>
      <c r="N107" s="23">
        <v>1.2848898216159499</v>
      </c>
      <c r="O107" s="23">
        <v>1.3022492118915701</v>
      </c>
      <c r="P107" s="23">
        <v>1.27438181808933</v>
      </c>
      <c r="Q107" s="23">
        <v>1.27445655098208</v>
      </c>
      <c r="R107" s="21">
        <v>173.74608985057299</v>
      </c>
      <c r="S107" s="21">
        <v>169.894020878764</v>
      </c>
      <c r="T107" s="21">
        <v>169.891004725812</v>
      </c>
      <c r="U107" s="22">
        <v>1.34199597151534E-2</v>
      </c>
      <c r="V107" s="22">
        <v>-9.0001839633194903E-3</v>
      </c>
      <c r="W107" s="22">
        <v>-9.0179372645237694E-3</v>
      </c>
      <c r="X107" s="23">
        <v>1.2848898216159499</v>
      </c>
      <c r="Y107" s="23">
        <v>1.3022759807794699</v>
      </c>
      <c r="Z107" s="23">
        <v>1.27438181808933</v>
      </c>
      <c r="AA107" s="23">
        <v>1.27445655098208</v>
      </c>
      <c r="AB107" s="21">
        <v>173.749661355597</v>
      </c>
      <c r="AC107" s="21">
        <v>169.894020878764</v>
      </c>
      <c r="AD107" s="21">
        <v>169.891004725812</v>
      </c>
      <c r="AE107" s="22">
        <v>1.34405153910795E-2</v>
      </c>
      <c r="AF107" s="22">
        <v>-9.0001839633194903E-3</v>
      </c>
      <c r="AG107" s="22">
        <v>-9.0179372645237694E-3</v>
      </c>
      <c r="AI107" s="5"/>
      <c r="AJ107">
        <f t="shared" si="26"/>
        <v>0</v>
      </c>
      <c r="AK107">
        <f t="shared" si="27"/>
        <v>1</v>
      </c>
      <c r="AL107">
        <f t="shared" si="34"/>
        <v>0</v>
      </c>
      <c r="AM107">
        <f t="shared" si="24"/>
        <v>1</v>
      </c>
      <c r="AN107">
        <f t="shared" si="35"/>
        <v>0</v>
      </c>
      <c r="AO107" s="17">
        <f t="shared" si="28"/>
        <v>0</v>
      </c>
      <c r="AP107" s="17">
        <f t="shared" si="29"/>
        <v>0</v>
      </c>
      <c r="AQ107" s="17">
        <f t="shared" si="36"/>
        <v>0</v>
      </c>
      <c r="AR107" s="11">
        <f t="shared" si="37"/>
        <v>0</v>
      </c>
      <c r="AT107" s="5"/>
      <c r="AU107">
        <f t="shared" si="30"/>
        <v>0</v>
      </c>
      <c r="AV107">
        <f t="shared" si="31"/>
        <v>1</v>
      </c>
      <c r="AW107">
        <f t="shared" si="38"/>
        <v>0</v>
      </c>
      <c r="AX107">
        <f t="shared" si="25"/>
        <v>1</v>
      </c>
      <c r="AY107">
        <f t="shared" si="39"/>
        <v>0</v>
      </c>
      <c r="AZ107" s="17">
        <f t="shared" si="32"/>
        <v>0</v>
      </c>
      <c r="BA107" s="17">
        <f t="shared" si="33"/>
        <v>0</v>
      </c>
      <c r="BB107" s="17">
        <f t="shared" si="40"/>
        <v>0</v>
      </c>
      <c r="BC107" s="11">
        <f t="shared" si="41"/>
        <v>-6.9512780389760637E-3</v>
      </c>
      <c r="BE107" s="11">
        <f t="shared" si="42"/>
        <v>0</v>
      </c>
      <c r="BF107" s="11">
        <f t="shared" si="43"/>
        <v>-6.9512780389760637E-3</v>
      </c>
      <c r="BH107" s="11"/>
    </row>
    <row r="108" spans="1:60" x14ac:dyDescent="0.25">
      <c r="A108" s="1">
        <v>46178</v>
      </c>
      <c r="B108" s="21">
        <v>128.66999999999999</v>
      </c>
      <c r="C108" s="21">
        <v>168.44</v>
      </c>
      <c r="D108" s="22">
        <v>-3.6251060084470502E-2</v>
      </c>
      <c r="E108" s="22">
        <v>-1.7595416725662599E-2</v>
      </c>
      <c r="F108" s="21">
        <v>0</v>
      </c>
      <c r="G108" s="21">
        <v>0</v>
      </c>
      <c r="H108" s="21">
        <v>0</v>
      </c>
      <c r="I108" s="21">
        <v>0.121818</v>
      </c>
      <c r="J108" s="21">
        <v>0</v>
      </c>
      <c r="K108" s="21">
        <v>0</v>
      </c>
      <c r="L108" s="21">
        <v>128.66999999999999</v>
      </c>
      <c r="M108" s="21">
        <v>168.44</v>
      </c>
      <c r="N108" s="23">
        <v>1.30908525685863</v>
      </c>
      <c r="O108" s="23">
        <v>1.3022492118915701</v>
      </c>
      <c r="P108" s="23">
        <v>1.2779669516980701</v>
      </c>
      <c r="Q108" s="23">
        <v>1.2762792112513199</v>
      </c>
      <c r="R108" s="21">
        <v>167.56040609408799</v>
      </c>
      <c r="S108" s="21">
        <v>163.97470853355401</v>
      </c>
      <c r="T108" s="21">
        <v>163.98432441486401</v>
      </c>
      <c r="U108" s="22">
        <v>-5.2356836436542103E-3</v>
      </c>
      <c r="V108" s="22">
        <v>-2.6867403620891499E-2</v>
      </c>
      <c r="W108" s="22">
        <v>-2.6808762874048299E-2</v>
      </c>
      <c r="X108" s="23">
        <v>1.30908525685863</v>
      </c>
      <c r="Y108" s="23">
        <v>1.3022759807794699</v>
      </c>
      <c r="Z108" s="23">
        <v>1.2779669516980701</v>
      </c>
      <c r="AA108" s="23">
        <v>1.2762792112513199</v>
      </c>
      <c r="AB108" s="21">
        <v>167.56385044689401</v>
      </c>
      <c r="AC108" s="21">
        <v>163.97470853355401</v>
      </c>
      <c r="AD108" s="21">
        <v>163.98432441486401</v>
      </c>
      <c r="AE108" s="22">
        <v>-5.2151279677282404E-3</v>
      </c>
      <c r="AF108" s="22">
        <v>-2.6867403620891701E-2</v>
      </c>
      <c r="AG108" s="22">
        <v>-2.6808762874048299E-2</v>
      </c>
      <c r="AI108" s="5"/>
      <c r="AJ108">
        <f t="shared" si="26"/>
        <v>1</v>
      </c>
      <c r="AK108">
        <f t="shared" si="27"/>
        <v>0</v>
      </c>
      <c r="AL108">
        <f t="shared" si="34"/>
        <v>0</v>
      </c>
      <c r="AM108">
        <f t="shared" si="24"/>
        <v>1</v>
      </c>
      <c r="AN108">
        <f t="shared" si="35"/>
        <v>0</v>
      </c>
      <c r="AO108" s="17">
        <f t="shared" si="28"/>
        <v>0</v>
      </c>
      <c r="AP108" s="17">
        <f t="shared" si="29"/>
        <v>0</v>
      </c>
      <c r="AQ108" s="17">
        <f t="shared" si="36"/>
        <v>0</v>
      </c>
      <c r="AR108" s="11">
        <f t="shared" si="37"/>
        <v>0</v>
      </c>
      <c r="AT108" s="5"/>
      <c r="AU108">
        <f t="shared" si="30"/>
        <v>0</v>
      </c>
      <c r="AV108">
        <f t="shared" si="31"/>
        <v>1</v>
      </c>
      <c r="AW108">
        <f t="shared" si="38"/>
        <v>0</v>
      </c>
      <c r="AX108">
        <f t="shared" si="25"/>
        <v>1</v>
      </c>
      <c r="AY108">
        <f t="shared" si="39"/>
        <v>0</v>
      </c>
      <c r="AZ108" s="17">
        <f t="shared" si="32"/>
        <v>0</v>
      </c>
      <c r="BA108" s="17">
        <f t="shared" si="33"/>
        <v>0</v>
      </c>
      <c r="BB108" s="17">
        <f t="shared" si="40"/>
        <v>0</v>
      </c>
      <c r="BC108" s="11">
        <f t="shared" si="41"/>
        <v>-6.9512780389760637E-3</v>
      </c>
      <c r="BE108" s="11">
        <f t="shared" si="42"/>
        <v>0</v>
      </c>
      <c r="BF108" s="11">
        <f t="shared" si="43"/>
        <v>-6.9512780389760637E-3</v>
      </c>
      <c r="BH108" s="11"/>
    </row>
    <row r="109" spans="1:60" x14ac:dyDescent="0.25">
      <c r="A109" s="1">
        <v>46181</v>
      </c>
      <c r="B109" s="21">
        <v>128.43</v>
      </c>
      <c r="C109" s="21">
        <v>166.92</v>
      </c>
      <c r="D109" s="22">
        <v>-1.86697837193422E-3</v>
      </c>
      <c r="E109" s="22">
        <v>-9.0649475703752092E-3</v>
      </c>
      <c r="F109" s="21">
        <v>0</v>
      </c>
      <c r="G109" s="21">
        <v>0</v>
      </c>
      <c r="H109" s="21">
        <v>0</v>
      </c>
      <c r="I109" s="21">
        <v>0.121818</v>
      </c>
      <c r="J109" s="21">
        <v>0</v>
      </c>
      <c r="K109" s="21">
        <v>0</v>
      </c>
      <c r="L109" s="21">
        <v>128.43</v>
      </c>
      <c r="M109" s="21">
        <v>166.92</v>
      </c>
      <c r="N109" s="23">
        <v>1.2996963326325599</v>
      </c>
      <c r="O109" s="23">
        <v>1.3022492118915701</v>
      </c>
      <c r="P109" s="23">
        <v>1.2797351570409301</v>
      </c>
      <c r="Q109" s="23">
        <v>1.27818779003869</v>
      </c>
      <c r="R109" s="21">
        <v>167.247866283234</v>
      </c>
      <c r="S109" s="21">
        <v>164.12929560658401</v>
      </c>
      <c r="T109" s="21">
        <v>163.91253910100701</v>
      </c>
      <c r="U109" s="22">
        <v>1.9622855547866201E-3</v>
      </c>
      <c r="V109" s="22">
        <v>-1.6860150668579699E-2</v>
      </c>
      <c r="W109" s="22">
        <v>-1.8181668317786798E-2</v>
      </c>
      <c r="X109" s="23">
        <v>1.2996963326325599</v>
      </c>
      <c r="Y109" s="23">
        <v>1.3022759807794699</v>
      </c>
      <c r="Z109" s="23">
        <v>1.2797351570409301</v>
      </c>
      <c r="AA109" s="23">
        <v>1.27818779003869</v>
      </c>
      <c r="AB109" s="21">
        <v>167.251304211507</v>
      </c>
      <c r="AC109" s="21">
        <v>164.12929560658401</v>
      </c>
      <c r="AD109" s="21">
        <v>163.91253910100701</v>
      </c>
      <c r="AE109" s="22">
        <v>1.98284123071294E-3</v>
      </c>
      <c r="AF109" s="22">
        <v>-1.6860150668579699E-2</v>
      </c>
      <c r="AG109" s="22">
        <v>-1.8181668317786798E-2</v>
      </c>
      <c r="AI109" s="5"/>
      <c r="AJ109">
        <f t="shared" si="26"/>
        <v>0</v>
      </c>
      <c r="AK109">
        <f t="shared" si="27"/>
        <v>0</v>
      </c>
      <c r="AL109">
        <f t="shared" si="34"/>
        <v>1</v>
      </c>
      <c r="AM109">
        <f t="shared" si="24"/>
        <v>1</v>
      </c>
      <c r="AN109">
        <f t="shared" si="35"/>
        <v>1</v>
      </c>
      <c r="AO109" s="17">
        <f t="shared" si="28"/>
        <v>-1.86697837193422E-3</v>
      </c>
      <c r="AP109" s="17">
        <f t="shared" si="29"/>
        <v>9.0649475703752092E-3</v>
      </c>
      <c r="AQ109" s="17">
        <f t="shared" si="36"/>
        <v>7.1979691984409896E-3</v>
      </c>
      <c r="AR109" s="11">
        <f t="shared" si="37"/>
        <v>7.1979691984409896E-3</v>
      </c>
      <c r="AT109" s="5"/>
      <c r="AU109">
        <f t="shared" si="30"/>
        <v>0</v>
      </c>
      <c r="AV109">
        <f t="shared" si="31"/>
        <v>1</v>
      </c>
      <c r="AW109">
        <f t="shared" si="38"/>
        <v>0</v>
      </c>
      <c r="AX109">
        <f t="shared" si="25"/>
        <v>1</v>
      </c>
      <c r="AY109">
        <f t="shared" si="39"/>
        <v>0</v>
      </c>
      <c r="AZ109" s="17">
        <f t="shared" si="32"/>
        <v>0</v>
      </c>
      <c r="BA109" s="17">
        <f t="shared" si="33"/>
        <v>0</v>
      </c>
      <c r="BB109" s="17">
        <f t="shared" si="40"/>
        <v>0</v>
      </c>
      <c r="BC109" s="11">
        <f t="shared" si="41"/>
        <v>-6.9512780389760637E-3</v>
      </c>
      <c r="BE109" s="11">
        <f t="shared" si="42"/>
        <v>7.1979691984409896E-3</v>
      </c>
      <c r="BF109" s="11">
        <f t="shared" si="43"/>
        <v>2.4669115946492591E-4</v>
      </c>
      <c r="BH109" s="11"/>
    </row>
    <row r="110" spans="1:60" x14ac:dyDescent="0.25">
      <c r="A110" s="1">
        <v>46182</v>
      </c>
      <c r="B110" s="21">
        <v>131.38</v>
      </c>
      <c r="C110" s="21">
        <v>169.36</v>
      </c>
      <c r="D110" s="22">
        <v>2.2709878639362399E-2</v>
      </c>
      <c r="E110" s="22">
        <v>1.4511971103258E-2</v>
      </c>
      <c r="F110" s="21">
        <v>0</v>
      </c>
      <c r="G110" s="21">
        <v>0</v>
      </c>
      <c r="H110" s="21">
        <v>0</v>
      </c>
      <c r="I110" s="21">
        <v>0.121818</v>
      </c>
      <c r="J110" s="21">
        <v>0</v>
      </c>
      <c r="K110" s="21">
        <v>0</v>
      </c>
      <c r="L110" s="21">
        <v>131.38</v>
      </c>
      <c r="M110" s="21">
        <v>169.36</v>
      </c>
      <c r="N110" s="23">
        <v>1.28908509666615</v>
      </c>
      <c r="O110" s="23">
        <v>1.3022492118915701</v>
      </c>
      <c r="P110" s="23">
        <v>1.2815945478474</v>
      </c>
      <c r="Q110" s="23">
        <v>1.2795622675064999</v>
      </c>
      <c r="R110" s="21">
        <v>171.089501458315</v>
      </c>
      <c r="S110" s="21">
        <v>168.13160493203699</v>
      </c>
      <c r="T110" s="21">
        <v>167.928311855283</v>
      </c>
      <c r="U110" s="22">
        <v>1.01601930908912E-2</v>
      </c>
      <c r="V110" s="22">
        <v>-7.2795914010582198E-3</v>
      </c>
      <c r="W110" s="22">
        <v>-8.4894536392896205E-3</v>
      </c>
      <c r="X110" s="23">
        <v>1.28908509666615</v>
      </c>
      <c r="Y110" s="23">
        <v>1.3022759807794699</v>
      </c>
      <c r="Z110" s="23">
        <v>1.2815945478474</v>
      </c>
      <c r="AA110" s="23">
        <v>1.2795622675064999</v>
      </c>
      <c r="AB110" s="21">
        <v>171.09301835480699</v>
      </c>
      <c r="AC110" s="21">
        <v>168.13160493203699</v>
      </c>
      <c r="AD110" s="21">
        <v>167.928311855283</v>
      </c>
      <c r="AE110" s="22">
        <v>1.0180748766817E-2</v>
      </c>
      <c r="AF110" s="22">
        <v>-7.2795914010582198E-3</v>
      </c>
      <c r="AG110" s="22">
        <v>-8.4894536392896205E-3</v>
      </c>
      <c r="AI110" s="5"/>
      <c r="AJ110">
        <f t="shared" si="26"/>
        <v>0</v>
      </c>
      <c r="AK110">
        <f t="shared" si="27"/>
        <v>1</v>
      </c>
      <c r="AL110">
        <f t="shared" si="34"/>
        <v>1</v>
      </c>
      <c r="AM110">
        <f t="shared" si="24"/>
        <v>1</v>
      </c>
      <c r="AN110">
        <f t="shared" si="35"/>
        <v>1</v>
      </c>
      <c r="AO110" s="17">
        <f t="shared" si="28"/>
        <v>2.2709878639362399E-2</v>
      </c>
      <c r="AP110" s="17">
        <f t="shared" si="29"/>
        <v>-1.4511971103258E-2</v>
      </c>
      <c r="AQ110" s="17">
        <f t="shared" si="36"/>
        <v>8.1979075361043995E-3</v>
      </c>
      <c r="AR110" s="11">
        <f t="shared" si="37"/>
        <v>1.5395876734545389E-2</v>
      </c>
      <c r="AT110" s="5"/>
      <c r="AU110">
        <f t="shared" si="30"/>
        <v>0</v>
      </c>
      <c r="AV110">
        <f t="shared" si="31"/>
        <v>1</v>
      </c>
      <c r="AW110">
        <f t="shared" si="38"/>
        <v>0</v>
      </c>
      <c r="AX110">
        <f t="shared" si="25"/>
        <v>1</v>
      </c>
      <c r="AY110">
        <f t="shared" si="39"/>
        <v>0</v>
      </c>
      <c r="AZ110" s="17">
        <f t="shared" si="32"/>
        <v>0</v>
      </c>
      <c r="BA110" s="17">
        <f t="shared" si="33"/>
        <v>0</v>
      </c>
      <c r="BB110" s="17">
        <f t="shared" si="40"/>
        <v>0</v>
      </c>
      <c r="BC110" s="11">
        <f t="shared" si="41"/>
        <v>-6.9512780389760637E-3</v>
      </c>
      <c r="BE110" s="11">
        <f t="shared" si="42"/>
        <v>8.1979075361043995E-3</v>
      </c>
      <c r="BF110" s="11">
        <f t="shared" si="43"/>
        <v>8.4445986955693254E-3</v>
      </c>
      <c r="BH110" s="11"/>
    </row>
    <row r="111" spans="1:60" x14ac:dyDescent="0.25">
      <c r="A111" s="1">
        <v>46183</v>
      </c>
      <c r="B111" s="21">
        <v>128.85</v>
      </c>
      <c r="C111" s="21">
        <v>165.93</v>
      </c>
      <c r="D111" s="22">
        <v>-1.9444950365952798E-2</v>
      </c>
      <c r="E111" s="22">
        <v>-2.04606141519134E-2</v>
      </c>
      <c r="F111" s="21">
        <v>0</v>
      </c>
      <c r="G111" s="21">
        <v>0</v>
      </c>
      <c r="H111" s="21">
        <v>0</v>
      </c>
      <c r="I111" s="21">
        <v>0.121818</v>
      </c>
      <c r="J111" s="21">
        <v>0</v>
      </c>
      <c r="K111" s="21">
        <v>0</v>
      </c>
      <c r="L111" s="21">
        <v>128.85</v>
      </c>
      <c r="M111" s="21">
        <v>165.93</v>
      </c>
      <c r="N111" s="23">
        <v>1.28777648428405</v>
      </c>
      <c r="O111" s="23">
        <v>1.3022492118915701</v>
      </c>
      <c r="P111" s="23">
        <v>1.2840203926313301</v>
      </c>
      <c r="Q111" s="23">
        <v>1.2801011176639301</v>
      </c>
      <c r="R111" s="21">
        <v>167.794810952229</v>
      </c>
      <c r="S111" s="21">
        <v>165.133457490138</v>
      </c>
      <c r="T111" s="21">
        <v>164.87159816821301</v>
      </c>
      <c r="U111" s="22">
        <v>1.11758568768516E-2</v>
      </c>
      <c r="V111" s="22">
        <v>-4.8120324299071099E-3</v>
      </c>
      <c r="W111" s="22">
        <v>-6.3990346433218902E-3</v>
      </c>
      <c r="X111" s="23">
        <v>1.28777648428405</v>
      </c>
      <c r="Y111" s="23">
        <v>1.3022759807794699</v>
      </c>
      <c r="Z111" s="23">
        <v>1.2840203926313301</v>
      </c>
      <c r="AA111" s="23">
        <v>1.2801011176639301</v>
      </c>
      <c r="AB111" s="21">
        <v>167.798260123435</v>
      </c>
      <c r="AC111" s="21">
        <v>165.133457490138</v>
      </c>
      <c r="AD111" s="21">
        <v>164.87159816821301</v>
      </c>
      <c r="AE111" s="22">
        <v>1.1196412552777601E-2</v>
      </c>
      <c r="AF111" s="22">
        <v>-4.8120324299071099E-3</v>
      </c>
      <c r="AG111" s="22">
        <v>-6.3990346433218902E-3</v>
      </c>
      <c r="AI111" s="5"/>
      <c r="AJ111">
        <f t="shared" si="26"/>
        <v>0</v>
      </c>
      <c r="AK111">
        <f t="shared" si="27"/>
        <v>1</v>
      </c>
      <c r="AL111">
        <f t="shared" si="34"/>
        <v>0</v>
      </c>
      <c r="AM111">
        <f t="shared" si="24"/>
        <v>1</v>
      </c>
      <c r="AN111">
        <f t="shared" si="35"/>
        <v>0</v>
      </c>
      <c r="AO111" s="17">
        <f t="shared" si="28"/>
        <v>0</v>
      </c>
      <c r="AP111" s="17">
        <f t="shared" si="29"/>
        <v>0</v>
      </c>
      <c r="AQ111" s="17">
        <f t="shared" si="36"/>
        <v>0</v>
      </c>
      <c r="AR111" s="11">
        <f t="shared" si="37"/>
        <v>1.5395876734545389E-2</v>
      </c>
      <c r="AT111" s="5"/>
      <c r="AU111">
        <f t="shared" si="30"/>
        <v>0</v>
      </c>
      <c r="AV111">
        <f t="shared" si="31"/>
        <v>1</v>
      </c>
      <c r="AW111">
        <f t="shared" si="38"/>
        <v>0</v>
      </c>
      <c r="AX111">
        <f t="shared" si="25"/>
        <v>1</v>
      </c>
      <c r="AY111">
        <f t="shared" si="39"/>
        <v>0</v>
      </c>
      <c r="AZ111" s="17">
        <f t="shared" si="32"/>
        <v>0</v>
      </c>
      <c r="BA111" s="17">
        <f t="shared" si="33"/>
        <v>0</v>
      </c>
      <c r="BB111" s="17">
        <f t="shared" si="40"/>
        <v>0</v>
      </c>
      <c r="BC111" s="11">
        <f t="shared" si="41"/>
        <v>-6.9512780389760637E-3</v>
      </c>
      <c r="BE111" s="11">
        <f t="shared" si="42"/>
        <v>0</v>
      </c>
      <c r="BF111" s="11">
        <f t="shared" si="43"/>
        <v>8.4445986955693254E-3</v>
      </c>
      <c r="BH111" s="11"/>
    </row>
    <row r="112" spans="1:60" x14ac:dyDescent="0.25">
      <c r="A112" s="1">
        <v>46184</v>
      </c>
      <c r="B112" s="21">
        <v>132.74</v>
      </c>
      <c r="C112" s="21">
        <v>170.49</v>
      </c>
      <c r="D112" s="22">
        <v>2.97433906194049E-2</v>
      </c>
      <c r="E112" s="22">
        <v>2.71106313024435E-2</v>
      </c>
      <c r="F112" s="21">
        <v>0</v>
      </c>
      <c r="G112" s="21">
        <v>0</v>
      </c>
      <c r="H112" s="21">
        <v>0</v>
      </c>
      <c r="I112" s="21">
        <v>0.121818</v>
      </c>
      <c r="J112" s="21">
        <v>0</v>
      </c>
      <c r="K112" s="21">
        <v>0</v>
      </c>
      <c r="L112" s="21">
        <v>132.74</v>
      </c>
      <c r="M112" s="21">
        <v>170.49</v>
      </c>
      <c r="N112" s="23">
        <v>1.28439053789362</v>
      </c>
      <c r="O112" s="23">
        <v>1.3022492118915701</v>
      </c>
      <c r="P112" s="23">
        <v>1.28580307462865</v>
      </c>
      <c r="Q112" s="23">
        <v>1.2807762941721501</v>
      </c>
      <c r="R112" s="21">
        <v>172.86056038648701</v>
      </c>
      <c r="S112" s="21">
        <v>170.440866917883</v>
      </c>
      <c r="T112" s="21">
        <v>169.92062235871001</v>
      </c>
      <c r="U112" s="22">
        <v>1.3808616193813201E-2</v>
      </c>
      <c r="V112" s="22">
        <v>-2.8822900608035999E-4</v>
      </c>
      <c r="W112" s="22">
        <v>-3.3452432730788901E-3</v>
      </c>
      <c r="X112" s="23">
        <v>1.28439053789362</v>
      </c>
      <c r="Y112" s="23">
        <v>1.3022759807794699</v>
      </c>
      <c r="Z112" s="23">
        <v>1.28580307462865</v>
      </c>
      <c r="AA112" s="23">
        <v>1.2807762941721501</v>
      </c>
      <c r="AB112" s="21">
        <v>172.864113688667</v>
      </c>
      <c r="AC112" s="21">
        <v>170.440866917883</v>
      </c>
      <c r="AD112" s="21">
        <v>169.92062235871001</v>
      </c>
      <c r="AE112" s="22">
        <v>1.3829171869739001E-2</v>
      </c>
      <c r="AF112" s="22">
        <v>-2.8822900608035999E-4</v>
      </c>
      <c r="AG112" s="22">
        <v>-3.3452432730788901E-3</v>
      </c>
      <c r="AI112" s="5"/>
      <c r="AJ112">
        <f t="shared" si="26"/>
        <v>0</v>
      </c>
      <c r="AK112">
        <f t="shared" si="27"/>
        <v>1</v>
      </c>
      <c r="AL112">
        <f t="shared" si="34"/>
        <v>0</v>
      </c>
      <c r="AM112">
        <f t="shared" si="24"/>
        <v>1</v>
      </c>
      <c r="AN112">
        <f t="shared" si="35"/>
        <v>0</v>
      </c>
      <c r="AO112" s="17">
        <f t="shared" si="28"/>
        <v>0</v>
      </c>
      <c r="AP112" s="17">
        <f t="shared" si="29"/>
        <v>0</v>
      </c>
      <c r="AQ112" s="17">
        <f t="shared" si="36"/>
        <v>0</v>
      </c>
      <c r="AR112" s="11">
        <f t="shared" si="37"/>
        <v>1.5395876734545389E-2</v>
      </c>
      <c r="AT112" s="5"/>
      <c r="AU112">
        <f t="shared" si="30"/>
        <v>0</v>
      </c>
      <c r="AV112">
        <f t="shared" si="31"/>
        <v>1</v>
      </c>
      <c r="AW112">
        <f t="shared" si="38"/>
        <v>0</v>
      </c>
      <c r="AX112">
        <f t="shared" si="25"/>
        <v>1</v>
      </c>
      <c r="AY112">
        <f t="shared" si="39"/>
        <v>0</v>
      </c>
      <c r="AZ112" s="17">
        <f t="shared" si="32"/>
        <v>0</v>
      </c>
      <c r="BA112" s="17">
        <f t="shared" si="33"/>
        <v>0</v>
      </c>
      <c r="BB112" s="17">
        <f t="shared" si="40"/>
        <v>0</v>
      </c>
      <c r="BC112" s="11">
        <f t="shared" si="41"/>
        <v>-6.9512780389760637E-3</v>
      </c>
      <c r="BE112" s="11">
        <f t="shared" si="42"/>
        <v>0</v>
      </c>
      <c r="BF112" s="11">
        <f t="shared" si="43"/>
        <v>8.4445986955693254E-3</v>
      </c>
      <c r="BH112" s="11"/>
    </row>
    <row r="113" spans="1:60" x14ac:dyDescent="0.25">
      <c r="A113" s="1">
        <v>46185</v>
      </c>
      <c r="B113" s="21">
        <v>133.79</v>
      </c>
      <c r="C113" s="21">
        <v>170.66</v>
      </c>
      <c r="D113" s="22">
        <v>7.8790787677488292E-3</v>
      </c>
      <c r="E113" s="22">
        <v>9.9662913129895301E-4</v>
      </c>
      <c r="F113" s="21">
        <v>0</v>
      </c>
      <c r="G113" s="21">
        <v>0</v>
      </c>
      <c r="H113" s="21">
        <v>0</v>
      </c>
      <c r="I113" s="21">
        <v>0.121818</v>
      </c>
      <c r="J113" s="21">
        <v>0</v>
      </c>
      <c r="K113" s="21">
        <v>0</v>
      </c>
      <c r="L113" s="21">
        <v>133.79</v>
      </c>
      <c r="M113" s="21">
        <v>170.66</v>
      </c>
      <c r="N113" s="23">
        <v>1.2755811346139401</v>
      </c>
      <c r="O113" s="23">
        <v>1.3022492118915701</v>
      </c>
      <c r="P113" s="23">
        <v>1.2873973282612301</v>
      </c>
      <c r="Q113" s="23">
        <v>1.28102921074712</v>
      </c>
      <c r="R113" s="21">
        <v>174.22792205897301</v>
      </c>
      <c r="S113" s="21">
        <v>172.02759335456699</v>
      </c>
      <c r="T113" s="21">
        <v>171.35506039729299</v>
      </c>
      <c r="U113" s="22">
        <v>2.0691065830263099E-2</v>
      </c>
      <c r="V113" s="22">
        <v>7.9816173181057794E-3</v>
      </c>
      <c r="W113" s="22">
        <v>4.0645072960506599E-3</v>
      </c>
      <c r="X113" s="23">
        <v>1.2755811346139401</v>
      </c>
      <c r="Y113" s="23">
        <v>1.3022759807794699</v>
      </c>
      <c r="Z113" s="23">
        <v>1.2873973282612301</v>
      </c>
      <c r="AA113" s="23">
        <v>1.28102921074712</v>
      </c>
      <c r="AB113" s="21">
        <v>174.23150346848499</v>
      </c>
      <c r="AC113" s="21">
        <v>172.02759335456699</v>
      </c>
      <c r="AD113" s="21">
        <v>171.35506039729299</v>
      </c>
      <c r="AE113" s="22">
        <v>2.0711621506189201E-2</v>
      </c>
      <c r="AF113" s="22">
        <v>7.9816173181057794E-3</v>
      </c>
      <c r="AG113" s="22">
        <v>4.0645072960506599E-3</v>
      </c>
      <c r="AI113" s="5"/>
      <c r="AJ113">
        <f t="shared" si="26"/>
        <v>0</v>
      </c>
      <c r="AK113">
        <f t="shared" si="27"/>
        <v>1</v>
      </c>
      <c r="AL113">
        <f t="shared" si="34"/>
        <v>0</v>
      </c>
      <c r="AM113">
        <f t="shared" si="24"/>
        <v>0</v>
      </c>
      <c r="AN113">
        <f t="shared" si="35"/>
        <v>0</v>
      </c>
      <c r="AO113" s="17">
        <f t="shared" si="28"/>
        <v>0</v>
      </c>
      <c r="AP113" s="17">
        <f t="shared" si="29"/>
        <v>0</v>
      </c>
      <c r="AQ113" s="17">
        <f t="shared" si="36"/>
        <v>0</v>
      </c>
      <c r="AR113" s="11">
        <f t="shared" si="37"/>
        <v>1.5395876734545389E-2</v>
      </c>
      <c r="AT113" s="5"/>
      <c r="AU113">
        <f t="shared" si="30"/>
        <v>0</v>
      </c>
      <c r="AV113">
        <f t="shared" si="31"/>
        <v>1</v>
      </c>
      <c r="AW113">
        <f t="shared" si="38"/>
        <v>0</v>
      </c>
      <c r="AX113">
        <f t="shared" si="25"/>
        <v>0</v>
      </c>
      <c r="AY113">
        <f t="shared" si="39"/>
        <v>0</v>
      </c>
      <c r="AZ113" s="17">
        <f t="shared" si="32"/>
        <v>0</v>
      </c>
      <c r="BA113" s="17">
        <f t="shared" si="33"/>
        <v>0</v>
      </c>
      <c r="BB113" s="17">
        <f t="shared" si="40"/>
        <v>0</v>
      </c>
      <c r="BC113" s="11">
        <f t="shared" si="41"/>
        <v>-6.9512780389760637E-3</v>
      </c>
      <c r="BE113" s="11">
        <f t="shared" si="42"/>
        <v>0</v>
      </c>
      <c r="BF113" s="11">
        <f t="shared" si="43"/>
        <v>8.4445986955693254E-3</v>
      </c>
      <c r="BH113" s="11"/>
    </row>
    <row r="114" spans="1:60" x14ac:dyDescent="0.25">
      <c r="A114" s="1">
        <v>46188</v>
      </c>
      <c r="B114" s="21">
        <v>136.4</v>
      </c>
      <c r="C114" s="21">
        <v>172.17</v>
      </c>
      <c r="D114" s="22">
        <v>1.9320338923833901E-2</v>
      </c>
      <c r="E114" s="22">
        <v>8.8090876799420403E-3</v>
      </c>
      <c r="F114" s="21">
        <v>0</v>
      </c>
      <c r="G114" s="21">
        <v>0</v>
      </c>
      <c r="H114" s="21">
        <v>2.3774E-2</v>
      </c>
      <c r="I114" s="21">
        <v>0.145592</v>
      </c>
      <c r="J114" s="21">
        <v>0</v>
      </c>
      <c r="K114" s="21">
        <v>2.3774E-2</v>
      </c>
      <c r="L114" s="21">
        <v>136.4</v>
      </c>
      <c r="M114" s="21">
        <v>172.19377399999999</v>
      </c>
      <c r="N114" s="23">
        <v>1.2622434017595301</v>
      </c>
      <c r="O114" s="23">
        <v>1.3022492118915701</v>
      </c>
      <c r="P114" s="23">
        <v>1.2868666916373099</v>
      </c>
      <c r="Q114" s="23">
        <v>1.2803147682404099</v>
      </c>
      <c r="R114" s="21">
        <v>177.62679250201001</v>
      </c>
      <c r="S114" s="21">
        <v>175.60099557483201</v>
      </c>
      <c r="T114" s="21">
        <v>174.732384345908</v>
      </c>
      <c r="U114" s="22">
        <v>3.1202317074155099E-2</v>
      </c>
      <c r="V114" s="22">
        <v>1.97319899571149E-2</v>
      </c>
      <c r="W114" s="22">
        <v>1.4773210356877901E-2</v>
      </c>
      <c r="X114" s="23">
        <v>1.2624176979472099</v>
      </c>
      <c r="Y114" s="23">
        <v>1.3022759807794699</v>
      </c>
      <c r="Z114" s="23">
        <v>1.28688412125607</v>
      </c>
      <c r="AA114" s="23">
        <v>1.28032348304979</v>
      </c>
      <c r="AB114" s="21">
        <v>177.63044377832</v>
      </c>
      <c r="AC114" s="21">
        <v>175.60099557483201</v>
      </c>
      <c r="AD114" s="21">
        <v>174.732384345908</v>
      </c>
      <c r="AE114" s="22">
        <v>3.1084797831446999E-2</v>
      </c>
      <c r="AF114" s="22">
        <v>1.9593915038480899E-2</v>
      </c>
      <c r="AG114" s="22">
        <v>1.4635135438244001E-2</v>
      </c>
      <c r="AI114" s="5"/>
      <c r="AJ114">
        <f t="shared" si="26"/>
        <v>0</v>
      </c>
      <c r="AK114">
        <f t="shared" si="27"/>
        <v>1</v>
      </c>
      <c r="AL114">
        <f t="shared" si="34"/>
        <v>0</v>
      </c>
      <c r="AM114">
        <f t="shared" si="24"/>
        <v>1</v>
      </c>
      <c r="AN114">
        <f t="shared" si="35"/>
        <v>0</v>
      </c>
      <c r="AO114" s="17">
        <f t="shared" si="28"/>
        <v>0</v>
      </c>
      <c r="AP114" s="17">
        <f t="shared" si="29"/>
        <v>0</v>
      </c>
      <c r="AQ114" s="17">
        <f t="shared" si="36"/>
        <v>0</v>
      </c>
      <c r="AR114" s="11">
        <f t="shared" si="37"/>
        <v>1.5395876734545389E-2</v>
      </c>
      <c r="AT114" s="5"/>
      <c r="AU114">
        <f t="shared" si="30"/>
        <v>0</v>
      </c>
      <c r="AV114">
        <f t="shared" si="31"/>
        <v>0</v>
      </c>
      <c r="AW114">
        <f t="shared" si="38"/>
        <v>0</v>
      </c>
      <c r="AX114">
        <f t="shared" si="25"/>
        <v>1</v>
      </c>
      <c r="AY114">
        <f t="shared" si="39"/>
        <v>0</v>
      </c>
      <c r="AZ114" s="17">
        <f t="shared" si="32"/>
        <v>0</v>
      </c>
      <c r="BA114" s="17">
        <f t="shared" si="33"/>
        <v>0</v>
      </c>
      <c r="BB114" s="17">
        <f t="shared" si="40"/>
        <v>0</v>
      </c>
      <c r="BC114" s="11">
        <f t="shared" si="41"/>
        <v>-6.9512780389760637E-3</v>
      </c>
      <c r="BE114" s="11">
        <f t="shared" si="42"/>
        <v>0</v>
      </c>
      <c r="BF114" s="11">
        <f t="shared" si="43"/>
        <v>8.4445986955693254E-3</v>
      </c>
      <c r="BH114" s="11"/>
    </row>
    <row r="115" spans="1:60" x14ac:dyDescent="0.25">
      <c r="A115" s="1">
        <v>46189</v>
      </c>
      <c r="B115" s="21">
        <v>135.34</v>
      </c>
      <c r="C115" s="21">
        <v>171.44</v>
      </c>
      <c r="D115" s="22">
        <v>-7.8016146052823096E-3</v>
      </c>
      <c r="E115" s="22">
        <v>-4.2490096230592298E-3</v>
      </c>
      <c r="F115" s="21">
        <v>0</v>
      </c>
      <c r="G115" s="21">
        <v>0</v>
      </c>
      <c r="H115" s="21">
        <v>0</v>
      </c>
      <c r="I115" s="21">
        <v>0.145592</v>
      </c>
      <c r="J115" s="21">
        <v>0</v>
      </c>
      <c r="K115" s="21">
        <v>2.3774E-2</v>
      </c>
      <c r="L115" s="21">
        <v>135.34</v>
      </c>
      <c r="M115" s="21">
        <v>171.463774</v>
      </c>
      <c r="N115" s="23">
        <v>1.2667356287867499</v>
      </c>
      <c r="O115" s="23">
        <v>1.3022492118915701</v>
      </c>
      <c r="P115" s="23">
        <v>1.2849632351045901</v>
      </c>
      <c r="Q115" s="23">
        <v>1.2794117125997799</v>
      </c>
      <c r="R115" s="21">
        <v>176.246408337405</v>
      </c>
      <c r="S115" s="21">
        <v>174.164538046193</v>
      </c>
      <c r="T115" s="21">
        <v>173.27780073365699</v>
      </c>
      <c r="U115" s="22">
        <v>2.7649712091931799E-2</v>
      </c>
      <c r="V115" s="22">
        <v>1.5767122186505601E-2</v>
      </c>
      <c r="W115" s="22">
        <v>1.06627400265384E-2</v>
      </c>
      <c r="X115" s="23">
        <v>1.2669112900842301</v>
      </c>
      <c r="Y115" s="23">
        <v>1.3022759807794699</v>
      </c>
      <c r="Z115" s="23">
        <v>1.2849982308531001</v>
      </c>
      <c r="AA115" s="23">
        <v>1.2794292104740299</v>
      </c>
      <c r="AB115" s="21">
        <v>176.25003123869399</v>
      </c>
      <c r="AC115" s="21">
        <v>174.16689697079701</v>
      </c>
      <c r="AD115" s="21">
        <v>173.27898019595901</v>
      </c>
      <c r="AE115" s="22">
        <v>2.7531604960150901E-2</v>
      </c>
      <c r="AF115" s="22">
        <v>1.56420035173232E-2</v>
      </c>
      <c r="AG115" s="22">
        <v>1.05308839666255E-2</v>
      </c>
      <c r="AI115" s="5"/>
      <c r="AJ115">
        <f t="shared" si="26"/>
        <v>0</v>
      </c>
      <c r="AK115">
        <f t="shared" si="27"/>
        <v>1</v>
      </c>
      <c r="AL115">
        <f t="shared" si="34"/>
        <v>0</v>
      </c>
      <c r="AM115">
        <f t="shared" si="24"/>
        <v>1</v>
      </c>
      <c r="AN115">
        <f t="shared" si="35"/>
        <v>0</v>
      </c>
      <c r="AO115" s="17">
        <f t="shared" si="28"/>
        <v>0</v>
      </c>
      <c r="AP115" s="17">
        <f t="shared" si="29"/>
        <v>0</v>
      </c>
      <c r="AQ115" s="17">
        <f t="shared" si="36"/>
        <v>0</v>
      </c>
      <c r="AR115" s="11">
        <f t="shared" si="37"/>
        <v>1.5395876734545389E-2</v>
      </c>
      <c r="AT115" s="5"/>
      <c r="AU115">
        <f t="shared" si="30"/>
        <v>0</v>
      </c>
      <c r="AV115">
        <f t="shared" si="31"/>
        <v>0</v>
      </c>
      <c r="AW115">
        <f t="shared" si="38"/>
        <v>0</v>
      </c>
      <c r="AX115">
        <f t="shared" si="25"/>
        <v>1</v>
      </c>
      <c r="AY115">
        <f t="shared" si="39"/>
        <v>0</v>
      </c>
      <c r="AZ115" s="17">
        <f t="shared" si="32"/>
        <v>0</v>
      </c>
      <c r="BA115" s="17">
        <f t="shared" si="33"/>
        <v>0</v>
      </c>
      <c r="BB115" s="17">
        <f t="shared" si="40"/>
        <v>0</v>
      </c>
      <c r="BC115" s="11">
        <f t="shared" si="41"/>
        <v>-6.9512780389760637E-3</v>
      </c>
      <c r="BE115" s="11">
        <f t="shared" si="42"/>
        <v>0</v>
      </c>
      <c r="BF115" s="11">
        <f t="shared" si="43"/>
        <v>8.4445986955693254E-3</v>
      </c>
      <c r="BH115" s="11"/>
    </row>
    <row r="116" spans="1:60" x14ac:dyDescent="0.25">
      <c r="A116" s="1">
        <v>46190</v>
      </c>
      <c r="B116" s="21">
        <v>139.38999999999999</v>
      </c>
      <c r="C116" s="21">
        <v>173.44</v>
      </c>
      <c r="D116" s="22">
        <v>2.9485628937715402E-2</v>
      </c>
      <c r="E116" s="22">
        <v>1.15983670859598E-2</v>
      </c>
      <c r="F116" s="21">
        <v>0</v>
      </c>
      <c r="G116" s="21">
        <v>0</v>
      </c>
      <c r="H116" s="21">
        <v>0</v>
      </c>
      <c r="I116" s="21">
        <v>0.145592</v>
      </c>
      <c r="J116" s="21">
        <v>0</v>
      </c>
      <c r="K116" s="21">
        <v>2.3774E-2</v>
      </c>
      <c r="L116" s="21">
        <v>139.38999999999999</v>
      </c>
      <c r="M116" s="21">
        <v>173.463774</v>
      </c>
      <c r="N116" s="23">
        <v>1.24427864265729</v>
      </c>
      <c r="O116" s="23">
        <v>1.3022492118915701</v>
      </c>
      <c r="P116" s="23">
        <v>1.2803762337768501</v>
      </c>
      <c r="Q116" s="23">
        <v>1.2768768475088801</v>
      </c>
      <c r="R116" s="21">
        <v>181.520517645566</v>
      </c>
      <c r="S116" s="21">
        <v>179.11102534122799</v>
      </c>
      <c r="T116" s="21">
        <v>178.33719861928299</v>
      </c>
      <c r="U116" s="22">
        <v>4.5536973943687602E-2</v>
      </c>
      <c r="V116" s="22">
        <v>3.2174148614850899E-2</v>
      </c>
      <c r="W116" s="22">
        <v>2.78444142423812E-2</v>
      </c>
      <c r="X116" s="23">
        <v>1.2444492000860801</v>
      </c>
      <c r="Y116" s="23">
        <v>1.3022759807794699</v>
      </c>
      <c r="Z116" s="23">
        <v>1.28042828526824</v>
      </c>
      <c r="AA116" s="23">
        <v>1.27690287325458</v>
      </c>
      <c r="AB116" s="21">
        <v>181.52424896085</v>
      </c>
      <c r="AC116" s="21">
        <v>179.11590339861399</v>
      </c>
      <c r="AD116" s="21">
        <v>178.33963764797599</v>
      </c>
      <c r="AE116" s="22">
        <v>4.5420465673821998E-2</v>
      </c>
      <c r="AF116" s="22">
        <v>3.2064319122946099E-2</v>
      </c>
      <c r="AG116" s="22">
        <v>2.7721026703044001E-2</v>
      </c>
      <c r="AI116" s="5"/>
      <c r="AJ116">
        <f t="shared" si="26"/>
        <v>0</v>
      </c>
      <c r="AK116">
        <f t="shared" si="27"/>
        <v>1</v>
      </c>
      <c r="AL116">
        <f t="shared" si="34"/>
        <v>0</v>
      </c>
      <c r="AM116">
        <f t="shared" si="24"/>
        <v>1</v>
      </c>
      <c r="AN116">
        <f t="shared" si="35"/>
        <v>0</v>
      </c>
      <c r="AO116" s="17">
        <f t="shared" si="28"/>
        <v>0</v>
      </c>
      <c r="AP116" s="17">
        <f t="shared" si="29"/>
        <v>0</v>
      </c>
      <c r="AQ116" s="17">
        <f t="shared" si="36"/>
        <v>0</v>
      </c>
      <c r="AR116" s="11">
        <f t="shared" si="37"/>
        <v>1.5395876734545389E-2</v>
      </c>
      <c r="AT116" s="5"/>
      <c r="AU116">
        <f t="shared" si="30"/>
        <v>1</v>
      </c>
      <c r="AV116">
        <f t="shared" si="31"/>
        <v>0</v>
      </c>
      <c r="AW116">
        <f t="shared" si="38"/>
        <v>0</v>
      </c>
      <c r="AX116">
        <f t="shared" si="25"/>
        <v>1</v>
      </c>
      <c r="AY116">
        <f t="shared" si="39"/>
        <v>0</v>
      </c>
      <c r="AZ116" s="17">
        <f t="shared" si="32"/>
        <v>0</v>
      </c>
      <c r="BA116" s="17">
        <f t="shared" si="33"/>
        <v>0</v>
      </c>
      <c r="BB116" s="17">
        <f t="shared" si="40"/>
        <v>0</v>
      </c>
      <c r="BC116" s="11">
        <f t="shared" si="41"/>
        <v>-6.9512780389760637E-3</v>
      </c>
      <c r="BE116" s="11">
        <f t="shared" si="42"/>
        <v>0</v>
      </c>
      <c r="BF116" s="11">
        <f t="shared" si="43"/>
        <v>8.4445986955693254E-3</v>
      </c>
      <c r="BH116" s="11"/>
    </row>
    <row r="117" spans="1:60" x14ac:dyDescent="0.25">
      <c r="A117" s="1">
        <v>46191</v>
      </c>
      <c r="B117" s="21">
        <v>140.72</v>
      </c>
      <c r="C117" s="21">
        <v>173.64</v>
      </c>
      <c r="D117" s="22">
        <v>9.4963406875078604E-3</v>
      </c>
      <c r="E117" s="22">
        <v>1.1524721801113799E-3</v>
      </c>
      <c r="F117" s="21">
        <v>0</v>
      </c>
      <c r="G117" s="21">
        <v>0</v>
      </c>
      <c r="H117" s="21">
        <v>0</v>
      </c>
      <c r="I117" s="21">
        <v>0.145592</v>
      </c>
      <c r="J117" s="21">
        <v>0</v>
      </c>
      <c r="K117" s="21">
        <v>2.3774E-2</v>
      </c>
      <c r="L117" s="21">
        <v>140.72</v>
      </c>
      <c r="M117" s="21">
        <v>173.66377399999999</v>
      </c>
      <c r="N117" s="23">
        <v>1.2339397384877699</v>
      </c>
      <c r="O117" s="23">
        <v>1.3022492118915701</v>
      </c>
      <c r="P117" s="23">
        <v>1.27528122546403</v>
      </c>
      <c r="Q117" s="23">
        <v>1.2748315217766799</v>
      </c>
      <c r="R117" s="21">
        <v>183.25250909738199</v>
      </c>
      <c r="S117" s="21">
        <v>180.174543617078</v>
      </c>
      <c r="T117" s="21">
        <v>179.68210998145</v>
      </c>
      <c r="U117" s="22">
        <v>5.3880842451084099E-2</v>
      </c>
      <c r="V117" s="22">
        <v>3.6941877377865598E-2</v>
      </c>
      <c r="W117" s="22">
        <v>3.4205043485400002E-2</v>
      </c>
      <c r="X117" s="23">
        <v>1.23410868391131</v>
      </c>
      <c r="Y117" s="23">
        <v>1.3022759807794699</v>
      </c>
      <c r="Z117" s="23">
        <v>1.27535017149778</v>
      </c>
      <c r="AA117" s="23">
        <v>1.2748659947935499</v>
      </c>
      <c r="AB117" s="21">
        <v>183.256276015287</v>
      </c>
      <c r="AC117" s="21">
        <v>180.18186830294701</v>
      </c>
      <c r="AD117" s="21">
        <v>179.685772324385</v>
      </c>
      <c r="AE117" s="22">
        <v>5.3764492041807797E-2</v>
      </c>
      <c r="AF117" s="22">
        <v>3.6845623744668703E-2</v>
      </c>
      <c r="AG117" s="22">
        <v>3.4088519538474901E-2</v>
      </c>
      <c r="AI117" s="5"/>
      <c r="AJ117">
        <f t="shared" si="26"/>
        <v>0</v>
      </c>
      <c r="AK117">
        <f t="shared" si="27"/>
        <v>1</v>
      </c>
      <c r="AL117">
        <f t="shared" si="34"/>
        <v>0</v>
      </c>
      <c r="AM117">
        <f t="shared" si="24"/>
        <v>0</v>
      </c>
      <c r="AN117">
        <f t="shared" si="35"/>
        <v>0</v>
      </c>
      <c r="AO117" s="17">
        <f t="shared" si="28"/>
        <v>0</v>
      </c>
      <c r="AP117" s="17">
        <f t="shared" si="29"/>
        <v>0</v>
      </c>
      <c r="AQ117" s="17">
        <f t="shared" si="36"/>
        <v>0</v>
      </c>
      <c r="AR117" s="11">
        <f t="shared" si="37"/>
        <v>1.5395876734545389E-2</v>
      </c>
      <c r="AT117" s="5"/>
      <c r="AU117">
        <f t="shared" si="30"/>
        <v>1</v>
      </c>
      <c r="AV117">
        <f t="shared" si="31"/>
        <v>0</v>
      </c>
      <c r="AW117">
        <f t="shared" si="38"/>
        <v>1</v>
      </c>
      <c r="AX117">
        <f t="shared" si="25"/>
        <v>0</v>
      </c>
      <c r="AY117">
        <f t="shared" si="39"/>
        <v>1</v>
      </c>
      <c r="AZ117" s="17">
        <f t="shared" si="32"/>
        <v>-9.4963406875078604E-3</v>
      </c>
      <c r="BA117" s="17">
        <f t="shared" si="33"/>
        <v>1.1524721801113799E-3</v>
      </c>
      <c r="BB117" s="17">
        <f t="shared" si="40"/>
        <v>-8.3438685073964798E-3</v>
      </c>
      <c r="BC117" s="11">
        <f t="shared" si="41"/>
        <v>-1.5295146546372543E-2</v>
      </c>
      <c r="BE117" s="11">
        <f t="shared" si="42"/>
        <v>-8.3438685073964798E-3</v>
      </c>
      <c r="BF117" s="11">
        <f t="shared" si="43"/>
        <v>1.0073018817284562E-4</v>
      </c>
      <c r="BH117" s="11"/>
    </row>
    <row r="118" spans="1:60" x14ac:dyDescent="0.25">
      <c r="A118" s="1">
        <v>46195</v>
      </c>
      <c r="B118" s="21">
        <v>145.86000000000001</v>
      </c>
      <c r="C118" s="21">
        <v>177</v>
      </c>
      <c r="D118" s="22">
        <v>3.58751571267844E-2</v>
      </c>
      <c r="E118" s="22">
        <v>1.91655421424364E-2</v>
      </c>
      <c r="F118" s="21">
        <v>0.13809399999999999</v>
      </c>
      <c r="G118" s="21">
        <v>0.13809399999999999</v>
      </c>
      <c r="H118" s="21">
        <v>0</v>
      </c>
      <c r="I118" s="21">
        <v>0.145592</v>
      </c>
      <c r="J118" s="21">
        <v>0</v>
      </c>
      <c r="K118" s="21">
        <v>0</v>
      </c>
      <c r="L118" s="21">
        <v>145.86000000000001</v>
      </c>
      <c r="M118" s="21">
        <v>177</v>
      </c>
      <c r="N118" s="23">
        <v>1.2134923899629699</v>
      </c>
      <c r="O118" s="23">
        <v>1.3022492118915701</v>
      </c>
      <c r="P118" s="23">
        <v>1.26572193877446</v>
      </c>
      <c r="Q118" s="23">
        <v>1.27184444523627</v>
      </c>
      <c r="R118" s="21">
        <v>189.94607004650501</v>
      </c>
      <c r="S118" s="21">
        <v>186.012519546183</v>
      </c>
      <c r="T118" s="21">
        <v>185.94692576634699</v>
      </c>
      <c r="U118" s="22">
        <v>7.0590457435432005E-2</v>
      </c>
      <c r="V118" s="22">
        <v>4.96642482622826E-2</v>
      </c>
      <c r="W118" s="22">
        <v>4.9311555078424198E-2</v>
      </c>
      <c r="X118" s="23">
        <v>1.2134923899629699</v>
      </c>
      <c r="Y118" s="23">
        <v>1.3022759807794699</v>
      </c>
      <c r="Z118" s="23">
        <v>1.26579088480821</v>
      </c>
      <c r="AA118" s="23">
        <v>1.27187891825314</v>
      </c>
      <c r="AB118" s="21">
        <v>189.949974556494</v>
      </c>
      <c r="AC118" s="21">
        <v>186.02257601466599</v>
      </c>
      <c r="AD118" s="21">
        <v>185.95195400058799</v>
      </c>
      <c r="AE118" s="22">
        <v>7.0611013111357895E-2</v>
      </c>
      <c r="AF118" s="22">
        <v>4.9718310196788601E-2</v>
      </c>
      <c r="AG118" s="22">
        <v>4.9338595946333101E-2</v>
      </c>
      <c r="AI118" s="5"/>
      <c r="AJ118">
        <f t="shared" si="26"/>
        <v>0</v>
      </c>
      <c r="AK118">
        <f t="shared" si="27"/>
        <v>1</v>
      </c>
      <c r="AL118">
        <f t="shared" si="34"/>
        <v>0</v>
      </c>
      <c r="AM118">
        <f t="shared" si="24"/>
        <v>1</v>
      </c>
      <c r="AN118">
        <f t="shared" si="35"/>
        <v>0</v>
      </c>
      <c r="AO118" s="17">
        <f t="shared" si="28"/>
        <v>0</v>
      </c>
      <c r="AP118" s="17">
        <f t="shared" si="29"/>
        <v>0</v>
      </c>
      <c r="AQ118" s="17">
        <f t="shared" si="36"/>
        <v>0</v>
      </c>
      <c r="AR118" s="11">
        <f t="shared" si="37"/>
        <v>1.5395876734545389E-2</v>
      </c>
      <c r="AT118" s="5"/>
      <c r="AU118">
        <f t="shared" si="30"/>
        <v>1</v>
      </c>
      <c r="AV118">
        <f t="shared" si="31"/>
        <v>0</v>
      </c>
      <c r="AW118">
        <f t="shared" si="38"/>
        <v>0</v>
      </c>
      <c r="AX118">
        <f t="shared" si="25"/>
        <v>1</v>
      </c>
      <c r="AY118">
        <f t="shared" si="39"/>
        <v>0</v>
      </c>
      <c r="AZ118" s="17">
        <f t="shared" si="32"/>
        <v>0</v>
      </c>
      <c r="BA118" s="17">
        <f t="shared" si="33"/>
        <v>0</v>
      </c>
      <c r="BB118" s="17">
        <f t="shared" si="40"/>
        <v>0</v>
      </c>
      <c r="BC118" s="11">
        <f t="shared" si="41"/>
        <v>-1.5295146546372543E-2</v>
      </c>
      <c r="BE118" s="11">
        <f t="shared" si="42"/>
        <v>0</v>
      </c>
      <c r="BF118" s="11">
        <f t="shared" si="43"/>
        <v>1.0073018817284562E-4</v>
      </c>
      <c r="BH118" s="11"/>
    </row>
    <row r="119" spans="1:60" x14ac:dyDescent="0.25">
      <c r="A119" s="1">
        <v>46196</v>
      </c>
      <c r="B119" s="21">
        <v>147.03</v>
      </c>
      <c r="C119" s="21">
        <v>178.09</v>
      </c>
      <c r="D119" s="22">
        <v>7.9893900334786407E-3</v>
      </c>
      <c r="E119" s="22">
        <v>6.1393079140851601E-3</v>
      </c>
      <c r="F119" s="21">
        <v>0</v>
      </c>
      <c r="G119" s="21">
        <v>0.13809399999999999</v>
      </c>
      <c r="H119" s="21">
        <v>0</v>
      </c>
      <c r="I119" s="21">
        <v>0.145592</v>
      </c>
      <c r="J119" s="21">
        <v>0</v>
      </c>
      <c r="K119" s="21">
        <v>0</v>
      </c>
      <c r="L119" s="21">
        <v>147.03</v>
      </c>
      <c r="M119" s="21">
        <v>178.09</v>
      </c>
      <c r="N119" s="23">
        <v>1.21124940488335</v>
      </c>
      <c r="O119" s="23">
        <v>1.3022492118915701</v>
      </c>
      <c r="P119" s="23">
        <v>1.2568772459995401</v>
      </c>
      <c r="Q119" s="23">
        <v>1.26830620152024</v>
      </c>
      <c r="R119" s="21">
        <v>191.46970162441801</v>
      </c>
      <c r="S119" s="21">
        <v>186.09909665801001</v>
      </c>
      <c r="T119" s="21">
        <v>186.99928878308901</v>
      </c>
      <c r="U119" s="22">
        <v>7.24405395548256E-2</v>
      </c>
      <c r="V119" s="22">
        <v>4.3990269080858499E-2</v>
      </c>
      <c r="W119" s="22">
        <v>4.8815773060451602E-2</v>
      </c>
      <c r="X119" s="23">
        <v>1.21124940488335</v>
      </c>
      <c r="Y119" s="23">
        <v>1.3022759807794699</v>
      </c>
      <c r="Z119" s="23">
        <v>1.2569461920332901</v>
      </c>
      <c r="AA119" s="23">
        <v>1.26834067453711</v>
      </c>
      <c r="AB119" s="21">
        <v>191.473637454006</v>
      </c>
      <c r="AC119" s="21">
        <v>186.10923379335199</v>
      </c>
      <c r="AD119" s="21">
        <v>187.00435735075999</v>
      </c>
      <c r="AE119" s="22">
        <v>7.2461095230751504E-2</v>
      </c>
      <c r="AF119" s="22">
        <v>4.4044739303662497E-2</v>
      </c>
      <c r="AG119" s="22">
        <v>4.8842877436164098E-2</v>
      </c>
      <c r="AI119" s="5"/>
      <c r="AJ119">
        <f t="shared" si="26"/>
        <v>0</v>
      </c>
      <c r="AK119">
        <f t="shared" si="27"/>
        <v>1</v>
      </c>
      <c r="AL119">
        <f t="shared" si="34"/>
        <v>0</v>
      </c>
      <c r="AM119">
        <f t="shared" si="24"/>
        <v>1</v>
      </c>
      <c r="AN119">
        <f t="shared" si="35"/>
        <v>0</v>
      </c>
      <c r="AO119" s="17">
        <f t="shared" si="28"/>
        <v>0</v>
      </c>
      <c r="AP119" s="17">
        <f t="shared" si="29"/>
        <v>0</v>
      </c>
      <c r="AQ119" s="17">
        <f t="shared" si="36"/>
        <v>0</v>
      </c>
      <c r="AR119" s="11">
        <f t="shared" si="37"/>
        <v>1.5395876734545389E-2</v>
      </c>
      <c r="AT119" s="5"/>
      <c r="AU119">
        <f t="shared" si="30"/>
        <v>1</v>
      </c>
      <c r="AV119">
        <f t="shared" si="31"/>
        <v>0</v>
      </c>
      <c r="AW119">
        <f t="shared" si="38"/>
        <v>1</v>
      </c>
      <c r="AX119">
        <f t="shared" si="25"/>
        <v>1</v>
      </c>
      <c r="AY119">
        <f t="shared" si="39"/>
        <v>1</v>
      </c>
      <c r="AZ119" s="17">
        <f t="shared" si="32"/>
        <v>-7.9893900334786407E-3</v>
      </c>
      <c r="BA119" s="17">
        <f t="shared" si="33"/>
        <v>6.1393079140851601E-3</v>
      </c>
      <c r="BB119" s="17">
        <f t="shared" si="40"/>
        <v>-1.8500821193934806E-3</v>
      </c>
      <c r="BC119" s="11">
        <f t="shared" si="41"/>
        <v>-1.7145228665766024E-2</v>
      </c>
      <c r="BE119" s="11">
        <f t="shared" si="42"/>
        <v>-1.8500821193934806E-3</v>
      </c>
      <c r="BF119" s="11">
        <f t="shared" si="43"/>
        <v>-1.749351931220635E-3</v>
      </c>
      <c r="BH119" s="11"/>
    </row>
    <row r="120" spans="1:60" x14ac:dyDescent="0.25">
      <c r="A120" s="1">
        <v>46197</v>
      </c>
      <c r="B120" s="21">
        <v>149.71</v>
      </c>
      <c r="C120" s="21">
        <v>181.53</v>
      </c>
      <c r="D120" s="22">
        <v>1.8063441872179401E-2</v>
      </c>
      <c r="E120" s="22">
        <v>1.9131888814425499E-2</v>
      </c>
      <c r="F120" s="21">
        <v>0</v>
      </c>
      <c r="G120" s="21">
        <v>0.13809399999999999</v>
      </c>
      <c r="H120" s="21">
        <v>0</v>
      </c>
      <c r="I120" s="21">
        <v>0.145592</v>
      </c>
      <c r="J120" s="21">
        <v>0</v>
      </c>
      <c r="K120" s="21">
        <v>0</v>
      </c>
      <c r="L120" s="21">
        <v>149.71</v>
      </c>
      <c r="M120" s="21">
        <v>181.53</v>
      </c>
      <c r="N120" s="23">
        <v>1.21254425222096</v>
      </c>
      <c r="O120" s="23">
        <v>1.3022492118915701</v>
      </c>
      <c r="P120" s="23">
        <v>1.24922316155502</v>
      </c>
      <c r="Q120" s="23">
        <v>1.2654088547012099</v>
      </c>
      <c r="R120" s="21">
        <v>194.959729512287</v>
      </c>
      <c r="S120" s="21">
        <v>188.16709249859201</v>
      </c>
      <c r="T120" s="21">
        <v>189.87812142959501</v>
      </c>
      <c r="U120" s="22">
        <v>7.1372092612579596E-2</v>
      </c>
      <c r="V120" s="22">
        <v>3.5909428673884497E-2</v>
      </c>
      <c r="W120" s="22">
        <v>4.4961470870677998E-2</v>
      </c>
      <c r="X120" s="23">
        <v>1.21254425222096</v>
      </c>
      <c r="Y120" s="23">
        <v>1.3022759807794699</v>
      </c>
      <c r="Z120" s="23">
        <v>1.24929210758877</v>
      </c>
      <c r="AA120" s="23">
        <v>1.2654433277180901</v>
      </c>
      <c r="AB120" s="21">
        <v>194.96373708249499</v>
      </c>
      <c r="AC120" s="21">
        <v>188.17741440930399</v>
      </c>
      <c r="AD120" s="21">
        <v>189.883282384951</v>
      </c>
      <c r="AE120" s="22">
        <v>7.13926482885055E-2</v>
      </c>
      <c r="AF120" s="22">
        <v>3.5964282195196297E-2</v>
      </c>
      <c r="AG120" s="22">
        <v>4.4988650859506402E-2</v>
      </c>
      <c r="AI120" s="5"/>
      <c r="AJ120">
        <f t="shared" si="26"/>
        <v>0</v>
      </c>
      <c r="AK120">
        <f t="shared" si="27"/>
        <v>1</v>
      </c>
      <c r="AL120">
        <f t="shared" si="34"/>
        <v>0</v>
      </c>
      <c r="AM120">
        <f t="shared" si="24"/>
        <v>1</v>
      </c>
      <c r="AN120">
        <f t="shared" si="35"/>
        <v>0</v>
      </c>
      <c r="AO120" s="17">
        <f t="shared" si="28"/>
        <v>0</v>
      </c>
      <c r="AP120" s="17">
        <f t="shared" si="29"/>
        <v>0</v>
      </c>
      <c r="AQ120" s="17">
        <f t="shared" si="36"/>
        <v>0</v>
      </c>
      <c r="AR120" s="11">
        <f t="shared" si="37"/>
        <v>1.5395876734545389E-2</v>
      </c>
      <c r="AT120" s="5"/>
      <c r="AU120">
        <f t="shared" si="30"/>
        <v>1</v>
      </c>
      <c r="AV120">
        <f t="shared" si="31"/>
        <v>0</v>
      </c>
      <c r="AW120">
        <f t="shared" si="38"/>
        <v>1</v>
      </c>
      <c r="AX120">
        <f t="shared" si="25"/>
        <v>1</v>
      </c>
      <c r="AY120">
        <f t="shared" si="39"/>
        <v>1</v>
      </c>
      <c r="AZ120" s="17">
        <f t="shared" si="32"/>
        <v>-1.8063441872179401E-2</v>
      </c>
      <c r="BA120" s="17">
        <f t="shared" si="33"/>
        <v>1.9131888814425499E-2</v>
      </c>
      <c r="BB120" s="17">
        <f t="shared" si="40"/>
        <v>1.0684469422460978E-3</v>
      </c>
      <c r="BC120" s="11">
        <f t="shared" si="41"/>
        <v>-1.6076781723519926E-2</v>
      </c>
      <c r="BE120" s="11">
        <f t="shared" si="42"/>
        <v>1.0684469422460978E-3</v>
      </c>
      <c r="BF120" s="11">
        <f t="shared" si="43"/>
        <v>-6.8090498897453722E-4</v>
      </c>
      <c r="BH120" s="11"/>
    </row>
    <row r="121" spans="1:60" x14ac:dyDescent="0.25">
      <c r="A121" s="1">
        <v>46198</v>
      </c>
      <c r="B121" s="21">
        <v>151.59</v>
      </c>
      <c r="C121" s="21">
        <v>183.67</v>
      </c>
      <c r="D121" s="22">
        <v>1.2479418510181599E-2</v>
      </c>
      <c r="E121" s="22">
        <v>1.17197398381038E-2</v>
      </c>
      <c r="F121" s="21">
        <v>0</v>
      </c>
      <c r="G121" s="21">
        <v>0.13809399999999999</v>
      </c>
      <c r="H121" s="21">
        <v>0</v>
      </c>
      <c r="I121" s="21">
        <v>0.145592</v>
      </c>
      <c r="J121" s="21">
        <v>0</v>
      </c>
      <c r="K121" s="21">
        <v>0</v>
      </c>
      <c r="L121" s="21">
        <v>151.59</v>
      </c>
      <c r="M121" s="21">
        <v>183.67</v>
      </c>
      <c r="N121" s="23">
        <v>1.21162345801174</v>
      </c>
      <c r="O121" s="23">
        <v>1.3022492118915701</v>
      </c>
      <c r="P121" s="23">
        <v>1.2416078589277899</v>
      </c>
      <c r="Q121" s="23">
        <v>1.26281412577956</v>
      </c>
      <c r="R121" s="21">
        <v>197.40795803064299</v>
      </c>
      <c r="S121" s="21">
        <v>189.36973906012599</v>
      </c>
      <c r="T121" s="21">
        <v>191.82332828415699</v>
      </c>
      <c r="U121" s="22">
        <v>7.2131771284657503E-2</v>
      </c>
      <c r="V121" s="22">
        <v>3.05607261967186E-2</v>
      </c>
      <c r="W121" s="22">
        <v>4.3434114088790901E-2</v>
      </c>
      <c r="X121" s="23">
        <v>1.21162345801174</v>
      </c>
      <c r="Y121" s="23">
        <v>1.3022759807794699</v>
      </c>
      <c r="Z121" s="23">
        <v>1.2416768049615401</v>
      </c>
      <c r="AA121" s="23">
        <v>1.26284859879643</v>
      </c>
      <c r="AB121" s="21">
        <v>197.41201592636</v>
      </c>
      <c r="AC121" s="21">
        <v>189.38019058938201</v>
      </c>
      <c r="AD121" s="21">
        <v>191.82855404878501</v>
      </c>
      <c r="AE121" s="22">
        <v>7.2152326960583393E-2</v>
      </c>
      <c r="AF121" s="22">
        <v>3.0615915800414801E-2</v>
      </c>
      <c r="AG121" s="22">
        <v>4.3461356309507197E-2</v>
      </c>
      <c r="AI121" s="5"/>
      <c r="AJ121">
        <f t="shared" si="26"/>
        <v>0</v>
      </c>
      <c r="AK121">
        <f t="shared" si="27"/>
        <v>1</v>
      </c>
      <c r="AL121">
        <f t="shared" si="34"/>
        <v>0</v>
      </c>
      <c r="AM121">
        <f t="shared" si="24"/>
        <v>1</v>
      </c>
      <c r="AN121">
        <f t="shared" si="35"/>
        <v>0</v>
      </c>
      <c r="AO121" s="17">
        <f t="shared" si="28"/>
        <v>0</v>
      </c>
      <c r="AP121" s="17">
        <f t="shared" si="29"/>
        <v>0</v>
      </c>
      <c r="AQ121" s="17">
        <f t="shared" si="36"/>
        <v>0</v>
      </c>
      <c r="AR121" s="11">
        <f t="shared" si="37"/>
        <v>1.5395876734545389E-2</v>
      </c>
      <c r="AT121" s="5"/>
      <c r="AU121">
        <f t="shared" si="30"/>
        <v>1</v>
      </c>
      <c r="AV121">
        <f t="shared" si="31"/>
        <v>0</v>
      </c>
      <c r="AW121">
        <f t="shared" si="38"/>
        <v>1</v>
      </c>
      <c r="AX121">
        <f t="shared" si="25"/>
        <v>1</v>
      </c>
      <c r="AY121">
        <f t="shared" si="39"/>
        <v>1</v>
      </c>
      <c r="AZ121" s="17">
        <f t="shared" si="32"/>
        <v>-1.2479418510181599E-2</v>
      </c>
      <c r="BA121" s="17">
        <f t="shared" si="33"/>
        <v>1.17197398381038E-2</v>
      </c>
      <c r="BB121" s="17">
        <f t="shared" si="40"/>
        <v>-7.5967867207779941E-4</v>
      </c>
      <c r="BC121" s="11">
        <f t="shared" si="41"/>
        <v>-1.6836460395597726E-2</v>
      </c>
      <c r="BE121" s="11">
        <f t="shared" si="42"/>
        <v>-7.5967867207779941E-4</v>
      </c>
      <c r="BF121" s="11">
        <f t="shared" si="43"/>
        <v>-1.4405836610523366E-3</v>
      </c>
      <c r="BH121" s="11"/>
    </row>
    <row r="122" spans="1:60" x14ac:dyDescent="0.25">
      <c r="A122" s="1">
        <v>46199</v>
      </c>
      <c r="B122" s="21">
        <v>155.38</v>
      </c>
      <c r="C122" s="21">
        <v>187.36</v>
      </c>
      <c r="D122" s="22">
        <v>2.4694221550347801E-2</v>
      </c>
      <c r="E122" s="22">
        <v>1.98912307089638E-2</v>
      </c>
      <c r="F122" s="21">
        <v>0</v>
      </c>
      <c r="G122" s="21">
        <v>0.13809399999999999</v>
      </c>
      <c r="H122" s="21">
        <v>0</v>
      </c>
      <c r="I122" s="21">
        <v>0.145592</v>
      </c>
      <c r="J122" s="21">
        <v>0</v>
      </c>
      <c r="K122" s="21">
        <v>0</v>
      </c>
      <c r="L122" s="21">
        <v>155.38</v>
      </c>
      <c r="M122" s="21">
        <v>187.36</v>
      </c>
      <c r="N122" s="23">
        <v>1.2058179945938901</v>
      </c>
      <c r="O122" s="23">
        <v>1.3022492118915701</v>
      </c>
      <c r="P122" s="23">
        <v>1.2337506045978199</v>
      </c>
      <c r="Q122" s="23">
        <v>1.2597768396132301</v>
      </c>
      <c r="R122" s="21">
        <v>202.34348254371201</v>
      </c>
      <c r="S122" s="21">
        <v>192.92102912020101</v>
      </c>
      <c r="T122" s="21">
        <v>196.21605886362801</v>
      </c>
      <c r="U122" s="22">
        <v>7.69347621260415E-2</v>
      </c>
      <c r="V122" s="22">
        <v>2.9249029777323798E-2</v>
      </c>
      <c r="W122" s="22">
        <v>4.6184493390214701E-2</v>
      </c>
      <c r="X122" s="23">
        <v>1.2058179945938901</v>
      </c>
      <c r="Y122" s="23">
        <v>1.3022759807794699</v>
      </c>
      <c r="Z122" s="23">
        <v>1.2338195506315699</v>
      </c>
      <c r="AA122" s="23">
        <v>1.25981131263011</v>
      </c>
      <c r="AB122" s="21">
        <v>202.34764189351401</v>
      </c>
      <c r="AC122" s="21">
        <v>192.931741954925</v>
      </c>
      <c r="AD122" s="21">
        <v>196.22141528098999</v>
      </c>
      <c r="AE122" s="22">
        <v>7.6955317801967404E-2</v>
      </c>
      <c r="AF122" s="22">
        <v>2.9304557872648102E-2</v>
      </c>
      <c r="AG122" s="22">
        <v>4.62117915852912E-2</v>
      </c>
      <c r="AI122" s="5"/>
      <c r="AJ122">
        <f t="shared" si="26"/>
        <v>0</v>
      </c>
      <c r="AK122">
        <f t="shared" si="27"/>
        <v>1</v>
      </c>
      <c r="AL122">
        <f t="shared" si="34"/>
        <v>0</v>
      </c>
      <c r="AM122">
        <f t="shared" si="24"/>
        <v>1</v>
      </c>
      <c r="AN122">
        <f t="shared" si="35"/>
        <v>0</v>
      </c>
      <c r="AO122" s="17">
        <f t="shared" si="28"/>
        <v>0</v>
      </c>
      <c r="AP122" s="17">
        <f t="shared" si="29"/>
        <v>0</v>
      </c>
      <c r="AQ122" s="17">
        <f t="shared" si="36"/>
        <v>0</v>
      </c>
      <c r="AR122" s="11">
        <f t="shared" si="37"/>
        <v>1.5395876734545389E-2</v>
      </c>
      <c r="AT122" s="5"/>
      <c r="AU122">
        <f t="shared" si="30"/>
        <v>1</v>
      </c>
      <c r="AV122">
        <f t="shared" si="31"/>
        <v>0</v>
      </c>
      <c r="AW122">
        <f t="shared" si="38"/>
        <v>1</v>
      </c>
      <c r="AX122">
        <f t="shared" si="25"/>
        <v>1</v>
      </c>
      <c r="AY122">
        <f t="shared" si="39"/>
        <v>1</v>
      </c>
      <c r="AZ122" s="17">
        <f t="shared" si="32"/>
        <v>-2.4694221550347801E-2</v>
      </c>
      <c r="BA122" s="17">
        <f t="shared" si="33"/>
        <v>1.98912307089638E-2</v>
      </c>
      <c r="BB122" s="17">
        <f t="shared" si="40"/>
        <v>-4.8029908413840007E-3</v>
      </c>
      <c r="BC122" s="11">
        <f t="shared" si="41"/>
        <v>-2.1639451236981726E-2</v>
      </c>
      <c r="BE122" s="11">
        <f t="shared" si="42"/>
        <v>-4.8029908413840007E-3</v>
      </c>
      <c r="BF122" s="11">
        <f t="shared" si="43"/>
        <v>-6.2435745024363373E-3</v>
      </c>
      <c r="BH122" s="11"/>
    </row>
    <row r="123" spans="1:60" x14ac:dyDescent="0.25">
      <c r="A123" s="1">
        <v>46202</v>
      </c>
      <c r="B123" s="21">
        <v>158.31</v>
      </c>
      <c r="C123" s="21">
        <v>189.79</v>
      </c>
      <c r="D123" s="22">
        <v>1.86814065634116E-2</v>
      </c>
      <c r="E123" s="22">
        <v>1.2886297899420999E-2</v>
      </c>
      <c r="F123" s="21">
        <v>0</v>
      </c>
      <c r="G123" s="21">
        <v>0.13809399999999999</v>
      </c>
      <c r="H123" s="21">
        <v>0</v>
      </c>
      <c r="I123" s="21">
        <v>0.145592</v>
      </c>
      <c r="J123" s="21">
        <v>0</v>
      </c>
      <c r="K123" s="21">
        <v>0</v>
      </c>
      <c r="L123" s="21">
        <v>158.31</v>
      </c>
      <c r="M123" s="21">
        <v>189.79</v>
      </c>
      <c r="N123" s="23">
        <v>1.1988503568947</v>
      </c>
      <c r="O123" s="23">
        <v>1.3022492118915701</v>
      </c>
      <c r="P123" s="23">
        <v>1.2260775268258901</v>
      </c>
      <c r="Q123" s="23">
        <v>1.2567374275435601</v>
      </c>
      <c r="R123" s="21">
        <v>206.159072734555</v>
      </c>
      <c r="S123" s="21">
        <v>195.315058213881</v>
      </c>
      <c r="T123" s="21">
        <v>199.43527147917101</v>
      </c>
      <c r="U123" s="22">
        <v>8.2729870790031995E-2</v>
      </c>
      <c r="V123" s="22">
        <v>2.8695740151187199E-2</v>
      </c>
      <c r="W123" s="22">
        <v>4.9571532196100603E-2</v>
      </c>
      <c r="X123" s="23">
        <v>1.1988503568947</v>
      </c>
      <c r="Y123" s="23">
        <v>1.3022759807794699</v>
      </c>
      <c r="Z123" s="23">
        <v>1.2261464728596401</v>
      </c>
      <c r="AA123" s="23">
        <v>1.2567719005604401</v>
      </c>
      <c r="AB123" s="21">
        <v>206.163310517198</v>
      </c>
      <c r="AC123" s="21">
        <v>195.32597306048399</v>
      </c>
      <c r="AD123" s="21">
        <v>199.44072890247301</v>
      </c>
      <c r="AE123" s="22">
        <v>8.2750426465958093E-2</v>
      </c>
      <c r="AF123" s="22">
        <v>2.8751621872418798E-2</v>
      </c>
      <c r="AG123" s="22">
        <v>4.9598896205449397E-2</v>
      </c>
      <c r="AI123" s="5"/>
      <c r="AJ123">
        <f t="shared" si="26"/>
        <v>0</v>
      </c>
      <c r="AK123">
        <f t="shared" si="27"/>
        <v>1</v>
      </c>
      <c r="AL123">
        <f t="shared" si="34"/>
        <v>0</v>
      </c>
      <c r="AM123">
        <f t="shared" si="24"/>
        <v>1</v>
      </c>
      <c r="AN123">
        <f t="shared" si="35"/>
        <v>0</v>
      </c>
      <c r="AO123" s="17">
        <f t="shared" si="28"/>
        <v>0</v>
      </c>
      <c r="AP123" s="17">
        <f t="shared" si="29"/>
        <v>0</v>
      </c>
      <c r="AQ123" s="17">
        <f t="shared" si="36"/>
        <v>0</v>
      </c>
      <c r="AR123" s="11">
        <f t="shared" si="37"/>
        <v>1.5395876734545389E-2</v>
      </c>
      <c r="AT123" s="5"/>
      <c r="AU123">
        <f t="shared" si="30"/>
        <v>1</v>
      </c>
      <c r="AV123">
        <f t="shared" si="31"/>
        <v>0</v>
      </c>
      <c r="AW123">
        <f t="shared" si="38"/>
        <v>1</v>
      </c>
      <c r="AX123">
        <f t="shared" si="25"/>
        <v>1</v>
      </c>
      <c r="AY123">
        <f t="shared" si="39"/>
        <v>1</v>
      </c>
      <c r="AZ123" s="17">
        <f t="shared" si="32"/>
        <v>-1.86814065634116E-2</v>
      </c>
      <c r="BA123" s="17">
        <f t="shared" si="33"/>
        <v>1.2886297899420999E-2</v>
      </c>
      <c r="BB123" s="17">
        <f t="shared" si="40"/>
        <v>-5.7951086639906006E-3</v>
      </c>
      <c r="BC123" s="11">
        <f t="shared" si="41"/>
        <v>-2.7434559900972329E-2</v>
      </c>
      <c r="BE123" s="11">
        <f t="shared" si="42"/>
        <v>-5.7951086639906006E-3</v>
      </c>
      <c r="BF123" s="11">
        <f t="shared" si="43"/>
        <v>-1.2038683166426938E-2</v>
      </c>
      <c r="BH123" s="11"/>
    </row>
    <row r="124" spans="1:60" x14ac:dyDescent="0.25">
      <c r="A124" s="1">
        <v>46203</v>
      </c>
      <c r="B124" s="21">
        <v>158.25</v>
      </c>
      <c r="C124" s="21">
        <v>190.19</v>
      </c>
      <c r="D124" s="22">
        <v>-3.7907506140062898E-4</v>
      </c>
      <c r="E124" s="22">
        <v>2.1053747447413599E-3</v>
      </c>
      <c r="F124" s="21">
        <v>0</v>
      </c>
      <c r="G124" s="21">
        <v>0.13809399999999999</v>
      </c>
      <c r="H124" s="21">
        <v>0</v>
      </c>
      <c r="I124" s="21">
        <v>0.145592</v>
      </c>
      <c r="J124" s="21">
        <v>0</v>
      </c>
      <c r="K124" s="21">
        <v>0</v>
      </c>
      <c r="L124" s="21">
        <v>158.25</v>
      </c>
      <c r="M124" s="21">
        <v>190.19</v>
      </c>
      <c r="N124" s="23">
        <v>1.2018325434439101</v>
      </c>
      <c r="O124" s="23">
        <v>1.3022492118915701</v>
      </c>
      <c r="P124" s="23">
        <v>1.2200364409943301</v>
      </c>
      <c r="Q124" s="23">
        <v>1.2534515663158201</v>
      </c>
      <c r="R124" s="21">
        <v>206.08093778184099</v>
      </c>
      <c r="S124" s="21">
        <v>194.026768620198</v>
      </c>
      <c r="T124" s="21">
        <v>198.878697908769</v>
      </c>
      <c r="U124" s="22">
        <v>8.0245420983889995E-2</v>
      </c>
      <c r="V124" s="22">
        <v>1.9972559629381399E-2</v>
      </c>
      <c r="W124" s="22">
        <v>4.4671508127375401E-2</v>
      </c>
      <c r="X124" s="23">
        <v>1.2018325434439101</v>
      </c>
      <c r="Y124" s="23">
        <v>1.3022759807794699</v>
      </c>
      <c r="Z124" s="23">
        <v>1.22008795740931</v>
      </c>
      <c r="AA124" s="23">
        <v>1.2534860393326901</v>
      </c>
      <c r="AB124" s="21">
        <v>206.08517395835099</v>
      </c>
      <c r="AC124" s="21">
        <v>194.037679330039</v>
      </c>
      <c r="AD124" s="21">
        <v>198.88415326369</v>
      </c>
      <c r="AE124" s="22">
        <v>8.0265976659815996E-2</v>
      </c>
      <c r="AF124" s="22">
        <v>2.0028791061564102E-2</v>
      </c>
      <c r="AG124" s="22">
        <v>4.4698938315512103E-2</v>
      </c>
      <c r="AI124" s="5"/>
      <c r="AJ124">
        <f t="shared" si="26"/>
        <v>0</v>
      </c>
      <c r="AK124">
        <f t="shared" si="27"/>
        <v>1</v>
      </c>
      <c r="AL124">
        <f t="shared" si="34"/>
        <v>0</v>
      </c>
      <c r="AM124">
        <f t="shared" si="24"/>
        <v>1</v>
      </c>
      <c r="AN124">
        <f t="shared" si="35"/>
        <v>0</v>
      </c>
      <c r="AO124" s="17">
        <f t="shared" si="28"/>
        <v>0</v>
      </c>
      <c r="AP124" s="17">
        <f t="shared" si="29"/>
        <v>0</v>
      </c>
      <c r="AQ124" s="17">
        <f t="shared" si="36"/>
        <v>0</v>
      </c>
      <c r="AR124" s="11">
        <f t="shared" si="37"/>
        <v>1.5395876734545389E-2</v>
      </c>
      <c r="AT124" s="5"/>
      <c r="AU124">
        <f t="shared" si="30"/>
        <v>1</v>
      </c>
      <c r="AV124">
        <f t="shared" si="31"/>
        <v>0</v>
      </c>
      <c r="AW124">
        <f t="shared" si="38"/>
        <v>1</v>
      </c>
      <c r="AX124">
        <f t="shared" si="25"/>
        <v>1</v>
      </c>
      <c r="AY124">
        <f t="shared" si="39"/>
        <v>1</v>
      </c>
      <c r="AZ124" s="17">
        <f t="shared" si="32"/>
        <v>3.7907506140062898E-4</v>
      </c>
      <c r="BA124" s="17">
        <f t="shared" si="33"/>
        <v>2.1053747447413599E-3</v>
      </c>
      <c r="BB124" s="17">
        <f t="shared" si="40"/>
        <v>2.4844498061419888E-3</v>
      </c>
      <c r="BC124" s="11">
        <f t="shared" si="41"/>
        <v>-2.4950110094830339E-2</v>
      </c>
      <c r="BE124" s="11">
        <f t="shared" si="42"/>
        <v>2.4844498061419888E-3</v>
      </c>
      <c r="BF124" s="11">
        <f t="shared" si="43"/>
        <v>-9.55423336028495E-3</v>
      </c>
      <c r="BH124" s="11"/>
    </row>
    <row r="125" spans="1:60" x14ac:dyDescent="0.25">
      <c r="A125" s="1">
        <v>46204</v>
      </c>
      <c r="B125" s="21">
        <v>156.55000000000001</v>
      </c>
      <c r="C125" s="21">
        <v>190.12</v>
      </c>
      <c r="D125" s="22">
        <v>-1.0800613251870801E-2</v>
      </c>
      <c r="E125" s="22">
        <v>-3.6812074776098702E-4</v>
      </c>
      <c r="F125" s="21">
        <v>0</v>
      </c>
      <c r="G125" s="21">
        <v>0.13809399999999999</v>
      </c>
      <c r="H125" s="21">
        <v>0</v>
      </c>
      <c r="I125" s="21">
        <v>0.145592</v>
      </c>
      <c r="J125" s="21">
        <v>0</v>
      </c>
      <c r="K125" s="21">
        <v>0</v>
      </c>
      <c r="L125" s="21">
        <v>156.55000000000001</v>
      </c>
      <c r="M125" s="21">
        <v>190.12</v>
      </c>
      <c r="N125" s="23">
        <v>1.21443628233791</v>
      </c>
      <c r="O125" s="23">
        <v>1.3022492118915701</v>
      </c>
      <c r="P125" s="23">
        <v>1.21480650634945</v>
      </c>
      <c r="Q125" s="23">
        <v>1.24988487072702</v>
      </c>
      <c r="R125" s="21">
        <v>203.86711412162501</v>
      </c>
      <c r="S125" s="21">
        <v>190.996704837663</v>
      </c>
      <c r="T125" s="21">
        <v>196.227842706742</v>
      </c>
      <c r="U125" s="22">
        <v>6.9812928479780198E-2</v>
      </c>
      <c r="V125" s="22">
        <v>4.6007239931721696E-3</v>
      </c>
      <c r="W125" s="22">
        <v>3.1620995137505097E-2</v>
      </c>
      <c r="X125" s="23">
        <v>1.21443628233791</v>
      </c>
      <c r="Y125" s="23">
        <v>1.3022759807794699</v>
      </c>
      <c r="Z125" s="23">
        <v>1.21484045663468</v>
      </c>
      <c r="AA125" s="23">
        <v>1.24991934374389</v>
      </c>
      <c r="AB125" s="21">
        <v>203.87130479102601</v>
      </c>
      <c r="AC125" s="21">
        <v>191.004769732428</v>
      </c>
      <c r="AD125" s="21">
        <v>196.23323945753401</v>
      </c>
      <c r="AE125" s="22">
        <v>6.9833484155706102E-2</v>
      </c>
      <c r="AF125" s="22">
        <v>4.6429484101089998E-3</v>
      </c>
      <c r="AG125" s="22">
        <v>3.1648497231533498E-2</v>
      </c>
      <c r="AI125" s="5"/>
      <c r="AJ125">
        <f t="shared" si="26"/>
        <v>0</v>
      </c>
      <c r="AK125">
        <f t="shared" si="27"/>
        <v>1</v>
      </c>
      <c r="AL125">
        <f t="shared" si="34"/>
        <v>0</v>
      </c>
      <c r="AM125">
        <f t="shared" si="24"/>
        <v>1</v>
      </c>
      <c r="AN125">
        <f t="shared" si="35"/>
        <v>0</v>
      </c>
      <c r="AO125" s="17">
        <f t="shared" si="28"/>
        <v>0</v>
      </c>
      <c r="AP125" s="17">
        <f t="shared" si="29"/>
        <v>0</v>
      </c>
      <c r="AQ125" s="17">
        <f t="shared" si="36"/>
        <v>0</v>
      </c>
      <c r="AR125" s="11">
        <f t="shared" si="37"/>
        <v>1.5395876734545389E-2</v>
      </c>
      <c r="AT125" s="5"/>
      <c r="AU125">
        <f t="shared" si="30"/>
        <v>1</v>
      </c>
      <c r="AV125">
        <f t="shared" si="31"/>
        <v>0</v>
      </c>
      <c r="AW125">
        <f t="shared" si="38"/>
        <v>1</v>
      </c>
      <c r="AX125">
        <f t="shared" si="25"/>
        <v>1</v>
      </c>
      <c r="AY125">
        <f t="shared" si="39"/>
        <v>1</v>
      </c>
      <c r="AZ125" s="17">
        <f t="shared" si="32"/>
        <v>1.0800613251870801E-2</v>
      </c>
      <c r="BA125" s="17">
        <f t="shared" si="33"/>
        <v>-3.6812074776098702E-4</v>
      </c>
      <c r="BB125" s="17">
        <f t="shared" si="40"/>
        <v>1.0432492504109814E-2</v>
      </c>
      <c r="BC125" s="11">
        <f t="shared" si="41"/>
        <v>-1.4517617590720525E-2</v>
      </c>
      <c r="BE125" s="11">
        <f t="shared" si="42"/>
        <v>1.0432492504109814E-2</v>
      </c>
      <c r="BF125" s="11">
        <f t="shared" si="43"/>
        <v>8.782591438248645E-4</v>
      </c>
      <c r="BH125" s="11"/>
    </row>
    <row r="126" spans="1:60" x14ac:dyDescent="0.25">
      <c r="A126" s="1">
        <v>46205</v>
      </c>
      <c r="B126" s="21">
        <v>160.46</v>
      </c>
      <c r="C126" s="21">
        <v>195.7</v>
      </c>
      <c r="D126" s="22">
        <v>2.4669242553095098E-2</v>
      </c>
      <c r="E126" s="22">
        <v>2.89274226562217E-2</v>
      </c>
      <c r="F126" s="21">
        <v>0</v>
      </c>
      <c r="G126" s="21">
        <v>0.13809399999999999</v>
      </c>
      <c r="H126" s="21">
        <v>0</v>
      </c>
      <c r="I126" s="21">
        <v>0.145592</v>
      </c>
      <c r="J126" s="21">
        <v>0</v>
      </c>
      <c r="K126" s="21">
        <v>0</v>
      </c>
      <c r="L126" s="21">
        <v>160.46</v>
      </c>
      <c r="M126" s="21">
        <v>195.7</v>
      </c>
      <c r="N126" s="23">
        <v>1.21961859653496</v>
      </c>
      <c r="O126" s="23">
        <v>1.3022492118915701</v>
      </c>
      <c r="P126" s="23">
        <v>1.21234050173722</v>
      </c>
      <c r="Q126" s="23">
        <v>1.24635836775703</v>
      </c>
      <c r="R126" s="21">
        <v>208.958908540122</v>
      </c>
      <c r="S126" s="21">
        <v>194.92785200883301</v>
      </c>
      <c r="T126" s="21">
        <v>200.55652635685701</v>
      </c>
      <c r="U126" s="22">
        <v>6.5554748376653593E-2</v>
      </c>
      <c r="V126" s="22">
        <v>-3.9533739996502901E-3</v>
      </c>
      <c r="W126" s="22">
        <v>2.4513259577526401E-2</v>
      </c>
      <c r="X126" s="23">
        <v>1.21961859653496</v>
      </c>
      <c r="Y126" s="23">
        <v>1.3022759807794699</v>
      </c>
      <c r="Z126" s="23">
        <v>1.21235739627957</v>
      </c>
      <c r="AA126" s="23">
        <v>1.24639284077391</v>
      </c>
      <c r="AB126" s="21">
        <v>208.963203875874</v>
      </c>
      <c r="AC126" s="21">
        <v>194.93329967160099</v>
      </c>
      <c r="AD126" s="21">
        <v>200.562057897145</v>
      </c>
      <c r="AE126" s="22">
        <v>6.5575304052579497E-2</v>
      </c>
      <c r="AF126" s="22">
        <v>-3.9254273178872404E-3</v>
      </c>
      <c r="AG126" s="22">
        <v>2.4540840150978498E-2</v>
      </c>
      <c r="AI126" s="5"/>
      <c r="AJ126">
        <f t="shared" si="26"/>
        <v>0</v>
      </c>
      <c r="AK126">
        <f t="shared" si="27"/>
        <v>1</v>
      </c>
      <c r="AL126">
        <f t="shared" si="34"/>
        <v>0</v>
      </c>
      <c r="AM126">
        <f t="shared" si="24"/>
        <v>1</v>
      </c>
      <c r="AN126">
        <f t="shared" si="35"/>
        <v>0</v>
      </c>
      <c r="AO126" s="17">
        <f t="shared" si="28"/>
        <v>0</v>
      </c>
      <c r="AP126" s="17">
        <f t="shared" si="29"/>
        <v>0</v>
      </c>
      <c r="AQ126" s="17">
        <f t="shared" si="36"/>
        <v>0</v>
      </c>
      <c r="AR126" s="11">
        <f t="shared" si="37"/>
        <v>1.5395876734545389E-2</v>
      </c>
      <c r="AT126" s="5"/>
      <c r="AU126">
        <f t="shared" si="30"/>
        <v>1</v>
      </c>
      <c r="AV126">
        <f t="shared" si="31"/>
        <v>0</v>
      </c>
      <c r="AW126">
        <f t="shared" si="38"/>
        <v>1</v>
      </c>
      <c r="AX126">
        <f t="shared" si="25"/>
        <v>1</v>
      </c>
      <c r="AY126">
        <f t="shared" si="39"/>
        <v>1</v>
      </c>
      <c r="AZ126" s="17">
        <f t="shared" si="32"/>
        <v>-2.4669242553095098E-2</v>
      </c>
      <c r="BA126" s="17">
        <f t="shared" si="33"/>
        <v>2.89274226562217E-2</v>
      </c>
      <c r="BB126" s="17">
        <f t="shared" si="40"/>
        <v>4.2581801031266013E-3</v>
      </c>
      <c r="BC126" s="11">
        <f t="shared" si="41"/>
        <v>-1.0259437487593923E-2</v>
      </c>
      <c r="BE126" s="11">
        <f t="shared" si="42"/>
        <v>4.2581801031266013E-3</v>
      </c>
      <c r="BF126" s="11">
        <f t="shared" si="43"/>
        <v>5.1364392469514658E-3</v>
      </c>
      <c r="BH126" s="11"/>
    </row>
    <row r="127" spans="1:60" x14ac:dyDescent="0.25">
      <c r="A127" s="1">
        <v>46209</v>
      </c>
      <c r="B127" s="21">
        <v>160.81</v>
      </c>
      <c r="C127" s="21">
        <v>195.31</v>
      </c>
      <c r="D127" s="22">
        <v>2.1788535404233399E-3</v>
      </c>
      <c r="E127" s="22">
        <v>-1.9948345532305898E-3</v>
      </c>
      <c r="F127" s="21">
        <v>0</v>
      </c>
      <c r="G127" s="21">
        <v>0.13809399999999999</v>
      </c>
      <c r="H127" s="21">
        <v>0</v>
      </c>
      <c r="I127" s="21">
        <v>0.145592</v>
      </c>
      <c r="J127" s="21">
        <v>0</v>
      </c>
      <c r="K127" s="21">
        <v>0</v>
      </c>
      <c r="L127" s="21">
        <v>160.81</v>
      </c>
      <c r="M127" s="21">
        <v>195.31</v>
      </c>
      <c r="N127" s="23">
        <v>1.2145388968347699</v>
      </c>
      <c r="O127" s="23">
        <v>1.3022492118915701</v>
      </c>
      <c r="P127" s="23">
        <v>1.2104004175719201</v>
      </c>
      <c r="Q127" s="23">
        <v>1.24284082151797</v>
      </c>
      <c r="R127" s="21">
        <v>209.41469576428401</v>
      </c>
      <c r="S127" s="21">
        <v>194.95647608436201</v>
      </c>
      <c r="T127" s="21">
        <v>200.426889119008</v>
      </c>
      <c r="U127" s="22">
        <v>6.9728436470307395E-2</v>
      </c>
      <c r="V127" s="22">
        <v>-1.8117057651558699E-3</v>
      </c>
      <c r="W127" s="22">
        <v>2.58614976015124E-2</v>
      </c>
      <c r="X127" s="23">
        <v>1.2145388968347699</v>
      </c>
      <c r="Y127" s="23">
        <v>1.3022759807794699</v>
      </c>
      <c r="Z127" s="23">
        <v>1.2104004175719201</v>
      </c>
      <c r="AA127" s="23">
        <v>1.24287529453485</v>
      </c>
      <c r="AB127" s="21">
        <v>209.41900046914699</v>
      </c>
      <c r="AC127" s="21">
        <v>194.95919289571799</v>
      </c>
      <c r="AD127" s="21">
        <v>200.43243272485199</v>
      </c>
      <c r="AE127" s="22">
        <v>6.9748992146233493E-2</v>
      </c>
      <c r="AF127" s="22">
        <v>-1.7977703859338499E-3</v>
      </c>
      <c r="AG127" s="22">
        <v>2.5889156211612401E-2</v>
      </c>
      <c r="AI127" s="5"/>
      <c r="AJ127">
        <f t="shared" si="26"/>
        <v>0</v>
      </c>
      <c r="AK127">
        <f t="shared" si="27"/>
        <v>1</v>
      </c>
      <c r="AL127">
        <f t="shared" si="34"/>
        <v>0</v>
      </c>
      <c r="AM127">
        <f t="shared" si="24"/>
        <v>1</v>
      </c>
      <c r="AN127">
        <f t="shared" si="35"/>
        <v>0</v>
      </c>
      <c r="AO127" s="17">
        <f t="shared" si="28"/>
        <v>0</v>
      </c>
      <c r="AP127" s="17">
        <f t="shared" si="29"/>
        <v>0</v>
      </c>
      <c r="AQ127" s="17">
        <f t="shared" si="36"/>
        <v>0</v>
      </c>
      <c r="AR127" s="11">
        <f t="shared" si="37"/>
        <v>1.5395876734545389E-2</v>
      </c>
      <c r="AT127" s="5"/>
      <c r="AU127">
        <f t="shared" si="30"/>
        <v>1</v>
      </c>
      <c r="AV127">
        <f t="shared" si="31"/>
        <v>0</v>
      </c>
      <c r="AW127">
        <f t="shared" si="38"/>
        <v>1</v>
      </c>
      <c r="AX127">
        <f t="shared" si="25"/>
        <v>1</v>
      </c>
      <c r="AY127">
        <f t="shared" si="39"/>
        <v>1</v>
      </c>
      <c r="AZ127" s="17">
        <f t="shared" si="32"/>
        <v>-2.1788535404233399E-3</v>
      </c>
      <c r="BA127" s="17">
        <f t="shared" si="33"/>
        <v>-1.9948345532305898E-3</v>
      </c>
      <c r="BB127" s="17">
        <f t="shared" si="40"/>
        <v>-4.1736880936539301E-3</v>
      </c>
      <c r="BC127" s="11">
        <f t="shared" si="41"/>
        <v>-1.4433125581247853E-2</v>
      </c>
      <c r="BE127" s="11">
        <f t="shared" si="42"/>
        <v>-4.1736880936539301E-3</v>
      </c>
      <c r="BF127" s="11">
        <f t="shared" si="43"/>
        <v>9.6275115329753566E-4</v>
      </c>
      <c r="BH127" s="11"/>
    </row>
    <row r="128" spans="1:60" x14ac:dyDescent="0.25">
      <c r="A128" s="1">
        <v>46210</v>
      </c>
      <c r="B128" s="21">
        <v>163.87</v>
      </c>
      <c r="C128" s="21">
        <v>198.23</v>
      </c>
      <c r="D128" s="22">
        <v>1.8849886692199402E-2</v>
      </c>
      <c r="E128" s="22">
        <v>1.48399328533195E-2</v>
      </c>
      <c r="F128" s="21">
        <v>0</v>
      </c>
      <c r="G128" s="21">
        <v>0.13809399999999999</v>
      </c>
      <c r="H128" s="21">
        <v>0</v>
      </c>
      <c r="I128" s="21">
        <v>0.145592</v>
      </c>
      <c r="J128" s="21">
        <v>0</v>
      </c>
      <c r="K128" s="21">
        <v>0</v>
      </c>
      <c r="L128" s="21">
        <v>163.87</v>
      </c>
      <c r="M128" s="21">
        <v>198.23</v>
      </c>
      <c r="N128" s="23">
        <v>1.20967840361261</v>
      </c>
      <c r="O128" s="23">
        <v>1.3022492118915701</v>
      </c>
      <c r="P128" s="23">
        <v>1.21001901893688</v>
      </c>
      <c r="Q128" s="23">
        <v>1.23787047885567</v>
      </c>
      <c r="R128" s="21">
        <v>213.39957835267199</v>
      </c>
      <c r="S128" s="21">
        <v>198.34831642751001</v>
      </c>
      <c r="T128" s="21">
        <v>203.66432542215</v>
      </c>
      <c r="U128" s="22">
        <v>7.3738390309187302E-2</v>
      </c>
      <c r="V128" s="22">
        <v>5.9668633467816195E-4</v>
      </c>
      <c r="W128" s="22">
        <v>2.70452022630383E-2</v>
      </c>
      <c r="X128" s="23">
        <v>1.20967840361261</v>
      </c>
      <c r="Y128" s="23">
        <v>1.3022759807794699</v>
      </c>
      <c r="Z128" s="23">
        <v>1.21001901893688</v>
      </c>
      <c r="AA128" s="23">
        <v>1.23790495187255</v>
      </c>
      <c r="AB128" s="21">
        <v>213.403964970332</v>
      </c>
      <c r="AC128" s="21">
        <v>198.34831642751001</v>
      </c>
      <c r="AD128" s="21">
        <v>203.66997451542599</v>
      </c>
      <c r="AE128" s="22">
        <v>7.3758945985113206E-2</v>
      </c>
      <c r="AF128" s="22">
        <v>5.9668633467794001E-4</v>
      </c>
      <c r="AG128" s="22">
        <v>2.7072939152745199E-2</v>
      </c>
      <c r="AI128" s="5"/>
      <c r="AJ128">
        <f t="shared" si="26"/>
        <v>0</v>
      </c>
      <c r="AK128">
        <f t="shared" si="27"/>
        <v>1</v>
      </c>
      <c r="AL128">
        <f t="shared" si="34"/>
        <v>0</v>
      </c>
      <c r="AM128">
        <f t="shared" si="24"/>
        <v>1</v>
      </c>
      <c r="AN128">
        <f t="shared" si="35"/>
        <v>0</v>
      </c>
      <c r="AO128" s="17">
        <f t="shared" si="28"/>
        <v>0</v>
      </c>
      <c r="AP128" s="17">
        <f t="shared" si="29"/>
        <v>0</v>
      </c>
      <c r="AQ128" s="17">
        <f t="shared" si="36"/>
        <v>0</v>
      </c>
      <c r="AR128" s="11">
        <f t="shared" si="37"/>
        <v>1.5395876734545389E-2</v>
      </c>
      <c r="AT128" s="5"/>
      <c r="AU128">
        <f t="shared" si="30"/>
        <v>1</v>
      </c>
      <c r="AV128">
        <f t="shared" si="31"/>
        <v>0</v>
      </c>
      <c r="AW128">
        <f t="shared" si="38"/>
        <v>1</v>
      </c>
      <c r="AX128">
        <f t="shared" si="25"/>
        <v>1</v>
      </c>
      <c r="AY128">
        <f t="shared" si="39"/>
        <v>1</v>
      </c>
      <c r="AZ128" s="17">
        <f t="shared" si="32"/>
        <v>-1.8849886692199402E-2</v>
      </c>
      <c r="BA128" s="17">
        <f t="shared" si="33"/>
        <v>1.48399328533195E-2</v>
      </c>
      <c r="BB128" s="17">
        <f t="shared" si="40"/>
        <v>-4.0099538388799014E-3</v>
      </c>
      <c r="BC128" s="11">
        <f t="shared" si="41"/>
        <v>-1.8443079420127753E-2</v>
      </c>
      <c r="BE128" s="11">
        <f t="shared" si="42"/>
        <v>-4.0099538388799014E-3</v>
      </c>
      <c r="BF128" s="11">
        <f t="shared" si="43"/>
        <v>-3.0472026855823658E-3</v>
      </c>
      <c r="BH128" s="11"/>
    </row>
    <row r="129" spans="1:60" x14ac:dyDescent="0.25">
      <c r="A129" s="1">
        <v>46211</v>
      </c>
      <c r="B129" s="21">
        <v>162.97</v>
      </c>
      <c r="C129" s="21">
        <v>196.34</v>
      </c>
      <c r="D129" s="22">
        <v>-5.50729577023537E-3</v>
      </c>
      <c r="E129" s="22">
        <v>-9.5801224377441204E-3</v>
      </c>
      <c r="F129" s="21">
        <v>0</v>
      </c>
      <c r="G129" s="21">
        <v>0.13809399999999999</v>
      </c>
      <c r="H129" s="21">
        <v>0</v>
      </c>
      <c r="I129" s="21">
        <v>0.145592</v>
      </c>
      <c r="J129" s="21">
        <v>0</v>
      </c>
      <c r="K129" s="21">
        <v>0</v>
      </c>
      <c r="L129" s="21">
        <v>162.97</v>
      </c>
      <c r="M129" s="21">
        <v>196.34</v>
      </c>
      <c r="N129" s="23">
        <v>1.20476161256673</v>
      </c>
      <c r="O129" s="23">
        <v>1.3022492118915701</v>
      </c>
      <c r="P129" s="23">
        <v>1.20937023970522</v>
      </c>
      <c r="Q129" s="23">
        <v>1.23312374285238</v>
      </c>
      <c r="R129" s="21">
        <v>212.22755406196899</v>
      </c>
      <c r="S129" s="21">
        <v>197.19679951614401</v>
      </c>
      <c r="T129" s="21">
        <v>201.73575193910901</v>
      </c>
      <c r="U129" s="22">
        <v>7.7811216976696101E-2</v>
      </c>
      <c r="V129" s="22">
        <v>4.3543621382999796E-3</v>
      </c>
      <c r="W129" s="22">
        <v>2.71108320329943E-2</v>
      </c>
      <c r="X129" s="23">
        <v>1.20476161256673</v>
      </c>
      <c r="Y129" s="23">
        <v>1.3022759807794699</v>
      </c>
      <c r="Z129" s="23">
        <v>1.20937023970522</v>
      </c>
      <c r="AA129" s="23">
        <v>1.23315821586925</v>
      </c>
      <c r="AB129" s="21">
        <v>212.23191658763</v>
      </c>
      <c r="AC129" s="21">
        <v>197.19679951614401</v>
      </c>
      <c r="AD129" s="21">
        <v>201.741370006669</v>
      </c>
      <c r="AE129" s="22">
        <v>7.7831772652622103E-2</v>
      </c>
      <c r="AF129" s="22">
        <v>4.3543621382995399E-3</v>
      </c>
      <c r="AG129" s="22">
        <v>2.7138680291320601E-2</v>
      </c>
      <c r="AI129" s="5"/>
      <c r="AJ129">
        <f t="shared" si="26"/>
        <v>0</v>
      </c>
      <c r="AK129">
        <f t="shared" si="27"/>
        <v>1</v>
      </c>
      <c r="AL129">
        <f t="shared" si="34"/>
        <v>0</v>
      </c>
      <c r="AM129">
        <f t="shared" si="24"/>
        <v>1</v>
      </c>
      <c r="AN129">
        <f t="shared" si="35"/>
        <v>0</v>
      </c>
      <c r="AO129" s="17">
        <f t="shared" si="28"/>
        <v>0</v>
      </c>
      <c r="AP129" s="17">
        <f t="shared" si="29"/>
        <v>0</v>
      </c>
      <c r="AQ129" s="17">
        <f t="shared" si="36"/>
        <v>0</v>
      </c>
      <c r="AR129" s="11">
        <f t="shared" si="37"/>
        <v>1.5395876734545389E-2</v>
      </c>
      <c r="AT129" s="5"/>
      <c r="AU129">
        <f t="shared" si="30"/>
        <v>1</v>
      </c>
      <c r="AV129">
        <f t="shared" si="31"/>
        <v>0</v>
      </c>
      <c r="AW129">
        <f t="shared" si="38"/>
        <v>1</v>
      </c>
      <c r="AX129">
        <f t="shared" si="25"/>
        <v>1</v>
      </c>
      <c r="AY129">
        <f t="shared" si="39"/>
        <v>1</v>
      </c>
      <c r="AZ129" s="17">
        <f t="shared" si="32"/>
        <v>5.50729577023537E-3</v>
      </c>
      <c r="BA129" s="17">
        <f t="shared" si="33"/>
        <v>-9.5801224377441204E-3</v>
      </c>
      <c r="BB129" s="17">
        <f t="shared" si="40"/>
        <v>-4.0728266675087504E-3</v>
      </c>
      <c r="BC129" s="11">
        <f t="shared" si="41"/>
        <v>-2.2515906087636504E-2</v>
      </c>
      <c r="BE129" s="11">
        <f t="shared" si="42"/>
        <v>-4.0728266675087504E-3</v>
      </c>
      <c r="BF129" s="11">
        <f t="shared" si="43"/>
        <v>-7.1200293530911162E-3</v>
      </c>
      <c r="BH129" s="11"/>
    </row>
    <row r="130" spans="1:60" x14ac:dyDescent="0.25">
      <c r="A130" s="1">
        <v>46212</v>
      </c>
      <c r="B130" s="21">
        <v>164.28</v>
      </c>
      <c r="C130" s="21">
        <v>197.34</v>
      </c>
      <c r="D130" s="22">
        <v>8.0061543004603594E-3</v>
      </c>
      <c r="E130" s="22">
        <v>5.0802791646453599E-3</v>
      </c>
      <c r="F130" s="21">
        <v>0</v>
      </c>
      <c r="G130" s="21">
        <v>0.13809399999999999</v>
      </c>
      <c r="H130" s="21">
        <v>0</v>
      </c>
      <c r="I130" s="21">
        <v>0.145592</v>
      </c>
      <c r="J130" s="21">
        <v>0</v>
      </c>
      <c r="K130" s="21">
        <v>0</v>
      </c>
      <c r="L130" s="21">
        <v>164.28</v>
      </c>
      <c r="M130" s="21">
        <v>197.34</v>
      </c>
      <c r="N130" s="23">
        <v>1.2012417823228601</v>
      </c>
      <c r="O130" s="23">
        <v>1.3022492118915701</v>
      </c>
      <c r="P130" s="23">
        <v>1.2082399927154099</v>
      </c>
      <c r="Q130" s="23">
        <v>1.2287315771352201</v>
      </c>
      <c r="R130" s="21">
        <v>213.93350052954699</v>
      </c>
      <c r="S130" s="21">
        <v>198.67534297877299</v>
      </c>
      <c r="T130" s="21">
        <v>202.57756847578901</v>
      </c>
      <c r="U130" s="22">
        <v>8.0737092112511205E-2</v>
      </c>
      <c r="V130" s="22">
        <v>6.7439207265428203E-3</v>
      </c>
      <c r="W130" s="22">
        <v>2.6194737972473198E-2</v>
      </c>
      <c r="X130" s="23">
        <v>1.2012417823228601</v>
      </c>
      <c r="Y130" s="23">
        <v>1.3022759807794699</v>
      </c>
      <c r="Z130" s="23">
        <v>1.2082399927154099</v>
      </c>
      <c r="AA130" s="23">
        <v>1.2287660501520901</v>
      </c>
      <c r="AB130" s="21">
        <v>213.937898122452</v>
      </c>
      <c r="AC130" s="21">
        <v>198.67534297877299</v>
      </c>
      <c r="AD130" s="21">
        <v>202.58323170300099</v>
      </c>
      <c r="AE130" s="22">
        <v>8.0757647788437401E-2</v>
      </c>
      <c r="AF130" s="22">
        <v>6.7439207265430397E-3</v>
      </c>
      <c r="AG130" s="22">
        <v>2.6222693427246001E-2</v>
      </c>
      <c r="AI130" s="5"/>
      <c r="AJ130">
        <f t="shared" si="26"/>
        <v>0</v>
      </c>
      <c r="AK130">
        <f t="shared" si="27"/>
        <v>1</v>
      </c>
      <c r="AL130">
        <f t="shared" si="34"/>
        <v>0</v>
      </c>
      <c r="AM130">
        <f t="shared" si="24"/>
        <v>1</v>
      </c>
      <c r="AN130">
        <f t="shared" si="35"/>
        <v>0</v>
      </c>
      <c r="AO130" s="17">
        <f t="shared" si="28"/>
        <v>0</v>
      </c>
      <c r="AP130" s="17">
        <f t="shared" si="29"/>
        <v>0</v>
      </c>
      <c r="AQ130" s="17">
        <f t="shared" si="36"/>
        <v>0</v>
      </c>
      <c r="AR130" s="11">
        <f t="shared" si="37"/>
        <v>1.5395876734545389E-2</v>
      </c>
      <c r="AT130" s="5"/>
      <c r="AU130">
        <f t="shared" si="30"/>
        <v>1</v>
      </c>
      <c r="AV130">
        <f t="shared" si="31"/>
        <v>0</v>
      </c>
      <c r="AW130">
        <f t="shared" si="38"/>
        <v>1</v>
      </c>
      <c r="AX130">
        <f t="shared" si="25"/>
        <v>1</v>
      </c>
      <c r="AY130">
        <f t="shared" si="39"/>
        <v>1</v>
      </c>
      <c r="AZ130" s="17">
        <f t="shared" si="32"/>
        <v>-8.0061543004603594E-3</v>
      </c>
      <c r="BA130" s="17">
        <f t="shared" si="33"/>
        <v>5.0802791646453599E-3</v>
      </c>
      <c r="BB130" s="17">
        <f t="shared" si="40"/>
        <v>-2.9258751358149995E-3</v>
      </c>
      <c r="BC130" s="11">
        <f t="shared" si="41"/>
        <v>-2.5441781223451504E-2</v>
      </c>
      <c r="BE130" s="11">
        <f t="shared" si="42"/>
        <v>-2.9258751358149995E-3</v>
      </c>
      <c r="BF130" s="11">
        <f t="shared" si="43"/>
        <v>-1.0045904488906115E-2</v>
      </c>
      <c r="BH130" s="11"/>
    </row>
    <row r="131" spans="1:60" x14ac:dyDescent="0.25">
      <c r="A131" s="1">
        <v>46213</v>
      </c>
      <c r="B131" s="21">
        <v>159.03</v>
      </c>
      <c r="C131" s="21">
        <v>192.06</v>
      </c>
      <c r="D131" s="22">
        <v>-3.2479425420533399E-2</v>
      </c>
      <c r="E131" s="22">
        <v>-2.7120306219193799E-2</v>
      </c>
      <c r="F131" s="21">
        <v>0</v>
      </c>
      <c r="G131" s="21">
        <v>0.13809399999999999</v>
      </c>
      <c r="H131" s="21">
        <v>0</v>
      </c>
      <c r="I131" s="21">
        <v>0.145592</v>
      </c>
      <c r="J131" s="21">
        <v>0</v>
      </c>
      <c r="K131" s="21">
        <v>0</v>
      </c>
      <c r="L131" s="21">
        <v>159.03</v>
      </c>
      <c r="M131" s="21">
        <v>192.06</v>
      </c>
      <c r="N131" s="23">
        <v>1.2076966610073501</v>
      </c>
      <c r="O131" s="23">
        <v>1.3022492118915701</v>
      </c>
      <c r="P131" s="23">
        <v>1.2078473130149701</v>
      </c>
      <c r="Q131" s="23">
        <v>1.22472758597138</v>
      </c>
      <c r="R131" s="21">
        <v>207.096692167117</v>
      </c>
      <c r="S131" s="21">
        <v>192.14640604153101</v>
      </c>
      <c r="T131" s="21">
        <v>195.40518271181401</v>
      </c>
      <c r="U131" s="22">
        <v>7.5377972911171695E-2</v>
      </c>
      <c r="V131" s="22">
        <v>4.4978970485658399E-4</v>
      </c>
      <c r="W131" s="22">
        <v>1.72674396490256E-2</v>
      </c>
      <c r="X131" s="23">
        <v>1.2076966610073501</v>
      </c>
      <c r="Y131" s="23">
        <v>1.3022759807794699</v>
      </c>
      <c r="Z131" s="23">
        <v>1.2078473130149701</v>
      </c>
      <c r="AA131" s="23">
        <v>1.22476205898825</v>
      </c>
      <c r="AB131" s="21">
        <v>207.10094922335901</v>
      </c>
      <c r="AC131" s="21">
        <v>192.14640604153101</v>
      </c>
      <c r="AD131" s="21">
        <v>195.410664955687</v>
      </c>
      <c r="AE131" s="22">
        <v>7.5398528587097696E-2</v>
      </c>
      <c r="AF131" s="22">
        <v>4.49789704856362E-4</v>
      </c>
      <c r="AG131" s="22">
        <v>1.72954950306413E-2</v>
      </c>
      <c r="AI131" s="5"/>
      <c r="AJ131">
        <f t="shared" si="26"/>
        <v>0</v>
      </c>
      <c r="AK131">
        <f t="shared" si="27"/>
        <v>1</v>
      </c>
      <c r="AL131">
        <f t="shared" si="34"/>
        <v>0</v>
      </c>
      <c r="AM131">
        <f t="shared" si="24"/>
        <v>1</v>
      </c>
      <c r="AN131">
        <f t="shared" si="35"/>
        <v>0</v>
      </c>
      <c r="AO131" s="17">
        <f t="shared" si="28"/>
        <v>0</v>
      </c>
      <c r="AP131" s="17">
        <f t="shared" si="29"/>
        <v>0</v>
      </c>
      <c r="AQ131" s="17">
        <f t="shared" si="36"/>
        <v>0</v>
      </c>
      <c r="AR131" s="11">
        <f t="shared" si="37"/>
        <v>1.5395876734545389E-2</v>
      </c>
      <c r="AT131" s="5"/>
      <c r="AU131">
        <f t="shared" si="30"/>
        <v>1</v>
      </c>
      <c r="AV131">
        <f t="shared" si="31"/>
        <v>0</v>
      </c>
      <c r="AW131">
        <f t="shared" si="38"/>
        <v>1</v>
      </c>
      <c r="AX131">
        <f t="shared" si="25"/>
        <v>1</v>
      </c>
      <c r="AY131">
        <f t="shared" si="39"/>
        <v>1</v>
      </c>
      <c r="AZ131" s="17">
        <f t="shared" si="32"/>
        <v>3.2479425420533399E-2</v>
      </c>
      <c r="BA131" s="17">
        <f t="shared" si="33"/>
        <v>-2.7120306219193799E-2</v>
      </c>
      <c r="BB131" s="17">
        <f t="shared" si="40"/>
        <v>5.3591192013396002E-3</v>
      </c>
      <c r="BC131" s="11">
        <f t="shared" si="41"/>
        <v>-2.0082662022111904E-2</v>
      </c>
      <c r="BE131" s="11">
        <f t="shared" si="42"/>
        <v>5.3591192013396002E-3</v>
      </c>
      <c r="BF131" s="11">
        <f t="shared" si="43"/>
        <v>-4.6867852875665146E-3</v>
      </c>
      <c r="BH131" s="11"/>
    </row>
    <row r="132" spans="1:60" x14ac:dyDescent="0.25">
      <c r="A132" s="1">
        <v>46216</v>
      </c>
      <c r="B132" s="21">
        <v>155.34</v>
      </c>
      <c r="C132" s="21">
        <v>189.55</v>
      </c>
      <c r="D132" s="22">
        <v>-2.3476600676323098E-2</v>
      </c>
      <c r="E132" s="22">
        <v>-1.3154981247482799E-2</v>
      </c>
      <c r="F132" s="21">
        <v>0</v>
      </c>
      <c r="G132" s="21">
        <v>0.13809399999999999</v>
      </c>
      <c r="H132" s="21">
        <v>0</v>
      </c>
      <c r="I132" s="21">
        <v>0.145592</v>
      </c>
      <c r="J132" s="21">
        <v>0</v>
      </c>
      <c r="K132" s="21">
        <v>0</v>
      </c>
      <c r="L132" s="21">
        <v>155.34</v>
      </c>
      <c r="M132" s="21">
        <v>189.55</v>
      </c>
      <c r="N132" s="23">
        <v>1.2202265997167501</v>
      </c>
      <c r="O132" s="23">
        <v>1.3022492118915701</v>
      </c>
      <c r="P132" s="23">
        <v>1.20928817352725</v>
      </c>
      <c r="Q132" s="23">
        <v>1.22151938906254</v>
      </c>
      <c r="R132" s="21">
        <v>202.29139257523701</v>
      </c>
      <c r="S132" s="21">
        <v>187.62700160374601</v>
      </c>
      <c r="T132" s="21">
        <v>190.249183204795</v>
      </c>
      <c r="U132" s="22">
        <v>6.5056353482331297E-2</v>
      </c>
      <c r="V132" s="22">
        <v>-1.0196883957714901E-2</v>
      </c>
      <c r="W132" s="22">
        <v>3.6818614971470599E-3</v>
      </c>
      <c r="X132" s="23">
        <v>1.2202265997167501</v>
      </c>
      <c r="Y132" s="23">
        <v>1.3022759807794699</v>
      </c>
      <c r="Z132" s="23">
        <v>1.20928817352725</v>
      </c>
      <c r="AA132" s="23">
        <v>1.22155386207941</v>
      </c>
      <c r="AB132" s="21">
        <v>202.29555085428299</v>
      </c>
      <c r="AC132" s="21">
        <v>187.62700160374499</v>
      </c>
      <c r="AD132" s="21">
        <v>190.254538243236</v>
      </c>
      <c r="AE132" s="22">
        <v>6.5076909158257507E-2</v>
      </c>
      <c r="AF132" s="22">
        <v>-1.01968839577151E-2</v>
      </c>
      <c r="AG132" s="22">
        <v>3.7100085986853798E-3</v>
      </c>
      <c r="AI132" s="5"/>
      <c r="AJ132">
        <f t="shared" si="26"/>
        <v>0</v>
      </c>
      <c r="AK132">
        <f t="shared" si="27"/>
        <v>1</v>
      </c>
      <c r="AL132">
        <f t="shared" si="34"/>
        <v>0</v>
      </c>
      <c r="AM132">
        <f t="shared" si="24"/>
        <v>1</v>
      </c>
      <c r="AN132">
        <f t="shared" si="35"/>
        <v>0</v>
      </c>
      <c r="AO132" s="17">
        <f t="shared" si="28"/>
        <v>0</v>
      </c>
      <c r="AP132" s="17">
        <f t="shared" si="29"/>
        <v>0</v>
      </c>
      <c r="AQ132" s="17">
        <f t="shared" si="36"/>
        <v>0</v>
      </c>
      <c r="AR132" s="11">
        <f t="shared" si="37"/>
        <v>1.5395876734545389E-2</v>
      </c>
      <c r="AT132" s="5"/>
      <c r="AU132">
        <f t="shared" si="30"/>
        <v>0</v>
      </c>
      <c r="AV132">
        <f t="shared" si="31"/>
        <v>1</v>
      </c>
      <c r="AW132">
        <f t="shared" si="38"/>
        <v>1</v>
      </c>
      <c r="AX132">
        <f t="shared" si="25"/>
        <v>1</v>
      </c>
      <c r="AY132">
        <f t="shared" si="39"/>
        <v>1</v>
      </c>
      <c r="AZ132" s="17">
        <f t="shared" si="32"/>
        <v>2.3476600676323098E-2</v>
      </c>
      <c r="BA132" s="17">
        <f t="shared" si="33"/>
        <v>-1.3154981247482799E-2</v>
      </c>
      <c r="BB132" s="17">
        <f t="shared" si="40"/>
        <v>1.0321619428840299E-2</v>
      </c>
      <c r="BC132" s="11">
        <f t="shared" si="41"/>
        <v>-9.7610425932716047E-3</v>
      </c>
      <c r="BE132" s="11">
        <f t="shared" si="42"/>
        <v>1.0321619428840299E-2</v>
      </c>
      <c r="BF132" s="11">
        <f t="shared" si="43"/>
        <v>5.6348341412737844E-3</v>
      </c>
      <c r="BH132" s="11"/>
    </row>
    <row r="133" spans="1:60" x14ac:dyDescent="0.25">
      <c r="A133" s="1">
        <v>46217</v>
      </c>
      <c r="B133" s="21">
        <v>155.44999999999999</v>
      </c>
      <c r="C133" s="21">
        <v>188.67</v>
      </c>
      <c r="D133" s="22">
        <v>7.0787351326146895E-4</v>
      </c>
      <c r="E133" s="22">
        <v>-4.6533847388223202E-3</v>
      </c>
      <c r="F133" s="21">
        <v>0</v>
      </c>
      <c r="G133" s="21">
        <v>0.13809399999999999</v>
      </c>
      <c r="H133" s="21">
        <v>0</v>
      </c>
      <c r="I133" s="21">
        <v>0.145592</v>
      </c>
      <c r="J133" s="21">
        <v>0</v>
      </c>
      <c r="K133" s="21">
        <v>0</v>
      </c>
      <c r="L133" s="21">
        <v>155.44999999999999</v>
      </c>
      <c r="M133" s="21">
        <v>188.67</v>
      </c>
      <c r="N133" s="23">
        <v>1.2137021550337701</v>
      </c>
      <c r="O133" s="23">
        <v>1.3022492118915701</v>
      </c>
      <c r="P133" s="23">
        <v>1.21077335334116</v>
      </c>
      <c r="Q133" s="23">
        <v>1.2184254400835299</v>
      </c>
      <c r="R133" s="21">
        <v>202.434639988545</v>
      </c>
      <c r="S133" s="21">
        <v>187.98384657481199</v>
      </c>
      <c r="T133" s="21">
        <v>189.88518902977199</v>
      </c>
      <c r="U133" s="22">
        <v>7.04176117344152E-2</v>
      </c>
      <c r="V133" s="22">
        <v>-3.6434205595222801E-3</v>
      </c>
      <c r="W133" s="22">
        <v>6.4201640289583998E-3</v>
      </c>
      <c r="X133" s="23">
        <v>1.2137021550337701</v>
      </c>
      <c r="Y133" s="23">
        <v>1.3022759807794699</v>
      </c>
      <c r="Z133" s="23">
        <v>1.21077335334116</v>
      </c>
      <c r="AA133" s="23">
        <v>1.2184599131003999</v>
      </c>
      <c r="AB133" s="21">
        <v>202.43880121216901</v>
      </c>
      <c r="AC133" s="21">
        <v>187.98384657481199</v>
      </c>
      <c r="AD133" s="21">
        <v>189.89054786024499</v>
      </c>
      <c r="AE133" s="22">
        <v>7.0438167410341104E-2</v>
      </c>
      <c r="AF133" s="22">
        <v>-3.6434205595220598E-3</v>
      </c>
      <c r="AG133" s="22">
        <v>6.4483850549637099E-3</v>
      </c>
      <c r="AI133" s="5"/>
      <c r="AJ133">
        <f t="shared" si="26"/>
        <v>0</v>
      </c>
      <c r="AK133">
        <f t="shared" si="27"/>
        <v>1</v>
      </c>
      <c r="AL133">
        <f t="shared" si="34"/>
        <v>0</v>
      </c>
      <c r="AM133">
        <f t="shared" si="24"/>
        <v>1</v>
      </c>
      <c r="AN133">
        <f t="shared" si="35"/>
        <v>0</v>
      </c>
      <c r="AO133" s="17">
        <f t="shared" si="28"/>
        <v>0</v>
      </c>
      <c r="AP133" s="17">
        <f t="shared" si="29"/>
        <v>0</v>
      </c>
      <c r="AQ133" s="17">
        <f t="shared" si="36"/>
        <v>0</v>
      </c>
      <c r="AR133" s="11">
        <f t="shared" si="37"/>
        <v>1.5395876734545389E-2</v>
      </c>
      <c r="AT133" s="5"/>
      <c r="AU133">
        <f t="shared" si="30"/>
        <v>0</v>
      </c>
      <c r="AV133">
        <f t="shared" si="31"/>
        <v>0</v>
      </c>
      <c r="AW133">
        <f t="shared" si="38"/>
        <v>0</v>
      </c>
      <c r="AX133">
        <f t="shared" si="25"/>
        <v>1</v>
      </c>
      <c r="AY133">
        <f t="shared" si="39"/>
        <v>0</v>
      </c>
      <c r="AZ133" s="17">
        <f t="shared" si="32"/>
        <v>0</v>
      </c>
      <c r="BA133" s="17">
        <f t="shared" si="33"/>
        <v>0</v>
      </c>
      <c r="BB133" s="17">
        <f t="shared" si="40"/>
        <v>0</v>
      </c>
      <c r="BC133" s="11">
        <f t="shared" si="41"/>
        <v>-9.7610425932716047E-3</v>
      </c>
      <c r="BE133" s="11">
        <f t="shared" si="42"/>
        <v>0</v>
      </c>
      <c r="BF133" s="11">
        <f t="shared" si="43"/>
        <v>5.6348341412737844E-3</v>
      </c>
      <c r="BH133" s="11"/>
    </row>
    <row r="134" spans="1:60" x14ac:dyDescent="0.25">
      <c r="A134" s="1">
        <v>46218</v>
      </c>
      <c r="B134" s="21">
        <v>156.22</v>
      </c>
      <c r="C134" s="21">
        <v>189.9</v>
      </c>
      <c r="D134" s="22">
        <v>4.9411336773884902E-3</v>
      </c>
      <c r="E134" s="22">
        <v>6.4981605947186903E-3</v>
      </c>
      <c r="F134" s="21">
        <v>0</v>
      </c>
      <c r="G134" s="21">
        <v>0.13809399999999999</v>
      </c>
      <c r="H134" s="21">
        <v>0</v>
      </c>
      <c r="I134" s="21">
        <v>0.145592</v>
      </c>
      <c r="J134" s="21">
        <v>0</v>
      </c>
      <c r="K134" s="21">
        <v>0</v>
      </c>
      <c r="L134" s="21">
        <v>156.22</v>
      </c>
      <c r="M134" s="21">
        <v>189.9</v>
      </c>
      <c r="N134" s="23">
        <v>1.2155933939316299</v>
      </c>
      <c r="O134" s="23">
        <v>1.3022492118915701</v>
      </c>
      <c r="P134" s="23">
        <v>1.2121494383899301</v>
      </c>
      <c r="Q134" s="23">
        <v>1.2160929396921301</v>
      </c>
      <c r="R134" s="21">
        <v>203.43737188170101</v>
      </c>
      <c r="S134" s="21">
        <v>189.14701325895601</v>
      </c>
      <c r="T134" s="21">
        <v>190.34242224984899</v>
      </c>
      <c r="U134" s="22">
        <v>6.8860584817084902E-2</v>
      </c>
      <c r="V134" s="22">
        <v>-3.9730571945237698E-3</v>
      </c>
      <c r="W134" s="22">
        <v>2.3270546557191802E-3</v>
      </c>
      <c r="X134" s="23">
        <v>1.2155933939316299</v>
      </c>
      <c r="Y134" s="23">
        <v>1.3022759807794699</v>
      </c>
      <c r="Z134" s="23">
        <v>1.2121494383899301</v>
      </c>
      <c r="AA134" s="23">
        <v>1.2161186978996199</v>
      </c>
      <c r="AB134" s="21">
        <v>203.441553717369</v>
      </c>
      <c r="AC134" s="21">
        <v>189.14701325895601</v>
      </c>
      <c r="AD134" s="21">
        <v>190.347807624545</v>
      </c>
      <c r="AE134" s="22">
        <v>6.8881140493011098E-2</v>
      </c>
      <c r="AF134" s="22">
        <v>-3.97305719452388E-3</v>
      </c>
      <c r="AG134" s="22">
        <v>2.35534734239149E-3</v>
      </c>
      <c r="AI134" s="5"/>
      <c r="AJ134">
        <f t="shared" si="26"/>
        <v>0</v>
      </c>
      <c r="AK134">
        <f t="shared" si="27"/>
        <v>1</v>
      </c>
      <c r="AL134">
        <f t="shared" si="34"/>
        <v>0</v>
      </c>
      <c r="AM134">
        <f t="shared" si="24"/>
        <v>1</v>
      </c>
      <c r="AN134">
        <f t="shared" si="35"/>
        <v>0</v>
      </c>
      <c r="AO134" s="17">
        <f t="shared" si="28"/>
        <v>0</v>
      </c>
      <c r="AP134" s="17">
        <f t="shared" si="29"/>
        <v>0</v>
      </c>
      <c r="AQ134" s="17">
        <f t="shared" si="36"/>
        <v>0</v>
      </c>
      <c r="AR134" s="11">
        <f t="shared" si="37"/>
        <v>1.5395876734545389E-2</v>
      </c>
      <c r="AT134" s="5"/>
      <c r="AU134">
        <f t="shared" si="30"/>
        <v>0</v>
      </c>
      <c r="AV134">
        <f t="shared" si="31"/>
        <v>1</v>
      </c>
      <c r="AW134">
        <f t="shared" si="38"/>
        <v>0</v>
      </c>
      <c r="AX134">
        <f t="shared" si="25"/>
        <v>1</v>
      </c>
      <c r="AY134">
        <f t="shared" si="39"/>
        <v>0</v>
      </c>
      <c r="AZ134" s="17">
        <f t="shared" si="32"/>
        <v>0</v>
      </c>
      <c r="BA134" s="17">
        <f t="shared" si="33"/>
        <v>0</v>
      </c>
      <c r="BB134" s="17">
        <f t="shared" si="40"/>
        <v>0</v>
      </c>
      <c r="BC134" s="11">
        <f t="shared" si="41"/>
        <v>-9.7610425932716047E-3</v>
      </c>
      <c r="BE134" s="11">
        <f t="shared" si="42"/>
        <v>0</v>
      </c>
      <c r="BF134" s="11">
        <f t="shared" si="43"/>
        <v>5.6348341412737844E-3</v>
      </c>
      <c r="BH134" s="11"/>
    </row>
    <row r="135" spans="1:60" x14ac:dyDescent="0.25">
      <c r="A135" s="1">
        <v>46219</v>
      </c>
      <c r="B135" s="21">
        <v>152</v>
      </c>
      <c r="C135" s="21">
        <v>189.51</v>
      </c>
      <c r="D135" s="22">
        <v>-2.73847493358748E-2</v>
      </c>
      <c r="E135" s="22">
        <v>-2.05582423952159E-3</v>
      </c>
      <c r="F135" s="21">
        <v>0</v>
      </c>
      <c r="G135" s="21">
        <v>0.13809399999999999</v>
      </c>
      <c r="H135" s="21">
        <v>0</v>
      </c>
      <c r="I135" s="21">
        <v>0.145592</v>
      </c>
      <c r="J135" s="21">
        <v>0</v>
      </c>
      <c r="K135" s="21">
        <v>0</v>
      </c>
      <c r="L135" s="21">
        <v>152</v>
      </c>
      <c r="M135" s="21">
        <v>189.51</v>
      </c>
      <c r="N135" s="23">
        <v>1.24677631578947</v>
      </c>
      <c r="O135" s="23">
        <v>1.3022492118915701</v>
      </c>
      <c r="P135" s="23">
        <v>1.2153834417350899</v>
      </c>
      <c r="Q135" s="23">
        <v>1.2150949740422701</v>
      </c>
      <c r="R135" s="21">
        <v>197.94188020751901</v>
      </c>
      <c r="S135" s="21">
        <v>184.24671463527</v>
      </c>
      <c r="T135" s="21">
        <v>184.84612683320401</v>
      </c>
      <c r="U135" s="22">
        <v>4.3531659720731801E-2</v>
      </c>
      <c r="V135" s="22">
        <v>-2.8166093684418199E-2</v>
      </c>
      <c r="W135" s="22">
        <v>-2.4918061441265099E-2</v>
      </c>
      <c r="X135" s="23">
        <v>1.24677631578947</v>
      </c>
      <c r="Y135" s="23">
        <v>1.3022759807794699</v>
      </c>
      <c r="Z135" s="23">
        <v>1.2153834417350899</v>
      </c>
      <c r="AA135" s="23">
        <v>1.2151119491848901</v>
      </c>
      <c r="AB135" s="21">
        <v>197.94594907848</v>
      </c>
      <c r="AC135" s="21">
        <v>184.24671463527</v>
      </c>
      <c r="AD135" s="21">
        <v>184.85004208074301</v>
      </c>
      <c r="AE135" s="22">
        <v>4.3552215396657802E-2</v>
      </c>
      <c r="AF135" s="22">
        <v>-2.8166093684418098E-2</v>
      </c>
      <c r="AG135" s="22">
        <v>-2.48968805480459E-2</v>
      </c>
      <c r="AI135" s="5"/>
      <c r="AJ135">
        <f t="shared" si="26"/>
        <v>0</v>
      </c>
      <c r="AK135">
        <f t="shared" si="27"/>
        <v>0</v>
      </c>
      <c r="AL135">
        <f t="shared" si="34"/>
        <v>0</v>
      </c>
      <c r="AM135">
        <f t="shared" si="24"/>
        <v>1</v>
      </c>
      <c r="AN135">
        <f t="shared" si="35"/>
        <v>0</v>
      </c>
      <c r="AO135" s="17">
        <f t="shared" si="28"/>
        <v>0</v>
      </c>
      <c r="AP135" s="17">
        <f t="shared" si="29"/>
        <v>0</v>
      </c>
      <c r="AQ135" s="17">
        <f t="shared" si="36"/>
        <v>0</v>
      </c>
      <c r="AR135" s="11">
        <f t="shared" si="37"/>
        <v>1.5395876734545389E-2</v>
      </c>
      <c r="AT135" s="5"/>
      <c r="AU135">
        <f t="shared" si="30"/>
        <v>0</v>
      </c>
      <c r="AV135">
        <f t="shared" si="31"/>
        <v>1</v>
      </c>
      <c r="AW135">
        <f t="shared" si="38"/>
        <v>0</v>
      </c>
      <c r="AX135">
        <f t="shared" si="25"/>
        <v>1</v>
      </c>
      <c r="AY135">
        <f t="shared" si="39"/>
        <v>0</v>
      </c>
      <c r="AZ135" s="17">
        <f t="shared" si="32"/>
        <v>0</v>
      </c>
      <c r="BA135" s="17">
        <f t="shared" si="33"/>
        <v>0</v>
      </c>
      <c r="BB135" s="17">
        <f t="shared" si="40"/>
        <v>0</v>
      </c>
      <c r="BC135" s="11">
        <f t="shared" si="41"/>
        <v>-9.7610425932716047E-3</v>
      </c>
      <c r="BE135" s="11">
        <f t="shared" si="42"/>
        <v>0</v>
      </c>
      <c r="BF135" s="11">
        <f t="shared" si="43"/>
        <v>5.6348341412737844E-3</v>
      </c>
      <c r="BH135" s="11"/>
    </row>
    <row r="136" spans="1:60" x14ac:dyDescent="0.25">
      <c r="A136" s="1">
        <v>46220</v>
      </c>
      <c r="B136" s="21">
        <v>154.26</v>
      </c>
      <c r="C136" s="21">
        <v>189.76</v>
      </c>
      <c r="D136" s="22">
        <v>1.47589696595766E-2</v>
      </c>
      <c r="E136" s="22">
        <v>1.3183222306420001E-3</v>
      </c>
      <c r="F136" s="21">
        <v>0</v>
      </c>
      <c r="G136" s="21">
        <v>0.13809399999999999</v>
      </c>
      <c r="H136" s="21">
        <v>0</v>
      </c>
      <c r="I136" s="21">
        <v>0.145592</v>
      </c>
      <c r="J136" s="21">
        <v>0</v>
      </c>
      <c r="K136" s="21">
        <v>0</v>
      </c>
      <c r="L136" s="21">
        <v>154.26</v>
      </c>
      <c r="M136" s="21">
        <v>189.76</v>
      </c>
      <c r="N136" s="23">
        <v>1.23013094775055</v>
      </c>
      <c r="O136" s="23">
        <v>1.3022492118915701</v>
      </c>
      <c r="P136" s="23">
        <v>1.2164346768566501</v>
      </c>
      <c r="Q136" s="23">
        <v>1.21438758929693</v>
      </c>
      <c r="R136" s="21">
        <v>200.88496342639399</v>
      </c>
      <c r="S136" s="21">
        <v>187.48504972205501</v>
      </c>
      <c r="T136" s="21">
        <v>187.440550695761</v>
      </c>
      <c r="U136" s="22">
        <v>5.6972307149666397E-2</v>
      </c>
      <c r="V136" s="22">
        <v>-1.2061008393588001E-2</v>
      </c>
      <c r="W136" s="22">
        <v>-1.2298383629922E-2</v>
      </c>
      <c r="X136" s="23">
        <v>1.23013094775055</v>
      </c>
      <c r="Y136" s="23">
        <v>1.3022759807794699</v>
      </c>
      <c r="Z136" s="23">
        <v>1.2164346768566501</v>
      </c>
      <c r="AA136" s="23">
        <v>1.2143960365681099</v>
      </c>
      <c r="AB136" s="21">
        <v>200.88909279504099</v>
      </c>
      <c r="AC136" s="21">
        <v>187.48504972205501</v>
      </c>
      <c r="AD136" s="21">
        <v>187.44316928126099</v>
      </c>
      <c r="AE136" s="22">
        <v>5.69928628255926E-2</v>
      </c>
      <c r="AF136" s="22">
        <v>-1.20610083935882E-2</v>
      </c>
      <c r="AG136" s="22">
        <v>-1.22844135087322E-2</v>
      </c>
      <c r="AI136" s="5"/>
      <c r="AJ136">
        <f t="shared" si="26"/>
        <v>0</v>
      </c>
      <c r="AK136">
        <f t="shared" si="27"/>
        <v>1</v>
      </c>
      <c r="AL136">
        <f t="shared" si="34"/>
        <v>0</v>
      </c>
      <c r="AM136">
        <f t="shared" si="24"/>
        <v>1</v>
      </c>
      <c r="AN136">
        <f t="shared" si="35"/>
        <v>0</v>
      </c>
      <c r="AO136" s="17">
        <f t="shared" si="28"/>
        <v>0</v>
      </c>
      <c r="AP136" s="17">
        <f t="shared" si="29"/>
        <v>0</v>
      </c>
      <c r="AQ136" s="17">
        <f t="shared" si="36"/>
        <v>0</v>
      </c>
      <c r="AR136" s="11">
        <f t="shared" si="37"/>
        <v>1.5395876734545389E-2</v>
      </c>
      <c r="AT136" s="5"/>
      <c r="AU136">
        <f t="shared" si="30"/>
        <v>0</v>
      </c>
      <c r="AV136">
        <f t="shared" si="31"/>
        <v>1</v>
      </c>
      <c r="AW136">
        <f t="shared" si="38"/>
        <v>0</v>
      </c>
      <c r="AX136">
        <f t="shared" si="25"/>
        <v>1</v>
      </c>
      <c r="AY136">
        <f t="shared" si="39"/>
        <v>0</v>
      </c>
      <c r="AZ136" s="17">
        <f t="shared" si="32"/>
        <v>0</v>
      </c>
      <c r="BA136" s="17">
        <f t="shared" si="33"/>
        <v>0</v>
      </c>
      <c r="BB136" s="17">
        <f t="shared" si="40"/>
        <v>0</v>
      </c>
      <c r="BC136" s="11">
        <f t="shared" si="41"/>
        <v>-9.7610425932716047E-3</v>
      </c>
      <c r="BE136" s="11">
        <f t="shared" si="42"/>
        <v>0</v>
      </c>
      <c r="BF136" s="11">
        <f t="shared" si="43"/>
        <v>5.6348341412737844E-3</v>
      </c>
      <c r="BH136" s="11"/>
    </row>
    <row r="137" spans="1:60" x14ac:dyDescent="0.25">
      <c r="A137" s="1">
        <v>46223</v>
      </c>
      <c r="B137" s="21">
        <v>150.94</v>
      </c>
      <c r="C137" s="21">
        <v>186.53</v>
      </c>
      <c r="D137" s="22">
        <v>-2.17570836491306E-2</v>
      </c>
      <c r="E137" s="22">
        <v>-1.7168031752889199E-2</v>
      </c>
      <c r="F137" s="21">
        <v>0</v>
      </c>
      <c r="G137" s="21">
        <v>0.13809399999999999</v>
      </c>
      <c r="H137" s="21">
        <v>0</v>
      </c>
      <c r="I137" s="21">
        <v>0.145592</v>
      </c>
      <c r="J137" s="21">
        <v>0</v>
      </c>
      <c r="K137" s="21">
        <v>0</v>
      </c>
      <c r="L137" s="21">
        <v>150.94</v>
      </c>
      <c r="M137" s="21">
        <v>186.53</v>
      </c>
      <c r="N137" s="23">
        <v>1.2357890552537401</v>
      </c>
      <c r="O137" s="23">
        <v>1.3022492118915701</v>
      </c>
      <c r="P137" s="23">
        <v>1.21855969269854</v>
      </c>
      <c r="Q137" s="23">
        <v>1.2144800551352299</v>
      </c>
      <c r="R137" s="21">
        <v>196.561496042914</v>
      </c>
      <c r="S137" s="21">
        <v>183.60865012474301</v>
      </c>
      <c r="T137" s="21">
        <v>183.29966272847901</v>
      </c>
      <c r="U137" s="22">
        <v>5.2383255253425097E-2</v>
      </c>
      <c r="V137" s="22">
        <v>-1.5785493010719999E-2</v>
      </c>
      <c r="W137" s="22">
        <v>-1.7469769209888301E-2</v>
      </c>
      <c r="X137" s="23">
        <v>1.2357890552537401</v>
      </c>
      <c r="Y137" s="23">
        <v>1.3022759807794699</v>
      </c>
      <c r="Z137" s="23">
        <v>1.21855969269854</v>
      </c>
      <c r="AA137" s="23">
        <v>1.2144800551352299</v>
      </c>
      <c r="AB137" s="21">
        <v>196.565536538853</v>
      </c>
      <c r="AC137" s="21">
        <v>183.60865012474301</v>
      </c>
      <c r="AD137" s="21">
        <v>183.30093775959099</v>
      </c>
      <c r="AE137" s="22">
        <v>5.2403810929351098E-2</v>
      </c>
      <c r="AF137" s="22">
        <v>-1.5785493010719999E-2</v>
      </c>
      <c r="AG137" s="22">
        <v>-1.7462813241405199E-2</v>
      </c>
      <c r="AI137" s="5"/>
      <c r="AJ137">
        <f t="shared" si="26"/>
        <v>0</v>
      </c>
      <c r="AK137">
        <f t="shared" si="27"/>
        <v>0</v>
      </c>
      <c r="AL137">
        <f t="shared" si="34"/>
        <v>0</v>
      </c>
      <c r="AM137">
        <f t="shared" si="24"/>
        <v>1</v>
      </c>
      <c r="AN137">
        <f t="shared" si="35"/>
        <v>0</v>
      </c>
      <c r="AO137" s="17">
        <f t="shared" si="28"/>
        <v>0</v>
      </c>
      <c r="AP137" s="17">
        <f t="shared" si="29"/>
        <v>0</v>
      </c>
      <c r="AQ137" s="17">
        <f t="shared" si="36"/>
        <v>0</v>
      </c>
      <c r="AR137" s="11">
        <f t="shared" si="37"/>
        <v>1.5395876734545389E-2</v>
      </c>
      <c r="AT137" s="5"/>
      <c r="AU137">
        <f t="shared" si="30"/>
        <v>0</v>
      </c>
      <c r="AV137">
        <f t="shared" si="31"/>
        <v>1</v>
      </c>
      <c r="AW137">
        <f t="shared" si="38"/>
        <v>0</v>
      </c>
      <c r="AX137">
        <f t="shared" si="25"/>
        <v>1</v>
      </c>
      <c r="AY137">
        <f t="shared" si="39"/>
        <v>0</v>
      </c>
      <c r="AZ137" s="17">
        <f t="shared" si="32"/>
        <v>0</v>
      </c>
      <c r="BA137" s="17">
        <f t="shared" si="33"/>
        <v>0</v>
      </c>
      <c r="BB137" s="17">
        <f t="shared" si="40"/>
        <v>0</v>
      </c>
      <c r="BC137" s="11">
        <f t="shared" si="41"/>
        <v>-9.7610425932716047E-3</v>
      </c>
      <c r="BE137" s="11">
        <f t="shared" si="42"/>
        <v>0</v>
      </c>
      <c r="BF137" s="11">
        <f t="shared" si="43"/>
        <v>5.6348341412737844E-3</v>
      </c>
      <c r="BH137" s="11"/>
    </row>
    <row r="138" spans="1:60" x14ac:dyDescent="0.25">
      <c r="A138" s="1">
        <v>46224</v>
      </c>
      <c r="B138" s="21">
        <v>154.5</v>
      </c>
      <c r="C138" s="21">
        <v>189.31</v>
      </c>
      <c r="D138" s="22">
        <v>2.3311689481077699E-2</v>
      </c>
      <c r="E138" s="22">
        <v>1.47937989653474E-2</v>
      </c>
      <c r="F138" s="21">
        <v>0</v>
      </c>
      <c r="G138" s="21">
        <v>0.13809399999999999</v>
      </c>
      <c r="H138" s="21">
        <v>0</v>
      </c>
      <c r="I138" s="21">
        <v>0.145592</v>
      </c>
      <c r="J138" s="21">
        <v>0</v>
      </c>
      <c r="K138" s="21">
        <v>0</v>
      </c>
      <c r="L138" s="21">
        <v>154.5</v>
      </c>
      <c r="M138" s="21">
        <v>189.31</v>
      </c>
      <c r="N138" s="23">
        <v>1.2253074433656901</v>
      </c>
      <c r="O138" s="23">
        <v>1.3022492118915701</v>
      </c>
      <c r="P138" s="23">
        <v>1.22012259667385</v>
      </c>
      <c r="Q138" s="23">
        <v>1.21507080780537</v>
      </c>
      <c r="R138" s="21">
        <v>201.19750323724799</v>
      </c>
      <c r="S138" s="21">
        <v>188.26747252192499</v>
      </c>
      <c r="T138" s="21">
        <v>187.637168518393</v>
      </c>
      <c r="U138" s="22">
        <v>6.0901145769155597E-2</v>
      </c>
      <c r="V138" s="22">
        <v>-5.5222051273909802E-3</v>
      </c>
      <c r="W138" s="22">
        <v>-8.8757396434730098E-3</v>
      </c>
      <c r="X138" s="23">
        <v>1.2253074433656901</v>
      </c>
      <c r="Y138" s="23">
        <v>1.3022759807794699</v>
      </c>
      <c r="Z138" s="23">
        <v>1.22012259667385</v>
      </c>
      <c r="AA138" s="23">
        <v>1.21507080780537</v>
      </c>
      <c r="AB138" s="21">
        <v>201.201639030428</v>
      </c>
      <c r="AC138" s="21">
        <v>188.26747252192499</v>
      </c>
      <c r="AD138" s="21">
        <v>187.637168518393</v>
      </c>
      <c r="AE138" s="22">
        <v>6.0921701445081598E-2</v>
      </c>
      <c r="AF138" s="22">
        <v>-5.5222051273909802E-3</v>
      </c>
      <c r="AG138" s="22">
        <v>-8.8757396434730098E-3</v>
      </c>
      <c r="AI138" s="5"/>
      <c r="AJ138">
        <f t="shared" si="26"/>
        <v>0</v>
      </c>
      <c r="AK138">
        <f t="shared" si="27"/>
        <v>1</v>
      </c>
      <c r="AL138">
        <f t="shared" si="34"/>
        <v>0</v>
      </c>
      <c r="AM138">
        <f t="shared" si="24"/>
        <v>1</v>
      </c>
      <c r="AN138">
        <f t="shared" si="35"/>
        <v>0</v>
      </c>
      <c r="AO138" s="17">
        <f t="shared" si="28"/>
        <v>0</v>
      </c>
      <c r="AP138" s="17">
        <f t="shared" si="29"/>
        <v>0</v>
      </c>
      <c r="AQ138" s="17">
        <f t="shared" si="36"/>
        <v>0</v>
      </c>
      <c r="AR138" s="11">
        <f t="shared" si="37"/>
        <v>1.5395876734545389E-2</v>
      </c>
      <c r="AT138" s="5"/>
      <c r="AU138">
        <f t="shared" si="30"/>
        <v>0</v>
      </c>
      <c r="AV138">
        <f t="shared" si="31"/>
        <v>1</v>
      </c>
      <c r="AW138">
        <f t="shared" si="38"/>
        <v>0</v>
      </c>
      <c r="AX138">
        <f t="shared" si="25"/>
        <v>1</v>
      </c>
      <c r="AY138">
        <f t="shared" si="39"/>
        <v>0</v>
      </c>
      <c r="AZ138" s="17">
        <f t="shared" si="32"/>
        <v>0</v>
      </c>
      <c r="BA138" s="17">
        <f t="shared" si="33"/>
        <v>0</v>
      </c>
      <c r="BB138" s="17">
        <f t="shared" si="40"/>
        <v>0</v>
      </c>
      <c r="BC138" s="11">
        <f t="shared" si="41"/>
        <v>-9.7610425932716047E-3</v>
      </c>
      <c r="BE138" s="11">
        <f t="shared" si="42"/>
        <v>0</v>
      </c>
      <c r="BF138" s="11">
        <f t="shared" si="43"/>
        <v>5.6348341412737844E-3</v>
      </c>
      <c r="BH138" s="11"/>
    </row>
    <row r="139" spans="1:60" x14ac:dyDescent="0.25">
      <c r="A139" s="1">
        <v>46225</v>
      </c>
      <c r="B139" s="21">
        <v>152.11000000000001</v>
      </c>
      <c r="C139" s="21">
        <v>187</v>
      </c>
      <c r="D139" s="22">
        <v>-1.5590153014148501E-2</v>
      </c>
      <c r="E139" s="22">
        <v>-1.22772661672319E-2</v>
      </c>
      <c r="F139" s="21">
        <v>0</v>
      </c>
      <c r="G139" s="21">
        <v>0.13809399999999999</v>
      </c>
      <c r="H139" s="21">
        <v>0</v>
      </c>
      <c r="I139" s="21">
        <v>0.145592</v>
      </c>
      <c r="J139" s="21">
        <v>0</v>
      </c>
      <c r="K139" s="21">
        <v>0</v>
      </c>
      <c r="L139" s="21">
        <v>152.11000000000001</v>
      </c>
      <c r="M139" s="21">
        <v>187</v>
      </c>
      <c r="N139" s="23">
        <v>1.22937347971862</v>
      </c>
      <c r="O139" s="23">
        <v>1.3022492118915701</v>
      </c>
      <c r="P139" s="23">
        <v>1.2225837833890401</v>
      </c>
      <c r="Q139" s="23">
        <v>1.21597701154713</v>
      </c>
      <c r="R139" s="21">
        <v>198.085127620827</v>
      </c>
      <c r="S139" s="21">
        <v>185.59284818006</v>
      </c>
      <c r="T139" s="21">
        <v>184.82442057527399</v>
      </c>
      <c r="U139" s="22">
        <v>5.7588258922239101E-2</v>
      </c>
      <c r="V139" s="22">
        <v>-7.5533307575265801E-3</v>
      </c>
      <c r="W139" s="22">
        <v>-1.1702320407409801E-2</v>
      </c>
      <c r="X139" s="23">
        <v>1.22937347971862</v>
      </c>
      <c r="Y139" s="23">
        <v>1.3022759807794699</v>
      </c>
      <c r="Z139" s="23">
        <v>1.2225837833890401</v>
      </c>
      <c r="AA139" s="23">
        <v>1.21597701154713</v>
      </c>
      <c r="AB139" s="21">
        <v>198.08919943636499</v>
      </c>
      <c r="AC139" s="21">
        <v>185.59284818006</v>
      </c>
      <c r="AD139" s="21">
        <v>184.82442057527399</v>
      </c>
      <c r="AE139" s="22">
        <v>5.7608814598164998E-2</v>
      </c>
      <c r="AF139" s="22">
        <v>-7.5533307575265801E-3</v>
      </c>
      <c r="AG139" s="22">
        <v>-1.17023204074097E-2</v>
      </c>
      <c r="AI139" s="5"/>
      <c r="AJ139">
        <f t="shared" si="26"/>
        <v>0</v>
      </c>
      <c r="AK139">
        <f t="shared" si="27"/>
        <v>1</v>
      </c>
      <c r="AL139">
        <f t="shared" si="34"/>
        <v>0</v>
      </c>
      <c r="AM139">
        <f t="shared" si="24"/>
        <v>1</v>
      </c>
      <c r="AN139">
        <f t="shared" si="35"/>
        <v>0</v>
      </c>
      <c r="AO139" s="17">
        <f t="shared" si="28"/>
        <v>0</v>
      </c>
      <c r="AP139" s="17">
        <f t="shared" si="29"/>
        <v>0</v>
      </c>
      <c r="AQ139" s="17">
        <f t="shared" si="36"/>
        <v>0</v>
      </c>
      <c r="AR139" s="11">
        <f t="shared" si="37"/>
        <v>1.5395876734545389E-2</v>
      </c>
      <c r="AT139" s="5"/>
      <c r="AU139">
        <f t="shared" si="30"/>
        <v>0</v>
      </c>
      <c r="AV139">
        <f t="shared" si="31"/>
        <v>1</v>
      </c>
      <c r="AW139">
        <f t="shared" si="38"/>
        <v>0</v>
      </c>
      <c r="AX139">
        <f t="shared" si="25"/>
        <v>1</v>
      </c>
      <c r="AY139">
        <f t="shared" si="39"/>
        <v>0</v>
      </c>
      <c r="AZ139" s="17">
        <f t="shared" si="32"/>
        <v>0</v>
      </c>
      <c r="BA139" s="17">
        <f t="shared" si="33"/>
        <v>0</v>
      </c>
      <c r="BB139" s="17">
        <f t="shared" si="40"/>
        <v>0</v>
      </c>
      <c r="BC139" s="11">
        <f t="shared" si="41"/>
        <v>-9.7610425932716047E-3</v>
      </c>
      <c r="BE139" s="11">
        <f t="shared" si="42"/>
        <v>0</v>
      </c>
      <c r="BF139" s="11">
        <f t="shared" si="43"/>
        <v>5.6348341412737844E-3</v>
      </c>
      <c r="BH139" s="11"/>
    </row>
    <row r="140" spans="1:60" x14ac:dyDescent="0.25">
      <c r="A140" s="1">
        <v>46226</v>
      </c>
      <c r="B140" s="21">
        <v>152.22999999999999</v>
      </c>
      <c r="C140" s="21">
        <v>188.98</v>
      </c>
      <c r="D140" s="22">
        <v>7.8859174751094805E-4</v>
      </c>
      <c r="E140" s="22">
        <v>1.05325724998931E-2</v>
      </c>
      <c r="F140" s="21">
        <v>0</v>
      </c>
      <c r="G140" s="21">
        <v>0.13809399999999999</v>
      </c>
      <c r="H140" s="21">
        <v>0</v>
      </c>
      <c r="I140" s="21">
        <v>0.145592</v>
      </c>
      <c r="J140" s="21">
        <v>0</v>
      </c>
      <c r="K140" s="21">
        <v>0</v>
      </c>
      <c r="L140" s="21">
        <v>152.22999999999999</v>
      </c>
      <c r="M140" s="21">
        <v>188.98</v>
      </c>
      <c r="N140" s="23">
        <v>1.2414110227944499</v>
      </c>
      <c r="O140" s="23">
        <v>1.3022492118915701</v>
      </c>
      <c r="P140" s="23">
        <v>1.2266007074362</v>
      </c>
      <c r="Q140" s="23">
        <v>1.2174203500758001</v>
      </c>
      <c r="R140" s="21">
        <v>198.24139752625399</v>
      </c>
      <c r="S140" s="21">
        <v>186.11392934531401</v>
      </c>
      <c r="T140" s="21">
        <v>185.10818046782001</v>
      </c>
      <c r="U140" s="22">
        <v>4.7844278169856799E-2</v>
      </c>
      <c r="V140" s="22">
        <v>-1.5282179795238699E-2</v>
      </c>
      <c r="W140" s="22">
        <v>-2.0700775895728898E-2</v>
      </c>
      <c r="X140" s="23">
        <v>1.2414110227944499</v>
      </c>
      <c r="Y140" s="23">
        <v>1.3022759807794699</v>
      </c>
      <c r="Z140" s="23">
        <v>1.2266007074362</v>
      </c>
      <c r="AA140" s="23">
        <v>1.2174203500758001</v>
      </c>
      <c r="AB140" s="21">
        <v>198.24547255405901</v>
      </c>
      <c r="AC140" s="21">
        <v>186.11392934531401</v>
      </c>
      <c r="AD140" s="21">
        <v>185.10818046782001</v>
      </c>
      <c r="AE140" s="22">
        <v>4.78648338457828E-2</v>
      </c>
      <c r="AF140" s="22">
        <v>-1.5282179795238699E-2</v>
      </c>
      <c r="AG140" s="22">
        <v>-2.0700775895728898E-2</v>
      </c>
      <c r="AI140" s="5"/>
      <c r="AJ140">
        <f t="shared" si="26"/>
        <v>0</v>
      </c>
      <c r="AK140">
        <f t="shared" si="27"/>
        <v>0</v>
      </c>
      <c r="AL140">
        <f t="shared" si="34"/>
        <v>0</v>
      </c>
      <c r="AM140">
        <f t="shared" si="24"/>
        <v>1</v>
      </c>
      <c r="AN140">
        <f t="shared" si="35"/>
        <v>0</v>
      </c>
      <c r="AO140" s="17">
        <f t="shared" si="28"/>
        <v>0</v>
      </c>
      <c r="AP140" s="17">
        <f t="shared" si="29"/>
        <v>0</v>
      </c>
      <c r="AQ140" s="17">
        <f t="shared" si="36"/>
        <v>0</v>
      </c>
      <c r="AR140" s="11">
        <f t="shared" si="37"/>
        <v>1.5395876734545389E-2</v>
      </c>
      <c r="AT140" s="5"/>
      <c r="AU140">
        <f t="shared" si="30"/>
        <v>0</v>
      </c>
      <c r="AV140">
        <f t="shared" si="31"/>
        <v>1</v>
      </c>
      <c r="AW140">
        <f t="shared" si="38"/>
        <v>0</v>
      </c>
      <c r="AX140">
        <f t="shared" si="25"/>
        <v>1</v>
      </c>
      <c r="AY140">
        <f t="shared" si="39"/>
        <v>0</v>
      </c>
      <c r="AZ140" s="17">
        <f t="shared" si="32"/>
        <v>0</v>
      </c>
      <c r="BA140" s="17">
        <f t="shared" si="33"/>
        <v>0</v>
      </c>
      <c r="BB140" s="17">
        <f t="shared" si="40"/>
        <v>0</v>
      </c>
      <c r="BC140" s="11">
        <f t="shared" si="41"/>
        <v>-9.7610425932716047E-3</v>
      </c>
      <c r="BE140" s="11">
        <f t="shared" si="42"/>
        <v>0</v>
      </c>
      <c r="BF140" s="11">
        <f t="shared" si="43"/>
        <v>5.6348341412737844E-3</v>
      </c>
      <c r="BH140" s="11"/>
    </row>
    <row r="141" spans="1:60" x14ac:dyDescent="0.25">
      <c r="A141" s="1">
        <v>46227</v>
      </c>
      <c r="B141" s="21">
        <v>150.47999999999999</v>
      </c>
      <c r="C141" s="21">
        <v>188.14</v>
      </c>
      <c r="D141" s="22">
        <v>-1.15623500783877E-2</v>
      </c>
      <c r="E141" s="22">
        <v>-4.4548228106744796E-3</v>
      </c>
      <c r="F141" s="21">
        <v>0</v>
      </c>
      <c r="G141" s="21">
        <v>0.13809399999999999</v>
      </c>
      <c r="H141" s="21">
        <v>0</v>
      </c>
      <c r="I141" s="21">
        <v>0.145592</v>
      </c>
      <c r="J141" s="21">
        <v>0</v>
      </c>
      <c r="K141" s="21">
        <v>0</v>
      </c>
      <c r="L141" s="21">
        <v>150.47999999999999</v>
      </c>
      <c r="M141" s="21">
        <v>188.14</v>
      </c>
      <c r="N141" s="23">
        <v>1.25026581605528</v>
      </c>
      <c r="O141" s="23">
        <v>1.3022492118915701</v>
      </c>
      <c r="P141" s="23">
        <v>1.23085762294099</v>
      </c>
      <c r="Q141" s="23">
        <v>1.2193524679779799</v>
      </c>
      <c r="R141" s="21">
        <v>195.962461405444</v>
      </c>
      <c r="S141" s="21">
        <v>184.578874455</v>
      </c>
      <c r="T141" s="21">
        <v>183.19741427940701</v>
      </c>
      <c r="U141" s="22">
        <v>4.0736750902143501E-2</v>
      </c>
      <c r="V141" s="22">
        <v>-1.9109490595807199E-2</v>
      </c>
      <c r="W141" s="22">
        <v>-2.6622028598754299E-2</v>
      </c>
      <c r="X141" s="23">
        <v>1.25026581605528</v>
      </c>
      <c r="Y141" s="23">
        <v>1.3022759807794699</v>
      </c>
      <c r="Z141" s="23">
        <v>1.23085762294099</v>
      </c>
      <c r="AA141" s="23">
        <v>1.2193524679779799</v>
      </c>
      <c r="AB141" s="21">
        <v>195.96648958769501</v>
      </c>
      <c r="AC141" s="21">
        <v>184.578874455</v>
      </c>
      <c r="AD141" s="21">
        <v>183.19741427940701</v>
      </c>
      <c r="AE141" s="22">
        <v>4.0757306578069703E-2</v>
      </c>
      <c r="AF141" s="22">
        <v>-1.9109490595807299E-2</v>
      </c>
      <c r="AG141" s="22">
        <v>-2.6622028598754299E-2</v>
      </c>
      <c r="AI141" s="5"/>
      <c r="AJ141">
        <f t="shared" si="26"/>
        <v>1</v>
      </c>
      <c r="AK141">
        <f t="shared" si="27"/>
        <v>0</v>
      </c>
      <c r="AL141">
        <f t="shared" si="34"/>
        <v>0</v>
      </c>
      <c r="AM141">
        <f t="shared" si="24"/>
        <v>1</v>
      </c>
      <c r="AN141">
        <f t="shared" si="35"/>
        <v>0</v>
      </c>
      <c r="AO141" s="17">
        <f t="shared" si="28"/>
        <v>0</v>
      </c>
      <c r="AP141" s="17">
        <f t="shared" si="29"/>
        <v>0</v>
      </c>
      <c r="AQ141" s="17">
        <f t="shared" si="36"/>
        <v>0</v>
      </c>
      <c r="AR141" s="11">
        <f t="shared" si="37"/>
        <v>1.5395876734545389E-2</v>
      </c>
      <c r="AT141" s="5"/>
      <c r="AU141">
        <f t="shared" si="30"/>
        <v>0</v>
      </c>
      <c r="AV141">
        <f t="shared" si="31"/>
        <v>1</v>
      </c>
      <c r="AW141">
        <f t="shared" si="38"/>
        <v>0</v>
      </c>
      <c r="AX141">
        <f t="shared" si="25"/>
        <v>1</v>
      </c>
      <c r="AY141">
        <f t="shared" si="39"/>
        <v>0</v>
      </c>
      <c r="AZ141" s="17">
        <f t="shared" si="32"/>
        <v>0</v>
      </c>
      <c r="BA141" s="17">
        <f t="shared" si="33"/>
        <v>0</v>
      </c>
      <c r="BB141" s="17">
        <f t="shared" si="40"/>
        <v>0</v>
      </c>
      <c r="BC141" s="11">
        <f t="shared" si="41"/>
        <v>-9.7610425932716047E-3</v>
      </c>
      <c r="BE141" s="11">
        <f t="shared" si="42"/>
        <v>0</v>
      </c>
      <c r="BF141" s="11">
        <f t="shared" si="43"/>
        <v>5.6348341412737844E-3</v>
      </c>
      <c r="BH141" s="11"/>
    </row>
    <row r="142" spans="1:60" x14ac:dyDescent="0.25">
      <c r="A142" s="1">
        <v>46230</v>
      </c>
      <c r="B142" s="21">
        <v>150.59</v>
      </c>
      <c r="C142" s="21">
        <v>188.33</v>
      </c>
      <c r="D142" s="22">
        <v>7.30727105953138E-4</v>
      </c>
      <c r="E142" s="22">
        <v>1.00937666285049E-3</v>
      </c>
      <c r="F142" s="21">
        <v>0</v>
      </c>
      <c r="G142" s="21">
        <v>0.13809399999999999</v>
      </c>
      <c r="H142" s="21">
        <v>0</v>
      </c>
      <c r="I142" s="21">
        <v>0.145592</v>
      </c>
      <c r="J142" s="21">
        <v>0</v>
      </c>
      <c r="K142" s="21">
        <v>0</v>
      </c>
      <c r="L142" s="21">
        <v>150.59</v>
      </c>
      <c r="M142" s="21">
        <v>188.33</v>
      </c>
      <c r="N142" s="23">
        <v>1.2506142506142499</v>
      </c>
      <c r="O142" s="23">
        <v>1.3022492118915701</v>
      </c>
      <c r="P142" s="23">
        <v>1.2338963880307401</v>
      </c>
      <c r="Q142" s="23">
        <v>1.2215922807790001</v>
      </c>
      <c r="R142" s="21">
        <v>196.10570881875199</v>
      </c>
      <c r="S142" s="21">
        <v>185.35484943868499</v>
      </c>
      <c r="T142" s="21">
        <v>183.622288152804</v>
      </c>
      <c r="U142" s="22">
        <v>4.0458101345246099E-2</v>
      </c>
      <c r="V142" s="22">
        <v>-1.5923650268956601E-2</v>
      </c>
      <c r="W142" s="22">
        <v>-2.5314877220279801E-2</v>
      </c>
      <c r="X142" s="23">
        <v>1.2506142506142499</v>
      </c>
      <c r="Y142" s="23">
        <v>1.3022759807794699</v>
      </c>
      <c r="Z142" s="23">
        <v>1.2338963880307401</v>
      </c>
      <c r="AA142" s="23">
        <v>1.2215922807790001</v>
      </c>
      <c r="AB142" s="21">
        <v>196.109739945581</v>
      </c>
      <c r="AC142" s="21">
        <v>185.35484943868499</v>
      </c>
      <c r="AD142" s="21">
        <v>183.622288152804</v>
      </c>
      <c r="AE142" s="22">
        <v>4.0478657021172197E-2</v>
      </c>
      <c r="AF142" s="22">
        <v>-1.5923650268956601E-2</v>
      </c>
      <c r="AG142" s="22">
        <v>-2.5314877220279801E-2</v>
      </c>
      <c r="AI142" s="5"/>
      <c r="AJ142">
        <f t="shared" si="26"/>
        <v>1</v>
      </c>
      <c r="AK142">
        <f t="shared" si="27"/>
        <v>0</v>
      </c>
      <c r="AL142">
        <f t="shared" si="34"/>
        <v>1</v>
      </c>
      <c r="AM142">
        <f t="shared" si="24"/>
        <v>1</v>
      </c>
      <c r="AN142">
        <f t="shared" si="35"/>
        <v>1</v>
      </c>
      <c r="AO142" s="17">
        <f t="shared" si="28"/>
        <v>7.30727105953138E-4</v>
      </c>
      <c r="AP142" s="17">
        <f t="shared" si="29"/>
        <v>-1.00937666285049E-3</v>
      </c>
      <c r="AQ142" s="17">
        <f t="shared" si="36"/>
        <v>-2.7864955689735197E-4</v>
      </c>
      <c r="AR142" s="11">
        <f t="shared" si="37"/>
        <v>1.5117227177648037E-2</v>
      </c>
      <c r="AT142" s="5"/>
      <c r="AU142">
        <f t="shared" si="30"/>
        <v>0</v>
      </c>
      <c r="AV142">
        <f t="shared" si="31"/>
        <v>1</v>
      </c>
      <c r="AW142">
        <f t="shared" si="38"/>
        <v>0</v>
      </c>
      <c r="AX142">
        <f t="shared" si="25"/>
        <v>1</v>
      </c>
      <c r="AY142">
        <f t="shared" si="39"/>
        <v>0</v>
      </c>
      <c r="AZ142" s="17">
        <f t="shared" si="32"/>
        <v>0</v>
      </c>
      <c r="BA142" s="17">
        <f t="shared" si="33"/>
        <v>0</v>
      </c>
      <c r="BB142" s="17">
        <f t="shared" si="40"/>
        <v>0</v>
      </c>
      <c r="BC142" s="11">
        <f t="shared" si="41"/>
        <v>-9.7610425932716047E-3</v>
      </c>
      <c r="BE142" s="11">
        <f t="shared" si="42"/>
        <v>-2.7864955689735197E-4</v>
      </c>
      <c r="BF142" s="11">
        <f t="shared" si="43"/>
        <v>5.3561845843764326E-3</v>
      </c>
      <c r="BH142" s="11"/>
    </row>
    <row r="143" spans="1:60" x14ac:dyDescent="0.25">
      <c r="A143" s="1">
        <v>46231</v>
      </c>
      <c r="B143" s="21">
        <v>149.78</v>
      </c>
      <c r="C143" s="21">
        <v>190.52</v>
      </c>
      <c r="D143" s="22">
        <v>-5.3933612775070097E-3</v>
      </c>
      <c r="E143" s="22">
        <v>1.1561432726003899E-2</v>
      </c>
      <c r="F143" s="21">
        <v>0</v>
      </c>
      <c r="G143" s="21">
        <v>0.13809399999999999</v>
      </c>
      <c r="H143" s="21">
        <v>0</v>
      </c>
      <c r="I143" s="21">
        <v>0.145592</v>
      </c>
      <c r="J143" s="21">
        <v>0</v>
      </c>
      <c r="K143" s="21">
        <v>0</v>
      </c>
      <c r="L143" s="21">
        <v>149.78</v>
      </c>
      <c r="M143" s="21">
        <v>190.52</v>
      </c>
      <c r="N143" s="23">
        <v>1.2719989317665901</v>
      </c>
      <c r="O143" s="23">
        <v>1.3022492118915701</v>
      </c>
      <c r="P143" s="23">
        <v>1.2397260657040301</v>
      </c>
      <c r="Q143" s="23">
        <v>1.22524970952259</v>
      </c>
      <c r="R143" s="21">
        <v>195.05088695711899</v>
      </c>
      <c r="S143" s="21">
        <v>184.81300099924499</v>
      </c>
      <c r="T143" s="21">
        <v>182.970091815079</v>
      </c>
      <c r="U143" s="22">
        <v>2.35033073417352E-2</v>
      </c>
      <c r="V143" s="22">
        <v>-3.0412667472123098E-2</v>
      </c>
      <c r="W143" s="22">
        <v>-4.0434469152303601E-2</v>
      </c>
      <c r="X143" s="23">
        <v>1.2719989317665901</v>
      </c>
      <c r="Y143" s="23">
        <v>1.3022759807794699</v>
      </c>
      <c r="Z143" s="23">
        <v>1.2397260657040301</v>
      </c>
      <c r="AA143" s="23">
        <v>1.22524970952259</v>
      </c>
      <c r="AB143" s="21">
        <v>195.05489640114899</v>
      </c>
      <c r="AC143" s="21">
        <v>184.81300099924499</v>
      </c>
      <c r="AD143" s="21">
        <v>182.970091815079</v>
      </c>
      <c r="AE143" s="22">
        <v>2.35238630176615E-2</v>
      </c>
      <c r="AF143" s="22">
        <v>-3.0412667472123098E-2</v>
      </c>
      <c r="AG143" s="22">
        <v>-4.0434469152303698E-2</v>
      </c>
      <c r="AI143" s="5"/>
      <c r="AJ143">
        <f t="shared" si="26"/>
        <v>1</v>
      </c>
      <c r="AK143">
        <f t="shared" si="27"/>
        <v>0</v>
      </c>
      <c r="AL143">
        <f t="shared" si="34"/>
        <v>1</v>
      </c>
      <c r="AM143">
        <f t="shared" si="24"/>
        <v>1</v>
      </c>
      <c r="AN143">
        <f t="shared" si="35"/>
        <v>1</v>
      </c>
      <c r="AO143" s="17">
        <f t="shared" si="28"/>
        <v>-5.3933612775070097E-3</v>
      </c>
      <c r="AP143" s="17">
        <f t="shared" si="29"/>
        <v>-1.1561432726003899E-2</v>
      </c>
      <c r="AQ143" s="17">
        <f t="shared" si="36"/>
        <v>-1.6954794003510909E-2</v>
      </c>
      <c r="AR143" s="11">
        <f t="shared" si="37"/>
        <v>-1.8375668258628717E-3</v>
      </c>
      <c r="AT143" s="5"/>
      <c r="AU143">
        <f t="shared" si="30"/>
        <v>0</v>
      </c>
      <c r="AV143">
        <f t="shared" si="31"/>
        <v>1</v>
      </c>
      <c r="AW143">
        <f t="shared" si="38"/>
        <v>0</v>
      </c>
      <c r="AX143">
        <f t="shared" si="25"/>
        <v>1</v>
      </c>
      <c r="AY143">
        <f t="shared" si="39"/>
        <v>0</v>
      </c>
      <c r="AZ143" s="17">
        <f t="shared" si="32"/>
        <v>0</v>
      </c>
      <c r="BA143" s="17">
        <f t="shared" si="33"/>
        <v>0</v>
      </c>
      <c r="BB143" s="17">
        <f t="shared" si="40"/>
        <v>0</v>
      </c>
      <c r="BC143" s="11">
        <f t="shared" si="41"/>
        <v>-9.7610425932716047E-3</v>
      </c>
      <c r="BE143" s="11">
        <f t="shared" si="42"/>
        <v>-1.6954794003510909E-2</v>
      </c>
      <c r="BF143" s="11">
        <f t="shared" si="43"/>
        <v>-1.1598609419134476E-2</v>
      </c>
      <c r="BH143" s="11"/>
    </row>
    <row r="144" spans="1:60" x14ac:dyDescent="0.25">
      <c r="A144" s="1">
        <v>46232</v>
      </c>
      <c r="B144" s="21">
        <v>147.91</v>
      </c>
      <c r="C144" s="21">
        <v>188.53</v>
      </c>
      <c r="D144" s="22">
        <v>-1.25635701379424E-2</v>
      </c>
      <c r="E144" s="22">
        <v>-1.05000305141679E-2</v>
      </c>
      <c r="F144" s="21">
        <v>0</v>
      </c>
      <c r="G144" s="21">
        <v>0.13809399999999999</v>
      </c>
      <c r="H144" s="21">
        <v>0</v>
      </c>
      <c r="I144" s="21">
        <v>0.145592</v>
      </c>
      <c r="J144" s="21">
        <v>0</v>
      </c>
      <c r="K144" s="21">
        <v>0</v>
      </c>
      <c r="L144" s="21">
        <v>147.91</v>
      </c>
      <c r="M144" s="21">
        <v>188.53</v>
      </c>
      <c r="N144" s="23">
        <v>1.2746264620377199</v>
      </c>
      <c r="O144" s="23">
        <v>1.3022492118915701</v>
      </c>
      <c r="P144" s="23">
        <v>1.2456293725146399</v>
      </c>
      <c r="Q144" s="23">
        <v>1.2288894054522801</v>
      </c>
      <c r="R144" s="21">
        <v>192.61568093088201</v>
      </c>
      <c r="S144" s="21">
        <v>183.36788237828301</v>
      </c>
      <c r="T144" s="21">
        <v>181.22668453548701</v>
      </c>
      <c r="U144" s="22">
        <v>2.14397677179608E-2</v>
      </c>
      <c r="V144" s="22">
        <v>-2.7762724278340201E-2</v>
      </c>
      <c r="W144" s="22">
        <v>-3.95084970037482E-2</v>
      </c>
      <c r="X144" s="23">
        <v>1.2746264620377199</v>
      </c>
      <c r="Y144" s="23">
        <v>1.3022759807794699</v>
      </c>
      <c r="Z144" s="23">
        <v>1.2456293725146399</v>
      </c>
      <c r="AA144" s="23">
        <v>1.2288894054522801</v>
      </c>
      <c r="AB144" s="21">
        <v>192.61964031709201</v>
      </c>
      <c r="AC144" s="21">
        <v>183.36788237828301</v>
      </c>
      <c r="AD144" s="21">
        <v>181.22668453548701</v>
      </c>
      <c r="AE144" s="22">
        <v>2.1460323393886802E-2</v>
      </c>
      <c r="AF144" s="22">
        <v>-2.7762724278339999E-2</v>
      </c>
      <c r="AG144" s="22">
        <v>-3.9508497003747797E-2</v>
      </c>
      <c r="AI144" s="5"/>
      <c r="AJ144">
        <f t="shared" si="26"/>
        <v>1</v>
      </c>
      <c r="AK144">
        <f t="shared" si="27"/>
        <v>0</v>
      </c>
      <c r="AL144">
        <f t="shared" si="34"/>
        <v>1</v>
      </c>
      <c r="AM144">
        <f t="shared" si="24"/>
        <v>1</v>
      </c>
      <c r="AN144">
        <f t="shared" si="35"/>
        <v>1</v>
      </c>
      <c r="AO144" s="17">
        <f t="shared" si="28"/>
        <v>-1.25635701379424E-2</v>
      </c>
      <c r="AP144" s="17">
        <f t="shared" si="29"/>
        <v>1.05000305141679E-2</v>
      </c>
      <c r="AQ144" s="17">
        <f t="shared" si="36"/>
        <v>-2.0635396237745005E-3</v>
      </c>
      <c r="AR144" s="11">
        <f t="shared" si="37"/>
        <v>-3.9011064496373721E-3</v>
      </c>
      <c r="AT144" s="5"/>
      <c r="AU144">
        <f t="shared" si="30"/>
        <v>0</v>
      </c>
      <c r="AV144">
        <f t="shared" si="31"/>
        <v>1</v>
      </c>
      <c r="AW144">
        <f t="shared" si="38"/>
        <v>0</v>
      </c>
      <c r="AX144">
        <f t="shared" si="25"/>
        <v>1</v>
      </c>
      <c r="AY144">
        <f t="shared" si="39"/>
        <v>0</v>
      </c>
      <c r="AZ144" s="17">
        <f t="shared" si="32"/>
        <v>0</v>
      </c>
      <c r="BA144" s="17">
        <f t="shared" si="33"/>
        <v>0</v>
      </c>
      <c r="BB144" s="17">
        <f t="shared" si="40"/>
        <v>0</v>
      </c>
      <c r="BC144" s="11">
        <f t="shared" si="41"/>
        <v>-9.7610425932716047E-3</v>
      </c>
      <c r="BE144" s="11">
        <f t="shared" si="42"/>
        <v>-2.0635396237745005E-3</v>
      </c>
      <c r="BF144" s="11">
        <f t="shared" si="43"/>
        <v>-1.3662149042908977E-2</v>
      </c>
      <c r="BH144" s="11"/>
    </row>
    <row r="145" spans="1:60" x14ac:dyDescent="0.25">
      <c r="A145" s="1">
        <v>46233</v>
      </c>
      <c r="B145" s="21">
        <v>151.46</v>
      </c>
      <c r="C145" s="21">
        <v>189.96</v>
      </c>
      <c r="D145" s="22">
        <v>2.3717583002397999E-2</v>
      </c>
      <c r="E145" s="22">
        <v>7.55637826242944E-3</v>
      </c>
      <c r="F145" s="21">
        <v>0</v>
      </c>
      <c r="G145" s="21">
        <v>0.13809399999999999</v>
      </c>
      <c r="H145" s="21">
        <v>0</v>
      </c>
      <c r="I145" s="21">
        <v>0.145592</v>
      </c>
      <c r="J145" s="21">
        <v>0</v>
      </c>
      <c r="K145" s="21">
        <v>0</v>
      </c>
      <c r="L145" s="21">
        <v>151.46</v>
      </c>
      <c r="M145" s="21">
        <v>189.96</v>
      </c>
      <c r="N145" s="23">
        <v>1.2541925260794899</v>
      </c>
      <c r="O145" s="23">
        <v>1.3022492118915701</v>
      </c>
      <c r="P145" s="23">
        <v>1.24637099354364</v>
      </c>
      <c r="Q145" s="23">
        <v>1.2308772176393601</v>
      </c>
      <c r="R145" s="21">
        <v>197.23866563309701</v>
      </c>
      <c r="S145" s="21">
        <v>188.66302476106699</v>
      </c>
      <c r="T145" s="21">
        <v>186.127589349803</v>
      </c>
      <c r="U145" s="22">
        <v>3.76009724579296E-2</v>
      </c>
      <c r="V145" s="22">
        <v>-6.8510377187292002E-3</v>
      </c>
      <c r="W145" s="22">
        <v>-2.0381120887399701E-2</v>
      </c>
      <c r="X145" s="23">
        <v>1.2541925260794899</v>
      </c>
      <c r="Y145" s="23">
        <v>1.3022759807794699</v>
      </c>
      <c r="Z145" s="23">
        <v>1.24637099354364</v>
      </c>
      <c r="AA145" s="23">
        <v>1.2308772176393601</v>
      </c>
      <c r="AB145" s="21">
        <v>197.24272004885901</v>
      </c>
      <c r="AC145" s="21">
        <v>188.66302476106699</v>
      </c>
      <c r="AD145" s="21">
        <v>186.127589349803</v>
      </c>
      <c r="AE145" s="22">
        <v>3.76215281338554E-2</v>
      </c>
      <c r="AF145" s="22">
        <v>-6.8510377187292002E-3</v>
      </c>
      <c r="AG145" s="22">
        <v>-2.0381120887399701E-2</v>
      </c>
      <c r="AI145" s="5"/>
      <c r="AJ145">
        <f t="shared" si="26"/>
        <v>0</v>
      </c>
      <c r="AK145">
        <f t="shared" si="27"/>
        <v>0</v>
      </c>
      <c r="AL145">
        <f t="shared" si="34"/>
        <v>1</v>
      </c>
      <c r="AM145">
        <f t="shared" si="24"/>
        <v>1</v>
      </c>
      <c r="AN145">
        <f t="shared" si="35"/>
        <v>1</v>
      </c>
      <c r="AO145" s="17">
        <f t="shared" si="28"/>
        <v>2.3717583002397999E-2</v>
      </c>
      <c r="AP145" s="17">
        <f t="shared" si="29"/>
        <v>-7.55637826242944E-3</v>
      </c>
      <c r="AQ145" s="17">
        <f t="shared" si="36"/>
        <v>1.6161204739968557E-2</v>
      </c>
      <c r="AR145" s="11">
        <f t="shared" si="37"/>
        <v>1.2260098290331185E-2</v>
      </c>
      <c r="AT145" s="5"/>
      <c r="AU145">
        <f t="shared" si="30"/>
        <v>0</v>
      </c>
      <c r="AV145">
        <f t="shared" si="31"/>
        <v>1</v>
      </c>
      <c r="AW145">
        <f t="shared" si="38"/>
        <v>0</v>
      </c>
      <c r="AX145">
        <f t="shared" si="25"/>
        <v>1</v>
      </c>
      <c r="AY145">
        <f t="shared" si="39"/>
        <v>0</v>
      </c>
      <c r="AZ145" s="17">
        <f t="shared" si="32"/>
        <v>0</v>
      </c>
      <c r="BA145" s="17">
        <f t="shared" si="33"/>
        <v>0</v>
      </c>
      <c r="BB145" s="17">
        <f t="shared" si="40"/>
        <v>0</v>
      </c>
      <c r="BC145" s="11">
        <f t="shared" si="41"/>
        <v>-9.7610425932716047E-3</v>
      </c>
      <c r="BE145" s="11">
        <f t="shared" si="42"/>
        <v>1.6161204739968557E-2</v>
      </c>
      <c r="BF145" s="11">
        <f t="shared" si="43"/>
        <v>2.4990556970595802E-3</v>
      </c>
      <c r="BH145" s="11"/>
    </row>
    <row r="146" spans="1:60" x14ac:dyDescent="0.25">
      <c r="A146" s="1">
        <v>46234</v>
      </c>
      <c r="B146" s="21">
        <v>147.01</v>
      </c>
      <c r="C146" s="21">
        <v>186.41</v>
      </c>
      <c r="D146" s="22">
        <v>-2.98209520098019E-2</v>
      </c>
      <c r="E146" s="22">
        <v>-1.8864974799766999E-2</v>
      </c>
      <c r="F146" s="21">
        <v>0</v>
      </c>
      <c r="G146" s="21">
        <v>0.13809399999999999</v>
      </c>
      <c r="H146" s="21">
        <v>0</v>
      </c>
      <c r="I146" s="21">
        <v>0.145592</v>
      </c>
      <c r="J146" s="21">
        <v>0</v>
      </c>
      <c r="K146" s="21">
        <v>0</v>
      </c>
      <c r="L146" s="21">
        <v>147.01</v>
      </c>
      <c r="M146" s="21">
        <v>186.41</v>
      </c>
      <c r="N146" s="23">
        <v>1.2680089789810201</v>
      </c>
      <c r="O146" s="23">
        <v>1.3022492118915701</v>
      </c>
      <c r="P146" s="23">
        <v>1.2501587966666801</v>
      </c>
      <c r="Q146" s="23">
        <v>1.2332967367616701</v>
      </c>
      <c r="R146" s="21">
        <v>191.44365664018</v>
      </c>
      <c r="S146" s="21">
        <v>183.22899976085</v>
      </c>
      <c r="T146" s="21">
        <v>180.951259765163</v>
      </c>
      <c r="U146" s="22">
        <v>2.66449952478948E-2</v>
      </c>
      <c r="V146" s="22">
        <v>-1.72118135307248E-2</v>
      </c>
      <c r="W146" s="22">
        <v>-2.9720836943918499E-2</v>
      </c>
      <c r="X146" s="23">
        <v>1.2680089789810201</v>
      </c>
      <c r="Y146" s="23">
        <v>1.3022759807794699</v>
      </c>
      <c r="Z146" s="23">
        <v>1.2501587966666801</v>
      </c>
      <c r="AA146" s="23">
        <v>1.2332967367616701</v>
      </c>
      <c r="AB146" s="21">
        <v>191.44759193439</v>
      </c>
      <c r="AC146" s="21">
        <v>183.22899976085</v>
      </c>
      <c r="AD146" s="21">
        <v>180.951259765163</v>
      </c>
      <c r="AE146" s="22">
        <v>2.66655509238206E-2</v>
      </c>
      <c r="AF146" s="22">
        <v>-1.72118135307248E-2</v>
      </c>
      <c r="AG146" s="22">
        <v>-2.9720836943918499E-2</v>
      </c>
      <c r="AI146" s="5"/>
      <c r="AJ146">
        <f t="shared" si="26"/>
        <v>1</v>
      </c>
      <c r="AK146">
        <f t="shared" si="27"/>
        <v>0</v>
      </c>
      <c r="AL146">
        <f t="shared" si="34"/>
        <v>1</v>
      </c>
      <c r="AM146">
        <f t="shared" si="24"/>
        <v>1</v>
      </c>
      <c r="AN146">
        <f t="shared" si="35"/>
        <v>1</v>
      </c>
      <c r="AO146" s="17">
        <f t="shared" si="28"/>
        <v>-2.98209520098019E-2</v>
      </c>
      <c r="AP146" s="17">
        <f t="shared" si="29"/>
        <v>1.8864974799766999E-2</v>
      </c>
      <c r="AQ146" s="17">
        <f t="shared" si="36"/>
        <v>-1.0955977210034901E-2</v>
      </c>
      <c r="AR146" s="11">
        <f t="shared" si="37"/>
        <v>1.3041210802962836E-3</v>
      </c>
      <c r="AT146" s="5"/>
      <c r="AU146">
        <f t="shared" si="30"/>
        <v>0</v>
      </c>
      <c r="AV146">
        <f t="shared" si="31"/>
        <v>1</v>
      </c>
      <c r="AW146">
        <f t="shared" si="38"/>
        <v>0</v>
      </c>
      <c r="AX146">
        <f t="shared" si="25"/>
        <v>1</v>
      </c>
      <c r="AY146">
        <f t="shared" si="39"/>
        <v>0</v>
      </c>
      <c r="AZ146" s="17">
        <f t="shared" si="32"/>
        <v>0</v>
      </c>
      <c r="BA146" s="17">
        <f t="shared" si="33"/>
        <v>0</v>
      </c>
      <c r="BB146" s="17">
        <f t="shared" si="40"/>
        <v>0</v>
      </c>
      <c r="BC146" s="11">
        <f t="shared" si="41"/>
        <v>-9.7610425932716047E-3</v>
      </c>
      <c r="BE146" s="11">
        <f t="shared" si="42"/>
        <v>-1.0955977210034901E-2</v>
      </c>
      <c r="BF146" s="11">
        <f t="shared" si="43"/>
        <v>-8.4569215129753211E-3</v>
      </c>
      <c r="BH146" s="11"/>
    </row>
    <row r="147" spans="1:60" x14ac:dyDescent="0.25">
      <c r="A147" s="1">
        <v>46237</v>
      </c>
      <c r="B147" s="21">
        <v>147.31</v>
      </c>
      <c r="C147" s="21">
        <v>185.91</v>
      </c>
      <c r="D147" s="22">
        <v>2.03859815097221E-3</v>
      </c>
      <c r="E147" s="22">
        <v>-2.6858632390283702E-3</v>
      </c>
      <c r="F147" s="21">
        <v>0</v>
      </c>
      <c r="G147" s="21">
        <v>0.13809399999999999</v>
      </c>
      <c r="H147" s="21">
        <v>0</v>
      </c>
      <c r="I147" s="21">
        <v>0.145592</v>
      </c>
      <c r="J147" s="21">
        <v>0</v>
      </c>
      <c r="K147" s="21">
        <v>0</v>
      </c>
      <c r="L147" s="21">
        <v>147.31</v>
      </c>
      <c r="M147" s="21">
        <v>185.91</v>
      </c>
      <c r="N147" s="23">
        <v>1.26203244857782</v>
      </c>
      <c r="O147" s="23">
        <v>1.3022492118915701</v>
      </c>
      <c r="P147" s="23">
        <v>1.25278313599909</v>
      </c>
      <c r="Q147" s="23">
        <v>1.2356714143488201</v>
      </c>
      <c r="R147" s="21">
        <v>191.834331403747</v>
      </c>
      <c r="S147" s="21">
        <v>184.160892336969</v>
      </c>
      <c r="T147" s="21">
        <v>181.67694229236099</v>
      </c>
      <c r="U147" s="22">
        <v>3.1369456637895102E-2</v>
      </c>
      <c r="V147" s="22">
        <v>-9.4528952362766504E-3</v>
      </c>
      <c r="W147" s="22">
        <v>-2.3032618169401199E-2</v>
      </c>
      <c r="X147" s="23">
        <v>1.26203244857782</v>
      </c>
      <c r="Y147" s="23">
        <v>1.3022759807794699</v>
      </c>
      <c r="Z147" s="23">
        <v>1.25278313599909</v>
      </c>
      <c r="AA147" s="23">
        <v>1.2356714143488201</v>
      </c>
      <c r="AB147" s="21">
        <v>191.83827472862399</v>
      </c>
      <c r="AC147" s="21">
        <v>184.16089233696999</v>
      </c>
      <c r="AD147" s="21">
        <v>181.67694229236099</v>
      </c>
      <c r="AE147" s="22">
        <v>3.13900123138212E-2</v>
      </c>
      <c r="AF147" s="22">
        <v>-9.4528952362763104E-3</v>
      </c>
      <c r="AG147" s="22">
        <v>-2.3032618169401199E-2</v>
      </c>
      <c r="AI147" s="5"/>
      <c r="AJ147">
        <f t="shared" si="26"/>
        <v>0</v>
      </c>
      <c r="AK147">
        <f t="shared" si="27"/>
        <v>0</v>
      </c>
      <c r="AL147">
        <f t="shared" si="34"/>
        <v>1</v>
      </c>
      <c r="AM147">
        <f t="shared" si="24"/>
        <v>1</v>
      </c>
      <c r="AN147">
        <f t="shared" si="35"/>
        <v>1</v>
      </c>
      <c r="AO147" s="17">
        <f t="shared" si="28"/>
        <v>2.03859815097221E-3</v>
      </c>
      <c r="AP147" s="17">
        <f t="shared" si="29"/>
        <v>2.6858632390283702E-3</v>
      </c>
      <c r="AQ147" s="17">
        <f t="shared" si="36"/>
        <v>4.7244613900005797E-3</v>
      </c>
      <c r="AR147" s="11">
        <f t="shared" si="37"/>
        <v>6.0285824702968633E-3</v>
      </c>
      <c r="AT147" s="5"/>
      <c r="AU147">
        <f t="shared" si="30"/>
        <v>0</v>
      </c>
      <c r="AV147">
        <f t="shared" si="31"/>
        <v>1</v>
      </c>
      <c r="AW147">
        <f t="shared" si="38"/>
        <v>0</v>
      </c>
      <c r="AX147">
        <f t="shared" si="25"/>
        <v>1</v>
      </c>
      <c r="AY147">
        <f t="shared" si="39"/>
        <v>0</v>
      </c>
      <c r="AZ147" s="17">
        <f t="shared" si="32"/>
        <v>0</v>
      </c>
      <c r="BA147" s="17">
        <f t="shared" si="33"/>
        <v>0</v>
      </c>
      <c r="BB147" s="17">
        <f t="shared" si="40"/>
        <v>0</v>
      </c>
      <c r="BC147" s="11">
        <f t="shared" si="41"/>
        <v>-9.7610425932716047E-3</v>
      </c>
      <c r="BE147" s="11">
        <f t="shared" si="42"/>
        <v>4.7244613900005797E-3</v>
      </c>
      <c r="BF147" s="11">
        <f t="shared" si="43"/>
        <v>-3.7324601229747414E-3</v>
      </c>
      <c r="BH147" s="11"/>
    </row>
    <row r="148" spans="1:60" x14ac:dyDescent="0.25">
      <c r="A148" s="1">
        <v>46238</v>
      </c>
      <c r="B148" s="21">
        <v>151.88</v>
      </c>
      <c r="C148" s="21">
        <v>190.15</v>
      </c>
      <c r="D148" s="22">
        <v>3.0551525536754501E-2</v>
      </c>
      <c r="E148" s="22">
        <v>2.2550548732142899E-2</v>
      </c>
      <c r="F148" s="21">
        <v>0</v>
      </c>
      <c r="G148" s="21">
        <v>0.13809399999999999</v>
      </c>
      <c r="H148" s="21">
        <v>0</v>
      </c>
      <c r="I148" s="21">
        <v>0.145592</v>
      </c>
      <c r="J148" s="21">
        <v>0</v>
      </c>
      <c r="K148" s="21">
        <v>0</v>
      </c>
      <c r="L148" s="21">
        <v>151.88</v>
      </c>
      <c r="M148" s="21">
        <v>190.15</v>
      </c>
      <c r="N148" s="23">
        <v>1.25197524361337</v>
      </c>
      <c r="O148" s="23">
        <v>1.3022492118915701</v>
      </c>
      <c r="P148" s="23">
        <v>1.2554499160238599</v>
      </c>
      <c r="Q148" s="23">
        <v>1.23778625634886</v>
      </c>
      <c r="R148" s="21">
        <v>197.78561030209201</v>
      </c>
      <c r="S148" s="21">
        <v>190.27270269554199</v>
      </c>
      <c r="T148" s="21">
        <v>187.67377441129901</v>
      </c>
      <c r="U148" s="22">
        <v>3.9370433442507E-2</v>
      </c>
      <c r="V148" s="22">
        <v>6.4508610515932505E-4</v>
      </c>
      <c r="W148" s="22">
        <v>-1.3108021314576401E-2</v>
      </c>
      <c r="X148" s="23">
        <v>1.25197524361337</v>
      </c>
      <c r="Y148" s="23">
        <v>1.3022759807794699</v>
      </c>
      <c r="Z148" s="23">
        <v>1.2554499160238599</v>
      </c>
      <c r="AA148" s="23">
        <v>1.23778625634886</v>
      </c>
      <c r="AB148" s="21">
        <v>197.78967596078601</v>
      </c>
      <c r="AC148" s="21">
        <v>190.27270269554199</v>
      </c>
      <c r="AD148" s="21">
        <v>187.67377441129901</v>
      </c>
      <c r="AE148" s="22">
        <v>3.93909891184328E-2</v>
      </c>
      <c r="AF148" s="22">
        <v>6.4508610515932505E-4</v>
      </c>
      <c r="AG148" s="22">
        <v>-1.3108021314576401E-2</v>
      </c>
      <c r="AI148" s="5"/>
      <c r="AJ148">
        <f t="shared" si="26"/>
        <v>0</v>
      </c>
      <c r="AK148">
        <f t="shared" si="27"/>
        <v>1</v>
      </c>
      <c r="AL148">
        <f t="shared" si="34"/>
        <v>1</v>
      </c>
      <c r="AM148">
        <f t="shared" si="24"/>
        <v>1</v>
      </c>
      <c r="AN148">
        <f t="shared" si="35"/>
        <v>1</v>
      </c>
      <c r="AO148" s="17">
        <f t="shared" si="28"/>
        <v>3.0551525536754501E-2</v>
      </c>
      <c r="AP148" s="17">
        <f t="shared" si="29"/>
        <v>-2.2550548732142899E-2</v>
      </c>
      <c r="AQ148" s="17">
        <f t="shared" si="36"/>
        <v>8.000976804611603E-3</v>
      </c>
      <c r="AR148" s="11">
        <f t="shared" si="37"/>
        <v>1.4029559274908466E-2</v>
      </c>
      <c r="AT148" s="5"/>
      <c r="AU148">
        <f t="shared" si="30"/>
        <v>0</v>
      </c>
      <c r="AV148">
        <f t="shared" si="31"/>
        <v>1</v>
      </c>
      <c r="AW148">
        <f t="shared" si="38"/>
        <v>0</v>
      </c>
      <c r="AX148">
        <f t="shared" si="25"/>
        <v>1</v>
      </c>
      <c r="AY148">
        <f t="shared" si="39"/>
        <v>0</v>
      </c>
      <c r="AZ148" s="17">
        <f t="shared" si="32"/>
        <v>0</v>
      </c>
      <c r="BA148" s="17">
        <f t="shared" si="33"/>
        <v>0</v>
      </c>
      <c r="BB148" s="17">
        <f t="shared" si="40"/>
        <v>0</v>
      </c>
      <c r="BC148" s="11">
        <f t="shared" si="41"/>
        <v>-9.7610425932716047E-3</v>
      </c>
      <c r="BE148" s="11">
        <f t="shared" si="42"/>
        <v>8.000976804611603E-3</v>
      </c>
      <c r="BF148" s="11">
        <f t="shared" si="43"/>
        <v>4.2685166816368615E-3</v>
      </c>
      <c r="BH148" s="11"/>
    </row>
    <row r="149" spans="1:60" x14ac:dyDescent="0.25">
      <c r="A149" s="1">
        <v>46239</v>
      </c>
      <c r="B149" s="21">
        <v>153.01</v>
      </c>
      <c r="C149" s="21">
        <v>191.8</v>
      </c>
      <c r="D149" s="22">
        <v>7.4125433701204496E-3</v>
      </c>
      <c r="E149" s="22">
        <v>8.6399280750692198E-3</v>
      </c>
      <c r="F149" s="21">
        <v>0</v>
      </c>
      <c r="G149" s="21">
        <v>0.13809399999999999</v>
      </c>
      <c r="H149" s="21">
        <v>0</v>
      </c>
      <c r="I149" s="21">
        <v>0.145592</v>
      </c>
      <c r="J149" s="21">
        <v>0</v>
      </c>
      <c r="K149" s="21">
        <v>0</v>
      </c>
      <c r="L149" s="21">
        <v>153.01</v>
      </c>
      <c r="M149" s="21">
        <v>191.8</v>
      </c>
      <c r="N149" s="23">
        <v>1.2535128422978801</v>
      </c>
      <c r="O149" s="23">
        <v>1.3022492118915701</v>
      </c>
      <c r="P149" s="23">
        <v>1.25786385228179</v>
      </c>
      <c r="Q149" s="23">
        <v>1.2402238178354099</v>
      </c>
      <c r="R149" s="21">
        <v>199.25715191152901</v>
      </c>
      <c r="S149" s="21">
        <v>192.096391650811</v>
      </c>
      <c r="T149" s="21">
        <v>189.393675083939</v>
      </c>
      <c r="U149" s="22">
        <v>3.8143048737558201E-2</v>
      </c>
      <c r="V149" s="22">
        <v>1.5441234465796399E-3</v>
      </c>
      <c r="W149" s="22">
        <v>-1.2625376743145299E-2</v>
      </c>
      <c r="X149" s="23">
        <v>1.2535128422978801</v>
      </c>
      <c r="Y149" s="23">
        <v>1.3022759807794699</v>
      </c>
      <c r="Z149" s="23">
        <v>1.25786385228179</v>
      </c>
      <c r="AA149" s="23">
        <v>1.2402238178354099</v>
      </c>
      <c r="AB149" s="21">
        <v>199.26124781906699</v>
      </c>
      <c r="AC149" s="21">
        <v>192.096391650811</v>
      </c>
      <c r="AD149" s="21">
        <v>189.393675083939</v>
      </c>
      <c r="AE149" s="22">
        <v>3.8163604413484299E-2</v>
      </c>
      <c r="AF149" s="22">
        <v>1.5441234465796399E-3</v>
      </c>
      <c r="AG149" s="22">
        <v>-1.2625376743145299E-2</v>
      </c>
      <c r="AI149" s="5"/>
      <c r="AJ149">
        <f t="shared" si="26"/>
        <v>0</v>
      </c>
      <c r="AK149">
        <f t="shared" si="27"/>
        <v>1</v>
      </c>
      <c r="AL149">
        <f t="shared" si="34"/>
        <v>0</v>
      </c>
      <c r="AM149">
        <f t="shared" ref="AM149:AM176" si="44">IF(F150+H150&gt;0,0,1)</f>
        <v>1</v>
      </c>
      <c r="AN149">
        <f t="shared" si="35"/>
        <v>0</v>
      </c>
      <c r="AO149" s="17">
        <f t="shared" si="28"/>
        <v>0</v>
      </c>
      <c r="AP149" s="17">
        <f t="shared" si="29"/>
        <v>0</v>
      </c>
      <c r="AQ149" s="17">
        <f t="shared" si="36"/>
        <v>0</v>
      </c>
      <c r="AR149" s="11">
        <f t="shared" si="37"/>
        <v>1.4029559274908466E-2</v>
      </c>
      <c r="AT149" s="5"/>
      <c r="AU149">
        <f t="shared" si="30"/>
        <v>0</v>
      </c>
      <c r="AV149">
        <f t="shared" si="31"/>
        <v>1</v>
      </c>
      <c r="AW149">
        <f t="shared" si="38"/>
        <v>0</v>
      </c>
      <c r="AX149">
        <f t="shared" ref="AX149:AX176" si="45">IF(F150+H150&gt;0,0,1)</f>
        <v>1</v>
      </c>
      <c r="AY149">
        <f t="shared" si="39"/>
        <v>0</v>
      </c>
      <c r="AZ149" s="17">
        <f t="shared" si="32"/>
        <v>0</v>
      </c>
      <c r="BA149" s="17">
        <f t="shared" si="33"/>
        <v>0</v>
      </c>
      <c r="BB149" s="17">
        <f t="shared" si="40"/>
        <v>0</v>
      </c>
      <c r="BC149" s="11">
        <f t="shared" si="41"/>
        <v>-9.7610425932716047E-3</v>
      </c>
      <c r="BE149" s="11">
        <f t="shared" si="42"/>
        <v>0</v>
      </c>
      <c r="BF149" s="11">
        <f t="shared" si="43"/>
        <v>4.2685166816368615E-3</v>
      </c>
      <c r="BH149" s="11"/>
    </row>
    <row r="150" spans="1:60" x14ac:dyDescent="0.25">
      <c r="A150" s="1">
        <v>46240</v>
      </c>
      <c r="B150" s="21">
        <v>154.5</v>
      </c>
      <c r="C150" s="21">
        <v>192.97</v>
      </c>
      <c r="D150" s="22">
        <v>9.6908176040780992E-3</v>
      </c>
      <c r="E150" s="22">
        <v>6.0815739589265196E-3</v>
      </c>
      <c r="F150" s="21">
        <v>0</v>
      </c>
      <c r="G150" s="21">
        <v>0.13809399999999999</v>
      </c>
      <c r="H150" s="21">
        <v>0</v>
      </c>
      <c r="I150" s="21">
        <v>0.145592</v>
      </c>
      <c r="J150" s="21">
        <v>0</v>
      </c>
      <c r="K150" s="21">
        <v>0</v>
      </c>
      <c r="L150" s="21">
        <v>154.5</v>
      </c>
      <c r="M150" s="21">
        <v>192.97</v>
      </c>
      <c r="N150" s="23">
        <v>1.24899676375404</v>
      </c>
      <c r="O150" s="23">
        <v>1.3022492118915701</v>
      </c>
      <c r="P150" s="23">
        <v>1.2586224263777499</v>
      </c>
      <c r="Q150" s="23">
        <v>1.2426115669069699</v>
      </c>
      <c r="R150" s="21">
        <v>201.19750323724799</v>
      </c>
      <c r="S150" s="21">
        <v>194.33996517753599</v>
      </c>
      <c r="T150" s="21">
        <v>191.614579855572</v>
      </c>
      <c r="U150" s="22">
        <v>4.1752292382709597E-2</v>
      </c>
      <c r="V150" s="22">
        <v>7.0742868198124002E-3</v>
      </c>
      <c r="W150" s="22">
        <v>-7.0487784869981201E-3</v>
      </c>
      <c r="X150" s="23">
        <v>1.24899676375404</v>
      </c>
      <c r="Y150" s="23">
        <v>1.3022759807794699</v>
      </c>
      <c r="Z150" s="23">
        <v>1.2586224263777499</v>
      </c>
      <c r="AA150" s="23">
        <v>1.2426115669069699</v>
      </c>
      <c r="AB150" s="21">
        <v>201.201639030428</v>
      </c>
      <c r="AC150" s="21">
        <v>194.33996517753599</v>
      </c>
      <c r="AD150" s="21">
        <v>191.614579855572</v>
      </c>
      <c r="AE150" s="22">
        <v>4.1772848058635799E-2</v>
      </c>
      <c r="AF150" s="22">
        <v>7.0742868198126196E-3</v>
      </c>
      <c r="AG150" s="22">
        <v>-7.0487784869981201E-3</v>
      </c>
      <c r="AI150" s="5"/>
      <c r="AJ150">
        <f t="shared" ref="AJ150:AJ176" si="46">IF($AG150&lt;AI$21,1,0)</f>
        <v>0</v>
      </c>
      <c r="AK150">
        <f t="shared" ref="AK150:AK176" si="47">IF($AG150&gt;AI$22,1,0)</f>
        <v>1</v>
      </c>
      <c r="AL150">
        <f t="shared" si="34"/>
        <v>0</v>
      </c>
      <c r="AM150">
        <f t="shared" si="44"/>
        <v>1</v>
      </c>
      <c r="AN150">
        <f t="shared" si="35"/>
        <v>0</v>
      </c>
      <c r="AO150" s="17">
        <f t="shared" ref="AO150:AO176" si="48">AN150*D150</f>
        <v>0</v>
      </c>
      <c r="AP150" s="17">
        <f t="shared" ref="AP150:AP176" si="49">-AN150*$E150</f>
        <v>0</v>
      </c>
      <c r="AQ150" s="17">
        <f t="shared" si="36"/>
        <v>0</v>
      </c>
      <c r="AR150" s="11">
        <f t="shared" si="37"/>
        <v>1.4029559274908466E-2</v>
      </c>
      <c r="AT150" s="5"/>
      <c r="AU150">
        <f t="shared" ref="AU150:AU176" si="50">IF($AG150&gt;AT$21,1,0)</f>
        <v>0</v>
      </c>
      <c r="AV150">
        <f t="shared" ref="AV150:AV176" si="51">IF($AG150&lt;AT$22,1,0)</f>
        <v>1</v>
      </c>
      <c r="AW150">
        <f t="shared" si="38"/>
        <v>0</v>
      </c>
      <c r="AX150">
        <f t="shared" si="45"/>
        <v>1</v>
      </c>
      <c r="AY150">
        <f t="shared" si="39"/>
        <v>0</v>
      </c>
      <c r="AZ150" s="17">
        <f t="shared" ref="AZ150:AZ176" si="52">-AY150*D150</f>
        <v>0</v>
      </c>
      <c r="BA150" s="17">
        <f t="shared" ref="BA150:BA176" si="53">AY150*$E150</f>
        <v>0</v>
      </c>
      <c r="BB150" s="17">
        <f t="shared" si="40"/>
        <v>0</v>
      </c>
      <c r="BC150" s="11">
        <f t="shared" si="41"/>
        <v>-9.7610425932716047E-3</v>
      </c>
      <c r="BE150" s="11">
        <f t="shared" si="42"/>
        <v>0</v>
      </c>
      <c r="BF150" s="11">
        <f t="shared" si="43"/>
        <v>4.2685166816368615E-3</v>
      </c>
      <c r="BH150" s="11"/>
    </row>
    <row r="151" spans="1:60" x14ac:dyDescent="0.25">
      <c r="A151" s="1">
        <v>46241</v>
      </c>
      <c r="B151" s="21">
        <v>157.37</v>
      </c>
      <c r="C151" s="21">
        <v>197.71</v>
      </c>
      <c r="D151" s="22">
        <v>1.8405624274972901E-2</v>
      </c>
      <c r="E151" s="22">
        <v>2.4266574178524701E-2</v>
      </c>
      <c r="F151" s="21">
        <v>0</v>
      </c>
      <c r="G151" s="21">
        <v>0.13809399999999999</v>
      </c>
      <c r="H151" s="21">
        <v>0</v>
      </c>
      <c r="I151" s="21">
        <v>0.145592</v>
      </c>
      <c r="J151" s="21">
        <v>0</v>
      </c>
      <c r="K151" s="21">
        <v>0</v>
      </c>
      <c r="L151" s="21">
        <v>157.37</v>
      </c>
      <c r="M151" s="21">
        <v>197.71</v>
      </c>
      <c r="N151" s="23">
        <v>1.25633856516489</v>
      </c>
      <c r="O151" s="23">
        <v>1.3022492118915701</v>
      </c>
      <c r="P151" s="23">
        <v>1.2592297012887099</v>
      </c>
      <c r="Q151" s="23">
        <v>1.24504366211485</v>
      </c>
      <c r="R151" s="21">
        <v>204.93495847537699</v>
      </c>
      <c r="S151" s="21">
        <v>198.069411239066</v>
      </c>
      <c r="T151" s="21">
        <v>195.54978228415101</v>
      </c>
      <c r="U151" s="22">
        <v>3.5891342479157901E-2</v>
      </c>
      <c r="V151" s="22">
        <v>1.8162204887785E-3</v>
      </c>
      <c r="W151" s="22">
        <v>-1.09863227371963E-2</v>
      </c>
      <c r="X151" s="23">
        <v>1.25633856516489</v>
      </c>
      <c r="Y151" s="23">
        <v>1.3022759807794699</v>
      </c>
      <c r="Z151" s="23">
        <v>1.2592297012887099</v>
      </c>
      <c r="AA151" s="23">
        <v>1.24504366211485</v>
      </c>
      <c r="AB151" s="21">
        <v>204.93917109526501</v>
      </c>
      <c r="AC151" s="21">
        <v>198.069411239066</v>
      </c>
      <c r="AD151" s="21">
        <v>195.54978228415101</v>
      </c>
      <c r="AE151" s="22">
        <v>3.5911898155084103E-2</v>
      </c>
      <c r="AF151" s="22">
        <v>1.8162204887787201E-3</v>
      </c>
      <c r="AG151" s="22">
        <v>-1.09863227371962E-2</v>
      </c>
      <c r="AI151" s="5"/>
      <c r="AJ151">
        <f t="shared" si="46"/>
        <v>0</v>
      </c>
      <c r="AK151">
        <f t="shared" si="47"/>
        <v>1</v>
      </c>
      <c r="AL151">
        <f t="shared" ref="AL151:AL176" si="54">AN151</f>
        <v>0</v>
      </c>
      <c r="AM151">
        <f t="shared" si="44"/>
        <v>1</v>
      </c>
      <c r="AN151">
        <f t="shared" ref="AN151:AN176" si="55">IF(AJ150,1,IF(AK150,0,AL150))*AM150</f>
        <v>0</v>
      </c>
      <c r="AO151" s="17">
        <f t="shared" si="48"/>
        <v>0</v>
      </c>
      <c r="AP151" s="17">
        <f t="shared" si="49"/>
        <v>0</v>
      </c>
      <c r="AQ151" s="17">
        <f t="shared" ref="AQ151:AQ176" si="56">AO151+AP151</f>
        <v>0</v>
      </c>
      <c r="AR151" s="11">
        <f t="shared" ref="AR151:AR176" si="57">AR150+AQ151</f>
        <v>1.4029559274908466E-2</v>
      </c>
      <c r="AT151" s="5"/>
      <c r="AU151">
        <f t="shared" si="50"/>
        <v>0</v>
      </c>
      <c r="AV151">
        <f t="shared" si="51"/>
        <v>1</v>
      </c>
      <c r="AW151">
        <f t="shared" ref="AW151:AW176" si="58">AY151</f>
        <v>0</v>
      </c>
      <c r="AX151">
        <f t="shared" si="45"/>
        <v>1</v>
      </c>
      <c r="AY151">
        <f t="shared" ref="AY151:AY176" si="59">IF(AU150,1,IF(AV150,0,AW150))*AX150</f>
        <v>0</v>
      </c>
      <c r="AZ151" s="17">
        <f t="shared" si="52"/>
        <v>0</v>
      </c>
      <c r="BA151" s="17">
        <f t="shared" si="53"/>
        <v>0</v>
      </c>
      <c r="BB151" s="17">
        <f t="shared" ref="BB151:BB176" si="60">AZ151+BA151</f>
        <v>0</v>
      </c>
      <c r="BC151" s="11">
        <f t="shared" ref="BC151:BC176" si="61">BC150+BB151</f>
        <v>-9.7610425932716047E-3</v>
      </c>
      <c r="BE151" s="11">
        <f t="shared" ref="BE151:BE176" si="62">AQ151+BB151</f>
        <v>0</v>
      </c>
      <c r="BF151" s="11">
        <f t="shared" ref="BF151:BF176" si="63">BF150+BE151</f>
        <v>4.2685166816368615E-3</v>
      </c>
      <c r="BH151" s="11"/>
    </row>
    <row r="152" spans="1:60" x14ac:dyDescent="0.25">
      <c r="A152" s="1">
        <v>46244</v>
      </c>
      <c r="B152" s="21">
        <v>158.03</v>
      </c>
      <c r="C152" s="21">
        <v>200.02</v>
      </c>
      <c r="D152" s="22">
        <v>4.1851678082393297E-3</v>
      </c>
      <c r="E152" s="22">
        <v>1.16160509615808E-2</v>
      </c>
      <c r="F152" s="21">
        <v>0</v>
      </c>
      <c r="G152" s="21">
        <v>0.13809399999999999</v>
      </c>
      <c r="H152" s="21">
        <v>0</v>
      </c>
      <c r="I152" s="21">
        <v>0.145592</v>
      </c>
      <c r="J152" s="21">
        <v>0</v>
      </c>
      <c r="K152" s="21">
        <v>0</v>
      </c>
      <c r="L152" s="21">
        <v>158.03</v>
      </c>
      <c r="M152" s="21">
        <v>200.02</v>
      </c>
      <c r="N152" s="23">
        <v>1.26570904258685</v>
      </c>
      <c r="O152" s="23">
        <v>1.3022492118915701</v>
      </c>
      <c r="P152" s="23">
        <v>1.26073918048597</v>
      </c>
      <c r="Q152" s="23">
        <v>1.24731778425836</v>
      </c>
      <c r="R152" s="21">
        <v>205.79444295522501</v>
      </c>
      <c r="S152" s="21">
        <v>198.99606969465501</v>
      </c>
      <c r="T152" s="21">
        <v>196.75424992401</v>
      </c>
      <c r="U152" s="22">
        <v>2.8460459325816499E-2</v>
      </c>
      <c r="V152" s="22">
        <v>-5.1322872970315297E-3</v>
      </c>
      <c r="W152" s="22">
        <v>-1.6461873853852099E-2</v>
      </c>
      <c r="X152" s="23">
        <v>1.26570904258685</v>
      </c>
      <c r="Y152" s="23">
        <v>1.3022759807794699</v>
      </c>
      <c r="Z152" s="23">
        <v>1.26073918048597</v>
      </c>
      <c r="AA152" s="23">
        <v>1.24731778425836</v>
      </c>
      <c r="AB152" s="21">
        <v>205.79867324258001</v>
      </c>
      <c r="AC152" s="21">
        <v>198.99606969465501</v>
      </c>
      <c r="AD152" s="21">
        <v>196.75424992401</v>
      </c>
      <c r="AE152" s="22">
        <v>2.84810150017424E-2</v>
      </c>
      <c r="AF152" s="22">
        <v>-5.1322872970315297E-3</v>
      </c>
      <c r="AG152" s="22">
        <v>-1.6461873853852099E-2</v>
      </c>
      <c r="AI152" s="5"/>
      <c r="AJ152">
        <f t="shared" si="46"/>
        <v>0</v>
      </c>
      <c r="AK152">
        <f t="shared" si="47"/>
        <v>0</v>
      </c>
      <c r="AL152">
        <f t="shared" si="54"/>
        <v>0</v>
      </c>
      <c r="AM152">
        <f t="shared" si="44"/>
        <v>1</v>
      </c>
      <c r="AN152">
        <f t="shared" si="55"/>
        <v>0</v>
      </c>
      <c r="AO152" s="17">
        <f t="shared" si="48"/>
        <v>0</v>
      </c>
      <c r="AP152" s="17">
        <f t="shared" si="49"/>
        <v>0</v>
      </c>
      <c r="AQ152" s="17">
        <f t="shared" si="56"/>
        <v>0</v>
      </c>
      <c r="AR152" s="11">
        <f t="shared" si="57"/>
        <v>1.4029559274908466E-2</v>
      </c>
      <c r="AT152" s="5"/>
      <c r="AU152">
        <f t="shared" si="50"/>
        <v>0</v>
      </c>
      <c r="AV152">
        <f t="shared" si="51"/>
        <v>1</v>
      </c>
      <c r="AW152">
        <f t="shared" si="58"/>
        <v>0</v>
      </c>
      <c r="AX152">
        <f t="shared" si="45"/>
        <v>1</v>
      </c>
      <c r="AY152">
        <f t="shared" si="59"/>
        <v>0</v>
      </c>
      <c r="AZ152" s="17">
        <f t="shared" si="52"/>
        <v>0</v>
      </c>
      <c r="BA152" s="17">
        <f t="shared" si="53"/>
        <v>0</v>
      </c>
      <c r="BB152" s="17">
        <f t="shared" si="60"/>
        <v>0</v>
      </c>
      <c r="BC152" s="11">
        <f t="shared" si="61"/>
        <v>-9.7610425932716047E-3</v>
      </c>
      <c r="BE152" s="11">
        <f t="shared" si="62"/>
        <v>0</v>
      </c>
      <c r="BF152" s="11">
        <f t="shared" si="63"/>
        <v>4.2685166816368615E-3</v>
      </c>
      <c r="BH152" s="11"/>
    </row>
    <row r="153" spans="1:60" x14ac:dyDescent="0.25">
      <c r="A153" s="1">
        <v>46245</v>
      </c>
      <c r="B153" s="21">
        <v>158.07</v>
      </c>
      <c r="C153" s="21">
        <v>199.74</v>
      </c>
      <c r="D153" s="22">
        <v>2.5308446829157798E-4</v>
      </c>
      <c r="E153" s="22">
        <v>-1.40084073338142E-3</v>
      </c>
      <c r="F153" s="21">
        <v>0</v>
      </c>
      <c r="G153" s="21">
        <v>0.13809399999999999</v>
      </c>
      <c r="H153" s="21">
        <v>0</v>
      </c>
      <c r="I153" s="21">
        <v>0.145592</v>
      </c>
      <c r="J153" s="21">
        <v>0</v>
      </c>
      <c r="K153" s="21">
        <v>0</v>
      </c>
      <c r="L153" s="21">
        <v>158.07</v>
      </c>
      <c r="M153" s="21">
        <v>199.74</v>
      </c>
      <c r="N153" s="23">
        <v>1.2636173847029799</v>
      </c>
      <c r="O153" s="23">
        <v>1.3022492118915701</v>
      </c>
      <c r="P153" s="23">
        <v>1.2599010257796099</v>
      </c>
      <c r="Q153" s="23">
        <v>1.24981354574182</v>
      </c>
      <c r="R153" s="21">
        <v>205.84653292370101</v>
      </c>
      <c r="S153" s="21">
        <v>199.285042259417</v>
      </c>
      <c r="T153" s="21">
        <v>197.163522157719</v>
      </c>
      <c r="U153" s="22">
        <v>3.01143845274894E-2</v>
      </c>
      <c r="V153" s="22">
        <v>-2.2803477954869401E-3</v>
      </c>
      <c r="W153" s="22">
        <v>-1.2983074673395399E-2</v>
      </c>
      <c r="X153" s="23">
        <v>1.2636173847029799</v>
      </c>
      <c r="Y153" s="23">
        <v>1.3022759807794699</v>
      </c>
      <c r="Z153" s="23">
        <v>1.2599010257796099</v>
      </c>
      <c r="AA153" s="23">
        <v>1.24981354574182</v>
      </c>
      <c r="AB153" s="21">
        <v>205.850764281811</v>
      </c>
      <c r="AC153" s="21">
        <v>199.285042259417</v>
      </c>
      <c r="AD153" s="21">
        <v>197.163522157719</v>
      </c>
      <c r="AE153" s="22">
        <v>3.0134940203415499E-2</v>
      </c>
      <c r="AF153" s="22">
        <v>-2.2803477954870602E-3</v>
      </c>
      <c r="AG153" s="22">
        <v>-1.2983074673395399E-2</v>
      </c>
      <c r="AI153" s="5"/>
      <c r="AJ153">
        <f t="shared" si="46"/>
        <v>0</v>
      </c>
      <c r="AK153">
        <f t="shared" si="47"/>
        <v>1</v>
      </c>
      <c r="AL153">
        <f t="shared" si="54"/>
        <v>0</v>
      </c>
      <c r="AM153">
        <f t="shared" si="44"/>
        <v>1</v>
      </c>
      <c r="AN153">
        <f t="shared" si="55"/>
        <v>0</v>
      </c>
      <c r="AO153" s="17">
        <f t="shared" si="48"/>
        <v>0</v>
      </c>
      <c r="AP153" s="17">
        <f t="shared" si="49"/>
        <v>0</v>
      </c>
      <c r="AQ153" s="17">
        <f t="shared" si="56"/>
        <v>0</v>
      </c>
      <c r="AR153" s="11">
        <f t="shared" si="57"/>
        <v>1.4029559274908466E-2</v>
      </c>
      <c r="AT153" s="5"/>
      <c r="AU153">
        <f t="shared" si="50"/>
        <v>0</v>
      </c>
      <c r="AV153">
        <f t="shared" si="51"/>
        <v>1</v>
      </c>
      <c r="AW153">
        <f t="shared" si="58"/>
        <v>0</v>
      </c>
      <c r="AX153">
        <f t="shared" si="45"/>
        <v>1</v>
      </c>
      <c r="AY153">
        <f t="shared" si="59"/>
        <v>0</v>
      </c>
      <c r="AZ153" s="17">
        <f t="shared" si="52"/>
        <v>0</v>
      </c>
      <c r="BA153" s="17">
        <f t="shared" si="53"/>
        <v>0</v>
      </c>
      <c r="BB153" s="17">
        <f t="shared" si="60"/>
        <v>0</v>
      </c>
      <c r="BC153" s="11">
        <f t="shared" si="61"/>
        <v>-9.7610425932716047E-3</v>
      </c>
      <c r="BE153" s="11">
        <f t="shared" si="62"/>
        <v>0</v>
      </c>
      <c r="BF153" s="11">
        <f t="shared" si="63"/>
        <v>4.2685166816368615E-3</v>
      </c>
      <c r="BH153" s="11"/>
    </row>
    <row r="154" spans="1:60" x14ac:dyDescent="0.25">
      <c r="A154" s="1">
        <v>46246</v>
      </c>
      <c r="B154" s="21">
        <v>159.38999999999999</v>
      </c>
      <c r="C154" s="21">
        <v>200.72</v>
      </c>
      <c r="D154" s="22">
        <v>8.3160562416573804E-3</v>
      </c>
      <c r="E154" s="22">
        <v>4.8943812431782698E-3</v>
      </c>
      <c r="F154" s="21">
        <v>0</v>
      </c>
      <c r="G154" s="21">
        <v>0.13809399999999999</v>
      </c>
      <c r="H154" s="21">
        <v>0</v>
      </c>
      <c r="I154" s="21">
        <v>0.145592</v>
      </c>
      <c r="J154" s="21">
        <v>0</v>
      </c>
      <c r="K154" s="21">
        <v>0</v>
      </c>
      <c r="L154" s="21">
        <v>159.38999999999999</v>
      </c>
      <c r="M154" s="21">
        <v>200.72</v>
      </c>
      <c r="N154" s="23">
        <v>1.25930108538804</v>
      </c>
      <c r="O154" s="23">
        <v>1.3022492118915701</v>
      </c>
      <c r="P154" s="23">
        <v>1.25836848811464</v>
      </c>
      <c r="Q154" s="23">
        <v>1.2519989303146399</v>
      </c>
      <c r="R154" s="21">
        <v>207.56550188339801</v>
      </c>
      <c r="S154" s="21">
        <v>200.81562449901199</v>
      </c>
      <c r="T154" s="21">
        <v>199.20778105578799</v>
      </c>
      <c r="U154" s="22">
        <v>3.3536059525968803E-2</v>
      </c>
      <c r="V154" s="22">
        <v>4.7629398232970199E-4</v>
      </c>
      <c r="W154" s="22">
        <v>-7.5624961455061403E-3</v>
      </c>
      <c r="X154" s="23">
        <v>1.25930108538804</v>
      </c>
      <c r="Y154" s="23">
        <v>1.3022759807794699</v>
      </c>
      <c r="Z154" s="23">
        <v>1.25836848811464</v>
      </c>
      <c r="AA154" s="23">
        <v>1.2519989303146399</v>
      </c>
      <c r="AB154" s="21">
        <v>207.56976857644</v>
      </c>
      <c r="AC154" s="21">
        <v>200.81562449901199</v>
      </c>
      <c r="AD154" s="21">
        <v>199.20778105578799</v>
      </c>
      <c r="AE154" s="22">
        <v>3.35566152018947E-2</v>
      </c>
      <c r="AF154" s="22">
        <v>4.7629398232970199E-4</v>
      </c>
      <c r="AG154" s="22">
        <v>-7.5624961455062504E-3</v>
      </c>
      <c r="AI154" s="5"/>
      <c r="AJ154">
        <f t="shared" si="46"/>
        <v>0</v>
      </c>
      <c r="AK154">
        <f t="shared" si="47"/>
        <v>1</v>
      </c>
      <c r="AL154">
        <f t="shared" si="54"/>
        <v>0</v>
      </c>
      <c r="AM154">
        <f t="shared" si="44"/>
        <v>1</v>
      </c>
      <c r="AN154">
        <f t="shared" si="55"/>
        <v>0</v>
      </c>
      <c r="AO154" s="17">
        <f t="shared" si="48"/>
        <v>0</v>
      </c>
      <c r="AP154" s="17">
        <f t="shared" si="49"/>
        <v>0</v>
      </c>
      <c r="AQ154" s="17">
        <f t="shared" si="56"/>
        <v>0</v>
      </c>
      <c r="AR154" s="11">
        <f t="shared" si="57"/>
        <v>1.4029559274908466E-2</v>
      </c>
      <c r="AT154" s="5"/>
      <c r="AU154">
        <f t="shared" si="50"/>
        <v>0</v>
      </c>
      <c r="AV154">
        <f t="shared" si="51"/>
        <v>1</v>
      </c>
      <c r="AW154">
        <f t="shared" si="58"/>
        <v>0</v>
      </c>
      <c r="AX154">
        <f t="shared" si="45"/>
        <v>1</v>
      </c>
      <c r="AY154">
        <f t="shared" si="59"/>
        <v>0</v>
      </c>
      <c r="AZ154" s="17">
        <f t="shared" si="52"/>
        <v>0</v>
      </c>
      <c r="BA154" s="17">
        <f t="shared" si="53"/>
        <v>0</v>
      </c>
      <c r="BB154" s="17">
        <f t="shared" si="60"/>
        <v>0</v>
      </c>
      <c r="BC154" s="11">
        <f t="shared" si="61"/>
        <v>-9.7610425932716047E-3</v>
      </c>
      <c r="BE154" s="11">
        <f t="shared" si="62"/>
        <v>0</v>
      </c>
      <c r="BF154" s="11">
        <f t="shared" si="63"/>
        <v>4.2685166816368615E-3</v>
      </c>
      <c r="BH154" s="11"/>
    </row>
    <row r="155" spans="1:60" x14ac:dyDescent="0.25">
      <c r="A155" s="1">
        <v>46247</v>
      </c>
      <c r="B155" s="21">
        <v>156.86000000000001</v>
      </c>
      <c r="C155" s="21">
        <v>198.94</v>
      </c>
      <c r="D155" s="22">
        <v>-1.6000341346440902E-2</v>
      </c>
      <c r="E155" s="22">
        <v>-8.9076303338989707E-3</v>
      </c>
      <c r="F155" s="21">
        <v>0</v>
      </c>
      <c r="G155" s="21">
        <v>0.13809399999999999</v>
      </c>
      <c r="H155" s="21">
        <v>0</v>
      </c>
      <c r="I155" s="21">
        <v>0.145592</v>
      </c>
      <c r="J155" s="21">
        <v>0</v>
      </c>
      <c r="K155" s="21">
        <v>0</v>
      </c>
      <c r="L155" s="21">
        <v>156.86000000000001</v>
      </c>
      <c r="M155" s="21">
        <v>198.94</v>
      </c>
      <c r="N155" s="23">
        <v>1.2682646946321501</v>
      </c>
      <c r="O155" s="23">
        <v>1.3022492118915701</v>
      </c>
      <c r="P155" s="23">
        <v>1.2597757049699001</v>
      </c>
      <c r="Q155" s="23">
        <v>1.2530733492567701</v>
      </c>
      <c r="R155" s="21">
        <v>204.27081137731199</v>
      </c>
      <c r="S155" s="21">
        <v>197.38768104566199</v>
      </c>
      <c r="T155" s="21">
        <v>196.388552209154</v>
      </c>
      <c r="U155" s="22">
        <v>2.6443348513426699E-2</v>
      </c>
      <c r="V155" s="22">
        <v>-7.8335527225653397E-3</v>
      </c>
      <c r="W155" s="22">
        <v>-1.29081656434823E-2</v>
      </c>
      <c r="X155" s="23">
        <v>1.2682646946321501</v>
      </c>
      <c r="Y155" s="23">
        <v>1.3022759807794699</v>
      </c>
      <c r="Z155" s="23">
        <v>1.2597757049699001</v>
      </c>
      <c r="AA155" s="23">
        <v>1.2530733492567701</v>
      </c>
      <c r="AB155" s="21">
        <v>204.27501034506801</v>
      </c>
      <c r="AC155" s="21">
        <v>197.38768104566199</v>
      </c>
      <c r="AD155" s="21">
        <v>196.388552209154</v>
      </c>
      <c r="AE155" s="22">
        <v>2.6463904189352599E-2</v>
      </c>
      <c r="AF155" s="22">
        <v>-7.8335527225651194E-3</v>
      </c>
      <c r="AG155" s="22">
        <v>-1.29081656434824E-2</v>
      </c>
      <c r="AI155" s="5"/>
      <c r="AJ155">
        <f t="shared" si="46"/>
        <v>0</v>
      </c>
      <c r="AK155">
        <f t="shared" si="47"/>
        <v>1</v>
      </c>
      <c r="AL155">
        <f t="shared" si="54"/>
        <v>0</v>
      </c>
      <c r="AM155">
        <f t="shared" si="44"/>
        <v>1</v>
      </c>
      <c r="AN155">
        <f t="shared" si="55"/>
        <v>0</v>
      </c>
      <c r="AO155" s="17">
        <f t="shared" si="48"/>
        <v>0</v>
      </c>
      <c r="AP155" s="17">
        <f t="shared" si="49"/>
        <v>0</v>
      </c>
      <c r="AQ155" s="17">
        <f t="shared" si="56"/>
        <v>0</v>
      </c>
      <c r="AR155" s="11">
        <f t="shared" si="57"/>
        <v>1.4029559274908466E-2</v>
      </c>
      <c r="AT155" s="5"/>
      <c r="AU155">
        <f t="shared" si="50"/>
        <v>0</v>
      </c>
      <c r="AV155">
        <f t="shared" si="51"/>
        <v>1</v>
      </c>
      <c r="AW155">
        <f t="shared" si="58"/>
        <v>0</v>
      </c>
      <c r="AX155">
        <f t="shared" si="45"/>
        <v>1</v>
      </c>
      <c r="AY155">
        <f t="shared" si="59"/>
        <v>0</v>
      </c>
      <c r="AZ155" s="17">
        <f t="shared" si="52"/>
        <v>0</v>
      </c>
      <c r="BA155" s="17">
        <f t="shared" si="53"/>
        <v>0</v>
      </c>
      <c r="BB155" s="17">
        <f t="shared" si="60"/>
        <v>0</v>
      </c>
      <c r="BC155" s="11">
        <f t="shared" si="61"/>
        <v>-9.7610425932716047E-3</v>
      </c>
      <c r="BE155" s="11">
        <f t="shared" si="62"/>
        <v>0</v>
      </c>
      <c r="BF155" s="11">
        <f t="shared" si="63"/>
        <v>4.2685166816368615E-3</v>
      </c>
      <c r="BH155" s="11"/>
    </row>
    <row r="156" spans="1:60" x14ac:dyDescent="0.25">
      <c r="A156" s="1">
        <v>46248</v>
      </c>
      <c r="B156" s="21">
        <v>157.41</v>
      </c>
      <c r="C156" s="21">
        <v>198.26</v>
      </c>
      <c r="D156" s="22">
        <v>3.50017858220962E-3</v>
      </c>
      <c r="E156" s="22">
        <v>-3.4239711195164502E-3</v>
      </c>
      <c r="F156" s="21">
        <v>0</v>
      </c>
      <c r="G156" s="21">
        <v>0.13809399999999999</v>
      </c>
      <c r="H156" s="21">
        <v>0</v>
      </c>
      <c r="I156" s="21">
        <v>0.145592</v>
      </c>
      <c r="J156" s="21">
        <v>0</v>
      </c>
      <c r="K156" s="21">
        <v>0</v>
      </c>
      <c r="L156" s="21">
        <v>157.41</v>
      </c>
      <c r="M156" s="21">
        <v>198.26</v>
      </c>
      <c r="N156" s="23">
        <v>1.25951337272091</v>
      </c>
      <c r="O156" s="23">
        <v>1.3022492118915701</v>
      </c>
      <c r="P156" s="23">
        <v>1.2589261443438899</v>
      </c>
      <c r="Q156" s="23">
        <v>1.2545424705052901</v>
      </c>
      <c r="R156" s="21">
        <v>204.98704844385199</v>
      </c>
      <c r="S156" s="21">
        <v>198.30129371931301</v>
      </c>
      <c r="T156" s="21">
        <v>197.246275906509</v>
      </c>
      <c r="U156" s="22">
        <v>3.3367498215152801E-2</v>
      </c>
      <c r="V156" s="22">
        <v>2.0825895071772401E-4</v>
      </c>
      <c r="W156" s="22">
        <v>-5.1262211253936298E-3</v>
      </c>
      <c r="X156" s="23">
        <v>1.25951337272091</v>
      </c>
      <c r="Y156" s="23">
        <v>1.3022759807794699</v>
      </c>
      <c r="Z156" s="23">
        <v>1.2589261443438899</v>
      </c>
      <c r="AA156" s="23">
        <v>1.2545424705052901</v>
      </c>
      <c r="AB156" s="21">
        <v>204.99126213449699</v>
      </c>
      <c r="AC156" s="21">
        <v>198.30129371931301</v>
      </c>
      <c r="AD156" s="21">
        <v>197.246275906509</v>
      </c>
      <c r="AE156" s="22">
        <v>3.3388053891078601E-2</v>
      </c>
      <c r="AF156" s="22">
        <v>2.0825895071772401E-4</v>
      </c>
      <c r="AG156" s="22">
        <v>-5.1262211253936298E-3</v>
      </c>
      <c r="AI156" s="5"/>
      <c r="AJ156">
        <f t="shared" si="46"/>
        <v>0</v>
      </c>
      <c r="AK156">
        <f t="shared" si="47"/>
        <v>1</v>
      </c>
      <c r="AL156">
        <f t="shared" si="54"/>
        <v>0</v>
      </c>
      <c r="AM156">
        <f t="shared" si="44"/>
        <v>1</v>
      </c>
      <c r="AN156">
        <f t="shared" si="55"/>
        <v>0</v>
      </c>
      <c r="AO156" s="17">
        <f t="shared" si="48"/>
        <v>0</v>
      </c>
      <c r="AP156" s="17">
        <f t="shared" si="49"/>
        <v>0</v>
      </c>
      <c r="AQ156" s="17">
        <f t="shared" si="56"/>
        <v>0</v>
      </c>
      <c r="AR156" s="11">
        <f t="shared" si="57"/>
        <v>1.4029559274908466E-2</v>
      </c>
      <c r="AT156" s="5"/>
      <c r="AU156">
        <f t="shared" si="50"/>
        <v>0</v>
      </c>
      <c r="AV156">
        <f t="shared" si="51"/>
        <v>1</v>
      </c>
      <c r="AW156">
        <f t="shared" si="58"/>
        <v>0</v>
      </c>
      <c r="AX156">
        <f t="shared" si="45"/>
        <v>1</v>
      </c>
      <c r="AY156">
        <f t="shared" si="59"/>
        <v>0</v>
      </c>
      <c r="AZ156" s="17">
        <f t="shared" si="52"/>
        <v>0</v>
      </c>
      <c r="BA156" s="17">
        <f t="shared" si="53"/>
        <v>0</v>
      </c>
      <c r="BB156" s="17">
        <f t="shared" si="60"/>
        <v>0</v>
      </c>
      <c r="BC156" s="11">
        <f t="shared" si="61"/>
        <v>-9.7610425932716047E-3</v>
      </c>
      <c r="BE156" s="11">
        <f t="shared" si="62"/>
        <v>0</v>
      </c>
      <c r="BF156" s="11">
        <f t="shared" si="63"/>
        <v>4.2685166816368615E-3</v>
      </c>
      <c r="BH156" s="11"/>
    </row>
    <row r="157" spans="1:60" x14ac:dyDescent="0.25">
      <c r="A157" s="1">
        <v>46251</v>
      </c>
      <c r="B157" s="21">
        <v>159.53</v>
      </c>
      <c r="C157" s="21">
        <v>201.93</v>
      </c>
      <c r="D157" s="22">
        <v>1.3378125946176E-2</v>
      </c>
      <c r="E157" s="22">
        <v>1.8341802085980099E-2</v>
      </c>
      <c r="F157" s="21">
        <v>0</v>
      </c>
      <c r="G157" s="21">
        <v>0.13809399999999999</v>
      </c>
      <c r="H157" s="21">
        <v>0</v>
      </c>
      <c r="I157" s="21">
        <v>0.145592</v>
      </c>
      <c r="J157" s="21">
        <v>0</v>
      </c>
      <c r="K157" s="21">
        <v>0</v>
      </c>
      <c r="L157" s="21">
        <v>159.53</v>
      </c>
      <c r="M157" s="21">
        <v>201.93</v>
      </c>
      <c r="N157" s="23">
        <v>1.2657807308970099</v>
      </c>
      <c r="O157" s="23">
        <v>1.3022492118915701</v>
      </c>
      <c r="P157" s="23">
        <v>1.25930097257581</v>
      </c>
      <c r="Q157" s="23">
        <v>1.25604205428745</v>
      </c>
      <c r="R157" s="21">
        <v>207.747816773062</v>
      </c>
      <c r="S157" s="21">
        <v>200.83648780718201</v>
      </c>
      <c r="T157" s="21">
        <v>200.13716031970901</v>
      </c>
      <c r="U157" s="22">
        <v>2.8403822075348702E-2</v>
      </c>
      <c r="V157" s="22">
        <v>-5.4300191936548304E-3</v>
      </c>
      <c r="W157" s="22">
        <v>-8.9181695986021593E-3</v>
      </c>
      <c r="X157" s="23">
        <v>1.2657807308970099</v>
      </c>
      <c r="Y157" s="23">
        <v>1.3022759807794699</v>
      </c>
      <c r="Z157" s="23">
        <v>1.25930097257581</v>
      </c>
      <c r="AA157" s="23">
        <v>1.25604205428745</v>
      </c>
      <c r="AB157" s="21">
        <v>207.75208721374901</v>
      </c>
      <c r="AC157" s="21">
        <v>200.83648780718201</v>
      </c>
      <c r="AD157" s="21">
        <v>200.13716031970901</v>
      </c>
      <c r="AE157" s="22">
        <v>2.84243777512748E-2</v>
      </c>
      <c r="AF157" s="22">
        <v>-5.4300191936548304E-3</v>
      </c>
      <c r="AG157" s="22">
        <v>-8.9181695986024906E-3</v>
      </c>
      <c r="AI157" s="5"/>
      <c r="AJ157">
        <f t="shared" si="46"/>
        <v>0</v>
      </c>
      <c r="AK157">
        <f t="shared" si="47"/>
        <v>1</v>
      </c>
      <c r="AL157">
        <f t="shared" si="54"/>
        <v>0</v>
      </c>
      <c r="AM157">
        <f t="shared" si="44"/>
        <v>1</v>
      </c>
      <c r="AN157">
        <f t="shared" si="55"/>
        <v>0</v>
      </c>
      <c r="AO157" s="17">
        <f t="shared" si="48"/>
        <v>0</v>
      </c>
      <c r="AP157" s="17">
        <f t="shared" si="49"/>
        <v>0</v>
      </c>
      <c r="AQ157" s="17">
        <f t="shared" si="56"/>
        <v>0</v>
      </c>
      <c r="AR157" s="11">
        <f t="shared" si="57"/>
        <v>1.4029559274908466E-2</v>
      </c>
      <c r="AT157" s="5"/>
      <c r="AU157">
        <f t="shared" si="50"/>
        <v>0</v>
      </c>
      <c r="AV157">
        <f t="shared" si="51"/>
        <v>1</v>
      </c>
      <c r="AW157">
        <f t="shared" si="58"/>
        <v>0</v>
      </c>
      <c r="AX157">
        <f t="shared" si="45"/>
        <v>1</v>
      </c>
      <c r="AY157">
        <f t="shared" si="59"/>
        <v>0</v>
      </c>
      <c r="AZ157" s="17">
        <f t="shared" si="52"/>
        <v>0</v>
      </c>
      <c r="BA157" s="17">
        <f t="shared" si="53"/>
        <v>0</v>
      </c>
      <c r="BB157" s="17">
        <f t="shared" si="60"/>
        <v>0</v>
      </c>
      <c r="BC157" s="11">
        <f t="shared" si="61"/>
        <v>-9.7610425932716047E-3</v>
      </c>
      <c r="BE157" s="11">
        <f t="shared" si="62"/>
        <v>0</v>
      </c>
      <c r="BF157" s="11">
        <f t="shared" si="63"/>
        <v>4.2685166816368615E-3</v>
      </c>
      <c r="BH157" s="11"/>
    </row>
    <row r="158" spans="1:60" x14ac:dyDescent="0.25">
      <c r="A158" s="1">
        <v>46252</v>
      </c>
      <c r="B158" s="21">
        <v>160.11000000000001</v>
      </c>
      <c r="C158" s="21">
        <v>203.56</v>
      </c>
      <c r="D158" s="22">
        <v>3.6290867010570801E-3</v>
      </c>
      <c r="E158" s="22">
        <v>8.0396990299004996E-3</v>
      </c>
      <c r="F158" s="21">
        <v>0</v>
      </c>
      <c r="G158" s="21">
        <v>0.13809399999999999</v>
      </c>
      <c r="H158" s="21">
        <v>0</v>
      </c>
      <c r="I158" s="21">
        <v>0.145592</v>
      </c>
      <c r="J158" s="21">
        <v>0</v>
      </c>
      <c r="K158" s="21">
        <v>0</v>
      </c>
      <c r="L158" s="21">
        <v>160.11000000000001</v>
      </c>
      <c r="M158" s="21">
        <v>203.56</v>
      </c>
      <c r="N158" s="23">
        <v>1.2713759290487701</v>
      </c>
      <c r="O158" s="23">
        <v>1.3022492118915701</v>
      </c>
      <c r="P158" s="23">
        <v>1.26124104111935</v>
      </c>
      <c r="Q158" s="23">
        <v>1.2583454785716099</v>
      </c>
      <c r="R158" s="21">
        <v>208.50312131595999</v>
      </c>
      <c r="S158" s="21">
        <v>201.62667871911401</v>
      </c>
      <c r="T158" s="21">
        <v>201.10489331196399</v>
      </c>
      <c r="U158" s="22">
        <v>2.3993209746505401E-2</v>
      </c>
      <c r="V158" s="22">
        <v>-9.5429393626705397E-3</v>
      </c>
      <c r="W158" s="22">
        <v>-1.2134172508251301E-2</v>
      </c>
      <c r="X158" s="23">
        <v>1.2713759290487701</v>
      </c>
      <c r="Y158" s="23">
        <v>1.3022759807794699</v>
      </c>
      <c r="Z158" s="23">
        <v>1.26124104111935</v>
      </c>
      <c r="AA158" s="23">
        <v>1.2583454785716099</v>
      </c>
      <c r="AB158" s="21">
        <v>208.50740728260101</v>
      </c>
      <c r="AC158" s="21">
        <v>201.62667871911401</v>
      </c>
      <c r="AD158" s="21">
        <v>201.10489331196399</v>
      </c>
      <c r="AE158" s="22">
        <v>2.4013765422431398E-2</v>
      </c>
      <c r="AF158" s="22">
        <v>-9.54293936267042E-3</v>
      </c>
      <c r="AG158" s="22">
        <v>-1.21341725082515E-2</v>
      </c>
      <c r="AI158" s="5"/>
      <c r="AJ158">
        <f t="shared" si="46"/>
        <v>0</v>
      </c>
      <c r="AK158">
        <f t="shared" si="47"/>
        <v>1</v>
      </c>
      <c r="AL158">
        <f t="shared" si="54"/>
        <v>0</v>
      </c>
      <c r="AM158">
        <f t="shared" si="44"/>
        <v>1</v>
      </c>
      <c r="AN158">
        <f t="shared" si="55"/>
        <v>0</v>
      </c>
      <c r="AO158" s="17">
        <f t="shared" si="48"/>
        <v>0</v>
      </c>
      <c r="AP158" s="17">
        <f t="shared" si="49"/>
        <v>0</v>
      </c>
      <c r="AQ158" s="17">
        <f t="shared" si="56"/>
        <v>0</v>
      </c>
      <c r="AR158" s="11">
        <f t="shared" si="57"/>
        <v>1.4029559274908466E-2</v>
      </c>
      <c r="AT158" s="5"/>
      <c r="AU158">
        <f t="shared" si="50"/>
        <v>0</v>
      </c>
      <c r="AV158">
        <f t="shared" si="51"/>
        <v>1</v>
      </c>
      <c r="AW158">
        <f t="shared" si="58"/>
        <v>0</v>
      </c>
      <c r="AX158">
        <f t="shared" si="45"/>
        <v>1</v>
      </c>
      <c r="AY158">
        <f t="shared" si="59"/>
        <v>0</v>
      </c>
      <c r="AZ158" s="17">
        <f t="shared" si="52"/>
        <v>0</v>
      </c>
      <c r="BA158" s="17">
        <f t="shared" si="53"/>
        <v>0</v>
      </c>
      <c r="BB158" s="17">
        <f t="shared" si="60"/>
        <v>0</v>
      </c>
      <c r="BC158" s="11">
        <f t="shared" si="61"/>
        <v>-9.7610425932716047E-3</v>
      </c>
      <c r="BE158" s="11">
        <f t="shared" si="62"/>
        <v>0</v>
      </c>
      <c r="BF158" s="11">
        <f t="shared" si="63"/>
        <v>4.2685166816368615E-3</v>
      </c>
      <c r="BH158" s="11"/>
    </row>
    <row r="159" spans="1:60" x14ac:dyDescent="0.25">
      <c r="A159" s="1">
        <v>46253</v>
      </c>
      <c r="B159" s="21">
        <v>169.55</v>
      </c>
      <c r="C159" s="21">
        <v>216.96</v>
      </c>
      <c r="D159" s="22">
        <v>5.7286789557684403E-2</v>
      </c>
      <c r="E159" s="22">
        <v>6.3752203031398794E-2</v>
      </c>
      <c r="F159" s="21">
        <v>0</v>
      </c>
      <c r="G159" s="21">
        <v>0.13809399999999999</v>
      </c>
      <c r="H159" s="21">
        <v>0</v>
      </c>
      <c r="I159" s="21">
        <v>0.145592</v>
      </c>
      <c r="J159" s="21">
        <v>0</v>
      </c>
      <c r="K159" s="21">
        <v>0</v>
      </c>
      <c r="L159" s="21">
        <v>169.55</v>
      </c>
      <c r="M159" s="21">
        <v>216.96</v>
      </c>
      <c r="N159" s="23">
        <v>1.2796225302270701</v>
      </c>
      <c r="O159" s="23">
        <v>1.3022492118915701</v>
      </c>
      <c r="P159" s="23">
        <v>1.2638520099122701</v>
      </c>
      <c r="Q159" s="23">
        <v>1.26085793109703</v>
      </c>
      <c r="R159" s="21">
        <v>220.79635387621599</v>
      </c>
      <c r="S159" s="21">
        <v>213.84341852178699</v>
      </c>
      <c r="T159" s="21">
        <v>213.352475891816</v>
      </c>
      <c r="U159" s="22">
        <v>1.7527796272791E-2</v>
      </c>
      <c r="V159" s="22">
        <v>-1.4468946695859901E-2</v>
      </c>
      <c r="W159" s="22">
        <v>-1.6767390349094299E-2</v>
      </c>
      <c r="X159" s="23">
        <v>1.2796225302270701</v>
      </c>
      <c r="Y159" s="23">
        <v>1.3022759807794699</v>
      </c>
      <c r="Z159" s="23">
        <v>1.2638520099122701</v>
      </c>
      <c r="AA159" s="23">
        <v>1.26085793109703</v>
      </c>
      <c r="AB159" s="21">
        <v>220.80089254115899</v>
      </c>
      <c r="AC159" s="21">
        <v>213.84341852178699</v>
      </c>
      <c r="AD159" s="21">
        <v>213.352475891816</v>
      </c>
      <c r="AE159" s="22">
        <v>1.7548351948717001E-2</v>
      </c>
      <c r="AF159" s="22">
        <v>-1.4468946695859901E-2</v>
      </c>
      <c r="AG159" s="22">
        <v>-1.6767390349094299E-2</v>
      </c>
      <c r="AI159" s="5"/>
      <c r="AJ159">
        <f t="shared" si="46"/>
        <v>0</v>
      </c>
      <c r="AK159">
        <f t="shared" si="47"/>
        <v>0</v>
      </c>
      <c r="AL159">
        <f t="shared" si="54"/>
        <v>0</v>
      </c>
      <c r="AM159">
        <f t="shared" si="44"/>
        <v>1</v>
      </c>
      <c r="AN159">
        <f t="shared" si="55"/>
        <v>0</v>
      </c>
      <c r="AO159" s="17">
        <f t="shared" si="48"/>
        <v>0</v>
      </c>
      <c r="AP159" s="17">
        <f t="shared" si="49"/>
        <v>0</v>
      </c>
      <c r="AQ159" s="17">
        <f t="shared" si="56"/>
        <v>0</v>
      </c>
      <c r="AR159" s="11">
        <f t="shared" si="57"/>
        <v>1.4029559274908466E-2</v>
      </c>
      <c r="AT159" s="5"/>
      <c r="AU159">
        <f t="shared" si="50"/>
        <v>0</v>
      </c>
      <c r="AV159">
        <f t="shared" si="51"/>
        <v>1</v>
      </c>
      <c r="AW159">
        <f t="shared" si="58"/>
        <v>0</v>
      </c>
      <c r="AX159">
        <f t="shared" si="45"/>
        <v>1</v>
      </c>
      <c r="AY159">
        <f t="shared" si="59"/>
        <v>0</v>
      </c>
      <c r="AZ159" s="17">
        <f t="shared" si="52"/>
        <v>0</v>
      </c>
      <c r="BA159" s="17">
        <f t="shared" si="53"/>
        <v>0</v>
      </c>
      <c r="BB159" s="17">
        <f t="shared" si="60"/>
        <v>0</v>
      </c>
      <c r="BC159" s="11">
        <f t="shared" si="61"/>
        <v>-9.7610425932716047E-3</v>
      </c>
      <c r="BE159" s="11">
        <f t="shared" si="62"/>
        <v>0</v>
      </c>
      <c r="BF159" s="11">
        <f t="shared" si="63"/>
        <v>4.2685166816368615E-3</v>
      </c>
      <c r="BH159" s="11"/>
    </row>
    <row r="160" spans="1:60" x14ac:dyDescent="0.25">
      <c r="A160" s="1">
        <v>46254</v>
      </c>
      <c r="B160" s="21">
        <v>163.38</v>
      </c>
      <c r="C160" s="21">
        <v>210.83</v>
      </c>
      <c r="D160" s="22">
        <v>-3.70690926579244E-2</v>
      </c>
      <c r="E160" s="22">
        <v>-2.8660883220128702E-2</v>
      </c>
      <c r="F160" s="21">
        <v>0</v>
      </c>
      <c r="G160" s="21">
        <v>0.13809399999999999</v>
      </c>
      <c r="H160" s="21">
        <v>0</v>
      </c>
      <c r="I160" s="21">
        <v>0.145592</v>
      </c>
      <c r="J160" s="21">
        <v>0</v>
      </c>
      <c r="K160" s="21">
        <v>0</v>
      </c>
      <c r="L160" s="21">
        <v>163.38</v>
      </c>
      <c r="M160" s="21">
        <v>210.83</v>
      </c>
      <c r="N160" s="23">
        <v>1.2904272248745201</v>
      </c>
      <c r="O160" s="23">
        <v>1.3022492118915701</v>
      </c>
      <c r="P160" s="23">
        <v>1.2679950560243201</v>
      </c>
      <c r="Q160" s="23">
        <v>1.26330874120103</v>
      </c>
      <c r="R160" s="21">
        <v>212.76147623884501</v>
      </c>
      <c r="S160" s="21">
        <v>206.48814137946701</v>
      </c>
      <c r="T160" s="21">
        <v>205.998968782633</v>
      </c>
      <c r="U160" s="22">
        <v>9.1195868349953097E-3</v>
      </c>
      <c r="V160" s="22">
        <v>-2.08091375136061E-2</v>
      </c>
      <c r="W160" s="22">
        <v>-2.3180958664397299E-2</v>
      </c>
      <c r="X160" s="23">
        <v>1.2904272248745201</v>
      </c>
      <c r="Y160" s="23">
        <v>1.3022759807794699</v>
      </c>
      <c r="Z160" s="23">
        <v>1.2679950560243201</v>
      </c>
      <c r="AA160" s="23">
        <v>1.26330874120103</v>
      </c>
      <c r="AB160" s="21">
        <v>212.76584973975</v>
      </c>
      <c r="AC160" s="21">
        <v>206.48814137946701</v>
      </c>
      <c r="AD160" s="21">
        <v>205.998968782633</v>
      </c>
      <c r="AE160" s="22">
        <v>9.1401425109212502E-3</v>
      </c>
      <c r="AF160" s="22">
        <v>-2.0809137513606201E-2</v>
      </c>
      <c r="AG160" s="22">
        <v>-2.3180958664397299E-2</v>
      </c>
      <c r="AI160" s="5"/>
      <c r="AJ160">
        <f t="shared" si="46"/>
        <v>0</v>
      </c>
      <c r="AK160">
        <f t="shared" si="47"/>
        <v>0</v>
      </c>
      <c r="AL160">
        <f t="shared" si="54"/>
        <v>0</v>
      </c>
      <c r="AM160">
        <f t="shared" si="44"/>
        <v>1</v>
      </c>
      <c r="AN160">
        <f t="shared" si="55"/>
        <v>0</v>
      </c>
      <c r="AO160" s="17">
        <f t="shared" si="48"/>
        <v>0</v>
      </c>
      <c r="AP160" s="17">
        <f t="shared" si="49"/>
        <v>0</v>
      </c>
      <c r="AQ160" s="17">
        <f t="shared" si="56"/>
        <v>0</v>
      </c>
      <c r="AR160" s="11">
        <f t="shared" si="57"/>
        <v>1.4029559274908466E-2</v>
      </c>
      <c r="AT160" s="5"/>
      <c r="AU160">
        <f t="shared" si="50"/>
        <v>0</v>
      </c>
      <c r="AV160">
        <f t="shared" si="51"/>
        <v>1</v>
      </c>
      <c r="AW160">
        <f t="shared" si="58"/>
        <v>0</v>
      </c>
      <c r="AX160">
        <f t="shared" si="45"/>
        <v>1</v>
      </c>
      <c r="AY160">
        <f t="shared" si="59"/>
        <v>0</v>
      </c>
      <c r="AZ160" s="17">
        <f t="shared" si="52"/>
        <v>0</v>
      </c>
      <c r="BA160" s="17">
        <f t="shared" si="53"/>
        <v>0</v>
      </c>
      <c r="BB160" s="17">
        <f t="shared" si="60"/>
        <v>0</v>
      </c>
      <c r="BC160" s="11">
        <f t="shared" si="61"/>
        <v>-9.7610425932716047E-3</v>
      </c>
      <c r="BE160" s="11">
        <f t="shared" si="62"/>
        <v>0</v>
      </c>
      <c r="BF160" s="11">
        <f t="shared" si="63"/>
        <v>4.2685166816368615E-3</v>
      </c>
      <c r="BH160" s="11"/>
    </row>
    <row r="161" spans="1:60" x14ac:dyDescent="0.25">
      <c r="A161" s="1">
        <v>46255</v>
      </c>
      <c r="B161" s="21">
        <v>165.73</v>
      </c>
      <c r="C161" s="21">
        <v>213.56</v>
      </c>
      <c r="D161" s="22">
        <v>1.4281182221729199E-2</v>
      </c>
      <c r="E161" s="22">
        <v>1.2865702100083301E-2</v>
      </c>
      <c r="F161" s="21">
        <v>0</v>
      </c>
      <c r="G161" s="21">
        <v>0.13809399999999999</v>
      </c>
      <c r="H161" s="21">
        <v>0</v>
      </c>
      <c r="I161" s="21">
        <v>0.145592</v>
      </c>
      <c r="J161" s="21">
        <v>0</v>
      </c>
      <c r="K161" s="21">
        <v>0</v>
      </c>
      <c r="L161" s="21">
        <v>165.73</v>
      </c>
      <c r="M161" s="21">
        <v>213.56</v>
      </c>
      <c r="N161" s="23">
        <v>1.2886019429191999</v>
      </c>
      <c r="O161" s="23">
        <v>1.3022492118915701</v>
      </c>
      <c r="P161" s="23">
        <v>1.2712213937997501</v>
      </c>
      <c r="Q161" s="23">
        <v>1.26522554754423</v>
      </c>
      <c r="R161" s="21">
        <v>215.82176188679</v>
      </c>
      <c r="S161" s="21">
        <v>210.14482063491101</v>
      </c>
      <c r="T161" s="21">
        <v>209.36815767924699</v>
      </c>
      <c r="U161" s="22">
        <v>1.0535066956641101E-2</v>
      </c>
      <c r="V161" s="22">
        <v>-1.6120908523545301E-2</v>
      </c>
      <c r="W161" s="22">
        <v>-1.9823601327554501E-2</v>
      </c>
      <c r="X161" s="23">
        <v>1.2886019429191999</v>
      </c>
      <c r="Y161" s="23">
        <v>1.3022759807794699</v>
      </c>
      <c r="Z161" s="23">
        <v>1.2712213937997501</v>
      </c>
      <c r="AA161" s="23">
        <v>1.26522554754423</v>
      </c>
      <c r="AB161" s="21">
        <v>215.82619829458201</v>
      </c>
      <c r="AC161" s="21">
        <v>210.14482063491101</v>
      </c>
      <c r="AD161" s="21">
        <v>209.36815767924699</v>
      </c>
      <c r="AE161" s="22">
        <v>1.0555622632566999E-2</v>
      </c>
      <c r="AF161" s="22">
        <v>-1.6120908523545401E-2</v>
      </c>
      <c r="AG161" s="22">
        <v>-1.9823601327554501E-2</v>
      </c>
      <c r="AI161" s="5"/>
      <c r="AJ161">
        <f t="shared" si="46"/>
        <v>0</v>
      </c>
      <c r="AK161">
        <f t="shared" si="47"/>
        <v>0</v>
      </c>
      <c r="AL161">
        <f t="shared" si="54"/>
        <v>0</v>
      </c>
      <c r="AM161">
        <f t="shared" si="44"/>
        <v>1</v>
      </c>
      <c r="AN161">
        <f t="shared" si="55"/>
        <v>0</v>
      </c>
      <c r="AO161" s="17">
        <f t="shared" si="48"/>
        <v>0</v>
      </c>
      <c r="AP161" s="17">
        <f t="shared" si="49"/>
        <v>0</v>
      </c>
      <c r="AQ161" s="17">
        <f t="shared" si="56"/>
        <v>0</v>
      </c>
      <c r="AR161" s="11">
        <f t="shared" si="57"/>
        <v>1.4029559274908466E-2</v>
      </c>
      <c r="AT161" s="5"/>
      <c r="AU161">
        <f t="shared" si="50"/>
        <v>0</v>
      </c>
      <c r="AV161">
        <f t="shared" si="51"/>
        <v>1</v>
      </c>
      <c r="AW161">
        <f t="shared" si="58"/>
        <v>0</v>
      </c>
      <c r="AX161">
        <f t="shared" si="45"/>
        <v>1</v>
      </c>
      <c r="AY161">
        <f t="shared" si="59"/>
        <v>0</v>
      </c>
      <c r="AZ161" s="17">
        <f t="shared" si="52"/>
        <v>0</v>
      </c>
      <c r="BA161" s="17">
        <f t="shared" si="53"/>
        <v>0</v>
      </c>
      <c r="BB161" s="17">
        <f t="shared" si="60"/>
        <v>0</v>
      </c>
      <c r="BC161" s="11">
        <f t="shared" si="61"/>
        <v>-9.7610425932716047E-3</v>
      </c>
      <c r="BE161" s="11">
        <f t="shared" si="62"/>
        <v>0</v>
      </c>
      <c r="BF161" s="11">
        <f t="shared" si="63"/>
        <v>4.2685166816368615E-3</v>
      </c>
      <c r="BH161" s="11"/>
    </row>
    <row r="162" spans="1:60" x14ac:dyDescent="0.25">
      <c r="A162" s="1">
        <v>46258</v>
      </c>
      <c r="B162" s="21">
        <v>164.17</v>
      </c>
      <c r="C162" s="21">
        <v>212.53</v>
      </c>
      <c r="D162" s="22">
        <v>-9.4574818290257198E-3</v>
      </c>
      <c r="E162" s="22">
        <v>-4.8346687613858297E-3</v>
      </c>
      <c r="F162" s="21">
        <v>0</v>
      </c>
      <c r="G162" s="21">
        <v>0.13809399999999999</v>
      </c>
      <c r="H162" s="21">
        <v>0</v>
      </c>
      <c r="I162" s="21">
        <v>0.145592</v>
      </c>
      <c r="J162" s="21">
        <v>0</v>
      </c>
      <c r="K162" s="21">
        <v>0</v>
      </c>
      <c r="L162" s="21">
        <v>164.17</v>
      </c>
      <c r="M162" s="21">
        <v>212.53</v>
      </c>
      <c r="N162" s="23">
        <v>1.2945726990314901</v>
      </c>
      <c r="O162" s="23">
        <v>1.3022492118915701</v>
      </c>
      <c r="P162" s="23">
        <v>1.2741077594442101</v>
      </c>
      <c r="Q162" s="23">
        <v>1.2674234699650899</v>
      </c>
      <c r="R162" s="21">
        <v>213.790253116239</v>
      </c>
      <c r="S162" s="21">
        <v>208.69641622010499</v>
      </c>
      <c r="T162" s="21">
        <v>207.71207814033599</v>
      </c>
      <c r="U162" s="22">
        <v>5.9122538890011098E-3</v>
      </c>
      <c r="V162" s="22">
        <v>-1.8202512855796198E-2</v>
      </c>
      <c r="W162" s="22">
        <v>-2.29302738240303E-2</v>
      </c>
      <c r="X162" s="23">
        <v>1.2945726990314901</v>
      </c>
      <c r="Y162" s="23">
        <v>1.3022759807794699</v>
      </c>
      <c r="Z162" s="23">
        <v>1.2741077594442101</v>
      </c>
      <c r="AA162" s="23">
        <v>1.2674234699650899</v>
      </c>
      <c r="AB162" s="21">
        <v>213.79464776456601</v>
      </c>
      <c r="AC162" s="21">
        <v>208.69641622010499</v>
      </c>
      <c r="AD162" s="21">
        <v>207.71207814033599</v>
      </c>
      <c r="AE162" s="22">
        <v>5.9328095649272203E-3</v>
      </c>
      <c r="AF162" s="22">
        <v>-1.82025128557959E-2</v>
      </c>
      <c r="AG162" s="22">
        <v>-2.29302738240303E-2</v>
      </c>
      <c r="AI162" s="5"/>
      <c r="AJ162">
        <f t="shared" si="46"/>
        <v>0</v>
      </c>
      <c r="AK162">
        <f t="shared" si="47"/>
        <v>0</v>
      </c>
      <c r="AL162">
        <f t="shared" si="54"/>
        <v>0</v>
      </c>
      <c r="AM162">
        <f t="shared" si="44"/>
        <v>1</v>
      </c>
      <c r="AN162">
        <f t="shared" si="55"/>
        <v>0</v>
      </c>
      <c r="AO162" s="17">
        <f t="shared" si="48"/>
        <v>0</v>
      </c>
      <c r="AP162" s="17">
        <f t="shared" si="49"/>
        <v>0</v>
      </c>
      <c r="AQ162" s="17">
        <f t="shared" si="56"/>
        <v>0</v>
      </c>
      <c r="AR162" s="11">
        <f t="shared" si="57"/>
        <v>1.4029559274908466E-2</v>
      </c>
      <c r="AT162" s="5"/>
      <c r="AU162">
        <f t="shared" si="50"/>
        <v>0</v>
      </c>
      <c r="AV162">
        <f t="shared" si="51"/>
        <v>1</v>
      </c>
      <c r="AW162">
        <f t="shared" si="58"/>
        <v>0</v>
      </c>
      <c r="AX162">
        <f t="shared" si="45"/>
        <v>1</v>
      </c>
      <c r="AY162">
        <f t="shared" si="59"/>
        <v>0</v>
      </c>
      <c r="AZ162" s="17">
        <f t="shared" si="52"/>
        <v>0</v>
      </c>
      <c r="BA162" s="17">
        <f t="shared" si="53"/>
        <v>0</v>
      </c>
      <c r="BB162" s="17">
        <f t="shared" si="60"/>
        <v>0</v>
      </c>
      <c r="BC162" s="11">
        <f t="shared" si="61"/>
        <v>-9.7610425932716047E-3</v>
      </c>
      <c r="BE162" s="11">
        <f t="shared" si="62"/>
        <v>0</v>
      </c>
      <c r="BF162" s="11">
        <f t="shared" si="63"/>
        <v>4.2685166816368615E-3</v>
      </c>
      <c r="BH162" s="11"/>
    </row>
    <row r="163" spans="1:60" x14ac:dyDescent="0.25">
      <c r="A163" s="1">
        <v>46259</v>
      </c>
      <c r="B163" s="21">
        <v>169.1</v>
      </c>
      <c r="C163" s="21">
        <v>216.4</v>
      </c>
      <c r="D163" s="22">
        <v>2.95877795981077E-2</v>
      </c>
      <c r="E163" s="22">
        <v>1.8045392101726801E-2</v>
      </c>
      <c r="F163" s="21">
        <v>0</v>
      </c>
      <c r="G163" s="21">
        <v>0.13809399999999999</v>
      </c>
      <c r="H163" s="21">
        <v>0</v>
      </c>
      <c r="I163" s="21">
        <v>0.145592</v>
      </c>
      <c r="J163" s="21">
        <v>0</v>
      </c>
      <c r="K163" s="21">
        <v>0</v>
      </c>
      <c r="L163" s="21">
        <v>169.1</v>
      </c>
      <c r="M163" s="21">
        <v>216.4</v>
      </c>
      <c r="N163" s="23">
        <v>1.27971614429331</v>
      </c>
      <c r="O163" s="23">
        <v>1.3022492118915701</v>
      </c>
      <c r="P163" s="23">
        <v>1.27571763540325</v>
      </c>
      <c r="Q163" s="23">
        <v>1.26780933059143</v>
      </c>
      <c r="R163" s="21">
        <v>220.210341730865</v>
      </c>
      <c r="S163" s="21">
        <v>215.451622122017</v>
      </c>
      <c r="T163" s="21">
        <v>214.32130877109699</v>
      </c>
      <c r="U163" s="22">
        <v>1.7454641385382001E-2</v>
      </c>
      <c r="V163" s="22">
        <v>-4.3921539436156502E-3</v>
      </c>
      <c r="W163" s="22">
        <v>-9.65221513322264E-3</v>
      </c>
      <c r="X163" s="23">
        <v>1.27971614429331</v>
      </c>
      <c r="Y163" s="23">
        <v>1.3022759807794699</v>
      </c>
      <c r="Z163" s="23">
        <v>1.27571763540325</v>
      </c>
      <c r="AA163" s="23">
        <v>1.26780933059143</v>
      </c>
      <c r="AB163" s="21">
        <v>220.214868349809</v>
      </c>
      <c r="AC163" s="21">
        <v>215.451622122017</v>
      </c>
      <c r="AD163" s="21">
        <v>214.32130877109699</v>
      </c>
      <c r="AE163" s="22">
        <v>1.7475197061308099E-2</v>
      </c>
      <c r="AF163" s="22">
        <v>-4.3921539436156502E-3</v>
      </c>
      <c r="AG163" s="22">
        <v>-9.6522151332225307E-3</v>
      </c>
      <c r="AI163" s="5"/>
      <c r="AJ163">
        <f t="shared" si="46"/>
        <v>0</v>
      </c>
      <c r="AK163">
        <f t="shared" si="47"/>
        <v>1</v>
      </c>
      <c r="AL163">
        <f t="shared" si="54"/>
        <v>0</v>
      </c>
      <c r="AM163">
        <f t="shared" si="44"/>
        <v>1</v>
      </c>
      <c r="AN163">
        <f t="shared" si="55"/>
        <v>0</v>
      </c>
      <c r="AO163" s="17">
        <f t="shared" si="48"/>
        <v>0</v>
      </c>
      <c r="AP163" s="17">
        <f t="shared" si="49"/>
        <v>0</v>
      </c>
      <c r="AQ163" s="17">
        <f t="shared" si="56"/>
        <v>0</v>
      </c>
      <c r="AR163" s="11">
        <f t="shared" si="57"/>
        <v>1.4029559274908466E-2</v>
      </c>
      <c r="AT163" s="5"/>
      <c r="AU163">
        <f t="shared" si="50"/>
        <v>0</v>
      </c>
      <c r="AV163">
        <f t="shared" si="51"/>
        <v>1</v>
      </c>
      <c r="AW163">
        <f t="shared" si="58"/>
        <v>0</v>
      </c>
      <c r="AX163">
        <f t="shared" si="45"/>
        <v>1</v>
      </c>
      <c r="AY163">
        <f t="shared" si="59"/>
        <v>0</v>
      </c>
      <c r="AZ163" s="17">
        <f t="shared" si="52"/>
        <v>0</v>
      </c>
      <c r="BA163" s="17">
        <f t="shared" si="53"/>
        <v>0</v>
      </c>
      <c r="BB163" s="17">
        <f t="shared" si="60"/>
        <v>0</v>
      </c>
      <c r="BC163" s="11">
        <f t="shared" si="61"/>
        <v>-9.7610425932716047E-3</v>
      </c>
      <c r="BE163" s="11">
        <f t="shared" si="62"/>
        <v>0</v>
      </c>
      <c r="BF163" s="11">
        <f t="shared" si="63"/>
        <v>4.2685166816368615E-3</v>
      </c>
      <c r="BH163" s="11"/>
    </row>
    <row r="164" spans="1:60" x14ac:dyDescent="0.25">
      <c r="A164" s="1">
        <v>46260</v>
      </c>
      <c r="B164" s="21">
        <v>168.39</v>
      </c>
      <c r="C164" s="21">
        <v>215.23</v>
      </c>
      <c r="D164" s="22">
        <v>-4.2075382823169999E-3</v>
      </c>
      <c r="E164" s="22">
        <v>-5.4213231962387497E-3</v>
      </c>
      <c r="F164" s="21">
        <v>0</v>
      </c>
      <c r="G164" s="21">
        <v>0.13809399999999999</v>
      </c>
      <c r="H164" s="21">
        <v>0</v>
      </c>
      <c r="I164" s="21">
        <v>0.145592</v>
      </c>
      <c r="J164" s="21">
        <v>0</v>
      </c>
      <c r="K164" s="21">
        <v>0</v>
      </c>
      <c r="L164" s="21">
        <v>168.39</v>
      </c>
      <c r="M164" s="21">
        <v>215.23</v>
      </c>
      <c r="N164" s="23">
        <v>1.2781637864481199</v>
      </c>
      <c r="O164" s="23">
        <v>1.3022492118915701</v>
      </c>
      <c r="P164" s="23">
        <v>1.2776039055092601</v>
      </c>
      <c r="Q164" s="23">
        <v>1.2679861968119499</v>
      </c>
      <c r="R164" s="21">
        <v>219.285744790422</v>
      </c>
      <c r="S164" s="21">
        <v>214.81809262555299</v>
      </c>
      <c r="T164" s="21">
        <v>213.486413178291</v>
      </c>
      <c r="U164" s="22">
        <v>1.8668426299303799E-2</v>
      </c>
      <c r="V164" s="22">
        <v>-1.91563458819121E-3</v>
      </c>
      <c r="W164" s="22">
        <v>-8.1340316415992198E-3</v>
      </c>
      <c r="X164" s="23">
        <v>1.2781637864481199</v>
      </c>
      <c r="Y164" s="23">
        <v>1.3022759807794699</v>
      </c>
      <c r="Z164" s="23">
        <v>1.2776039055092601</v>
      </c>
      <c r="AA164" s="23">
        <v>1.2679861968119499</v>
      </c>
      <c r="AB164" s="21">
        <v>219.29025240345501</v>
      </c>
      <c r="AC164" s="21">
        <v>214.81809262555299</v>
      </c>
      <c r="AD164" s="21">
        <v>213.486413178291</v>
      </c>
      <c r="AE164" s="22">
        <v>1.86889819752298E-2</v>
      </c>
      <c r="AF164" s="22">
        <v>-1.9156345881913199E-3</v>
      </c>
      <c r="AG164" s="22">
        <v>-8.1340316415992198E-3</v>
      </c>
      <c r="AI164" s="5"/>
      <c r="AJ164">
        <f t="shared" si="46"/>
        <v>0</v>
      </c>
      <c r="AK164">
        <f t="shared" si="47"/>
        <v>1</v>
      </c>
      <c r="AL164">
        <f t="shared" si="54"/>
        <v>0</v>
      </c>
      <c r="AM164">
        <f t="shared" si="44"/>
        <v>1</v>
      </c>
      <c r="AN164">
        <f t="shared" si="55"/>
        <v>0</v>
      </c>
      <c r="AO164" s="17">
        <f t="shared" si="48"/>
        <v>0</v>
      </c>
      <c r="AP164" s="17">
        <f t="shared" si="49"/>
        <v>0</v>
      </c>
      <c r="AQ164" s="17">
        <f t="shared" si="56"/>
        <v>0</v>
      </c>
      <c r="AR164" s="11">
        <f t="shared" si="57"/>
        <v>1.4029559274908466E-2</v>
      </c>
      <c r="AT164" s="5"/>
      <c r="AU164">
        <f t="shared" si="50"/>
        <v>0</v>
      </c>
      <c r="AV164">
        <f t="shared" si="51"/>
        <v>1</v>
      </c>
      <c r="AW164">
        <f t="shared" si="58"/>
        <v>0</v>
      </c>
      <c r="AX164">
        <f t="shared" si="45"/>
        <v>1</v>
      </c>
      <c r="AY164">
        <f t="shared" si="59"/>
        <v>0</v>
      </c>
      <c r="AZ164" s="17">
        <f t="shared" si="52"/>
        <v>0</v>
      </c>
      <c r="BA164" s="17">
        <f t="shared" si="53"/>
        <v>0</v>
      </c>
      <c r="BB164" s="17">
        <f t="shared" si="60"/>
        <v>0</v>
      </c>
      <c r="BC164" s="11">
        <f t="shared" si="61"/>
        <v>-9.7610425932716047E-3</v>
      </c>
      <c r="BE164" s="11">
        <f t="shared" si="62"/>
        <v>0</v>
      </c>
      <c r="BF164" s="11">
        <f t="shared" si="63"/>
        <v>4.2685166816368615E-3</v>
      </c>
      <c r="BH164" s="11"/>
    </row>
    <row r="165" spans="1:60" x14ac:dyDescent="0.25">
      <c r="A165" s="1">
        <v>46261</v>
      </c>
      <c r="B165" s="21">
        <v>168.23</v>
      </c>
      <c r="C165" s="21">
        <v>214.8</v>
      </c>
      <c r="D165" s="22">
        <v>-9.5062689114854297E-4</v>
      </c>
      <c r="E165" s="22">
        <v>-1.9998611413780398E-3</v>
      </c>
      <c r="F165" s="21">
        <v>0</v>
      </c>
      <c r="G165" s="21">
        <v>0.13809399999999999</v>
      </c>
      <c r="H165" s="21">
        <v>0</v>
      </c>
      <c r="I165" s="21">
        <v>0.145592</v>
      </c>
      <c r="J165" s="21">
        <v>0</v>
      </c>
      <c r="K165" s="21">
        <v>0</v>
      </c>
      <c r="L165" s="21">
        <v>168.23</v>
      </c>
      <c r="M165" s="21">
        <v>214.8</v>
      </c>
      <c r="N165" s="23">
        <v>1.2768233965404501</v>
      </c>
      <c r="O165" s="23">
        <v>1.3022492118915701</v>
      </c>
      <c r="P165" s="23">
        <v>1.27845977570009</v>
      </c>
      <c r="Q165" s="23">
        <v>1.26911774033499</v>
      </c>
      <c r="R165" s="21">
        <v>219.07738491651901</v>
      </c>
      <c r="S165" s="21">
        <v>214.93130502382201</v>
      </c>
      <c r="T165" s="21">
        <v>213.31331788967401</v>
      </c>
      <c r="U165" s="22">
        <v>1.9717660549533299E-2</v>
      </c>
      <c r="V165" s="22">
        <v>6.11102921169922E-4</v>
      </c>
      <c r="W165" s="22">
        <v>-6.9453017428480496E-3</v>
      </c>
      <c r="X165" s="23">
        <v>1.2768233965404501</v>
      </c>
      <c r="Y165" s="23">
        <v>1.3022759807794699</v>
      </c>
      <c r="Z165" s="23">
        <v>1.27845977570009</v>
      </c>
      <c r="AA165" s="23">
        <v>1.26911774033499</v>
      </c>
      <c r="AB165" s="21">
        <v>219.08188824653001</v>
      </c>
      <c r="AC165" s="21">
        <v>214.93130502382201</v>
      </c>
      <c r="AD165" s="21">
        <v>213.31331788967401</v>
      </c>
      <c r="AE165" s="22">
        <v>1.97382162254593E-2</v>
      </c>
      <c r="AF165" s="22">
        <v>6.11102921169922E-4</v>
      </c>
      <c r="AG165" s="22">
        <v>-6.9453017428481598E-3</v>
      </c>
      <c r="AI165" s="5"/>
      <c r="AJ165">
        <f t="shared" si="46"/>
        <v>0</v>
      </c>
      <c r="AK165">
        <f t="shared" si="47"/>
        <v>1</v>
      </c>
      <c r="AL165">
        <f t="shared" si="54"/>
        <v>0</v>
      </c>
      <c r="AM165">
        <f t="shared" si="44"/>
        <v>1</v>
      </c>
      <c r="AN165">
        <f t="shared" si="55"/>
        <v>0</v>
      </c>
      <c r="AO165" s="17">
        <f t="shared" si="48"/>
        <v>0</v>
      </c>
      <c r="AP165" s="17">
        <f t="shared" si="49"/>
        <v>0</v>
      </c>
      <c r="AQ165" s="17">
        <f t="shared" si="56"/>
        <v>0</v>
      </c>
      <c r="AR165" s="11">
        <f t="shared" si="57"/>
        <v>1.4029559274908466E-2</v>
      </c>
      <c r="AT165" s="5"/>
      <c r="AU165">
        <f t="shared" si="50"/>
        <v>0</v>
      </c>
      <c r="AV165">
        <f t="shared" si="51"/>
        <v>1</v>
      </c>
      <c r="AW165">
        <f t="shared" si="58"/>
        <v>0</v>
      </c>
      <c r="AX165">
        <f t="shared" si="45"/>
        <v>1</v>
      </c>
      <c r="AY165">
        <f t="shared" si="59"/>
        <v>0</v>
      </c>
      <c r="AZ165" s="17">
        <f t="shared" si="52"/>
        <v>0</v>
      </c>
      <c r="BA165" s="17">
        <f t="shared" si="53"/>
        <v>0</v>
      </c>
      <c r="BB165" s="17">
        <f t="shared" si="60"/>
        <v>0</v>
      </c>
      <c r="BC165" s="11">
        <f t="shared" si="61"/>
        <v>-9.7610425932716047E-3</v>
      </c>
      <c r="BE165" s="11">
        <f t="shared" si="62"/>
        <v>0</v>
      </c>
      <c r="BF165" s="11">
        <f t="shared" si="63"/>
        <v>4.2685166816368615E-3</v>
      </c>
      <c r="BH165" s="11"/>
    </row>
    <row r="166" spans="1:60" x14ac:dyDescent="0.25">
      <c r="A166" s="1">
        <v>46262</v>
      </c>
      <c r="B166" s="21">
        <v>162.38</v>
      </c>
      <c r="C166" s="21">
        <v>208.95</v>
      </c>
      <c r="D166" s="22">
        <v>-3.53928232967686E-2</v>
      </c>
      <c r="E166" s="22">
        <v>-2.76123737407853E-2</v>
      </c>
      <c r="F166" s="21">
        <v>0</v>
      </c>
      <c r="G166" s="21">
        <v>0.13809399999999999</v>
      </c>
      <c r="H166" s="21">
        <v>0</v>
      </c>
      <c r="I166" s="21">
        <v>0.145592</v>
      </c>
      <c r="J166" s="21">
        <v>0</v>
      </c>
      <c r="K166" s="21">
        <v>0</v>
      </c>
      <c r="L166" s="21">
        <v>162.38</v>
      </c>
      <c r="M166" s="21">
        <v>208.95</v>
      </c>
      <c r="N166" s="23">
        <v>1.28679640349796</v>
      </c>
      <c r="O166" s="23">
        <v>1.3022492118915701</v>
      </c>
      <c r="P166" s="23">
        <v>1.2811880787777901</v>
      </c>
      <c r="Q166" s="23">
        <v>1.2700571115608399</v>
      </c>
      <c r="R166" s="21">
        <v>211.45922702695299</v>
      </c>
      <c r="S166" s="21">
        <v>207.59629837817999</v>
      </c>
      <c r="T166" s="21">
        <v>206.079338675597</v>
      </c>
      <c r="U166" s="22">
        <v>1.19372109935501E-2</v>
      </c>
      <c r="V166" s="22">
        <v>-6.4996683094199299E-3</v>
      </c>
      <c r="W166" s="22">
        <v>-1.383375504948E-2</v>
      </c>
      <c r="X166" s="23">
        <v>1.28679640349796</v>
      </c>
      <c r="Y166" s="23">
        <v>1.3022759807794699</v>
      </c>
      <c r="Z166" s="23">
        <v>1.2811880787777901</v>
      </c>
      <c r="AA166" s="23">
        <v>1.2700571115608399</v>
      </c>
      <c r="AB166" s="21">
        <v>211.46357375897099</v>
      </c>
      <c r="AC166" s="21">
        <v>207.59629837817999</v>
      </c>
      <c r="AD166" s="21">
        <v>206.079338675597</v>
      </c>
      <c r="AE166" s="22">
        <v>1.1957766669476001E-2</v>
      </c>
      <c r="AF166" s="22">
        <v>-6.4996683094199299E-3</v>
      </c>
      <c r="AG166" s="22">
        <v>-1.3833755049480201E-2</v>
      </c>
      <c r="AI166" s="5"/>
      <c r="AJ166">
        <f t="shared" si="46"/>
        <v>0</v>
      </c>
      <c r="AK166">
        <f t="shared" si="47"/>
        <v>1</v>
      </c>
      <c r="AL166">
        <f t="shared" si="54"/>
        <v>0</v>
      </c>
      <c r="AM166">
        <f t="shared" si="44"/>
        <v>1</v>
      </c>
      <c r="AN166">
        <f t="shared" si="55"/>
        <v>0</v>
      </c>
      <c r="AO166" s="17">
        <f t="shared" si="48"/>
        <v>0</v>
      </c>
      <c r="AP166" s="17">
        <f t="shared" si="49"/>
        <v>0</v>
      </c>
      <c r="AQ166" s="17">
        <f t="shared" si="56"/>
        <v>0</v>
      </c>
      <c r="AR166" s="11">
        <f t="shared" si="57"/>
        <v>1.4029559274908466E-2</v>
      </c>
      <c r="AT166" s="5"/>
      <c r="AU166">
        <f t="shared" si="50"/>
        <v>0</v>
      </c>
      <c r="AV166">
        <f t="shared" si="51"/>
        <v>1</v>
      </c>
      <c r="AW166">
        <f t="shared" si="58"/>
        <v>0</v>
      </c>
      <c r="AX166">
        <f t="shared" si="45"/>
        <v>1</v>
      </c>
      <c r="AY166">
        <f t="shared" si="59"/>
        <v>0</v>
      </c>
      <c r="AZ166" s="17">
        <f t="shared" si="52"/>
        <v>0</v>
      </c>
      <c r="BA166" s="17">
        <f t="shared" si="53"/>
        <v>0</v>
      </c>
      <c r="BB166" s="17">
        <f t="shared" si="60"/>
        <v>0</v>
      </c>
      <c r="BC166" s="11">
        <f t="shared" si="61"/>
        <v>-9.7610425932716047E-3</v>
      </c>
      <c r="BE166" s="11">
        <f t="shared" si="62"/>
        <v>0</v>
      </c>
      <c r="BF166" s="11">
        <f t="shared" si="63"/>
        <v>4.2685166816368615E-3</v>
      </c>
      <c r="BH166" s="11"/>
    </row>
    <row r="167" spans="1:60" x14ac:dyDescent="0.25">
      <c r="A167" s="1">
        <v>46265</v>
      </c>
      <c r="B167" s="21">
        <v>162.5</v>
      </c>
      <c r="C167" s="21">
        <v>209.05</v>
      </c>
      <c r="D167" s="22">
        <v>7.3873433549188504E-4</v>
      </c>
      <c r="E167" s="22">
        <v>4.7846890864979198E-4</v>
      </c>
      <c r="F167" s="21">
        <v>0</v>
      </c>
      <c r="G167" s="21">
        <v>0.13809399999999999</v>
      </c>
      <c r="H167" s="21">
        <v>0</v>
      </c>
      <c r="I167" s="21">
        <v>0.145592</v>
      </c>
      <c r="J167" s="21">
        <v>0</v>
      </c>
      <c r="K167" s="21">
        <v>0</v>
      </c>
      <c r="L167" s="21">
        <v>162.5</v>
      </c>
      <c r="M167" s="21">
        <v>209.05</v>
      </c>
      <c r="N167" s="23">
        <v>1.2864615384615301</v>
      </c>
      <c r="O167" s="23">
        <v>1.3022492118915701</v>
      </c>
      <c r="P167" s="23">
        <v>1.28325615953424</v>
      </c>
      <c r="Q167" s="23">
        <v>1.2712785660550301</v>
      </c>
      <c r="R167" s="21">
        <v>211.61549693238001</v>
      </c>
      <c r="S167" s="21">
        <v>208.19306280139099</v>
      </c>
      <c r="T167" s="21">
        <v>206.38428062863699</v>
      </c>
      <c r="U167" s="22">
        <v>1.2197476420391999E-2</v>
      </c>
      <c r="V167" s="22">
        <v>-4.1076220548670996E-3</v>
      </c>
      <c r="W167" s="22">
        <v>-1.28335868404398E-2</v>
      </c>
      <c r="X167" s="23">
        <v>1.2864615384615301</v>
      </c>
      <c r="Y167" s="23">
        <v>1.3022759807794699</v>
      </c>
      <c r="Z167" s="23">
        <v>1.28325615953424</v>
      </c>
      <c r="AA167" s="23">
        <v>1.2712785660550301</v>
      </c>
      <c r="AB167" s="21">
        <v>211.61984687666401</v>
      </c>
      <c r="AC167" s="21">
        <v>208.19306280139099</v>
      </c>
      <c r="AD167" s="21">
        <v>206.38428062863699</v>
      </c>
      <c r="AE167" s="22">
        <v>1.22180320963182E-2</v>
      </c>
      <c r="AF167" s="22">
        <v>-4.1076220548670996E-3</v>
      </c>
      <c r="AG167" s="22">
        <v>-1.28335868404398E-2</v>
      </c>
      <c r="AI167" s="5"/>
      <c r="AJ167">
        <f t="shared" si="46"/>
        <v>0</v>
      </c>
      <c r="AK167">
        <f t="shared" si="47"/>
        <v>1</v>
      </c>
      <c r="AL167">
        <f t="shared" si="54"/>
        <v>0</v>
      </c>
      <c r="AM167">
        <f t="shared" si="44"/>
        <v>1</v>
      </c>
      <c r="AN167">
        <f t="shared" si="55"/>
        <v>0</v>
      </c>
      <c r="AO167" s="17">
        <f t="shared" si="48"/>
        <v>0</v>
      </c>
      <c r="AP167" s="17">
        <f t="shared" si="49"/>
        <v>0</v>
      </c>
      <c r="AQ167" s="17">
        <f t="shared" si="56"/>
        <v>0</v>
      </c>
      <c r="AR167" s="11">
        <f t="shared" si="57"/>
        <v>1.4029559274908466E-2</v>
      </c>
      <c r="AT167" s="5"/>
      <c r="AU167">
        <f t="shared" si="50"/>
        <v>0</v>
      </c>
      <c r="AV167">
        <f t="shared" si="51"/>
        <v>1</v>
      </c>
      <c r="AW167">
        <f t="shared" si="58"/>
        <v>0</v>
      </c>
      <c r="AX167">
        <f t="shared" si="45"/>
        <v>1</v>
      </c>
      <c r="AY167">
        <f t="shared" si="59"/>
        <v>0</v>
      </c>
      <c r="AZ167" s="17">
        <f t="shared" si="52"/>
        <v>0</v>
      </c>
      <c r="BA167" s="17">
        <f t="shared" si="53"/>
        <v>0</v>
      </c>
      <c r="BB167" s="17">
        <f t="shared" si="60"/>
        <v>0</v>
      </c>
      <c r="BC167" s="11">
        <f t="shared" si="61"/>
        <v>-9.7610425932716047E-3</v>
      </c>
      <c r="BE167" s="11">
        <f t="shared" si="62"/>
        <v>0</v>
      </c>
      <c r="BF167" s="11">
        <f t="shared" si="63"/>
        <v>4.2685166816368615E-3</v>
      </c>
      <c r="BH167" s="11"/>
    </row>
    <row r="168" spans="1:60" x14ac:dyDescent="0.25">
      <c r="A168" s="1">
        <v>46266</v>
      </c>
      <c r="B168" s="21">
        <v>163.4</v>
      </c>
      <c r="C168" s="21">
        <v>210.82</v>
      </c>
      <c r="D168" s="22">
        <v>5.5231806561102798E-3</v>
      </c>
      <c r="E168" s="22">
        <v>8.43123102446907E-3</v>
      </c>
      <c r="F168" s="21">
        <v>0</v>
      </c>
      <c r="G168" s="21">
        <v>0.13809399999999999</v>
      </c>
      <c r="H168" s="21">
        <v>0</v>
      </c>
      <c r="I168" s="21">
        <v>0.145592</v>
      </c>
      <c r="J168" s="21">
        <v>0</v>
      </c>
      <c r="K168" s="21">
        <v>0</v>
      </c>
      <c r="L168" s="21">
        <v>163.4</v>
      </c>
      <c r="M168" s="21">
        <v>210.82</v>
      </c>
      <c r="N168" s="23">
        <v>1.29020807833537</v>
      </c>
      <c r="O168" s="23">
        <v>1.3022492118915701</v>
      </c>
      <c r="P168" s="23">
        <v>1.2851393744629001</v>
      </c>
      <c r="Q168" s="23">
        <v>1.2731902077911299</v>
      </c>
      <c r="R168" s="21">
        <v>212.78752122308299</v>
      </c>
      <c r="S168" s="21">
        <v>209.684056467896</v>
      </c>
      <c r="T168" s="21">
        <v>207.72691769339201</v>
      </c>
      <c r="U168" s="22">
        <v>9.2894260520335805E-3</v>
      </c>
      <c r="V168" s="22">
        <v>-5.4027840056237904E-3</v>
      </c>
      <c r="W168" s="22">
        <v>-1.4780367433223199E-2</v>
      </c>
      <c r="X168" s="23">
        <v>1.29020807833537</v>
      </c>
      <c r="Y168" s="23">
        <v>1.3022759807794699</v>
      </c>
      <c r="Z168" s="23">
        <v>1.2851393744629001</v>
      </c>
      <c r="AA168" s="23">
        <v>1.2731902077911299</v>
      </c>
      <c r="AB168" s="21">
        <v>212.79189525936599</v>
      </c>
      <c r="AC168" s="21">
        <v>209.684056467896</v>
      </c>
      <c r="AD168" s="21">
        <v>207.72691769339201</v>
      </c>
      <c r="AE168" s="22">
        <v>9.3099817279594897E-3</v>
      </c>
      <c r="AF168" s="22">
        <v>-5.4027840056238997E-3</v>
      </c>
      <c r="AG168" s="22">
        <v>-1.4780367433223199E-2</v>
      </c>
      <c r="AI168" s="5"/>
      <c r="AJ168">
        <f t="shared" si="46"/>
        <v>0</v>
      </c>
      <c r="AK168">
        <f t="shared" si="47"/>
        <v>1</v>
      </c>
      <c r="AL168">
        <f t="shared" si="54"/>
        <v>0</v>
      </c>
      <c r="AM168">
        <f t="shared" si="44"/>
        <v>1</v>
      </c>
      <c r="AN168">
        <f t="shared" si="55"/>
        <v>0</v>
      </c>
      <c r="AO168" s="17">
        <f t="shared" si="48"/>
        <v>0</v>
      </c>
      <c r="AP168" s="17">
        <f t="shared" si="49"/>
        <v>0</v>
      </c>
      <c r="AQ168" s="17">
        <f t="shared" si="56"/>
        <v>0</v>
      </c>
      <c r="AR168" s="11">
        <f t="shared" si="57"/>
        <v>1.4029559274908466E-2</v>
      </c>
      <c r="AT168" s="5"/>
      <c r="AU168">
        <f t="shared" si="50"/>
        <v>0</v>
      </c>
      <c r="AV168">
        <f t="shared" si="51"/>
        <v>1</v>
      </c>
      <c r="AW168">
        <f t="shared" si="58"/>
        <v>0</v>
      </c>
      <c r="AX168">
        <f t="shared" si="45"/>
        <v>1</v>
      </c>
      <c r="AY168">
        <f t="shared" si="59"/>
        <v>0</v>
      </c>
      <c r="AZ168" s="17">
        <f t="shared" si="52"/>
        <v>0</v>
      </c>
      <c r="BA168" s="17">
        <f t="shared" si="53"/>
        <v>0</v>
      </c>
      <c r="BB168" s="17">
        <f t="shared" si="60"/>
        <v>0</v>
      </c>
      <c r="BC168" s="11">
        <f t="shared" si="61"/>
        <v>-9.7610425932716047E-3</v>
      </c>
      <c r="BE168" s="11">
        <f t="shared" si="62"/>
        <v>0</v>
      </c>
      <c r="BF168" s="11">
        <f t="shared" si="63"/>
        <v>4.2685166816368615E-3</v>
      </c>
      <c r="BH168" s="11"/>
    </row>
    <row r="169" spans="1:60" x14ac:dyDescent="0.25">
      <c r="A169" s="1">
        <v>46267</v>
      </c>
      <c r="B169" s="21">
        <v>165.37</v>
      </c>
      <c r="C169" s="21">
        <v>213.8</v>
      </c>
      <c r="D169" s="22">
        <v>1.1984205236202399E-2</v>
      </c>
      <c r="E169" s="22">
        <v>1.4036309763901701E-2</v>
      </c>
      <c r="F169" s="21">
        <v>0</v>
      </c>
      <c r="G169" s="21">
        <v>0.13809399999999999</v>
      </c>
      <c r="H169" s="21">
        <v>0</v>
      </c>
      <c r="I169" s="21">
        <v>0.145592</v>
      </c>
      <c r="J169" s="21">
        <v>0</v>
      </c>
      <c r="K169" s="21">
        <v>0</v>
      </c>
      <c r="L169" s="21">
        <v>165.37</v>
      </c>
      <c r="M169" s="21">
        <v>213.8</v>
      </c>
      <c r="N169" s="23">
        <v>1.29285843865271</v>
      </c>
      <c r="O169" s="23">
        <v>1.3022492118915701</v>
      </c>
      <c r="P169" s="23">
        <v>1.28646296530547</v>
      </c>
      <c r="Q169" s="23">
        <v>1.27515748760887</v>
      </c>
      <c r="R169" s="21">
        <v>215.35295217050901</v>
      </c>
      <c r="S169" s="21">
        <v>212.52349835493001</v>
      </c>
      <c r="T169" s="21">
        <v>210.547464662419</v>
      </c>
      <c r="U169" s="22">
        <v>7.2373215243342198E-3</v>
      </c>
      <c r="V169" s="22">
        <v>-5.9884358462528996E-3</v>
      </c>
      <c r="W169" s="22">
        <v>-1.53298855543464E-2</v>
      </c>
      <c r="X169" s="23">
        <v>1.29285843865271</v>
      </c>
      <c r="Y169" s="23">
        <v>1.3022759807794699</v>
      </c>
      <c r="Z169" s="23">
        <v>1.28646296530547</v>
      </c>
      <c r="AA169" s="23">
        <v>1.27515748760887</v>
      </c>
      <c r="AB169" s="21">
        <v>215.357378941501</v>
      </c>
      <c r="AC169" s="21">
        <v>212.52349835493001</v>
      </c>
      <c r="AD169" s="21">
        <v>210.547464662419</v>
      </c>
      <c r="AE169" s="22">
        <v>7.2578772002601898E-3</v>
      </c>
      <c r="AF169" s="22">
        <v>-5.9884358462528996E-3</v>
      </c>
      <c r="AG169" s="22">
        <v>-1.53298855543464E-2</v>
      </c>
      <c r="AI169" s="5"/>
      <c r="AJ169">
        <f t="shared" si="46"/>
        <v>0</v>
      </c>
      <c r="AK169">
        <f t="shared" si="47"/>
        <v>0</v>
      </c>
      <c r="AL169">
        <f t="shared" si="54"/>
        <v>0</v>
      </c>
      <c r="AM169">
        <f t="shared" si="44"/>
        <v>1</v>
      </c>
      <c r="AN169">
        <f t="shared" si="55"/>
        <v>0</v>
      </c>
      <c r="AO169" s="17">
        <f t="shared" si="48"/>
        <v>0</v>
      </c>
      <c r="AP169" s="17">
        <f t="shared" si="49"/>
        <v>0</v>
      </c>
      <c r="AQ169" s="17">
        <f t="shared" si="56"/>
        <v>0</v>
      </c>
      <c r="AR169" s="11">
        <f t="shared" si="57"/>
        <v>1.4029559274908466E-2</v>
      </c>
      <c r="AT169" s="5"/>
      <c r="AU169">
        <f t="shared" si="50"/>
        <v>0</v>
      </c>
      <c r="AV169">
        <f t="shared" si="51"/>
        <v>1</v>
      </c>
      <c r="AW169">
        <f t="shared" si="58"/>
        <v>0</v>
      </c>
      <c r="AX169">
        <f t="shared" si="45"/>
        <v>1</v>
      </c>
      <c r="AY169">
        <f t="shared" si="59"/>
        <v>0</v>
      </c>
      <c r="AZ169" s="17">
        <f t="shared" si="52"/>
        <v>0</v>
      </c>
      <c r="BA169" s="17">
        <f t="shared" si="53"/>
        <v>0</v>
      </c>
      <c r="BB169" s="17">
        <f t="shared" si="60"/>
        <v>0</v>
      </c>
      <c r="BC169" s="11">
        <f t="shared" si="61"/>
        <v>-9.7610425932716047E-3</v>
      </c>
      <c r="BE169" s="11">
        <f t="shared" si="62"/>
        <v>0</v>
      </c>
      <c r="BF169" s="11">
        <f t="shared" si="63"/>
        <v>4.2685166816368615E-3</v>
      </c>
      <c r="BH169" s="11"/>
    </row>
    <row r="170" spans="1:60" x14ac:dyDescent="0.25">
      <c r="A170" s="1">
        <v>46268</v>
      </c>
      <c r="B170" s="21">
        <v>164.38</v>
      </c>
      <c r="C170" s="21">
        <v>213.81</v>
      </c>
      <c r="D170" s="22">
        <v>-6.0045669417511599E-3</v>
      </c>
      <c r="E170" s="22">
        <v>4.6771590944259398E-5</v>
      </c>
      <c r="F170" s="21">
        <v>0</v>
      </c>
      <c r="G170" s="21">
        <v>0.13809399999999999</v>
      </c>
      <c r="H170" s="21">
        <v>0</v>
      </c>
      <c r="I170" s="21">
        <v>0.145592</v>
      </c>
      <c r="J170" s="21">
        <v>0</v>
      </c>
      <c r="K170" s="21">
        <v>0</v>
      </c>
      <c r="L170" s="21">
        <v>164.38</v>
      </c>
      <c r="M170" s="21">
        <v>213.81</v>
      </c>
      <c r="N170" s="23">
        <v>1.30070568195644</v>
      </c>
      <c r="O170" s="23">
        <v>1.3022492118915701</v>
      </c>
      <c r="P170" s="23">
        <v>1.28749081101366</v>
      </c>
      <c r="Q170" s="23">
        <v>1.27774293351899</v>
      </c>
      <c r="R170" s="21">
        <v>214.063725450736</v>
      </c>
      <c r="S170" s="21">
        <v>211.468782236913</v>
      </c>
      <c r="T170" s="21">
        <v>209.61038781314599</v>
      </c>
      <c r="U170" s="22">
        <v>1.18598299163883E-3</v>
      </c>
      <c r="V170" s="22">
        <v>-1.1010384306483E-2</v>
      </c>
      <c r="W170" s="22">
        <v>-1.9837258785840799E-2</v>
      </c>
      <c r="X170" s="23">
        <v>1.30070568195644</v>
      </c>
      <c r="Y170" s="23">
        <v>1.3022759807794699</v>
      </c>
      <c r="Z170" s="23">
        <v>1.28749081101366</v>
      </c>
      <c r="AA170" s="23">
        <v>1.27774293351899</v>
      </c>
      <c r="AB170" s="21">
        <v>214.068125720529</v>
      </c>
      <c r="AC170" s="21">
        <v>211.468782236913</v>
      </c>
      <c r="AD170" s="21">
        <v>209.61038781314599</v>
      </c>
      <c r="AE170" s="22">
        <v>1.20653866756505E-3</v>
      </c>
      <c r="AF170" s="22">
        <v>-1.1010384306483E-2</v>
      </c>
      <c r="AG170" s="22">
        <v>-1.9837258785840799E-2</v>
      </c>
      <c r="AI170" s="5"/>
      <c r="AJ170">
        <f t="shared" si="46"/>
        <v>0</v>
      </c>
      <c r="AK170">
        <f t="shared" si="47"/>
        <v>0</v>
      </c>
      <c r="AL170">
        <f t="shared" si="54"/>
        <v>0</v>
      </c>
      <c r="AM170">
        <f t="shared" si="44"/>
        <v>1</v>
      </c>
      <c r="AN170">
        <f t="shared" si="55"/>
        <v>0</v>
      </c>
      <c r="AO170" s="17">
        <f t="shared" si="48"/>
        <v>0</v>
      </c>
      <c r="AP170" s="17">
        <f t="shared" si="49"/>
        <v>0</v>
      </c>
      <c r="AQ170" s="17">
        <f t="shared" si="56"/>
        <v>0</v>
      </c>
      <c r="AR170" s="11">
        <f t="shared" si="57"/>
        <v>1.4029559274908466E-2</v>
      </c>
      <c r="AT170" s="5"/>
      <c r="AU170">
        <f t="shared" si="50"/>
        <v>0</v>
      </c>
      <c r="AV170">
        <f t="shared" si="51"/>
        <v>1</v>
      </c>
      <c r="AW170">
        <f t="shared" si="58"/>
        <v>0</v>
      </c>
      <c r="AX170">
        <f t="shared" si="45"/>
        <v>1</v>
      </c>
      <c r="AY170">
        <f t="shared" si="59"/>
        <v>0</v>
      </c>
      <c r="AZ170" s="17">
        <f t="shared" si="52"/>
        <v>0</v>
      </c>
      <c r="BA170" s="17">
        <f t="shared" si="53"/>
        <v>0</v>
      </c>
      <c r="BB170" s="17">
        <f t="shared" si="60"/>
        <v>0</v>
      </c>
      <c r="BC170" s="11">
        <f t="shared" si="61"/>
        <v>-9.7610425932716047E-3</v>
      </c>
      <c r="BE170" s="11">
        <f t="shared" si="62"/>
        <v>0</v>
      </c>
      <c r="BF170" s="11">
        <f t="shared" si="63"/>
        <v>4.2685166816368615E-3</v>
      </c>
      <c r="BH170" s="11"/>
    </row>
    <row r="171" spans="1:60" x14ac:dyDescent="0.25">
      <c r="A171" s="1">
        <v>46269</v>
      </c>
      <c r="B171" s="21">
        <v>163.81</v>
      </c>
      <c r="C171" s="21">
        <v>211.92</v>
      </c>
      <c r="D171" s="22">
        <v>-3.4736011038139E-3</v>
      </c>
      <c r="E171" s="22">
        <v>-8.8789252180747902E-3</v>
      </c>
      <c r="F171" s="21">
        <v>0</v>
      </c>
      <c r="G171" s="21">
        <v>0.13809399999999999</v>
      </c>
      <c r="H171" s="21">
        <v>0</v>
      </c>
      <c r="I171" s="21">
        <v>0.145592</v>
      </c>
      <c r="J171" s="21">
        <v>0</v>
      </c>
      <c r="K171" s="21">
        <v>0</v>
      </c>
      <c r="L171" s="21">
        <v>163.81</v>
      </c>
      <c r="M171" s="21">
        <v>211.92</v>
      </c>
      <c r="N171" s="23">
        <v>1.2936939136804799</v>
      </c>
      <c r="O171" s="23">
        <v>1.3022492118915701</v>
      </c>
      <c r="P171" s="23">
        <v>1.28800000808979</v>
      </c>
      <c r="Q171" s="23">
        <v>1.2796107009447699</v>
      </c>
      <c r="R171" s="21">
        <v>213.32144339995801</v>
      </c>
      <c r="S171" s="21">
        <v>210.90386975214801</v>
      </c>
      <c r="T171" s="21">
        <v>209.30706993974599</v>
      </c>
      <c r="U171" s="22">
        <v>6.5913071058997501E-3</v>
      </c>
      <c r="V171" s="22">
        <v>-4.8064088937553604E-3</v>
      </c>
      <c r="W171" s="22">
        <v>-1.24064371060249E-2</v>
      </c>
      <c r="X171" s="23">
        <v>1.2936939136804799</v>
      </c>
      <c r="Y171" s="23">
        <v>1.3022759807794699</v>
      </c>
      <c r="Z171" s="23">
        <v>1.28800000808979</v>
      </c>
      <c r="AA171" s="23">
        <v>1.2796107009447699</v>
      </c>
      <c r="AB171" s="21">
        <v>213.32582841148499</v>
      </c>
      <c r="AC171" s="21">
        <v>210.90386975214801</v>
      </c>
      <c r="AD171" s="21">
        <v>209.30706993974599</v>
      </c>
      <c r="AE171" s="22">
        <v>6.61186278182591E-3</v>
      </c>
      <c r="AF171" s="22">
        <v>-4.80640889375569E-3</v>
      </c>
      <c r="AG171" s="22">
        <v>-1.24064371060249E-2</v>
      </c>
      <c r="AI171" s="5"/>
      <c r="AJ171">
        <f t="shared" si="46"/>
        <v>0</v>
      </c>
      <c r="AK171">
        <f t="shared" si="47"/>
        <v>1</v>
      </c>
      <c r="AL171">
        <f t="shared" si="54"/>
        <v>0</v>
      </c>
      <c r="AM171">
        <f t="shared" si="44"/>
        <v>1</v>
      </c>
      <c r="AN171">
        <f t="shared" si="55"/>
        <v>0</v>
      </c>
      <c r="AO171" s="17">
        <f t="shared" si="48"/>
        <v>0</v>
      </c>
      <c r="AP171" s="17">
        <f t="shared" si="49"/>
        <v>0</v>
      </c>
      <c r="AQ171" s="17">
        <f t="shared" si="56"/>
        <v>0</v>
      </c>
      <c r="AR171" s="11">
        <f t="shared" si="57"/>
        <v>1.4029559274908466E-2</v>
      </c>
      <c r="AT171" s="5"/>
      <c r="AU171">
        <f t="shared" si="50"/>
        <v>0</v>
      </c>
      <c r="AV171">
        <f t="shared" si="51"/>
        <v>1</v>
      </c>
      <c r="AW171">
        <f t="shared" si="58"/>
        <v>0</v>
      </c>
      <c r="AX171">
        <f t="shared" si="45"/>
        <v>1</v>
      </c>
      <c r="AY171">
        <f t="shared" si="59"/>
        <v>0</v>
      </c>
      <c r="AZ171" s="17">
        <f t="shared" si="52"/>
        <v>0</v>
      </c>
      <c r="BA171" s="17">
        <f t="shared" si="53"/>
        <v>0</v>
      </c>
      <c r="BB171" s="17">
        <f t="shared" si="60"/>
        <v>0</v>
      </c>
      <c r="BC171" s="11">
        <f t="shared" si="61"/>
        <v>-9.7610425932716047E-3</v>
      </c>
      <c r="BE171" s="11">
        <f t="shared" si="62"/>
        <v>0</v>
      </c>
      <c r="BF171" s="11">
        <f t="shared" si="63"/>
        <v>4.2685166816368615E-3</v>
      </c>
      <c r="BH171" s="11"/>
    </row>
    <row r="172" spans="1:60" x14ac:dyDescent="0.25">
      <c r="A172" s="1">
        <v>46273</v>
      </c>
      <c r="B172" s="21">
        <v>161.93</v>
      </c>
      <c r="C172" s="21">
        <v>207.33</v>
      </c>
      <c r="D172" s="22">
        <v>-1.15430765311604E-2</v>
      </c>
      <c r="E172" s="22">
        <v>-2.1897118192401501E-2</v>
      </c>
      <c r="F172" s="21">
        <v>0</v>
      </c>
      <c r="G172" s="21">
        <v>0.13809399999999999</v>
      </c>
      <c r="H172" s="21">
        <v>0</v>
      </c>
      <c r="I172" s="21">
        <v>0.145592</v>
      </c>
      <c r="J172" s="21">
        <v>0</v>
      </c>
      <c r="K172" s="21">
        <v>0</v>
      </c>
      <c r="L172" s="21">
        <v>161.93</v>
      </c>
      <c r="M172" s="21">
        <v>207.33</v>
      </c>
      <c r="N172" s="23">
        <v>1.2803680602729499</v>
      </c>
      <c r="O172" s="23">
        <v>1.3022492118915701</v>
      </c>
      <c r="P172" s="23">
        <v>1.2865795442139301</v>
      </c>
      <c r="Q172" s="23">
        <v>1.2803436518290701</v>
      </c>
      <c r="R172" s="21">
        <v>210.873214881602</v>
      </c>
      <c r="S172" s="21">
        <v>208.56584130997899</v>
      </c>
      <c r="T172" s="21">
        <v>207.207360803987</v>
      </c>
      <c r="U172" s="22">
        <v>1.6945348767140801E-2</v>
      </c>
      <c r="V172" s="22">
        <v>5.9430502770222602E-3</v>
      </c>
      <c r="W172" s="22">
        <v>-5.9169190131918995E-4</v>
      </c>
      <c r="X172" s="23">
        <v>1.2803680602729499</v>
      </c>
      <c r="Y172" s="23">
        <v>1.3022759807794699</v>
      </c>
      <c r="Z172" s="23">
        <v>1.2865795442139301</v>
      </c>
      <c r="AA172" s="23">
        <v>1.2803436518290701</v>
      </c>
      <c r="AB172" s="21">
        <v>210.87754956762001</v>
      </c>
      <c r="AC172" s="21">
        <v>208.56584130997899</v>
      </c>
      <c r="AD172" s="21">
        <v>207.207360803987</v>
      </c>
      <c r="AE172" s="22">
        <v>1.6965904443066698E-2</v>
      </c>
      <c r="AF172" s="22">
        <v>5.9430502770220399E-3</v>
      </c>
      <c r="AG172" s="22">
        <v>-5.9169190131930097E-4</v>
      </c>
      <c r="AI172" s="5"/>
      <c r="AJ172">
        <f t="shared" si="46"/>
        <v>0</v>
      </c>
      <c r="AK172">
        <f t="shared" si="47"/>
        <v>1</v>
      </c>
      <c r="AL172">
        <f t="shared" si="54"/>
        <v>0</v>
      </c>
      <c r="AM172">
        <f t="shared" si="44"/>
        <v>1</v>
      </c>
      <c r="AN172">
        <f t="shared" si="55"/>
        <v>0</v>
      </c>
      <c r="AO172" s="17">
        <f t="shared" si="48"/>
        <v>0</v>
      </c>
      <c r="AP172" s="17">
        <f t="shared" si="49"/>
        <v>0</v>
      </c>
      <c r="AQ172" s="17">
        <f t="shared" si="56"/>
        <v>0</v>
      </c>
      <c r="AR172" s="11">
        <f t="shared" si="57"/>
        <v>1.4029559274908466E-2</v>
      </c>
      <c r="AT172" s="5"/>
      <c r="AU172">
        <f t="shared" si="50"/>
        <v>0</v>
      </c>
      <c r="AV172">
        <f t="shared" si="51"/>
        <v>1</v>
      </c>
      <c r="AW172">
        <f t="shared" si="58"/>
        <v>0</v>
      </c>
      <c r="AX172">
        <f t="shared" si="45"/>
        <v>1</v>
      </c>
      <c r="AY172">
        <f t="shared" si="59"/>
        <v>0</v>
      </c>
      <c r="AZ172" s="17">
        <f t="shared" si="52"/>
        <v>0</v>
      </c>
      <c r="BA172" s="17">
        <f t="shared" si="53"/>
        <v>0</v>
      </c>
      <c r="BB172" s="17">
        <f t="shared" si="60"/>
        <v>0</v>
      </c>
      <c r="BC172" s="11">
        <f t="shared" si="61"/>
        <v>-9.7610425932716047E-3</v>
      </c>
      <c r="BE172" s="11">
        <f t="shared" si="62"/>
        <v>0</v>
      </c>
      <c r="BF172" s="11">
        <f t="shared" si="63"/>
        <v>4.2685166816368615E-3</v>
      </c>
      <c r="BH172" s="11"/>
    </row>
    <row r="173" spans="1:60" x14ac:dyDescent="0.25">
      <c r="A173" s="1">
        <v>46274</v>
      </c>
      <c r="B173" s="21">
        <v>159.38</v>
      </c>
      <c r="C173" s="21">
        <v>205.49</v>
      </c>
      <c r="D173" s="22">
        <v>-1.58728551157774E-2</v>
      </c>
      <c r="E173" s="22">
        <v>-8.9143558196337694E-3</v>
      </c>
      <c r="F173" s="21">
        <v>0</v>
      </c>
      <c r="G173" s="21">
        <v>0.13809399999999999</v>
      </c>
      <c r="H173" s="21">
        <v>0</v>
      </c>
      <c r="I173" s="21">
        <v>0.145592</v>
      </c>
      <c r="J173" s="21">
        <v>0</v>
      </c>
      <c r="K173" s="21">
        <v>0</v>
      </c>
      <c r="L173" s="21">
        <v>159.38</v>
      </c>
      <c r="M173" s="21">
        <v>205.49</v>
      </c>
      <c r="N173" s="23">
        <v>1.2893085707115</v>
      </c>
      <c r="O173" s="23">
        <v>1.3022492118915701</v>
      </c>
      <c r="P173" s="23">
        <v>1.28753878685575</v>
      </c>
      <c r="Q173" s="23">
        <v>1.2816282111295001</v>
      </c>
      <c r="R173" s="21">
        <v>207.55247939127901</v>
      </c>
      <c r="S173" s="21">
        <v>205.055047756817</v>
      </c>
      <c r="T173" s="21">
        <v>204.06117122851799</v>
      </c>
      <c r="U173" s="22">
        <v>9.9868494709971101E-3</v>
      </c>
      <c r="V173" s="22">
        <v>-2.1189022169167699E-3</v>
      </c>
      <c r="W173" s="22">
        <v>-6.9775630929506203E-3</v>
      </c>
      <c r="X173" s="23">
        <v>1.2893085707115</v>
      </c>
      <c r="Y173" s="23">
        <v>1.3022759807794699</v>
      </c>
      <c r="Z173" s="23">
        <v>1.28753878685575</v>
      </c>
      <c r="AA173" s="23">
        <v>1.2816282111295001</v>
      </c>
      <c r="AB173" s="21">
        <v>207.556745816632</v>
      </c>
      <c r="AC173" s="21">
        <v>205.055047756817</v>
      </c>
      <c r="AD173" s="21">
        <v>204.06117122851799</v>
      </c>
      <c r="AE173" s="22">
        <v>1.0007405146923099E-2</v>
      </c>
      <c r="AF173" s="22">
        <v>-2.1189022169167699E-3</v>
      </c>
      <c r="AG173" s="22">
        <v>-6.9775630929506203E-3</v>
      </c>
      <c r="AI173" s="5"/>
      <c r="AJ173">
        <f t="shared" si="46"/>
        <v>0</v>
      </c>
      <c r="AK173">
        <f t="shared" si="47"/>
        <v>1</v>
      </c>
      <c r="AL173">
        <f t="shared" si="54"/>
        <v>0</v>
      </c>
      <c r="AM173">
        <f t="shared" si="44"/>
        <v>1</v>
      </c>
      <c r="AN173">
        <f t="shared" si="55"/>
        <v>0</v>
      </c>
      <c r="AO173" s="17">
        <f t="shared" si="48"/>
        <v>0</v>
      </c>
      <c r="AP173" s="17">
        <f t="shared" si="49"/>
        <v>0</v>
      </c>
      <c r="AQ173" s="17">
        <f t="shared" si="56"/>
        <v>0</v>
      </c>
      <c r="AR173" s="11">
        <f t="shared" si="57"/>
        <v>1.4029559274908466E-2</v>
      </c>
      <c r="AT173" s="5"/>
      <c r="AU173">
        <f t="shared" si="50"/>
        <v>0</v>
      </c>
      <c r="AV173">
        <f t="shared" si="51"/>
        <v>1</v>
      </c>
      <c r="AW173">
        <f t="shared" si="58"/>
        <v>0</v>
      </c>
      <c r="AX173">
        <f t="shared" si="45"/>
        <v>1</v>
      </c>
      <c r="AY173">
        <f t="shared" si="59"/>
        <v>0</v>
      </c>
      <c r="AZ173" s="17">
        <f t="shared" si="52"/>
        <v>0</v>
      </c>
      <c r="BA173" s="17">
        <f t="shared" si="53"/>
        <v>0</v>
      </c>
      <c r="BB173" s="17">
        <f t="shared" si="60"/>
        <v>0</v>
      </c>
      <c r="BC173" s="11">
        <f t="shared" si="61"/>
        <v>-9.7610425932716047E-3</v>
      </c>
      <c r="BE173" s="11">
        <f t="shared" si="62"/>
        <v>0</v>
      </c>
      <c r="BF173" s="11">
        <f t="shared" si="63"/>
        <v>4.2685166816368615E-3</v>
      </c>
      <c r="BH173" s="11"/>
    </row>
    <row r="174" spans="1:60" x14ac:dyDescent="0.25">
      <c r="A174" s="1">
        <v>46275</v>
      </c>
      <c r="B174" s="21">
        <v>156.82</v>
      </c>
      <c r="C174" s="21">
        <v>202.64</v>
      </c>
      <c r="D174" s="22">
        <v>-1.6192637166826201E-2</v>
      </c>
      <c r="E174" s="22">
        <v>-1.3966365258359099E-2</v>
      </c>
      <c r="F174" s="21">
        <v>0</v>
      </c>
      <c r="G174" s="21">
        <v>0.13809399999999999</v>
      </c>
      <c r="H174" s="21">
        <v>0</v>
      </c>
      <c r="I174" s="21">
        <v>0.145592</v>
      </c>
      <c r="J174" s="21">
        <v>0</v>
      </c>
      <c r="K174" s="21">
        <v>0</v>
      </c>
      <c r="L174" s="21">
        <v>156.82</v>
      </c>
      <c r="M174" s="21">
        <v>202.64</v>
      </c>
      <c r="N174" s="23">
        <v>1.29218211962759</v>
      </c>
      <c r="O174" s="23">
        <v>1.3022492118915701</v>
      </c>
      <c r="P174" s="23">
        <v>1.2889406201736999</v>
      </c>
      <c r="Q174" s="23">
        <v>1.2832722628414801</v>
      </c>
      <c r="R174" s="21">
        <v>204.21872140883599</v>
      </c>
      <c r="S174" s="21">
        <v>201.91183255471901</v>
      </c>
      <c r="T174" s="21">
        <v>200.984936069328</v>
      </c>
      <c r="U174" s="22">
        <v>7.76057756253027E-3</v>
      </c>
      <c r="V174" s="22">
        <v>-3.5998760754508701E-3</v>
      </c>
      <c r="W174" s="22">
        <v>-8.2010453715677892E-3</v>
      </c>
      <c r="X174" s="23">
        <v>1.29218211962759</v>
      </c>
      <c r="Y174" s="23">
        <v>1.3022759807794699</v>
      </c>
      <c r="Z174" s="23">
        <v>1.2889406201736999</v>
      </c>
      <c r="AA174" s="23">
        <v>1.2832722628414801</v>
      </c>
      <c r="AB174" s="21">
        <v>204.222919305837</v>
      </c>
      <c r="AC174" s="21">
        <v>201.91183255471901</v>
      </c>
      <c r="AD174" s="21">
        <v>200.984936069328</v>
      </c>
      <c r="AE174" s="22">
        <v>7.7811332384561897E-3</v>
      </c>
      <c r="AF174" s="22">
        <v>-3.5998760754508701E-3</v>
      </c>
      <c r="AG174" s="22">
        <v>-8.20104537156768E-3</v>
      </c>
      <c r="AI174" s="5"/>
      <c r="AJ174">
        <f t="shared" si="46"/>
        <v>0</v>
      </c>
      <c r="AK174">
        <f t="shared" si="47"/>
        <v>1</v>
      </c>
      <c r="AL174">
        <f t="shared" si="54"/>
        <v>0</v>
      </c>
      <c r="AM174">
        <f t="shared" si="44"/>
        <v>1</v>
      </c>
      <c r="AN174">
        <f t="shared" si="55"/>
        <v>0</v>
      </c>
      <c r="AO174" s="17">
        <f t="shared" si="48"/>
        <v>0</v>
      </c>
      <c r="AP174" s="17">
        <f t="shared" si="49"/>
        <v>0</v>
      </c>
      <c r="AQ174" s="17">
        <f t="shared" si="56"/>
        <v>0</v>
      </c>
      <c r="AR174" s="11">
        <f t="shared" si="57"/>
        <v>1.4029559274908466E-2</v>
      </c>
      <c r="AT174" s="5"/>
      <c r="AU174">
        <f t="shared" si="50"/>
        <v>0</v>
      </c>
      <c r="AV174">
        <f t="shared" si="51"/>
        <v>1</v>
      </c>
      <c r="AW174">
        <f t="shared" si="58"/>
        <v>0</v>
      </c>
      <c r="AX174">
        <f t="shared" si="45"/>
        <v>1</v>
      </c>
      <c r="AY174">
        <f t="shared" si="59"/>
        <v>0</v>
      </c>
      <c r="AZ174" s="17">
        <f t="shared" si="52"/>
        <v>0</v>
      </c>
      <c r="BA174" s="17">
        <f t="shared" si="53"/>
        <v>0</v>
      </c>
      <c r="BB174" s="17">
        <f t="shared" si="60"/>
        <v>0</v>
      </c>
      <c r="BC174" s="11">
        <f t="shared" si="61"/>
        <v>-9.7610425932716047E-3</v>
      </c>
      <c r="BE174" s="11">
        <f t="shared" si="62"/>
        <v>0</v>
      </c>
      <c r="BF174" s="11">
        <f t="shared" si="63"/>
        <v>4.2685166816368615E-3</v>
      </c>
      <c r="BH174" s="11"/>
    </row>
    <row r="175" spans="1:60" x14ac:dyDescent="0.25">
      <c r="A175" s="1">
        <v>46276</v>
      </c>
      <c r="B175" s="21">
        <v>156.19999999999999</v>
      </c>
      <c r="C175" s="21">
        <v>202.93</v>
      </c>
      <c r="D175" s="22">
        <v>-3.9614133971902802E-3</v>
      </c>
      <c r="E175" s="22">
        <v>1.4300862954578599E-3</v>
      </c>
      <c r="F175" s="21">
        <v>0</v>
      </c>
      <c r="G175" s="21">
        <v>0.13809399999999999</v>
      </c>
      <c r="H175" s="21">
        <v>0</v>
      </c>
      <c r="I175" s="21">
        <v>0.145592</v>
      </c>
      <c r="J175" s="21">
        <v>0</v>
      </c>
      <c r="K175" s="21">
        <v>0</v>
      </c>
      <c r="L175" s="21">
        <v>156.19999999999999</v>
      </c>
      <c r="M175" s="21">
        <v>202.93</v>
      </c>
      <c r="N175" s="23">
        <v>1.29916773367477</v>
      </c>
      <c r="O175" s="23">
        <v>1.3022492118915701</v>
      </c>
      <c r="P175" s="23">
        <v>1.2911750538871301</v>
      </c>
      <c r="Q175" s="23">
        <v>1.28481741479361</v>
      </c>
      <c r="R175" s="21">
        <v>203.411326897463</v>
      </c>
      <c r="S175" s="21">
        <v>201.33252487113199</v>
      </c>
      <c r="T175" s="21">
        <v>200.447127455839</v>
      </c>
      <c r="U175" s="22">
        <v>2.3690778698821401E-3</v>
      </c>
      <c r="V175" s="22">
        <v>-7.9031982709669799E-3</v>
      </c>
      <c r="W175" s="22">
        <v>-1.2310583480272801E-2</v>
      </c>
      <c r="X175" s="23">
        <v>1.29916773367477</v>
      </c>
      <c r="Y175" s="23">
        <v>1.3022759807794699</v>
      </c>
      <c r="Z175" s="23">
        <v>1.2911750538871301</v>
      </c>
      <c r="AA175" s="23">
        <v>1.28481741479361</v>
      </c>
      <c r="AB175" s="21">
        <v>203.41550819775301</v>
      </c>
      <c r="AC175" s="21">
        <v>201.33252487113199</v>
      </c>
      <c r="AD175" s="21">
        <v>200.447127455839</v>
      </c>
      <c r="AE175" s="22">
        <v>2.3896335458081699E-3</v>
      </c>
      <c r="AF175" s="22">
        <v>-7.9031982709670996E-3</v>
      </c>
      <c r="AG175" s="22">
        <v>-1.2310583480272501E-2</v>
      </c>
      <c r="AI175" s="5"/>
      <c r="AJ175">
        <f t="shared" si="46"/>
        <v>0</v>
      </c>
      <c r="AK175">
        <f t="shared" si="47"/>
        <v>1</v>
      </c>
      <c r="AL175">
        <f t="shared" si="54"/>
        <v>0</v>
      </c>
      <c r="AM175">
        <f t="shared" si="44"/>
        <v>1</v>
      </c>
      <c r="AN175">
        <f t="shared" si="55"/>
        <v>0</v>
      </c>
      <c r="AO175" s="17">
        <f t="shared" si="48"/>
        <v>0</v>
      </c>
      <c r="AP175" s="17">
        <f t="shared" si="49"/>
        <v>0</v>
      </c>
      <c r="AQ175" s="17">
        <f t="shared" si="56"/>
        <v>0</v>
      </c>
      <c r="AR175" s="11">
        <f t="shared" si="57"/>
        <v>1.4029559274908466E-2</v>
      </c>
      <c r="AT175" s="5"/>
      <c r="AU175">
        <f t="shared" si="50"/>
        <v>0</v>
      </c>
      <c r="AV175">
        <f t="shared" si="51"/>
        <v>1</v>
      </c>
      <c r="AW175">
        <f t="shared" si="58"/>
        <v>0</v>
      </c>
      <c r="AX175">
        <f t="shared" si="45"/>
        <v>1</v>
      </c>
      <c r="AY175">
        <f t="shared" si="59"/>
        <v>0</v>
      </c>
      <c r="AZ175" s="17">
        <f t="shared" si="52"/>
        <v>0</v>
      </c>
      <c r="BA175" s="17">
        <f t="shared" si="53"/>
        <v>0</v>
      </c>
      <c r="BB175" s="17">
        <f t="shared" si="60"/>
        <v>0</v>
      </c>
      <c r="BC175" s="11">
        <f t="shared" si="61"/>
        <v>-9.7610425932716047E-3</v>
      </c>
      <c r="BE175" s="11">
        <f t="shared" si="62"/>
        <v>0</v>
      </c>
      <c r="BF175" s="11">
        <f t="shared" si="63"/>
        <v>4.2685166816368615E-3</v>
      </c>
      <c r="BH175" s="11"/>
    </row>
    <row r="176" spans="1:60" x14ac:dyDescent="0.25">
      <c r="A176" s="1">
        <v>46279</v>
      </c>
      <c r="B176" s="21">
        <v>157.6</v>
      </c>
      <c r="C176" s="21">
        <v>204.6</v>
      </c>
      <c r="D176" s="22">
        <v>8.9229400181932393E-3</v>
      </c>
      <c r="E176" s="22">
        <v>8.1957615286486103E-3</v>
      </c>
      <c r="F176" s="21">
        <v>0</v>
      </c>
      <c r="G176" s="21">
        <v>0.13809399999999999</v>
      </c>
      <c r="H176" s="21">
        <v>0</v>
      </c>
      <c r="I176" s="21">
        <v>0.145592</v>
      </c>
      <c r="J176" s="21">
        <v>0</v>
      </c>
      <c r="K176" s="21">
        <v>0</v>
      </c>
      <c r="L176" s="21">
        <v>157.6</v>
      </c>
      <c r="M176" s="21">
        <v>204.6</v>
      </c>
      <c r="N176" s="23">
        <v>1.2982233502538001</v>
      </c>
      <c r="O176" s="23">
        <v>1.3022492118915701</v>
      </c>
      <c r="P176" s="23">
        <v>1.29231774856272</v>
      </c>
      <c r="Q176" s="23">
        <v>1.28675291367025</v>
      </c>
      <c r="R176" s="21">
        <v>205.234475794112</v>
      </c>
      <c r="S176" s="21">
        <v>203.48918849261199</v>
      </c>
      <c r="T176" s="21">
        <v>202.48722457147301</v>
      </c>
      <c r="U176" s="22">
        <v>3.0962563594267001E-3</v>
      </c>
      <c r="V176" s="22">
        <v>-5.4439778466370799E-3</v>
      </c>
      <c r="W176" s="22">
        <v>-1.03800574970314E-2</v>
      </c>
      <c r="X176" s="23">
        <v>1.2982233502538001</v>
      </c>
      <c r="Y176" s="23">
        <v>1.3022759807794699</v>
      </c>
      <c r="Z176" s="23">
        <v>1.29231774856272</v>
      </c>
      <c r="AA176" s="23">
        <v>1.28675291367025</v>
      </c>
      <c r="AB176" s="21">
        <v>205.23869457084501</v>
      </c>
      <c r="AC176" s="21">
        <v>203.48918849261199</v>
      </c>
      <c r="AD176" s="21">
        <v>202.48722457147301</v>
      </c>
      <c r="AE176" s="22">
        <v>3.11681203535268E-3</v>
      </c>
      <c r="AF176" s="22">
        <v>-5.4439778466370799E-3</v>
      </c>
      <c r="AG176" s="22">
        <v>-1.0380057497031501E-2</v>
      </c>
      <c r="AI176" s="5"/>
      <c r="AJ176">
        <f t="shared" si="46"/>
        <v>0</v>
      </c>
      <c r="AK176">
        <f t="shared" si="47"/>
        <v>1</v>
      </c>
      <c r="AL176">
        <f t="shared" si="54"/>
        <v>0</v>
      </c>
      <c r="AM176">
        <f t="shared" si="44"/>
        <v>1</v>
      </c>
      <c r="AN176">
        <f t="shared" si="55"/>
        <v>0</v>
      </c>
      <c r="AO176" s="17">
        <f t="shared" si="48"/>
        <v>0</v>
      </c>
      <c r="AP176" s="17">
        <f t="shared" si="49"/>
        <v>0</v>
      </c>
      <c r="AQ176" s="17">
        <f t="shared" si="56"/>
        <v>0</v>
      </c>
      <c r="AR176" s="11">
        <f t="shared" si="57"/>
        <v>1.4029559274908466E-2</v>
      </c>
      <c r="AT176" s="5"/>
      <c r="AU176">
        <f t="shared" si="50"/>
        <v>0</v>
      </c>
      <c r="AV176">
        <f t="shared" si="51"/>
        <v>1</v>
      </c>
      <c r="AW176">
        <f t="shared" si="58"/>
        <v>0</v>
      </c>
      <c r="AX176">
        <f t="shared" si="45"/>
        <v>1</v>
      </c>
      <c r="AY176">
        <f t="shared" si="59"/>
        <v>0</v>
      </c>
      <c r="AZ176" s="17">
        <f t="shared" si="52"/>
        <v>0</v>
      </c>
      <c r="BA176" s="17">
        <f t="shared" si="53"/>
        <v>0</v>
      </c>
      <c r="BB176" s="17">
        <f t="shared" si="60"/>
        <v>0</v>
      </c>
      <c r="BC176" s="11">
        <f t="shared" si="61"/>
        <v>-9.7610425932716047E-3</v>
      </c>
      <c r="BE176" s="11">
        <f t="shared" si="62"/>
        <v>0</v>
      </c>
      <c r="BF176" s="11">
        <f t="shared" si="63"/>
        <v>4.2685166816368615E-3</v>
      </c>
      <c r="BH176" s="11"/>
    </row>
    <row r="177" spans="85:100" x14ac:dyDescent="0.25">
      <c r="CG177" s="17"/>
      <c r="CH177" s="17"/>
      <c r="CI177" s="17"/>
      <c r="CJ177" s="11"/>
      <c r="CL177" s="17"/>
      <c r="CS177" s="17"/>
      <c r="CT177" s="17"/>
      <c r="CU177" s="17"/>
      <c r="CV177" s="11"/>
    </row>
    <row r="178" spans="85:100" x14ac:dyDescent="0.25">
      <c r="CG178" s="17"/>
      <c r="CH178" s="17"/>
      <c r="CI178" s="17"/>
      <c r="CJ178" s="11"/>
      <c r="CL178" s="17"/>
      <c r="CS178" s="17"/>
      <c r="CT178" s="17"/>
      <c r="CU178" s="17"/>
      <c r="CV178" s="11"/>
    </row>
    <row r="179" spans="85:100" x14ac:dyDescent="0.25">
      <c r="CG179" s="17"/>
      <c r="CH179" s="17"/>
      <c r="CI179" s="17"/>
      <c r="CJ179" s="11"/>
      <c r="CL179" s="17"/>
      <c r="CS179" s="17"/>
      <c r="CT179" s="17"/>
      <c r="CU179" s="17"/>
      <c r="CV179" s="11"/>
    </row>
  </sheetData>
  <conditionalFormatting sqref="AJ2:AQ9">
    <cfRule type="top10" dxfId="2" priority="3" rank="3"/>
  </conditionalFormatting>
  <conditionalFormatting sqref="AU2:BB9">
    <cfRule type="top10" dxfId="1" priority="2" rank="3"/>
  </conditionalFormatting>
  <conditionalFormatting sqref="DM33:DT33 DM26:DP32 DR26:DT32">
    <cfRule type="top10" dxfId="0" priority="1" rank="3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2026-09-19T17:45:51Z</dcterms:created>
  <dcterms:modified xsi:type="dcterms:W3CDTF">2026-09-21T17:33:27Z</dcterms:modified>
</cp:coreProperties>
</file>