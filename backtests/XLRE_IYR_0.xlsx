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E3C2CC88-2081-43E8-98AD-67D49AC5C971}" xr6:coauthVersionLast="47" xr6:coauthVersionMax="47" xr10:uidLastSave="{00000000-0000-0000-0000-000000000000}"/>
  <bookViews>
    <workbookView xWindow="-108" yWindow="-108" windowWidth="23256" windowHeight="12456" xr2:uid="{E442BCF6-A44F-45A9-B25B-5526EA9D98B4}"/>
  </bookViews>
  <sheets>
    <sheet name="XLRE_IYR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F164" i="1" s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R157" i="1" s="1"/>
  <c r="BP157" i="1" s="1"/>
  <c r="BE156" i="1"/>
  <c r="BF157" i="1" s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F155" i="1" s="1"/>
  <c r="BQ153" i="1"/>
  <c r="BO153" i="1"/>
  <c r="BN153" i="1"/>
  <c r="BE153" i="1"/>
  <c r="BC153" i="1"/>
  <c r="BB153" i="1"/>
  <c r="BF154" i="1" s="1"/>
  <c r="BQ152" i="1"/>
  <c r="BO152" i="1"/>
  <c r="BN152" i="1"/>
  <c r="BF152" i="1"/>
  <c r="BD152" i="1" s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F150" i="1" s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F145" i="1"/>
  <c r="BD145" i="1" s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R139" i="1" s="1"/>
  <c r="BT139" i="1" s="1"/>
  <c r="BE138" i="1"/>
  <c r="BC138" i="1"/>
  <c r="BB138" i="1"/>
  <c r="BQ137" i="1"/>
  <c r="BO137" i="1"/>
  <c r="BN137" i="1"/>
  <c r="BE137" i="1"/>
  <c r="BC137" i="1"/>
  <c r="BB137" i="1"/>
  <c r="BF138" i="1" s="1"/>
  <c r="BH138" i="1" s="1"/>
  <c r="BQ136" i="1"/>
  <c r="BO136" i="1"/>
  <c r="BN136" i="1"/>
  <c r="BE136" i="1"/>
  <c r="BC136" i="1"/>
  <c r="BB136" i="1"/>
  <c r="BQ135" i="1"/>
  <c r="BO135" i="1"/>
  <c r="BN135" i="1"/>
  <c r="BR136" i="1" s="1"/>
  <c r="BE135" i="1"/>
  <c r="BF136" i="1" s="1"/>
  <c r="BC135" i="1"/>
  <c r="BB135" i="1"/>
  <c r="BQ134" i="1"/>
  <c r="BO134" i="1"/>
  <c r="BN134" i="1"/>
  <c r="BE134" i="1"/>
  <c r="BC134" i="1"/>
  <c r="BB134" i="1"/>
  <c r="BF135" i="1" s="1"/>
  <c r="BG135" i="1" s="1"/>
  <c r="BQ133" i="1"/>
  <c r="BO133" i="1"/>
  <c r="BN133" i="1"/>
  <c r="BR134" i="1" s="1"/>
  <c r="BE133" i="1"/>
  <c r="BC133" i="1"/>
  <c r="BB133" i="1"/>
  <c r="BF134" i="1" s="1"/>
  <c r="BQ132" i="1"/>
  <c r="BO132" i="1"/>
  <c r="BN132" i="1"/>
  <c r="BE132" i="1"/>
  <c r="BC132" i="1"/>
  <c r="BB132" i="1"/>
  <c r="BF133" i="1" s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R129" i="1"/>
  <c r="BQ129" i="1"/>
  <c r="BO129" i="1"/>
  <c r="BN129" i="1"/>
  <c r="BE129" i="1"/>
  <c r="BC129" i="1"/>
  <c r="BB129" i="1"/>
  <c r="BF130" i="1" s="1"/>
  <c r="BQ128" i="1"/>
  <c r="BO128" i="1"/>
  <c r="BN128" i="1"/>
  <c r="BE128" i="1"/>
  <c r="BC128" i="1"/>
  <c r="BB128" i="1"/>
  <c r="BR127" i="1"/>
  <c r="BQ127" i="1"/>
  <c r="BO127" i="1"/>
  <c r="BN127" i="1"/>
  <c r="BR128" i="1" s="1"/>
  <c r="BE127" i="1"/>
  <c r="BC127" i="1"/>
  <c r="BB127" i="1"/>
  <c r="BF128" i="1" s="1"/>
  <c r="BQ126" i="1"/>
  <c r="BO126" i="1"/>
  <c r="BN126" i="1"/>
  <c r="BE126" i="1"/>
  <c r="BC126" i="1"/>
  <c r="BB126" i="1"/>
  <c r="BF127" i="1" s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F124" i="1" s="1"/>
  <c r="BQ122" i="1"/>
  <c r="BO122" i="1"/>
  <c r="BN122" i="1"/>
  <c r="BE122" i="1"/>
  <c r="BC122" i="1"/>
  <c r="BB122" i="1"/>
  <c r="BF123" i="1" s="1"/>
  <c r="BQ121" i="1"/>
  <c r="BO121" i="1"/>
  <c r="BN121" i="1"/>
  <c r="BE121" i="1"/>
  <c r="BC121" i="1"/>
  <c r="BB121" i="1"/>
  <c r="BR120" i="1"/>
  <c r="BP120" i="1" s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F119" i="1" s="1"/>
  <c r="BQ117" i="1"/>
  <c r="BO117" i="1"/>
  <c r="BN117" i="1"/>
  <c r="BE117" i="1"/>
  <c r="BC117" i="1"/>
  <c r="BB117" i="1"/>
  <c r="BF118" i="1" s="1"/>
  <c r="BQ116" i="1"/>
  <c r="BO116" i="1"/>
  <c r="BN116" i="1"/>
  <c r="BR117" i="1" s="1"/>
  <c r="BE116" i="1"/>
  <c r="BC116" i="1"/>
  <c r="BB116" i="1"/>
  <c r="BQ115" i="1"/>
  <c r="BO115" i="1"/>
  <c r="BN115" i="1"/>
  <c r="BE115" i="1"/>
  <c r="BC115" i="1"/>
  <c r="BB115" i="1"/>
  <c r="BF116" i="1" s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R113" i="1" s="1"/>
  <c r="BE112" i="1"/>
  <c r="BC112" i="1"/>
  <c r="BB112" i="1"/>
  <c r="BQ111" i="1"/>
  <c r="BO111" i="1"/>
  <c r="BN111" i="1"/>
  <c r="BE111" i="1"/>
  <c r="BC111" i="1"/>
  <c r="BB111" i="1"/>
  <c r="BF112" i="1" s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R109" i="1" s="1"/>
  <c r="BT109" i="1" s="1"/>
  <c r="BE108" i="1"/>
  <c r="BC108" i="1"/>
  <c r="BB108" i="1"/>
  <c r="BQ107" i="1"/>
  <c r="BO107" i="1"/>
  <c r="BN107" i="1"/>
  <c r="BR108" i="1" s="1"/>
  <c r="BE107" i="1"/>
  <c r="BC107" i="1"/>
  <c r="BB107" i="1"/>
  <c r="BQ106" i="1"/>
  <c r="BO106" i="1"/>
  <c r="BN106" i="1"/>
  <c r="BR107" i="1" s="1"/>
  <c r="BT107" i="1" s="1"/>
  <c r="BF106" i="1"/>
  <c r="BE106" i="1"/>
  <c r="BC106" i="1"/>
  <c r="BB106" i="1"/>
  <c r="BQ105" i="1"/>
  <c r="BO105" i="1"/>
  <c r="BN105" i="1"/>
  <c r="BR106" i="1" s="1"/>
  <c r="BE105" i="1"/>
  <c r="BC105" i="1"/>
  <c r="BB105" i="1"/>
  <c r="BQ104" i="1"/>
  <c r="BO104" i="1"/>
  <c r="BN104" i="1"/>
  <c r="BE104" i="1"/>
  <c r="BC104" i="1"/>
  <c r="BB104" i="1"/>
  <c r="BF105" i="1" s="1"/>
  <c r="BQ103" i="1"/>
  <c r="BO103" i="1"/>
  <c r="BN103" i="1"/>
  <c r="BE103" i="1"/>
  <c r="BC103" i="1"/>
  <c r="BB103" i="1"/>
  <c r="BF104" i="1" s="1"/>
  <c r="BG104" i="1" s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F98" i="1" s="1"/>
  <c r="BG98" i="1" s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F94" i="1" s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F92" i="1" s="1"/>
  <c r="BQ90" i="1"/>
  <c r="BO90" i="1"/>
  <c r="BN90" i="1"/>
  <c r="BE90" i="1"/>
  <c r="BC90" i="1"/>
  <c r="BB90" i="1"/>
  <c r="BF91" i="1" s="1"/>
  <c r="BG91" i="1" s="1"/>
  <c r="BQ89" i="1"/>
  <c r="BO89" i="1"/>
  <c r="BN89" i="1"/>
  <c r="BR90" i="1" s="1"/>
  <c r="BT90" i="1" s="1"/>
  <c r="BE89" i="1"/>
  <c r="BC89" i="1"/>
  <c r="BB89" i="1"/>
  <c r="BQ88" i="1"/>
  <c r="BO88" i="1"/>
  <c r="BN88" i="1"/>
  <c r="BE88" i="1"/>
  <c r="BC88" i="1"/>
  <c r="BB88" i="1"/>
  <c r="BF89" i="1" s="1"/>
  <c r="BH89" i="1" s="1"/>
  <c r="BQ87" i="1"/>
  <c r="BO87" i="1"/>
  <c r="BN87" i="1"/>
  <c r="BE87" i="1"/>
  <c r="BC87" i="1"/>
  <c r="BB87" i="1"/>
  <c r="BQ86" i="1"/>
  <c r="BO86" i="1"/>
  <c r="BN86" i="1"/>
  <c r="BE86" i="1"/>
  <c r="BF87" i="1" s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F83" i="1"/>
  <c r="BE83" i="1"/>
  <c r="BC83" i="1"/>
  <c r="BB83" i="1"/>
  <c r="BQ82" i="1"/>
  <c r="BO82" i="1"/>
  <c r="BN82" i="1"/>
  <c r="BE82" i="1"/>
  <c r="BC82" i="1"/>
  <c r="BB82" i="1"/>
  <c r="BQ81" i="1"/>
  <c r="BR82" i="1" s="1"/>
  <c r="BT82" i="1" s="1"/>
  <c r="BO81" i="1"/>
  <c r="BN81" i="1"/>
  <c r="BE81" i="1"/>
  <c r="BC81" i="1"/>
  <c r="BB81" i="1"/>
  <c r="BQ80" i="1"/>
  <c r="BO80" i="1"/>
  <c r="BR81" i="1" s="1"/>
  <c r="BN80" i="1"/>
  <c r="BE80" i="1"/>
  <c r="BC80" i="1"/>
  <c r="BB80" i="1"/>
  <c r="BQ79" i="1"/>
  <c r="BO79" i="1"/>
  <c r="BN79" i="1"/>
  <c r="BE79" i="1"/>
  <c r="BC79" i="1"/>
  <c r="BB79" i="1"/>
  <c r="BF80" i="1" s="1"/>
  <c r="BQ78" i="1"/>
  <c r="BO78" i="1"/>
  <c r="BN78" i="1"/>
  <c r="BE78" i="1"/>
  <c r="BC78" i="1"/>
  <c r="BB78" i="1"/>
  <c r="BF79" i="1" s="1"/>
  <c r="BG79" i="1" s="1"/>
  <c r="BQ77" i="1"/>
  <c r="BO77" i="1"/>
  <c r="BN77" i="1"/>
  <c r="BE77" i="1"/>
  <c r="BC77" i="1"/>
  <c r="BB77" i="1"/>
  <c r="BQ76" i="1"/>
  <c r="BR77" i="1" s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R72" i="1" s="1"/>
  <c r="BO71" i="1"/>
  <c r="BN71" i="1"/>
  <c r="BE71" i="1"/>
  <c r="BC71" i="1"/>
  <c r="BB71" i="1"/>
  <c r="BQ70" i="1"/>
  <c r="BO70" i="1"/>
  <c r="BN70" i="1"/>
  <c r="BE70" i="1"/>
  <c r="BC70" i="1"/>
  <c r="BB70" i="1"/>
  <c r="BF71" i="1" s="1"/>
  <c r="BH71" i="1" s="1"/>
  <c r="BQ69" i="1"/>
  <c r="BO69" i="1"/>
  <c r="BN69" i="1"/>
  <c r="BE69" i="1"/>
  <c r="BC69" i="1"/>
  <c r="BB69" i="1"/>
  <c r="BQ68" i="1"/>
  <c r="BO68" i="1"/>
  <c r="BN68" i="1"/>
  <c r="BR69" i="1" s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F66" i="1" s="1"/>
  <c r="BQ64" i="1"/>
  <c r="BO64" i="1"/>
  <c r="BN64" i="1"/>
  <c r="BE64" i="1"/>
  <c r="BC64" i="1"/>
  <c r="BB64" i="1"/>
  <c r="BQ63" i="1"/>
  <c r="BO63" i="1"/>
  <c r="BN63" i="1"/>
  <c r="BR64" i="1" s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R61" i="1" s="1"/>
  <c r="BE60" i="1"/>
  <c r="BC60" i="1"/>
  <c r="BB60" i="1"/>
  <c r="BQ59" i="1"/>
  <c r="BO59" i="1"/>
  <c r="BN59" i="1"/>
  <c r="BR60" i="1" s="1"/>
  <c r="BP60" i="1" s="1"/>
  <c r="BE59" i="1"/>
  <c r="BC59" i="1"/>
  <c r="BB59" i="1"/>
  <c r="BQ58" i="1"/>
  <c r="BO58" i="1"/>
  <c r="BN58" i="1"/>
  <c r="BE58" i="1"/>
  <c r="BC58" i="1"/>
  <c r="BB58" i="1"/>
  <c r="BF59" i="1" s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R55" i="1" s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F52" i="1" s="1"/>
  <c r="BB51" i="1"/>
  <c r="BQ50" i="1"/>
  <c r="BO50" i="1"/>
  <c r="BN50" i="1"/>
  <c r="BE50" i="1"/>
  <c r="BC50" i="1"/>
  <c r="BB50" i="1"/>
  <c r="BF51" i="1" s="1"/>
  <c r="BQ49" i="1"/>
  <c r="BO49" i="1"/>
  <c r="BN49" i="1"/>
  <c r="BR50" i="1" s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F45" i="1" s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R39" i="1" s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R37" i="1" s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R33" i="1" s="1"/>
  <c r="BO32" i="1"/>
  <c r="BN32" i="1"/>
  <c r="BF32" i="1"/>
  <c r="BH32" i="1" s="1"/>
  <c r="BE32" i="1"/>
  <c r="BC32" i="1"/>
  <c r="BB32" i="1"/>
  <c r="BQ31" i="1"/>
  <c r="BO31" i="1"/>
  <c r="BN31" i="1"/>
  <c r="BR32" i="1" s="1"/>
  <c r="BE31" i="1"/>
  <c r="BC31" i="1"/>
  <c r="BB31" i="1"/>
  <c r="BQ30" i="1"/>
  <c r="BO30" i="1"/>
  <c r="BN30" i="1"/>
  <c r="BE30" i="1"/>
  <c r="BC30" i="1"/>
  <c r="BB30" i="1"/>
  <c r="BF31" i="1" s="1"/>
  <c r="BD31" i="1" s="1"/>
  <c r="BT29" i="1"/>
  <c r="BQ29" i="1"/>
  <c r="BO29" i="1"/>
  <c r="BN29" i="1"/>
  <c r="BE29" i="1"/>
  <c r="BC29" i="1"/>
  <c r="BB29" i="1"/>
  <c r="BQ28" i="1"/>
  <c r="BO28" i="1"/>
  <c r="BN28" i="1"/>
  <c r="BR29" i="1" s="1"/>
  <c r="BP29" i="1" s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F27" i="1" s="1"/>
  <c r="BC26" i="1"/>
  <c r="BB26" i="1"/>
  <c r="BQ25" i="1"/>
  <c r="BO25" i="1"/>
  <c r="BN25" i="1"/>
  <c r="BR26" i="1" s="1"/>
  <c r="BE25" i="1"/>
  <c r="BC25" i="1"/>
  <c r="BB25" i="1"/>
  <c r="BQ24" i="1"/>
  <c r="BO24" i="1"/>
  <c r="BN24" i="1"/>
  <c r="BE24" i="1"/>
  <c r="BC24" i="1"/>
  <c r="BB24" i="1"/>
  <c r="BF25" i="1" s="1"/>
  <c r="BG25" i="1" s="1"/>
  <c r="BQ23" i="1"/>
  <c r="BO23" i="1"/>
  <c r="BN23" i="1"/>
  <c r="BE23" i="1"/>
  <c r="BC23" i="1"/>
  <c r="BB23" i="1"/>
  <c r="BQ22" i="1"/>
  <c r="BP22" i="1"/>
  <c r="BO22" i="1"/>
  <c r="BN22" i="1"/>
  <c r="BR23" i="1" s="1"/>
  <c r="BP23" i="1" s="1"/>
  <c r="BE22" i="1"/>
  <c r="BD22" i="1"/>
  <c r="BC22" i="1"/>
  <c r="BB22" i="1"/>
  <c r="BF23" i="1" s="1"/>
  <c r="BH23" i="1" s="1"/>
  <c r="BQ21" i="1"/>
  <c r="BR22" i="1" s="1"/>
  <c r="BE21" i="1"/>
  <c r="BF22" i="1" s="1"/>
  <c r="BH22" i="1" s="1"/>
  <c r="BT20" i="1"/>
  <c r="BS20" i="1"/>
  <c r="BH20" i="1"/>
  <c r="BG20" i="1"/>
  <c r="BR114" i="1" l="1"/>
  <c r="BT114" i="1" s="1"/>
  <c r="BT77" i="1"/>
  <c r="BP77" i="1"/>
  <c r="BS39" i="1"/>
  <c r="BP39" i="1"/>
  <c r="BS64" i="1"/>
  <c r="BP64" i="1"/>
  <c r="BP113" i="1"/>
  <c r="BT113" i="1"/>
  <c r="BS113" i="1"/>
  <c r="BU113" i="1" s="1"/>
  <c r="BF38" i="1"/>
  <c r="BD38" i="1" s="1"/>
  <c r="BF114" i="1"/>
  <c r="BH114" i="1" s="1"/>
  <c r="BR115" i="1"/>
  <c r="BS115" i="1" s="1"/>
  <c r="BF120" i="1"/>
  <c r="BD120" i="1" s="1"/>
  <c r="BR135" i="1"/>
  <c r="BT135" i="1" s="1"/>
  <c r="BR146" i="1"/>
  <c r="BS23" i="1"/>
  <c r="BR78" i="1"/>
  <c r="BF96" i="1"/>
  <c r="BH96" i="1" s="1"/>
  <c r="BF103" i="1"/>
  <c r="BF131" i="1"/>
  <c r="BH152" i="1"/>
  <c r="BG22" i="1"/>
  <c r="BI22" i="1" s="1"/>
  <c r="BJ22" i="1" s="1"/>
  <c r="BR38" i="1"/>
  <c r="BP38" i="1" s="1"/>
  <c r="BF125" i="1"/>
  <c r="BG125" i="1" s="1"/>
  <c r="BR140" i="1"/>
  <c r="BT140" i="1" s="1"/>
  <c r="BR142" i="1"/>
  <c r="BP142" i="1" s="1"/>
  <c r="BF156" i="1"/>
  <c r="BH156" i="1" s="1"/>
  <c r="BF30" i="1"/>
  <c r="BH30" i="1" s="1"/>
  <c r="BR40" i="1"/>
  <c r="BF43" i="1"/>
  <c r="BD43" i="1" s="1"/>
  <c r="BF54" i="1"/>
  <c r="BG54" i="1" s="1"/>
  <c r="BR67" i="1"/>
  <c r="BR160" i="1"/>
  <c r="BR141" i="1"/>
  <c r="BP141" i="1" s="1"/>
  <c r="BP139" i="1"/>
  <c r="BF161" i="1"/>
  <c r="BD161" i="1" s="1"/>
  <c r="BF28" i="1"/>
  <c r="BD28" i="1" s="1"/>
  <c r="BG31" i="1"/>
  <c r="BR34" i="1"/>
  <c r="BS34" i="1" s="1"/>
  <c r="BF39" i="1"/>
  <c r="BH39" i="1" s="1"/>
  <c r="BF41" i="1"/>
  <c r="BH41" i="1" s="1"/>
  <c r="BF88" i="1"/>
  <c r="BD88" i="1" s="1"/>
  <c r="BF108" i="1"/>
  <c r="BF121" i="1"/>
  <c r="BR125" i="1"/>
  <c r="BH135" i="1"/>
  <c r="BP109" i="1"/>
  <c r="BR116" i="1"/>
  <c r="BS139" i="1"/>
  <c r="BU139" i="1" s="1"/>
  <c r="BF159" i="1"/>
  <c r="BG159" i="1" s="1"/>
  <c r="BI159" i="1" s="1"/>
  <c r="BR30" i="1"/>
  <c r="BP30" i="1" s="1"/>
  <c r="BR36" i="1"/>
  <c r="BT36" i="1" s="1"/>
  <c r="BS60" i="1"/>
  <c r="BR70" i="1"/>
  <c r="BS70" i="1" s="1"/>
  <c r="BF86" i="1"/>
  <c r="BD86" i="1" s="1"/>
  <c r="BF117" i="1"/>
  <c r="BH117" i="1" s="1"/>
  <c r="BF46" i="1"/>
  <c r="BH46" i="1" s="1"/>
  <c r="BF102" i="1"/>
  <c r="BS109" i="1"/>
  <c r="BR121" i="1"/>
  <c r="BF126" i="1"/>
  <c r="BR143" i="1"/>
  <c r="BP143" i="1" s="1"/>
  <c r="BF148" i="1"/>
  <c r="BG148" i="1" s="1"/>
  <c r="BR28" i="1"/>
  <c r="BT28" i="1" s="1"/>
  <c r="BF35" i="1"/>
  <c r="BD35" i="1" s="1"/>
  <c r="BF44" i="1"/>
  <c r="BH44" i="1" s="1"/>
  <c r="BR68" i="1"/>
  <c r="BP68" i="1" s="1"/>
  <c r="BF109" i="1"/>
  <c r="BD109" i="1" s="1"/>
  <c r="BF111" i="1"/>
  <c r="BH111" i="1" s="1"/>
  <c r="BR123" i="1"/>
  <c r="BS123" i="1" s="1"/>
  <c r="BR132" i="1"/>
  <c r="BP108" i="1"/>
  <c r="BT108" i="1"/>
  <c r="BS108" i="1"/>
  <c r="BU108" i="1" s="1"/>
  <c r="BT136" i="1"/>
  <c r="BP136" i="1"/>
  <c r="BS136" i="1"/>
  <c r="BU136" i="1" s="1"/>
  <c r="BT106" i="1"/>
  <c r="BS106" i="1"/>
  <c r="BP106" i="1"/>
  <c r="BP134" i="1"/>
  <c r="BS134" i="1"/>
  <c r="BS120" i="1"/>
  <c r="BR58" i="1"/>
  <c r="BR86" i="1"/>
  <c r="BT86" i="1" s="1"/>
  <c r="BT120" i="1"/>
  <c r="BR65" i="1"/>
  <c r="BP65" i="1" s="1"/>
  <c r="BR66" i="1" s="1"/>
  <c r="BR144" i="1"/>
  <c r="BP144" i="1" s="1"/>
  <c r="BR145" i="1" s="1"/>
  <c r="BT39" i="1"/>
  <c r="BU39" i="1" s="1"/>
  <c r="BR110" i="1"/>
  <c r="BT110" i="1" s="1"/>
  <c r="BR130" i="1"/>
  <c r="BT130" i="1" s="1"/>
  <c r="BR31" i="1"/>
  <c r="BP31" i="1" s="1"/>
  <c r="BR59" i="1"/>
  <c r="BS77" i="1"/>
  <c r="BU77" i="1" s="1"/>
  <c r="BU109" i="1"/>
  <c r="BR24" i="1"/>
  <c r="BT24" i="1" s="1"/>
  <c r="BR118" i="1"/>
  <c r="BR122" i="1"/>
  <c r="BS122" i="1" s="1"/>
  <c r="BR57" i="1"/>
  <c r="BS29" i="1"/>
  <c r="BU29" i="1" s="1"/>
  <c r="BG59" i="1"/>
  <c r="BD59" i="1"/>
  <c r="BD131" i="1"/>
  <c r="BH131" i="1"/>
  <c r="BH148" i="1"/>
  <c r="BG32" i="1"/>
  <c r="BI32" i="1" s="1"/>
  <c r="BD23" i="1"/>
  <c r="BD89" i="1"/>
  <c r="BG23" i="1"/>
  <c r="BI23" i="1" s="1"/>
  <c r="BF76" i="1"/>
  <c r="BH104" i="1"/>
  <c r="BF55" i="1"/>
  <c r="BG89" i="1"/>
  <c r="BG145" i="1"/>
  <c r="BI145" i="1" s="1"/>
  <c r="BF34" i="1"/>
  <c r="BH34" i="1" s="1"/>
  <c r="BF53" i="1"/>
  <c r="BH53" i="1" s="1"/>
  <c r="BH79" i="1"/>
  <c r="BI79" i="1" s="1"/>
  <c r="BF122" i="1"/>
  <c r="BH145" i="1"/>
  <c r="BF42" i="1"/>
  <c r="BF101" i="1"/>
  <c r="BG101" i="1" s="1"/>
  <c r="BF29" i="1"/>
  <c r="BD29" i="1" s="1"/>
  <c r="BD71" i="1"/>
  <c r="BF72" i="1" s="1"/>
  <c r="BF129" i="1"/>
  <c r="BH129" i="1" s="1"/>
  <c r="BI104" i="1"/>
  <c r="BD32" i="1"/>
  <c r="BG46" i="1"/>
  <c r="BI46" i="1" s="1"/>
  <c r="BF115" i="1"/>
  <c r="BH115" i="1" s="1"/>
  <c r="BG152" i="1"/>
  <c r="BS26" i="1"/>
  <c r="BP26" i="1"/>
  <c r="BR27" i="1" s="1"/>
  <c r="BT26" i="1"/>
  <c r="BP28" i="1"/>
  <c r="BG52" i="1"/>
  <c r="BH52" i="1"/>
  <c r="BD52" i="1"/>
  <c r="BH38" i="1"/>
  <c r="BG38" i="1"/>
  <c r="BI38" i="1" s="1"/>
  <c r="BH29" i="1"/>
  <c r="BG29" i="1"/>
  <c r="BI29" i="1" s="1"/>
  <c r="BS72" i="1"/>
  <c r="BT72" i="1"/>
  <c r="BP72" i="1"/>
  <c r="BG44" i="1"/>
  <c r="BD44" i="1"/>
  <c r="BS61" i="1"/>
  <c r="BP61" i="1"/>
  <c r="BT61" i="1"/>
  <c r="BF48" i="1"/>
  <c r="BD42" i="1"/>
  <c r="BH42" i="1"/>
  <c r="BG42" i="1"/>
  <c r="BI42" i="1" s="1"/>
  <c r="BT69" i="1"/>
  <c r="BS69" i="1"/>
  <c r="BU69" i="1" s="1"/>
  <c r="BR25" i="1"/>
  <c r="BS40" i="1"/>
  <c r="BP40" i="1"/>
  <c r="BR41" i="1" s="1"/>
  <c r="BT40" i="1"/>
  <c r="BT67" i="1"/>
  <c r="BS67" i="1"/>
  <c r="BG111" i="1"/>
  <c r="BH128" i="1"/>
  <c r="BG128" i="1"/>
  <c r="BI128" i="1" s="1"/>
  <c r="BD128" i="1"/>
  <c r="BS157" i="1"/>
  <c r="BU157" i="1" s="1"/>
  <c r="BT160" i="1"/>
  <c r="BS160" i="1"/>
  <c r="BP160" i="1"/>
  <c r="BR161" i="1" s="1"/>
  <c r="BG28" i="1"/>
  <c r="BS50" i="1"/>
  <c r="BP50" i="1"/>
  <c r="BR51" i="1" s="1"/>
  <c r="BR56" i="1"/>
  <c r="BG157" i="1"/>
  <c r="BI157" i="1" s="1"/>
  <c r="BH157" i="1"/>
  <c r="BD157" i="1"/>
  <c r="BT157" i="1"/>
  <c r="BS38" i="1"/>
  <c r="BT50" i="1"/>
  <c r="BT59" i="1"/>
  <c r="BP59" i="1"/>
  <c r="BS59" i="1"/>
  <c r="BU59" i="1" s="1"/>
  <c r="BF84" i="1"/>
  <c r="BD91" i="1"/>
  <c r="BH91" i="1"/>
  <c r="BI91" i="1" s="1"/>
  <c r="BT118" i="1"/>
  <c r="BP118" i="1"/>
  <c r="BS118" i="1"/>
  <c r="BU118" i="1" s="1"/>
  <c r="BS143" i="1"/>
  <c r="BF167" i="1"/>
  <c r="BD98" i="1"/>
  <c r="BH98" i="1"/>
  <c r="BI98" i="1" s="1"/>
  <c r="BD126" i="1"/>
  <c r="BH126" i="1"/>
  <c r="BG126" i="1"/>
  <c r="BI126" i="1" s="1"/>
  <c r="BT128" i="1"/>
  <c r="BS128" i="1"/>
  <c r="BP128" i="1"/>
  <c r="BT146" i="1"/>
  <c r="BS146" i="1"/>
  <c r="BU146" i="1" s="1"/>
  <c r="BP146" i="1"/>
  <c r="BH106" i="1"/>
  <c r="BG106" i="1"/>
  <c r="BI106" i="1" s="1"/>
  <c r="BD106" i="1"/>
  <c r="BG108" i="1"/>
  <c r="BH108" i="1"/>
  <c r="BD108" i="1"/>
  <c r="BP117" i="1"/>
  <c r="BS117" i="1"/>
  <c r="BT117" i="1"/>
  <c r="BT132" i="1"/>
  <c r="BS132" i="1"/>
  <c r="BU132" i="1" s="1"/>
  <c r="BP132" i="1"/>
  <c r="BT143" i="1"/>
  <c r="BH76" i="1"/>
  <c r="BD76" i="1"/>
  <c r="BF77" i="1" s="1"/>
  <c r="BG76" i="1"/>
  <c r="BI76" i="1" s="1"/>
  <c r="BR87" i="1"/>
  <c r="BR124" i="1"/>
  <c r="BH134" i="1"/>
  <c r="BG134" i="1"/>
  <c r="BD134" i="1"/>
  <c r="BD154" i="1"/>
  <c r="BG154" i="1"/>
  <c r="BH154" i="1"/>
  <c r="BH83" i="1"/>
  <c r="BG83" i="1"/>
  <c r="BI83" i="1" s="1"/>
  <c r="BD83" i="1"/>
  <c r="BP115" i="1"/>
  <c r="BD102" i="1"/>
  <c r="BH102" i="1"/>
  <c r="BG102" i="1"/>
  <c r="BD123" i="1"/>
  <c r="BH123" i="1"/>
  <c r="BG123" i="1"/>
  <c r="BI123" i="1" s="1"/>
  <c r="BT129" i="1"/>
  <c r="BP129" i="1"/>
  <c r="BS33" i="1"/>
  <c r="BP33" i="1"/>
  <c r="BS129" i="1"/>
  <c r="BT33" i="1"/>
  <c r="BH31" i="1"/>
  <c r="BH51" i="1"/>
  <c r="BG51" i="1"/>
  <c r="BI51" i="1" s="1"/>
  <c r="BD51" i="1"/>
  <c r="BH54" i="1"/>
  <c r="BI54" i="1" s="1"/>
  <c r="BD54" i="1"/>
  <c r="BF60" i="1"/>
  <c r="BP67" i="1"/>
  <c r="BT70" i="1"/>
  <c r="BU70" i="1" s="1"/>
  <c r="BP70" i="1"/>
  <c r="BR71" i="1" s="1"/>
  <c r="BT81" i="1"/>
  <c r="BS81" i="1"/>
  <c r="BP81" i="1"/>
  <c r="BR91" i="1"/>
  <c r="BD105" i="1"/>
  <c r="BH105" i="1"/>
  <c r="BD80" i="1"/>
  <c r="BH80" i="1"/>
  <c r="BG80" i="1"/>
  <c r="BI80" i="1" s="1"/>
  <c r="BS86" i="1"/>
  <c r="BP86" i="1"/>
  <c r="BG87" i="1"/>
  <c r="BD87" i="1"/>
  <c r="BG105" i="1"/>
  <c r="BR138" i="1"/>
  <c r="BP140" i="1"/>
  <c r="BH27" i="1"/>
  <c r="BD27" i="1"/>
  <c r="BG27" i="1"/>
  <c r="BP55" i="1"/>
  <c r="BT55" i="1"/>
  <c r="BS55" i="1"/>
  <c r="BU55" i="1" s="1"/>
  <c r="BH25" i="1"/>
  <c r="BI25" i="1" s="1"/>
  <c r="BD25" i="1"/>
  <c r="BF26" i="1" s="1"/>
  <c r="BP37" i="1"/>
  <c r="BT37" i="1"/>
  <c r="BS37" i="1"/>
  <c r="BS58" i="1"/>
  <c r="BT58" i="1"/>
  <c r="BP58" i="1"/>
  <c r="BT23" i="1"/>
  <c r="BU23" i="1" s="1"/>
  <c r="BG45" i="1"/>
  <c r="BH45" i="1"/>
  <c r="BD45" i="1"/>
  <c r="BH43" i="1"/>
  <c r="BG43" i="1"/>
  <c r="BI43" i="1" s="1"/>
  <c r="BT60" i="1"/>
  <c r="BG66" i="1"/>
  <c r="BD66" i="1"/>
  <c r="BF67" i="1" s="1"/>
  <c r="BP69" i="1"/>
  <c r="BR73" i="1"/>
  <c r="BH87" i="1"/>
  <c r="BT22" i="1"/>
  <c r="BS22" i="1"/>
  <c r="BF24" i="1"/>
  <c r="BS32" i="1"/>
  <c r="BT32" i="1"/>
  <c r="BP32" i="1"/>
  <c r="BH35" i="1"/>
  <c r="BG35" i="1"/>
  <c r="BI35" i="1" s="1"/>
  <c r="BS57" i="1"/>
  <c r="BT57" i="1"/>
  <c r="BP57" i="1"/>
  <c r="BT64" i="1"/>
  <c r="BU64" i="1" s="1"/>
  <c r="BH66" i="1"/>
  <c r="BG103" i="1"/>
  <c r="BD103" i="1"/>
  <c r="BH103" i="1"/>
  <c r="BG150" i="1"/>
  <c r="BH150" i="1"/>
  <c r="BD150" i="1"/>
  <c r="BD116" i="1"/>
  <c r="BH116" i="1"/>
  <c r="BG116" i="1"/>
  <c r="BI116" i="1" s="1"/>
  <c r="BT142" i="1"/>
  <c r="BS142" i="1"/>
  <c r="BH155" i="1"/>
  <c r="BD155" i="1"/>
  <c r="BH59" i="1"/>
  <c r="BF81" i="1"/>
  <c r="BF110" i="1"/>
  <c r="BD119" i="1"/>
  <c r="BH119" i="1"/>
  <c r="BG119" i="1"/>
  <c r="BS125" i="1"/>
  <c r="BR131" i="1"/>
  <c r="BG155" i="1"/>
  <c r="BI155" i="1" s="1"/>
  <c r="BF163" i="1"/>
  <c r="BF36" i="1"/>
  <c r="BR49" i="1"/>
  <c r="BG94" i="1"/>
  <c r="BH94" i="1"/>
  <c r="BD94" i="1"/>
  <c r="BH127" i="1"/>
  <c r="BG127" i="1"/>
  <c r="BI127" i="1" s="1"/>
  <c r="BD127" i="1"/>
  <c r="BD133" i="1"/>
  <c r="BH133" i="1"/>
  <c r="BG133" i="1"/>
  <c r="BI133" i="1" s="1"/>
  <c r="BI89" i="1"/>
  <c r="BP127" i="1"/>
  <c r="BS127" i="1"/>
  <c r="BS78" i="1"/>
  <c r="BT78" i="1"/>
  <c r="BP78" i="1"/>
  <c r="BR79" i="1" s="1"/>
  <c r="BS107" i="1"/>
  <c r="BU107" i="1" s="1"/>
  <c r="BP107" i="1"/>
  <c r="BD79" i="1"/>
  <c r="BT127" i="1"/>
  <c r="BS141" i="1"/>
  <c r="BF37" i="1"/>
  <c r="BF47" i="1"/>
  <c r="BF56" i="1"/>
  <c r="BF57" i="1"/>
  <c r="BR62" i="1"/>
  <c r="BR63" i="1"/>
  <c r="BG71" i="1"/>
  <c r="BI71" i="1" s="1"/>
  <c r="BS82" i="1"/>
  <c r="BU82" i="1" s="1"/>
  <c r="BP82" i="1"/>
  <c r="BR83" i="1" s="1"/>
  <c r="BD96" i="1"/>
  <c r="BG96" i="1"/>
  <c r="BI96" i="1" s="1"/>
  <c r="BP122" i="1"/>
  <c r="BT122" i="1"/>
  <c r="BU122" i="1" s="1"/>
  <c r="BI135" i="1"/>
  <c r="BT141" i="1"/>
  <c r="BF58" i="1"/>
  <c r="BR75" i="1"/>
  <c r="BD101" i="1"/>
  <c r="BG118" i="1"/>
  <c r="BH118" i="1"/>
  <c r="BD118" i="1"/>
  <c r="BT121" i="1"/>
  <c r="BS121" i="1"/>
  <c r="BP121" i="1"/>
  <c r="BT144" i="1"/>
  <c r="BS144" i="1"/>
  <c r="BU144" i="1" s="1"/>
  <c r="BR147" i="1"/>
  <c r="BF33" i="1"/>
  <c r="BR35" i="1"/>
  <c r="BD46" i="1"/>
  <c r="BR74" i="1"/>
  <c r="BH92" i="1"/>
  <c r="BG92" i="1"/>
  <c r="BI92" i="1" s="1"/>
  <c r="BD92" i="1"/>
  <c r="BF99" i="1"/>
  <c r="BD112" i="1"/>
  <c r="BF113" i="1" s="1"/>
  <c r="BH112" i="1"/>
  <c r="BG112" i="1"/>
  <c r="BP130" i="1"/>
  <c r="BR158" i="1"/>
  <c r="BF162" i="1"/>
  <c r="BF107" i="1"/>
  <c r="BD138" i="1"/>
  <c r="BG138" i="1"/>
  <c r="BI138" i="1" s="1"/>
  <c r="BH159" i="1"/>
  <c r="BF166" i="1"/>
  <c r="BF85" i="1"/>
  <c r="BF93" i="1"/>
  <c r="BP114" i="1"/>
  <c r="BH121" i="1"/>
  <c r="BG121" i="1"/>
  <c r="BD121" i="1"/>
  <c r="BG122" i="1"/>
  <c r="BH122" i="1"/>
  <c r="BD122" i="1"/>
  <c r="BF165" i="1"/>
  <c r="BF100" i="1"/>
  <c r="BT134" i="1"/>
  <c r="BU134" i="1" s="1"/>
  <c r="BD124" i="1"/>
  <c r="BH124" i="1"/>
  <c r="BG124" i="1"/>
  <c r="BR133" i="1"/>
  <c r="BG136" i="1"/>
  <c r="BH136" i="1"/>
  <c r="BD136" i="1"/>
  <c r="BR137" i="1"/>
  <c r="BG164" i="1"/>
  <c r="BH164" i="1"/>
  <c r="BD164" i="1"/>
  <c r="BD130" i="1"/>
  <c r="BH130" i="1"/>
  <c r="BF95" i="1"/>
  <c r="BF132" i="1"/>
  <c r="BF137" i="1"/>
  <c r="BP90" i="1"/>
  <c r="BF139" i="1"/>
  <c r="BF149" i="1"/>
  <c r="BF146" i="1"/>
  <c r="BF151" i="1"/>
  <c r="BF158" i="1"/>
  <c r="BG130" i="1"/>
  <c r="BD135" i="1"/>
  <c r="BD148" i="1"/>
  <c r="BF153" i="1"/>
  <c r="BF90" i="1"/>
  <c r="BS90" i="1"/>
  <c r="BU90" i="1" s="1"/>
  <c r="BD104" i="1"/>
  <c r="BR119" i="1"/>
  <c r="BG131" i="1"/>
  <c r="BR126" i="1"/>
  <c r="BF97" i="1"/>
  <c r="BP123" i="1" l="1"/>
  <c r="BS31" i="1"/>
  <c r="BS140" i="1"/>
  <c r="BU140" i="1" s="1"/>
  <c r="BI154" i="1"/>
  <c r="BT38" i="1"/>
  <c r="BU61" i="1"/>
  <c r="BU60" i="1"/>
  <c r="BG41" i="1"/>
  <c r="BI41" i="1" s="1"/>
  <c r="BU38" i="1"/>
  <c r="BD30" i="1"/>
  <c r="BS110" i="1"/>
  <c r="BS28" i="1"/>
  <c r="BU28" i="1" s="1"/>
  <c r="BG86" i="1"/>
  <c r="BI86" i="1" s="1"/>
  <c r="BX86" i="1" s="1"/>
  <c r="BG161" i="1"/>
  <c r="BI161" i="1" s="1"/>
  <c r="BG30" i="1"/>
  <c r="BG120" i="1"/>
  <c r="BP110" i="1"/>
  <c r="BR111" i="1" s="1"/>
  <c r="BS36" i="1"/>
  <c r="BS30" i="1"/>
  <c r="BU30" i="1" s="1"/>
  <c r="BP116" i="1"/>
  <c r="BT116" i="1"/>
  <c r="BS116" i="1"/>
  <c r="BU116" i="1" s="1"/>
  <c r="BX116" i="1" s="1"/>
  <c r="BU125" i="1"/>
  <c r="BD117" i="1"/>
  <c r="BH161" i="1"/>
  <c r="BH120" i="1"/>
  <c r="BP135" i="1"/>
  <c r="BH28" i="1"/>
  <c r="BI28" i="1" s="1"/>
  <c r="BX28" i="1" s="1"/>
  <c r="BT30" i="1"/>
  <c r="BT123" i="1"/>
  <c r="BU123" i="1" s="1"/>
  <c r="BH88" i="1"/>
  <c r="BI31" i="1"/>
  <c r="BS135" i="1"/>
  <c r="BU135" i="1" s="1"/>
  <c r="BP34" i="1"/>
  <c r="BG117" i="1"/>
  <c r="BI117" i="1" s="1"/>
  <c r="BG53" i="1"/>
  <c r="BI53" i="1" s="1"/>
  <c r="BP36" i="1"/>
  <c r="BD159" i="1"/>
  <c r="BF160" i="1" s="1"/>
  <c r="BH160" i="1" s="1"/>
  <c r="BT68" i="1"/>
  <c r="BG39" i="1"/>
  <c r="BI39" i="1" s="1"/>
  <c r="BX39" i="1" s="1"/>
  <c r="BD114" i="1"/>
  <c r="BP24" i="1"/>
  <c r="BT34" i="1"/>
  <c r="BU34" i="1" s="1"/>
  <c r="BT125" i="1"/>
  <c r="BP125" i="1"/>
  <c r="BG115" i="1"/>
  <c r="BI45" i="1"/>
  <c r="BD41" i="1"/>
  <c r="BD156" i="1"/>
  <c r="BI118" i="1"/>
  <c r="BG88" i="1"/>
  <c r="BI88" i="1" s="1"/>
  <c r="BD125" i="1"/>
  <c r="BH109" i="1"/>
  <c r="BS68" i="1"/>
  <c r="BU68" i="1" s="1"/>
  <c r="BD39" i="1"/>
  <c r="BF40" i="1" s="1"/>
  <c r="BT115" i="1"/>
  <c r="BG114" i="1"/>
  <c r="BD111" i="1"/>
  <c r="BS24" i="1"/>
  <c r="BG156" i="1"/>
  <c r="BI156" i="1" s="1"/>
  <c r="BS114" i="1"/>
  <c r="BU114" i="1" s="1"/>
  <c r="BH125" i="1"/>
  <c r="BI125" i="1" s="1"/>
  <c r="BX125" i="1" s="1"/>
  <c r="BH86" i="1"/>
  <c r="BI131" i="1"/>
  <c r="BG109" i="1"/>
  <c r="BI109" i="1" s="1"/>
  <c r="BX109" i="1" s="1"/>
  <c r="BI124" i="1"/>
  <c r="BU128" i="1"/>
  <c r="BX128" i="1" s="1"/>
  <c r="BI152" i="1"/>
  <c r="BU106" i="1"/>
  <c r="BS145" i="1"/>
  <c r="BT145" i="1"/>
  <c r="BP145" i="1"/>
  <c r="BX123" i="1"/>
  <c r="BS130" i="1"/>
  <c r="BU130" i="1" s="1"/>
  <c r="BU143" i="1"/>
  <c r="BU57" i="1"/>
  <c r="BU72" i="1"/>
  <c r="BU86" i="1"/>
  <c r="BX29" i="1"/>
  <c r="BX118" i="1"/>
  <c r="BU24" i="1"/>
  <c r="BU120" i="1"/>
  <c r="BT65" i="1"/>
  <c r="BU32" i="1"/>
  <c r="BX32" i="1" s="1"/>
  <c r="BS65" i="1"/>
  <c r="BU65" i="1" s="1"/>
  <c r="BU33" i="1"/>
  <c r="BX106" i="1"/>
  <c r="BT31" i="1"/>
  <c r="BU31" i="1" s="1"/>
  <c r="BX31" i="1" s="1"/>
  <c r="BU40" i="1"/>
  <c r="BU115" i="1"/>
  <c r="BX157" i="1"/>
  <c r="BU26" i="1"/>
  <c r="BU127" i="1"/>
  <c r="BX127" i="1" s="1"/>
  <c r="BU67" i="1"/>
  <c r="BX38" i="1"/>
  <c r="BI121" i="1"/>
  <c r="BD34" i="1"/>
  <c r="BI103" i="1"/>
  <c r="BG129" i="1"/>
  <c r="BI129" i="1" s="1"/>
  <c r="BD55" i="1"/>
  <c r="BG55" i="1"/>
  <c r="BH55" i="1"/>
  <c r="BI87" i="1"/>
  <c r="BG34" i="1"/>
  <c r="BI34" i="1" s="1"/>
  <c r="BX34" i="1" s="1"/>
  <c r="BH101" i="1"/>
  <c r="BI101" i="1" s="1"/>
  <c r="BI102" i="1"/>
  <c r="BD129" i="1"/>
  <c r="BI122" i="1"/>
  <c r="BX122" i="1" s="1"/>
  <c r="BD115" i="1"/>
  <c r="BI59" i="1"/>
  <c r="BX59" i="1" s="1"/>
  <c r="BD53" i="1"/>
  <c r="BI148" i="1"/>
  <c r="BI112" i="1"/>
  <c r="BI30" i="1"/>
  <c r="BX30" i="1" s="1"/>
  <c r="BI114" i="1"/>
  <c r="BX114" i="1" s="1"/>
  <c r="BI44" i="1"/>
  <c r="BT161" i="1"/>
  <c r="BS161" i="1"/>
  <c r="BP161" i="1"/>
  <c r="BR162" i="1" s="1"/>
  <c r="BH26" i="1"/>
  <c r="BG26" i="1"/>
  <c r="BI26" i="1" s="1"/>
  <c r="BD26" i="1"/>
  <c r="BS51" i="1"/>
  <c r="BT51" i="1"/>
  <c r="BP51" i="1"/>
  <c r="BR52" i="1" s="1"/>
  <c r="BT83" i="1"/>
  <c r="BP83" i="1"/>
  <c r="BR84" i="1" s="1"/>
  <c r="BS83" i="1"/>
  <c r="BU83" i="1" s="1"/>
  <c r="BX83" i="1" s="1"/>
  <c r="BP41" i="1"/>
  <c r="BR42" i="1" s="1"/>
  <c r="BT41" i="1"/>
  <c r="BS41" i="1"/>
  <c r="BS79" i="1"/>
  <c r="BP79" i="1"/>
  <c r="BR80" i="1" s="1"/>
  <c r="BT79" i="1"/>
  <c r="BT27" i="1"/>
  <c r="BS27" i="1"/>
  <c r="BP27" i="1"/>
  <c r="BT126" i="1"/>
  <c r="BS126" i="1"/>
  <c r="BP126" i="1"/>
  <c r="BH107" i="1"/>
  <c r="BG107" i="1"/>
  <c r="BD107" i="1"/>
  <c r="BD37" i="1"/>
  <c r="BH37" i="1"/>
  <c r="BG37" i="1"/>
  <c r="BT66" i="1"/>
  <c r="BP66" i="1"/>
  <c r="BS66" i="1"/>
  <c r="BU66" i="1" s="1"/>
  <c r="BD158" i="1"/>
  <c r="BH158" i="1"/>
  <c r="BG158" i="1"/>
  <c r="BI158" i="1" s="1"/>
  <c r="BX135" i="1"/>
  <c r="BU141" i="1"/>
  <c r="BP124" i="1"/>
  <c r="BS124" i="1"/>
  <c r="BT124" i="1"/>
  <c r="BT56" i="1"/>
  <c r="BS56" i="1"/>
  <c r="BP56" i="1"/>
  <c r="BD151" i="1"/>
  <c r="BH151" i="1"/>
  <c r="BG151" i="1"/>
  <c r="BI151" i="1" s="1"/>
  <c r="BH162" i="1"/>
  <c r="BG162" i="1"/>
  <c r="BD162" i="1"/>
  <c r="BD110" i="1"/>
  <c r="BH110" i="1"/>
  <c r="BG110" i="1"/>
  <c r="BI110" i="1" s="1"/>
  <c r="BU110" i="1"/>
  <c r="BT25" i="1"/>
  <c r="BS25" i="1"/>
  <c r="BU25" i="1" s="1"/>
  <c r="BX25" i="1" s="1"/>
  <c r="BP25" i="1"/>
  <c r="BT111" i="1"/>
  <c r="BP111" i="1"/>
  <c r="BR112" i="1" s="1"/>
  <c r="BS111" i="1"/>
  <c r="BG167" i="1"/>
  <c r="BD167" i="1"/>
  <c r="BH167" i="1"/>
  <c r="BU50" i="1"/>
  <c r="BI164" i="1"/>
  <c r="BH100" i="1"/>
  <c r="BG100" i="1"/>
  <c r="BI100" i="1" s="1"/>
  <c r="BD100" i="1"/>
  <c r="BT74" i="1"/>
  <c r="BS74" i="1"/>
  <c r="BP74" i="1"/>
  <c r="BI94" i="1"/>
  <c r="BG72" i="1"/>
  <c r="BD72" i="1"/>
  <c r="BF73" i="1" s="1"/>
  <c r="BH72" i="1"/>
  <c r="BH24" i="1"/>
  <c r="BG24" i="1"/>
  <c r="BI24" i="1" s="1"/>
  <c r="BD24" i="1"/>
  <c r="BU58" i="1"/>
  <c r="BU117" i="1"/>
  <c r="BX117" i="1" s="1"/>
  <c r="BD149" i="1"/>
  <c r="BH149" i="1"/>
  <c r="BG149" i="1"/>
  <c r="BT137" i="1"/>
  <c r="BS137" i="1"/>
  <c r="BU137" i="1" s="1"/>
  <c r="BP137" i="1"/>
  <c r="BD165" i="1"/>
  <c r="BH165" i="1"/>
  <c r="BG165" i="1"/>
  <c r="BI165" i="1" s="1"/>
  <c r="BH93" i="1"/>
  <c r="BG93" i="1"/>
  <c r="BI93" i="1" s="1"/>
  <c r="BD93" i="1"/>
  <c r="BH67" i="1"/>
  <c r="BG67" i="1"/>
  <c r="BD67" i="1"/>
  <c r="BF68" i="1" s="1"/>
  <c r="BP49" i="1"/>
  <c r="BS49" i="1"/>
  <c r="BT49" i="1"/>
  <c r="BU22" i="1"/>
  <c r="BU37" i="1"/>
  <c r="BT158" i="1"/>
  <c r="BS158" i="1"/>
  <c r="BP158" i="1"/>
  <c r="BR159" i="1" s="1"/>
  <c r="BH85" i="1"/>
  <c r="BG85" i="1"/>
  <c r="BI85" i="1" s="1"/>
  <c r="BD85" i="1"/>
  <c r="BH113" i="1"/>
  <c r="BG113" i="1"/>
  <c r="BD113" i="1"/>
  <c r="BP91" i="1"/>
  <c r="BR92" i="1" s="1"/>
  <c r="BS91" i="1"/>
  <c r="BT91" i="1"/>
  <c r="BT87" i="1"/>
  <c r="BS87" i="1"/>
  <c r="BP87" i="1"/>
  <c r="BR88" i="1" s="1"/>
  <c r="BG90" i="1"/>
  <c r="BH90" i="1"/>
  <c r="BD90" i="1"/>
  <c r="BG153" i="1"/>
  <c r="BD153" i="1"/>
  <c r="BH153" i="1"/>
  <c r="BI136" i="1"/>
  <c r="BX136" i="1" s="1"/>
  <c r="BI115" i="1"/>
  <c r="BX115" i="1" s="1"/>
  <c r="BH33" i="1"/>
  <c r="BG33" i="1"/>
  <c r="BD33" i="1"/>
  <c r="BH163" i="1"/>
  <c r="BG163" i="1"/>
  <c r="BI163" i="1" s="1"/>
  <c r="BD163" i="1"/>
  <c r="BH77" i="1"/>
  <c r="BG77" i="1"/>
  <c r="BI77" i="1" s="1"/>
  <c r="BX77" i="1" s="1"/>
  <c r="BD77" i="1"/>
  <c r="BF78" i="1" s="1"/>
  <c r="BP138" i="1"/>
  <c r="BS138" i="1"/>
  <c r="BT138" i="1"/>
  <c r="BU81" i="1"/>
  <c r="BI108" i="1"/>
  <c r="BX108" i="1" s="1"/>
  <c r="BU36" i="1"/>
  <c r="BG139" i="1"/>
  <c r="BH139" i="1"/>
  <c r="BD139" i="1"/>
  <c r="BF140" i="1" s="1"/>
  <c r="BT35" i="1"/>
  <c r="BS35" i="1"/>
  <c r="BP35" i="1"/>
  <c r="BI111" i="1"/>
  <c r="BT133" i="1"/>
  <c r="BS133" i="1"/>
  <c r="BU133" i="1" s="1"/>
  <c r="BX133" i="1" s="1"/>
  <c r="BP133" i="1"/>
  <c r="BP73" i="1"/>
  <c r="BS73" i="1"/>
  <c r="BT73" i="1"/>
  <c r="BP62" i="1"/>
  <c r="BT62" i="1"/>
  <c r="BS62" i="1"/>
  <c r="BU62" i="1" s="1"/>
  <c r="BS71" i="1"/>
  <c r="BT71" i="1"/>
  <c r="BP71" i="1"/>
  <c r="BX23" i="1"/>
  <c r="BH48" i="1"/>
  <c r="BD48" i="1"/>
  <c r="BF49" i="1" s="1"/>
  <c r="BG48" i="1"/>
  <c r="BI52" i="1"/>
  <c r="BG146" i="1"/>
  <c r="BD146" i="1"/>
  <c r="BF147" i="1" s="1"/>
  <c r="BH146" i="1"/>
  <c r="BG81" i="1"/>
  <c r="BD81" i="1"/>
  <c r="BF82" i="1" s="1"/>
  <c r="BH81" i="1"/>
  <c r="BT119" i="1"/>
  <c r="BS119" i="1"/>
  <c r="BU119" i="1" s="1"/>
  <c r="BP119" i="1"/>
  <c r="BD36" i="1"/>
  <c r="BH36" i="1"/>
  <c r="BG36" i="1"/>
  <c r="BS75" i="1"/>
  <c r="BP75" i="1"/>
  <c r="BR76" i="1" s="1"/>
  <c r="BT75" i="1"/>
  <c r="BG40" i="1"/>
  <c r="BD40" i="1"/>
  <c r="BH40" i="1"/>
  <c r="BD137" i="1"/>
  <c r="BH137" i="1"/>
  <c r="BG137" i="1"/>
  <c r="BI137" i="1" s="1"/>
  <c r="BU78" i="1"/>
  <c r="BP131" i="1"/>
  <c r="BS131" i="1"/>
  <c r="BT131" i="1"/>
  <c r="BH58" i="1"/>
  <c r="BD58" i="1"/>
  <c r="BG58" i="1"/>
  <c r="BI58" i="1" s="1"/>
  <c r="BI150" i="1"/>
  <c r="BD166" i="1"/>
  <c r="BG166" i="1"/>
  <c r="BH166" i="1"/>
  <c r="BT147" i="1"/>
  <c r="BS147" i="1"/>
  <c r="BP147" i="1"/>
  <c r="BR148" i="1" s="1"/>
  <c r="BP63" i="1"/>
  <c r="BT63" i="1"/>
  <c r="BS63" i="1"/>
  <c r="BU63" i="1" s="1"/>
  <c r="BI130" i="1"/>
  <c r="BX130" i="1" s="1"/>
  <c r="BH57" i="1"/>
  <c r="BG57" i="1"/>
  <c r="BI57" i="1" s="1"/>
  <c r="BD57" i="1"/>
  <c r="BJ23" i="1"/>
  <c r="BD97" i="1"/>
  <c r="BH97" i="1"/>
  <c r="BG97" i="1"/>
  <c r="BG132" i="1"/>
  <c r="BH132" i="1"/>
  <c r="BD132" i="1"/>
  <c r="BD56" i="1"/>
  <c r="BH56" i="1"/>
  <c r="BG56" i="1"/>
  <c r="BI66" i="1"/>
  <c r="BX66" i="1" s="1"/>
  <c r="BI105" i="1"/>
  <c r="BU129" i="1"/>
  <c r="BD84" i="1"/>
  <c r="BH84" i="1"/>
  <c r="BG84" i="1"/>
  <c r="BD95" i="1"/>
  <c r="BH95" i="1"/>
  <c r="BG95" i="1"/>
  <c r="BH99" i="1"/>
  <c r="BG99" i="1"/>
  <c r="BI99" i="1" s="1"/>
  <c r="BD99" i="1"/>
  <c r="BU121" i="1"/>
  <c r="BX121" i="1" s="1"/>
  <c r="BG47" i="1"/>
  <c r="BD47" i="1"/>
  <c r="BH47" i="1"/>
  <c r="BI119" i="1"/>
  <c r="BX119" i="1" s="1"/>
  <c r="BU142" i="1"/>
  <c r="BI27" i="1"/>
  <c r="BH60" i="1"/>
  <c r="BD60" i="1"/>
  <c r="BF61" i="1" s="1"/>
  <c r="BG60" i="1"/>
  <c r="BI60" i="1" s="1"/>
  <c r="BI134" i="1"/>
  <c r="BX134" i="1" s="1"/>
  <c r="BU160" i="1"/>
  <c r="BU75" i="1" l="1"/>
  <c r="BG160" i="1"/>
  <c r="BD160" i="1"/>
  <c r="BX24" i="1"/>
  <c r="BI120" i="1"/>
  <c r="BX120" i="1"/>
  <c r="BX60" i="1"/>
  <c r="BI33" i="1"/>
  <c r="BX33" i="1" s="1"/>
  <c r="BU79" i="1"/>
  <c r="BX79" i="1" s="1"/>
  <c r="BU145" i="1"/>
  <c r="BX145" i="1" s="1"/>
  <c r="BU147" i="1"/>
  <c r="BX137" i="1"/>
  <c r="BU158" i="1"/>
  <c r="BX158" i="1" s="1"/>
  <c r="BU27" i="1"/>
  <c r="BX27" i="1" s="1"/>
  <c r="BX26" i="1"/>
  <c r="BU131" i="1"/>
  <c r="BX131" i="1" s="1"/>
  <c r="BX57" i="1"/>
  <c r="BU56" i="1"/>
  <c r="BU41" i="1"/>
  <c r="BX41" i="1" s="1"/>
  <c r="BI153" i="1"/>
  <c r="BI55" i="1"/>
  <c r="BX55" i="1" s="1"/>
  <c r="BI72" i="1"/>
  <c r="BX72" i="1" s="1"/>
  <c r="BI167" i="1"/>
  <c r="BJ24" i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I81" i="1"/>
  <c r="BX81" i="1" s="1"/>
  <c r="BX129" i="1"/>
  <c r="BI40" i="1"/>
  <c r="BX40" i="1" s="1"/>
  <c r="BI146" i="1"/>
  <c r="BX146" i="1" s="1"/>
  <c r="BI47" i="1"/>
  <c r="BI56" i="1"/>
  <c r="BD140" i="1"/>
  <c r="BF141" i="1" s="1"/>
  <c r="BH140" i="1"/>
  <c r="BG140" i="1"/>
  <c r="BU111" i="1"/>
  <c r="BX111" i="1" s="1"/>
  <c r="BP84" i="1"/>
  <c r="BR85" i="1" s="1"/>
  <c r="BT84" i="1"/>
  <c r="BS84" i="1"/>
  <c r="BU84" i="1" s="1"/>
  <c r="BD147" i="1"/>
  <c r="BH147" i="1"/>
  <c r="BG147" i="1"/>
  <c r="BI139" i="1"/>
  <c r="BX139" i="1" s="1"/>
  <c r="BT112" i="1"/>
  <c r="BS112" i="1"/>
  <c r="BU112" i="1" s="1"/>
  <c r="BX112" i="1" s="1"/>
  <c r="BP112" i="1"/>
  <c r="BU126" i="1"/>
  <c r="BX126" i="1" s="1"/>
  <c r="BP148" i="1"/>
  <c r="BR149" i="1" s="1"/>
  <c r="BT148" i="1"/>
  <c r="BS148" i="1"/>
  <c r="BP76" i="1"/>
  <c r="BS76" i="1"/>
  <c r="BT76" i="1"/>
  <c r="BP159" i="1"/>
  <c r="BS159" i="1"/>
  <c r="BT159" i="1"/>
  <c r="BT52" i="1"/>
  <c r="BP52" i="1"/>
  <c r="BR53" i="1" s="1"/>
  <c r="BS52" i="1"/>
  <c r="BI48" i="1"/>
  <c r="BP88" i="1"/>
  <c r="BR89" i="1" s="1"/>
  <c r="BT88" i="1"/>
  <c r="BS88" i="1"/>
  <c r="BU88" i="1" s="1"/>
  <c r="BX88" i="1" s="1"/>
  <c r="BI36" i="1"/>
  <c r="BX36" i="1" s="1"/>
  <c r="BD49" i="1"/>
  <c r="BF50" i="1" s="1"/>
  <c r="BH49" i="1"/>
  <c r="BG49" i="1"/>
  <c r="BU87" i="1"/>
  <c r="BX87" i="1" s="1"/>
  <c r="BI160" i="1"/>
  <c r="BX160" i="1" s="1"/>
  <c r="BU51" i="1"/>
  <c r="BX51" i="1" s="1"/>
  <c r="BI166" i="1"/>
  <c r="BU73" i="1"/>
  <c r="BX110" i="1"/>
  <c r="BU124" i="1"/>
  <c r="BX124" i="1" s="1"/>
  <c r="BV22" i="1"/>
  <c r="BV23" i="1" s="1"/>
  <c r="BV24" i="1" s="1"/>
  <c r="BV25" i="1" s="1"/>
  <c r="BV26" i="1" s="1"/>
  <c r="BX22" i="1"/>
  <c r="BI95" i="1"/>
  <c r="BU91" i="1"/>
  <c r="BX91" i="1" s="1"/>
  <c r="BU49" i="1"/>
  <c r="BI149" i="1"/>
  <c r="BI37" i="1"/>
  <c r="BX37" i="1" s="1"/>
  <c r="BT80" i="1"/>
  <c r="BP80" i="1"/>
  <c r="BS80" i="1"/>
  <c r="BI90" i="1"/>
  <c r="BX90" i="1" s="1"/>
  <c r="BH73" i="1"/>
  <c r="BD73" i="1"/>
  <c r="BF74" i="1" s="1"/>
  <c r="BG73" i="1"/>
  <c r="BI73" i="1" s="1"/>
  <c r="BX58" i="1"/>
  <c r="BP92" i="1"/>
  <c r="BR93" i="1" s="1"/>
  <c r="BT92" i="1"/>
  <c r="BS92" i="1"/>
  <c r="BU92" i="1" s="1"/>
  <c r="BX92" i="1" s="1"/>
  <c r="BH61" i="1"/>
  <c r="BD61" i="1"/>
  <c r="BF62" i="1" s="1"/>
  <c r="BG61" i="1"/>
  <c r="BI61" i="1" s="1"/>
  <c r="BX61" i="1" s="1"/>
  <c r="BI132" i="1"/>
  <c r="BX132" i="1" s="1"/>
  <c r="BU138" i="1"/>
  <c r="BX138" i="1" s="1"/>
  <c r="BD68" i="1"/>
  <c r="BF69" i="1" s="1"/>
  <c r="BG68" i="1"/>
  <c r="BH68" i="1"/>
  <c r="BP162" i="1"/>
  <c r="BR163" i="1" s="1"/>
  <c r="BT162" i="1"/>
  <c r="BS162" i="1"/>
  <c r="BI84" i="1"/>
  <c r="BI97" i="1"/>
  <c r="BU71" i="1"/>
  <c r="BX71" i="1" s="1"/>
  <c r="BU35" i="1"/>
  <c r="BX35" i="1" s="1"/>
  <c r="BI113" i="1"/>
  <c r="BX113" i="1" s="1"/>
  <c r="BI67" i="1"/>
  <c r="BX67" i="1" s="1"/>
  <c r="BU74" i="1"/>
  <c r="BI162" i="1"/>
  <c r="BU161" i="1"/>
  <c r="BX161" i="1" s="1"/>
  <c r="BH82" i="1"/>
  <c r="BG82" i="1"/>
  <c r="BI82" i="1" s="1"/>
  <c r="BX82" i="1" s="1"/>
  <c r="BD82" i="1"/>
  <c r="BD78" i="1"/>
  <c r="BH78" i="1"/>
  <c r="BG78" i="1"/>
  <c r="BI107" i="1"/>
  <c r="BX107" i="1" s="1"/>
  <c r="BT42" i="1"/>
  <c r="BS42" i="1"/>
  <c r="BP42" i="1"/>
  <c r="BR43" i="1" s="1"/>
  <c r="BU148" i="1" l="1"/>
  <c r="BX148" i="1" s="1"/>
  <c r="BU162" i="1"/>
  <c r="BU52" i="1"/>
  <c r="BX52" i="1" s="1"/>
  <c r="BV27" i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U80" i="1"/>
  <c r="BX80" i="1" s="1"/>
  <c r="BX56" i="1"/>
  <c r="BU42" i="1"/>
  <c r="BX42" i="1" s="1"/>
  <c r="BI140" i="1"/>
  <c r="BX140" i="1" s="1"/>
  <c r="BI78" i="1"/>
  <c r="BX78" i="1" s="1"/>
  <c r="BV42" i="1"/>
  <c r="BH50" i="1"/>
  <c r="BG50" i="1"/>
  <c r="BI50" i="1" s="1"/>
  <c r="BX50" i="1" s="1"/>
  <c r="BD50" i="1"/>
  <c r="BT43" i="1"/>
  <c r="BP43" i="1"/>
  <c r="BR44" i="1" s="1"/>
  <c r="BS43" i="1"/>
  <c r="BH62" i="1"/>
  <c r="BG62" i="1"/>
  <c r="BD62" i="1"/>
  <c r="BF63" i="1" s="1"/>
  <c r="BU76" i="1"/>
  <c r="BX76" i="1" s="1"/>
  <c r="BT149" i="1"/>
  <c r="BS149" i="1"/>
  <c r="BU149" i="1" s="1"/>
  <c r="BX149" i="1" s="1"/>
  <c r="BP149" i="1"/>
  <c r="BR150" i="1" s="1"/>
  <c r="BT163" i="1"/>
  <c r="BS163" i="1"/>
  <c r="BP163" i="1"/>
  <c r="BR164" i="1" s="1"/>
  <c r="BS89" i="1"/>
  <c r="BT89" i="1"/>
  <c r="BP89" i="1"/>
  <c r="BH74" i="1"/>
  <c r="BG74" i="1"/>
  <c r="BI74" i="1" s="1"/>
  <c r="BX74" i="1" s="1"/>
  <c r="BD74" i="1"/>
  <c r="BF75" i="1" s="1"/>
  <c r="BY22" i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P85" i="1"/>
  <c r="BT85" i="1"/>
  <c r="BS85" i="1"/>
  <c r="BU85" i="1" s="1"/>
  <c r="BX85" i="1" s="1"/>
  <c r="BS93" i="1"/>
  <c r="BP93" i="1"/>
  <c r="BR94" i="1" s="1"/>
  <c r="BT93" i="1"/>
  <c r="BI68" i="1"/>
  <c r="BX68" i="1" s="1"/>
  <c r="BX84" i="1"/>
  <c r="BP53" i="1"/>
  <c r="BR54" i="1" s="1"/>
  <c r="BT53" i="1"/>
  <c r="BS53" i="1"/>
  <c r="BX73" i="1"/>
  <c r="BJ36" i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X162" i="1"/>
  <c r="BG69" i="1"/>
  <c r="BH69" i="1"/>
  <c r="BD69" i="1"/>
  <c r="BF70" i="1" s="1"/>
  <c r="BI49" i="1"/>
  <c r="BU159" i="1"/>
  <c r="BX159" i="1" s="1"/>
  <c r="BI147" i="1"/>
  <c r="BX147" i="1" s="1"/>
  <c r="BH141" i="1"/>
  <c r="BG141" i="1"/>
  <c r="BI141" i="1" s="1"/>
  <c r="BX141" i="1" s="1"/>
  <c r="BD141" i="1"/>
  <c r="BF142" i="1" s="1"/>
  <c r="BI62" i="1" l="1"/>
  <c r="BX62" i="1" s="1"/>
  <c r="BU43" i="1"/>
  <c r="BX43" i="1" s="1"/>
  <c r="BU163" i="1"/>
  <c r="BX163" i="1" s="1"/>
  <c r="BY43" i="1"/>
  <c r="BH75" i="1"/>
  <c r="BG75" i="1"/>
  <c r="BD75" i="1"/>
  <c r="BU89" i="1"/>
  <c r="BX89" i="1" s="1"/>
  <c r="BP164" i="1"/>
  <c r="BR165" i="1" s="1"/>
  <c r="BS164" i="1"/>
  <c r="BT164" i="1"/>
  <c r="BY44" i="1"/>
  <c r="BX49" i="1"/>
  <c r="BD63" i="1"/>
  <c r="BF64" i="1" s="1"/>
  <c r="BH63" i="1"/>
  <c r="BG63" i="1"/>
  <c r="BI63" i="1" s="1"/>
  <c r="BT94" i="1"/>
  <c r="BP94" i="1"/>
  <c r="BR95" i="1" s="1"/>
  <c r="BS94" i="1"/>
  <c r="BT44" i="1"/>
  <c r="BP44" i="1"/>
  <c r="BR45" i="1" s="1"/>
  <c r="BS44" i="1"/>
  <c r="BU44" i="1" s="1"/>
  <c r="BX44" i="1" s="1"/>
  <c r="BJ49" i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U53" i="1"/>
  <c r="BX53" i="1" s="1"/>
  <c r="BS54" i="1"/>
  <c r="BP54" i="1"/>
  <c r="BT54" i="1"/>
  <c r="BT150" i="1"/>
  <c r="BS150" i="1"/>
  <c r="BP150" i="1"/>
  <c r="BR151" i="1" s="1"/>
  <c r="BD70" i="1"/>
  <c r="BH70" i="1"/>
  <c r="BG70" i="1"/>
  <c r="BI69" i="1"/>
  <c r="BX69" i="1" s="1"/>
  <c r="BU93" i="1"/>
  <c r="BX93" i="1" s="1"/>
  <c r="BD142" i="1"/>
  <c r="BF143" i="1" s="1"/>
  <c r="BH142" i="1"/>
  <c r="BG142" i="1"/>
  <c r="BI142" i="1" s="1"/>
  <c r="BX142" i="1" s="1"/>
  <c r="BV43" i="1"/>
  <c r="BV44" i="1" s="1"/>
  <c r="BU150" i="1" l="1"/>
  <c r="BX150" i="1" s="1"/>
  <c r="BI75" i="1"/>
  <c r="BX75" i="1" s="1"/>
  <c r="BI70" i="1"/>
  <c r="BX70" i="1" s="1"/>
  <c r="BJ63" i="1"/>
  <c r="BT151" i="1"/>
  <c r="BS151" i="1"/>
  <c r="BU151" i="1" s="1"/>
  <c r="BX151" i="1" s="1"/>
  <c r="BP151" i="1"/>
  <c r="BR152" i="1" s="1"/>
  <c r="BU54" i="1"/>
  <c r="BX54" i="1" s="1"/>
  <c r="BG143" i="1"/>
  <c r="BH143" i="1"/>
  <c r="BD143" i="1"/>
  <c r="BF144" i="1" s="1"/>
  <c r="BU164" i="1"/>
  <c r="BX164" i="1" s="1"/>
  <c r="BT45" i="1"/>
  <c r="BS45" i="1"/>
  <c r="BU45" i="1" s="1"/>
  <c r="BV45" i="1" s="1"/>
  <c r="BP45" i="1"/>
  <c r="BR46" i="1" s="1"/>
  <c r="BU94" i="1"/>
  <c r="BX94" i="1" s="1"/>
  <c r="BX63" i="1"/>
  <c r="BH64" i="1"/>
  <c r="BG64" i="1"/>
  <c r="BD64" i="1"/>
  <c r="BF65" i="1" s="1"/>
  <c r="BP165" i="1"/>
  <c r="BR166" i="1" s="1"/>
  <c r="BT165" i="1"/>
  <c r="BS165" i="1"/>
  <c r="BU165" i="1" s="1"/>
  <c r="BX165" i="1" s="1"/>
  <c r="BP95" i="1"/>
  <c r="BR96" i="1" s="1"/>
  <c r="BT95" i="1"/>
  <c r="BS95" i="1"/>
  <c r="BU95" i="1" s="1"/>
  <c r="BX95" i="1" s="1"/>
  <c r="BS46" i="1" l="1"/>
  <c r="BT46" i="1"/>
  <c r="BP46" i="1"/>
  <c r="BR47" i="1" s="1"/>
  <c r="BS96" i="1"/>
  <c r="BT96" i="1"/>
  <c r="BP96" i="1"/>
  <c r="BR97" i="1" s="1"/>
  <c r="BP166" i="1"/>
  <c r="BR167" i="1" s="1"/>
  <c r="BS166" i="1"/>
  <c r="BT166" i="1"/>
  <c r="BD144" i="1"/>
  <c r="BH144" i="1"/>
  <c r="BG144" i="1"/>
  <c r="BH65" i="1"/>
  <c r="BG65" i="1"/>
  <c r="BD65" i="1"/>
  <c r="BI143" i="1"/>
  <c r="BX143" i="1" s="1"/>
  <c r="BI64" i="1"/>
  <c r="BX45" i="1"/>
  <c r="BP152" i="1"/>
  <c r="BR153" i="1" s="1"/>
  <c r="BS152" i="1"/>
  <c r="BT152" i="1"/>
  <c r="BJ64" i="1"/>
  <c r="BU46" i="1" l="1"/>
  <c r="BX46" i="1" s="1"/>
  <c r="BV46" i="1"/>
  <c r="BI65" i="1"/>
  <c r="BX65" i="1" s="1"/>
  <c r="BU166" i="1"/>
  <c r="BX166" i="1" s="1"/>
  <c r="BT153" i="1"/>
  <c r="BS153" i="1"/>
  <c r="BP153" i="1"/>
  <c r="BR154" i="1" s="1"/>
  <c r="BT97" i="1"/>
  <c r="BS97" i="1"/>
  <c r="BP97" i="1"/>
  <c r="BR98" i="1" s="1"/>
  <c r="BU96" i="1"/>
  <c r="BX96" i="1" s="1"/>
  <c r="BX64" i="1"/>
  <c r="BJ10" i="1"/>
  <c r="BS47" i="1"/>
  <c r="BT47" i="1"/>
  <c r="BP47" i="1"/>
  <c r="BR48" i="1" s="1"/>
  <c r="BI144" i="1"/>
  <c r="BJ65" i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U152" i="1"/>
  <c r="BX152" i="1" s="1"/>
  <c r="BT167" i="1"/>
  <c r="BS167" i="1"/>
  <c r="BU167" i="1" s="1"/>
  <c r="BX167" i="1" s="1"/>
  <c r="BP167" i="1"/>
  <c r="BY45" i="1"/>
  <c r="BY46" i="1" s="1"/>
  <c r="BU97" i="1" l="1"/>
  <c r="BX97" i="1" s="1"/>
  <c r="BS98" i="1"/>
  <c r="BP98" i="1"/>
  <c r="BR99" i="1" s="1"/>
  <c r="BT98" i="1"/>
  <c r="BS48" i="1"/>
  <c r="BT48" i="1"/>
  <c r="BP48" i="1"/>
  <c r="BU47" i="1"/>
  <c r="BT154" i="1"/>
  <c r="BS154" i="1"/>
  <c r="BP154" i="1"/>
  <c r="BR155" i="1" s="1"/>
  <c r="BU153" i="1"/>
  <c r="BX153" i="1" s="1"/>
  <c r="BX144" i="1"/>
  <c r="BJ9" i="1"/>
  <c r="BJ11" i="1" s="1"/>
  <c r="BU98" i="1" l="1"/>
  <c r="BX98" i="1" s="1"/>
  <c r="BP155" i="1"/>
  <c r="BR156" i="1" s="1"/>
  <c r="BT155" i="1"/>
  <c r="BS155" i="1"/>
  <c r="BX47" i="1"/>
  <c r="BV47" i="1"/>
  <c r="BU154" i="1"/>
  <c r="BX154" i="1" s="1"/>
  <c r="BU48" i="1"/>
  <c r="BX48" i="1" s="1"/>
  <c r="BP99" i="1"/>
  <c r="BR100" i="1" s="1"/>
  <c r="BS99" i="1"/>
  <c r="BT99" i="1"/>
  <c r="BU99" i="1" l="1"/>
  <c r="BX99" i="1" s="1"/>
  <c r="BU155" i="1"/>
  <c r="BX155" i="1" s="1"/>
  <c r="BS100" i="1"/>
  <c r="BP100" i="1"/>
  <c r="BR101" i="1" s="1"/>
  <c r="BT100" i="1"/>
  <c r="BV48" i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Y47" i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T156" i="1"/>
  <c r="BS156" i="1"/>
  <c r="BU156" i="1" s="1"/>
  <c r="BP156" i="1"/>
  <c r="BX156" i="1" l="1"/>
  <c r="BT101" i="1"/>
  <c r="BS101" i="1"/>
  <c r="BU101" i="1" s="1"/>
  <c r="BX101" i="1" s="1"/>
  <c r="BP101" i="1"/>
  <c r="BR102" i="1" s="1"/>
  <c r="BU100" i="1"/>
  <c r="BX100" i="1" s="1"/>
  <c r="BP102" i="1" l="1"/>
  <c r="BR103" i="1" s="1"/>
  <c r="BS102" i="1"/>
  <c r="BT102" i="1"/>
  <c r="BV100" i="1"/>
  <c r="BV101" i="1" s="1"/>
  <c r="BY100" i="1"/>
  <c r="BY101" i="1" s="1"/>
  <c r="BU102" i="1" l="1"/>
  <c r="BS103" i="1"/>
  <c r="BT103" i="1"/>
  <c r="BP103" i="1"/>
  <c r="BR104" i="1" s="1"/>
  <c r="BT104" i="1" l="1"/>
  <c r="BS104" i="1"/>
  <c r="BU104" i="1" s="1"/>
  <c r="BX104" i="1" s="1"/>
  <c r="BP104" i="1"/>
  <c r="BR105" i="1" s="1"/>
  <c r="BU103" i="1"/>
  <c r="BX103" i="1" s="1"/>
  <c r="BX102" i="1"/>
  <c r="BY102" i="1" s="1"/>
  <c r="BY103" i="1" s="1"/>
  <c r="BY104" i="1" s="1"/>
  <c r="BV102" i="1"/>
  <c r="BV103" i="1" s="1"/>
  <c r="BV104" i="1" s="1"/>
  <c r="BT105" i="1" l="1"/>
  <c r="BS105" i="1"/>
  <c r="BU105" i="1" s="1"/>
  <c r="BP105" i="1"/>
  <c r="BX105" i="1" l="1"/>
  <c r="BV10" i="1"/>
  <c r="BV9" i="1"/>
  <c r="BV105" i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1" i="1" l="1"/>
  <c r="BY10" i="1"/>
  <c r="BY9" i="1"/>
  <c r="BY105" i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<sst xmlns="http://schemas.openxmlformats.org/spreadsheetml/2006/main" count="53" uniqueCount="42">
  <si>
    <t>date</t>
  </si>
  <si>
    <t>XLRE</t>
  </si>
  <si>
    <t>IYR</t>
  </si>
  <si>
    <t>XLRE log rtn</t>
  </si>
  <si>
    <t>IYR log rtn</t>
  </si>
  <si>
    <t>XLRE div</t>
  </si>
  <si>
    <t>XLRE div cumsum</t>
  </si>
  <si>
    <t>IYR div</t>
  </si>
  <si>
    <t>IYR div cumsum</t>
  </si>
  <si>
    <t>XLRE div adjustment</t>
  </si>
  <si>
    <t>IYR div adjustment</t>
  </si>
  <si>
    <t>XLRE*</t>
  </si>
  <si>
    <t>IYR*</t>
  </si>
  <si>
    <t>IYR/XLRE</t>
  </si>
  <si>
    <t>IYR/XLRE avg</t>
  </si>
  <si>
    <t>IYR/XLRE 10 dma</t>
  </si>
  <si>
    <t>IYR/XLRE 20 dma</t>
  </si>
  <si>
    <t>XLRE x avg</t>
  </si>
  <si>
    <t>XLRE x 10 dma</t>
  </si>
  <si>
    <t>XLRE x 20 dma</t>
  </si>
  <si>
    <t>log diff XLRE x avg / IYR</t>
  </si>
  <si>
    <t>log diff XLRE x 10 dma / IYR</t>
  </si>
  <si>
    <t>log diff XLRE x 20 dma / IYR</t>
  </si>
  <si>
    <t>IYR*/XLRE*</t>
  </si>
  <si>
    <t>IYR*/XLRE* avg</t>
  </si>
  <si>
    <t>IYR*/XLRE* 10 dma</t>
  </si>
  <si>
    <t>IYR*/XLRE* 20 dma</t>
  </si>
  <si>
    <t>XLRE* x avg</t>
  </si>
  <si>
    <t>XLRE* x 10 dma</t>
  </si>
  <si>
    <t>XLRE* x 20 dma</t>
  </si>
  <si>
    <t>log diff XLRE* x avg / IYR*</t>
  </si>
  <si>
    <t>log diff XLRE* x 10 dma / IYR*</t>
  </si>
  <si>
    <t>log diff XLRE* x 20 dma / IYR*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</si>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</sst>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XLRE_IYR_0!$O$1</c:f>
              <c:strCache>
                <c:ptCount val="1"/>
                <c:pt idx="0">
                  <c:v> IYR/XLRE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XLRE_IYR_0!$O$2:$O$167</c:f>
              <c:numCache>
                <c:formatCode>_(* #,##0.0000_);_(* \(#,##0.0000\);_(* "-"??_);_(@_)</c:formatCode>
                <c:ptCount val="166"/>
                <c:pt idx="0">
                  <c:v>2.3166568507100198</c:v>
                </c:pt>
                <c:pt idx="1">
                  <c:v>2.3166568507100198</c:v>
                </c:pt>
                <c:pt idx="2">
                  <c:v>2.3166568507100198</c:v>
                </c:pt>
                <c:pt idx="3">
                  <c:v>2.3166568507100198</c:v>
                </c:pt>
                <c:pt idx="4">
                  <c:v>2.3166568507100198</c:v>
                </c:pt>
                <c:pt idx="5">
                  <c:v>2.3166568507100198</c:v>
                </c:pt>
                <c:pt idx="6">
                  <c:v>2.3166568507100198</c:v>
                </c:pt>
                <c:pt idx="7">
                  <c:v>2.3166568507100198</c:v>
                </c:pt>
                <c:pt idx="8">
                  <c:v>2.3166568507100198</c:v>
                </c:pt>
                <c:pt idx="9">
                  <c:v>2.3166568507100198</c:v>
                </c:pt>
                <c:pt idx="10">
                  <c:v>2.3166568507100198</c:v>
                </c:pt>
                <c:pt idx="11">
                  <c:v>2.3166568507100198</c:v>
                </c:pt>
                <c:pt idx="12">
                  <c:v>2.3166568507100198</c:v>
                </c:pt>
                <c:pt idx="13">
                  <c:v>2.3166568507100198</c:v>
                </c:pt>
                <c:pt idx="14">
                  <c:v>2.3166568507100198</c:v>
                </c:pt>
                <c:pt idx="15">
                  <c:v>2.3166568507100198</c:v>
                </c:pt>
                <c:pt idx="16">
                  <c:v>2.3166568507100198</c:v>
                </c:pt>
                <c:pt idx="17">
                  <c:v>2.3166568507100198</c:v>
                </c:pt>
                <c:pt idx="18">
                  <c:v>2.3166568507100198</c:v>
                </c:pt>
                <c:pt idx="19">
                  <c:v>2.3166568507100198</c:v>
                </c:pt>
                <c:pt idx="20">
                  <c:v>2.3166568507100198</c:v>
                </c:pt>
                <c:pt idx="21">
                  <c:v>2.3166568507100198</c:v>
                </c:pt>
                <c:pt idx="22">
                  <c:v>2.3166568507100198</c:v>
                </c:pt>
                <c:pt idx="23">
                  <c:v>2.3166568507100198</c:v>
                </c:pt>
                <c:pt idx="24">
                  <c:v>2.3166568507100198</c:v>
                </c:pt>
                <c:pt idx="25">
                  <c:v>2.3166568507100198</c:v>
                </c:pt>
                <c:pt idx="26">
                  <c:v>2.3166568507100198</c:v>
                </c:pt>
                <c:pt idx="27">
                  <c:v>2.3166568507100198</c:v>
                </c:pt>
                <c:pt idx="28">
                  <c:v>2.3166568507100198</c:v>
                </c:pt>
                <c:pt idx="29">
                  <c:v>2.3166568507100198</c:v>
                </c:pt>
                <c:pt idx="30">
                  <c:v>2.3166568507100198</c:v>
                </c:pt>
                <c:pt idx="31">
                  <c:v>2.3166568507100198</c:v>
                </c:pt>
                <c:pt idx="32">
                  <c:v>2.3166568507100198</c:v>
                </c:pt>
                <c:pt idx="33">
                  <c:v>2.3166568507100198</c:v>
                </c:pt>
                <c:pt idx="34">
                  <c:v>2.3166568507100198</c:v>
                </c:pt>
                <c:pt idx="35">
                  <c:v>2.3166568507100198</c:v>
                </c:pt>
                <c:pt idx="36">
                  <c:v>2.3166568507100198</c:v>
                </c:pt>
                <c:pt idx="37">
                  <c:v>2.3166568507100198</c:v>
                </c:pt>
                <c:pt idx="38">
                  <c:v>2.3166568507100198</c:v>
                </c:pt>
                <c:pt idx="39">
                  <c:v>2.3166568507100198</c:v>
                </c:pt>
                <c:pt idx="40">
                  <c:v>2.3166568507100198</c:v>
                </c:pt>
                <c:pt idx="41">
                  <c:v>2.3166568507100198</c:v>
                </c:pt>
                <c:pt idx="42">
                  <c:v>2.3166568507100198</c:v>
                </c:pt>
                <c:pt idx="43">
                  <c:v>2.3166568507100198</c:v>
                </c:pt>
                <c:pt idx="44">
                  <c:v>2.3166568507100198</c:v>
                </c:pt>
                <c:pt idx="45">
                  <c:v>2.3166568507100198</c:v>
                </c:pt>
                <c:pt idx="46">
                  <c:v>2.3166568507100198</c:v>
                </c:pt>
                <c:pt idx="47">
                  <c:v>2.3166568507100198</c:v>
                </c:pt>
                <c:pt idx="48">
                  <c:v>2.3166568507100198</c:v>
                </c:pt>
                <c:pt idx="49">
                  <c:v>2.3166568507100198</c:v>
                </c:pt>
                <c:pt idx="50">
                  <c:v>2.3166568507100198</c:v>
                </c:pt>
                <c:pt idx="51">
                  <c:v>2.3166568507100198</c:v>
                </c:pt>
                <c:pt idx="52">
                  <c:v>2.3166568507100198</c:v>
                </c:pt>
                <c:pt idx="53">
                  <c:v>2.3166568507100198</c:v>
                </c:pt>
                <c:pt idx="54">
                  <c:v>2.3166568507100198</c:v>
                </c:pt>
                <c:pt idx="55">
                  <c:v>2.3166568507100198</c:v>
                </c:pt>
                <c:pt idx="56">
                  <c:v>2.3166568507100198</c:v>
                </c:pt>
                <c:pt idx="57">
                  <c:v>2.3166568507100198</c:v>
                </c:pt>
                <c:pt idx="58">
                  <c:v>2.3166568507100198</c:v>
                </c:pt>
                <c:pt idx="59">
                  <c:v>2.3166568507100198</c:v>
                </c:pt>
                <c:pt idx="60">
                  <c:v>2.3166568507100198</c:v>
                </c:pt>
                <c:pt idx="61">
                  <c:v>2.3166568507100198</c:v>
                </c:pt>
                <c:pt idx="62">
                  <c:v>2.3166568507100198</c:v>
                </c:pt>
                <c:pt idx="63">
                  <c:v>2.3166568507100198</c:v>
                </c:pt>
                <c:pt idx="64">
                  <c:v>2.3166568507100198</c:v>
                </c:pt>
                <c:pt idx="65">
                  <c:v>2.3166568507100198</c:v>
                </c:pt>
                <c:pt idx="66">
                  <c:v>2.3166568507100198</c:v>
                </c:pt>
                <c:pt idx="67">
                  <c:v>2.3166568507100198</c:v>
                </c:pt>
                <c:pt idx="68">
                  <c:v>2.3166568507100198</c:v>
                </c:pt>
                <c:pt idx="69">
                  <c:v>2.3166568507100198</c:v>
                </c:pt>
                <c:pt idx="70">
                  <c:v>2.3166568507100198</c:v>
                </c:pt>
                <c:pt idx="71">
                  <c:v>2.3166568507100198</c:v>
                </c:pt>
                <c:pt idx="72">
                  <c:v>2.3166568507100198</c:v>
                </c:pt>
                <c:pt idx="73">
                  <c:v>2.3166568507100198</c:v>
                </c:pt>
                <c:pt idx="74">
                  <c:v>2.3166568507100198</c:v>
                </c:pt>
                <c:pt idx="75">
                  <c:v>2.3166568507100198</c:v>
                </c:pt>
                <c:pt idx="76">
                  <c:v>2.3166568507100198</c:v>
                </c:pt>
                <c:pt idx="77">
                  <c:v>2.3166568507100198</c:v>
                </c:pt>
                <c:pt idx="78">
                  <c:v>2.3166568507100198</c:v>
                </c:pt>
                <c:pt idx="79">
                  <c:v>2.3166568507100198</c:v>
                </c:pt>
                <c:pt idx="80">
                  <c:v>2.3166568507100198</c:v>
                </c:pt>
                <c:pt idx="81">
                  <c:v>2.3166568507100198</c:v>
                </c:pt>
                <c:pt idx="82">
                  <c:v>2.3166568507100198</c:v>
                </c:pt>
                <c:pt idx="83">
                  <c:v>2.3166568507100198</c:v>
                </c:pt>
                <c:pt idx="84">
                  <c:v>2.3166568507100198</c:v>
                </c:pt>
                <c:pt idx="85">
                  <c:v>2.3166568507100198</c:v>
                </c:pt>
                <c:pt idx="86">
                  <c:v>2.3166568507100198</c:v>
                </c:pt>
                <c:pt idx="87">
                  <c:v>2.3166568507100198</c:v>
                </c:pt>
                <c:pt idx="88">
                  <c:v>2.3166568507100198</c:v>
                </c:pt>
                <c:pt idx="89">
                  <c:v>2.3166568507100198</c:v>
                </c:pt>
                <c:pt idx="90">
                  <c:v>2.3166568507100198</c:v>
                </c:pt>
                <c:pt idx="91">
                  <c:v>2.3166568507100198</c:v>
                </c:pt>
                <c:pt idx="92">
                  <c:v>2.3166568507100198</c:v>
                </c:pt>
                <c:pt idx="93">
                  <c:v>2.3166568507100198</c:v>
                </c:pt>
                <c:pt idx="94">
                  <c:v>2.3166568507100198</c:v>
                </c:pt>
                <c:pt idx="95">
                  <c:v>2.3166568507100198</c:v>
                </c:pt>
                <c:pt idx="96">
                  <c:v>2.3166568507100198</c:v>
                </c:pt>
                <c:pt idx="97">
                  <c:v>2.3166568507100198</c:v>
                </c:pt>
                <c:pt idx="98">
                  <c:v>2.3166568507100198</c:v>
                </c:pt>
                <c:pt idx="99">
                  <c:v>2.3166568507100198</c:v>
                </c:pt>
                <c:pt idx="100">
                  <c:v>2.3166568507100198</c:v>
                </c:pt>
                <c:pt idx="101">
                  <c:v>2.3166568507100198</c:v>
                </c:pt>
                <c:pt idx="102">
                  <c:v>2.3166568507100198</c:v>
                </c:pt>
                <c:pt idx="103">
                  <c:v>2.3166568507100198</c:v>
                </c:pt>
                <c:pt idx="104">
                  <c:v>2.3166568507100198</c:v>
                </c:pt>
                <c:pt idx="105">
                  <c:v>2.3166568507100198</c:v>
                </c:pt>
                <c:pt idx="106">
                  <c:v>2.3166568507100198</c:v>
                </c:pt>
                <c:pt idx="107">
                  <c:v>2.3166568507100198</c:v>
                </c:pt>
                <c:pt idx="108">
                  <c:v>2.3166568507100198</c:v>
                </c:pt>
                <c:pt idx="109">
                  <c:v>2.3166568507100198</c:v>
                </c:pt>
                <c:pt idx="110">
                  <c:v>2.3166568507100198</c:v>
                </c:pt>
                <c:pt idx="111">
                  <c:v>2.3166568507100198</c:v>
                </c:pt>
                <c:pt idx="112">
                  <c:v>2.3166568507100198</c:v>
                </c:pt>
                <c:pt idx="113">
                  <c:v>2.3166568507100198</c:v>
                </c:pt>
                <c:pt idx="114">
                  <c:v>2.3166568507100198</c:v>
                </c:pt>
                <c:pt idx="115">
                  <c:v>2.3166568507100198</c:v>
                </c:pt>
                <c:pt idx="116">
                  <c:v>2.3166568507100198</c:v>
                </c:pt>
                <c:pt idx="117">
                  <c:v>2.3166568507100198</c:v>
                </c:pt>
                <c:pt idx="118">
                  <c:v>2.3166568507100198</c:v>
                </c:pt>
                <c:pt idx="119">
                  <c:v>2.3166568507100198</c:v>
                </c:pt>
                <c:pt idx="120">
                  <c:v>2.3166568507100198</c:v>
                </c:pt>
                <c:pt idx="121">
                  <c:v>2.3166568507100198</c:v>
                </c:pt>
                <c:pt idx="122">
                  <c:v>2.3166568507100198</c:v>
                </c:pt>
                <c:pt idx="123">
                  <c:v>2.3166568507100198</c:v>
                </c:pt>
                <c:pt idx="124">
                  <c:v>2.3166568507100198</c:v>
                </c:pt>
                <c:pt idx="125">
                  <c:v>2.3166568507100198</c:v>
                </c:pt>
                <c:pt idx="126">
                  <c:v>2.3166568507100198</c:v>
                </c:pt>
                <c:pt idx="127">
                  <c:v>2.3166568507100198</c:v>
                </c:pt>
                <c:pt idx="128">
                  <c:v>2.3166568507100198</c:v>
                </c:pt>
                <c:pt idx="129">
                  <c:v>2.3166568507100198</c:v>
                </c:pt>
                <c:pt idx="130">
                  <c:v>2.3166568507100198</c:v>
                </c:pt>
                <c:pt idx="131">
                  <c:v>2.3166568507100198</c:v>
                </c:pt>
                <c:pt idx="132">
                  <c:v>2.3166568507100198</c:v>
                </c:pt>
                <c:pt idx="133">
                  <c:v>2.3166568507100198</c:v>
                </c:pt>
                <c:pt idx="134">
                  <c:v>2.3166568507100198</c:v>
                </c:pt>
                <c:pt idx="135">
                  <c:v>2.3166568507100198</c:v>
                </c:pt>
                <c:pt idx="136">
                  <c:v>2.3166568507100198</c:v>
                </c:pt>
                <c:pt idx="137">
                  <c:v>2.3166568507100198</c:v>
                </c:pt>
                <c:pt idx="138">
                  <c:v>2.3166568507100198</c:v>
                </c:pt>
                <c:pt idx="139">
                  <c:v>2.3166568507100198</c:v>
                </c:pt>
                <c:pt idx="140">
                  <c:v>2.3166568507100198</c:v>
                </c:pt>
                <c:pt idx="141">
                  <c:v>2.3166568507100198</c:v>
                </c:pt>
                <c:pt idx="142">
                  <c:v>2.3166568507100198</c:v>
                </c:pt>
                <c:pt idx="143">
                  <c:v>2.3166568507100198</c:v>
                </c:pt>
                <c:pt idx="144">
                  <c:v>2.3166568507100198</c:v>
                </c:pt>
                <c:pt idx="145">
                  <c:v>2.3166568507100198</c:v>
                </c:pt>
                <c:pt idx="146">
                  <c:v>2.3166568507100198</c:v>
                </c:pt>
                <c:pt idx="147">
                  <c:v>2.3166568507100198</c:v>
                </c:pt>
                <c:pt idx="148">
                  <c:v>2.3166568507100198</c:v>
                </c:pt>
                <c:pt idx="149">
                  <c:v>2.3166568507100198</c:v>
                </c:pt>
                <c:pt idx="150">
                  <c:v>2.3166568507100198</c:v>
                </c:pt>
                <c:pt idx="151">
                  <c:v>2.3166568507100198</c:v>
                </c:pt>
                <c:pt idx="152">
                  <c:v>2.3166568507100198</c:v>
                </c:pt>
                <c:pt idx="153">
                  <c:v>2.3166568507100198</c:v>
                </c:pt>
                <c:pt idx="154">
                  <c:v>2.3166568507100198</c:v>
                </c:pt>
                <c:pt idx="155">
                  <c:v>2.3166568507100198</c:v>
                </c:pt>
                <c:pt idx="156">
                  <c:v>2.3166568507100198</c:v>
                </c:pt>
                <c:pt idx="157">
                  <c:v>2.3166568507100198</c:v>
                </c:pt>
                <c:pt idx="158">
                  <c:v>2.3166568507100198</c:v>
                </c:pt>
                <c:pt idx="159">
                  <c:v>2.3166568507100198</c:v>
                </c:pt>
                <c:pt idx="160">
                  <c:v>2.3166568507100198</c:v>
                </c:pt>
                <c:pt idx="161">
                  <c:v>2.3166568507100198</c:v>
                </c:pt>
                <c:pt idx="162">
                  <c:v>2.3166568507100198</c:v>
                </c:pt>
                <c:pt idx="163">
                  <c:v>2.3166568507100198</c:v>
                </c:pt>
                <c:pt idx="164">
                  <c:v>2.3166568507100198</c:v>
                </c:pt>
                <c:pt idx="165">
                  <c:v>2.3166568507100198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39-4B1C-ADED-46202E8A0646}"/>
            </c:ext>
          </c:extLst>
        </c:ser>
        <c:ser>
          <c:idx val="1"/>
          <c:order val="1"/>
          <c:tx>
            <c:strRef>
              <c:f>XLRE_IYR_0!$P$1</c:f>
              <c:strCache>
                <c:ptCount val="1"/>
                <c:pt idx="0">
                  <c:v> IYR/XLRE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XLRE_IYR_0!$P$2:$P$167</c:f>
              <c:numCache>
                <c:formatCode>_(* #,##0.0000_);_(* \(#,##0.0000\);_(* "-"??_);_(@_)</c:formatCode>
                <c:ptCount val="166"/>
                <c:pt idx="9">
                  <c:v>2.3321505810584799</c:v>
                </c:pt>
                <c:pt idx="10">
                  <c:v>2.3322937307314699</c:v>
                </c:pt>
                <c:pt idx="11">
                  <c:v>2.3323459651056702</c:v>
                </c:pt>
                <c:pt idx="12">
                  <c:v>2.3320580138790898</c:v>
                </c:pt>
                <c:pt idx="13">
                  <c:v>2.33119189120054</c:v>
                </c:pt>
                <c:pt idx="14">
                  <c:v>2.3301387844655301</c:v>
                </c:pt>
                <c:pt idx="15">
                  <c:v>2.32896395024266</c:v>
                </c:pt>
                <c:pt idx="16">
                  <c:v>2.3281598143490201</c:v>
                </c:pt>
                <c:pt idx="17">
                  <c:v>2.3277596266685201</c:v>
                </c:pt>
                <c:pt idx="18">
                  <c:v>2.32767878823344</c:v>
                </c:pt>
                <c:pt idx="19">
                  <c:v>2.3272159637066698</c:v>
                </c:pt>
                <c:pt idx="20">
                  <c:v>2.3268041867932499</c:v>
                </c:pt>
                <c:pt idx="21">
                  <c:v>2.32671587250067</c:v>
                </c:pt>
                <c:pt idx="22">
                  <c:v>2.32652134809282</c:v>
                </c:pt>
                <c:pt idx="23">
                  <c:v>2.3269349072781602</c:v>
                </c:pt>
                <c:pt idx="24">
                  <c:v>2.3266898503742799</c:v>
                </c:pt>
                <c:pt idx="25">
                  <c:v>2.3260334332274302</c:v>
                </c:pt>
                <c:pt idx="26">
                  <c:v>2.3250728356550701</c:v>
                </c:pt>
                <c:pt idx="27">
                  <c:v>2.3234637174999802</c:v>
                </c:pt>
                <c:pt idx="28">
                  <c:v>2.3213863373299302</c:v>
                </c:pt>
                <c:pt idx="29">
                  <c:v>2.3195541151354599</c:v>
                </c:pt>
                <c:pt idx="30">
                  <c:v>2.3173958208883301</c:v>
                </c:pt>
                <c:pt idx="31">
                  <c:v>2.3153133145935101</c:v>
                </c:pt>
                <c:pt idx="32">
                  <c:v>2.3139844902916402</c:v>
                </c:pt>
                <c:pt idx="33">
                  <c:v>2.31161284759742</c:v>
                </c:pt>
                <c:pt idx="34">
                  <c:v>2.3095083238518801</c:v>
                </c:pt>
                <c:pt idx="35">
                  <c:v>2.3078275527944099</c:v>
                </c:pt>
                <c:pt idx="36">
                  <c:v>2.3070424781752399</c:v>
                </c:pt>
                <c:pt idx="37">
                  <c:v>2.3075043110048301</c:v>
                </c:pt>
                <c:pt idx="38">
                  <c:v>2.3078987303919098</c:v>
                </c:pt>
                <c:pt idx="39">
                  <c:v>2.3087010041184399</c:v>
                </c:pt>
                <c:pt idx="40">
                  <c:v>2.30939392946182</c:v>
                </c:pt>
                <c:pt idx="41">
                  <c:v>2.3096318529998698</c:v>
                </c:pt>
                <c:pt idx="42">
                  <c:v>2.3096929440285998</c:v>
                </c:pt>
                <c:pt idx="43">
                  <c:v>2.3097545298094699</c:v>
                </c:pt>
                <c:pt idx="44">
                  <c:v>2.31015469353488</c:v>
                </c:pt>
                <c:pt idx="45">
                  <c:v>2.3106820761498401</c:v>
                </c:pt>
                <c:pt idx="46">
                  <c:v>2.3107289037292502</c:v>
                </c:pt>
                <c:pt idx="47">
                  <c:v>2.3100666818981499</c:v>
                </c:pt>
                <c:pt idx="48">
                  <c:v>2.3098140148571602</c:v>
                </c:pt>
                <c:pt idx="49">
                  <c:v>2.30936306898949</c:v>
                </c:pt>
                <c:pt idx="50">
                  <c:v>2.30860017463832</c:v>
                </c:pt>
                <c:pt idx="51">
                  <c:v>2.3081203604643399</c:v>
                </c:pt>
                <c:pt idx="52">
                  <c:v>2.3071001232665398</c:v>
                </c:pt>
                <c:pt idx="53">
                  <c:v>2.30645957715062</c:v>
                </c:pt>
                <c:pt idx="54">
                  <c:v>2.30726865120725</c:v>
                </c:pt>
                <c:pt idx="55">
                  <c:v>2.3083700555874702</c:v>
                </c:pt>
                <c:pt idx="56">
                  <c:v>2.30942683414546</c:v>
                </c:pt>
                <c:pt idx="57">
                  <c:v>2.3101527530087398</c:v>
                </c:pt>
                <c:pt idx="58">
                  <c:v>2.3108506554561998</c:v>
                </c:pt>
                <c:pt idx="59">
                  <c:v>2.3115434894259099</c:v>
                </c:pt>
                <c:pt idx="60">
                  <c:v>2.3128710513640098</c:v>
                </c:pt>
                <c:pt idx="61">
                  <c:v>2.3141065581492501</c:v>
                </c:pt>
                <c:pt idx="62">
                  <c:v>2.3152923291948202</c:v>
                </c:pt>
                <c:pt idx="63">
                  <c:v>2.31583428151874</c:v>
                </c:pt>
                <c:pt idx="64">
                  <c:v>2.31535843565314</c:v>
                </c:pt>
                <c:pt idx="65">
                  <c:v>2.31467766787364</c:v>
                </c:pt>
                <c:pt idx="66">
                  <c:v>2.3139730454185301</c:v>
                </c:pt>
                <c:pt idx="67">
                  <c:v>2.3135497365470399</c:v>
                </c:pt>
                <c:pt idx="68">
                  <c:v>2.3132541514475</c:v>
                </c:pt>
                <c:pt idx="69">
                  <c:v>2.3130418421706702</c:v>
                </c:pt>
                <c:pt idx="70">
                  <c:v>2.3128917939572098</c:v>
                </c:pt>
                <c:pt idx="71">
                  <c:v>2.31255730483934</c:v>
                </c:pt>
                <c:pt idx="72">
                  <c:v>2.3127625011725401</c:v>
                </c:pt>
                <c:pt idx="73">
                  <c:v>2.3132414283756</c:v>
                </c:pt>
                <c:pt idx="74">
                  <c:v>2.3137601905820002</c:v>
                </c:pt>
                <c:pt idx="75">
                  <c:v>2.3139445172923399</c:v>
                </c:pt>
                <c:pt idx="76">
                  <c:v>2.3137468927897502</c:v>
                </c:pt>
                <c:pt idx="77">
                  <c:v>2.31387101892228</c:v>
                </c:pt>
                <c:pt idx="78">
                  <c:v>2.3145458722767298</c:v>
                </c:pt>
                <c:pt idx="79">
                  <c:v>2.3150244221416401</c:v>
                </c:pt>
                <c:pt idx="80">
                  <c:v>2.31478995365948</c:v>
                </c:pt>
                <c:pt idx="81">
                  <c:v>2.3145758997288102</c:v>
                </c:pt>
                <c:pt idx="82">
                  <c:v>2.3140127942565099</c:v>
                </c:pt>
                <c:pt idx="83">
                  <c:v>2.3133208704815602</c:v>
                </c:pt>
                <c:pt idx="84">
                  <c:v>2.3123841836307499</c:v>
                </c:pt>
                <c:pt idx="85">
                  <c:v>2.3116828157437701</c:v>
                </c:pt>
                <c:pt idx="86">
                  <c:v>2.3114181197465902</c:v>
                </c:pt>
                <c:pt idx="87">
                  <c:v>2.3114587569899401</c:v>
                </c:pt>
                <c:pt idx="88">
                  <c:v>2.3103505202030998</c:v>
                </c:pt>
                <c:pt idx="89">
                  <c:v>2.3093581512327201</c:v>
                </c:pt>
                <c:pt idx="90">
                  <c:v>2.3088879037201702</c:v>
                </c:pt>
                <c:pt idx="91">
                  <c:v>2.3085067340057002</c:v>
                </c:pt>
                <c:pt idx="92">
                  <c:v>2.3084082556291898</c:v>
                </c:pt>
                <c:pt idx="93">
                  <c:v>2.3085016079755798</c:v>
                </c:pt>
                <c:pt idx="94">
                  <c:v>2.3081620934029901</c:v>
                </c:pt>
                <c:pt idx="95">
                  <c:v>2.3078146235240098</c:v>
                </c:pt>
                <c:pt idx="96">
                  <c:v>2.3072955426453801</c:v>
                </c:pt>
                <c:pt idx="97">
                  <c:v>2.3064043447857099</c:v>
                </c:pt>
                <c:pt idx="98">
                  <c:v>2.30630809466144</c:v>
                </c:pt>
                <c:pt idx="99">
                  <c:v>2.3059151876056001</c:v>
                </c:pt>
                <c:pt idx="100">
                  <c:v>2.3055515773751898</c:v>
                </c:pt>
                <c:pt idx="101">
                  <c:v>2.30535922915253</c:v>
                </c:pt>
                <c:pt idx="102">
                  <c:v>2.3046836033606901</c:v>
                </c:pt>
                <c:pt idx="103">
                  <c:v>2.30394709776006</c:v>
                </c:pt>
                <c:pt idx="104">
                  <c:v>2.30332870576337</c:v>
                </c:pt>
                <c:pt idx="105">
                  <c:v>2.3020880508613399</c:v>
                </c:pt>
                <c:pt idx="106">
                  <c:v>2.3010121139033402</c:v>
                </c:pt>
                <c:pt idx="107">
                  <c:v>2.3000622148015801</c:v>
                </c:pt>
                <c:pt idx="108">
                  <c:v>2.2995514988179102</c:v>
                </c:pt>
                <c:pt idx="109">
                  <c:v>2.2993311446246301</c:v>
                </c:pt>
                <c:pt idx="110">
                  <c:v>2.2992534112958101</c:v>
                </c:pt>
                <c:pt idx="111">
                  <c:v>2.2987708731768799</c:v>
                </c:pt>
                <c:pt idx="112">
                  <c:v>2.2977058803296901</c:v>
                </c:pt>
                <c:pt idx="113">
                  <c:v>2.2969262123477998</c:v>
                </c:pt>
                <c:pt idx="114">
                  <c:v>2.2959318338547501</c:v>
                </c:pt>
                <c:pt idx="115">
                  <c:v>2.2956992449046498</c:v>
                </c:pt>
                <c:pt idx="116">
                  <c:v>2.2971301686153498</c:v>
                </c:pt>
                <c:pt idx="117">
                  <c:v>2.29827178698894</c:v>
                </c:pt>
                <c:pt idx="118">
                  <c:v>2.2992122576999101</c:v>
                </c:pt>
                <c:pt idx="119">
                  <c:v>2.3003344427350698</c:v>
                </c:pt>
                <c:pt idx="120">
                  <c:v>2.3013358693797898</c:v>
                </c:pt>
                <c:pt idx="121">
                  <c:v>2.3029663400107099</c:v>
                </c:pt>
                <c:pt idx="122">
                  <c:v>2.3060767846715602</c:v>
                </c:pt>
                <c:pt idx="123">
                  <c:v>2.3094222902077699</c:v>
                </c:pt>
                <c:pt idx="124">
                  <c:v>2.3133731660083798</c:v>
                </c:pt>
                <c:pt idx="125">
                  <c:v>2.3174264423200301</c:v>
                </c:pt>
                <c:pt idx="126">
                  <c:v>2.3194130896741698</c:v>
                </c:pt>
                <c:pt idx="127">
                  <c:v>2.3215206561325998</c:v>
                </c:pt>
                <c:pt idx="128">
                  <c:v>2.3233226020381101</c:v>
                </c:pt>
                <c:pt idx="129">
                  <c:v>2.32454578508999</c:v>
                </c:pt>
                <c:pt idx="130">
                  <c:v>2.3257069004538402</c:v>
                </c:pt>
                <c:pt idx="131">
                  <c:v>2.3268750242806902</c:v>
                </c:pt>
                <c:pt idx="132">
                  <c:v>2.3276586675939002</c:v>
                </c:pt>
                <c:pt idx="133">
                  <c:v>2.3288998604343698</c:v>
                </c:pt>
                <c:pt idx="134">
                  <c:v>2.32968665804245</c:v>
                </c:pt>
                <c:pt idx="135">
                  <c:v>2.3299720262168702</c:v>
                </c:pt>
                <c:pt idx="136">
                  <c:v>2.3306098094313001</c:v>
                </c:pt>
                <c:pt idx="137">
                  <c:v>2.3309602839577801</c:v>
                </c:pt>
                <c:pt idx="138">
                  <c:v>2.3310343884530198</c:v>
                </c:pt>
                <c:pt idx="139">
                  <c:v>2.33145524988233</c:v>
                </c:pt>
                <c:pt idx="140">
                  <c:v>2.3320363578124401</c:v>
                </c:pt>
                <c:pt idx="141">
                  <c:v>2.3322684048416198</c:v>
                </c:pt>
                <c:pt idx="142">
                  <c:v>2.3320896333550598</c:v>
                </c:pt>
                <c:pt idx="143">
                  <c:v>2.3316347881572401</c:v>
                </c:pt>
                <c:pt idx="144">
                  <c:v>2.3312298942386098</c:v>
                </c:pt>
                <c:pt idx="145">
                  <c:v>2.3307798752172499</c:v>
                </c:pt>
                <c:pt idx="146">
                  <c:v>2.3300493801945099</c:v>
                </c:pt>
                <c:pt idx="147">
                  <c:v>2.3294895930872199</c:v>
                </c:pt>
                <c:pt idx="148">
                  <c:v>2.3290569370005501</c:v>
                </c:pt>
                <c:pt idx="149">
                  <c:v>2.3289430186395399</c:v>
                </c:pt>
                <c:pt idx="150">
                  <c:v>2.3286713308678499</c:v>
                </c:pt>
                <c:pt idx="151">
                  <c:v>2.3282386594017401</c:v>
                </c:pt>
                <c:pt idx="152">
                  <c:v>2.3280647857293002</c:v>
                </c:pt>
                <c:pt idx="153">
                  <c:v>2.3272666491927398</c:v>
                </c:pt>
                <c:pt idx="154">
                  <c:v>2.3261702470567802</c:v>
                </c:pt>
                <c:pt idx="155">
                  <c:v>2.3255795595181898</c:v>
                </c:pt>
                <c:pt idx="156">
                  <c:v>2.3253480840420901</c:v>
                </c:pt>
                <c:pt idx="157">
                  <c:v>2.3256558908900198</c:v>
                </c:pt>
                <c:pt idx="158">
                  <c:v>2.3255720606510599</c:v>
                </c:pt>
                <c:pt idx="159">
                  <c:v>2.32514449213298</c:v>
                </c:pt>
                <c:pt idx="160">
                  <c:v>2.32486925826244</c:v>
                </c:pt>
                <c:pt idx="161">
                  <c:v>2.3246742864779399</c:v>
                </c:pt>
                <c:pt idx="162">
                  <c:v>2.3243062355863899</c:v>
                </c:pt>
                <c:pt idx="163">
                  <c:v>2.32423762221761</c:v>
                </c:pt>
                <c:pt idx="164">
                  <c:v>2.3246948756991199</c:v>
                </c:pt>
                <c:pt idx="165">
                  <c:v>2.3250410991434101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39-4B1C-ADED-46202E8A0646}"/>
            </c:ext>
          </c:extLst>
        </c:ser>
        <c:ser>
          <c:idx val="2"/>
          <c:order val="2"/>
          <c:tx>
            <c:strRef>
              <c:f>XLRE_IYR_0!$Q$1</c:f>
              <c:strCache>
                <c:ptCount val="1"/>
                <c:pt idx="0">
                  <c:v> IYR/XLRE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XLRE_IYR_0!$Q$2:$Q$167</c:f>
              <c:numCache>
                <c:formatCode>_(* #,##0.0000_);_(* \(#,##0.0000\);_(* "-"??_);_(@_)</c:formatCode>
                <c:ptCount val="166"/>
                <c:pt idx="19">
                  <c:v>2.3296832723825802</c:v>
                </c:pt>
                <c:pt idx="20">
                  <c:v>2.3295489587623601</c:v>
                </c:pt>
                <c:pt idx="21">
                  <c:v>2.3295309188031701</c:v>
                </c:pt>
                <c:pt idx="22">
                  <c:v>2.32928968098595</c:v>
                </c:pt>
                <c:pt idx="23">
                  <c:v>2.3290633992393501</c:v>
                </c:pt>
                <c:pt idx="24">
                  <c:v>2.3284143174199001</c:v>
                </c:pt>
                <c:pt idx="25">
                  <c:v>2.32749869173505</c:v>
                </c:pt>
                <c:pt idx="26">
                  <c:v>2.32661632500204</c:v>
                </c:pt>
                <c:pt idx="27">
                  <c:v>2.3256116720842499</c:v>
                </c:pt>
                <c:pt idx="28">
                  <c:v>2.3245325627816902</c:v>
                </c:pt>
                <c:pt idx="29">
                  <c:v>2.3233850394210598</c:v>
                </c:pt>
                <c:pt idx="30">
                  <c:v>2.3221000038407902</c:v>
                </c:pt>
                <c:pt idx="31">
                  <c:v>2.3210145935470901</c:v>
                </c:pt>
                <c:pt idx="32">
                  <c:v>2.3202529191922299</c:v>
                </c:pt>
                <c:pt idx="33">
                  <c:v>2.3192738774377899</c:v>
                </c:pt>
                <c:pt idx="34">
                  <c:v>2.31809908711308</c:v>
                </c:pt>
                <c:pt idx="35">
                  <c:v>2.3169304930109198</c:v>
                </c:pt>
                <c:pt idx="36">
                  <c:v>2.3160576569151599</c:v>
                </c:pt>
                <c:pt idx="37">
                  <c:v>2.31548401425241</c:v>
                </c:pt>
                <c:pt idx="38">
                  <c:v>2.31464253386092</c:v>
                </c:pt>
                <c:pt idx="39">
                  <c:v>2.3141275596269502</c:v>
                </c:pt>
                <c:pt idx="40">
                  <c:v>2.3133948751750699</c:v>
                </c:pt>
                <c:pt idx="41">
                  <c:v>2.3124725837966902</c:v>
                </c:pt>
                <c:pt idx="42">
                  <c:v>2.31183871716012</c:v>
                </c:pt>
                <c:pt idx="43">
                  <c:v>2.3106836887034401</c:v>
                </c:pt>
                <c:pt idx="44">
                  <c:v>2.3098315086933798</c:v>
                </c:pt>
                <c:pt idx="45">
                  <c:v>2.3092548144721201</c:v>
                </c:pt>
                <c:pt idx="46">
                  <c:v>2.3088856909522399</c:v>
                </c:pt>
                <c:pt idx="47">
                  <c:v>2.30878549645149</c:v>
                </c:pt>
                <c:pt idx="48">
                  <c:v>2.3088563726245401</c:v>
                </c:pt>
                <c:pt idx="49">
                  <c:v>2.3090320365539601</c:v>
                </c:pt>
                <c:pt idx="50">
                  <c:v>2.3089970520500702</c:v>
                </c:pt>
                <c:pt idx="51">
                  <c:v>2.30887610673211</c:v>
                </c:pt>
                <c:pt idx="52">
                  <c:v>2.3083965336475698</c:v>
                </c:pt>
                <c:pt idx="53">
                  <c:v>2.3081070534800401</c:v>
                </c:pt>
                <c:pt idx="54">
                  <c:v>2.3087116723710701</c:v>
                </c:pt>
                <c:pt idx="55">
                  <c:v>2.3095260658686598</c:v>
                </c:pt>
                <c:pt idx="56">
                  <c:v>2.3100778689373498</c:v>
                </c:pt>
                <c:pt idx="57">
                  <c:v>2.31010971745344</c:v>
                </c:pt>
                <c:pt idx="58">
                  <c:v>2.31033233515668</c:v>
                </c:pt>
                <c:pt idx="59">
                  <c:v>2.3104532792076999</c:v>
                </c:pt>
                <c:pt idx="60">
                  <c:v>2.31073561300117</c:v>
                </c:pt>
                <c:pt idx="61">
                  <c:v>2.3111134593067999</c:v>
                </c:pt>
                <c:pt idx="62">
                  <c:v>2.3111962262306802</c:v>
                </c:pt>
                <c:pt idx="63">
                  <c:v>2.3111469293346798</c:v>
                </c:pt>
                <c:pt idx="64">
                  <c:v>2.3113135434302001</c:v>
                </c:pt>
                <c:pt idx="65">
                  <c:v>2.31152386173056</c:v>
                </c:pt>
                <c:pt idx="66">
                  <c:v>2.3116999397820002</c:v>
                </c:pt>
                <c:pt idx="67">
                  <c:v>2.3118512447778898</c:v>
                </c:pt>
                <c:pt idx="68">
                  <c:v>2.3120524034518501</c:v>
                </c:pt>
                <c:pt idx="69">
                  <c:v>2.3122926657982901</c:v>
                </c:pt>
                <c:pt idx="70">
                  <c:v>2.31288142266061</c:v>
                </c:pt>
                <c:pt idx="71">
                  <c:v>2.3133319314943002</c:v>
                </c:pt>
                <c:pt idx="72">
                  <c:v>2.3140274151836802</c:v>
                </c:pt>
                <c:pt idx="73">
                  <c:v>2.31453785494717</c:v>
                </c:pt>
                <c:pt idx="74">
                  <c:v>2.3145593131175701</c:v>
                </c:pt>
                <c:pt idx="75">
                  <c:v>2.3143110925829902</c:v>
                </c:pt>
                <c:pt idx="76">
                  <c:v>2.3138599691041399</c:v>
                </c:pt>
                <c:pt idx="77">
                  <c:v>2.3137103777346599</c:v>
                </c:pt>
                <c:pt idx="78">
                  <c:v>2.3139000118621098</c:v>
                </c:pt>
                <c:pt idx="79">
                  <c:v>2.3140331321561498</c:v>
                </c:pt>
                <c:pt idx="80">
                  <c:v>2.31384087380835</c:v>
                </c:pt>
                <c:pt idx="81">
                  <c:v>2.3135666022840802</c:v>
                </c:pt>
                <c:pt idx="82">
                  <c:v>2.3133876477145301</c:v>
                </c:pt>
                <c:pt idx="83">
                  <c:v>2.3132811494285801</c:v>
                </c:pt>
                <c:pt idx="84">
                  <c:v>2.3130721871063802</c:v>
                </c:pt>
                <c:pt idx="85">
                  <c:v>2.3128136665180499</c:v>
                </c:pt>
                <c:pt idx="86">
                  <c:v>2.31258250626817</c:v>
                </c:pt>
                <c:pt idx="87">
                  <c:v>2.3126648879561098</c:v>
                </c:pt>
                <c:pt idx="88">
                  <c:v>2.3124481962399099</c:v>
                </c:pt>
                <c:pt idx="89">
                  <c:v>2.3121912866871801</c:v>
                </c:pt>
                <c:pt idx="90">
                  <c:v>2.3118389286898302</c:v>
                </c:pt>
                <c:pt idx="91">
                  <c:v>2.3115413168672601</c:v>
                </c:pt>
                <c:pt idx="92">
                  <c:v>2.3112105249428501</c:v>
                </c:pt>
                <c:pt idx="93">
                  <c:v>2.3109112392285698</c:v>
                </c:pt>
                <c:pt idx="94">
                  <c:v>2.31027313851687</c:v>
                </c:pt>
                <c:pt idx="95">
                  <c:v>2.3097487196338902</c:v>
                </c:pt>
                <c:pt idx="96">
                  <c:v>2.3093568311959798</c:v>
                </c:pt>
                <c:pt idx="97">
                  <c:v>2.3089315508878201</c:v>
                </c:pt>
                <c:pt idx="98">
                  <c:v>2.3083293074322699</c:v>
                </c:pt>
                <c:pt idx="99">
                  <c:v>2.3076366694191601</c:v>
                </c:pt>
                <c:pt idx="100">
                  <c:v>2.30721974054768</c:v>
                </c:pt>
                <c:pt idx="101">
                  <c:v>2.30693298157912</c:v>
                </c:pt>
                <c:pt idx="102">
                  <c:v>2.30654592949494</c:v>
                </c:pt>
                <c:pt idx="103">
                  <c:v>2.3062243528678201</c:v>
                </c:pt>
                <c:pt idx="104">
                  <c:v>2.3057453995831798</c:v>
                </c:pt>
                <c:pt idx="105">
                  <c:v>2.3049513371926702</c:v>
                </c:pt>
                <c:pt idx="106">
                  <c:v>2.3041538282743601</c:v>
                </c:pt>
                <c:pt idx="107">
                  <c:v>2.3032332797936399</c:v>
                </c:pt>
                <c:pt idx="108">
                  <c:v>2.3029297967396798</c:v>
                </c:pt>
                <c:pt idx="109">
                  <c:v>2.3026231661151102</c:v>
                </c:pt>
                <c:pt idx="110">
                  <c:v>2.3024024943354999</c:v>
                </c:pt>
                <c:pt idx="111">
                  <c:v>2.3020650511647101</c:v>
                </c:pt>
                <c:pt idx="112">
                  <c:v>2.3011947418451899</c:v>
                </c:pt>
                <c:pt idx="113">
                  <c:v>2.3004366550539301</c:v>
                </c:pt>
                <c:pt idx="114">
                  <c:v>2.29963026980906</c:v>
                </c:pt>
                <c:pt idx="115">
                  <c:v>2.29889364788299</c:v>
                </c:pt>
                <c:pt idx="116">
                  <c:v>2.2990711412593399</c:v>
                </c:pt>
                <c:pt idx="117">
                  <c:v>2.29916700089526</c:v>
                </c:pt>
                <c:pt idx="118">
                  <c:v>2.2993818782589099</c:v>
                </c:pt>
                <c:pt idx="119">
                  <c:v>2.2998327936798502</c:v>
                </c:pt>
                <c:pt idx="120">
                  <c:v>2.3002946403378002</c:v>
                </c:pt>
                <c:pt idx="121">
                  <c:v>2.3008686065937898</c:v>
                </c:pt>
                <c:pt idx="122">
                  <c:v>2.3018913325006198</c:v>
                </c:pt>
                <c:pt idx="123">
                  <c:v>2.30317425127779</c:v>
                </c:pt>
                <c:pt idx="124">
                  <c:v>2.3046524999315601</c:v>
                </c:pt>
                <c:pt idx="125">
                  <c:v>2.30656284361234</c:v>
                </c:pt>
                <c:pt idx="126">
                  <c:v>2.3082716291447598</c:v>
                </c:pt>
                <c:pt idx="127">
                  <c:v>2.3098962215607699</c:v>
                </c:pt>
                <c:pt idx="128">
                  <c:v>2.3112674298690101</c:v>
                </c:pt>
                <c:pt idx="129">
                  <c:v>2.3124401139125301</c:v>
                </c:pt>
                <c:pt idx="130">
                  <c:v>2.3135213849168101</c:v>
                </c:pt>
                <c:pt idx="131">
                  <c:v>2.3149206821456998</c:v>
                </c:pt>
                <c:pt idx="132">
                  <c:v>2.3168677261327302</c:v>
                </c:pt>
                <c:pt idx="133">
                  <c:v>2.3191610753210701</c:v>
                </c:pt>
                <c:pt idx="134">
                  <c:v>2.3215299120254098</c:v>
                </c:pt>
                <c:pt idx="135">
                  <c:v>2.3236992342684499</c:v>
                </c:pt>
                <c:pt idx="136">
                  <c:v>2.3250114495527301</c:v>
                </c:pt>
                <c:pt idx="137">
                  <c:v>2.3262404700451902</c:v>
                </c:pt>
                <c:pt idx="138">
                  <c:v>2.3271784952455601</c:v>
                </c:pt>
                <c:pt idx="139">
                  <c:v>2.32800051748616</c:v>
                </c:pt>
                <c:pt idx="140">
                  <c:v>2.3288716291331402</c:v>
                </c:pt>
                <c:pt idx="141">
                  <c:v>2.3295717145611601</c:v>
                </c:pt>
                <c:pt idx="142">
                  <c:v>2.3298741504744802</c:v>
                </c:pt>
                <c:pt idx="143">
                  <c:v>2.3302673242958098</c:v>
                </c:pt>
                <c:pt idx="144">
                  <c:v>2.3304582761405301</c:v>
                </c:pt>
                <c:pt idx="145">
                  <c:v>2.3303759507170598</c:v>
                </c:pt>
                <c:pt idx="146">
                  <c:v>2.3303295948129001</c:v>
                </c:pt>
                <c:pt idx="147">
                  <c:v>2.3302249385225</c:v>
                </c:pt>
                <c:pt idx="148">
                  <c:v>2.3300456627267798</c:v>
                </c:pt>
                <c:pt idx="149">
                  <c:v>2.3301991342609401</c:v>
                </c:pt>
                <c:pt idx="150">
                  <c:v>2.3303538443401499</c:v>
                </c:pt>
                <c:pt idx="151">
                  <c:v>2.33025353212168</c:v>
                </c:pt>
                <c:pt idx="152">
                  <c:v>2.3300772095421798</c:v>
                </c:pt>
                <c:pt idx="153">
                  <c:v>2.3294507186749902</c:v>
                </c:pt>
                <c:pt idx="154">
                  <c:v>2.3287000706476899</c:v>
                </c:pt>
                <c:pt idx="155">
                  <c:v>2.3281797173677199</c:v>
                </c:pt>
                <c:pt idx="156">
                  <c:v>2.3276987321183</c:v>
                </c:pt>
                <c:pt idx="157">
                  <c:v>2.3275727419886199</c:v>
                </c:pt>
                <c:pt idx="158">
                  <c:v>2.3273144988258001</c:v>
                </c:pt>
                <c:pt idx="159">
                  <c:v>2.32704375538626</c:v>
                </c:pt>
                <c:pt idx="160">
                  <c:v>2.3267702945651498</c:v>
                </c:pt>
                <c:pt idx="161">
                  <c:v>2.32645647293984</c:v>
                </c:pt>
                <c:pt idx="162">
                  <c:v>2.32618551065785</c:v>
                </c:pt>
                <c:pt idx="163">
                  <c:v>2.3257521357051698</c:v>
                </c:pt>
                <c:pt idx="164">
                  <c:v>2.3254325613779501</c:v>
                </c:pt>
                <c:pt idx="165">
                  <c:v>2.3253103293308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39-4B1C-ADED-46202E8A0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XLRE_IYR_0!$AE$1</c:f>
              <c:strCache>
                <c:ptCount val="1"/>
                <c:pt idx="0">
                  <c:v>log diff XLRE* x avg / IYR*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XLRE_IYR_0!$AE$2:$AE$167</c:f>
              <c:numCache>
                <c:formatCode>0.00%</c:formatCode>
                <c:ptCount val="166"/>
                <c:pt idx="1">
                  <c:v>-4.9795881104233502E-3</c:v>
                </c:pt>
                <c:pt idx="2">
                  <c:v>-5.3106922203749697E-3</c:v>
                </c:pt>
                <c:pt idx="3">
                  <c:v>-8.4531364972220899E-3</c:v>
                </c:pt>
                <c:pt idx="4">
                  <c:v>-9.5015092674331399E-3</c:v>
                </c:pt>
                <c:pt idx="5">
                  <c:v>-9.7091895870863205E-3</c:v>
                </c:pt>
                <c:pt idx="6">
                  <c:v>-8.3326360374026704E-3</c:v>
                </c:pt>
                <c:pt idx="7">
                  <c:v>-6.4045701288248501E-3</c:v>
                </c:pt>
                <c:pt idx="8">
                  <c:v>-4.8229553037084198E-3</c:v>
                </c:pt>
                <c:pt idx="9">
                  <c:v>-4.3939464364262599E-3</c:v>
                </c:pt>
                <c:pt idx="10">
                  <c:v>-5.3434577883995499E-3</c:v>
                </c:pt>
                <c:pt idx="11">
                  <c:v>-5.2039160489944199E-3</c:v>
                </c:pt>
                <c:pt idx="12">
                  <c:v>-4.0735505568568701E-3</c:v>
                </c:pt>
                <c:pt idx="13">
                  <c:v>-4.7390432288806099E-3</c:v>
                </c:pt>
                <c:pt idx="14">
                  <c:v>-4.9885247763365196E-3</c:v>
                </c:pt>
                <c:pt idx="15">
                  <c:v>-4.6742868155789799E-3</c:v>
                </c:pt>
                <c:pt idx="16">
                  <c:v>-4.8843960731653801E-3</c:v>
                </c:pt>
                <c:pt idx="17">
                  <c:v>-4.6866873899553104E-3</c:v>
                </c:pt>
                <c:pt idx="18">
                  <c:v>-4.4756295205291303E-3</c:v>
                </c:pt>
                <c:pt idx="19">
                  <c:v>-2.4029124878367299E-3</c:v>
                </c:pt>
                <c:pt idx="20">
                  <c:v>-3.5739036786764499E-3</c:v>
                </c:pt>
                <c:pt idx="21">
                  <c:v>-4.8246083868005102E-3</c:v>
                </c:pt>
                <c:pt idx="22">
                  <c:v>-3.2369369430111801E-3</c:v>
                </c:pt>
                <c:pt idx="23">
                  <c:v>-6.5141819509801097E-3</c:v>
                </c:pt>
                <c:pt idx="24">
                  <c:v>-3.9354301413863004E-3</c:v>
                </c:pt>
                <c:pt idx="25">
                  <c:v>-1.8500486238784101E-3</c:v>
                </c:pt>
                <c:pt idx="26">
                  <c:v>-7.4958126439169704E-4</c:v>
                </c:pt>
                <c:pt idx="27">
                  <c:v>2.2507070486456802E-3</c:v>
                </c:pt>
                <c:pt idx="28">
                  <c:v>4.4915584968698999E-3</c:v>
                </c:pt>
                <c:pt idx="29">
                  <c:v>5.51830235908575E-3</c:v>
                </c:pt>
                <c:pt idx="30">
                  <c:v>5.7526345516803199E-3</c:v>
                </c:pt>
                <c:pt idx="31">
                  <c:v>4.1616560341522302E-3</c:v>
                </c:pt>
                <c:pt idx="32">
                  <c:v>2.4968896977567399E-3</c:v>
                </c:pt>
                <c:pt idx="33">
                  <c:v>3.7087735963564502E-3</c:v>
                </c:pt>
                <c:pt idx="34">
                  <c:v>5.1543906140524599E-3</c:v>
                </c:pt>
                <c:pt idx="35">
                  <c:v>5.4180477364457599E-3</c:v>
                </c:pt>
                <c:pt idx="36">
                  <c:v>2.6424515959969498E-3</c:v>
                </c:pt>
                <c:pt idx="37">
                  <c:v>2.54677081914216E-4</c:v>
                </c:pt>
                <c:pt idx="38">
                  <c:v>2.78281803992013E-3</c:v>
                </c:pt>
                <c:pt idx="39">
                  <c:v>2.0421214780529202E-3</c:v>
                </c:pt>
                <c:pt idx="40">
                  <c:v>2.7488371046675698E-3</c:v>
                </c:pt>
                <c:pt idx="41">
                  <c:v>3.1308920459890699E-3</c:v>
                </c:pt>
                <c:pt idx="42">
                  <c:v>2.2325619747682801E-3</c:v>
                </c:pt>
                <c:pt idx="43">
                  <c:v>3.4419823915381102E-3</c:v>
                </c:pt>
                <c:pt idx="44">
                  <c:v>3.4196370842399901E-3</c:v>
                </c:pt>
                <c:pt idx="45">
                  <c:v>3.1318142376366999E-3</c:v>
                </c:pt>
                <c:pt idx="46">
                  <c:v>2.4398030014366602E-3</c:v>
                </c:pt>
                <c:pt idx="47">
                  <c:v>3.1180242567471002E-3</c:v>
                </c:pt>
                <c:pt idx="48">
                  <c:v>3.8771095954074101E-3</c:v>
                </c:pt>
                <c:pt idx="49">
                  <c:v>3.99454251198883E-3</c:v>
                </c:pt>
                <c:pt idx="50">
                  <c:v>6.0564489232986397E-3</c:v>
                </c:pt>
                <c:pt idx="51">
                  <c:v>5.2106971430227198E-3</c:v>
                </c:pt>
                <c:pt idx="52">
                  <c:v>6.6560946263504997E-3</c:v>
                </c:pt>
                <c:pt idx="53">
                  <c:v>6.2203307452604797E-3</c:v>
                </c:pt>
                <c:pt idx="54">
                  <c:v>-7.8620922431955705E-5</c:v>
                </c:pt>
                <c:pt idx="55">
                  <c:v>-1.6260457039424399E-3</c:v>
                </c:pt>
                <c:pt idx="56">
                  <c:v>-2.1225700438354499E-3</c:v>
                </c:pt>
                <c:pt idx="57">
                  <c:v>-2.0307522387740501E-5</c:v>
                </c:pt>
                <c:pt idx="58">
                  <c:v>8.5742948299181597E-4</c:v>
                </c:pt>
                <c:pt idx="59">
                  <c:v>9.9640828870611203E-4</c:v>
                </c:pt>
                <c:pt idx="60">
                  <c:v>3.0768546972230899E-4</c:v>
                </c:pt>
                <c:pt idx="61">
                  <c:v>-1.35991154310837E-4</c:v>
                </c:pt>
                <c:pt idx="62">
                  <c:v>1.51668362298216E-3</c:v>
                </c:pt>
                <c:pt idx="63">
                  <c:v>3.8691275072130602E-3</c:v>
                </c:pt>
                <c:pt idx="64">
                  <c:v>1.9773492877717602E-3</c:v>
                </c:pt>
                <c:pt idx="65">
                  <c:v>1.3120703606094501E-3</c:v>
                </c:pt>
                <c:pt idx="66">
                  <c:v>9.1714482329292499E-4</c:v>
                </c:pt>
                <c:pt idx="67">
                  <c:v>1.8085670242858299E-3</c:v>
                </c:pt>
                <c:pt idx="68">
                  <c:v>2.13525233562885E-3</c:v>
                </c:pt>
                <c:pt idx="69">
                  <c:v>1.9141897361970299E-3</c:v>
                </c:pt>
                <c:pt idx="70">
                  <c:v>9.5578763330512301E-4</c:v>
                </c:pt>
                <c:pt idx="71">
                  <c:v>1.3086996089494601E-3</c:v>
                </c:pt>
                <c:pt idx="72">
                  <c:v>6.2998912035739697E-4</c:v>
                </c:pt>
                <c:pt idx="73">
                  <c:v>1.7959433915826499E-3</c:v>
                </c:pt>
                <c:pt idx="74">
                  <c:v>-2.6384038108080899E-4</c:v>
                </c:pt>
                <c:pt idx="75">
                  <c:v>5.1568467906770005E-4</c:v>
                </c:pt>
                <c:pt idx="76">
                  <c:v>1.77135131269015E-3</c:v>
                </c:pt>
                <c:pt idx="77">
                  <c:v>1.2719426028387701E-3</c:v>
                </c:pt>
                <c:pt idx="78">
                  <c:v>-7.7976999955100201E-4</c:v>
                </c:pt>
                <c:pt idx="79">
                  <c:v>-1.5332102496694701E-4</c:v>
                </c:pt>
                <c:pt idx="80">
                  <c:v>1.9693674013326399E-3</c:v>
                </c:pt>
                <c:pt idx="81">
                  <c:v>2.2343155765821398E-3</c:v>
                </c:pt>
                <c:pt idx="82">
                  <c:v>3.0651649434663198E-3</c:v>
                </c:pt>
                <c:pt idx="83">
                  <c:v>4.7925314910098804E-3</c:v>
                </c:pt>
                <c:pt idx="84">
                  <c:v>3.7865544925654799E-3</c:v>
                </c:pt>
                <c:pt idx="85">
                  <c:v>3.5493433196224201E-3</c:v>
                </c:pt>
                <c:pt idx="86">
                  <c:v>2.91661006184502E-3</c:v>
                </c:pt>
                <c:pt idx="87">
                  <c:v>1.09632146305504E-3</c:v>
                </c:pt>
                <c:pt idx="88">
                  <c:v>4.0117383568015596E-3</c:v>
                </c:pt>
                <c:pt idx="89">
                  <c:v>4.1388456547825202E-3</c:v>
                </c:pt>
                <c:pt idx="90">
                  <c:v>4.0052939397502204E-3</c:v>
                </c:pt>
                <c:pt idx="91">
                  <c:v>3.8847009094257999E-3</c:v>
                </c:pt>
                <c:pt idx="92">
                  <c:v>3.4916491581478601E-3</c:v>
                </c:pt>
                <c:pt idx="93">
                  <c:v>4.38771612321212E-3</c:v>
                </c:pt>
                <c:pt idx="94">
                  <c:v>5.2587342107267799E-3</c:v>
                </c:pt>
                <c:pt idx="95">
                  <c:v>5.0556866564967799E-3</c:v>
                </c:pt>
                <c:pt idx="96">
                  <c:v>5.1663297958605397E-3</c:v>
                </c:pt>
                <c:pt idx="97">
                  <c:v>4.9548894734035296E-3</c:v>
                </c:pt>
                <c:pt idx="98">
                  <c:v>4.4289654109832604E-3</c:v>
                </c:pt>
                <c:pt idx="99">
                  <c:v>5.8433404123738502E-3</c:v>
                </c:pt>
                <c:pt idx="100">
                  <c:v>5.58238320918819E-3</c:v>
                </c:pt>
                <c:pt idx="101">
                  <c:v>4.7185637687499199E-3</c:v>
                </c:pt>
                <c:pt idx="102">
                  <c:v>6.42252344226691E-3</c:v>
                </c:pt>
                <c:pt idx="103">
                  <c:v>7.5859794178150201E-3</c:v>
                </c:pt>
                <c:pt idx="104">
                  <c:v>7.9457445405232297E-3</c:v>
                </c:pt>
                <c:pt idx="105">
                  <c:v>1.0452735769956501E-2</c:v>
                </c:pt>
                <c:pt idx="106">
                  <c:v>9.8456690599944604E-3</c:v>
                </c:pt>
                <c:pt idx="107">
                  <c:v>9.0840710436950693E-3</c:v>
                </c:pt>
                <c:pt idx="108">
                  <c:v>6.6457448985603297E-3</c:v>
                </c:pt>
                <c:pt idx="109">
                  <c:v>6.8005458965163497E-3</c:v>
                </c:pt>
                <c:pt idx="110">
                  <c:v>5.9198594747162103E-3</c:v>
                </c:pt>
                <c:pt idx="111">
                  <c:v>6.8135153835622497E-3</c:v>
                </c:pt>
                <c:pt idx="112">
                  <c:v>1.10599908649425E-2</c:v>
                </c:pt>
                <c:pt idx="113">
                  <c:v>1.0982857445619901E-2</c:v>
                </c:pt>
                <c:pt idx="114">
                  <c:v>1.2281671925572E-2</c:v>
                </c:pt>
                <c:pt idx="115">
                  <c:v>1.14677855248247E-2</c:v>
                </c:pt>
                <c:pt idx="116">
                  <c:v>3.6272543965516699E-3</c:v>
                </c:pt>
                <c:pt idx="117">
                  <c:v>4.1235557313710697E-3</c:v>
                </c:pt>
                <c:pt idx="118">
                  <c:v>2.5674007248227102E-3</c:v>
                </c:pt>
                <c:pt idx="119">
                  <c:v>1.93536141249712E-3</c:v>
                </c:pt>
                <c:pt idx="120">
                  <c:v>1.58089733505711E-3</c:v>
                </c:pt>
                <c:pt idx="121">
                  <c:v>-2.4764586110865601E-4</c:v>
                </c:pt>
                <c:pt idx="122">
                  <c:v>-2.4244413592227E-3</c:v>
                </c:pt>
                <c:pt idx="123">
                  <c:v>-3.5121513897158202E-3</c:v>
                </c:pt>
                <c:pt idx="124">
                  <c:v>-4.8359403680158604E-3</c:v>
                </c:pt>
                <c:pt idx="125">
                  <c:v>-6.0754567463659299E-3</c:v>
                </c:pt>
                <c:pt idx="126">
                  <c:v>-4.9425740165456103E-3</c:v>
                </c:pt>
                <c:pt idx="127">
                  <c:v>-4.97001117883573E-3</c:v>
                </c:pt>
                <c:pt idx="128">
                  <c:v>-5.20056255337449E-3</c:v>
                </c:pt>
                <c:pt idx="129">
                  <c:v>-3.34087247170006E-3</c:v>
                </c:pt>
                <c:pt idx="130">
                  <c:v>-3.4265044490061898E-3</c:v>
                </c:pt>
                <c:pt idx="131">
                  <c:v>-5.2760163316578302E-3</c:v>
                </c:pt>
                <c:pt idx="132">
                  <c:v>-5.7932169003079197E-3</c:v>
                </c:pt>
                <c:pt idx="133">
                  <c:v>-8.8368555841031003E-3</c:v>
                </c:pt>
                <c:pt idx="134">
                  <c:v>-8.2101199977418198E-3</c:v>
                </c:pt>
                <c:pt idx="135">
                  <c:v>-7.2990570085518696E-3</c:v>
                </c:pt>
                <c:pt idx="136">
                  <c:v>-7.6782877748476598E-3</c:v>
                </c:pt>
                <c:pt idx="137">
                  <c:v>-6.4742251657747898E-3</c:v>
                </c:pt>
                <c:pt idx="138">
                  <c:v>-5.5187295857152896E-3</c:v>
                </c:pt>
                <c:pt idx="139">
                  <c:v>-5.1498518641841197E-3</c:v>
                </c:pt>
                <c:pt idx="140">
                  <c:v>-5.9231950028848799E-3</c:v>
                </c:pt>
                <c:pt idx="141">
                  <c:v>-6.2718955913759703E-3</c:v>
                </c:pt>
                <c:pt idx="142">
                  <c:v>-5.0257012623289698E-3</c:v>
                </c:pt>
                <c:pt idx="143">
                  <c:v>-6.8888641679252099E-3</c:v>
                </c:pt>
                <c:pt idx="144">
                  <c:v>-6.4751553789222996E-3</c:v>
                </c:pt>
                <c:pt idx="145">
                  <c:v>-5.36878591683769E-3</c:v>
                </c:pt>
                <c:pt idx="146">
                  <c:v>-4.54427127376164E-3</c:v>
                </c:pt>
                <c:pt idx="147">
                  <c:v>-4.07057475709054E-3</c:v>
                </c:pt>
                <c:pt idx="148">
                  <c:v>-3.6596928300146798E-3</c:v>
                </c:pt>
                <c:pt idx="149">
                  <c:v>-4.6605220040680803E-3</c:v>
                </c:pt>
                <c:pt idx="150">
                  <c:v>-4.7566828935721598E-3</c:v>
                </c:pt>
                <c:pt idx="151">
                  <c:v>-4.4141936786345603E-3</c:v>
                </c:pt>
                <c:pt idx="152">
                  <c:v>-4.2786477816824696E-3</c:v>
                </c:pt>
                <c:pt idx="153">
                  <c:v>-3.4614409876831502E-3</c:v>
                </c:pt>
                <c:pt idx="154">
                  <c:v>-1.7619202819222099E-3</c:v>
                </c:pt>
                <c:pt idx="155">
                  <c:v>-2.8294757436069301E-3</c:v>
                </c:pt>
                <c:pt idx="156">
                  <c:v>-3.5491275709839702E-3</c:v>
                </c:pt>
                <c:pt idx="157">
                  <c:v>-5.3929708377435E-3</c:v>
                </c:pt>
                <c:pt idx="158">
                  <c:v>-3.2990910124721501E-3</c:v>
                </c:pt>
                <c:pt idx="159">
                  <c:v>-2.8217868174528898E-3</c:v>
                </c:pt>
                <c:pt idx="160">
                  <c:v>-3.5735561970614699E-3</c:v>
                </c:pt>
                <c:pt idx="161">
                  <c:v>-3.5759408868010901E-3</c:v>
                </c:pt>
                <c:pt idx="162">
                  <c:v>-2.6954626223227398E-3</c:v>
                </c:pt>
                <c:pt idx="163">
                  <c:v>-3.1662467691600102E-3</c:v>
                </c:pt>
                <c:pt idx="164">
                  <c:v>-3.7302716513594801E-3</c:v>
                </c:pt>
                <c:pt idx="165">
                  <c:v>-4.3186397447487401E-3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4-4F94-AFD2-DDC27012576F}"/>
            </c:ext>
          </c:extLst>
        </c:ser>
        <c:ser>
          <c:idx val="1"/>
          <c:order val="1"/>
          <c:tx>
            <c:strRef>
              <c:f>XLRE_IYR_0!$AF$1</c:f>
              <c:strCache>
                <c:ptCount val="1"/>
                <c:pt idx="0">
                  <c:v>log diff XLRE* x 10 dma / IYR*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XLRE_IYR_0!$AF$2:$AF$167</c:f>
              <c:numCache>
                <c:formatCode>0.00%</c:formatCode>
                <c:ptCount val="166"/>
                <c:pt idx="10">
                  <c:v>1.32224645659138E-3</c:v>
                </c:pt>
                <c:pt idx="11">
                  <c:v>1.52316728575105E-3</c:v>
                </c:pt>
                <c:pt idx="12">
                  <c:v>2.6759286659337098E-3</c:v>
                </c:pt>
                <c:pt idx="13">
                  <c:v>1.8869684605477999E-3</c:v>
                </c:pt>
                <c:pt idx="14">
                  <c:v>1.2660195003909901E-3</c:v>
                </c:pt>
                <c:pt idx="15">
                  <c:v>1.1284093404302299E-3</c:v>
                </c:pt>
                <c:pt idx="16">
                  <c:v>4.13982271168169E-4</c:v>
                </c:pt>
                <c:pt idx="17">
                  <c:v>2.6635510234300898E-4</c:v>
                </c:pt>
                <c:pt idx="18">
                  <c:v>3.0550807240506801E-4</c:v>
                </c:pt>
                <c:pt idx="19">
                  <c:v>2.3434965025950802E-3</c:v>
                </c:pt>
                <c:pt idx="20">
                  <c:v>9.7365032020181195E-4</c:v>
                </c:pt>
                <c:pt idx="21">
                  <c:v>-4.5400975175084599E-4</c:v>
                </c:pt>
                <c:pt idx="22">
                  <c:v>1.09570578276317E-3</c:v>
                </c:pt>
                <c:pt idx="23">
                  <c:v>-2.26514743116699E-3</c:v>
                </c:pt>
                <c:pt idx="24">
                  <c:v>4.9134718451809595E-4</c:v>
                </c:pt>
                <c:pt idx="25">
                  <c:v>2.4714099808702998E-3</c:v>
                </c:pt>
                <c:pt idx="26">
                  <c:v>3.2897126332863298E-3</c:v>
                </c:pt>
                <c:pt idx="27">
                  <c:v>5.8769389647274203E-3</c:v>
                </c:pt>
                <c:pt idx="28">
                  <c:v>7.4254786709819498E-3</c:v>
                </c:pt>
                <c:pt idx="29">
                  <c:v>7.5577349678157997E-3</c:v>
                </c:pt>
                <c:pt idx="30">
                  <c:v>7.0024762107149504E-3</c:v>
                </c:pt>
                <c:pt idx="31">
                  <c:v>4.4805864550802503E-3</c:v>
                </c:pt>
                <c:pt idx="32">
                  <c:v>1.91677535926303E-3</c:v>
                </c:pt>
                <c:pt idx="33">
                  <c:v>2.5545659960446699E-3</c:v>
                </c:pt>
                <c:pt idx="34">
                  <c:v>2.9747401449382802E-3</c:v>
                </c:pt>
                <c:pt idx="35">
                  <c:v>2.3275690016558502E-3</c:v>
                </c:pt>
                <c:pt idx="36">
                  <c:v>-1.1760535057761699E-3</c:v>
                </c:pt>
                <c:pt idx="37">
                  <c:v>-3.9040649589149202E-3</c:v>
                </c:pt>
                <c:pt idx="38">
                  <c:v>-1.17576010519677E-3</c:v>
                </c:pt>
                <c:pt idx="39">
                  <c:v>-1.7455422812553199E-3</c:v>
                </c:pt>
                <c:pt idx="40">
                  <c:v>-6.9126620723902895E-4</c:v>
                </c:pt>
                <c:pt idx="41">
                  <c:v>-9.1198392377758503E-6</c:v>
                </c:pt>
                <c:pt idx="42">
                  <c:v>-8.0443098418602496E-4</c:v>
                </c:pt>
                <c:pt idx="43">
                  <c:v>4.3143963100818498E-4</c:v>
                </c:pt>
                <c:pt idx="44">
                  <c:v>4.35758023739429E-4</c:v>
                </c:pt>
                <c:pt idx="45">
                  <c:v>3.2116963134959798E-4</c:v>
                </c:pt>
                <c:pt idx="46">
                  <c:v>-1.4257878426899201E-4</c:v>
                </c:pt>
                <c:pt idx="47">
                  <c:v>5.5590796121946201E-4</c:v>
                </c:pt>
                <c:pt idx="48">
                  <c:v>1.0283665390292799E-3</c:v>
                </c:pt>
                <c:pt idx="49">
                  <c:v>1.03641695947052E-3</c:v>
                </c:pt>
                <c:pt idx="50">
                  <c:v>2.90307393092561E-3</c:v>
                </c:pt>
                <c:pt idx="51">
                  <c:v>1.72691919252216E-3</c:v>
                </c:pt>
                <c:pt idx="52">
                  <c:v>2.9644573644381201E-3</c:v>
                </c:pt>
                <c:pt idx="53">
                  <c:v>2.08657496787693E-3</c:v>
                </c:pt>
                <c:pt idx="54">
                  <c:v>-4.4900564792635699E-3</c:v>
                </c:pt>
                <c:pt idx="55">
                  <c:v>-5.68675662989676E-3</c:v>
                </c:pt>
                <c:pt idx="56">
                  <c:v>-5.7060320033561996E-3</c:v>
                </c:pt>
                <c:pt idx="57">
                  <c:v>-3.1460713190537698E-3</c:v>
                </c:pt>
                <c:pt idx="58">
                  <c:v>-1.9540551220045802E-3</c:v>
                </c:pt>
                <c:pt idx="59">
                  <c:v>-1.5130196454413601E-3</c:v>
                </c:pt>
                <c:pt idx="60">
                  <c:v>-1.9019696829695801E-3</c:v>
                </c:pt>
                <c:pt idx="61">
                  <c:v>-1.77149277346503E-3</c:v>
                </c:pt>
                <c:pt idx="62">
                  <c:v>4.1522686804744299E-4</c:v>
                </c:pt>
                <c:pt idx="63">
                  <c:v>3.2799493873044202E-3</c:v>
                </c:pt>
                <c:pt idx="64">
                  <c:v>1.62221889401808E-3</c:v>
                </c:pt>
                <c:pt idx="65">
                  <c:v>7.5144393318672404E-4</c:v>
                </c:pt>
                <c:pt idx="66">
                  <c:v>6.2452531508329907E-5</c:v>
                </c:pt>
                <c:pt idx="67">
                  <c:v>6.4941345244432099E-4</c:v>
                </c:pt>
                <c:pt idx="68">
                  <c:v>7.9314607284668897E-4</c:v>
                </c:pt>
                <c:pt idx="69">
                  <c:v>4.44312724060136E-4</c:v>
                </c:pt>
                <c:pt idx="70">
                  <c:v>-6.0587307674831402E-4</c:v>
                </c:pt>
                <c:pt idx="71">
                  <c:v>-3.17833719397671E-4</c:v>
                </c:pt>
                <c:pt idx="72">
                  <c:v>-1.14117410718878E-3</c:v>
                </c:pt>
                <c:pt idx="73">
                  <c:v>1.1350757833056501E-4</c:v>
                </c:pt>
                <c:pt idx="74">
                  <c:v>-1.7392174835884999E-3</c:v>
                </c:pt>
                <c:pt idx="75">
                  <c:v>-7.3545986365733905E-4</c:v>
                </c:pt>
                <c:pt idx="76">
                  <c:v>5.9986903109523701E-4</c:v>
                </c:pt>
                <c:pt idx="77">
                  <c:v>1.5050778907034999E-5</c:v>
                </c:pt>
                <c:pt idx="78">
                  <c:v>-1.9830160234516302E-3</c:v>
                </c:pt>
                <c:pt idx="79">
                  <c:v>-1.0649540092068301E-3</c:v>
                </c:pt>
                <c:pt idx="80">
                  <c:v>1.26447060908596E-3</c:v>
                </c:pt>
                <c:pt idx="81">
                  <c:v>1.4281324418077899E-3</c:v>
                </c:pt>
                <c:pt idx="82">
                  <c:v>2.1665052416618901E-3</c:v>
                </c:pt>
                <c:pt idx="83">
                  <c:v>3.6505555162296599E-3</c:v>
                </c:pt>
                <c:pt idx="84">
                  <c:v>2.3455191327299901E-3</c:v>
                </c:pt>
                <c:pt idx="85">
                  <c:v>1.70331591958923E-3</c:v>
                </c:pt>
                <c:pt idx="86">
                  <c:v>7.6722724223944095E-4</c:v>
                </c:pt>
                <c:pt idx="87">
                  <c:v>-1.1675715094383199E-3</c:v>
                </c:pt>
                <c:pt idx="88">
                  <c:v>1.76542631688984E-3</c:v>
                </c:pt>
                <c:pt idx="89">
                  <c:v>1.4129652287212999E-3</c:v>
                </c:pt>
                <c:pt idx="90">
                  <c:v>8.4978945891612102E-4</c:v>
                </c:pt>
                <c:pt idx="91">
                  <c:v>5.2554876297189403E-4</c:v>
                </c:pt>
                <c:pt idx="92">
                  <c:v>-3.2604629052174697E-5</c:v>
                </c:pt>
                <c:pt idx="93">
                  <c:v>8.20802518039048E-4</c:v>
                </c:pt>
                <c:pt idx="94">
                  <c:v>1.73225992499223E-3</c:v>
                </c:pt>
                <c:pt idx="95">
                  <c:v>1.3821301507200099E-3</c:v>
                </c:pt>
                <c:pt idx="96">
                  <c:v>1.3422223228889199E-3</c:v>
                </c:pt>
                <c:pt idx="97">
                  <c:v>9.0583357574418105E-4</c:v>
                </c:pt>
                <c:pt idx="98">
                  <c:v>-6.4172493605398798E-6</c:v>
                </c:pt>
                <c:pt idx="99">
                  <c:v>1.3662252028882401E-3</c:v>
                </c:pt>
                <c:pt idx="100">
                  <c:v>9.3489157482188104E-4</c:v>
                </c:pt>
                <c:pt idx="101">
                  <c:v>-8.6626164094547202E-5</c:v>
                </c:pt>
                <c:pt idx="102">
                  <c:v>1.53390174036851E-3</c:v>
                </c:pt>
                <c:pt idx="103">
                  <c:v>2.40424729537399E-3</c:v>
                </c:pt>
                <c:pt idx="104">
                  <c:v>2.4443922728960999E-3</c:v>
                </c:pt>
                <c:pt idx="105">
                  <c:v>4.6829420081465102E-3</c:v>
                </c:pt>
                <c:pt idx="106">
                  <c:v>3.5370945547223199E-3</c:v>
                </c:pt>
                <c:pt idx="107">
                  <c:v>2.3080129125705598E-3</c:v>
                </c:pt>
                <c:pt idx="108">
                  <c:v>-5.4321641447192099E-4</c:v>
                </c:pt>
                <c:pt idx="109">
                  <c:v>-6.1048449342913198E-4</c:v>
                </c:pt>
                <c:pt idx="110">
                  <c:v>-1.58700036361235E-3</c:v>
                </c:pt>
                <c:pt idx="111">
                  <c:v>-7.2715195700008702E-4</c:v>
                </c:pt>
                <c:pt idx="112">
                  <c:v>3.3094341932891698E-3</c:v>
                </c:pt>
                <c:pt idx="113">
                  <c:v>2.76890547214795E-3</c:v>
                </c:pt>
                <c:pt idx="114">
                  <c:v>3.7283378324257E-3</c:v>
                </c:pt>
                <c:pt idx="115">
                  <c:v>2.4814406577373499E-3</c:v>
                </c:pt>
                <c:pt idx="116">
                  <c:v>-5.4604004173969701E-3</c:v>
                </c:pt>
                <c:pt idx="117">
                  <c:v>-4.3409869971228598E-3</c:v>
                </c:pt>
                <c:pt idx="118">
                  <c:v>-5.4002895376168104E-3</c:v>
                </c:pt>
                <c:pt idx="119">
                  <c:v>-5.6232047660095801E-3</c:v>
                </c:pt>
                <c:pt idx="120">
                  <c:v>-5.4897142120406998E-3</c:v>
                </c:pt>
                <c:pt idx="121">
                  <c:v>-6.8830125546633899E-3</c:v>
                </c:pt>
                <c:pt idx="122">
                  <c:v>-8.3515701374883202E-3</c:v>
                </c:pt>
                <c:pt idx="123">
                  <c:v>-8.0895661171858594E-3</c:v>
                </c:pt>
                <c:pt idx="124">
                  <c:v>-7.9636717274082294E-3</c:v>
                </c:pt>
                <c:pt idx="125">
                  <c:v>-7.4938861044184001E-3</c:v>
                </c:pt>
                <c:pt idx="126">
                  <c:v>-4.6104299576565496E-3</c:v>
                </c:pt>
                <c:pt idx="127">
                  <c:v>-3.7809698898420602E-3</c:v>
                </c:pt>
                <c:pt idx="128">
                  <c:v>-3.1032701585692901E-3</c:v>
                </c:pt>
                <c:pt idx="129">
                  <c:v>-4.6768909597276899E-4</c:v>
                </c:pt>
                <c:pt idx="130">
                  <c:v>-2.6979542821654701E-5</c:v>
                </c:pt>
                <c:pt idx="131">
                  <c:v>-1.37711409417889E-3</c:v>
                </c:pt>
                <c:pt idx="132">
                  <c:v>-1.39217461659545E-3</c:v>
                </c:pt>
                <c:pt idx="133">
                  <c:v>-4.0990907101188098E-3</c:v>
                </c:pt>
                <c:pt idx="134">
                  <c:v>-2.9392606238622899E-3</c:v>
                </c:pt>
                <c:pt idx="135">
                  <c:v>-1.69041379726145E-3</c:v>
                </c:pt>
                <c:pt idx="136">
                  <c:v>-1.9471599808404401E-3</c:v>
                </c:pt>
                <c:pt idx="137">
                  <c:v>-4.6940484113584601E-4</c:v>
                </c:pt>
                <c:pt idx="138">
                  <c:v>6.3645832757913397E-4</c:v>
                </c:pt>
                <c:pt idx="139">
                  <c:v>1.03712694568948E-3</c:v>
                </c:pt>
                <c:pt idx="140">
                  <c:v>4.4431458050544597E-4</c:v>
                </c:pt>
                <c:pt idx="141">
                  <c:v>3.4482980797068499E-4</c:v>
                </c:pt>
                <c:pt idx="142">
                  <c:v>1.69052322259968E-3</c:v>
                </c:pt>
                <c:pt idx="143">
                  <c:v>-2.49293955754661E-4</c:v>
                </c:pt>
                <c:pt idx="144">
                  <c:v>-3.0641803104193398E-5</c:v>
                </c:pt>
                <c:pt idx="145">
                  <c:v>9.0206020464902797E-4</c:v>
                </c:pt>
                <c:pt idx="146">
                  <c:v>1.53351689846358E-3</c:v>
                </c:pt>
                <c:pt idx="147">
                  <c:v>1.6937520164491699E-3</c:v>
                </c:pt>
                <c:pt idx="148">
                  <c:v>1.8643581938454399E-3</c:v>
                </c:pt>
                <c:pt idx="149">
                  <c:v>6.7778177647596699E-4</c:v>
                </c:pt>
                <c:pt idx="150">
                  <c:v>5.3270789336257705E-4</c:v>
                </c:pt>
                <c:pt idx="151">
                  <c:v>7.5853318913096397E-4</c:v>
                </c:pt>
                <c:pt idx="152">
                  <c:v>7.0825996212892897E-4</c:v>
                </c:pt>
                <c:pt idx="153">
                  <c:v>1.45078361978823E-3</c:v>
                </c:pt>
                <c:pt idx="154">
                  <c:v>2.80741293079349E-3</c:v>
                </c:pt>
                <c:pt idx="155">
                  <c:v>1.26863493802337E-3</c:v>
                </c:pt>
                <c:pt idx="156">
                  <c:v>2.95019520029273E-4</c:v>
                </c:pt>
                <c:pt idx="157">
                  <c:v>-1.6483632339147499E-3</c:v>
                </c:pt>
                <c:pt idx="158">
                  <c:v>5.77878055694634E-4</c:v>
                </c:pt>
                <c:pt idx="159">
                  <c:v>1.0191357529516301E-3</c:v>
                </c:pt>
                <c:pt idx="160">
                  <c:v>8.3494269149632903E-5</c:v>
                </c:pt>
                <c:pt idx="161">
                  <c:v>-3.7270230040146099E-5</c:v>
                </c:pt>
                <c:pt idx="162">
                  <c:v>7.5934096974920005E-4</c:v>
                </c:pt>
                <c:pt idx="163">
                  <c:v>1.3022064982161799E-4</c:v>
                </c:pt>
                <c:pt idx="164">
                  <c:v>-4.6332460300669702E-4</c:v>
                </c:pt>
                <c:pt idx="165">
                  <c:v>-8.5497937212696896E-4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4-4F94-AFD2-DDC27012576F}"/>
            </c:ext>
          </c:extLst>
        </c:ser>
        <c:ser>
          <c:idx val="2"/>
          <c:order val="2"/>
          <c:tx>
            <c:strRef>
              <c:f>XLRE_IYR_0!$AG$1</c:f>
              <c:strCache>
                <c:ptCount val="1"/>
                <c:pt idx="0">
                  <c:v>log diff XLRE* x 20 dma / IYR*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XLRE_IYR_0!$AG$2:$AG$167</c:f>
              <c:numCache>
                <c:formatCode>0.00%</c:formatCode>
                <c:ptCount val="166"/>
                <c:pt idx="20">
                  <c:v>2.03328626321147E-3</c:v>
                </c:pt>
                <c:pt idx="21">
                  <c:v>7.2492672545386601E-4</c:v>
                </c:pt>
                <c:pt idx="22">
                  <c:v>2.3048541684252601E-3</c:v>
                </c:pt>
                <c:pt idx="23">
                  <c:v>-1.07595259396751E-3</c:v>
                </c:pt>
                <c:pt idx="24">
                  <c:v>1.4056482513747301E-3</c:v>
                </c:pt>
                <c:pt idx="25">
                  <c:v>3.2123030145608899E-3</c:v>
                </c:pt>
                <c:pt idx="26">
                  <c:v>3.9194530183063103E-3</c:v>
                </c:pt>
                <c:pt idx="27">
                  <c:v>6.5405643061077099E-3</c:v>
                </c:pt>
                <c:pt idx="28">
                  <c:v>8.3495139068562596E-3</c:v>
                </c:pt>
                <c:pt idx="29">
                  <c:v>8.9121391235283901E-3</c:v>
                </c:pt>
                <c:pt idx="30">
                  <c:v>8.6526917433554004E-3</c:v>
                </c:pt>
                <c:pt idx="31">
                  <c:v>6.5084725626520503E-3</c:v>
                </c:pt>
                <c:pt idx="32">
                  <c:v>4.3761707861098304E-3</c:v>
                </c:pt>
                <c:pt idx="33">
                  <c:v>5.2598364298437504E-3</c:v>
                </c:pt>
                <c:pt idx="34">
                  <c:v>6.28340964355289E-3</c:v>
                </c:pt>
                <c:pt idx="35">
                  <c:v>6.0404047575966799E-3</c:v>
                </c:pt>
                <c:pt idx="36">
                  <c:v>2.7605640997326402E-3</c:v>
                </c:pt>
                <c:pt idx="37">
                  <c:v>-4.0022721512915497E-6</c:v>
                </c:pt>
                <c:pt idx="38">
                  <c:v>2.2764273592980398E-3</c:v>
                </c:pt>
                <c:pt idx="39">
                  <c:v>1.1722502782688E-3</c:v>
                </c:pt>
                <c:pt idx="40">
                  <c:v>1.65645572369065E-3</c:v>
                </c:pt>
                <c:pt idx="41">
                  <c:v>1.72184684832886E-3</c:v>
                </c:pt>
                <c:pt idx="42">
                  <c:v>4.2476285742409898E-4</c:v>
                </c:pt>
                <c:pt idx="43">
                  <c:v>1.36003795858376E-3</c:v>
                </c:pt>
                <c:pt idx="44">
                  <c:v>8.3795316738385895E-4</c:v>
                </c:pt>
                <c:pt idx="45">
                  <c:v>1.8126235549073701E-4</c:v>
                </c:pt>
                <c:pt idx="46">
                  <c:v>-7.60449442208237E-4</c:v>
                </c:pt>
                <c:pt idx="47">
                  <c:v>-2.42086259743855E-4</c:v>
                </c:pt>
                <c:pt idx="48">
                  <c:v>4.7360296139252201E-4</c:v>
                </c:pt>
                <c:pt idx="49">
                  <c:v>6.2173387277748404E-4</c:v>
                </c:pt>
                <c:pt idx="50">
                  <c:v>2.7597200478000198E-3</c:v>
                </c:pt>
                <c:pt idx="51">
                  <c:v>1.8988169970472299E-3</c:v>
                </c:pt>
                <c:pt idx="52">
                  <c:v>3.2918330858115498E-3</c:v>
                </c:pt>
                <c:pt idx="53">
                  <c:v>2.6483391772306698E-3</c:v>
                </c:pt>
                <c:pt idx="54">
                  <c:v>-3.7760234914261501E-3</c:v>
                </c:pt>
                <c:pt idx="55">
                  <c:v>-5.0615281368504997E-3</c:v>
                </c:pt>
                <c:pt idx="56">
                  <c:v>-5.2053666462646402E-3</c:v>
                </c:pt>
                <c:pt idx="57">
                  <c:v>-2.8642078561719499E-3</c:v>
                </c:pt>
                <c:pt idx="58">
                  <c:v>-1.9726841741713901E-3</c:v>
                </c:pt>
                <c:pt idx="59">
                  <c:v>-1.7373432884330001E-3</c:v>
                </c:pt>
                <c:pt idx="60">
                  <c:v>-2.3737182769224098E-3</c:v>
                </c:pt>
                <c:pt idx="61">
                  <c:v>-2.69520392352439E-3</c:v>
                </c:pt>
                <c:pt idx="62">
                  <c:v>-8.7902475629375305E-4</c:v>
                </c:pt>
                <c:pt idx="63">
                  <c:v>1.5092310615911E-3</c:v>
                </c:pt>
                <c:pt idx="64">
                  <c:v>-4.0387698748400901E-4</c:v>
                </c:pt>
                <c:pt idx="65">
                  <c:v>-9.9706699292389199E-4</c:v>
                </c:pt>
                <c:pt idx="66">
                  <c:v>-1.3010015296610799E-3</c:v>
                </c:pt>
                <c:pt idx="67">
                  <c:v>-3.3340821557375301E-4</c:v>
                </c:pt>
                <c:pt idx="68">
                  <c:v>5.8726785804125403E-5</c:v>
                </c:pt>
                <c:pt idx="69">
                  <c:v>-7.5327653686441801E-5</c:v>
                </c:pt>
                <c:pt idx="70">
                  <c:v>-9.2981781096840895E-4</c:v>
                </c:pt>
                <c:pt idx="71">
                  <c:v>-3.2231785474731299E-4</c:v>
                </c:pt>
                <c:pt idx="72">
                  <c:v>-8.0626480753933304E-4</c:v>
                </c:pt>
                <c:pt idx="73">
                  <c:v>6.6028582654291E-4</c:v>
                </c:pt>
                <c:pt idx="74">
                  <c:v>-1.1789372601337101E-3</c:v>
                </c:pt>
                <c:pt idx="75">
                  <c:v>-3.9014120409899502E-4</c:v>
                </c:pt>
                <c:pt idx="76">
                  <c:v>7.5827657048746402E-4</c:v>
                </c:pt>
                <c:pt idx="77">
                  <c:v>6.3921099048192906E-5</c:v>
                </c:pt>
                <c:pt idx="78">
                  <c:v>-2.0524437326216701E-3</c:v>
                </c:pt>
                <c:pt idx="79">
                  <c:v>-1.3440370686062699E-3</c:v>
                </c:pt>
                <c:pt idx="80">
                  <c:v>8.36180405731039E-4</c:v>
                </c:pt>
                <c:pt idx="81">
                  <c:v>1.0180414668239E-3</c:v>
                </c:pt>
                <c:pt idx="82">
                  <c:v>1.73034863658828E-3</c:v>
                </c:pt>
                <c:pt idx="83">
                  <c:v>3.38036210909774E-3</c:v>
                </c:pt>
                <c:pt idx="84">
                  <c:v>2.3283484088134198E-3</c:v>
                </c:pt>
                <c:pt idx="85">
                  <c:v>2.0008015839446001E-3</c:v>
                </c:pt>
                <c:pt idx="86">
                  <c:v>1.2562970474227499E-3</c:v>
                </c:pt>
                <c:pt idx="87">
                  <c:v>-6.6394417874857299E-4</c:v>
                </c:pt>
                <c:pt idx="88">
                  <c:v>2.2870953232285302E-3</c:v>
                </c:pt>
                <c:pt idx="89">
                  <c:v>2.3205003862980999E-3</c:v>
                </c:pt>
                <c:pt idx="90">
                  <c:v>2.0758439877771699E-3</c:v>
                </c:pt>
                <c:pt idx="91">
                  <c:v>1.8028479749372999E-3</c:v>
                </c:pt>
                <c:pt idx="92">
                  <c:v>1.28105413143589E-3</c:v>
                </c:pt>
                <c:pt idx="93">
                  <c:v>2.0340063733693199E-3</c:v>
                </c:pt>
                <c:pt idx="94">
                  <c:v>2.7755230197822598E-3</c:v>
                </c:pt>
                <c:pt idx="95">
                  <c:v>2.29631218636255E-3</c:v>
                </c:pt>
                <c:pt idx="96">
                  <c:v>2.1799352373640798E-3</c:v>
                </c:pt>
                <c:pt idx="97">
                  <c:v>1.79881338910782E-3</c:v>
                </c:pt>
                <c:pt idx="98">
                  <c:v>1.0887170645084701E-3</c:v>
                </c:pt>
                <c:pt idx="99">
                  <c:v>2.2422259474596099E-3</c:v>
                </c:pt>
                <c:pt idx="100">
                  <c:v>1.6811634047704501E-3</c:v>
                </c:pt>
                <c:pt idx="101">
                  <c:v>6.3665410723813098E-4</c:v>
                </c:pt>
                <c:pt idx="102">
                  <c:v>2.2163183851754498E-3</c:v>
                </c:pt>
                <c:pt idx="103">
                  <c:v>3.2119825088280799E-3</c:v>
                </c:pt>
                <c:pt idx="104">
                  <c:v>3.4323187816434398E-3</c:v>
                </c:pt>
                <c:pt idx="105">
                  <c:v>5.73160991239183E-3</c:v>
                </c:pt>
                <c:pt idx="106">
                  <c:v>4.7800996427283899E-3</c:v>
                </c:pt>
                <c:pt idx="107">
                  <c:v>3.6724435966626399E-3</c:v>
                </c:pt>
                <c:pt idx="108">
                  <c:v>8.3452068599748402E-4</c:v>
                </c:pt>
                <c:pt idx="109">
                  <c:v>8.5754907870062001E-4</c:v>
                </c:pt>
                <c:pt idx="110">
                  <c:v>-1.5629426366347001E-4</c:v>
                </c:pt>
                <c:pt idx="111">
                  <c:v>6.4152210114825205E-4</c:v>
                </c:pt>
                <c:pt idx="112">
                  <c:v>4.7414255117885096E-3</c:v>
                </c:pt>
                <c:pt idx="113">
                  <c:v>4.2861646918762103E-3</c:v>
                </c:pt>
                <c:pt idx="114">
                  <c:v>5.2554930688667196E-3</c:v>
                </c:pt>
                <c:pt idx="115">
                  <c:v>4.09100948494518E-3</c:v>
                </c:pt>
                <c:pt idx="116">
                  <c:v>-4.0698948524493196E-3</c:v>
                </c:pt>
                <c:pt idx="117">
                  <c:v>-3.4963883259509498E-3</c:v>
                </c:pt>
                <c:pt idx="118">
                  <c:v>-5.01084926056777E-3</c:v>
                </c:pt>
                <c:pt idx="119">
                  <c:v>-5.5494341508779098E-3</c:v>
                </c:pt>
                <c:pt idx="120">
                  <c:v>-5.7078145685847499E-3</c:v>
                </c:pt>
                <c:pt idx="121">
                  <c:v>-7.3355604320129901E-3</c:v>
                </c:pt>
                <c:pt idx="122">
                  <c:v>-9.2628684730796905E-3</c:v>
                </c:pt>
                <c:pt idx="123">
                  <c:v>-9.9061816907053003E-3</c:v>
                </c:pt>
                <c:pt idx="124">
                  <c:v>-1.06727934531703E-2</c:v>
                </c:pt>
                <c:pt idx="125">
                  <c:v>-1.1270684707876301E-2</c:v>
                </c:pt>
                <c:pt idx="126">
                  <c:v>-9.3092378587321997E-3</c:v>
                </c:pt>
                <c:pt idx="127">
                  <c:v>-8.5961129832704108E-3</c:v>
                </c:pt>
                <c:pt idx="128">
                  <c:v>-8.1230985561554607E-3</c:v>
                </c:pt>
                <c:pt idx="129">
                  <c:v>-5.6699612599215203E-3</c:v>
                </c:pt>
                <c:pt idx="130">
                  <c:v>-5.2483448623840004E-3</c:v>
                </c:pt>
                <c:pt idx="131">
                  <c:v>-6.6303772710944496E-3</c:v>
                </c:pt>
                <c:pt idx="132">
                  <c:v>-6.5429263171625698E-3</c:v>
                </c:pt>
                <c:pt idx="133">
                  <c:v>-8.7458339786857901E-3</c:v>
                </c:pt>
                <c:pt idx="134">
                  <c:v>-7.1297389756234302E-3</c:v>
                </c:pt>
                <c:pt idx="135">
                  <c:v>-5.1977776260208504E-3</c:v>
                </c:pt>
                <c:pt idx="136">
                  <c:v>-4.6430082246532696E-3</c:v>
                </c:pt>
                <c:pt idx="137">
                  <c:v>-2.8743953957948401E-3</c:v>
                </c:pt>
                <c:pt idx="138">
                  <c:v>-1.3904311185725701E-3</c:v>
                </c:pt>
                <c:pt idx="139">
                  <c:v>-6.1839811698902397E-4</c:v>
                </c:pt>
                <c:pt idx="140">
                  <c:v>-1.0385766418711899E-3</c:v>
                </c:pt>
                <c:pt idx="141">
                  <c:v>-1.01315845290502E-3</c:v>
                </c:pt>
                <c:pt idx="142">
                  <c:v>5.3360213042008401E-4</c:v>
                </c:pt>
                <c:pt idx="143">
                  <c:v>-1.1997445169726899E-3</c:v>
                </c:pt>
                <c:pt idx="144">
                  <c:v>-6.1729672106016105E-4</c:v>
                </c:pt>
                <c:pt idx="145">
                  <c:v>5.7101356363658596E-4</c:v>
                </c:pt>
                <c:pt idx="146">
                  <c:v>1.3602017310313599E-3</c:v>
                </c:pt>
                <c:pt idx="147">
                  <c:v>1.8140060216420501E-3</c:v>
                </c:pt>
                <c:pt idx="148">
                  <c:v>2.17997643028366E-3</c:v>
                </c:pt>
                <c:pt idx="149">
                  <c:v>1.10220932230108E-3</c:v>
                </c:pt>
                <c:pt idx="150">
                  <c:v>1.07191258410071E-3</c:v>
                </c:pt>
                <c:pt idx="151">
                  <c:v>1.4807930963690399E-3</c:v>
                </c:pt>
                <c:pt idx="152">
                  <c:v>1.5732921496900401E-3</c:v>
                </c:pt>
                <c:pt idx="153">
                  <c:v>2.3148293874463502E-3</c:v>
                </c:pt>
                <c:pt idx="154">
                  <c:v>3.7454426499545701E-3</c:v>
                </c:pt>
                <c:pt idx="155">
                  <c:v>2.3555927552470499E-3</c:v>
                </c:pt>
                <c:pt idx="156">
                  <c:v>1.4124637045656E-3</c:v>
                </c:pt>
                <c:pt idx="157">
                  <c:v>-6.3799374095537301E-4</c:v>
                </c:pt>
                <c:pt idx="158">
                  <c:v>1.4017581433740699E-3</c:v>
                </c:pt>
                <c:pt idx="159">
                  <c:v>1.7681066268060001E-3</c:v>
                </c:pt>
                <c:pt idx="160">
                  <c:v>8.9999749633993403E-4</c:v>
                </c:pt>
                <c:pt idx="161">
                  <c:v>7.8009164288791002E-4</c:v>
                </c:pt>
                <c:pt idx="162">
                  <c:v>1.52568646348191E-3</c:v>
                </c:pt>
                <c:pt idx="163">
                  <c:v>9.3842557794253996E-4</c:v>
                </c:pt>
                <c:pt idx="164">
                  <c:v>1.88080505375249E-4</c:v>
                </c:pt>
                <c:pt idx="165">
                  <c:v>-5.3770390172410397E-4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4-4F94-AFD2-DDC270125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XLRE_IYR_0!$Y$1</c:f>
              <c:strCache>
                <c:ptCount val="1"/>
                <c:pt idx="0">
                  <c:v> IYR*/XLRE*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XLRE_IYR_0!$Y$2:$Y$167</c:f>
              <c:numCache>
                <c:formatCode>_(* #,##0.0000_);_(* \(#,##0.0000\);_(* "-"??_);_(@_)</c:formatCode>
                <c:ptCount val="166"/>
                <c:pt idx="0">
                  <c:v>2.3166568507100198</c:v>
                </c:pt>
                <c:pt idx="1">
                  <c:v>2.3166568507100198</c:v>
                </c:pt>
                <c:pt idx="2">
                  <c:v>2.3166568507100198</c:v>
                </c:pt>
                <c:pt idx="3">
                  <c:v>2.3166568507100198</c:v>
                </c:pt>
                <c:pt idx="4">
                  <c:v>2.3166568507100198</c:v>
                </c:pt>
                <c:pt idx="5">
                  <c:v>2.3166568507100198</c:v>
                </c:pt>
                <c:pt idx="6">
                  <c:v>2.3166568507100198</c:v>
                </c:pt>
                <c:pt idx="7">
                  <c:v>2.3166568507100198</c:v>
                </c:pt>
                <c:pt idx="8">
                  <c:v>2.3166568507100198</c:v>
                </c:pt>
                <c:pt idx="9">
                  <c:v>2.3166568507100198</c:v>
                </c:pt>
                <c:pt idx="10">
                  <c:v>2.3166568507100198</c:v>
                </c:pt>
                <c:pt idx="11">
                  <c:v>2.3166568507100198</c:v>
                </c:pt>
                <c:pt idx="12">
                  <c:v>2.3166568507100198</c:v>
                </c:pt>
                <c:pt idx="13">
                  <c:v>2.3166568507100198</c:v>
                </c:pt>
                <c:pt idx="14">
                  <c:v>2.3166568507100198</c:v>
                </c:pt>
                <c:pt idx="15">
                  <c:v>2.3166568507100198</c:v>
                </c:pt>
                <c:pt idx="16">
                  <c:v>2.3166568507100198</c:v>
                </c:pt>
                <c:pt idx="17">
                  <c:v>2.3166568507100198</c:v>
                </c:pt>
                <c:pt idx="18">
                  <c:v>2.3166568507100198</c:v>
                </c:pt>
                <c:pt idx="19">
                  <c:v>2.3166568507100198</c:v>
                </c:pt>
                <c:pt idx="20">
                  <c:v>2.3166568507100198</c:v>
                </c:pt>
                <c:pt idx="21">
                  <c:v>2.3166568507100198</c:v>
                </c:pt>
                <c:pt idx="22">
                  <c:v>2.3166568507100198</c:v>
                </c:pt>
                <c:pt idx="23">
                  <c:v>2.3166568507100198</c:v>
                </c:pt>
                <c:pt idx="24">
                  <c:v>2.3166568507100198</c:v>
                </c:pt>
                <c:pt idx="25">
                  <c:v>2.3166568507100198</c:v>
                </c:pt>
                <c:pt idx="26">
                  <c:v>2.3166568507100198</c:v>
                </c:pt>
                <c:pt idx="27">
                  <c:v>2.3166568507100198</c:v>
                </c:pt>
                <c:pt idx="28">
                  <c:v>2.3166568507100198</c:v>
                </c:pt>
                <c:pt idx="29">
                  <c:v>2.3166568507100198</c:v>
                </c:pt>
                <c:pt idx="30">
                  <c:v>2.3166568507100198</c:v>
                </c:pt>
                <c:pt idx="31">
                  <c:v>2.3166568507100198</c:v>
                </c:pt>
                <c:pt idx="32">
                  <c:v>2.3166568507100198</c:v>
                </c:pt>
                <c:pt idx="33">
                  <c:v>2.3166568507100198</c:v>
                </c:pt>
                <c:pt idx="34">
                  <c:v>2.3166568507100198</c:v>
                </c:pt>
                <c:pt idx="35">
                  <c:v>2.3166568507100198</c:v>
                </c:pt>
                <c:pt idx="36">
                  <c:v>2.3166568507100198</c:v>
                </c:pt>
                <c:pt idx="37">
                  <c:v>2.3166568507100198</c:v>
                </c:pt>
                <c:pt idx="38">
                  <c:v>2.3166568507100198</c:v>
                </c:pt>
                <c:pt idx="39">
                  <c:v>2.3166568507100198</c:v>
                </c:pt>
                <c:pt idx="40">
                  <c:v>2.3166568507100198</c:v>
                </c:pt>
                <c:pt idx="41">
                  <c:v>2.3166568507100198</c:v>
                </c:pt>
                <c:pt idx="42">
                  <c:v>2.3166568507100198</c:v>
                </c:pt>
                <c:pt idx="43">
                  <c:v>2.3166568507100198</c:v>
                </c:pt>
                <c:pt idx="44">
                  <c:v>2.3166568507100198</c:v>
                </c:pt>
                <c:pt idx="45">
                  <c:v>2.3166568507100198</c:v>
                </c:pt>
                <c:pt idx="46">
                  <c:v>2.3166568507100198</c:v>
                </c:pt>
                <c:pt idx="47">
                  <c:v>2.3166568507100198</c:v>
                </c:pt>
                <c:pt idx="48">
                  <c:v>2.3166568507100198</c:v>
                </c:pt>
                <c:pt idx="49">
                  <c:v>2.3166568507100198</c:v>
                </c:pt>
                <c:pt idx="50">
                  <c:v>2.3166568507100198</c:v>
                </c:pt>
                <c:pt idx="51">
                  <c:v>2.3166568507100198</c:v>
                </c:pt>
                <c:pt idx="52">
                  <c:v>2.3166568507100198</c:v>
                </c:pt>
                <c:pt idx="53">
                  <c:v>2.3166568507100198</c:v>
                </c:pt>
                <c:pt idx="54">
                  <c:v>2.3166568507100198</c:v>
                </c:pt>
                <c:pt idx="55">
                  <c:v>2.3166568507100198</c:v>
                </c:pt>
                <c:pt idx="56">
                  <c:v>2.3166568507100198</c:v>
                </c:pt>
                <c:pt idx="57">
                  <c:v>2.3166568507100198</c:v>
                </c:pt>
                <c:pt idx="58">
                  <c:v>2.3166568507100198</c:v>
                </c:pt>
                <c:pt idx="59">
                  <c:v>2.3166568507100198</c:v>
                </c:pt>
                <c:pt idx="60">
                  <c:v>2.3166568507100198</c:v>
                </c:pt>
                <c:pt idx="61">
                  <c:v>2.3166568507100198</c:v>
                </c:pt>
                <c:pt idx="62">
                  <c:v>2.3166568507100198</c:v>
                </c:pt>
                <c:pt idx="63">
                  <c:v>2.3166568507100198</c:v>
                </c:pt>
                <c:pt idx="64">
                  <c:v>2.3166568507100198</c:v>
                </c:pt>
                <c:pt idx="65">
                  <c:v>2.3166568507100198</c:v>
                </c:pt>
                <c:pt idx="66">
                  <c:v>2.3166568507100198</c:v>
                </c:pt>
                <c:pt idx="67">
                  <c:v>2.3166568507100198</c:v>
                </c:pt>
                <c:pt idx="68">
                  <c:v>2.3166568507100198</c:v>
                </c:pt>
                <c:pt idx="69">
                  <c:v>2.3166568507100198</c:v>
                </c:pt>
                <c:pt idx="70">
                  <c:v>2.3166568507100198</c:v>
                </c:pt>
                <c:pt idx="71">
                  <c:v>2.3166568507100198</c:v>
                </c:pt>
                <c:pt idx="72">
                  <c:v>2.3166568507100198</c:v>
                </c:pt>
                <c:pt idx="73">
                  <c:v>2.3166568507100198</c:v>
                </c:pt>
                <c:pt idx="74">
                  <c:v>2.3166568507100198</c:v>
                </c:pt>
                <c:pt idx="75">
                  <c:v>2.3166568507100198</c:v>
                </c:pt>
                <c:pt idx="76">
                  <c:v>2.3166568507100198</c:v>
                </c:pt>
                <c:pt idx="77">
                  <c:v>2.3166568507100198</c:v>
                </c:pt>
                <c:pt idx="78">
                  <c:v>2.3166568507100198</c:v>
                </c:pt>
                <c:pt idx="79">
                  <c:v>2.3166568507100198</c:v>
                </c:pt>
                <c:pt idx="80">
                  <c:v>2.3166568507100198</c:v>
                </c:pt>
                <c:pt idx="81">
                  <c:v>2.3166568507100198</c:v>
                </c:pt>
                <c:pt idx="82">
                  <c:v>2.3166568507100198</c:v>
                </c:pt>
                <c:pt idx="83">
                  <c:v>2.3166568507100198</c:v>
                </c:pt>
                <c:pt idx="84">
                  <c:v>2.3166568507100198</c:v>
                </c:pt>
                <c:pt idx="85">
                  <c:v>2.3166568507100198</c:v>
                </c:pt>
                <c:pt idx="86">
                  <c:v>2.3166568507100198</c:v>
                </c:pt>
                <c:pt idx="87">
                  <c:v>2.3166568507100198</c:v>
                </c:pt>
                <c:pt idx="88">
                  <c:v>2.3166568507100198</c:v>
                </c:pt>
                <c:pt idx="89">
                  <c:v>2.3166568507100198</c:v>
                </c:pt>
                <c:pt idx="90">
                  <c:v>2.3166568507100198</c:v>
                </c:pt>
                <c:pt idx="91">
                  <c:v>2.3166568507100198</c:v>
                </c:pt>
                <c:pt idx="92">
                  <c:v>2.3166568507100198</c:v>
                </c:pt>
                <c:pt idx="93">
                  <c:v>2.3166568507100198</c:v>
                </c:pt>
                <c:pt idx="94">
                  <c:v>2.3166568507100198</c:v>
                </c:pt>
                <c:pt idx="95">
                  <c:v>2.3166568507100198</c:v>
                </c:pt>
                <c:pt idx="96">
                  <c:v>2.3166568507100198</c:v>
                </c:pt>
                <c:pt idx="97">
                  <c:v>2.3166568507100198</c:v>
                </c:pt>
                <c:pt idx="98">
                  <c:v>2.3166568507100198</c:v>
                </c:pt>
                <c:pt idx="99">
                  <c:v>2.3166568507100198</c:v>
                </c:pt>
                <c:pt idx="100">
                  <c:v>2.3166568507100198</c:v>
                </c:pt>
                <c:pt idx="101">
                  <c:v>2.3166568507100198</c:v>
                </c:pt>
                <c:pt idx="102">
                  <c:v>2.3166568507100198</c:v>
                </c:pt>
                <c:pt idx="103">
                  <c:v>2.3166568507100198</c:v>
                </c:pt>
                <c:pt idx="104">
                  <c:v>2.3166568507100198</c:v>
                </c:pt>
                <c:pt idx="105">
                  <c:v>2.3166568507100198</c:v>
                </c:pt>
                <c:pt idx="106">
                  <c:v>2.3166568507100198</c:v>
                </c:pt>
                <c:pt idx="107">
                  <c:v>2.3166568507100198</c:v>
                </c:pt>
                <c:pt idx="108">
                  <c:v>2.3166568507100198</c:v>
                </c:pt>
                <c:pt idx="109">
                  <c:v>2.3166568507100198</c:v>
                </c:pt>
                <c:pt idx="110">
                  <c:v>2.3166568507100198</c:v>
                </c:pt>
                <c:pt idx="111">
                  <c:v>2.3166568507100198</c:v>
                </c:pt>
                <c:pt idx="112">
                  <c:v>2.3166568507100198</c:v>
                </c:pt>
                <c:pt idx="113">
                  <c:v>2.3166568507100198</c:v>
                </c:pt>
                <c:pt idx="114">
                  <c:v>2.3166568507100198</c:v>
                </c:pt>
                <c:pt idx="115">
                  <c:v>2.3166568507100198</c:v>
                </c:pt>
                <c:pt idx="116">
                  <c:v>2.3166568507100198</c:v>
                </c:pt>
                <c:pt idx="117">
                  <c:v>2.3166568507100198</c:v>
                </c:pt>
                <c:pt idx="118">
                  <c:v>2.3166568507100198</c:v>
                </c:pt>
                <c:pt idx="119">
                  <c:v>2.3166568507100198</c:v>
                </c:pt>
                <c:pt idx="120">
                  <c:v>2.3166568507100198</c:v>
                </c:pt>
                <c:pt idx="121">
                  <c:v>2.3166568507100198</c:v>
                </c:pt>
                <c:pt idx="122">
                  <c:v>2.3166568507100198</c:v>
                </c:pt>
                <c:pt idx="123">
                  <c:v>2.3166568507100198</c:v>
                </c:pt>
                <c:pt idx="124">
                  <c:v>2.3166568507100198</c:v>
                </c:pt>
                <c:pt idx="125">
                  <c:v>2.3166568507100198</c:v>
                </c:pt>
                <c:pt idx="126">
                  <c:v>2.3166568507100198</c:v>
                </c:pt>
                <c:pt idx="127">
                  <c:v>2.3166568507100198</c:v>
                </c:pt>
                <c:pt idx="128">
                  <c:v>2.3166568507100198</c:v>
                </c:pt>
                <c:pt idx="129">
                  <c:v>2.3166568507100198</c:v>
                </c:pt>
                <c:pt idx="130">
                  <c:v>2.3166568507100198</c:v>
                </c:pt>
                <c:pt idx="131">
                  <c:v>2.3166568507100198</c:v>
                </c:pt>
                <c:pt idx="132">
                  <c:v>2.3166568507100198</c:v>
                </c:pt>
                <c:pt idx="133">
                  <c:v>2.3166568507100198</c:v>
                </c:pt>
                <c:pt idx="134">
                  <c:v>2.3166568507100198</c:v>
                </c:pt>
                <c:pt idx="135">
                  <c:v>2.3166568507100198</c:v>
                </c:pt>
                <c:pt idx="136">
                  <c:v>2.3166568507100198</c:v>
                </c:pt>
                <c:pt idx="137">
                  <c:v>2.3166568507100198</c:v>
                </c:pt>
                <c:pt idx="138">
                  <c:v>2.3166568507100198</c:v>
                </c:pt>
                <c:pt idx="139">
                  <c:v>2.3166568507100198</c:v>
                </c:pt>
                <c:pt idx="140">
                  <c:v>2.3166568507100198</c:v>
                </c:pt>
                <c:pt idx="141">
                  <c:v>2.3166568507100198</c:v>
                </c:pt>
                <c:pt idx="142">
                  <c:v>2.3166568507100198</c:v>
                </c:pt>
                <c:pt idx="143">
                  <c:v>2.3166568507100198</c:v>
                </c:pt>
                <c:pt idx="144">
                  <c:v>2.3166568507100198</c:v>
                </c:pt>
                <c:pt idx="145">
                  <c:v>2.3166568507100198</c:v>
                </c:pt>
                <c:pt idx="146">
                  <c:v>2.3166568507100198</c:v>
                </c:pt>
                <c:pt idx="147">
                  <c:v>2.3166568507100198</c:v>
                </c:pt>
                <c:pt idx="148">
                  <c:v>2.3166568507100198</c:v>
                </c:pt>
                <c:pt idx="149">
                  <c:v>2.3166568507100198</c:v>
                </c:pt>
                <c:pt idx="150">
                  <c:v>2.3166568507100198</c:v>
                </c:pt>
                <c:pt idx="151">
                  <c:v>2.3166568507100198</c:v>
                </c:pt>
                <c:pt idx="152">
                  <c:v>2.3166568507100198</c:v>
                </c:pt>
                <c:pt idx="153">
                  <c:v>2.3166568507100198</c:v>
                </c:pt>
                <c:pt idx="154">
                  <c:v>2.3166568507100198</c:v>
                </c:pt>
                <c:pt idx="155">
                  <c:v>2.3166568507100198</c:v>
                </c:pt>
                <c:pt idx="156">
                  <c:v>2.3166568507100198</c:v>
                </c:pt>
                <c:pt idx="157">
                  <c:v>2.3166568507100198</c:v>
                </c:pt>
                <c:pt idx="158">
                  <c:v>2.3166568507100198</c:v>
                </c:pt>
                <c:pt idx="159">
                  <c:v>2.3166568507100198</c:v>
                </c:pt>
                <c:pt idx="160">
                  <c:v>2.3166568507100198</c:v>
                </c:pt>
                <c:pt idx="161">
                  <c:v>2.3166568507100198</c:v>
                </c:pt>
                <c:pt idx="162">
                  <c:v>2.3166568507100198</c:v>
                </c:pt>
                <c:pt idx="163">
                  <c:v>2.3166568507100198</c:v>
                </c:pt>
                <c:pt idx="164">
                  <c:v>2.3166568507100198</c:v>
                </c:pt>
                <c:pt idx="165">
                  <c:v>2.3166568507100198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1-439D-98C5-1482A2A19464}"/>
            </c:ext>
          </c:extLst>
        </c:ser>
        <c:ser>
          <c:idx val="1"/>
          <c:order val="1"/>
          <c:tx>
            <c:strRef>
              <c:f>XLRE_IYR_0!$Z$1</c:f>
              <c:strCache>
                <c:ptCount val="1"/>
                <c:pt idx="0">
                  <c:v> IYR*/XLRE*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XLRE_IYR_0!$Z$2:$Z$167</c:f>
              <c:numCache>
                <c:formatCode>_(* #,##0.0000_);_(* \(#,##0.0000\);_(* "-"??_);_(@_)</c:formatCode>
                <c:ptCount val="166"/>
                <c:pt idx="9">
                  <c:v>2.3321505810584799</c:v>
                </c:pt>
                <c:pt idx="10">
                  <c:v>2.3322937307314699</c:v>
                </c:pt>
                <c:pt idx="11">
                  <c:v>2.3323459651056702</c:v>
                </c:pt>
                <c:pt idx="12">
                  <c:v>2.3320580138790898</c:v>
                </c:pt>
                <c:pt idx="13">
                  <c:v>2.33119189120054</c:v>
                </c:pt>
                <c:pt idx="14">
                  <c:v>2.3301387844655301</c:v>
                </c:pt>
                <c:pt idx="15">
                  <c:v>2.32896395024266</c:v>
                </c:pt>
                <c:pt idx="16">
                  <c:v>2.3281598143490201</c:v>
                </c:pt>
                <c:pt idx="17">
                  <c:v>2.3277596266685201</c:v>
                </c:pt>
                <c:pt idx="18">
                  <c:v>2.32767878823344</c:v>
                </c:pt>
                <c:pt idx="19">
                  <c:v>2.3272159637066698</c:v>
                </c:pt>
                <c:pt idx="20">
                  <c:v>2.3268041867932499</c:v>
                </c:pt>
                <c:pt idx="21">
                  <c:v>2.32671587250067</c:v>
                </c:pt>
                <c:pt idx="22">
                  <c:v>2.32652134809282</c:v>
                </c:pt>
                <c:pt idx="23">
                  <c:v>2.3269349072781602</c:v>
                </c:pt>
                <c:pt idx="24">
                  <c:v>2.3266898503742799</c:v>
                </c:pt>
                <c:pt idx="25">
                  <c:v>2.3260334332274302</c:v>
                </c:pt>
                <c:pt idx="26">
                  <c:v>2.3250728356550701</c:v>
                </c:pt>
                <c:pt idx="27">
                  <c:v>2.3234637174999802</c:v>
                </c:pt>
                <c:pt idx="28">
                  <c:v>2.3213863373299302</c:v>
                </c:pt>
                <c:pt idx="29">
                  <c:v>2.3195541151354599</c:v>
                </c:pt>
                <c:pt idx="30">
                  <c:v>2.3173958208883301</c:v>
                </c:pt>
                <c:pt idx="31">
                  <c:v>2.3153133145935101</c:v>
                </c:pt>
                <c:pt idx="32">
                  <c:v>2.3139844902916402</c:v>
                </c:pt>
                <c:pt idx="33">
                  <c:v>2.31161284759742</c:v>
                </c:pt>
                <c:pt idx="34">
                  <c:v>2.3095083238518801</c:v>
                </c:pt>
                <c:pt idx="35">
                  <c:v>2.3078275527944099</c:v>
                </c:pt>
                <c:pt idx="36">
                  <c:v>2.3070424781752399</c:v>
                </c:pt>
                <c:pt idx="37">
                  <c:v>2.3075043110048301</c:v>
                </c:pt>
                <c:pt idx="38">
                  <c:v>2.3078987303919098</c:v>
                </c:pt>
                <c:pt idx="39">
                  <c:v>2.3087010041184399</c:v>
                </c:pt>
                <c:pt idx="40">
                  <c:v>2.30939392946182</c:v>
                </c:pt>
                <c:pt idx="41">
                  <c:v>2.3096318529998698</c:v>
                </c:pt>
                <c:pt idx="42">
                  <c:v>2.3096929440285998</c:v>
                </c:pt>
                <c:pt idx="43">
                  <c:v>2.3097545298094699</c:v>
                </c:pt>
                <c:pt idx="44">
                  <c:v>2.31015469353488</c:v>
                </c:pt>
                <c:pt idx="45">
                  <c:v>2.3106820761498401</c:v>
                </c:pt>
                <c:pt idx="46">
                  <c:v>2.3107289037292502</c:v>
                </c:pt>
                <c:pt idx="47">
                  <c:v>2.3100666818981499</c:v>
                </c:pt>
                <c:pt idx="48">
                  <c:v>2.3098140148571602</c:v>
                </c:pt>
                <c:pt idx="49">
                  <c:v>2.30936306898949</c:v>
                </c:pt>
                <c:pt idx="50">
                  <c:v>2.30860017463832</c:v>
                </c:pt>
                <c:pt idx="51">
                  <c:v>2.3081203604643399</c:v>
                </c:pt>
                <c:pt idx="52">
                  <c:v>2.3071001232665398</c:v>
                </c:pt>
                <c:pt idx="53">
                  <c:v>2.30645957715062</c:v>
                </c:pt>
                <c:pt idx="54">
                  <c:v>2.30726865120725</c:v>
                </c:pt>
                <c:pt idx="55">
                  <c:v>2.3083700555874702</c:v>
                </c:pt>
                <c:pt idx="56">
                  <c:v>2.30942683414546</c:v>
                </c:pt>
                <c:pt idx="57">
                  <c:v>2.3101527530087398</c:v>
                </c:pt>
                <c:pt idx="58">
                  <c:v>2.3108506554561998</c:v>
                </c:pt>
                <c:pt idx="59">
                  <c:v>2.3115434894259099</c:v>
                </c:pt>
                <c:pt idx="60">
                  <c:v>2.3128710513640098</c:v>
                </c:pt>
                <c:pt idx="61">
                  <c:v>2.3141065581492501</c:v>
                </c:pt>
                <c:pt idx="62">
                  <c:v>2.3152923291948202</c:v>
                </c:pt>
                <c:pt idx="63">
                  <c:v>2.31583428151874</c:v>
                </c:pt>
                <c:pt idx="64">
                  <c:v>2.31535843565314</c:v>
                </c:pt>
                <c:pt idx="65">
                  <c:v>2.31467766787364</c:v>
                </c:pt>
                <c:pt idx="66">
                  <c:v>2.3139730454185301</c:v>
                </c:pt>
                <c:pt idx="67">
                  <c:v>2.3135497365470399</c:v>
                </c:pt>
                <c:pt idx="68">
                  <c:v>2.3132541514475</c:v>
                </c:pt>
                <c:pt idx="69">
                  <c:v>2.3130418421706702</c:v>
                </c:pt>
                <c:pt idx="70">
                  <c:v>2.3128917939572098</c:v>
                </c:pt>
                <c:pt idx="71">
                  <c:v>2.31255730483934</c:v>
                </c:pt>
                <c:pt idx="72">
                  <c:v>2.3127625011725401</c:v>
                </c:pt>
                <c:pt idx="73">
                  <c:v>2.3132414283756</c:v>
                </c:pt>
                <c:pt idx="74">
                  <c:v>2.3137601905820002</c:v>
                </c:pt>
                <c:pt idx="75">
                  <c:v>2.3139445172923399</c:v>
                </c:pt>
                <c:pt idx="76">
                  <c:v>2.3137468927897502</c:v>
                </c:pt>
                <c:pt idx="77">
                  <c:v>2.31387101892228</c:v>
                </c:pt>
                <c:pt idx="78">
                  <c:v>2.3145458722767298</c:v>
                </c:pt>
                <c:pt idx="79">
                  <c:v>2.3150244221416401</c:v>
                </c:pt>
                <c:pt idx="80">
                  <c:v>2.31478995365948</c:v>
                </c:pt>
                <c:pt idx="81">
                  <c:v>2.3145758997288102</c:v>
                </c:pt>
                <c:pt idx="82">
                  <c:v>2.3140127942565099</c:v>
                </c:pt>
                <c:pt idx="83">
                  <c:v>2.3133208704815602</c:v>
                </c:pt>
                <c:pt idx="84">
                  <c:v>2.3123841836307499</c:v>
                </c:pt>
                <c:pt idx="85">
                  <c:v>2.3116828157437701</c:v>
                </c:pt>
                <c:pt idx="86">
                  <c:v>2.3114181197465902</c:v>
                </c:pt>
                <c:pt idx="87">
                  <c:v>2.3114587569899401</c:v>
                </c:pt>
                <c:pt idx="88">
                  <c:v>2.3103505202030998</c:v>
                </c:pt>
                <c:pt idx="89">
                  <c:v>2.3093581512327201</c:v>
                </c:pt>
                <c:pt idx="90">
                  <c:v>2.3088879037201702</c:v>
                </c:pt>
                <c:pt idx="91">
                  <c:v>2.3085067340057002</c:v>
                </c:pt>
                <c:pt idx="92">
                  <c:v>2.3084082556291898</c:v>
                </c:pt>
                <c:pt idx="93">
                  <c:v>2.3085016079755798</c:v>
                </c:pt>
                <c:pt idx="94">
                  <c:v>2.3081620934029901</c:v>
                </c:pt>
                <c:pt idx="95">
                  <c:v>2.3078146235240098</c:v>
                </c:pt>
                <c:pt idx="96">
                  <c:v>2.3072955426453801</c:v>
                </c:pt>
                <c:pt idx="97">
                  <c:v>2.3064043447857099</c:v>
                </c:pt>
                <c:pt idx="98">
                  <c:v>2.30630809466144</c:v>
                </c:pt>
                <c:pt idx="99">
                  <c:v>2.3059151876056001</c:v>
                </c:pt>
                <c:pt idx="100">
                  <c:v>2.3055515773751898</c:v>
                </c:pt>
                <c:pt idx="101">
                  <c:v>2.30535922915253</c:v>
                </c:pt>
                <c:pt idx="102">
                  <c:v>2.3046836033606901</c:v>
                </c:pt>
                <c:pt idx="103">
                  <c:v>2.30394709776006</c:v>
                </c:pt>
                <c:pt idx="104">
                  <c:v>2.30332870576337</c:v>
                </c:pt>
                <c:pt idx="105">
                  <c:v>2.3020880508613399</c:v>
                </c:pt>
                <c:pt idx="106">
                  <c:v>2.3010121139033402</c:v>
                </c:pt>
                <c:pt idx="107">
                  <c:v>2.3000622148015801</c:v>
                </c:pt>
                <c:pt idx="108">
                  <c:v>2.2995514988179102</c:v>
                </c:pt>
                <c:pt idx="109">
                  <c:v>2.2993311446246301</c:v>
                </c:pt>
                <c:pt idx="110">
                  <c:v>2.2992534112958101</c:v>
                </c:pt>
                <c:pt idx="111">
                  <c:v>2.2987708731768799</c:v>
                </c:pt>
                <c:pt idx="112">
                  <c:v>2.2977058803296901</c:v>
                </c:pt>
                <c:pt idx="113">
                  <c:v>2.2969262123477998</c:v>
                </c:pt>
                <c:pt idx="114">
                  <c:v>2.2959318338547501</c:v>
                </c:pt>
                <c:pt idx="115">
                  <c:v>2.2956992449046498</c:v>
                </c:pt>
                <c:pt idx="116">
                  <c:v>2.2971301686153498</c:v>
                </c:pt>
                <c:pt idx="117">
                  <c:v>2.29827178698894</c:v>
                </c:pt>
                <c:pt idx="118">
                  <c:v>2.2992122576999101</c:v>
                </c:pt>
                <c:pt idx="119">
                  <c:v>2.3003344427350698</c:v>
                </c:pt>
                <c:pt idx="120">
                  <c:v>2.3013358693797898</c:v>
                </c:pt>
                <c:pt idx="121">
                  <c:v>2.3029663400107099</c:v>
                </c:pt>
                <c:pt idx="122">
                  <c:v>2.3060767846715602</c:v>
                </c:pt>
                <c:pt idx="123">
                  <c:v>2.3094222902077699</c:v>
                </c:pt>
                <c:pt idx="124">
                  <c:v>2.3133731660083798</c:v>
                </c:pt>
                <c:pt idx="125">
                  <c:v>2.3174264423200301</c:v>
                </c:pt>
                <c:pt idx="126">
                  <c:v>2.3194130896741698</c:v>
                </c:pt>
                <c:pt idx="127">
                  <c:v>2.3215206561325998</c:v>
                </c:pt>
                <c:pt idx="128">
                  <c:v>2.3233226020381101</c:v>
                </c:pt>
                <c:pt idx="129">
                  <c:v>2.32454578508999</c:v>
                </c:pt>
                <c:pt idx="130">
                  <c:v>2.3257069004538402</c:v>
                </c:pt>
                <c:pt idx="131">
                  <c:v>2.3268750242806902</c:v>
                </c:pt>
                <c:pt idx="132">
                  <c:v>2.3276586675939002</c:v>
                </c:pt>
                <c:pt idx="133">
                  <c:v>2.3288998604343698</c:v>
                </c:pt>
                <c:pt idx="134">
                  <c:v>2.32968665804245</c:v>
                </c:pt>
                <c:pt idx="135">
                  <c:v>2.3299720262168702</c:v>
                </c:pt>
                <c:pt idx="136">
                  <c:v>2.3306098094313001</c:v>
                </c:pt>
                <c:pt idx="137">
                  <c:v>2.3309602839577801</c:v>
                </c:pt>
                <c:pt idx="138">
                  <c:v>2.3310343884530198</c:v>
                </c:pt>
                <c:pt idx="139">
                  <c:v>2.33145524988233</c:v>
                </c:pt>
                <c:pt idx="140">
                  <c:v>2.3320363578124401</c:v>
                </c:pt>
                <c:pt idx="141">
                  <c:v>2.3322684048416198</c:v>
                </c:pt>
                <c:pt idx="142">
                  <c:v>2.3320896333550598</c:v>
                </c:pt>
                <c:pt idx="143">
                  <c:v>2.3316347881572401</c:v>
                </c:pt>
                <c:pt idx="144">
                  <c:v>2.3312298942386098</c:v>
                </c:pt>
                <c:pt idx="145">
                  <c:v>2.3307798752172499</c:v>
                </c:pt>
                <c:pt idx="146">
                  <c:v>2.3300493801945099</c:v>
                </c:pt>
                <c:pt idx="147">
                  <c:v>2.3294895930872199</c:v>
                </c:pt>
                <c:pt idx="148">
                  <c:v>2.3290569370005501</c:v>
                </c:pt>
                <c:pt idx="149">
                  <c:v>2.3289430186395399</c:v>
                </c:pt>
                <c:pt idx="150">
                  <c:v>2.3286713308678499</c:v>
                </c:pt>
                <c:pt idx="151">
                  <c:v>2.3282386594017401</c:v>
                </c:pt>
                <c:pt idx="152">
                  <c:v>2.3280647857293002</c:v>
                </c:pt>
                <c:pt idx="153">
                  <c:v>2.3272666491927398</c:v>
                </c:pt>
                <c:pt idx="154">
                  <c:v>2.3261702470567802</c:v>
                </c:pt>
                <c:pt idx="155">
                  <c:v>2.3255795595181898</c:v>
                </c:pt>
                <c:pt idx="156">
                  <c:v>2.3253480840420901</c:v>
                </c:pt>
                <c:pt idx="157">
                  <c:v>2.3256558908900198</c:v>
                </c:pt>
                <c:pt idx="158">
                  <c:v>2.3255720606510599</c:v>
                </c:pt>
                <c:pt idx="159">
                  <c:v>2.32514449213298</c:v>
                </c:pt>
                <c:pt idx="160">
                  <c:v>2.32486925826244</c:v>
                </c:pt>
                <c:pt idx="161">
                  <c:v>2.3246742864779399</c:v>
                </c:pt>
                <c:pt idx="162">
                  <c:v>2.3243062355863899</c:v>
                </c:pt>
                <c:pt idx="163">
                  <c:v>2.32423762221761</c:v>
                </c:pt>
                <c:pt idx="164">
                  <c:v>2.3246948756991199</c:v>
                </c:pt>
                <c:pt idx="165">
                  <c:v>2.3250410991434101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1-439D-98C5-1482A2A19464}"/>
            </c:ext>
          </c:extLst>
        </c:ser>
        <c:ser>
          <c:idx val="2"/>
          <c:order val="2"/>
          <c:tx>
            <c:strRef>
              <c:f>XLRE_IYR_0!$AA$1</c:f>
              <c:strCache>
                <c:ptCount val="1"/>
                <c:pt idx="0">
                  <c:v> IYR*/XLRE*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XLRE_IYR_0!$AA$2:$AA$167</c:f>
              <c:numCache>
                <c:formatCode>_(* #,##0.0000_);_(* \(#,##0.0000\);_(* "-"??_);_(@_)</c:formatCode>
                <c:ptCount val="166"/>
                <c:pt idx="19">
                  <c:v>2.3296832723825802</c:v>
                </c:pt>
                <c:pt idx="20">
                  <c:v>2.3295489587623601</c:v>
                </c:pt>
                <c:pt idx="21">
                  <c:v>2.3295309188031701</c:v>
                </c:pt>
                <c:pt idx="22">
                  <c:v>2.32928968098595</c:v>
                </c:pt>
                <c:pt idx="23">
                  <c:v>2.3290633992393501</c:v>
                </c:pt>
                <c:pt idx="24">
                  <c:v>2.3284143174199001</c:v>
                </c:pt>
                <c:pt idx="25">
                  <c:v>2.32749869173505</c:v>
                </c:pt>
                <c:pt idx="26">
                  <c:v>2.32661632500204</c:v>
                </c:pt>
                <c:pt idx="27">
                  <c:v>2.3256116720842499</c:v>
                </c:pt>
                <c:pt idx="28">
                  <c:v>2.3245325627816902</c:v>
                </c:pt>
                <c:pt idx="29">
                  <c:v>2.3233850394210598</c:v>
                </c:pt>
                <c:pt idx="30">
                  <c:v>2.3221000038407902</c:v>
                </c:pt>
                <c:pt idx="31">
                  <c:v>2.3210145935470901</c:v>
                </c:pt>
                <c:pt idx="32">
                  <c:v>2.3202529191922299</c:v>
                </c:pt>
                <c:pt idx="33">
                  <c:v>2.3192738774377899</c:v>
                </c:pt>
                <c:pt idx="34">
                  <c:v>2.31809908711308</c:v>
                </c:pt>
                <c:pt idx="35">
                  <c:v>2.3169304930109198</c:v>
                </c:pt>
                <c:pt idx="36">
                  <c:v>2.3160576569151599</c:v>
                </c:pt>
                <c:pt idx="37">
                  <c:v>2.31548401425241</c:v>
                </c:pt>
                <c:pt idx="38">
                  <c:v>2.31464253386092</c:v>
                </c:pt>
                <c:pt idx="39">
                  <c:v>2.3141275596269502</c:v>
                </c:pt>
                <c:pt idx="40">
                  <c:v>2.3133948751750699</c:v>
                </c:pt>
                <c:pt idx="41">
                  <c:v>2.3124725837966902</c:v>
                </c:pt>
                <c:pt idx="42">
                  <c:v>2.31183871716012</c:v>
                </c:pt>
                <c:pt idx="43">
                  <c:v>2.3106836887034401</c:v>
                </c:pt>
                <c:pt idx="44">
                  <c:v>2.3098315086933798</c:v>
                </c:pt>
                <c:pt idx="45">
                  <c:v>2.3092548144721201</c:v>
                </c:pt>
                <c:pt idx="46">
                  <c:v>2.3088856909522399</c:v>
                </c:pt>
                <c:pt idx="47">
                  <c:v>2.30878549645149</c:v>
                </c:pt>
                <c:pt idx="48">
                  <c:v>2.3088563726245401</c:v>
                </c:pt>
                <c:pt idx="49">
                  <c:v>2.3090320365539601</c:v>
                </c:pt>
                <c:pt idx="50">
                  <c:v>2.3089970520500702</c:v>
                </c:pt>
                <c:pt idx="51">
                  <c:v>2.30887610673211</c:v>
                </c:pt>
                <c:pt idx="52">
                  <c:v>2.3083965336475698</c:v>
                </c:pt>
                <c:pt idx="53">
                  <c:v>2.3081070534800401</c:v>
                </c:pt>
                <c:pt idx="54">
                  <c:v>2.3087116723710701</c:v>
                </c:pt>
                <c:pt idx="55">
                  <c:v>2.3095260658686598</c:v>
                </c:pt>
                <c:pt idx="56">
                  <c:v>2.3100778689373498</c:v>
                </c:pt>
                <c:pt idx="57">
                  <c:v>2.31010971745344</c:v>
                </c:pt>
                <c:pt idx="58">
                  <c:v>2.31033233515668</c:v>
                </c:pt>
                <c:pt idx="59">
                  <c:v>2.3104532792076999</c:v>
                </c:pt>
                <c:pt idx="60">
                  <c:v>2.31073561300117</c:v>
                </c:pt>
                <c:pt idx="61">
                  <c:v>2.3111134593067999</c:v>
                </c:pt>
                <c:pt idx="62">
                  <c:v>2.3111962262306802</c:v>
                </c:pt>
                <c:pt idx="63">
                  <c:v>2.3111469293346798</c:v>
                </c:pt>
                <c:pt idx="64">
                  <c:v>2.3113135434302001</c:v>
                </c:pt>
                <c:pt idx="65">
                  <c:v>2.31152386173056</c:v>
                </c:pt>
                <c:pt idx="66">
                  <c:v>2.3116999397820002</c:v>
                </c:pt>
                <c:pt idx="67">
                  <c:v>2.3118512447778898</c:v>
                </c:pt>
                <c:pt idx="68">
                  <c:v>2.3120524034518501</c:v>
                </c:pt>
                <c:pt idx="69">
                  <c:v>2.3122926657982901</c:v>
                </c:pt>
                <c:pt idx="70">
                  <c:v>2.31288142266061</c:v>
                </c:pt>
                <c:pt idx="71">
                  <c:v>2.3133319314943002</c:v>
                </c:pt>
                <c:pt idx="72">
                  <c:v>2.3140274151836802</c:v>
                </c:pt>
                <c:pt idx="73">
                  <c:v>2.31453785494717</c:v>
                </c:pt>
                <c:pt idx="74">
                  <c:v>2.3145593131175701</c:v>
                </c:pt>
                <c:pt idx="75">
                  <c:v>2.3143110925829902</c:v>
                </c:pt>
                <c:pt idx="76">
                  <c:v>2.3138599691041399</c:v>
                </c:pt>
                <c:pt idx="77">
                  <c:v>2.3137103777346599</c:v>
                </c:pt>
                <c:pt idx="78">
                  <c:v>2.3139000118621098</c:v>
                </c:pt>
                <c:pt idx="79">
                  <c:v>2.3140331321561498</c:v>
                </c:pt>
                <c:pt idx="80">
                  <c:v>2.31384087380835</c:v>
                </c:pt>
                <c:pt idx="81">
                  <c:v>2.3135666022840802</c:v>
                </c:pt>
                <c:pt idx="82">
                  <c:v>2.3133876477145301</c:v>
                </c:pt>
                <c:pt idx="83">
                  <c:v>2.3132811494285801</c:v>
                </c:pt>
                <c:pt idx="84">
                  <c:v>2.3130721871063802</c:v>
                </c:pt>
                <c:pt idx="85">
                  <c:v>2.3128136665180499</c:v>
                </c:pt>
                <c:pt idx="86">
                  <c:v>2.31258250626817</c:v>
                </c:pt>
                <c:pt idx="87">
                  <c:v>2.3126648879561098</c:v>
                </c:pt>
                <c:pt idx="88">
                  <c:v>2.3124481962399099</c:v>
                </c:pt>
                <c:pt idx="89">
                  <c:v>2.3121912866871801</c:v>
                </c:pt>
                <c:pt idx="90">
                  <c:v>2.3118389286898302</c:v>
                </c:pt>
                <c:pt idx="91">
                  <c:v>2.3115413168672601</c:v>
                </c:pt>
                <c:pt idx="92">
                  <c:v>2.3112105249428501</c:v>
                </c:pt>
                <c:pt idx="93">
                  <c:v>2.3109112392285698</c:v>
                </c:pt>
                <c:pt idx="94">
                  <c:v>2.31027313851687</c:v>
                </c:pt>
                <c:pt idx="95">
                  <c:v>2.3097487196338902</c:v>
                </c:pt>
                <c:pt idx="96">
                  <c:v>2.3093568311959798</c:v>
                </c:pt>
                <c:pt idx="97">
                  <c:v>2.3089315508878201</c:v>
                </c:pt>
                <c:pt idx="98">
                  <c:v>2.3083293074322699</c:v>
                </c:pt>
                <c:pt idx="99">
                  <c:v>2.3076366694191601</c:v>
                </c:pt>
                <c:pt idx="100">
                  <c:v>2.30721974054768</c:v>
                </c:pt>
                <c:pt idx="101">
                  <c:v>2.30693298157912</c:v>
                </c:pt>
                <c:pt idx="102">
                  <c:v>2.30654592949494</c:v>
                </c:pt>
                <c:pt idx="103">
                  <c:v>2.3062243528678201</c:v>
                </c:pt>
                <c:pt idx="104">
                  <c:v>2.3057453995831798</c:v>
                </c:pt>
                <c:pt idx="105">
                  <c:v>2.3049513371926702</c:v>
                </c:pt>
                <c:pt idx="106">
                  <c:v>2.3041538282743601</c:v>
                </c:pt>
                <c:pt idx="107">
                  <c:v>2.3032332797936399</c:v>
                </c:pt>
                <c:pt idx="108">
                  <c:v>2.3029297967396798</c:v>
                </c:pt>
                <c:pt idx="109">
                  <c:v>2.3026231661151102</c:v>
                </c:pt>
                <c:pt idx="110">
                  <c:v>2.3024024943354999</c:v>
                </c:pt>
                <c:pt idx="111">
                  <c:v>2.3020650511647101</c:v>
                </c:pt>
                <c:pt idx="112">
                  <c:v>2.3011947418451899</c:v>
                </c:pt>
                <c:pt idx="113">
                  <c:v>2.3004366550539301</c:v>
                </c:pt>
                <c:pt idx="114">
                  <c:v>2.29963026980906</c:v>
                </c:pt>
                <c:pt idx="115">
                  <c:v>2.29889364788299</c:v>
                </c:pt>
                <c:pt idx="116">
                  <c:v>2.2990711412593399</c:v>
                </c:pt>
                <c:pt idx="117">
                  <c:v>2.29916700089526</c:v>
                </c:pt>
                <c:pt idx="118">
                  <c:v>2.2993818782589099</c:v>
                </c:pt>
                <c:pt idx="119">
                  <c:v>2.2998327936798502</c:v>
                </c:pt>
                <c:pt idx="120">
                  <c:v>2.3002946403378002</c:v>
                </c:pt>
                <c:pt idx="121">
                  <c:v>2.3008686065937898</c:v>
                </c:pt>
                <c:pt idx="122">
                  <c:v>2.3018913325006198</c:v>
                </c:pt>
                <c:pt idx="123">
                  <c:v>2.30317425127779</c:v>
                </c:pt>
                <c:pt idx="124">
                  <c:v>2.3046524999315601</c:v>
                </c:pt>
                <c:pt idx="125">
                  <c:v>2.30656284361234</c:v>
                </c:pt>
                <c:pt idx="126">
                  <c:v>2.3082716291447598</c:v>
                </c:pt>
                <c:pt idx="127">
                  <c:v>2.3098962215607699</c:v>
                </c:pt>
                <c:pt idx="128">
                  <c:v>2.3112674298690101</c:v>
                </c:pt>
                <c:pt idx="129">
                  <c:v>2.3124401139125301</c:v>
                </c:pt>
                <c:pt idx="130">
                  <c:v>2.3135213849168101</c:v>
                </c:pt>
                <c:pt idx="131">
                  <c:v>2.3149206821456998</c:v>
                </c:pt>
                <c:pt idx="132">
                  <c:v>2.3168677261327302</c:v>
                </c:pt>
                <c:pt idx="133">
                  <c:v>2.3191610753210701</c:v>
                </c:pt>
                <c:pt idx="134">
                  <c:v>2.3215299120254098</c:v>
                </c:pt>
                <c:pt idx="135">
                  <c:v>2.3236992342684499</c:v>
                </c:pt>
                <c:pt idx="136">
                  <c:v>2.3250114495527301</c:v>
                </c:pt>
                <c:pt idx="137">
                  <c:v>2.3262404700451902</c:v>
                </c:pt>
                <c:pt idx="138">
                  <c:v>2.3271784952455601</c:v>
                </c:pt>
                <c:pt idx="139">
                  <c:v>2.32800051748616</c:v>
                </c:pt>
                <c:pt idx="140">
                  <c:v>2.3288716291331402</c:v>
                </c:pt>
                <c:pt idx="141">
                  <c:v>2.3295717145611601</c:v>
                </c:pt>
                <c:pt idx="142">
                  <c:v>2.3298741504744802</c:v>
                </c:pt>
                <c:pt idx="143">
                  <c:v>2.3302673242958098</c:v>
                </c:pt>
                <c:pt idx="144">
                  <c:v>2.3304582761405301</c:v>
                </c:pt>
                <c:pt idx="145">
                  <c:v>2.3303759507170598</c:v>
                </c:pt>
                <c:pt idx="146">
                  <c:v>2.3303295948129001</c:v>
                </c:pt>
                <c:pt idx="147">
                  <c:v>2.3302249385225</c:v>
                </c:pt>
                <c:pt idx="148">
                  <c:v>2.3300456627267798</c:v>
                </c:pt>
                <c:pt idx="149">
                  <c:v>2.3301991342609401</c:v>
                </c:pt>
                <c:pt idx="150">
                  <c:v>2.3303538443401499</c:v>
                </c:pt>
                <c:pt idx="151">
                  <c:v>2.33025353212168</c:v>
                </c:pt>
                <c:pt idx="152">
                  <c:v>2.3300772095421798</c:v>
                </c:pt>
                <c:pt idx="153">
                  <c:v>2.3294507186749902</c:v>
                </c:pt>
                <c:pt idx="154">
                  <c:v>2.3287000706476899</c:v>
                </c:pt>
                <c:pt idx="155">
                  <c:v>2.3281797173677199</c:v>
                </c:pt>
                <c:pt idx="156">
                  <c:v>2.3276987321183</c:v>
                </c:pt>
                <c:pt idx="157">
                  <c:v>2.3275727419886199</c:v>
                </c:pt>
                <c:pt idx="158">
                  <c:v>2.3273144988258001</c:v>
                </c:pt>
                <c:pt idx="159">
                  <c:v>2.32704375538626</c:v>
                </c:pt>
                <c:pt idx="160">
                  <c:v>2.3267702945651498</c:v>
                </c:pt>
                <c:pt idx="161">
                  <c:v>2.32645647293984</c:v>
                </c:pt>
                <c:pt idx="162">
                  <c:v>2.32618551065785</c:v>
                </c:pt>
                <c:pt idx="163">
                  <c:v>2.3257521357051698</c:v>
                </c:pt>
                <c:pt idx="164">
                  <c:v>2.3254325613779501</c:v>
                </c:pt>
                <c:pt idx="165">
                  <c:v>2.3253103293308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01-439D-98C5-1482A2A19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XLRE_IYR_0!$U$1</c:f>
              <c:strCache>
                <c:ptCount val="1"/>
                <c:pt idx="0">
                  <c:v>log diff XLRE x avg / IYR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XLRE_IYR_0!$U$2:$U$167</c:f>
              <c:numCache>
                <c:formatCode>0.00%</c:formatCode>
                <c:ptCount val="166"/>
                <c:pt idx="1">
                  <c:v>-4.9795881104233502E-3</c:v>
                </c:pt>
                <c:pt idx="2">
                  <c:v>-5.3106922203749697E-3</c:v>
                </c:pt>
                <c:pt idx="3">
                  <c:v>-8.4531364972220899E-3</c:v>
                </c:pt>
                <c:pt idx="4">
                  <c:v>-9.5015092674331399E-3</c:v>
                </c:pt>
                <c:pt idx="5">
                  <c:v>-9.7091895870863205E-3</c:v>
                </c:pt>
                <c:pt idx="6">
                  <c:v>-8.3326360374026704E-3</c:v>
                </c:pt>
                <c:pt idx="7">
                  <c:v>-6.4045701288248501E-3</c:v>
                </c:pt>
                <c:pt idx="8">
                  <c:v>-4.8229553037084198E-3</c:v>
                </c:pt>
                <c:pt idx="9">
                  <c:v>-4.3939464364262599E-3</c:v>
                </c:pt>
                <c:pt idx="10">
                  <c:v>-5.3434577883995499E-3</c:v>
                </c:pt>
                <c:pt idx="11">
                  <c:v>-5.2039160489944199E-3</c:v>
                </c:pt>
                <c:pt idx="12">
                  <c:v>-4.0735505568568701E-3</c:v>
                </c:pt>
                <c:pt idx="13">
                  <c:v>-4.7390432288806099E-3</c:v>
                </c:pt>
                <c:pt idx="14">
                  <c:v>-4.9885247763365196E-3</c:v>
                </c:pt>
                <c:pt idx="15">
                  <c:v>-4.6742868155789799E-3</c:v>
                </c:pt>
                <c:pt idx="16">
                  <c:v>-4.8843960731653801E-3</c:v>
                </c:pt>
                <c:pt idx="17">
                  <c:v>-4.6866873899553104E-3</c:v>
                </c:pt>
                <c:pt idx="18">
                  <c:v>-4.4756295205291303E-3</c:v>
                </c:pt>
                <c:pt idx="19">
                  <c:v>-2.4029124878367299E-3</c:v>
                </c:pt>
                <c:pt idx="20">
                  <c:v>-3.5739036786764499E-3</c:v>
                </c:pt>
                <c:pt idx="21">
                  <c:v>-4.8246083868005102E-3</c:v>
                </c:pt>
                <c:pt idx="22">
                  <c:v>-3.2369369430111801E-3</c:v>
                </c:pt>
                <c:pt idx="23">
                  <c:v>-6.5141819509801097E-3</c:v>
                </c:pt>
                <c:pt idx="24">
                  <c:v>-3.9354301413863004E-3</c:v>
                </c:pt>
                <c:pt idx="25">
                  <c:v>-1.8500486238784101E-3</c:v>
                </c:pt>
                <c:pt idx="26">
                  <c:v>-7.4958126439169704E-4</c:v>
                </c:pt>
                <c:pt idx="27">
                  <c:v>2.2507070486456802E-3</c:v>
                </c:pt>
                <c:pt idx="28">
                  <c:v>4.4915584968698999E-3</c:v>
                </c:pt>
                <c:pt idx="29">
                  <c:v>5.51830235908575E-3</c:v>
                </c:pt>
                <c:pt idx="30">
                  <c:v>5.7526345516803199E-3</c:v>
                </c:pt>
                <c:pt idx="31">
                  <c:v>4.1616560341522302E-3</c:v>
                </c:pt>
                <c:pt idx="32">
                  <c:v>2.4968896977567399E-3</c:v>
                </c:pt>
                <c:pt idx="33">
                  <c:v>3.7087735963564502E-3</c:v>
                </c:pt>
                <c:pt idx="34">
                  <c:v>5.1543906140524599E-3</c:v>
                </c:pt>
                <c:pt idx="35">
                  <c:v>5.4180477364457599E-3</c:v>
                </c:pt>
                <c:pt idx="36">
                  <c:v>2.6424515959969498E-3</c:v>
                </c:pt>
                <c:pt idx="37">
                  <c:v>2.54677081914216E-4</c:v>
                </c:pt>
                <c:pt idx="38">
                  <c:v>2.78281803992013E-3</c:v>
                </c:pt>
                <c:pt idx="39">
                  <c:v>2.0421214780529202E-3</c:v>
                </c:pt>
                <c:pt idx="40">
                  <c:v>2.7488371046675698E-3</c:v>
                </c:pt>
                <c:pt idx="41">
                  <c:v>3.1308920459890699E-3</c:v>
                </c:pt>
                <c:pt idx="42">
                  <c:v>2.2325619747682801E-3</c:v>
                </c:pt>
                <c:pt idx="43">
                  <c:v>3.4419823915381102E-3</c:v>
                </c:pt>
                <c:pt idx="44">
                  <c:v>3.4196370842399901E-3</c:v>
                </c:pt>
                <c:pt idx="45">
                  <c:v>3.1318142376366999E-3</c:v>
                </c:pt>
                <c:pt idx="46">
                  <c:v>2.4398030014366602E-3</c:v>
                </c:pt>
                <c:pt idx="47">
                  <c:v>3.1180242567471002E-3</c:v>
                </c:pt>
                <c:pt idx="48">
                  <c:v>3.8771095954074101E-3</c:v>
                </c:pt>
                <c:pt idx="49">
                  <c:v>3.99454251198883E-3</c:v>
                </c:pt>
                <c:pt idx="50">
                  <c:v>6.0564489232986397E-3</c:v>
                </c:pt>
                <c:pt idx="51">
                  <c:v>5.2106971430227198E-3</c:v>
                </c:pt>
                <c:pt idx="52">
                  <c:v>6.6560946263504997E-3</c:v>
                </c:pt>
                <c:pt idx="53">
                  <c:v>6.2203307452604797E-3</c:v>
                </c:pt>
                <c:pt idx="54">
                  <c:v>-7.8620922431955705E-5</c:v>
                </c:pt>
                <c:pt idx="55">
                  <c:v>-1.6260457039424399E-3</c:v>
                </c:pt>
                <c:pt idx="56">
                  <c:v>-2.1225700438354499E-3</c:v>
                </c:pt>
                <c:pt idx="57">
                  <c:v>-2.0307522387740501E-5</c:v>
                </c:pt>
                <c:pt idx="58">
                  <c:v>8.5742948299181597E-4</c:v>
                </c:pt>
                <c:pt idx="59">
                  <c:v>9.9640828870611203E-4</c:v>
                </c:pt>
                <c:pt idx="60">
                  <c:v>3.0768546972230899E-4</c:v>
                </c:pt>
                <c:pt idx="61">
                  <c:v>-1.35991154310837E-4</c:v>
                </c:pt>
                <c:pt idx="62">
                  <c:v>1.51668362298216E-3</c:v>
                </c:pt>
                <c:pt idx="63">
                  <c:v>3.8691275072130602E-3</c:v>
                </c:pt>
                <c:pt idx="64">
                  <c:v>1.9773492877717602E-3</c:v>
                </c:pt>
                <c:pt idx="65">
                  <c:v>1.3120703606094501E-3</c:v>
                </c:pt>
                <c:pt idx="66">
                  <c:v>9.1714482329292499E-4</c:v>
                </c:pt>
                <c:pt idx="67">
                  <c:v>1.8085670242858299E-3</c:v>
                </c:pt>
                <c:pt idx="68">
                  <c:v>2.13525233562885E-3</c:v>
                </c:pt>
                <c:pt idx="69">
                  <c:v>1.9141897361970299E-3</c:v>
                </c:pt>
                <c:pt idx="70">
                  <c:v>9.5578763330512301E-4</c:v>
                </c:pt>
                <c:pt idx="71">
                  <c:v>1.3086996089494601E-3</c:v>
                </c:pt>
                <c:pt idx="72">
                  <c:v>6.2998912035739697E-4</c:v>
                </c:pt>
                <c:pt idx="73">
                  <c:v>1.7959433915826499E-3</c:v>
                </c:pt>
                <c:pt idx="74">
                  <c:v>-2.6384038108080899E-4</c:v>
                </c:pt>
                <c:pt idx="75">
                  <c:v>5.1568467906770005E-4</c:v>
                </c:pt>
                <c:pt idx="76">
                  <c:v>1.77135131269015E-3</c:v>
                </c:pt>
                <c:pt idx="77">
                  <c:v>1.2719426028387701E-3</c:v>
                </c:pt>
                <c:pt idx="78">
                  <c:v>-7.7976999955100201E-4</c:v>
                </c:pt>
                <c:pt idx="79">
                  <c:v>-1.5332102496694701E-4</c:v>
                </c:pt>
                <c:pt idx="80">
                  <c:v>1.9693674013326399E-3</c:v>
                </c:pt>
                <c:pt idx="81">
                  <c:v>2.2343155765821398E-3</c:v>
                </c:pt>
                <c:pt idx="82">
                  <c:v>3.0651649434663198E-3</c:v>
                </c:pt>
                <c:pt idx="83">
                  <c:v>4.7925314910098804E-3</c:v>
                </c:pt>
                <c:pt idx="84">
                  <c:v>3.7865544925654799E-3</c:v>
                </c:pt>
                <c:pt idx="85">
                  <c:v>3.5493433196224201E-3</c:v>
                </c:pt>
                <c:pt idx="86">
                  <c:v>2.91661006184502E-3</c:v>
                </c:pt>
                <c:pt idx="87">
                  <c:v>1.09632146305504E-3</c:v>
                </c:pt>
                <c:pt idx="88">
                  <c:v>4.0117383568015596E-3</c:v>
                </c:pt>
                <c:pt idx="89">
                  <c:v>4.1388456547825202E-3</c:v>
                </c:pt>
                <c:pt idx="90">
                  <c:v>4.0052939397502204E-3</c:v>
                </c:pt>
                <c:pt idx="91">
                  <c:v>3.8847009094257999E-3</c:v>
                </c:pt>
                <c:pt idx="92">
                  <c:v>3.4916491581478601E-3</c:v>
                </c:pt>
                <c:pt idx="93">
                  <c:v>4.38771612321212E-3</c:v>
                </c:pt>
                <c:pt idx="94">
                  <c:v>5.2587342107267799E-3</c:v>
                </c:pt>
                <c:pt idx="95">
                  <c:v>5.0556866564967799E-3</c:v>
                </c:pt>
                <c:pt idx="96">
                  <c:v>5.1663297958605397E-3</c:v>
                </c:pt>
                <c:pt idx="97">
                  <c:v>4.9548894734035296E-3</c:v>
                </c:pt>
                <c:pt idx="98">
                  <c:v>4.4289654109832604E-3</c:v>
                </c:pt>
                <c:pt idx="99">
                  <c:v>5.8433404123738502E-3</c:v>
                </c:pt>
                <c:pt idx="100">
                  <c:v>5.58238320918819E-3</c:v>
                </c:pt>
                <c:pt idx="101">
                  <c:v>4.7185637687499199E-3</c:v>
                </c:pt>
                <c:pt idx="102">
                  <c:v>6.42252344226691E-3</c:v>
                </c:pt>
                <c:pt idx="103">
                  <c:v>7.5859794178150201E-3</c:v>
                </c:pt>
                <c:pt idx="104">
                  <c:v>7.9457445405232297E-3</c:v>
                </c:pt>
                <c:pt idx="105">
                  <c:v>1.0452735769956501E-2</c:v>
                </c:pt>
                <c:pt idx="106">
                  <c:v>9.8456690599944604E-3</c:v>
                </c:pt>
                <c:pt idx="107">
                  <c:v>9.0840710436950693E-3</c:v>
                </c:pt>
                <c:pt idx="108">
                  <c:v>6.6457448985603297E-3</c:v>
                </c:pt>
                <c:pt idx="109">
                  <c:v>6.8005458965163497E-3</c:v>
                </c:pt>
                <c:pt idx="110">
                  <c:v>5.9198594747162103E-3</c:v>
                </c:pt>
                <c:pt idx="111">
                  <c:v>6.8135153835622497E-3</c:v>
                </c:pt>
                <c:pt idx="112">
                  <c:v>1.10599908649425E-2</c:v>
                </c:pt>
                <c:pt idx="113">
                  <c:v>1.0982857445619901E-2</c:v>
                </c:pt>
                <c:pt idx="114">
                  <c:v>1.2281671925572E-2</c:v>
                </c:pt>
                <c:pt idx="115">
                  <c:v>1.14677855248247E-2</c:v>
                </c:pt>
                <c:pt idx="116">
                  <c:v>3.6272543965516699E-3</c:v>
                </c:pt>
                <c:pt idx="117">
                  <c:v>4.1235557313710697E-3</c:v>
                </c:pt>
                <c:pt idx="118">
                  <c:v>2.5674007248227102E-3</c:v>
                </c:pt>
                <c:pt idx="119">
                  <c:v>1.93536141249712E-3</c:v>
                </c:pt>
                <c:pt idx="120">
                  <c:v>1.58089733505711E-3</c:v>
                </c:pt>
                <c:pt idx="121">
                  <c:v>-2.4764586110865601E-4</c:v>
                </c:pt>
                <c:pt idx="122">
                  <c:v>-2.4244413592227E-3</c:v>
                </c:pt>
                <c:pt idx="123">
                  <c:v>-3.5121513897158202E-3</c:v>
                </c:pt>
                <c:pt idx="124">
                  <c:v>-4.8359403680158604E-3</c:v>
                </c:pt>
                <c:pt idx="125">
                  <c:v>-6.0754567463659299E-3</c:v>
                </c:pt>
                <c:pt idx="126">
                  <c:v>-4.9425740165456103E-3</c:v>
                </c:pt>
                <c:pt idx="127">
                  <c:v>-4.97001117883573E-3</c:v>
                </c:pt>
                <c:pt idx="128">
                  <c:v>-5.20056255337449E-3</c:v>
                </c:pt>
                <c:pt idx="129">
                  <c:v>-3.34087247170006E-3</c:v>
                </c:pt>
                <c:pt idx="130">
                  <c:v>-3.4265044490061898E-3</c:v>
                </c:pt>
                <c:pt idx="131">
                  <c:v>-5.2760163316578302E-3</c:v>
                </c:pt>
                <c:pt idx="132">
                  <c:v>-5.7932169003079197E-3</c:v>
                </c:pt>
                <c:pt idx="133">
                  <c:v>-8.8368555841031003E-3</c:v>
                </c:pt>
                <c:pt idx="134">
                  <c:v>-8.2101199977418198E-3</c:v>
                </c:pt>
                <c:pt idx="135">
                  <c:v>-7.2990570085518696E-3</c:v>
                </c:pt>
                <c:pt idx="136">
                  <c:v>-7.6782877748476598E-3</c:v>
                </c:pt>
                <c:pt idx="137">
                  <c:v>-6.4742251657747898E-3</c:v>
                </c:pt>
                <c:pt idx="138">
                  <c:v>-5.5187295857152896E-3</c:v>
                </c:pt>
                <c:pt idx="139">
                  <c:v>-5.1498518641841197E-3</c:v>
                </c:pt>
                <c:pt idx="140">
                  <c:v>-5.9231950028848799E-3</c:v>
                </c:pt>
                <c:pt idx="141">
                  <c:v>-6.2718955913759703E-3</c:v>
                </c:pt>
                <c:pt idx="142">
                  <c:v>-5.0257012623289698E-3</c:v>
                </c:pt>
                <c:pt idx="143">
                  <c:v>-6.8888641679252099E-3</c:v>
                </c:pt>
                <c:pt idx="144">
                  <c:v>-6.4751553789222996E-3</c:v>
                </c:pt>
                <c:pt idx="145">
                  <c:v>-5.36878591683769E-3</c:v>
                </c:pt>
                <c:pt idx="146">
                  <c:v>-4.54427127376164E-3</c:v>
                </c:pt>
                <c:pt idx="147">
                  <c:v>-4.07057475709054E-3</c:v>
                </c:pt>
                <c:pt idx="148">
                  <c:v>-3.6596928300146798E-3</c:v>
                </c:pt>
                <c:pt idx="149">
                  <c:v>-4.6605220040680803E-3</c:v>
                </c:pt>
                <c:pt idx="150">
                  <c:v>-4.7566828935721598E-3</c:v>
                </c:pt>
                <c:pt idx="151">
                  <c:v>-4.4141936786345603E-3</c:v>
                </c:pt>
                <c:pt idx="152">
                  <c:v>-4.2786477816824696E-3</c:v>
                </c:pt>
                <c:pt idx="153">
                  <c:v>-3.4614409876831502E-3</c:v>
                </c:pt>
                <c:pt idx="154">
                  <c:v>-1.7619202819222099E-3</c:v>
                </c:pt>
                <c:pt idx="155">
                  <c:v>-2.8294757436069301E-3</c:v>
                </c:pt>
                <c:pt idx="156">
                  <c:v>-3.5491275709839702E-3</c:v>
                </c:pt>
                <c:pt idx="157">
                  <c:v>-5.3929708377435E-3</c:v>
                </c:pt>
                <c:pt idx="158">
                  <c:v>-3.2990910124721501E-3</c:v>
                </c:pt>
                <c:pt idx="159">
                  <c:v>-2.8217868174528898E-3</c:v>
                </c:pt>
                <c:pt idx="160">
                  <c:v>-3.5735561970614699E-3</c:v>
                </c:pt>
                <c:pt idx="161">
                  <c:v>-3.5759408868010901E-3</c:v>
                </c:pt>
                <c:pt idx="162">
                  <c:v>-2.6954626223227398E-3</c:v>
                </c:pt>
                <c:pt idx="163">
                  <c:v>-3.1662467691600102E-3</c:v>
                </c:pt>
                <c:pt idx="164">
                  <c:v>-3.7302716513594801E-3</c:v>
                </c:pt>
                <c:pt idx="165">
                  <c:v>-4.3186397447487401E-3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B-4777-B267-3EBD366E6192}"/>
            </c:ext>
          </c:extLst>
        </c:ser>
        <c:ser>
          <c:idx val="1"/>
          <c:order val="1"/>
          <c:tx>
            <c:strRef>
              <c:f>XLRE_IYR_0!$V$1</c:f>
              <c:strCache>
                <c:ptCount val="1"/>
                <c:pt idx="0">
                  <c:v>log diff XLRE x 10 dma / IYR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XLRE_IYR_0!$V$2:$V$167</c:f>
              <c:numCache>
                <c:formatCode>0.00%</c:formatCode>
                <c:ptCount val="166"/>
                <c:pt idx="10">
                  <c:v>1.32224645659138E-3</c:v>
                </c:pt>
                <c:pt idx="11">
                  <c:v>1.52316728575105E-3</c:v>
                </c:pt>
                <c:pt idx="12">
                  <c:v>2.6759286659337098E-3</c:v>
                </c:pt>
                <c:pt idx="13">
                  <c:v>1.8869684605477999E-3</c:v>
                </c:pt>
                <c:pt idx="14">
                  <c:v>1.2660195003909901E-3</c:v>
                </c:pt>
                <c:pt idx="15">
                  <c:v>1.1284093404302299E-3</c:v>
                </c:pt>
                <c:pt idx="16">
                  <c:v>4.13982271168169E-4</c:v>
                </c:pt>
                <c:pt idx="17">
                  <c:v>2.6635510234300898E-4</c:v>
                </c:pt>
                <c:pt idx="18">
                  <c:v>3.0550807240506801E-4</c:v>
                </c:pt>
                <c:pt idx="19">
                  <c:v>2.3434965025950802E-3</c:v>
                </c:pt>
                <c:pt idx="20">
                  <c:v>9.7365032020181195E-4</c:v>
                </c:pt>
                <c:pt idx="21">
                  <c:v>-4.5400975175084599E-4</c:v>
                </c:pt>
                <c:pt idx="22">
                  <c:v>1.09570578276317E-3</c:v>
                </c:pt>
                <c:pt idx="23">
                  <c:v>-2.26514743116699E-3</c:v>
                </c:pt>
                <c:pt idx="24">
                  <c:v>4.9134718451809595E-4</c:v>
                </c:pt>
                <c:pt idx="25">
                  <c:v>2.4714099808702998E-3</c:v>
                </c:pt>
                <c:pt idx="26">
                  <c:v>3.2897126332863298E-3</c:v>
                </c:pt>
                <c:pt idx="27">
                  <c:v>5.8769389647274203E-3</c:v>
                </c:pt>
                <c:pt idx="28">
                  <c:v>7.4254786709819498E-3</c:v>
                </c:pt>
                <c:pt idx="29">
                  <c:v>7.5577349678157997E-3</c:v>
                </c:pt>
                <c:pt idx="30">
                  <c:v>7.0024762107149504E-3</c:v>
                </c:pt>
                <c:pt idx="31">
                  <c:v>4.4805864550802503E-3</c:v>
                </c:pt>
                <c:pt idx="32">
                  <c:v>1.91677535926303E-3</c:v>
                </c:pt>
                <c:pt idx="33">
                  <c:v>2.5545659960446699E-3</c:v>
                </c:pt>
                <c:pt idx="34">
                  <c:v>2.9747401449382802E-3</c:v>
                </c:pt>
                <c:pt idx="35">
                  <c:v>2.3275690016558502E-3</c:v>
                </c:pt>
                <c:pt idx="36">
                  <c:v>-1.1760535057761699E-3</c:v>
                </c:pt>
                <c:pt idx="37">
                  <c:v>-3.9040649589149202E-3</c:v>
                </c:pt>
                <c:pt idx="38">
                  <c:v>-1.17576010519677E-3</c:v>
                </c:pt>
                <c:pt idx="39">
                  <c:v>-1.7455422812553199E-3</c:v>
                </c:pt>
                <c:pt idx="40">
                  <c:v>-6.9126620723902895E-4</c:v>
                </c:pt>
                <c:pt idx="41">
                  <c:v>-9.1198392377758503E-6</c:v>
                </c:pt>
                <c:pt idx="42">
                  <c:v>-8.0443098418602496E-4</c:v>
                </c:pt>
                <c:pt idx="43">
                  <c:v>4.3143963100818498E-4</c:v>
                </c:pt>
                <c:pt idx="44">
                  <c:v>4.35758023739429E-4</c:v>
                </c:pt>
                <c:pt idx="45">
                  <c:v>3.2116963134959798E-4</c:v>
                </c:pt>
                <c:pt idx="46">
                  <c:v>-1.4257878426899201E-4</c:v>
                </c:pt>
                <c:pt idx="47">
                  <c:v>5.5590796121946201E-4</c:v>
                </c:pt>
                <c:pt idx="48">
                  <c:v>1.0283665390292799E-3</c:v>
                </c:pt>
                <c:pt idx="49">
                  <c:v>1.03641695947052E-3</c:v>
                </c:pt>
                <c:pt idx="50">
                  <c:v>2.90307393092561E-3</c:v>
                </c:pt>
                <c:pt idx="51">
                  <c:v>1.72691919252216E-3</c:v>
                </c:pt>
                <c:pt idx="52">
                  <c:v>2.9644573644381201E-3</c:v>
                </c:pt>
                <c:pt idx="53">
                  <c:v>2.08657496787693E-3</c:v>
                </c:pt>
                <c:pt idx="54">
                  <c:v>-4.4900564792635699E-3</c:v>
                </c:pt>
                <c:pt idx="55">
                  <c:v>-5.68675662989676E-3</c:v>
                </c:pt>
                <c:pt idx="56">
                  <c:v>-5.7060320033561996E-3</c:v>
                </c:pt>
                <c:pt idx="57">
                  <c:v>-3.1460713190537698E-3</c:v>
                </c:pt>
                <c:pt idx="58">
                  <c:v>-1.9540551220045802E-3</c:v>
                </c:pt>
                <c:pt idx="59">
                  <c:v>-1.5130196454413601E-3</c:v>
                </c:pt>
                <c:pt idx="60">
                  <c:v>-1.9019696829695801E-3</c:v>
                </c:pt>
                <c:pt idx="61">
                  <c:v>-1.77149277346503E-3</c:v>
                </c:pt>
                <c:pt idx="62">
                  <c:v>4.1522686804744299E-4</c:v>
                </c:pt>
                <c:pt idx="63">
                  <c:v>3.2799493873044202E-3</c:v>
                </c:pt>
                <c:pt idx="64">
                  <c:v>1.62221889401808E-3</c:v>
                </c:pt>
                <c:pt idx="65">
                  <c:v>7.5144393318672404E-4</c:v>
                </c:pt>
                <c:pt idx="66">
                  <c:v>6.2452531508329907E-5</c:v>
                </c:pt>
                <c:pt idx="67">
                  <c:v>6.4941345244432099E-4</c:v>
                </c:pt>
                <c:pt idx="68">
                  <c:v>7.9314607284668897E-4</c:v>
                </c:pt>
                <c:pt idx="69">
                  <c:v>4.44312724060136E-4</c:v>
                </c:pt>
                <c:pt idx="70">
                  <c:v>-6.0587307674831402E-4</c:v>
                </c:pt>
                <c:pt idx="71">
                  <c:v>-3.17833719397671E-4</c:v>
                </c:pt>
                <c:pt idx="72">
                  <c:v>-1.14117410718878E-3</c:v>
                </c:pt>
                <c:pt idx="73">
                  <c:v>1.1350757833056501E-4</c:v>
                </c:pt>
                <c:pt idx="74">
                  <c:v>-1.7392174835884999E-3</c:v>
                </c:pt>
                <c:pt idx="75">
                  <c:v>-7.3545986365733905E-4</c:v>
                </c:pt>
                <c:pt idx="76">
                  <c:v>5.9986903109523701E-4</c:v>
                </c:pt>
                <c:pt idx="77">
                  <c:v>1.5050778907034999E-5</c:v>
                </c:pt>
                <c:pt idx="78">
                  <c:v>-1.9830160234516302E-3</c:v>
                </c:pt>
                <c:pt idx="79">
                  <c:v>-1.0649540092068301E-3</c:v>
                </c:pt>
                <c:pt idx="80">
                  <c:v>1.26447060908596E-3</c:v>
                </c:pt>
                <c:pt idx="81">
                  <c:v>1.4281324418077899E-3</c:v>
                </c:pt>
                <c:pt idx="82">
                  <c:v>2.1665052416618901E-3</c:v>
                </c:pt>
                <c:pt idx="83">
                  <c:v>3.6505555162296599E-3</c:v>
                </c:pt>
                <c:pt idx="84">
                  <c:v>2.3455191327299901E-3</c:v>
                </c:pt>
                <c:pt idx="85">
                  <c:v>1.70331591958923E-3</c:v>
                </c:pt>
                <c:pt idx="86">
                  <c:v>7.6722724223944095E-4</c:v>
                </c:pt>
                <c:pt idx="87">
                  <c:v>-1.1675715094383199E-3</c:v>
                </c:pt>
                <c:pt idx="88">
                  <c:v>1.76542631688984E-3</c:v>
                </c:pt>
                <c:pt idx="89">
                  <c:v>1.4129652287212999E-3</c:v>
                </c:pt>
                <c:pt idx="90">
                  <c:v>8.4978945891612102E-4</c:v>
                </c:pt>
                <c:pt idx="91">
                  <c:v>5.2554876297189403E-4</c:v>
                </c:pt>
                <c:pt idx="92">
                  <c:v>-3.2604629052174697E-5</c:v>
                </c:pt>
                <c:pt idx="93">
                  <c:v>8.20802518039048E-4</c:v>
                </c:pt>
                <c:pt idx="94">
                  <c:v>1.73225992499223E-3</c:v>
                </c:pt>
                <c:pt idx="95">
                  <c:v>1.3821301507200099E-3</c:v>
                </c:pt>
                <c:pt idx="96">
                  <c:v>1.3422223228889199E-3</c:v>
                </c:pt>
                <c:pt idx="97">
                  <c:v>9.0583357574418105E-4</c:v>
                </c:pt>
                <c:pt idx="98">
                  <c:v>-6.4172493605398798E-6</c:v>
                </c:pt>
                <c:pt idx="99">
                  <c:v>1.3662252028882401E-3</c:v>
                </c:pt>
                <c:pt idx="100">
                  <c:v>9.3489157482188104E-4</c:v>
                </c:pt>
                <c:pt idx="101">
                  <c:v>-8.6626164094547202E-5</c:v>
                </c:pt>
                <c:pt idx="102">
                  <c:v>1.53390174036851E-3</c:v>
                </c:pt>
                <c:pt idx="103">
                  <c:v>2.40424729537399E-3</c:v>
                </c:pt>
                <c:pt idx="104">
                  <c:v>2.4443922728960999E-3</c:v>
                </c:pt>
                <c:pt idx="105">
                  <c:v>4.6829420081465102E-3</c:v>
                </c:pt>
                <c:pt idx="106">
                  <c:v>3.5370945547223199E-3</c:v>
                </c:pt>
                <c:pt idx="107">
                  <c:v>2.3080129125705598E-3</c:v>
                </c:pt>
                <c:pt idx="108">
                  <c:v>-5.4321641447192099E-4</c:v>
                </c:pt>
                <c:pt idx="109">
                  <c:v>-6.1048449342913198E-4</c:v>
                </c:pt>
                <c:pt idx="110">
                  <c:v>-1.58700036361235E-3</c:v>
                </c:pt>
                <c:pt idx="111">
                  <c:v>-7.2715195700008702E-4</c:v>
                </c:pt>
                <c:pt idx="112">
                  <c:v>3.3094341932891698E-3</c:v>
                </c:pt>
                <c:pt idx="113">
                  <c:v>2.76890547214795E-3</c:v>
                </c:pt>
                <c:pt idx="114">
                  <c:v>3.7283378324257E-3</c:v>
                </c:pt>
                <c:pt idx="115">
                  <c:v>2.4814406577373499E-3</c:v>
                </c:pt>
                <c:pt idx="116">
                  <c:v>-5.4604004173969701E-3</c:v>
                </c:pt>
                <c:pt idx="117">
                  <c:v>-4.3409869971228598E-3</c:v>
                </c:pt>
                <c:pt idx="118">
                  <c:v>-5.4002895376168104E-3</c:v>
                </c:pt>
                <c:pt idx="119">
                  <c:v>-5.6232047660095801E-3</c:v>
                </c:pt>
                <c:pt idx="120">
                  <c:v>-5.4897142120406998E-3</c:v>
                </c:pt>
                <c:pt idx="121">
                  <c:v>-6.8830125546633899E-3</c:v>
                </c:pt>
                <c:pt idx="122">
                  <c:v>-8.3515701374883202E-3</c:v>
                </c:pt>
                <c:pt idx="123">
                  <c:v>-8.0895661171858594E-3</c:v>
                </c:pt>
                <c:pt idx="124">
                  <c:v>-7.9636717274082294E-3</c:v>
                </c:pt>
                <c:pt idx="125">
                  <c:v>-7.4938861044184001E-3</c:v>
                </c:pt>
                <c:pt idx="126">
                  <c:v>-4.6104299576565496E-3</c:v>
                </c:pt>
                <c:pt idx="127">
                  <c:v>-3.7809698898420602E-3</c:v>
                </c:pt>
                <c:pt idx="128">
                  <c:v>-3.1032701585692901E-3</c:v>
                </c:pt>
                <c:pt idx="129">
                  <c:v>-4.6768909597276899E-4</c:v>
                </c:pt>
                <c:pt idx="130">
                  <c:v>-2.6979542821654701E-5</c:v>
                </c:pt>
                <c:pt idx="131">
                  <c:v>-1.37711409417889E-3</c:v>
                </c:pt>
                <c:pt idx="132">
                  <c:v>-1.39217461659545E-3</c:v>
                </c:pt>
                <c:pt idx="133">
                  <c:v>-4.0990907101188098E-3</c:v>
                </c:pt>
                <c:pt idx="134">
                  <c:v>-2.9392606238622899E-3</c:v>
                </c:pt>
                <c:pt idx="135">
                  <c:v>-1.69041379726145E-3</c:v>
                </c:pt>
                <c:pt idx="136">
                  <c:v>-1.9471599808404401E-3</c:v>
                </c:pt>
                <c:pt idx="137">
                  <c:v>-4.6940484113584601E-4</c:v>
                </c:pt>
                <c:pt idx="138">
                  <c:v>6.3645832757913397E-4</c:v>
                </c:pt>
                <c:pt idx="139">
                  <c:v>1.03712694568948E-3</c:v>
                </c:pt>
                <c:pt idx="140">
                  <c:v>4.4431458050544597E-4</c:v>
                </c:pt>
                <c:pt idx="141">
                  <c:v>3.4482980797068499E-4</c:v>
                </c:pt>
                <c:pt idx="142">
                  <c:v>1.69052322259968E-3</c:v>
                </c:pt>
                <c:pt idx="143">
                  <c:v>-2.49293955754661E-4</c:v>
                </c:pt>
                <c:pt idx="144">
                  <c:v>-3.0641803104193398E-5</c:v>
                </c:pt>
                <c:pt idx="145">
                  <c:v>9.0206020464902797E-4</c:v>
                </c:pt>
                <c:pt idx="146">
                  <c:v>1.53351689846358E-3</c:v>
                </c:pt>
                <c:pt idx="147">
                  <c:v>1.6937520164491699E-3</c:v>
                </c:pt>
                <c:pt idx="148">
                  <c:v>1.8643581938454399E-3</c:v>
                </c:pt>
                <c:pt idx="149">
                  <c:v>6.7778177647596699E-4</c:v>
                </c:pt>
                <c:pt idx="150">
                  <c:v>5.3270789336257705E-4</c:v>
                </c:pt>
                <c:pt idx="151">
                  <c:v>7.5853318913096397E-4</c:v>
                </c:pt>
                <c:pt idx="152">
                  <c:v>7.0825996212892897E-4</c:v>
                </c:pt>
                <c:pt idx="153">
                  <c:v>1.45078361978823E-3</c:v>
                </c:pt>
                <c:pt idx="154">
                  <c:v>2.80741293079349E-3</c:v>
                </c:pt>
                <c:pt idx="155">
                  <c:v>1.26863493802337E-3</c:v>
                </c:pt>
                <c:pt idx="156">
                  <c:v>2.95019520029273E-4</c:v>
                </c:pt>
                <c:pt idx="157">
                  <c:v>-1.6483632339147499E-3</c:v>
                </c:pt>
                <c:pt idx="158">
                  <c:v>5.77878055694634E-4</c:v>
                </c:pt>
                <c:pt idx="159">
                  <c:v>1.0191357529516301E-3</c:v>
                </c:pt>
                <c:pt idx="160">
                  <c:v>8.3494269149632903E-5</c:v>
                </c:pt>
                <c:pt idx="161">
                  <c:v>-3.7270230040146099E-5</c:v>
                </c:pt>
                <c:pt idx="162">
                  <c:v>7.5934096974920005E-4</c:v>
                </c:pt>
                <c:pt idx="163">
                  <c:v>1.3022064982161799E-4</c:v>
                </c:pt>
                <c:pt idx="164">
                  <c:v>-4.6332460300669702E-4</c:v>
                </c:pt>
                <c:pt idx="165">
                  <c:v>-8.5497937212696896E-4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B-4777-B267-3EBD366E6192}"/>
            </c:ext>
          </c:extLst>
        </c:ser>
        <c:ser>
          <c:idx val="2"/>
          <c:order val="2"/>
          <c:tx>
            <c:strRef>
              <c:f>XLRE_IYR_0!$W$1</c:f>
              <c:strCache>
                <c:ptCount val="1"/>
                <c:pt idx="0">
                  <c:v>log diff XLRE x 20 dma / IYR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XLRE_IYR_0!$W$2:$W$167</c:f>
              <c:numCache>
                <c:formatCode>0.00%</c:formatCode>
                <c:ptCount val="166"/>
                <c:pt idx="20">
                  <c:v>2.03328626321147E-3</c:v>
                </c:pt>
                <c:pt idx="21">
                  <c:v>7.2492672545386601E-4</c:v>
                </c:pt>
                <c:pt idx="22">
                  <c:v>2.3048541684252601E-3</c:v>
                </c:pt>
                <c:pt idx="23">
                  <c:v>-1.07595259396751E-3</c:v>
                </c:pt>
                <c:pt idx="24">
                  <c:v>1.4056482513747301E-3</c:v>
                </c:pt>
                <c:pt idx="25">
                  <c:v>3.2123030145608899E-3</c:v>
                </c:pt>
                <c:pt idx="26">
                  <c:v>3.9194530183063103E-3</c:v>
                </c:pt>
                <c:pt idx="27">
                  <c:v>6.5405643061077099E-3</c:v>
                </c:pt>
                <c:pt idx="28">
                  <c:v>8.3495139068562596E-3</c:v>
                </c:pt>
                <c:pt idx="29">
                  <c:v>8.9121391235283901E-3</c:v>
                </c:pt>
                <c:pt idx="30">
                  <c:v>8.6526917433554004E-3</c:v>
                </c:pt>
                <c:pt idx="31">
                  <c:v>6.5084725626520503E-3</c:v>
                </c:pt>
                <c:pt idx="32">
                  <c:v>4.3761707861098304E-3</c:v>
                </c:pt>
                <c:pt idx="33">
                  <c:v>5.2598364298437504E-3</c:v>
                </c:pt>
                <c:pt idx="34">
                  <c:v>6.28340964355289E-3</c:v>
                </c:pt>
                <c:pt idx="35">
                  <c:v>6.0404047575966799E-3</c:v>
                </c:pt>
                <c:pt idx="36">
                  <c:v>2.7605640997326402E-3</c:v>
                </c:pt>
                <c:pt idx="37">
                  <c:v>-4.0022721512915497E-6</c:v>
                </c:pt>
                <c:pt idx="38">
                  <c:v>2.2764273592980398E-3</c:v>
                </c:pt>
                <c:pt idx="39">
                  <c:v>1.1722502782688E-3</c:v>
                </c:pt>
                <c:pt idx="40">
                  <c:v>1.65645572369065E-3</c:v>
                </c:pt>
                <c:pt idx="41">
                  <c:v>1.72184684832886E-3</c:v>
                </c:pt>
                <c:pt idx="42">
                  <c:v>4.2476285742409898E-4</c:v>
                </c:pt>
                <c:pt idx="43">
                  <c:v>1.36003795858376E-3</c:v>
                </c:pt>
                <c:pt idx="44">
                  <c:v>8.3795316738385895E-4</c:v>
                </c:pt>
                <c:pt idx="45">
                  <c:v>1.8126235549073701E-4</c:v>
                </c:pt>
                <c:pt idx="46">
                  <c:v>-7.60449442208237E-4</c:v>
                </c:pt>
                <c:pt idx="47">
                  <c:v>-2.42086259743855E-4</c:v>
                </c:pt>
                <c:pt idx="48">
                  <c:v>4.7360296139252201E-4</c:v>
                </c:pt>
                <c:pt idx="49">
                  <c:v>6.2173387277748404E-4</c:v>
                </c:pt>
                <c:pt idx="50">
                  <c:v>2.7597200478000198E-3</c:v>
                </c:pt>
                <c:pt idx="51">
                  <c:v>1.8988169970472299E-3</c:v>
                </c:pt>
                <c:pt idx="52">
                  <c:v>3.2918330858115498E-3</c:v>
                </c:pt>
                <c:pt idx="53">
                  <c:v>2.6483391772306698E-3</c:v>
                </c:pt>
                <c:pt idx="54">
                  <c:v>-3.7760234914261501E-3</c:v>
                </c:pt>
                <c:pt idx="55">
                  <c:v>-5.0615281368504997E-3</c:v>
                </c:pt>
                <c:pt idx="56">
                  <c:v>-5.2053666462646402E-3</c:v>
                </c:pt>
                <c:pt idx="57">
                  <c:v>-2.8642078561719499E-3</c:v>
                </c:pt>
                <c:pt idx="58">
                  <c:v>-1.9726841741713901E-3</c:v>
                </c:pt>
                <c:pt idx="59">
                  <c:v>-1.7373432884330001E-3</c:v>
                </c:pt>
                <c:pt idx="60">
                  <c:v>-2.3737182769224098E-3</c:v>
                </c:pt>
                <c:pt idx="61">
                  <c:v>-2.69520392352439E-3</c:v>
                </c:pt>
                <c:pt idx="62">
                  <c:v>-8.7902475629375305E-4</c:v>
                </c:pt>
                <c:pt idx="63">
                  <c:v>1.5092310615911E-3</c:v>
                </c:pt>
                <c:pt idx="64">
                  <c:v>-4.0387698748400901E-4</c:v>
                </c:pt>
                <c:pt idx="65">
                  <c:v>-9.9706699292389199E-4</c:v>
                </c:pt>
                <c:pt idx="66">
                  <c:v>-1.3010015296610799E-3</c:v>
                </c:pt>
                <c:pt idx="67">
                  <c:v>-3.3340821557375301E-4</c:v>
                </c:pt>
                <c:pt idx="68">
                  <c:v>5.8726785804125403E-5</c:v>
                </c:pt>
                <c:pt idx="69">
                  <c:v>-7.5327653686441801E-5</c:v>
                </c:pt>
                <c:pt idx="70">
                  <c:v>-9.2981781096840895E-4</c:v>
                </c:pt>
                <c:pt idx="71">
                  <c:v>-3.2231785474731299E-4</c:v>
                </c:pt>
                <c:pt idx="72">
                  <c:v>-8.0626480753933304E-4</c:v>
                </c:pt>
                <c:pt idx="73">
                  <c:v>6.6028582654291E-4</c:v>
                </c:pt>
                <c:pt idx="74">
                  <c:v>-1.1789372601337101E-3</c:v>
                </c:pt>
                <c:pt idx="75">
                  <c:v>-3.9014120409899502E-4</c:v>
                </c:pt>
                <c:pt idx="76">
                  <c:v>7.5827657048746402E-4</c:v>
                </c:pt>
                <c:pt idx="77">
                  <c:v>6.3921099048192906E-5</c:v>
                </c:pt>
                <c:pt idx="78">
                  <c:v>-2.0524437326216701E-3</c:v>
                </c:pt>
                <c:pt idx="79">
                  <c:v>-1.3440370686062699E-3</c:v>
                </c:pt>
                <c:pt idx="80">
                  <c:v>8.36180405731039E-4</c:v>
                </c:pt>
                <c:pt idx="81">
                  <c:v>1.0180414668239E-3</c:v>
                </c:pt>
                <c:pt idx="82">
                  <c:v>1.73034863658828E-3</c:v>
                </c:pt>
                <c:pt idx="83">
                  <c:v>3.38036210909774E-3</c:v>
                </c:pt>
                <c:pt idx="84">
                  <c:v>2.3283484088134198E-3</c:v>
                </c:pt>
                <c:pt idx="85">
                  <c:v>2.0008015839446001E-3</c:v>
                </c:pt>
                <c:pt idx="86">
                  <c:v>1.2562970474227499E-3</c:v>
                </c:pt>
                <c:pt idx="87">
                  <c:v>-6.6394417874857299E-4</c:v>
                </c:pt>
                <c:pt idx="88">
                  <c:v>2.2870953232285302E-3</c:v>
                </c:pt>
                <c:pt idx="89">
                  <c:v>2.3205003862980999E-3</c:v>
                </c:pt>
                <c:pt idx="90">
                  <c:v>2.0758439877771699E-3</c:v>
                </c:pt>
                <c:pt idx="91">
                  <c:v>1.8028479749372999E-3</c:v>
                </c:pt>
                <c:pt idx="92">
                  <c:v>1.28105413143589E-3</c:v>
                </c:pt>
                <c:pt idx="93">
                  <c:v>2.0340063733693199E-3</c:v>
                </c:pt>
                <c:pt idx="94">
                  <c:v>2.7755230197822598E-3</c:v>
                </c:pt>
                <c:pt idx="95">
                  <c:v>2.29631218636255E-3</c:v>
                </c:pt>
                <c:pt idx="96">
                  <c:v>2.1799352373640798E-3</c:v>
                </c:pt>
                <c:pt idx="97">
                  <c:v>1.79881338910782E-3</c:v>
                </c:pt>
                <c:pt idx="98">
                  <c:v>1.0887170645084701E-3</c:v>
                </c:pt>
                <c:pt idx="99">
                  <c:v>2.2422259474596099E-3</c:v>
                </c:pt>
                <c:pt idx="100">
                  <c:v>1.6811634047704501E-3</c:v>
                </c:pt>
                <c:pt idx="101">
                  <c:v>6.3665410723813098E-4</c:v>
                </c:pt>
                <c:pt idx="102">
                  <c:v>2.2163183851754498E-3</c:v>
                </c:pt>
                <c:pt idx="103">
                  <c:v>3.2119825088280799E-3</c:v>
                </c:pt>
                <c:pt idx="104">
                  <c:v>3.4323187816434398E-3</c:v>
                </c:pt>
                <c:pt idx="105">
                  <c:v>5.73160991239183E-3</c:v>
                </c:pt>
                <c:pt idx="106">
                  <c:v>4.7800996427283899E-3</c:v>
                </c:pt>
                <c:pt idx="107">
                  <c:v>3.6724435966626399E-3</c:v>
                </c:pt>
                <c:pt idx="108">
                  <c:v>8.3452068599748402E-4</c:v>
                </c:pt>
                <c:pt idx="109">
                  <c:v>8.5754907870062001E-4</c:v>
                </c:pt>
                <c:pt idx="110">
                  <c:v>-1.5629426366347001E-4</c:v>
                </c:pt>
                <c:pt idx="111">
                  <c:v>6.4152210114825205E-4</c:v>
                </c:pt>
                <c:pt idx="112">
                  <c:v>4.7414255117885096E-3</c:v>
                </c:pt>
                <c:pt idx="113">
                  <c:v>4.2861646918762103E-3</c:v>
                </c:pt>
                <c:pt idx="114">
                  <c:v>5.2554930688667196E-3</c:v>
                </c:pt>
                <c:pt idx="115">
                  <c:v>4.09100948494518E-3</c:v>
                </c:pt>
                <c:pt idx="116">
                  <c:v>-4.0698948524493196E-3</c:v>
                </c:pt>
                <c:pt idx="117">
                  <c:v>-3.4963883259509498E-3</c:v>
                </c:pt>
                <c:pt idx="118">
                  <c:v>-5.01084926056777E-3</c:v>
                </c:pt>
                <c:pt idx="119">
                  <c:v>-5.5494341508779098E-3</c:v>
                </c:pt>
                <c:pt idx="120">
                  <c:v>-5.7078145685847499E-3</c:v>
                </c:pt>
                <c:pt idx="121">
                  <c:v>-7.3355604320129901E-3</c:v>
                </c:pt>
                <c:pt idx="122">
                  <c:v>-9.2628684730796905E-3</c:v>
                </c:pt>
                <c:pt idx="123">
                  <c:v>-9.9061816907053003E-3</c:v>
                </c:pt>
                <c:pt idx="124">
                  <c:v>-1.06727934531703E-2</c:v>
                </c:pt>
                <c:pt idx="125">
                  <c:v>-1.1270684707876301E-2</c:v>
                </c:pt>
                <c:pt idx="126">
                  <c:v>-9.3092378587321997E-3</c:v>
                </c:pt>
                <c:pt idx="127">
                  <c:v>-8.5961129832704108E-3</c:v>
                </c:pt>
                <c:pt idx="128">
                  <c:v>-8.1230985561554607E-3</c:v>
                </c:pt>
                <c:pt idx="129">
                  <c:v>-5.6699612599215203E-3</c:v>
                </c:pt>
                <c:pt idx="130">
                  <c:v>-5.2483448623840004E-3</c:v>
                </c:pt>
                <c:pt idx="131">
                  <c:v>-6.6303772710944496E-3</c:v>
                </c:pt>
                <c:pt idx="132">
                  <c:v>-6.5429263171625698E-3</c:v>
                </c:pt>
                <c:pt idx="133">
                  <c:v>-8.7458339786857901E-3</c:v>
                </c:pt>
                <c:pt idx="134">
                  <c:v>-7.1297389756234302E-3</c:v>
                </c:pt>
                <c:pt idx="135">
                  <c:v>-5.1977776260208504E-3</c:v>
                </c:pt>
                <c:pt idx="136">
                  <c:v>-4.6430082246532696E-3</c:v>
                </c:pt>
                <c:pt idx="137">
                  <c:v>-2.8743953957948401E-3</c:v>
                </c:pt>
                <c:pt idx="138">
                  <c:v>-1.3904311185725701E-3</c:v>
                </c:pt>
                <c:pt idx="139">
                  <c:v>-6.1839811698902397E-4</c:v>
                </c:pt>
                <c:pt idx="140">
                  <c:v>-1.0385766418711899E-3</c:v>
                </c:pt>
                <c:pt idx="141">
                  <c:v>-1.01315845290502E-3</c:v>
                </c:pt>
                <c:pt idx="142">
                  <c:v>5.3360213042008401E-4</c:v>
                </c:pt>
                <c:pt idx="143">
                  <c:v>-1.1997445169726899E-3</c:v>
                </c:pt>
                <c:pt idx="144">
                  <c:v>-6.1729672106016105E-4</c:v>
                </c:pt>
                <c:pt idx="145">
                  <c:v>5.7101356363658596E-4</c:v>
                </c:pt>
                <c:pt idx="146">
                  <c:v>1.3602017310313599E-3</c:v>
                </c:pt>
                <c:pt idx="147">
                  <c:v>1.8140060216420501E-3</c:v>
                </c:pt>
                <c:pt idx="148">
                  <c:v>2.17997643028366E-3</c:v>
                </c:pt>
                <c:pt idx="149">
                  <c:v>1.10220932230108E-3</c:v>
                </c:pt>
                <c:pt idx="150">
                  <c:v>1.07191258410071E-3</c:v>
                </c:pt>
                <c:pt idx="151">
                  <c:v>1.4807930963690399E-3</c:v>
                </c:pt>
                <c:pt idx="152">
                  <c:v>1.5732921496900401E-3</c:v>
                </c:pt>
                <c:pt idx="153">
                  <c:v>2.3148293874463502E-3</c:v>
                </c:pt>
                <c:pt idx="154">
                  <c:v>3.7454426499545701E-3</c:v>
                </c:pt>
                <c:pt idx="155">
                  <c:v>2.3555927552470499E-3</c:v>
                </c:pt>
                <c:pt idx="156">
                  <c:v>1.4124637045656E-3</c:v>
                </c:pt>
                <c:pt idx="157">
                  <c:v>-6.3799374095537301E-4</c:v>
                </c:pt>
                <c:pt idx="158">
                  <c:v>1.4017581433740699E-3</c:v>
                </c:pt>
                <c:pt idx="159">
                  <c:v>1.7681066268060001E-3</c:v>
                </c:pt>
                <c:pt idx="160">
                  <c:v>8.9999749633993403E-4</c:v>
                </c:pt>
                <c:pt idx="161">
                  <c:v>7.8009164288791002E-4</c:v>
                </c:pt>
                <c:pt idx="162">
                  <c:v>1.52568646348191E-3</c:v>
                </c:pt>
                <c:pt idx="163">
                  <c:v>9.3842557794253996E-4</c:v>
                </c:pt>
                <c:pt idx="164">
                  <c:v>1.88080505375249E-4</c:v>
                </c:pt>
                <c:pt idx="165">
                  <c:v>-5.3770390172410397E-4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9B-4777-B267-3EBD366E6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007-4ED8-A021-EB1B1ADA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XLRE_IYR_0!$BY$22:$BY$167</c:f>
              <c:numCache>
                <c:formatCode>0.00%</c:formatCode>
                <c:ptCount val="146"/>
                <c:pt idx="0">
                  <c:v>0</c:v>
                </c:pt>
                <c:pt idx="1">
                  <c:v>1.2507047081242004E-3</c:v>
                </c:pt>
                <c:pt idx="2">
                  <c:v>-3.3696673566510063E-4</c:v>
                </c:pt>
                <c:pt idx="3">
                  <c:v>2.9402782723039296E-3</c:v>
                </c:pt>
                <c:pt idx="4">
                  <c:v>2.9402782723039296E-3</c:v>
                </c:pt>
                <c:pt idx="5">
                  <c:v>2.9402782723039296E-3</c:v>
                </c:pt>
                <c:pt idx="6">
                  <c:v>1.8398109128173303E-3</c:v>
                </c:pt>
                <c:pt idx="7">
                  <c:v>-1.1604774002202116E-3</c:v>
                </c:pt>
                <c:pt idx="8">
                  <c:v>-3.4013288484444895E-3</c:v>
                </c:pt>
                <c:pt idx="9">
                  <c:v>-4.4280727106600906E-3</c:v>
                </c:pt>
                <c:pt idx="10">
                  <c:v>-4.6624049032545209E-3</c:v>
                </c:pt>
                <c:pt idx="11">
                  <c:v>-3.0714263857263219E-3</c:v>
                </c:pt>
                <c:pt idx="12">
                  <c:v>-1.4066600493310719E-3</c:v>
                </c:pt>
                <c:pt idx="13">
                  <c:v>-2.6185439479308025E-3</c:v>
                </c:pt>
                <c:pt idx="14">
                  <c:v>-4.0641609656267485E-3</c:v>
                </c:pt>
                <c:pt idx="15">
                  <c:v>-4.3278180880199383E-3</c:v>
                </c:pt>
                <c:pt idx="16">
                  <c:v>-1.5522219475711885E-3</c:v>
                </c:pt>
                <c:pt idx="17">
                  <c:v>8.3555256651153108E-4</c:v>
                </c:pt>
                <c:pt idx="18">
                  <c:v>8.3555256651153108E-4</c:v>
                </c:pt>
                <c:pt idx="19">
                  <c:v>1.5762491283788809E-3</c:v>
                </c:pt>
                <c:pt idx="20">
                  <c:v>8.6953350176424042E-4</c:v>
                </c:pt>
                <c:pt idx="21">
                  <c:v>4.8747856044279846E-4</c:v>
                </c:pt>
                <c:pt idx="22">
                  <c:v>1.3858086316637886E-3</c:v>
                </c:pt>
                <c:pt idx="23">
                  <c:v>1.7638821489388782E-4</c:v>
                </c:pt>
                <c:pt idx="24">
                  <c:v>1.9873352219194765E-4</c:v>
                </c:pt>
                <c:pt idx="25">
                  <c:v>4.8655636879538764E-4</c:v>
                </c:pt>
                <c:pt idx="26">
                  <c:v>1.1785676049953875E-3</c:v>
                </c:pt>
                <c:pt idx="27">
                  <c:v>1.1785676049953875E-3</c:v>
                </c:pt>
                <c:pt idx="28">
                  <c:v>1.1785676049953875E-3</c:v>
                </c:pt>
                <c:pt idx="29">
                  <c:v>1.1785676049953875E-3</c:v>
                </c:pt>
                <c:pt idx="30">
                  <c:v>1.1785676049953875E-3</c:v>
                </c:pt>
                <c:pt idx="31">
                  <c:v>2.0243193852713896E-3</c:v>
                </c:pt>
                <c:pt idx="32">
                  <c:v>5.7892190194348955E-4</c:v>
                </c:pt>
                <c:pt idx="33">
                  <c:v>1.0146857830334879E-3</c:v>
                </c:pt>
                <c:pt idx="34">
                  <c:v>1.0146857830334879E-3</c:v>
                </c:pt>
                <c:pt idx="35">
                  <c:v>-5.3273899847708145E-4</c:v>
                </c:pt>
                <c:pt idx="36">
                  <c:v>-1.0292633383700435E-3</c:v>
                </c:pt>
                <c:pt idx="37">
                  <c:v>1.0729991830777015E-3</c:v>
                </c:pt>
                <c:pt idx="38">
                  <c:v>1.9507361884574111E-3</c:v>
                </c:pt>
                <c:pt idx="39">
                  <c:v>2.0897149941717609E-3</c:v>
                </c:pt>
                <c:pt idx="40">
                  <c:v>1.4009921751879624E-3</c:v>
                </c:pt>
                <c:pt idx="41">
                  <c:v>9.573155511550125E-4</c:v>
                </c:pt>
                <c:pt idx="42">
                  <c:v>2.6099903284481137E-3</c:v>
                </c:pt>
                <c:pt idx="43">
                  <c:v>4.9624342126789534E-3</c:v>
                </c:pt>
                <c:pt idx="44">
                  <c:v>4.9624342126789534E-3</c:v>
                </c:pt>
                <c:pt idx="45">
                  <c:v>4.9624342126789534E-3</c:v>
                </c:pt>
                <c:pt idx="46">
                  <c:v>4.9624342126789534E-3</c:v>
                </c:pt>
                <c:pt idx="47">
                  <c:v>4.9624342126789534E-3</c:v>
                </c:pt>
                <c:pt idx="48">
                  <c:v>4.9624342126789534E-3</c:v>
                </c:pt>
                <c:pt idx="49">
                  <c:v>4.9624342126789534E-3</c:v>
                </c:pt>
                <c:pt idx="50">
                  <c:v>4.9624342126789534E-3</c:v>
                </c:pt>
                <c:pt idx="51">
                  <c:v>4.9624342126789534E-3</c:v>
                </c:pt>
                <c:pt idx="52">
                  <c:v>4.9624342126789534E-3</c:v>
                </c:pt>
                <c:pt idx="53">
                  <c:v>4.9624342126789534E-3</c:v>
                </c:pt>
                <c:pt idx="54">
                  <c:v>4.9624342126789534E-3</c:v>
                </c:pt>
                <c:pt idx="55">
                  <c:v>4.9624342126789534E-3</c:v>
                </c:pt>
                <c:pt idx="56">
                  <c:v>4.9624342126789534E-3</c:v>
                </c:pt>
                <c:pt idx="57">
                  <c:v>4.9624342126789534E-3</c:v>
                </c:pt>
                <c:pt idx="58">
                  <c:v>4.9624342126789534E-3</c:v>
                </c:pt>
                <c:pt idx="59">
                  <c:v>5.5888831872628235E-3</c:v>
                </c:pt>
                <c:pt idx="60">
                  <c:v>7.7115716135625727E-3</c:v>
                </c:pt>
                <c:pt idx="61">
                  <c:v>7.7115716135625727E-3</c:v>
                </c:pt>
                <c:pt idx="62">
                  <c:v>7.7115716135625727E-3</c:v>
                </c:pt>
                <c:pt idx="63">
                  <c:v>7.7115716135625727E-3</c:v>
                </c:pt>
                <c:pt idx="64">
                  <c:v>8.717548612007053E-3</c:v>
                </c:pt>
                <c:pt idx="65">
                  <c:v>8.9547597849500525E-3</c:v>
                </c:pt>
                <c:pt idx="66">
                  <c:v>9.587493042727482E-3</c:v>
                </c:pt>
                <c:pt idx="67">
                  <c:v>1.1407781641517418E-2</c:v>
                </c:pt>
                <c:pt idx="68">
                  <c:v>1.1407781641517418E-2</c:v>
                </c:pt>
                <c:pt idx="69">
                  <c:v>1.128067434353653E-2</c:v>
                </c:pt>
                <c:pt idx="70">
                  <c:v>1.1414226058568891E-2</c:v>
                </c:pt>
                <c:pt idx="71">
                  <c:v>1.1534819088893311E-2</c:v>
                </c:pt>
                <c:pt idx="72">
                  <c:v>1.1927870840171112E-2</c:v>
                </c:pt>
                <c:pt idx="73">
                  <c:v>1.1031803875107212E-2</c:v>
                </c:pt>
                <c:pt idx="74">
                  <c:v>1.0160785787592382E-2</c:v>
                </c:pt>
                <c:pt idx="75">
                  <c:v>1.0363833341822382E-2</c:v>
                </c:pt>
                <c:pt idx="76">
                  <c:v>1.0253190202458701E-2</c:v>
                </c:pt>
                <c:pt idx="77">
                  <c:v>1.0464630524915641E-2</c:v>
                </c:pt>
                <c:pt idx="78">
                  <c:v>1.0990554587336061E-2</c:v>
                </c:pt>
                <c:pt idx="79">
                  <c:v>9.5761795859453918E-3</c:v>
                </c:pt>
                <c:pt idx="80">
                  <c:v>9.8371367891310815E-3</c:v>
                </c:pt>
                <c:pt idx="81">
                  <c:v>1.0700956229569281E-2</c:v>
                </c:pt>
                <c:pt idx="82">
                  <c:v>8.9969965560522808E-3</c:v>
                </c:pt>
                <c:pt idx="83">
                  <c:v>7.8335405805043407E-3</c:v>
                </c:pt>
                <c:pt idx="84">
                  <c:v>7.4737754577962759E-3</c:v>
                </c:pt>
                <c:pt idx="85">
                  <c:v>4.9667842283631749E-3</c:v>
                </c:pt>
                <c:pt idx="86">
                  <c:v>5.5738509383252048E-3</c:v>
                </c:pt>
                <c:pt idx="87">
                  <c:v>6.3354489546249048E-3</c:v>
                </c:pt>
                <c:pt idx="88">
                  <c:v>8.7737750997595038E-3</c:v>
                </c:pt>
                <c:pt idx="89">
                  <c:v>8.6189741018034144E-3</c:v>
                </c:pt>
                <c:pt idx="90">
                  <c:v>9.4996605236034801E-3</c:v>
                </c:pt>
                <c:pt idx="91">
                  <c:v>9.4996605236034801E-3</c:v>
                </c:pt>
                <c:pt idx="92">
                  <c:v>9.4996605236034801E-3</c:v>
                </c:pt>
                <c:pt idx="93">
                  <c:v>9.5767939429258903E-3</c:v>
                </c:pt>
                <c:pt idx="94">
                  <c:v>8.2779794629738897E-3</c:v>
                </c:pt>
                <c:pt idx="95">
                  <c:v>9.0918658637213993E-3</c:v>
                </c:pt>
                <c:pt idx="96">
                  <c:v>9.0918658637213993E-3</c:v>
                </c:pt>
                <c:pt idx="97">
                  <c:v>9.5881671985409977E-3</c:v>
                </c:pt>
                <c:pt idx="98">
                  <c:v>8.0320121919926178E-3</c:v>
                </c:pt>
                <c:pt idx="99">
                  <c:v>7.3999728796669082E-3</c:v>
                </c:pt>
                <c:pt idx="100">
                  <c:v>7.0455088022269071E-3</c:v>
                </c:pt>
                <c:pt idx="101">
                  <c:v>5.2169656060611774E-3</c:v>
                </c:pt>
                <c:pt idx="102">
                  <c:v>3.0401701079470766E-3</c:v>
                </c:pt>
                <c:pt idx="103">
                  <c:v>1.9524600774537869E-3</c:v>
                </c:pt>
                <c:pt idx="104">
                  <c:v>6.2867109915388641E-4</c:v>
                </c:pt>
                <c:pt idx="105">
                  <c:v>-6.1084527919615366E-4</c:v>
                </c:pt>
                <c:pt idx="106">
                  <c:v>5.2203745062404539E-4</c:v>
                </c:pt>
                <c:pt idx="107">
                  <c:v>4.946002883340463E-4</c:v>
                </c:pt>
                <c:pt idx="108">
                  <c:v>2.640489137950763E-4</c:v>
                </c:pt>
                <c:pt idx="109">
                  <c:v>2.1237389954695566E-3</c:v>
                </c:pt>
                <c:pt idx="110">
                  <c:v>2.0381070181634767E-3</c:v>
                </c:pt>
                <c:pt idx="111">
                  <c:v>1.8859513551182632E-4</c:v>
                </c:pt>
                <c:pt idx="112">
                  <c:v>-3.2860543313812372E-4</c:v>
                </c:pt>
                <c:pt idx="113">
                  <c:v>-3.3722441169333258E-3</c:v>
                </c:pt>
                <c:pt idx="114">
                  <c:v>-2.7455085305720388E-3</c:v>
                </c:pt>
                <c:pt idx="115">
                  <c:v>-1.8344455413821389E-3</c:v>
                </c:pt>
                <c:pt idx="116">
                  <c:v>-2.2136763076778436E-3</c:v>
                </c:pt>
                <c:pt idx="117">
                  <c:v>-1.0096136986050032E-3</c:v>
                </c:pt>
                <c:pt idx="118">
                  <c:v>-5.4118118545533334E-5</c:v>
                </c:pt>
                <c:pt idx="119">
                  <c:v>3.1475960298586736E-4</c:v>
                </c:pt>
                <c:pt idx="120">
                  <c:v>-4.5858353571489284E-4</c:v>
                </c:pt>
                <c:pt idx="121">
                  <c:v>-8.0728412420608305E-4</c:v>
                </c:pt>
                <c:pt idx="122">
                  <c:v>4.3891020484092703E-4</c:v>
                </c:pt>
                <c:pt idx="123">
                  <c:v>4.3891020484092703E-4</c:v>
                </c:pt>
                <c:pt idx="124">
                  <c:v>4.3891020484092703E-4</c:v>
                </c:pt>
                <c:pt idx="125">
                  <c:v>4.3891020484092703E-4</c:v>
                </c:pt>
                <c:pt idx="126">
                  <c:v>4.3891020484092703E-4</c:v>
                </c:pt>
                <c:pt idx="127">
                  <c:v>4.3891020484092703E-4</c:v>
                </c:pt>
                <c:pt idx="128">
                  <c:v>4.3891020484092703E-4</c:v>
                </c:pt>
                <c:pt idx="129">
                  <c:v>1.4397393788942768E-3</c:v>
                </c:pt>
                <c:pt idx="130">
                  <c:v>1.5359002683985766E-3</c:v>
                </c:pt>
                <c:pt idx="131">
                  <c:v>1.1934110534609866E-3</c:v>
                </c:pt>
                <c:pt idx="132">
                  <c:v>1.0578651565089558E-3</c:v>
                </c:pt>
                <c:pt idx="133">
                  <c:v>2.4065836250955572E-4</c:v>
                </c:pt>
                <c:pt idx="134">
                  <c:v>-1.4588623432514041E-3</c:v>
                </c:pt>
                <c:pt idx="135">
                  <c:v>-3.9130688156670365E-4</c:v>
                </c:pt>
                <c:pt idx="136">
                  <c:v>3.2834494581015648E-4</c:v>
                </c:pt>
                <c:pt idx="137">
                  <c:v>2.1721882125694753E-3</c:v>
                </c:pt>
                <c:pt idx="138">
                  <c:v>2.1721882125694753E-3</c:v>
                </c:pt>
                <c:pt idx="139">
                  <c:v>2.1721882125694753E-3</c:v>
                </c:pt>
                <c:pt idx="140">
                  <c:v>2.1721882125694753E-3</c:v>
                </c:pt>
                <c:pt idx="141">
                  <c:v>2.1721882125694753E-3</c:v>
                </c:pt>
                <c:pt idx="142">
                  <c:v>2.1721882125694753E-3</c:v>
                </c:pt>
                <c:pt idx="143">
                  <c:v>2.1721882125694753E-3</c:v>
                </c:pt>
                <c:pt idx="144">
                  <c:v>2.1721882125694753E-3</c:v>
                </c:pt>
                <c:pt idx="145">
                  <c:v>2.1721882125694753E-3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5-4830-AEF6-19487F949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-1.5474247815105693E-3</c:v>
                </c:pt>
                <c:pt idx="36">
                  <c:v>-2.0439491214035311E-3</c:v>
                </c:pt>
                <c:pt idx="37">
                  <c:v>5.8313400044213842E-5</c:v>
                </c:pt>
                <c:pt idx="38">
                  <c:v>9.360504054239235E-4</c:v>
                </c:pt>
                <c:pt idx="39">
                  <c:v>1.0750292111382734E-3</c:v>
                </c:pt>
                <c:pt idx="40">
                  <c:v>3.8630639215447501E-4</c:v>
                </c:pt>
                <c:pt idx="41">
                  <c:v>-5.7370231878474919E-5</c:v>
                </c:pt>
                <c:pt idx="42">
                  <c:v>1.5953045454146263E-3</c:v>
                </c:pt>
                <c:pt idx="43">
                  <c:v>3.947748429645466E-3</c:v>
                </c:pt>
                <c:pt idx="44">
                  <c:v>3.947748429645466E-3</c:v>
                </c:pt>
                <c:pt idx="45">
                  <c:v>3.947748429645466E-3</c:v>
                </c:pt>
                <c:pt idx="46">
                  <c:v>3.947748429645466E-3</c:v>
                </c:pt>
                <c:pt idx="47">
                  <c:v>3.947748429645466E-3</c:v>
                </c:pt>
                <c:pt idx="48">
                  <c:v>3.947748429645466E-3</c:v>
                </c:pt>
                <c:pt idx="49">
                  <c:v>3.947748429645466E-3</c:v>
                </c:pt>
                <c:pt idx="50">
                  <c:v>3.947748429645466E-3</c:v>
                </c:pt>
                <c:pt idx="51">
                  <c:v>3.947748429645466E-3</c:v>
                </c:pt>
                <c:pt idx="52">
                  <c:v>3.947748429645466E-3</c:v>
                </c:pt>
                <c:pt idx="53">
                  <c:v>3.947748429645466E-3</c:v>
                </c:pt>
                <c:pt idx="54">
                  <c:v>3.947748429645466E-3</c:v>
                </c:pt>
                <c:pt idx="55">
                  <c:v>3.947748429645466E-3</c:v>
                </c:pt>
                <c:pt idx="56">
                  <c:v>3.947748429645466E-3</c:v>
                </c:pt>
                <c:pt idx="57">
                  <c:v>3.947748429645466E-3</c:v>
                </c:pt>
                <c:pt idx="58">
                  <c:v>3.947748429645466E-3</c:v>
                </c:pt>
                <c:pt idx="59">
                  <c:v>4.5741974042293361E-3</c:v>
                </c:pt>
                <c:pt idx="60">
                  <c:v>6.6968858305290853E-3</c:v>
                </c:pt>
                <c:pt idx="61">
                  <c:v>6.6968858305290853E-3</c:v>
                </c:pt>
                <c:pt idx="62">
                  <c:v>6.6968858305290853E-3</c:v>
                </c:pt>
                <c:pt idx="63">
                  <c:v>6.6968858305290853E-3</c:v>
                </c:pt>
                <c:pt idx="64">
                  <c:v>6.6968858305290853E-3</c:v>
                </c:pt>
                <c:pt idx="65">
                  <c:v>6.6968858305290853E-3</c:v>
                </c:pt>
                <c:pt idx="66">
                  <c:v>6.6968858305290853E-3</c:v>
                </c:pt>
                <c:pt idx="67">
                  <c:v>6.6968858305290853E-3</c:v>
                </c:pt>
                <c:pt idx="68">
                  <c:v>6.6968858305290853E-3</c:v>
                </c:pt>
                <c:pt idx="69">
                  <c:v>6.6968858305290853E-3</c:v>
                </c:pt>
                <c:pt idx="70">
                  <c:v>6.6968858305290853E-3</c:v>
                </c:pt>
                <c:pt idx="71">
                  <c:v>6.6968858305290853E-3</c:v>
                </c:pt>
                <c:pt idx="72">
                  <c:v>6.6968858305290853E-3</c:v>
                </c:pt>
                <c:pt idx="73">
                  <c:v>6.6968858305290853E-3</c:v>
                </c:pt>
                <c:pt idx="74">
                  <c:v>6.6968858305290853E-3</c:v>
                </c:pt>
                <c:pt idx="75">
                  <c:v>6.6968858305290853E-3</c:v>
                </c:pt>
                <c:pt idx="76">
                  <c:v>6.6968858305290853E-3</c:v>
                </c:pt>
                <c:pt idx="77">
                  <c:v>6.6968858305290853E-3</c:v>
                </c:pt>
                <c:pt idx="78">
                  <c:v>6.6968858305290853E-3</c:v>
                </c:pt>
                <c:pt idx="79">
                  <c:v>6.6968858305290853E-3</c:v>
                </c:pt>
                <c:pt idx="80">
                  <c:v>6.6968858305290853E-3</c:v>
                </c:pt>
                <c:pt idx="81">
                  <c:v>6.6968858305290853E-3</c:v>
                </c:pt>
                <c:pt idx="82">
                  <c:v>6.6968858305290853E-3</c:v>
                </c:pt>
                <c:pt idx="83">
                  <c:v>6.6968858305290853E-3</c:v>
                </c:pt>
                <c:pt idx="84">
                  <c:v>6.6968858305290853E-3</c:v>
                </c:pt>
                <c:pt idx="85">
                  <c:v>6.6968858305290853E-3</c:v>
                </c:pt>
                <c:pt idx="86">
                  <c:v>6.6968858305290853E-3</c:v>
                </c:pt>
                <c:pt idx="87">
                  <c:v>6.6968858305290853E-3</c:v>
                </c:pt>
                <c:pt idx="88">
                  <c:v>6.6968858305290853E-3</c:v>
                </c:pt>
                <c:pt idx="89">
                  <c:v>6.6968858305290853E-3</c:v>
                </c:pt>
                <c:pt idx="90">
                  <c:v>6.6968858305290853E-3</c:v>
                </c:pt>
                <c:pt idx="91">
                  <c:v>6.6968858305290853E-3</c:v>
                </c:pt>
                <c:pt idx="92">
                  <c:v>6.6968858305290853E-3</c:v>
                </c:pt>
                <c:pt idx="93">
                  <c:v>6.6968858305290853E-3</c:v>
                </c:pt>
                <c:pt idx="94">
                  <c:v>6.6968858305290853E-3</c:v>
                </c:pt>
                <c:pt idx="95">
                  <c:v>6.6968858305290853E-3</c:v>
                </c:pt>
                <c:pt idx="96">
                  <c:v>6.6968858305290853E-3</c:v>
                </c:pt>
                <c:pt idx="97">
                  <c:v>7.1931871653486837E-3</c:v>
                </c:pt>
                <c:pt idx="98">
                  <c:v>5.6370321588003038E-3</c:v>
                </c:pt>
                <c:pt idx="99">
                  <c:v>5.0049928464745933E-3</c:v>
                </c:pt>
                <c:pt idx="100">
                  <c:v>4.6505287690345922E-3</c:v>
                </c:pt>
                <c:pt idx="101">
                  <c:v>2.8219855728688625E-3</c:v>
                </c:pt>
                <c:pt idx="102">
                  <c:v>6.4519007475476176E-4</c:v>
                </c:pt>
                <c:pt idx="103">
                  <c:v>-4.4251995573852797E-4</c:v>
                </c:pt>
                <c:pt idx="104">
                  <c:v>-1.7663089340384285E-3</c:v>
                </c:pt>
                <c:pt idx="105">
                  <c:v>-3.0058253123884686E-3</c:v>
                </c:pt>
                <c:pt idx="106">
                  <c:v>-1.8729425825682695E-3</c:v>
                </c:pt>
                <c:pt idx="107">
                  <c:v>-1.9003797448582686E-3</c:v>
                </c:pt>
                <c:pt idx="108">
                  <c:v>-2.1309311193972386E-3</c:v>
                </c:pt>
                <c:pt idx="109">
                  <c:v>-2.7124103772275827E-4</c:v>
                </c:pt>
                <c:pt idx="110">
                  <c:v>-3.5687301502883816E-4</c:v>
                </c:pt>
                <c:pt idx="111">
                  <c:v>-2.2063848976804886E-3</c:v>
                </c:pt>
                <c:pt idx="112">
                  <c:v>-2.7235854663304384E-3</c:v>
                </c:pt>
                <c:pt idx="113">
                  <c:v>-5.7672241501256407E-3</c:v>
                </c:pt>
                <c:pt idx="114">
                  <c:v>-5.1404885637643541E-3</c:v>
                </c:pt>
                <c:pt idx="115">
                  <c:v>-4.2294255745744542E-3</c:v>
                </c:pt>
                <c:pt idx="116">
                  <c:v>-4.6086563408701594E-3</c:v>
                </c:pt>
                <c:pt idx="117">
                  <c:v>-3.404593731797319E-3</c:v>
                </c:pt>
                <c:pt idx="118">
                  <c:v>-2.4490981517378491E-3</c:v>
                </c:pt>
                <c:pt idx="119">
                  <c:v>-2.0802204302064484E-3</c:v>
                </c:pt>
                <c:pt idx="120">
                  <c:v>-2.8535635689072086E-3</c:v>
                </c:pt>
                <c:pt idx="121">
                  <c:v>-3.2022641573983988E-3</c:v>
                </c:pt>
                <c:pt idx="122">
                  <c:v>-1.9560698283513887E-3</c:v>
                </c:pt>
                <c:pt idx="123">
                  <c:v>-1.9560698283513887E-3</c:v>
                </c:pt>
                <c:pt idx="124">
                  <c:v>-1.9560698283513887E-3</c:v>
                </c:pt>
                <c:pt idx="125">
                  <c:v>-1.9560698283513887E-3</c:v>
                </c:pt>
                <c:pt idx="126">
                  <c:v>-1.9560698283513887E-3</c:v>
                </c:pt>
                <c:pt idx="127">
                  <c:v>-1.9560698283513887E-3</c:v>
                </c:pt>
                <c:pt idx="128">
                  <c:v>-1.9560698283513887E-3</c:v>
                </c:pt>
                <c:pt idx="129">
                  <c:v>-1.9560698283513887E-3</c:v>
                </c:pt>
                <c:pt idx="130">
                  <c:v>-1.9560698283513887E-3</c:v>
                </c:pt>
                <c:pt idx="131">
                  <c:v>-1.9560698283513887E-3</c:v>
                </c:pt>
                <c:pt idx="132">
                  <c:v>-1.9560698283513887E-3</c:v>
                </c:pt>
                <c:pt idx="133">
                  <c:v>-1.9560698283513887E-3</c:v>
                </c:pt>
                <c:pt idx="134">
                  <c:v>-1.9560698283513887E-3</c:v>
                </c:pt>
                <c:pt idx="135">
                  <c:v>-1.9560698283513887E-3</c:v>
                </c:pt>
                <c:pt idx="136">
                  <c:v>-1.9560698283513887E-3</c:v>
                </c:pt>
                <c:pt idx="137">
                  <c:v>-1.9560698283513887E-3</c:v>
                </c:pt>
                <c:pt idx="138">
                  <c:v>-1.9560698283513887E-3</c:v>
                </c:pt>
                <c:pt idx="139">
                  <c:v>-1.9560698283513887E-3</c:v>
                </c:pt>
                <c:pt idx="140">
                  <c:v>-1.9560698283513887E-3</c:v>
                </c:pt>
                <c:pt idx="141">
                  <c:v>-1.9560698283513887E-3</c:v>
                </c:pt>
                <c:pt idx="142">
                  <c:v>-1.9560698283513887E-3</c:v>
                </c:pt>
                <c:pt idx="143">
                  <c:v>-1.9560698283513887E-3</c:v>
                </c:pt>
                <c:pt idx="144">
                  <c:v>-1.9560698283513887E-3</c:v>
                </c:pt>
                <c:pt idx="145">
                  <c:v>-1.9560698283513887E-3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6-4598-A317-0B36925F7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1.2507047081242004E-3</c:v>
                </c:pt>
                <c:pt idx="2">
                  <c:v>-3.3696673566510063E-4</c:v>
                </c:pt>
                <c:pt idx="3">
                  <c:v>2.9402782723039296E-3</c:v>
                </c:pt>
                <c:pt idx="4">
                  <c:v>2.9402782723039296E-3</c:v>
                </c:pt>
                <c:pt idx="5">
                  <c:v>2.9402782723039296E-3</c:v>
                </c:pt>
                <c:pt idx="6">
                  <c:v>1.8398109128173303E-3</c:v>
                </c:pt>
                <c:pt idx="7">
                  <c:v>-1.1604774002202116E-3</c:v>
                </c:pt>
                <c:pt idx="8">
                  <c:v>-3.4013288484444895E-3</c:v>
                </c:pt>
                <c:pt idx="9">
                  <c:v>-4.4280727106600906E-3</c:v>
                </c:pt>
                <c:pt idx="10">
                  <c:v>-4.6624049032545209E-3</c:v>
                </c:pt>
                <c:pt idx="11">
                  <c:v>-3.0714263857263219E-3</c:v>
                </c:pt>
                <c:pt idx="12">
                  <c:v>-1.4066600493310719E-3</c:v>
                </c:pt>
                <c:pt idx="13">
                  <c:v>-2.6185439479308025E-3</c:v>
                </c:pt>
                <c:pt idx="14">
                  <c:v>-4.0641609656267485E-3</c:v>
                </c:pt>
                <c:pt idx="15">
                  <c:v>-4.3278180880199383E-3</c:v>
                </c:pt>
                <c:pt idx="16">
                  <c:v>-1.5522219475711885E-3</c:v>
                </c:pt>
                <c:pt idx="17">
                  <c:v>8.3555256651153108E-4</c:v>
                </c:pt>
                <c:pt idx="18">
                  <c:v>8.3555256651153108E-4</c:v>
                </c:pt>
                <c:pt idx="19">
                  <c:v>1.5762491283788809E-3</c:v>
                </c:pt>
                <c:pt idx="20">
                  <c:v>8.6953350176424042E-4</c:v>
                </c:pt>
                <c:pt idx="21">
                  <c:v>4.8747856044279846E-4</c:v>
                </c:pt>
                <c:pt idx="22">
                  <c:v>1.3858086316637886E-3</c:v>
                </c:pt>
                <c:pt idx="23">
                  <c:v>1.7638821489388782E-4</c:v>
                </c:pt>
                <c:pt idx="24">
                  <c:v>1.9873352219194765E-4</c:v>
                </c:pt>
                <c:pt idx="25">
                  <c:v>4.8655636879538764E-4</c:v>
                </c:pt>
                <c:pt idx="26">
                  <c:v>1.1785676049953875E-3</c:v>
                </c:pt>
                <c:pt idx="27">
                  <c:v>1.1785676049953875E-3</c:v>
                </c:pt>
                <c:pt idx="28">
                  <c:v>1.1785676049953875E-3</c:v>
                </c:pt>
                <c:pt idx="29">
                  <c:v>1.1785676049953875E-3</c:v>
                </c:pt>
                <c:pt idx="30">
                  <c:v>1.1785676049953875E-3</c:v>
                </c:pt>
                <c:pt idx="31">
                  <c:v>2.0243193852713896E-3</c:v>
                </c:pt>
                <c:pt idx="32">
                  <c:v>5.7892190194348955E-4</c:v>
                </c:pt>
                <c:pt idx="33">
                  <c:v>1.0146857830334879E-3</c:v>
                </c:pt>
                <c:pt idx="34">
                  <c:v>1.0146857830334879E-3</c:v>
                </c:pt>
                <c:pt idx="35">
                  <c:v>1.0146857830334879E-3</c:v>
                </c:pt>
                <c:pt idx="36">
                  <c:v>1.0146857830334879E-3</c:v>
                </c:pt>
                <c:pt idx="37">
                  <c:v>1.0146857830334879E-3</c:v>
                </c:pt>
                <c:pt idx="38">
                  <c:v>1.0146857830334879E-3</c:v>
                </c:pt>
                <c:pt idx="39">
                  <c:v>1.0146857830334879E-3</c:v>
                </c:pt>
                <c:pt idx="40">
                  <c:v>1.0146857830334879E-3</c:v>
                </c:pt>
                <c:pt idx="41">
                  <c:v>1.0146857830334879E-3</c:v>
                </c:pt>
                <c:pt idx="42">
                  <c:v>1.0146857830334879E-3</c:v>
                </c:pt>
                <c:pt idx="43">
                  <c:v>1.0146857830334879E-3</c:v>
                </c:pt>
                <c:pt idx="44">
                  <c:v>1.0146857830334879E-3</c:v>
                </c:pt>
                <c:pt idx="45">
                  <c:v>1.0146857830334879E-3</c:v>
                </c:pt>
                <c:pt idx="46">
                  <c:v>1.0146857830334879E-3</c:v>
                </c:pt>
                <c:pt idx="47">
                  <c:v>1.0146857830334879E-3</c:v>
                </c:pt>
                <c:pt idx="48">
                  <c:v>1.0146857830334879E-3</c:v>
                </c:pt>
                <c:pt idx="49">
                  <c:v>1.0146857830334879E-3</c:v>
                </c:pt>
                <c:pt idx="50">
                  <c:v>1.0146857830334879E-3</c:v>
                </c:pt>
                <c:pt idx="51">
                  <c:v>1.0146857830334879E-3</c:v>
                </c:pt>
                <c:pt idx="52">
                  <c:v>1.0146857830334879E-3</c:v>
                </c:pt>
                <c:pt idx="53">
                  <c:v>1.0146857830334879E-3</c:v>
                </c:pt>
                <c:pt idx="54">
                  <c:v>1.0146857830334879E-3</c:v>
                </c:pt>
                <c:pt idx="55">
                  <c:v>1.0146857830334879E-3</c:v>
                </c:pt>
                <c:pt idx="56">
                  <c:v>1.0146857830334879E-3</c:v>
                </c:pt>
                <c:pt idx="57">
                  <c:v>1.0146857830334879E-3</c:v>
                </c:pt>
                <c:pt idx="58">
                  <c:v>1.0146857830334879E-3</c:v>
                </c:pt>
                <c:pt idx="59">
                  <c:v>1.0146857830334879E-3</c:v>
                </c:pt>
                <c:pt idx="60">
                  <c:v>1.0146857830334879E-3</c:v>
                </c:pt>
                <c:pt idx="61">
                  <c:v>1.0146857830334879E-3</c:v>
                </c:pt>
                <c:pt idx="62">
                  <c:v>1.0146857830334879E-3</c:v>
                </c:pt>
                <c:pt idx="63">
                  <c:v>1.0146857830334879E-3</c:v>
                </c:pt>
                <c:pt idx="64">
                  <c:v>2.0206627814779682E-3</c:v>
                </c:pt>
                <c:pt idx="65">
                  <c:v>2.2578739544209677E-3</c:v>
                </c:pt>
                <c:pt idx="66">
                  <c:v>2.8906072121983972E-3</c:v>
                </c:pt>
                <c:pt idx="67">
                  <c:v>4.7108958109883334E-3</c:v>
                </c:pt>
                <c:pt idx="68">
                  <c:v>4.7108958109883334E-3</c:v>
                </c:pt>
                <c:pt idx="69">
                  <c:v>4.5837885130074448E-3</c:v>
                </c:pt>
                <c:pt idx="70">
                  <c:v>4.7173402280398053E-3</c:v>
                </c:pt>
                <c:pt idx="71">
                  <c:v>4.8379332583642258E-3</c:v>
                </c:pt>
                <c:pt idx="72">
                  <c:v>5.2309850096420264E-3</c:v>
                </c:pt>
                <c:pt idx="73">
                  <c:v>4.3349180445781269E-3</c:v>
                </c:pt>
                <c:pt idx="74">
                  <c:v>3.463899957063297E-3</c:v>
                </c:pt>
                <c:pt idx="75">
                  <c:v>3.666947511293297E-3</c:v>
                </c:pt>
                <c:pt idx="76">
                  <c:v>3.556304371929617E-3</c:v>
                </c:pt>
                <c:pt idx="77">
                  <c:v>3.7677446943865569E-3</c:v>
                </c:pt>
                <c:pt idx="78">
                  <c:v>4.2936687568069769E-3</c:v>
                </c:pt>
                <c:pt idx="79">
                  <c:v>2.879293755416307E-3</c:v>
                </c:pt>
                <c:pt idx="80">
                  <c:v>3.1402509586019966E-3</c:v>
                </c:pt>
                <c:pt idx="81">
                  <c:v>4.0040703990401969E-3</c:v>
                </c:pt>
                <c:pt idx="82">
                  <c:v>2.3001107255231964E-3</c:v>
                </c:pt>
                <c:pt idx="83">
                  <c:v>1.1366547499752563E-3</c:v>
                </c:pt>
                <c:pt idx="84">
                  <c:v>7.7688962726719132E-4</c:v>
                </c:pt>
                <c:pt idx="85">
                  <c:v>-1.7301016021659097E-3</c:v>
                </c:pt>
                <c:pt idx="86">
                  <c:v>-1.1230348922038798E-3</c:v>
                </c:pt>
                <c:pt idx="87">
                  <c:v>-3.6143687590417983E-4</c:v>
                </c:pt>
                <c:pt idx="88">
                  <c:v>2.0768892692304202E-3</c:v>
                </c:pt>
                <c:pt idx="89">
                  <c:v>1.9220882712743302E-3</c:v>
                </c:pt>
                <c:pt idx="90">
                  <c:v>2.8027746930743952E-3</c:v>
                </c:pt>
                <c:pt idx="91">
                  <c:v>2.8027746930743952E-3</c:v>
                </c:pt>
                <c:pt idx="92">
                  <c:v>2.8027746930743952E-3</c:v>
                </c:pt>
                <c:pt idx="93">
                  <c:v>2.8799081123968054E-3</c:v>
                </c:pt>
                <c:pt idx="94">
                  <c:v>1.5810936324448049E-3</c:v>
                </c:pt>
                <c:pt idx="95">
                  <c:v>2.3949800331923149E-3</c:v>
                </c:pt>
                <c:pt idx="96">
                  <c:v>2.3949800331923149E-3</c:v>
                </c:pt>
                <c:pt idx="97">
                  <c:v>2.3949800331923149E-3</c:v>
                </c:pt>
                <c:pt idx="98">
                  <c:v>2.3949800331923149E-3</c:v>
                </c:pt>
                <c:pt idx="99">
                  <c:v>2.3949800331923149E-3</c:v>
                </c:pt>
                <c:pt idx="100">
                  <c:v>2.3949800331923149E-3</c:v>
                </c:pt>
                <c:pt idx="101">
                  <c:v>2.3949800331923149E-3</c:v>
                </c:pt>
                <c:pt idx="102">
                  <c:v>2.3949800331923149E-3</c:v>
                </c:pt>
                <c:pt idx="103">
                  <c:v>2.3949800331923149E-3</c:v>
                </c:pt>
                <c:pt idx="104">
                  <c:v>2.3949800331923149E-3</c:v>
                </c:pt>
                <c:pt idx="105">
                  <c:v>2.3949800331923149E-3</c:v>
                </c:pt>
                <c:pt idx="106">
                  <c:v>2.3949800331923149E-3</c:v>
                </c:pt>
                <c:pt idx="107">
                  <c:v>2.3949800331923149E-3</c:v>
                </c:pt>
                <c:pt idx="108">
                  <c:v>2.3949800331923149E-3</c:v>
                </c:pt>
                <c:pt idx="109">
                  <c:v>2.3949800331923149E-3</c:v>
                </c:pt>
                <c:pt idx="110">
                  <c:v>2.3949800331923149E-3</c:v>
                </c:pt>
                <c:pt idx="111">
                  <c:v>2.3949800331923149E-3</c:v>
                </c:pt>
                <c:pt idx="112">
                  <c:v>2.3949800331923149E-3</c:v>
                </c:pt>
                <c:pt idx="113">
                  <c:v>2.3949800331923149E-3</c:v>
                </c:pt>
                <c:pt idx="114">
                  <c:v>2.3949800331923149E-3</c:v>
                </c:pt>
                <c:pt idx="115">
                  <c:v>2.3949800331923149E-3</c:v>
                </c:pt>
                <c:pt idx="116">
                  <c:v>2.3949800331923149E-3</c:v>
                </c:pt>
                <c:pt idx="117">
                  <c:v>2.3949800331923149E-3</c:v>
                </c:pt>
                <c:pt idx="118">
                  <c:v>2.3949800331923149E-3</c:v>
                </c:pt>
                <c:pt idx="119">
                  <c:v>2.3949800331923149E-3</c:v>
                </c:pt>
                <c:pt idx="120">
                  <c:v>2.3949800331923149E-3</c:v>
                </c:pt>
                <c:pt idx="121">
                  <c:v>2.3949800331923149E-3</c:v>
                </c:pt>
                <c:pt idx="122">
                  <c:v>2.3949800331923149E-3</c:v>
                </c:pt>
                <c:pt idx="123">
                  <c:v>2.3949800331923149E-3</c:v>
                </c:pt>
                <c:pt idx="124">
                  <c:v>2.3949800331923149E-3</c:v>
                </c:pt>
                <c:pt idx="125">
                  <c:v>2.3949800331923149E-3</c:v>
                </c:pt>
                <c:pt idx="126">
                  <c:v>2.3949800331923149E-3</c:v>
                </c:pt>
                <c:pt idx="127">
                  <c:v>2.3949800331923149E-3</c:v>
                </c:pt>
                <c:pt idx="128">
                  <c:v>2.3949800331923149E-3</c:v>
                </c:pt>
                <c:pt idx="129">
                  <c:v>3.3958092072456647E-3</c:v>
                </c:pt>
                <c:pt idx="130">
                  <c:v>3.4919700967499644E-3</c:v>
                </c:pt>
                <c:pt idx="131">
                  <c:v>3.1494808818123745E-3</c:v>
                </c:pt>
                <c:pt idx="132">
                  <c:v>3.0139349848603437E-3</c:v>
                </c:pt>
                <c:pt idx="133">
                  <c:v>2.1967281908609436E-3</c:v>
                </c:pt>
                <c:pt idx="134">
                  <c:v>4.9720748509998378E-4</c:v>
                </c:pt>
                <c:pt idx="135">
                  <c:v>1.5647629467846842E-3</c:v>
                </c:pt>
                <c:pt idx="136">
                  <c:v>2.2844147741615441E-3</c:v>
                </c:pt>
                <c:pt idx="137">
                  <c:v>4.1282580409208632E-3</c:v>
                </c:pt>
                <c:pt idx="138">
                  <c:v>4.1282580409208632E-3</c:v>
                </c:pt>
                <c:pt idx="139">
                  <c:v>4.1282580409208632E-3</c:v>
                </c:pt>
                <c:pt idx="140">
                  <c:v>4.1282580409208632E-3</c:v>
                </c:pt>
                <c:pt idx="141">
                  <c:v>4.1282580409208632E-3</c:v>
                </c:pt>
                <c:pt idx="142">
                  <c:v>4.1282580409208632E-3</c:v>
                </c:pt>
                <c:pt idx="143">
                  <c:v>4.1282580409208632E-3</c:v>
                </c:pt>
                <c:pt idx="144">
                  <c:v>4.1282580409208632E-3</c:v>
                </c:pt>
                <c:pt idx="145">
                  <c:v>4.1282580409208632E-3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E-4E63-B524-A6846B537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DEE21-152B-43E1-AFF7-C7505BE66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AC5309-FEEB-48A8-A658-F401EB063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6CDFAF-2947-40CB-BA44-94DE133DF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B15F67-F1F6-46FF-BCF0-DF2C57B88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5BB1B9-62AA-4897-AFAB-37D38BDEE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529C5A-F05E-48AA-A4FB-4CE9A50C8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95F512-77F0-4C16-8405-E0C1F1650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86CF84-4730-4E23-93DE-F9641C5AB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542D-5E6D-48CB-8D6B-60257D03220D}">
  <dimension ref="A1:BY167"/>
  <sheetViews>
    <sheetView tabSelected="1" topLeftCell="W1" workbookViewId="0">
      <selection activeCell="J18" sqref="J18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-1.9560698283513887E-3</v>
      </c>
      <c r="BS1" s="6"/>
      <c r="BT1" s="6"/>
      <c r="BU1" s="6"/>
      <c r="BV1" s="7">
        <f>BV167</f>
        <v>4.1282580409208632E-3</v>
      </c>
      <c r="BY1" s="7">
        <f>BY167</f>
        <v>2.1721882125694753E-3</v>
      </c>
    </row>
    <row r="2" spans="1:77" x14ac:dyDescent="0.3">
      <c r="A2" s="1">
        <v>46024</v>
      </c>
      <c r="B2" s="8">
        <v>40.380000000000003</v>
      </c>
      <c r="C2" s="8">
        <v>93.99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40.380000000000003</v>
      </c>
      <c r="M2" s="8">
        <v>93.99</v>
      </c>
      <c r="N2" s="10">
        <v>2.3276374442793402</v>
      </c>
      <c r="O2" s="10">
        <v>2.3166568507100198</v>
      </c>
      <c r="X2" s="10">
        <v>2.3276374442793402</v>
      </c>
      <c r="Y2" s="10">
        <v>2.3166568507100198</v>
      </c>
    </row>
    <row r="3" spans="1:77" x14ac:dyDescent="0.3">
      <c r="A3" s="1">
        <v>46027</v>
      </c>
      <c r="B3" s="8">
        <v>40.43</v>
      </c>
      <c r="C3" s="8">
        <v>94.13</v>
      </c>
      <c r="D3" s="9">
        <v>1.2374707679880599E-3</v>
      </c>
      <c r="E3" s="9">
        <v>1.4884119269188E-3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40.43</v>
      </c>
      <c r="M3" s="8">
        <v>94.13</v>
      </c>
      <c r="N3" s="10">
        <v>2.32822161761068</v>
      </c>
      <c r="O3" s="10">
        <v>2.3166568507100198</v>
      </c>
      <c r="R3" s="8">
        <v>93.662436474206103</v>
      </c>
      <c r="U3" s="9">
        <v>-4.9795881104233502E-3</v>
      </c>
      <c r="X3" s="10">
        <v>2.32822161761068</v>
      </c>
      <c r="Y3" s="10">
        <v>2.3166568507100198</v>
      </c>
      <c r="AB3" s="8">
        <v>93.662436474206103</v>
      </c>
      <c r="AE3" s="9">
        <v>-4.9795881104233502E-3</v>
      </c>
    </row>
    <row r="4" spans="1:77" x14ac:dyDescent="0.3">
      <c r="A4" s="1">
        <v>46028</v>
      </c>
      <c r="B4" s="8">
        <v>40.700000000000003</v>
      </c>
      <c r="C4" s="8">
        <v>94.79</v>
      </c>
      <c r="D4" s="9">
        <v>6.6560087958699001E-3</v>
      </c>
      <c r="E4" s="9">
        <v>6.9871129058213799E-3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40.700000000000003</v>
      </c>
      <c r="M4" s="8">
        <v>94.79</v>
      </c>
      <c r="N4" s="10">
        <v>2.3289926289926202</v>
      </c>
      <c r="O4" s="10">
        <v>2.3166568507100198</v>
      </c>
      <c r="R4" s="8">
        <v>94.287933823897802</v>
      </c>
      <c r="U4" s="9">
        <v>-5.3106922203749697E-3</v>
      </c>
      <c r="X4" s="10">
        <v>2.3289926289926202</v>
      </c>
      <c r="Y4" s="10">
        <v>2.3166568507100198</v>
      </c>
      <c r="AB4" s="8">
        <v>94.287933823897802</v>
      </c>
      <c r="AE4" s="9">
        <v>-5.3106922203749697E-3</v>
      </c>
    </row>
    <row r="5" spans="1:77" x14ac:dyDescent="0.3">
      <c r="A5" s="1">
        <v>46029</v>
      </c>
      <c r="B5" s="8">
        <v>40.14</v>
      </c>
      <c r="C5" s="8">
        <v>93.78</v>
      </c>
      <c r="D5" s="9">
        <v>-1.38547490803573E-2</v>
      </c>
      <c r="E5" s="9">
        <v>-1.071230480351E-2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40.14</v>
      </c>
      <c r="M5" s="8">
        <v>93.78</v>
      </c>
      <c r="N5" s="10">
        <v>2.3363228699551501</v>
      </c>
      <c r="O5" s="10">
        <v>2.3166568507100198</v>
      </c>
      <c r="R5" s="8">
        <v>92.990605987500203</v>
      </c>
      <c r="U5" s="9">
        <v>-8.4531364972220899E-3</v>
      </c>
      <c r="X5" s="10">
        <v>2.3363228699551501</v>
      </c>
      <c r="Y5" s="10">
        <v>2.3166568507100198</v>
      </c>
      <c r="AB5" s="8">
        <v>92.990605987500203</v>
      </c>
      <c r="AE5" s="9">
        <v>-8.4531364972220899E-3</v>
      </c>
    </row>
    <row r="6" spans="1:77" x14ac:dyDescent="0.3">
      <c r="A6" s="1">
        <v>46030</v>
      </c>
      <c r="B6" s="8">
        <v>40.44</v>
      </c>
      <c r="C6" s="8">
        <v>94.58</v>
      </c>
      <c r="D6" s="9">
        <v>7.4460507840785296E-3</v>
      </c>
      <c r="E6" s="9">
        <v>8.4944235542894209E-3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40.44</v>
      </c>
      <c r="M6" s="8">
        <v>94.58</v>
      </c>
      <c r="N6" s="10">
        <v>2.3387734915924798</v>
      </c>
      <c r="O6" s="10">
        <v>2.3166568507100198</v>
      </c>
      <c r="R6" s="8">
        <v>93.685603042713197</v>
      </c>
      <c r="U6" s="9">
        <v>-9.5015092674331399E-3</v>
      </c>
      <c r="X6" s="10">
        <v>2.3387734915924798</v>
      </c>
      <c r="Y6" s="10">
        <v>2.3166568507100198</v>
      </c>
      <c r="AB6" s="8">
        <v>93.685603042713197</v>
      </c>
      <c r="AE6" s="9">
        <v>-9.5015092674331399E-3</v>
      </c>
    </row>
    <row r="7" spans="1:77" x14ac:dyDescent="0.3">
      <c r="A7" s="1">
        <v>46031</v>
      </c>
      <c r="B7" s="8">
        <v>40.5</v>
      </c>
      <c r="C7" s="8">
        <v>94.74</v>
      </c>
      <c r="D7" s="9">
        <v>1.4825799602228901E-3</v>
      </c>
      <c r="E7" s="9">
        <v>1.69026027987602E-3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40.5</v>
      </c>
      <c r="M7" s="8">
        <v>94.74</v>
      </c>
      <c r="N7" s="10">
        <v>2.3392592592592498</v>
      </c>
      <c r="O7" s="10">
        <v>2.3166568507100198</v>
      </c>
      <c r="R7" s="8">
        <v>93.824602453755801</v>
      </c>
      <c r="U7" s="9">
        <v>-9.7091895870863205E-3</v>
      </c>
      <c r="X7" s="10">
        <v>2.3392592592592498</v>
      </c>
      <c r="Y7" s="10">
        <v>2.3166568507100198</v>
      </c>
      <c r="AB7" s="8">
        <v>93.824602453755801</v>
      </c>
      <c r="AE7" s="9">
        <v>-9.7091895870863205E-3</v>
      </c>
    </row>
    <row r="8" spans="1:77" x14ac:dyDescent="0.3">
      <c r="A8" s="1">
        <v>46034</v>
      </c>
      <c r="B8" s="8">
        <v>40.619999999999997</v>
      </c>
      <c r="C8" s="8">
        <v>94.89</v>
      </c>
      <c r="D8" s="9">
        <v>2.9585820397450401E-3</v>
      </c>
      <c r="E8" s="9">
        <v>1.5820284900615099E-3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40.619999999999997</v>
      </c>
      <c r="M8" s="8">
        <v>94.89</v>
      </c>
      <c r="N8" s="10">
        <v>2.3360413589364799</v>
      </c>
      <c r="O8" s="10">
        <v>2.3166568507100198</v>
      </c>
      <c r="R8" s="8">
        <v>94.102601275840996</v>
      </c>
      <c r="U8" s="9">
        <v>-8.3326360374026704E-3</v>
      </c>
      <c r="X8" s="10">
        <v>2.3360413589364799</v>
      </c>
      <c r="Y8" s="10">
        <v>2.3166568507100198</v>
      </c>
      <c r="AB8" s="8">
        <v>94.102601275840996</v>
      </c>
      <c r="AE8" s="9">
        <v>-8.3326360374026704E-3</v>
      </c>
    </row>
    <row r="9" spans="1:77" x14ac:dyDescent="0.3">
      <c r="A9" s="1">
        <v>46035</v>
      </c>
      <c r="B9" s="8">
        <v>40.93</v>
      </c>
      <c r="C9" s="8">
        <v>95.43</v>
      </c>
      <c r="D9" s="9">
        <v>7.6027343520731301E-3</v>
      </c>
      <c r="E9" s="9">
        <v>5.6746684434953098E-3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40.93</v>
      </c>
      <c r="M9" s="8">
        <v>95.43</v>
      </c>
      <c r="N9" s="10">
        <v>2.3315416564866802</v>
      </c>
      <c r="O9" s="10">
        <v>2.3166568507100198</v>
      </c>
      <c r="R9" s="8">
        <v>94.820764899561098</v>
      </c>
      <c r="U9" s="9">
        <v>-6.4045701288248501E-3</v>
      </c>
      <c r="X9" s="10">
        <v>2.3315416564866802</v>
      </c>
      <c r="Y9" s="10">
        <v>2.3166568507100198</v>
      </c>
      <c r="AB9" s="8">
        <v>94.820764899561098</v>
      </c>
      <c r="AE9" s="9">
        <v>-6.4045701288248501E-3</v>
      </c>
      <c r="BJ9" s="12">
        <f>AVERAGE(BI22:BI200)</f>
        <v>-1.3397738550351978E-5</v>
      </c>
      <c r="BV9" s="12">
        <f>AVERAGE(BU22:BU200)</f>
        <v>2.8275740006307282E-5</v>
      </c>
      <c r="BY9" s="12">
        <f>AVERAGE(BX22:BX200)</f>
        <v>1.487800145595531E-5</v>
      </c>
    </row>
    <row r="10" spans="1:77" x14ac:dyDescent="0.3">
      <c r="A10" s="1">
        <v>46036</v>
      </c>
      <c r="B10" s="8">
        <v>41.39</v>
      </c>
      <c r="C10" s="8">
        <v>96.35</v>
      </c>
      <c r="D10" s="9">
        <v>1.11760152563294E-2</v>
      </c>
      <c r="E10" s="9">
        <v>9.5944004312128392E-3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41.39</v>
      </c>
      <c r="M10" s="8">
        <v>96.35</v>
      </c>
      <c r="N10" s="10">
        <v>2.3278569702826699</v>
      </c>
      <c r="O10" s="10">
        <v>2.3166568507100198</v>
      </c>
      <c r="R10" s="8">
        <v>95.886427050887704</v>
      </c>
      <c r="U10" s="9">
        <v>-4.8229553037084198E-3</v>
      </c>
      <c r="X10" s="10">
        <v>2.3278569702826699</v>
      </c>
      <c r="Y10" s="10">
        <v>2.3166568507100198</v>
      </c>
      <c r="AB10" s="8">
        <v>95.886427050887704</v>
      </c>
      <c r="AE10" s="9">
        <v>-4.8229553037084198E-3</v>
      </c>
      <c r="AZ10" s="13"/>
      <c r="BJ10" s="12">
        <f>STDEV(BI22:BI200)</f>
        <v>6.5019358610238199E-4</v>
      </c>
      <c r="BL10" s="13"/>
      <c r="BV10" s="12">
        <f>STDEV(BU22:BU200)</f>
        <v>8.3304563033216356E-4</v>
      </c>
      <c r="BY10" s="12">
        <f>STDEV(BX22:BX200)</f>
        <v>1.0571090808534453E-3</v>
      </c>
    </row>
    <row r="11" spans="1:77" x14ac:dyDescent="0.3">
      <c r="A11" s="1">
        <v>46037</v>
      </c>
      <c r="B11" s="8">
        <v>41.7</v>
      </c>
      <c r="C11" s="8">
        <v>97.03</v>
      </c>
      <c r="D11" s="9">
        <v>7.46182304411485E-3</v>
      </c>
      <c r="E11" s="9">
        <v>7.0328141768327499E-3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41.7</v>
      </c>
      <c r="M11" s="8">
        <v>97.03</v>
      </c>
      <c r="N11" s="10">
        <v>2.3268585131894399</v>
      </c>
      <c r="O11" s="10">
        <v>2.3166568507100198</v>
      </c>
      <c r="P11" s="10">
        <v>2.3321505810584799</v>
      </c>
      <c r="R11" s="8">
        <v>96.604590674607806</v>
      </c>
      <c r="U11" s="9">
        <v>-4.3939464364262599E-3</v>
      </c>
      <c r="X11" s="10">
        <v>2.3268585131894399</v>
      </c>
      <c r="Y11" s="10">
        <v>2.3166568507100198</v>
      </c>
      <c r="Z11" s="10">
        <v>2.3321505810584799</v>
      </c>
      <c r="AB11" s="8">
        <v>96.604590674607806</v>
      </c>
      <c r="AE11" s="9">
        <v>-4.3939464364262599E-3</v>
      </c>
      <c r="BJ11">
        <f>SQRT(252)*BJ9/BJ10</f>
        <v>-0.32710643499930853</v>
      </c>
      <c r="BV11">
        <f>SQRT(252)*BV9/BV10</f>
        <v>0.53882217349735917</v>
      </c>
      <c r="BY11">
        <f>SQRT(252)*BY9/BY10</f>
        <v>0.22342155168888514</v>
      </c>
    </row>
    <row r="12" spans="1:77" x14ac:dyDescent="0.3">
      <c r="A12" s="1">
        <v>46038</v>
      </c>
      <c r="B12" s="8">
        <v>42.21</v>
      </c>
      <c r="C12" s="8">
        <v>98.31</v>
      </c>
      <c r="D12" s="9">
        <v>1.21560309896516E-2</v>
      </c>
      <c r="E12" s="9">
        <v>1.31055423416249E-2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42.21</v>
      </c>
      <c r="M12" s="8">
        <v>98.31</v>
      </c>
      <c r="N12" s="10">
        <v>2.32906894100923</v>
      </c>
      <c r="O12" s="10">
        <v>2.3166568507100198</v>
      </c>
      <c r="P12" s="10">
        <v>2.3322937307314699</v>
      </c>
      <c r="R12" s="8">
        <v>97.786085668469894</v>
      </c>
      <c r="S12" s="8">
        <v>98.440076026478593</v>
      </c>
      <c r="U12" s="9">
        <v>-5.3434577883995499E-3</v>
      </c>
      <c r="V12" s="9">
        <v>1.32224645659138E-3</v>
      </c>
      <c r="X12" s="10">
        <v>2.32906894100923</v>
      </c>
      <c r="Y12" s="10">
        <v>2.3166568507100198</v>
      </c>
      <c r="Z12" s="10">
        <v>2.3322937307314699</v>
      </c>
      <c r="AB12" s="8">
        <v>97.786085668469894</v>
      </c>
      <c r="AC12" s="8">
        <v>98.440076026478593</v>
      </c>
      <c r="AE12" s="9">
        <v>-5.3434577883995499E-3</v>
      </c>
      <c r="AF12" s="9">
        <v>1.32224645659138E-3</v>
      </c>
    </row>
    <row r="13" spans="1:77" x14ac:dyDescent="0.3">
      <c r="A13" s="1">
        <v>46042</v>
      </c>
      <c r="B13" s="8">
        <v>41.4</v>
      </c>
      <c r="C13" s="8">
        <v>96.41</v>
      </c>
      <c r="D13" s="9">
        <v>-1.9376278963138701E-2</v>
      </c>
      <c r="E13" s="9">
        <v>-1.9515820702543901E-2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41.4</v>
      </c>
      <c r="M13" s="8">
        <v>96.41</v>
      </c>
      <c r="N13" s="10">
        <v>2.3287439613526502</v>
      </c>
      <c r="O13" s="10">
        <v>2.3166568507100198</v>
      </c>
      <c r="P13" s="10">
        <v>2.3323459651056702</v>
      </c>
      <c r="R13" s="8">
        <v>95.909593619394798</v>
      </c>
      <c r="S13" s="8">
        <v>96.556960452282993</v>
      </c>
      <c r="U13" s="9">
        <v>-5.2039160489944199E-3</v>
      </c>
      <c r="V13" s="9">
        <v>1.52316728575105E-3</v>
      </c>
      <c r="X13" s="10">
        <v>2.3287439613526502</v>
      </c>
      <c r="Y13" s="10">
        <v>2.3166568507100198</v>
      </c>
      <c r="Z13" s="10">
        <v>2.3323459651056702</v>
      </c>
      <c r="AB13" s="8">
        <v>95.909593619394798</v>
      </c>
      <c r="AC13" s="8">
        <v>96.556960452282993</v>
      </c>
      <c r="AE13" s="9">
        <v>-5.2039160489944199E-3</v>
      </c>
      <c r="AF13" s="9">
        <v>1.52316728575105E-3</v>
      </c>
    </row>
    <row r="14" spans="1:77" x14ac:dyDescent="0.3">
      <c r="A14" s="1">
        <v>46043</v>
      </c>
      <c r="B14" s="8">
        <v>41.55</v>
      </c>
      <c r="C14" s="8">
        <v>96.65</v>
      </c>
      <c r="D14" s="9">
        <v>3.61664047018851E-3</v>
      </c>
      <c r="E14" s="9">
        <v>2.48627497805103E-3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41.55</v>
      </c>
      <c r="M14" s="8">
        <v>96.65</v>
      </c>
      <c r="N14" s="10">
        <v>2.3261131167268299</v>
      </c>
      <c r="O14" s="10">
        <v>2.3166568507100198</v>
      </c>
      <c r="P14" s="10">
        <v>2.3320580138790898</v>
      </c>
      <c r="R14" s="8">
        <v>96.257092147001302</v>
      </c>
      <c r="S14" s="8">
        <v>96.908974850140595</v>
      </c>
      <c r="U14" s="9">
        <v>-4.0735505568568701E-3</v>
      </c>
      <c r="V14" s="9">
        <v>2.6759286659337098E-3</v>
      </c>
      <c r="X14" s="10">
        <v>2.3261131167268299</v>
      </c>
      <c r="Y14" s="10">
        <v>2.3166568507100198</v>
      </c>
      <c r="Z14" s="10">
        <v>2.3320580138790898</v>
      </c>
      <c r="AB14" s="8">
        <v>96.257092147001302</v>
      </c>
      <c r="AC14" s="8">
        <v>96.908974850140595</v>
      </c>
      <c r="AE14" s="9">
        <v>-4.0735505568568701E-3</v>
      </c>
      <c r="AF14" s="9">
        <v>2.6759286659337098E-3</v>
      </c>
    </row>
    <row r="15" spans="1:77" x14ac:dyDescent="0.3">
      <c r="A15" s="1">
        <v>46044</v>
      </c>
      <c r="B15" s="8">
        <v>41.14</v>
      </c>
      <c r="C15" s="8">
        <v>95.76</v>
      </c>
      <c r="D15" s="9">
        <v>-9.9166370766459594E-3</v>
      </c>
      <c r="E15" s="9">
        <v>-9.2511444046222205E-3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41.14</v>
      </c>
      <c r="M15" s="8">
        <v>95.76</v>
      </c>
      <c r="N15" s="10">
        <v>2.3276616431696602</v>
      </c>
      <c r="O15" s="10">
        <v>2.3166568507100198</v>
      </c>
      <c r="P15" s="10">
        <v>2.33119189120054</v>
      </c>
      <c r="R15" s="8">
        <v>95.307262838210207</v>
      </c>
      <c r="S15" s="8">
        <v>95.9408666909858</v>
      </c>
      <c r="U15" s="9">
        <v>-4.7390432288806099E-3</v>
      </c>
      <c r="V15" s="9">
        <v>1.8869684605477999E-3</v>
      </c>
      <c r="X15" s="10">
        <v>2.3276616431696602</v>
      </c>
      <c r="Y15" s="10">
        <v>2.3166568507100198</v>
      </c>
      <c r="Z15" s="10">
        <v>2.33119189120054</v>
      </c>
      <c r="AB15" s="8">
        <v>95.307262838210207</v>
      </c>
      <c r="AC15" s="8">
        <v>95.9408666909858</v>
      </c>
      <c r="AE15" s="9">
        <v>-4.7390432288806099E-3</v>
      </c>
      <c r="AF15" s="9">
        <v>1.8869684605477999E-3</v>
      </c>
    </row>
    <row r="16" spans="1:77" x14ac:dyDescent="0.3">
      <c r="A16" s="1">
        <v>46045</v>
      </c>
      <c r="B16" s="8">
        <v>41.25</v>
      </c>
      <c r="C16" s="8">
        <v>96.04</v>
      </c>
      <c r="D16" s="9">
        <v>2.67022855587889E-3</v>
      </c>
      <c r="E16" s="9">
        <v>2.9197101033348401E-3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41.25</v>
      </c>
      <c r="M16" s="8">
        <v>96.04</v>
      </c>
      <c r="N16" s="10">
        <v>2.3282424242424198</v>
      </c>
      <c r="O16" s="10">
        <v>2.3166568507100198</v>
      </c>
      <c r="P16" s="10">
        <v>2.3301387844655301</v>
      </c>
      <c r="R16" s="8">
        <v>95.562095091788294</v>
      </c>
      <c r="S16" s="8">
        <v>96.161665512022395</v>
      </c>
      <c r="U16" s="9">
        <v>-4.9885247763365196E-3</v>
      </c>
      <c r="V16" s="9">
        <v>1.2660195003909901E-3</v>
      </c>
      <c r="X16" s="10">
        <v>2.3282424242424198</v>
      </c>
      <c r="Y16" s="10">
        <v>2.3166568507100198</v>
      </c>
      <c r="Z16" s="10">
        <v>2.3301387844655301</v>
      </c>
      <c r="AB16" s="8">
        <v>95.562095091788294</v>
      </c>
      <c r="AC16" s="8">
        <v>96.161665512022395</v>
      </c>
      <c r="AE16" s="9">
        <v>-4.9885247763365196E-3</v>
      </c>
      <c r="AF16" s="9">
        <v>1.2660195003909901E-3</v>
      </c>
    </row>
    <row r="17" spans="1:77" x14ac:dyDescent="0.3">
      <c r="A17" s="1">
        <v>46048</v>
      </c>
      <c r="B17" s="8">
        <v>41.22</v>
      </c>
      <c r="C17" s="8">
        <v>95.94</v>
      </c>
      <c r="D17" s="9">
        <v>-7.2753731837708999E-4</v>
      </c>
      <c r="E17" s="9">
        <v>-1.0417752791346401E-3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41.22</v>
      </c>
      <c r="M17" s="8">
        <v>95.94</v>
      </c>
      <c r="N17" s="10">
        <v>2.3275109170305601</v>
      </c>
      <c r="O17" s="10">
        <v>2.3166568507100198</v>
      </c>
      <c r="P17" s="10">
        <v>2.32896395024266</v>
      </c>
      <c r="R17" s="8">
        <v>95.492595386266999</v>
      </c>
      <c r="S17" s="8">
        <v>96.048320695669403</v>
      </c>
      <c r="U17" s="9">
        <v>-4.6742868155789799E-3</v>
      </c>
      <c r="V17" s="9">
        <v>1.1284093404302299E-3</v>
      </c>
      <c r="X17" s="10">
        <v>2.3275109170305601</v>
      </c>
      <c r="Y17" s="10">
        <v>2.3166568507100198</v>
      </c>
      <c r="Z17" s="10">
        <v>2.32896395024266</v>
      </c>
      <c r="AB17" s="8">
        <v>95.492595386266999</v>
      </c>
      <c r="AC17" s="8">
        <v>96.048320695669403</v>
      </c>
      <c r="AE17" s="9">
        <v>-4.6742868155789799E-3</v>
      </c>
      <c r="AF17" s="9">
        <v>1.1284093404302299E-3</v>
      </c>
    </row>
    <row r="18" spans="1:77" x14ac:dyDescent="0.3">
      <c r="A18" s="1">
        <v>46049</v>
      </c>
      <c r="B18" s="8">
        <v>41.25</v>
      </c>
      <c r="C18" s="8">
        <v>96.03</v>
      </c>
      <c r="D18" s="9">
        <v>7.2753731837714897E-4</v>
      </c>
      <c r="E18" s="9">
        <v>9.3764657596365404E-4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41.25</v>
      </c>
      <c r="M18" s="8">
        <v>96.03</v>
      </c>
      <c r="N18" s="10">
        <v>2.3279999999999998</v>
      </c>
      <c r="O18" s="10">
        <v>2.3166568507100198</v>
      </c>
      <c r="P18" s="10">
        <v>2.3281598143490201</v>
      </c>
      <c r="R18" s="8">
        <v>95.562095091788294</v>
      </c>
      <c r="S18" s="8">
        <v>96.06976294751</v>
      </c>
      <c r="U18" s="9">
        <v>-4.8843960731653801E-3</v>
      </c>
      <c r="V18" s="9">
        <v>4.13982271168169E-4</v>
      </c>
      <c r="X18" s="10">
        <v>2.3279999999999998</v>
      </c>
      <c r="Y18" s="10">
        <v>2.3166568507100198</v>
      </c>
      <c r="Z18" s="10">
        <v>2.3281598143490201</v>
      </c>
      <c r="AB18" s="8">
        <v>95.562095091788294</v>
      </c>
      <c r="AC18" s="8">
        <v>96.06976294751</v>
      </c>
      <c r="AE18" s="9">
        <v>-4.8843960731653801E-3</v>
      </c>
      <c r="AF18" s="9">
        <v>4.13982271168169E-4</v>
      </c>
    </row>
    <row r="19" spans="1:77" x14ac:dyDescent="0.3">
      <c r="A19" s="1">
        <v>46050</v>
      </c>
      <c r="B19" s="8">
        <v>40.85</v>
      </c>
      <c r="C19" s="8">
        <v>95.08</v>
      </c>
      <c r="D19" s="9">
        <v>-9.7442914746780507E-3</v>
      </c>
      <c r="E19" s="9">
        <v>-9.9420001578882592E-3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40.85</v>
      </c>
      <c r="M19" s="8">
        <v>95.08</v>
      </c>
      <c r="N19" s="10">
        <v>2.3275397796817598</v>
      </c>
      <c r="O19" s="10">
        <v>2.3166568507100198</v>
      </c>
      <c r="P19" s="10">
        <v>2.3277596266685201</v>
      </c>
      <c r="R19" s="8">
        <v>94.635432351504306</v>
      </c>
      <c r="S19" s="8">
        <v>95.105328416157406</v>
      </c>
      <c r="U19" s="9">
        <v>-4.6866873899553104E-3</v>
      </c>
      <c r="V19" s="9">
        <v>2.6635510234300898E-4</v>
      </c>
      <c r="X19" s="10">
        <v>2.3275397796817598</v>
      </c>
      <c r="Y19" s="10">
        <v>2.3166568507100198</v>
      </c>
      <c r="Z19" s="10">
        <v>2.3277596266685201</v>
      </c>
      <c r="AB19" s="8">
        <v>94.635432351504306</v>
      </c>
      <c r="AC19" s="8">
        <v>95.105328416157406</v>
      </c>
      <c r="AE19" s="9">
        <v>-4.6866873899553104E-3</v>
      </c>
      <c r="AF19" s="9">
        <v>2.6635510234300898E-4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41.37</v>
      </c>
      <c r="C20" s="8">
        <v>96.27</v>
      </c>
      <c r="D20" s="9">
        <v>1.26491591673082E-2</v>
      </c>
      <c r="E20" s="9">
        <v>1.2438101297882E-2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41.37</v>
      </c>
      <c r="M20" s="8">
        <v>96.27</v>
      </c>
      <c r="N20" s="10">
        <v>2.3270485859318302</v>
      </c>
      <c r="O20" s="10">
        <v>2.3166568507100198</v>
      </c>
      <c r="P20" s="10">
        <v>2.32767878823344</v>
      </c>
      <c r="R20" s="8">
        <v>95.840093913873503</v>
      </c>
      <c r="S20" s="8">
        <v>96.299415755276897</v>
      </c>
      <c r="U20" s="9">
        <v>-4.4756295205291303E-3</v>
      </c>
      <c r="V20" s="9">
        <v>3.0550807240506801E-4</v>
      </c>
      <c r="X20" s="10">
        <v>2.3270485859318302</v>
      </c>
      <c r="Y20" s="10">
        <v>2.3166568507100198</v>
      </c>
      <c r="Z20" s="10">
        <v>2.32767878823344</v>
      </c>
      <c r="AB20" s="8">
        <v>95.840093913873503</v>
      </c>
      <c r="AC20" s="8">
        <v>96.299415755276897</v>
      </c>
      <c r="AE20" s="9">
        <v>-4.4756295205291303E-3</v>
      </c>
      <c r="AF20" s="9">
        <v>3.0550807240506801E-4</v>
      </c>
      <c r="AZ20" s="14" t="s">
        <v>34</v>
      </c>
      <c r="BA20" s="15">
        <v>-2E-3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XLRE log rtn</v>
      </c>
      <c r="BH20" s="6" t="str">
        <f>E1</f>
        <v>IYR log rtn</v>
      </c>
      <c r="BI20" s="6" t="s">
        <v>40</v>
      </c>
      <c r="BJ20" s="6" t="s">
        <v>41</v>
      </c>
      <c r="BL20" s="14" t="s">
        <v>34</v>
      </c>
      <c r="BM20" s="15">
        <v>2E-3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XLRE log rtn</v>
      </c>
      <c r="BT20" s="7" t="str">
        <f>E1</f>
        <v>IYR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41.43</v>
      </c>
      <c r="C21" s="8">
        <v>96.21</v>
      </c>
      <c r="D21" s="9">
        <v>1.44927561599043E-3</v>
      </c>
      <c r="E21" s="9">
        <v>-6.2344141670194397E-4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41.43</v>
      </c>
      <c r="M21" s="8">
        <v>96.21</v>
      </c>
      <c r="N21" s="10">
        <v>2.3222302679217899</v>
      </c>
      <c r="O21" s="10">
        <v>2.3166568507100198</v>
      </c>
      <c r="P21" s="10">
        <v>2.3272159637066698</v>
      </c>
      <c r="Q21" s="10">
        <v>2.3296832723825802</v>
      </c>
      <c r="R21" s="8">
        <v>95.979093324916093</v>
      </c>
      <c r="S21" s="8">
        <v>96.435732196511495</v>
      </c>
      <c r="U21" s="9">
        <v>-2.4029124878367299E-3</v>
      </c>
      <c r="V21" s="9">
        <v>2.3434965025950802E-3</v>
      </c>
      <c r="X21" s="10">
        <v>2.3222302679217899</v>
      </c>
      <c r="Y21" s="10">
        <v>2.3166568507100198</v>
      </c>
      <c r="Z21" s="10">
        <v>2.3272159637066698</v>
      </c>
      <c r="AA21" s="10">
        <v>2.3296832723825802</v>
      </c>
      <c r="AB21" s="8">
        <v>95.979093324916093</v>
      </c>
      <c r="AC21" s="8">
        <v>96.435732196511495</v>
      </c>
      <c r="AE21" s="9">
        <v>-2.4029124878367299E-3</v>
      </c>
      <c r="AF21" s="9">
        <v>2.3434965025950802E-3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40.96</v>
      </c>
      <c r="C22" s="8">
        <v>95.23</v>
      </c>
      <c r="D22" s="9">
        <v>-1.1409275358058E-2</v>
      </c>
      <c r="E22" s="9">
        <v>-1.0238284167218401E-2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40.96</v>
      </c>
      <c r="M22" s="8">
        <v>95.23</v>
      </c>
      <c r="N22" s="10">
        <v>2.324951171875</v>
      </c>
      <c r="O22" s="10">
        <v>2.3166568507100198</v>
      </c>
      <c r="P22" s="10">
        <v>2.3268041867932499</v>
      </c>
      <c r="Q22" s="10">
        <v>2.3295489587623601</v>
      </c>
      <c r="R22" s="8">
        <v>94.890264605082393</v>
      </c>
      <c r="S22" s="8">
        <v>95.322765873425496</v>
      </c>
      <c r="T22" s="8">
        <v>95.423826836790496</v>
      </c>
      <c r="U22" s="9">
        <v>-3.5739036786764499E-3</v>
      </c>
      <c r="V22" s="9">
        <v>9.7365032020181195E-4</v>
      </c>
      <c r="W22" s="9">
        <v>2.03328626321147E-3</v>
      </c>
      <c r="X22" s="10">
        <v>2.324951171875</v>
      </c>
      <c r="Y22" s="10">
        <v>2.3166568507100198</v>
      </c>
      <c r="Z22" s="10">
        <v>2.3268041867932499</v>
      </c>
      <c r="AA22" s="10">
        <v>2.3295489587623601</v>
      </c>
      <c r="AB22" s="8">
        <v>94.890264605082393</v>
      </c>
      <c r="AC22" s="8">
        <v>95.322765873425496</v>
      </c>
      <c r="AD22" s="8">
        <v>95.423826836790496</v>
      </c>
      <c r="AE22" s="9">
        <v>-3.5739036786764499E-3</v>
      </c>
      <c r="AF22" s="9">
        <v>9.7365032020181195E-4</v>
      </c>
      <c r="AG22" s="9">
        <v>2.03328626321147E-3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1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40.81</v>
      </c>
      <c r="C23" s="8">
        <v>95</v>
      </c>
      <c r="D23" s="9">
        <v>-3.6688313135380202E-3</v>
      </c>
      <c r="E23" s="9">
        <v>-2.4181266054138198E-3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40.81</v>
      </c>
      <c r="M23" s="8">
        <v>95</v>
      </c>
      <c r="N23" s="10">
        <v>2.3278608184268501</v>
      </c>
      <c r="O23" s="10">
        <v>2.3166568507100198</v>
      </c>
      <c r="P23" s="10">
        <v>2.32671587250067</v>
      </c>
      <c r="Q23" s="10">
        <v>2.3295309188031701</v>
      </c>
      <c r="R23" s="8">
        <v>94.542766077475903</v>
      </c>
      <c r="S23" s="8">
        <v>94.956878863032699</v>
      </c>
      <c r="T23" s="8">
        <v>95.068893007092001</v>
      </c>
      <c r="U23" s="9">
        <v>-4.8246083868005102E-3</v>
      </c>
      <c r="V23" s="9">
        <v>-4.5400975175084599E-4</v>
      </c>
      <c r="W23" s="9">
        <v>7.2492672545386601E-4</v>
      </c>
      <c r="X23" s="10">
        <v>2.3278608184268501</v>
      </c>
      <c r="Y23" s="10">
        <v>2.3166568507100198</v>
      </c>
      <c r="Z23" s="10">
        <v>2.32671587250067</v>
      </c>
      <c r="AA23" s="10">
        <v>2.3295309188031701</v>
      </c>
      <c r="AB23" s="8">
        <v>94.542766077475903</v>
      </c>
      <c r="AC23" s="8">
        <v>94.956878863032699</v>
      </c>
      <c r="AD23" s="8">
        <v>95.068893007092001</v>
      </c>
      <c r="AE23" s="9">
        <v>-4.8246083868005102E-3</v>
      </c>
      <c r="AF23" s="9">
        <v>-4.5400975175084599E-4</v>
      </c>
      <c r="AG23" s="9">
        <v>7.2492672545386601E-4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1</v>
      </c>
      <c r="BQ23">
        <f t="shared" si="1"/>
        <v>1</v>
      </c>
      <c r="BR23">
        <f t="shared" ref="BR23:BR86" si="13">IF(BN22,1,IF(BO22,0,BP22))*BQ22</f>
        <v>1</v>
      </c>
      <c r="BS23" s="9">
        <f t="shared" ref="BS23:BS86" si="14">-BR23*D23</f>
        <v>3.6688313135380202E-3</v>
      </c>
      <c r="BT23" s="9">
        <f t="shared" ref="BT23:BT86" si="15">BR23*$E23</f>
        <v>-2.4181266054138198E-3</v>
      </c>
      <c r="BU23" s="9">
        <f t="shared" ref="BU23:BU86" si="16">BS23+BT23</f>
        <v>1.2507047081242004E-3</v>
      </c>
      <c r="BV23" s="12">
        <f t="shared" ref="BV23:BV86" si="17">BV22+BU23</f>
        <v>1.2507047081242004E-3</v>
      </c>
      <c r="BX23" s="12">
        <f t="shared" ref="BX23:BX86" si="18">BI23+BU23</f>
        <v>1.2507047081242004E-3</v>
      </c>
      <c r="BY23" s="12">
        <f t="shared" ref="BY23:BY86" si="19">BY22+BX23</f>
        <v>1.2507047081242004E-3</v>
      </c>
    </row>
    <row r="24" spans="1:77" x14ac:dyDescent="0.3">
      <c r="A24" s="1">
        <v>46057</v>
      </c>
      <c r="B24" s="8">
        <v>41.46</v>
      </c>
      <c r="C24" s="8">
        <v>96.36</v>
      </c>
      <c r="D24" s="9">
        <v>1.5801957589919102E-2</v>
      </c>
      <c r="E24" s="9">
        <v>1.4214286146129801E-2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41.46</v>
      </c>
      <c r="M24" s="8">
        <v>96.36</v>
      </c>
      <c r="N24" s="10">
        <v>2.3241678726483301</v>
      </c>
      <c r="O24" s="10">
        <v>2.3166568507100198</v>
      </c>
      <c r="P24" s="10">
        <v>2.32652134809282</v>
      </c>
      <c r="Q24" s="10">
        <v>2.32928968098595</v>
      </c>
      <c r="R24" s="8">
        <v>96.048593030437402</v>
      </c>
      <c r="S24" s="8">
        <v>96.465640073877907</v>
      </c>
      <c r="T24" s="8">
        <v>96.582351893579499</v>
      </c>
      <c r="U24" s="9">
        <v>-3.2369369430111801E-3</v>
      </c>
      <c r="V24" s="9">
        <v>1.09570578276317E-3</v>
      </c>
      <c r="W24" s="9">
        <v>2.3048541684252601E-3</v>
      </c>
      <c r="X24" s="10">
        <v>2.3241678726483301</v>
      </c>
      <c r="Y24" s="10">
        <v>2.3166568507100198</v>
      </c>
      <c r="Z24" s="10">
        <v>2.32652134809282</v>
      </c>
      <c r="AA24" s="10">
        <v>2.32928968098595</v>
      </c>
      <c r="AB24" s="8">
        <v>96.048593030437402</v>
      </c>
      <c r="AC24" s="8">
        <v>96.465640073877907</v>
      </c>
      <c r="AD24" s="8">
        <v>96.582351893579499</v>
      </c>
      <c r="AE24" s="9">
        <v>-3.2369369430111801E-3</v>
      </c>
      <c r="AF24" s="9">
        <v>1.09570578276317E-3</v>
      </c>
      <c r="AG24" s="9">
        <v>2.3048541684252601E-3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1</v>
      </c>
      <c r="BO24">
        <f t="shared" si="11"/>
        <v>0</v>
      </c>
      <c r="BP24">
        <f t="shared" si="12"/>
        <v>1</v>
      </c>
      <c r="BQ24">
        <f t="shared" si="1"/>
        <v>1</v>
      </c>
      <c r="BR24">
        <f t="shared" si="13"/>
        <v>1</v>
      </c>
      <c r="BS24" s="9">
        <f t="shared" si="14"/>
        <v>-1.5801957589919102E-2</v>
      </c>
      <c r="BT24" s="9">
        <f t="shared" si="15"/>
        <v>1.4214286146129801E-2</v>
      </c>
      <c r="BU24" s="9">
        <f t="shared" si="16"/>
        <v>-1.587671443789301E-3</v>
      </c>
      <c r="BV24" s="12">
        <f t="shared" si="17"/>
        <v>-3.3696673566510063E-4</v>
      </c>
      <c r="BX24" s="12">
        <f t="shared" si="18"/>
        <v>-1.587671443789301E-3</v>
      </c>
      <c r="BY24" s="12">
        <f t="shared" si="19"/>
        <v>-3.3696673566510063E-4</v>
      </c>
    </row>
    <row r="25" spans="1:77" x14ac:dyDescent="0.3">
      <c r="A25" s="1">
        <v>46058</v>
      </c>
      <c r="B25" s="8">
        <v>41.23</v>
      </c>
      <c r="C25" s="8">
        <v>96.14</v>
      </c>
      <c r="D25" s="9">
        <v>-5.56296028882498E-3</v>
      </c>
      <c r="E25" s="9">
        <v>-2.2857152808559498E-3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41.23</v>
      </c>
      <c r="M25" s="8">
        <v>96.14</v>
      </c>
      <c r="N25" s="10">
        <v>2.33179723502304</v>
      </c>
      <c r="O25" s="10">
        <v>2.3166568507100198</v>
      </c>
      <c r="P25" s="10">
        <v>2.3269349072781602</v>
      </c>
      <c r="Q25" s="10">
        <v>2.3290633992393501</v>
      </c>
      <c r="R25" s="8">
        <v>95.515761954774106</v>
      </c>
      <c r="S25" s="8">
        <v>95.9224751818671</v>
      </c>
      <c r="T25" s="8">
        <v>96.036613547051005</v>
      </c>
      <c r="U25" s="9">
        <v>-6.5141819509801097E-3</v>
      </c>
      <c r="V25" s="9">
        <v>-2.26514743116699E-3</v>
      </c>
      <c r="W25" s="9">
        <v>-1.07595259396751E-3</v>
      </c>
      <c r="X25" s="10">
        <v>2.33179723502304</v>
      </c>
      <c r="Y25" s="10">
        <v>2.3166568507100198</v>
      </c>
      <c r="Z25" s="10">
        <v>2.3269349072781602</v>
      </c>
      <c r="AA25" s="10">
        <v>2.3290633992393501</v>
      </c>
      <c r="AB25" s="8">
        <v>95.515761954774106</v>
      </c>
      <c r="AC25" s="8">
        <v>95.9224751818671</v>
      </c>
      <c r="AD25" s="8">
        <v>96.036613547051005</v>
      </c>
      <c r="AE25" s="9">
        <v>-6.5141819509801097E-3</v>
      </c>
      <c r="AF25" s="9">
        <v>-2.26514743116699E-3</v>
      </c>
      <c r="AG25" s="9">
        <v>-1.07595259396751E-3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1</v>
      </c>
      <c r="BQ25">
        <f t="shared" si="1"/>
        <v>1</v>
      </c>
      <c r="BR25">
        <f t="shared" si="13"/>
        <v>1</v>
      </c>
      <c r="BS25" s="9">
        <f t="shared" si="14"/>
        <v>5.56296028882498E-3</v>
      </c>
      <c r="BT25" s="9">
        <f t="shared" si="15"/>
        <v>-2.2857152808559498E-3</v>
      </c>
      <c r="BU25" s="9">
        <f t="shared" si="16"/>
        <v>3.2772450079690302E-3</v>
      </c>
      <c r="BV25" s="12">
        <f t="shared" si="17"/>
        <v>2.9402782723039296E-3</v>
      </c>
      <c r="BX25" s="12">
        <f t="shared" si="18"/>
        <v>3.2772450079690302E-3</v>
      </c>
      <c r="BY25" s="12">
        <f t="shared" si="19"/>
        <v>2.9402782723039296E-3</v>
      </c>
    </row>
    <row r="26" spans="1:77" x14ac:dyDescent="0.3">
      <c r="A26" s="1">
        <v>46059</v>
      </c>
      <c r="B26" s="8">
        <v>41.99</v>
      </c>
      <c r="C26" s="8">
        <v>97.66</v>
      </c>
      <c r="D26" s="9">
        <v>1.82653479772934E-2</v>
      </c>
      <c r="E26" s="9">
        <v>1.56865961676994E-2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41.99</v>
      </c>
      <c r="M26" s="8">
        <v>97.66</v>
      </c>
      <c r="N26" s="10">
        <v>2.3257918552036099</v>
      </c>
      <c r="O26" s="10">
        <v>2.3166568507100198</v>
      </c>
      <c r="P26" s="10">
        <v>2.3266898503742799</v>
      </c>
      <c r="Q26" s="10">
        <v>2.3284143174199001</v>
      </c>
      <c r="R26" s="8">
        <v>97.276421161313706</v>
      </c>
      <c r="S26" s="8">
        <v>97.707996756610001</v>
      </c>
      <c r="T26" s="8">
        <v>97.797372134060396</v>
      </c>
      <c r="U26" s="9">
        <v>-3.9354301413863004E-3</v>
      </c>
      <c r="V26" s="9">
        <v>4.9134718451809595E-4</v>
      </c>
      <c r="W26" s="9">
        <v>1.4056482513747301E-3</v>
      </c>
      <c r="X26" s="10">
        <v>2.3257918552036099</v>
      </c>
      <c r="Y26" s="10">
        <v>2.3166568507100198</v>
      </c>
      <c r="Z26" s="10">
        <v>2.3266898503742799</v>
      </c>
      <c r="AA26" s="10">
        <v>2.3284143174199001</v>
      </c>
      <c r="AB26" s="8">
        <v>97.276421161313706</v>
      </c>
      <c r="AC26" s="8">
        <v>97.707996756610001</v>
      </c>
      <c r="AD26" s="8">
        <v>97.797372134060396</v>
      </c>
      <c r="AE26" s="9">
        <v>-3.9354301413863004E-3</v>
      </c>
      <c r="AF26" s="9">
        <v>4.9134718451809595E-4</v>
      </c>
      <c r="AG26" s="9">
        <v>1.4056482513747301E-3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2.9402782723039296E-3</v>
      </c>
      <c r="BX26" s="12">
        <f t="shared" si="18"/>
        <v>0</v>
      </c>
      <c r="BY26" s="12">
        <f t="shared" si="19"/>
        <v>2.9402782723039296E-3</v>
      </c>
    </row>
    <row r="27" spans="1:77" x14ac:dyDescent="0.3">
      <c r="A27" s="1">
        <v>46062</v>
      </c>
      <c r="B27" s="8">
        <v>42.25</v>
      </c>
      <c r="C27" s="8">
        <v>98.06</v>
      </c>
      <c r="D27" s="9">
        <v>6.1728591070807897E-3</v>
      </c>
      <c r="E27" s="9">
        <v>4.0874775895730102E-3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42.25</v>
      </c>
      <c r="M27" s="8">
        <v>98.06</v>
      </c>
      <c r="N27" s="10">
        <v>2.32094674556213</v>
      </c>
      <c r="O27" s="10">
        <v>2.3166568507100198</v>
      </c>
      <c r="P27" s="10">
        <v>2.3260334332274302</v>
      </c>
      <c r="Q27" s="10">
        <v>2.32749869173505</v>
      </c>
      <c r="R27" s="8">
        <v>97.878751942498297</v>
      </c>
      <c r="S27" s="8">
        <v>98.302646178313296</v>
      </c>
      <c r="T27" s="8">
        <v>98.375504910991097</v>
      </c>
      <c r="U27" s="9">
        <v>-1.8500486238784101E-3</v>
      </c>
      <c r="V27" s="9">
        <v>2.4714099808702998E-3</v>
      </c>
      <c r="W27" s="9">
        <v>3.2123030145608899E-3</v>
      </c>
      <c r="X27" s="10">
        <v>2.32094674556213</v>
      </c>
      <c r="Y27" s="10">
        <v>2.3166568507100198</v>
      </c>
      <c r="Z27" s="10">
        <v>2.3260334332274302</v>
      </c>
      <c r="AA27" s="10">
        <v>2.32749869173505</v>
      </c>
      <c r="AB27" s="8">
        <v>97.878751942498297</v>
      </c>
      <c r="AC27" s="8">
        <v>98.302646178313296</v>
      </c>
      <c r="AD27" s="8">
        <v>98.375504910991097</v>
      </c>
      <c r="AE27" s="9">
        <v>-1.8500486238784101E-3</v>
      </c>
      <c r="AF27" s="9">
        <v>2.4714099808702998E-3</v>
      </c>
      <c r="AG27" s="9">
        <v>3.2123030145608899E-3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1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2.9402782723039296E-3</v>
      </c>
      <c r="BX27" s="12">
        <f t="shared" si="18"/>
        <v>0</v>
      </c>
      <c r="BY27" s="12">
        <f t="shared" si="19"/>
        <v>2.9402782723039296E-3</v>
      </c>
    </row>
    <row r="28" spans="1:77" x14ac:dyDescent="0.3">
      <c r="A28" s="1">
        <v>46063</v>
      </c>
      <c r="B28" s="8">
        <v>42.84</v>
      </c>
      <c r="C28" s="8">
        <v>99.32</v>
      </c>
      <c r="D28" s="9">
        <v>1.3867891776365099E-2</v>
      </c>
      <c r="E28" s="9">
        <v>1.27674244168785E-2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42.84</v>
      </c>
      <c r="M28" s="8">
        <v>99.32</v>
      </c>
      <c r="N28" s="10">
        <v>2.3183940242763699</v>
      </c>
      <c r="O28" s="10">
        <v>2.3166568507100198</v>
      </c>
      <c r="P28" s="10">
        <v>2.3250728356550701</v>
      </c>
      <c r="Q28" s="10">
        <v>2.32661632500204</v>
      </c>
      <c r="R28" s="8">
        <v>99.245579484417206</v>
      </c>
      <c r="S28" s="8">
        <v>99.647272279463394</v>
      </c>
      <c r="T28" s="8">
        <v>99.710043953929599</v>
      </c>
      <c r="U28" s="9">
        <v>-7.4958126439169704E-4</v>
      </c>
      <c r="V28" s="9">
        <v>3.2897126332863298E-3</v>
      </c>
      <c r="W28" s="9">
        <v>3.9194530183063103E-3</v>
      </c>
      <c r="X28" s="10">
        <v>2.3183940242763699</v>
      </c>
      <c r="Y28" s="10">
        <v>2.3166568507100198</v>
      </c>
      <c r="Z28" s="10">
        <v>2.3250728356550701</v>
      </c>
      <c r="AA28" s="10">
        <v>2.32661632500204</v>
      </c>
      <c r="AB28" s="8">
        <v>99.245579484417206</v>
      </c>
      <c r="AC28" s="8">
        <v>99.647272279463394</v>
      </c>
      <c r="AD28" s="8">
        <v>99.710043953929599</v>
      </c>
      <c r="AE28" s="9">
        <v>-7.4958126439169704E-4</v>
      </c>
      <c r="AF28" s="9">
        <v>3.2897126332863298E-3</v>
      </c>
      <c r="AG28" s="9">
        <v>3.9194530183063103E-3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1</v>
      </c>
      <c r="BO28">
        <f t="shared" si="11"/>
        <v>0</v>
      </c>
      <c r="BP28">
        <f t="shared" si="12"/>
        <v>1</v>
      </c>
      <c r="BQ28">
        <f t="shared" si="1"/>
        <v>1</v>
      </c>
      <c r="BR28">
        <f t="shared" si="13"/>
        <v>1</v>
      </c>
      <c r="BS28" s="9">
        <f t="shared" si="14"/>
        <v>-1.3867891776365099E-2</v>
      </c>
      <c r="BT28" s="9">
        <f t="shared" si="15"/>
        <v>1.27674244168785E-2</v>
      </c>
      <c r="BU28" s="9">
        <f t="shared" si="16"/>
        <v>-1.1004673594865993E-3</v>
      </c>
      <c r="BV28" s="12">
        <f t="shared" si="17"/>
        <v>1.8398109128173303E-3</v>
      </c>
      <c r="BX28" s="12">
        <f t="shared" si="18"/>
        <v>-1.1004673594865993E-3</v>
      </c>
      <c r="BY28" s="12">
        <f t="shared" si="19"/>
        <v>1.8398109128173303E-3</v>
      </c>
    </row>
    <row r="29" spans="1:77" x14ac:dyDescent="0.3">
      <c r="A29" s="1">
        <v>46064</v>
      </c>
      <c r="B29" s="8">
        <v>42.8</v>
      </c>
      <c r="C29" s="8">
        <v>98.93</v>
      </c>
      <c r="D29" s="9">
        <v>-9.34142991797018E-4</v>
      </c>
      <c r="E29" s="9">
        <v>-3.9344313048345599E-3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42.8</v>
      </c>
      <c r="M29" s="8">
        <v>98.93</v>
      </c>
      <c r="N29" s="10">
        <v>2.3114485981308399</v>
      </c>
      <c r="O29" s="10">
        <v>2.3166568507100198</v>
      </c>
      <c r="P29" s="10">
        <v>2.3234637174999802</v>
      </c>
      <c r="Q29" s="10">
        <v>2.3256116720842499</v>
      </c>
      <c r="R29" s="8">
        <v>99.152913210388803</v>
      </c>
      <c r="S29" s="8">
        <v>99.513117366037207</v>
      </c>
      <c r="T29" s="8">
        <v>99.579178710087604</v>
      </c>
      <c r="U29" s="9">
        <v>2.2507070486456802E-3</v>
      </c>
      <c r="V29" s="9">
        <v>5.8769389647274203E-3</v>
      </c>
      <c r="W29" s="9">
        <v>6.5405643061077099E-3</v>
      </c>
      <c r="X29" s="10">
        <v>2.3114485981308399</v>
      </c>
      <c r="Y29" s="10">
        <v>2.3166568507100198</v>
      </c>
      <c r="Z29" s="10">
        <v>2.3234637174999802</v>
      </c>
      <c r="AA29" s="10">
        <v>2.3256116720842499</v>
      </c>
      <c r="AB29" s="8">
        <v>99.152913210388803</v>
      </c>
      <c r="AC29" s="8">
        <v>99.513117366037207</v>
      </c>
      <c r="AD29" s="8">
        <v>99.579178710087604</v>
      </c>
      <c r="AE29" s="9">
        <v>2.2507070486456802E-3</v>
      </c>
      <c r="AF29" s="9">
        <v>5.8769389647274203E-3</v>
      </c>
      <c r="AG29" s="9">
        <v>6.5405643061077099E-3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1</v>
      </c>
      <c r="BO29">
        <f t="shared" si="11"/>
        <v>0</v>
      </c>
      <c r="BP29">
        <f t="shared" si="12"/>
        <v>1</v>
      </c>
      <c r="BQ29">
        <f t="shared" si="1"/>
        <v>1</v>
      </c>
      <c r="BR29">
        <f t="shared" si="13"/>
        <v>1</v>
      </c>
      <c r="BS29" s="9">
        <f t="shared" si="14"/>
        <v>9.34142991797018E-4</v>
      </c>
      <c r="BT29" s="9">
        <f t="shared" si="15"/>
        <v>-3.9344313048345599E-3</v>
      </c>
      <c r="BU29" s="9">
        <f t="shared" si="16"/>
        <v>-3.0002883130375419E-3</v>
      </c>
      <c r="BV29" s="12">
        <f t="shared" si="17"/>
        <v>-1.1604774002202116E-3</v>
      </c>
      <c r="BX29" s="12">
        <f t="shared" si="18"/>
        <v>-3.0002883130375419E-3</v>
      </c>
      <c r="BY29" s="12">
        <f t="shared" si="19"/>
        <v>-1.1604774002202116E-3</v>
      </c>
    </row>
    <row r="30" spans="1:77" x14ac:dyDescent="0.3">
      <c r="A30" s="1">
        <v>46065</v>
      </c>
      <c r="B30" s="8">
        <v>42.87</v>
      </c>
      <c r="C30" s="8">
        <v>98.87</v>
      </c>
      <c r="D30" s="9">
        <v>1.6341780221346899E-3</v>
      </c>
      <c r="E30" s="9">
        <v>-6.0667342608958805E-4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42.87</v>
      </c>
      <c r="M30" s="8">
        <v>98.87</v>
      </c>
      <c r="N30" s="10">
        <v>2.3062747842313902</v>
      </c>
      <c r="O30" s="10">
        <v>2.3166568507100198</v>
      </c>
      <c r="P30" s="10">
        <v>2.3213863373299302</v>
      </c>
      <c r="Q30" s="10">
        <v>2.3245325627816902</v>
      </c>
      <c r="R30" s="8">
        <v>99.315079189938501</v>
      </c>
      <c r="S30" s="8">
        <v>99.606889569224194</v>
      </c>
      <c r="T30" s="8">
        <v>99.698972382251995</v>
      </c>
      <c r="U30" s="9">
        <v>4.4915584968698999E-3</v>
      </c>
      <c r="V30" s="9">
        <v>7.4254786709819498E-3</v>
      </c>
      <c r="W30" s="9">
        <v>8.3495139068562596E-3</v>
      </c>
      <c r="X30" s="10">
        <v>2.3062747842313902</v>
      </c>
      <c r="Y30" s="10">
        <v>2.3166568507100198</v>
      </c>
      <c r="Z30" s="10">
        <v>2.3213863373299302</v>
      </c>
      <c r="AA30" s="10">
        <v>2.3245325627816902</v>
      </c>
      <c r="AB30" s="8">
        <v>99.315079189938501</v>
      </c>
      <c r="AC30" s="8">
        <v>99.606889569224194</v>
      </c>
      <c r="AD30" s="8">
        <v>99.698972382251995</v>
      </c>
      <c r="AE30" s="9">
        <v>4.4915584968698999E-3</v>
      </c>
      <c r="AF30" s="9">
        <v>7.4254786709819498E-3</v>
      </c>
      <c r="AG30" s="9">
        <v>8.3495139068562596E-3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1</v>
      </c>
      <c r="BO30">
        <f t="shared" si="11"/>
        <v>0</v>
      </c>
      <c r="BP30">
        <f t="shared" si="12"/>
        <v>1</v>
      </c>
      <c r="BQ30">
        <f t="shared" si="1"/>
        <v>1</v>
      </c>
      <c r="BR30">
        <f t="shared" si="13"/>
        <v>1</v>
      </c>
      <c r="BS30" s="9">
        <f t="shared" si="14"/>
        <v>-1.6341780221346899E-3</v>
      </c>
      <c r="BT30" s="9">
        <f t="shared" si="15"/>
        <v>-6.0667342608958805E-4</v>
      </c>
      <c r="BU30" s="9">
        <f t="shared" si="16"/>
        <v>-2.2408514482242779E-3</v>
      </c>
      <c r="BV30" s="12">
        <f t="shared" si="17"/>
        <v>-3.4013288484444895E-3</v>
      </c>
      <c r="BX30" s="12">
        <f t="shared" si="18"/>
        <v>-2.2408514482242779E-3</v>
      </c>
      <c r="BY30" s="12">
        <f t="shared" si="19"/>
        <v>-3.4013288484444895E-3</v>
      </c>
    </row>
    <row r="31" spans="1:77" x14ac:dyDescent="0.3">
      <c r="A31" s="1">
        <v>46066</v>
      </c>
      <c r="B31" s="8">
        <v>43.5</v>
      </c>
      <c r="C31" s="8">
        <v>100.22</v>
      </c>
      <c r="D31" s="9">
        <v>1.4588657484752601E-2</v>
      </c>
      <c r="E31" s="9">
        <v>1.3561913622536999E-2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43.5</v>
      </c>
      <c r="M31" s="8">
        <v>100.22</v>
      </c>
      <c r="N31" s="10">
        <v>2.30390804597701</v>
      </c>
      <c r="O31" s="10">
        <v>2.3166568507100198</v>
      </c>
      <c r="P31" s="10">
        <v>2.3195541151354599</v>
      </c>
      <c r="Q31" s="10">
        <v>2.3233850394210598</v>
      </c>
      <c r="R31" s="8">
        <v>100.774573005885</v>
      </c>
      <c r="S31" s="8">
        <v>100.980305673852</v>
      </c>
      <c r="T31" s="8">
        <v>101.117166481003</v>
      </c>
      <c r="U31" s="9">
        <v>5.51830235908575E-3</v>
      </c>
      <c r="V31" s="9">
        <v>7.5577349678157997E-3</v>
      </c>
      <c r="W31" s="9">
        <v>8.9121391235283901E-3</v>
      </c>
      <c r="X31" s="10">
        <v>2.30390804597701</v>
      </c>
      <c r="Y31" s="10">
        <v>2.3166568507100198</v>
      </c>
      <c r="Z31" s="10">
        <v>2.3195541151354599</v>
      </c>
      <c r="AA31" s="10">
        <v>2.3233850394210598</v>
      </c>
      <c r="AB31" s="8">
        <v>100.774573005885</v>
      </c>
      <c r="AC31" s="8">
        <v>100.980305673852</v>
      </c>
      <c r="AD31" s="8">
        <v>101.117166481003</v>
      </c>
      <c r="AE31" s="9">
        <v>5.51830235908575E-3</v>
      </c>
      <c r="AF31" s="9">
        <v>7.5577349678157997E-3</v>
      </c>
      <c r="AG31" s="9">
        <v>8.9121391235283901E-3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-1.4588657484752601E-2</v>
      </c>
      <c r="BT31" s="9">
        <f t="shared" si="15"/>
        <v>1.3561913622536999E-2</v>
      </c>
      <c r="BU31" s="9">
        <f t="shared" si="16"/>
        <v>-1.0267438622156011E-3</v>
      </c>
      <c r="BV31" s="12">
        <f t="shared" si="17"/>
        <v>-4.4280727106600906E-3</v>
      </c>
      <c r="BX31" s="12">
        <f t="shared" si="18"/>
        <v>-1.0267438622156011E-3</v>
      </c>
      <c r="BY31" s="12">
        <f t="shared" si="19"/>
        <v>-4.4280727106600906E-3</v>
      </c>
    </row>
    <row r="32" spans="1:77" x14ac:dyDescent="0.3">
      <c r="A32" s="1">
        <v>46070</v>
      </c>
      <c r="B32" s="8">
        <v>43.94</v>
      </c>
      <c r="C32" s="8">
        <v>101.21</v>
      </c>
      <c r="D32" s="9">
        <v>1.00641288618257E-2</v>
      </c>
      <c r="E32" s="9">
        <v>9.8297966692312694E-3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43.94</v>
      </c>
      <c r="M32" s="8">
        <v>101.21</v>
      </c>
      <c r="N32" s="10">
        <v>2.3033682294037301</v>
      </c>
      <c r="O32" s="10">
        <v>2.3166568507100198</v>
      </c>
      <c r="P32" s="10">
        <v>2.3173958208883301</v>
      </c>
      <c r="Q32" s="10">
        <v>2.3221000038407902</v>
      </c>
      <c r="R32" s="8">
        <v>101.793902020198</v>
      </c>
      <c r="S32" s="8">
        <v>101.921207819052</v>
      </c>
      <c r="T32" s="8">
        <v>102.08953863216099</v>
      </c>
      <c r="U32" s="9">
        <v>5.7526345516803199E-3</v>
      </c>
      <c r="V32" s="9">
        <v>7.0024762107149504E-3</v>
      </c>
      <c r="W32" s="9">
        <v>8.6526917433554004E-3</v>
      </c>
      <c r="X32" s="10">
        <v>2.3033682294037301</v>
      </c>
      <c r="Y32" s="10">
        <v>2.3166568507100198</v>
      </c>
      <c r="Z32" s="10">
        <v>2.3173958208883301</v>
      </c>
      <c r="AA32" s="10">
        <v>2.3221000038407902</v>
      </c>
      <c r="AB32" s="8">
        <v>101.793902020198</v>
      </c>
      <c r="AC32" s="8">
        <v>101.921207819052</v>
      </c>
      <c r="AD32" s="8">
        <v>102.08953863216099</v>
      </c>
      <c r="AE32" s="9">
        <v>5.7526345516803199E-3</v>
      </c>
      <c r="AF32" s="9">
        <v>7.0024762107149504E-3</v>
      </c>
      <c r="AG32" s="9">
        <v>8.6526917433554004E-3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-1.00641288618257E-2</v>
      </c>
      <c r="BT32" s="9">
        <f t="shared" si="15"/>
        <v>9.8297966692312694E-3</v>
      </c>
      <c r="BU32" s="9">
        <f t="shared" si="16"/>
        <v>-2.3433219259443028E-4</v>
      </c>
      <c r="BV32" s="12">
        <f t="shared" si="17"/>
        <v>-4.6624049032545209E-3</v>
      </c>
      <c r="BX32" s="12">
        <f t="shared" si="18"/>
        <v>-2.3433219259443028E-4</v>
      </c>
      <c r="BY32" s="12">
        <f t="shared" si="19"/>
        <v>-4.6624049032545209E-3</v>
      </c>
    </row>
    <row r="33" spans="1:77" x14ac:dyDescent="0.3">
      <c r="A33" s="1">
        <v>46071</v>
      </c>
      <c r="B33" s="8">
        <v>43.35</v>
      </c>
      <c r="C33" s="8">
        <v>100.01</v>
      </c>
      <c r="D33" s="9">
        <v>-1.35183637299132E-2</v>
      </c>
      <c r="E33" s="9">
        <v>-1.1927385212385001E-2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43.35</v>
      </c>
      <c r="M33" s="8">
        <v>100.01</v>
      </c>
      <c r="N33" s="10">
        <v>2.30703575547866</v>
      </c>
      <c r="O33" s="10">
        <v>2.3166568507100198</v>
      </c>
      <c r="P33" s="10">
        <v>2.3153133145935101</v>
      </c>
      <c r="Q33" s="10">
        <v>2.3210145935470901</v>
      </c>
      <c r="R33" s="8">
        <v>100.427074478279</v>
      </c>
      <c r="S33" s="8">
        <v>100.459108835509</v>
      </c>
      <c r="T33" s="8">
        <v>100.66303516649801</v>
      </c>
      <c r="U33" s="9">
        <v>4.1616560341522302E-3</v>
      </c>
      <c r="V33" s="9">
        <v>4.4805864550802503E-3</v>
      </c>
      <c r="W33" s="9">
        <v>6.5084725626520503E-3</v>
      </c>
      <c r="X33" s="10">
        <v>2.30703575547866</v>
      </c>
      <c r="Y33" s="10">
        <v>2.3166568507100198</v>
      </c>
      <c r="Z33" s="10">
        <v>2.3153133145935101</v>
      </c>
      <c r="AA33" s="10">
        <v>2.3210145935470901</v>
      </c>
      <c r="AB33" s="8">
        <v>100.427074478279</v>
      </c>
      <c r="AC33" s="8">
        <v>100.459108835509</v>
      </c>
      <c r="AD33" s="8">
        <v>100.66303516649801</v>
      </c>
      <c r="AE33" s="9">
        <v>4.1616560341522302E-3</v>
      </c>
      <c r="AF33" s="9">
        <v>4.4805864550802503E-3</v>
      </c>
      <c r="AG33" s="9">
        <v>6.5084725626520503E-3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1.35183637299132E-2</v>
      </c>
      <c r="BT33" s="9">
        <f t="shared" si="15"/>
        <v>-1.1927385212385001E-2</v>
      </c>
      <c r="BU33" s="9">
        <f t="shared" si="16"/>
        <v>1.590978517528199E-3</v>
      </c>
      <c r="BV33" s="12">
        <f t="shared" si="17"/>
        <v>-3.0714263857263219E-3</v>
      </c>
      <c r="BX33" s="12">
        <f t="shared" si="18"/>
        <v>1.590978517528199E-3</v>
      </c>
      <c r="BY33" s="12">
        <f t="shared" si="19"/>
        <v>-3.0714263857263219E-3</v>
      </c>
    </row>
    <row r="34" spans="1:77" x14ac:dyDescent="0.3">
      <c r="A34" s="1">
        <v>46072</v>
      </c>
      <c r="B34" s="8">
        <v>43.2</v>
      </c>
      <c r="C34" s="8">
        <v>99.83</v>
      </c>
      <c r="D34" s="9">
        <v>-3.4662079764861699E-3</v>
      </c>
      <c r="E34" s="9">
        <v>-1.8014416400909199E-3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43.2</v>
      </c>
      <c r="M34" s="8">
        <v>99.83</v>
      </c>
      <c r="N34" s="10">
        <v>2.3108796296296199</v>
      </c>
      <c r="O34" s="10">
        <v>2.3166568507100198</v>
      </c>
      <c r="P34" s="10">
        <v>2.3139844902916402</v>
      </c>
      <c r="Q34" s="10">
        <v>2.3202529191922299</v>
      </c>
      <c r="R34" s="8">
        <v>100.07957595067199</v>
      </c>
      <c r="S34" s="8">
        <v>100.021535190439</v>
      </c>
      <c r="T34" s="8">
        <v>100.267830441234</v>
      </c>
      <c r="U34" s="9">
        <v>2.4968896977567399E-3</v>
      </c>
      <c r="V34" s="9">
        <v>1.91677535926303E-3</v>
      </c>
      <c r="W34" s="9">
        <v>4.3761707861098304E-3</v>
      </c>
      <c r="X34" s="10">
        <v>2.3108796296296199</v>
      </c>
      <c r="Y34" s="10">
        <v>2.3166568507100198</v>
      </c>
      <c r="Z34" s="10">
        <v>2.3139844902916402</v>
      </c>
      <c r="AA34" s="10">
        <v>2.3202529191922299</v>
      </c>
      <c r="AB34" s="8">
        <v>100.07957595067199</v>
      </c>
      <c r="AC34" s="8">
        <v>100.021535190439</v>
      </c>
      <c r="AD34" s="8">
        <v>100.267830441234</v>
      </c>
      <c r="AE34" s="9">
        <v>2.4968896977567399E-3</v>
      </c>
      <c r="AF34" s="9">
        <v>1.91677535926303E-3</v>
      </c>
      <c r="AG34" s="9">
        <v>4.3761707861098304E-3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3.4662079764861699E-3</v>
      </c>
      <c r="BT34" s="9">
        <f t="shared" si="15"/>
        <v>-1.8014416400909199E-3</v>
      </c>
      <c r="BU34" s="9">
        <f t="shared" si="16"/>
        <v>1.66476633639525E-3</v>
      </c>
      <c r="BV34" s="12">
        <f t="shared" si="17"/>
        <v>-1.4066600493310719E-3</v>
      </c>
      <c r="BX34" s="12">
        <f t="shared" si="18"/>
        <v>1.66476633639525E-3</v>
      </c>
      <c r="BY34" s="12">
        <f t="shared" si="19"/>
        <v>-1.4066600493310719E-3</v>
      </c>
    </row>
    <row r="35" spans="1:77" x14ac:dyDescent="0.3">
      <c r="A35" s="1">
        <v>46073</v>
      </c>
      <c r="B35" s="8">
        <v>43.56</v>
      </c>
      <c r="C35" s="8">
        <v>100.54</v>
      </c>
      <c r="D35" s="9">
        <v>8.2988028146950606E-3</v>
      </c>
      <c r="E35" s="9">
        <v>7.08691891609533E-3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43.56</v>
      </c>
      <c r="M35" s="8">
        <v>100.54</v>
      </c>
      <c r="N35" s="10">
        <v>2.3080808080808</v>
      </c>
      <c r="O35" s="10">
        <v>2.3166568507100198</v>
      </c>
      <c r="P35" s="10">
        <v>2.31161284759742</v>
      </c>
      <c r="Q35" s="10">
        <v>2.3192738774377899</v>
      </c>
      <c r="R35" s="8">
        <v>100.91357241692801</v>
      </c>
      <c r="S35" s="8">
        <v>100.797164397104</v>
      </c>
      <c r="T35" s="8">
        <v>101.070217160013</v>
      </c>
      <c r="U35" s="9">
        <v>3.7087735963564502E-3</v>
      </c>
      <c r="V35" s="9">
        <v>2.5545659960446699E-3</v>
      </c>
      <c r="W35" s="9">
        <v>5.2598364298437504E-3</v>
      </c>
      <c r="X35" s="10">
        <v>2.3080808080808</v>
      </c>
      <c r="Y35" s="10">
        <v>2.3166568507100198</v>
      </c>
      <c r="Z35" s="10">
        <v>2.31161284759742</v>
      </c>
      <c r="AA35" s="10">
        <v>2.3192738774377899</v>
      </c>
      <c r="AB35" s="8">
        <v>100.91357241692801</v>
      </c>
      <c r="AC35" s="8">
        <v>100.797164397104</v>
      </c>
      <c r="AD35" s="8">
        <v>101.070217160013</v>
      </c>
      <c r="AE35" s="9">
        <v>3.7087735963564502E-3</v>
      </c>
      <c r="AF35" s="9">
        <v>2.5545659960446699E-3</v>
      </c>
      <c r="AG35" s="9">
        <v>5.2598364298437504E-3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-8.2988028146950606E-3</v>
      </c>
      <c r="BT35" s="9">
        <f t="shared" si="15"/>
        <v>7.08691891609533E-3</v>
      </c>
      <c r="BU35" s="9">
        <f t="shared" si="16"/>
        <v>-1.2118838985997306E-3</v>
      </c>
      <c r="BV35" s="12">
        <f t="shared" si="17"/>
        <v>-2.6185439479308025E-3</v>
      </c>
      <c r="BX35" s="12">
        <f t="shared" si="18"/>
        <v>-1.2118838985997306E-3</v>
      </c>
      <c r="BY35" s="12">
        <f t="shared" si="19"/>
        <v>-2.6185439479308025E-3</v>
      </c>
    </row>
    <row r="36" spans="1:77" x14ac:dyDescent="0.3">
      <c r="A36" s="1">
        <v>46076</v>
      </c>
      <c r="B36" s="8">
        <v>43.61</v>
      </c>
      <c r="C36" s="8">
        <v>100.51</v>
      </c>
      <c r="D36" s="9">
        <v>1.1471837899152499E-3</v>
      </c>
      <c r="E36" s="9">
        <v>-2.9843322778069602E-4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43.61</v>
      </c>
      <c r="M36" s="8">
        <v>100.51</v>
      </c>
      <c r="N36" s="10">
        <v>2.3047466177482199</v>
      </c>
      <c r="O36" s="10">
        <v>2.3166568507100198</v>
      </c>
      <c r="P36" s="10">
        <v>2.3095083238518801</v>
      </c>
      <c r="Q36" s="10">
        <v>2.31809908711308</v>
      </c>
      <c r="R36" s="8">
        <v>101.029405259463</v>
      </c>
      <c r="S36" s="8">
        <v>100.809436283723</v>
      </c>
      <c r="T36" s="8">
        <v>101.143533795062</v>
      </c>
      <c r="U36" s="9">
        <v>5.1543906140524599E-3</v>
      </c>
      <c r="V36" s="9">
        <v>2.9747401449382802E-3</v>
      </c>
      <c r="W36" s="9">
        <v>6.28340964355289E-3</v>
      </c>
      <c r="X36" s="10">
        <v>2.3047466177482199</v>
      </c>
      <c r="Y36" s="10">
        <v>2.3166568507100198</v>
      </c>
      <c r="Z36" s="10">
        <v>2.3095083238518801</v>
      </c>
      <c r="AA36" s="10">
        <v>2.31809908711308</v>
      </c>
      <c r="AB36" s="8">
        <v>101.029405259463</v>
      </c>
      <c r="AC36" s="8">
        <v>100.809436283723</v>
      </c>
      <c r="AD36" s="8">
        <v>101.143533795062</v>
      </c>
      <c r="AE36" s="9">
        <v>5.1543906140524599E-3</v>
      </c>
      <c r="AF36" s="9">
        <v>2.9747401449382802E-3</v>
      </c>
      <c r="AG36" s="9">
        <v>6.28340964355289E-3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-1.1471837899152499E-3</v>
      </c>
      <c r="BT36" s="9">
        <f t="shared" si="15"/>
        <v>-2.9843322778069602E-4</v>
      </c>
      <c r="BU36" s="9">
        <f t="shared" si="16"/>
        <v>-1.445617017695946E-3</v>
      </c>
      <c r="BV36" s="12">
        <f t="shared" si="17"/>
        <v>-4.0641609656267485E-3</v>
      </c>
      <c r="BX36" s="12">
        <f t="shared" si="18"/>
        <v>-1.445617017695946E-3</v>
      </c>
      <c r="BY36" s="12">
        <f t="shared" si="19"/>
        <v>-4.0641609656267485E-3</v>
      </c>
    </row>
    <row r="37" spans="1:77" x14ac:dyDescent="0.3">
      <c r="A37" s="1">
        <v>46077</v>
      </c>
      <c r="B37" s="8">
        <v>43.73</v>
      </c>
      <c r="C37" s="8">
        <v>100.76</v>
      </c>
      <c r="D37" s="9">
        <v>2.7478835701541899E-3</v>
      </c>
      <c r="E37" s="9">
        <v>2.4842264477610001E-3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43.73</v>
      </c>
      <c r="M37" s="8">
        <v>100.76</v>
      </c>
      <c r="N37" s="10">
        <v>2.3041390349874198</v>
      </c>
      <c r="O37" s="10">
        <v>2.3166568507100198</v>
      </c>
      <c r="P37" s="10">
        <v>2.3078275527944099</v>
      </c>
      <c r="Q37" s="10">
        <v>2.3169304930109198</v>
      </c>
      <c r="R37" s="8">
        <v>101.307404081549</v>
      </c>
      <c r="S37" s="8">
        <v>100.994799002042</v>
      </c>
      <c r="T37" s="8">
        <v>101.370473079455</v>
      </c>
      <c r="U37" s="9">
        <v>5.4180477364457599E-3</v>
      </c>
      <c r="V37" s="9">
        <v>2.3275690016558502E-3</v>
      </c>
      <c r="W37" s="9">
        <v>6.0404047575966799E-3</v>
      </c>
      <c r="X37" s="10">
        <v>2.3041390349874198</v>
      </c>
      <c r="Y37" s="10">
        <v>2.3166568507100198</v>
      </c>
      <c r="Z37" s="10">
        <v>2.3078275527944099</v>
      </c>
      <c r="AA37" s="10">
        <v>2.3169304930109198</v>
      </c>
      <c r="AB37" s="8">
        <v>101.307404081549</v>
      </c>
      <c r="AC37" s="8">
        <v>100.994799002042</v>
      </c>
      <c r="AD37" s="8">
        <v>101.370473079455</v>
      </c>
      <c r="AE37" s="9">
        <v>5.4180477364457599E-3</v>
      </c>
      <c r="AF37" s="9">
        <v>2.3275690016558502E-3</v>
      </c>
      <c r="AG37" s="9">
        <v>6.0404047575966799E-3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-2.7478835701541899E-3</v>
      </c>
      <c r="BT37" s="9">
        <f t="shared" si="15"/>
        <v>2.4842264477610001E-3</v>
      </c>
      <c r="BU37" s="9">
        <f t="shared" si="16"/>
        <v>-2.6365712239318981E-4</v>
      </c>
      <c r="BV37" s="12">
        <f t="shared" si="17"/>
        <v>-4.3278180880199383E-3</v>
      </c>
      <c r="BX37" s="12">
        <f t="shared" si="18"/>
        <v>-2.6365712239318981E-4</v>
      </c>
      <c r="BY37" s="12">
        <f t="shared" si="19"/>
        <v>-4.3278180880199383E-3</v>
      </c>
    </row>
    <row r="38" spans="1:77" x14ac:dyDescent="0.3">
      <c r="A38" s="1">
        <v>46078</v>
      </c>
      <c r="B38" s="8">
        <v>43.44</v>
      </c>
      <c r="C38" s="8">
        <v>100.37</v>
      </c>
      <c r="D38" s="9">
        <v>-6.6536897991491999E-3</v>
      </c>
      <c r="E38" s="9">
        <v>-3.8780936587004501E-3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43.44</v>
      </c>
      <c r="M38" s="8">
        <v>100.37</v>
      </c>
      <c r="N38" s="10">
        <v>2.3105432780847099</v>
      </c>
      <c r="O38" s="10">
        <v>2.3166568507100198</v>
      </c>
      <c r="P38" s="10">
        <v>2.3070424781752399</v>
      </c>
      <c r="Q38" s="10">
        <v>2.3160576569151599</v>
      </c>
      <c r="R38" s="8">
        <v>100.635573594843</v>
      </c>
      <c r="S38" s="8">
        <v>100.252028893389</v>
      </c>
      <c r="T38" s="8">
        <v>100.647460616394</v>
      </c>
      <c r="U38" s="9">
        <v>2.6424515959969498E-3</v>
      </c>
      <c r="V38" s="9">
        <v>-1.1760535057761699E-3</v>
      </c>
      <c r="W38" s="9">
        <v>2.7605640997326402E-3</v>
      </c>
      <c r="X38" s="10">
        <v>2.3105432780847099</v>
      </c>
      <c r="Y38" s="10">
        <v>2.3166568507100198</v>
      </c>
      <c r="Z38" s="10">
        <v>2.3070424781752399</v>
      </c>
      <c r="AA38" s="10">
        <v>2.3160576569151599</v>
      </c>
      <c r="AB38" s="8">
        <v>100.635573594843</v>
      </c>
      <c r="AC38" s="8">
        <v>100.252028893389</v>
      </c>
      <c r="AD38" s="8">
        <v>100.647460616394</v>
      </c>
      <c r="AE38" s="9">
        <v>2.6424515959969498E-3</v>
      </c>
      <c r="AF38" s="9">
        <v>-1.1760535057761699E-3</v>
      </c>
      <c r="AG38" s="9">
        <v>2.7605640997326402E-3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6.6536897991491999E-3</v>
      </c>
      <c r="BT38" s="9">
        <f t="shared" si="15"/>
        <v>-3.8780936587004501E-3</v>
      </c>
      <c r="BU38" s="9">
        <f t="shared" si="16"/>
        <v>2.7755961404487498E-3</v>
      </c>
      <c r="BV38" s="12">
        <f t="shared" si="17"/>
        <v>-1.5522219475711885E-3</v>
      </c>
      <c r="BX38" s="12">
        <f t="shared" si="18"/>
        <v>2.7755961404487498E-3</v>
      </c>
      <c r="BY38" s="12">
        <f t="shared" si="19"/>
        <v>-1.5522219475711885E-3</v>
      </c>
    </row>
    <row r="39" spans="1:77" x14ac:dyDescent="0.3">
      <c r="A39" s="1">
        <v>46079</v>
      </c>
      <c r="B39" s="8">
        <v>43.63</v>
      </c>
      <c r="C39" s="8">
        <v>101.05</v>
      </c>
      <c r="D39" s="9">
        <v>4.3643115098383704E-3</v>
      </c>
      <c r="E39" s="9">
        <v>6.75208602392109E-3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43.63</v>
      </c>
      <c r="M39" s="8">
        <v>101.05</v>
      </c>
      <c r="N39" s="10">
        <v>2.3160669264267701</v>
      </c>
      <c r="O39" s="10">
        <v>2.3166568507100198</v>
      </c>
      <c r="P39" s="10">
        <v>2.3075043110048301</v>
      </c>
      <c r="Q39" s="10">
        <v>2.31548401425241</v>
      </c>
      <c r="R39" s="8">
        <v>101.075738396478</v>
      </c>
      <c r="S39" s="8">
        <v>100.65626332278499</v>
      </c>
      <c r="T39" s="8">
        <v>101.049595571208</v>
      </c>
      <c r="U39" s="9">
        <v>2.54677081914216E-4</v>
      </c>
      <c r="V39" s="9">
        <v>-3.9040649589149202E-3</v>
      </c>
      <c r="W39" s="9">
        <v>-4.0022721512915497E-6</v>
      </c>
      <c r="X39" s="10">
        <v>2.3160669264267701</v>
      </c>
      <c r="Y39" s="10">
        <v>2.3166568507100198</v>
      </c>
      <c r="Z39" s="10">
        <v>2.3075043110048301</v>
      </c>
      <c r="AA39" s="10">
        <v>2.31548401425241</v>
      </c>
      <c r="AB39" s="8">
        <v>101.075738396478</v>
      </c>
      <c r="AC39" s="8">
        <v>100.65626332278499</v>
      </c>
      <c r="AD39" s="8">
        <v>101.049595571208</v>
      </c>
      <c r="AE39" s="9">
        <v>2.54677081914216E-4</v>
      </c>
      <c r="AF39" s="9">
        <v>-3.9040649589149202E-3</v>
      </c>
      <c r="AG39" s="9">
        <v>-4.0022721512915497E-6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1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-4.3643115098383704E-3</v>
      </c>
      <c r="BT39" s="9">
        <f t="shared" si="15"/>
        <v>6.75208602392109E-3</v>
      </c>
      <c r="BU39" s="9">
        <f t="shared" si="16"/>
        <v>2.3877745140827196E-3</v>
      </c>
      <c r="BV39" s="12">
        <f t="shared" si="17"/>
        <v>8.3555256651153108E-4</v>
      </c>
      <c r="BX39" s="12">
        <f t="shared" si="18"/>
        <v>2.3877745140827196E-3</v>
      </c>
      <c r="BY39" s="12">
        <f t="shared" si="19"/>
        <v>8.3555256651153108E-4</v>
      </c>
    </row>
    <row r="40" spans="1:77" x14ac:dyDescent="0.3">
      <c r="A40" s="1">
        <v>46080</v>
      </c>
      <c r="B40" s="8">
        <v>43.84</v>
      </c>
      <c r="C40" s="8">
        <v>101.28</v>
      </c>
      <c r="D40" s="9">
        <v>4.8016555042419799E-3</v>
      </c>
      <c r="E40" s="9">
        <v>2.2735145462360298E-3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43.84</v>
      </c>
      <c r="M40" s="8">
        <v>101.28</v>
      </c>
      <c r="N40" s="10">
        <v>2.3102189781021898</v>
      </c>
      <c r="O40" s="10">
        <v>2.3166568507100198</v>
      </c>
      <c r="P40" s="10">
        <v>2.3078987303919098</v>
      </c>
      <c r="Q40" s="10">
        <v>2.31464253386092</v>
      </c>
      <c r="R40" s="8">
        <v>101.562236335127</v>
      </c>
      <c r="S40" s="8">
        <v>101.160988994452</v>
      </c>
      <c r="T40" s="8">
        <v>101.510819184825</v>
      </c>
      <c r="U40" s="9">
        <v>2.78281803992013E-3</v>
      </c>
      <c r="V40" s="9">
        <v>-1.17576010519677E-3</v>
      </c>
      <c r="W40" s="9">
        <v>2.2764273592980398E-3</v>
      </c>
      <c r="X40" s="10">
        <v>2.3102189781021898</v>
      </c>
      <c r="Y40" s="10">
        <v>2.3166568507100198</v>
      </c>
      <c r="Z40" s="10">
        <v>2.3078987303919098</v>
      </c>
      <c r="AA40" s="10">
        <v>2.31464253386092</v>
      </c>
      <c r="AB40" s="8">
        <v>101.562236335127</v>
      </c>
      <c r="AC40" s="8">
        <v>101.160988994452</v>
      </c>
      <c r="AD40" s="8">
        <v>101.510819184825</v>
      </c>
      <c r="AE40" s="9">
        <v>2.78281803992013E-3</v>
      </c>
      <c r="AF40" s="9">
        <v>-1.17576010519677E-3</v>
      </c>
      <c r="AG40" s="9">
        <v>2.2764273592980398E-3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1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8.3555256651153108E-4</v>
      </c>
      <c r="BX40" s="12">
        <f t="shared" si="18"/>
        <v>0</v>
      </c>
      <c r="BY40" s="12">
        <f t="shared" si="19"/>
        <v>8.3555256651153108E-4</v>
      </c>
    </row>
    <row r="41" spans="1:77" x14ac:dyDescent="0.3">
      <c r="A41" s="1">
        <v>46083</v>
      </c>
      <c r="B41" s="8">
        <v>43.92</v>
      </c>
      <c r="C41" s="8">
        <v>101.54</v>
      </c>
      <c r="D41" s="9">
        <v>1.82315456151495E-3</v>
      </c>
      <c r="E41" s="9">
        <v>2.5638511233822998E-3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43.92</v>
      </c>
      <c r="M41" s="8">
        <v>101.54</v>
      </c>
      <c r="N41" s="10">
        <v>2.31193078324225</v>
      </c>
      <c r="O41" s="10">
        <v>2.3166568507100198</v>
      </c>
      <c r="P41" s="10">
        <v>2.3087010041184399</v>
      </c>
      <c r="Q41" s="10">
        <v>2.3141275596269502</v>
      </c>
      <c r="R41" s="8">
        <v>101.747568883184</v>
      </c>
      <c r="S41" s="8">
        <v>101.362912238812</v>
      </c>
      <c r="T41" s="8">
        <v>101.659100087171</v>
      </c>
      <c r="U41" s="9">
        <v>2.0421214780529202E-3</v>
      </c>
      <c r="V41" s="9">
        <v>-1.7455422812553199E-3</v>
      </c>
      <c r="W41" s="9">
        <v>1.1722502782688E-3</v>
      </c>
      <c r="X41" s="10">
        <v>2.31193078324225</v>
      </c>
      <c r="Y41" s="10">
        <v>2.3166568507100198</v>
      </c>
      <c r="Z41" s="10">
        <v>2.3087010041184399</v>
      </c>
      <c r="AA41" s="10">
        <v>2.3141275596269502</v>
      </c>
      <c r="AB41" s="8">
        <v>101.747568883184</v>
      </c>
      <c r="AC41" s="8">
        <v>101.362912238812</v>
      </c>
      <c r="AD41" s="8">
        <v>101.659100087171</v>
      </c>
      <c r="AE41" s="9">
        <v>2.0421214780529202E-3</v>
      </c>
      <c r="AF41" s="9">
        <v>-1.7455422812553199E-3</v>
      </c>
      <c r="AG41" s="9">
        <v>1.1722502782688E-3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-1.82315456151495E-3</v>
      </c>
      <c r="BT41" s="9">
        <f t="shared" si="15"/>
        <v>2.5638511233822998E-3</v>
      </c>
      <c r="BU41" s="9">
        <f t="shared" si="16"/>
        <v>7.4069656186734984E-4</v>
      </c>
      <c r="BV41" s="12">
        <f t="shared" si="17"/>
        <v>1.5762491283788809E-3</v>
      </c>
      <c r="BX41" s="12">
        <f t="shared" si="18"/>
        <v>7.4069656186734984E-4</v>
      </c>
      <c r="BY41" s="12">
        <f t="shared" si="19"/>
        <v>1.5762491283788809E-3</v>
      </c>
    </row>
    <row r="42" spans="1:77" x14ac:dyDescent="0.3">
      <c r="A42" s="1">
        <v>46084</v>
      </c>
      <c r="B42" s="8">
        <v>43.7</v>
      </c>
      <c r="C42" s="8">
        <v>100.96</v>
      </c>
      <c r="D42" s="9">
        <v>-5.0216950997307398E-3</v>
      </c>
      <c r="E42" s="9">
        <v>-5.7284107263453803E-3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43.7</v>
      </c>
      <c r="M42" s="8">
        <v>100.96</v>
      </c>
      <c r="N42" s="10">
        <v>2.31029748283752</v>
      </c>
      <c r="O42" s="10">
        <v>2.3166568507100198</v>
      </c>
      <c r="P42" s="10">
        <v>2.30939392946182</v>
      </c>
      <c r="Q42" s="10">
        <v>2.3133948751750699</v>
      </c>
      <c r="R42" s="8">
        <v>101.237904376027</v>
      </c>
      <c r="S42" s="8">
        <v>100.890233879975</v>
      </c>
      <c r="T42" s="8">
        <v>101.127374355697</v>
      </c>
      <c r="U42" s="9">
        <v>2.7488371046675698E-3</v>
      </c>
      <c r="V42" s="9">
        <v>-6.9126620723902895E-4</v>
      </c>
      <c r="W42" s="9">
        <v>1.65645572369065E-3</v>
      </c>
      <c r="X42" s="10">
        <v>2.31029748283752</v>
      </c>
      <c r="Y42" s="10">
        <v>2.3166568507100198</v>
      </c>
      <c r="Z42" s="10">
        <v>2.30939392946182</v>
      </c>
      <c r="AA42" s="10">
        <v>2.3133948751750699</v>
      </c>
      <c r="AB42" s="8">
        <v>101.237904376027</v>
      </c>
      <c r="AC42" s="8">
        <v>100.890233879975</v>
      </c>
      <c r="AD42" s="8">
        <v>101.127374355697</v>
      </c>
      <c r="AE42" s="9">
        <v>2.7488371046675698E-3</v>
      </c>
      <c r="AF42" s="9">
        <v>-6.9126620723902895E-4</v>
      </c>
      <c r="AG42" s="9">
        <v>1.65645572369065E-3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5.0216950997307398E-3</v>
      </c>
      <c r="BT42" s="9">
        <f t="shared" si="15"/>
        <v>-5.7284107263453803E-3</v>
      </c>
      <c r="BU42" s="9">
        <f t="shared" si="16"/>
        <v>-7.067156266146405E-4</v>
      </c>
      <c r="BV42" s="12">
        <f t="shared" si="17"/>
        <v>8.6953350176424042E-4</v>
      </c>
      <c r="BX42" s="12">
        <f t="shared" si="18"/>
        <v>-7.067156266146405E-4</v>
      </c>
      <c r="BY42" s="12">
        <f t="shared" si="19"/>
        <v>8.6953350176424042E-4</v>
      </c>
    </row>
    <row r="43" spans="1:77" x14ac:dyDescent="0.3">
      <c r="A43" s="1">
        <v>46085</v>
      </c>
      <c r="B43" s="8">
        <v>43.76</v>
      </c>
      <c r="C43" s="8">
        <v>101.06</v>
      </c>
      <c r="D43" s="9">
        <v>1.37205601218113E-3</v>
      </c>
      <c r="E43" s="9">
        <v>9.9000107085968803E-4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43.76</v>
      </c>
      <c r="M43" s="8">
        <v>101.06</v>
      </c>
      <c r="N43" s="10">
        <v>2.3094149908592301</v>
      </c>
      <c r="O43" s="10">
        <v>2.3166568507100198</v>
      </c>
      <c r="P43" s="10">
        <v>2.3096318529998698</v>
      </c>
      <c r="Q43" s="10">
        <v>2.3124725837966902</v>
      </c>
      <c r="R43" s="8">
        <v>101.37690378707001</v>
      </c>
      <c r="S43" s="8">
        <v>101.05907835324901</v>
      </c>
      <c r="T43" s="8">
        <v>101.234159737661</v>
      </c>
      <c r="U43" s="9">
        <v>3.1308920459890699E-3</v>
      </c>
      <c r="V43" s="9">
        <v>-9.1198392377758503E-6</v>
      </c>
      <c r="W43" s="9">
        <v>1.72184684832886E-3</v>
      </c>
      <c r="X43" s="10">
        <v>2.3094149908592301</v>
      </c>
      <c r="Y43" s="10">
        <v>2.3166568507100198</v>
      </c>
      <c r="Z43" s="10">
        <v>2.3096318529998698</v>
      </c>
      <c r="AA43" s="10">
        <v>2.3124725837966902</v>
      </c>
      <c r="AB43" s="8">
        <v>101.37690378707001</v>
      </c>
      <c r="AC43" s="8">
        <v>101.05907835324901</v>
      </c>
      <c r="AD43" s="8">
        <v>101.234159737661</v>
      </c>
      <c r="AE43" s="9">
        <v>3.1308920459890699E-3</v>
      </c>
      <c r="AF43" s="9">
        <v>-9.1198392377758503E-6</v>
      </c>
      <c r="AG43" s="9">
        <v>1.72184684832886E-3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-1.37205601218113E-3</v>
      </c>
      <c r="BT43" s="9">
        <f t="shared" si="15"/>
        <v>9.9000107085968803E-4</v>
      </c>
      <c r="BU43" s="9">
        <f t="shared" si="16"/>
        <v>-3.8205494132144196E-4</v>
      </c>
      <c r="BV43" s="12">
        <f t="shared" si="17"/>
        <v>4.8747856044279846E-4</v>
      </c>
      <c r="BX43" s="12">
        <f t="shared" si="18"/>
        <v>-3.8205494132144196E-4</v>
      </c>
      <c r="BY43" s="12">
        <f t="shared" si="19"/>
        <v>4.8747856044279846E-4</v>
      </c>
    </row>
    <row r="44" spans="1:77" x14ac:dyDescent="0.3">
      <c r="A44" s="1">
        <v>46086</v>
      </c>
      <c r="B44" s="8">
        <v>43.34</v>
      </c>
      <c r="C44" s="8">
        <v>100.18</v>
      </c>
      <c r="D44" s="9">
        <v>-9.6441620055126905E-3</v>
      </c>
      <c r="E44" s="9">
        <v>-8.7458319342917003E-3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43.34</v>
      </c>
      <c r="M44" s="8">
        <v>100.18</v>
      </c>
      <c r="N44" s="10">
        <v>2.3114905399169299</v>
      </c>
      <c r="O44" s="10">
        <v>2.3166568507100198</v>
      </c>
      <c r="P44" s="10">
        <v>2.3096929440285998</v>
      </c>
      <c r="Q44" s="10">
        <v>2.31183871716012</v>
      </c>
      <c r="R44" s="8">
        <v>100.403907909772</v>
      </c>
      <c r="S44" s="8">
        <v>100.09944450901401</v>
      </c>
      <c r="T44" s="8">
        <v>100.222561781748</v>
      </c>
      <c r="U44" s="9">
        <v>2.2325619747682801E-3</v>
      </c>
      <c r="V44" s="9">
        <v>-8.0443098418602496E-4</v>
      </c>
      <c r="W44" s="9">
        <v>4.2476285742409898E-4</v>
      </c>
      <c r="X44" s="10">
        <v>2.3114905399169299</v>
      </c>
      <c r="Y44" s="10">
        <v>2.3166568507100198</v>
      </c>
      <c r="Z44" s="10">
        <v>2.3096929440285998</v>
      </c>
      <c r="AA44" s="10">
        <v>2.31183871716012</v>
      </c>
      <c r="AB44" s="8">
        <v>100.403907909772</v>
      </c>
      <c r="AC44" s="8">
        <v>100.09944450901401</v>
      </c>
      <c r="AD44" s="8">
        <v>100.222561781748</v>
      </c>
      <c r="AE44" s="9">
        <v>2.2325619747682801E-3</v>
      </c>
      <c r="AF44" s="9">
        <v>-8.0443098418602496E-4</v>
      </c>
      <c r="AG44" s="9">
        <v>4.2476285742409898E-4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0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9.6441620055126905E-3</v>
      </c>
      <c r="BT44" s="9">
        <f t="shared" si="15"/>
        <v>-8.7458319342917003E-3</v>
      </c>
      <c r="BU44" s="9">
        <f t="shared" si="16"/>
        <v>8.9833007122099018E-4</v>
      </c>
      <c r="BV44" s="12">
        <f t="shared" si="17"/>
        <v>1.3858086316637886E-3</v>
      </c>
      <c r="BX44" s="12">
        <f t="shared" si="18"/>
        <v>8.9833007122099018E-4</v>
      </c>
      <c r="BY44" s="12">
        <f t="shared" si="19"/>
        <v>1.3858086316637886E-3</v>
      </c>
    </row>
    <row r="45" spans="1:77" x14ac:dyDescent="0.3">
      <c r="A45" s="1">
        <v>46087</v>
      </c>
      <c r="B45" s="8">
        <v>42.89</v>
      </c>
      <c r="C45" s="8">
        <v>99.02</v>
      </c>
      <c r="D45" s="9">
        <v>-1.0437297579423899E-2</v>
      </c>
      <c r="E45" s="9">
        <v>-1.16467179961938E-2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42.89</v>
      </c>
      <c r="M45" s="8">
        <v>99.02</v>
      </c>
      <c r="N45" s="10">
        <v>2.3086966658894799</v>
      </c>
      <c r="O45" s="10">
        <v>2.3166568507100198</v>
      </c>
      <c r="P45" s="10">
        <v>2.3097545298094699</v>
      </c>
      <c r="Q45" s="10">
        <v>2.3106836887034401</v>
      </c>
      <c r="R45" s="8">
        <v>99.361412326952703</v>
      </c>
      <c r="S45" s="8">
        <v>99.062730369386998</v>
      </c>
      <c r="T45" s="8">
        <v>99.154762578997804</v>
      </c>
      <c r="U45" s="9">
        <v>3.4419823915381102E-3</v>
      </c>
      <c r="V45" s="9">
        <v>4.3143963100818498E-4</v>
      </c>
      <c r="W45" s="9">
        <v>1.36003795858376E-3</v>
      </c>
      <c r="X45" s="10">
        <v>2.3086966658894799</v>
      </c>
      <c r="Y45" s="10">
        <v>2.3166568507100198</v>
      </c>
      <c r="Z45" s="10">
        <v>2.3097545298094699</v>
      </c>
      <c r="AA45" s="10">
        <v>2.3106836887034401</v>
      </c>
      <c r="AB45" s="8">
        <v>99.361412326952703</v>
      </c>
      <c r="AC45" s="8">
        <v>99.062730369386998</v>
      </c>
      <c r="AD45" s="8">
        <v>99.154762578997804</v>
      </c>
      <c r="AE45" s="9">
        <v>3.4419823915381102E-3</v>
      </c>
      <c r="AF45" s="9">
        <v>4.3143963100818498E-4</v>
      </c>
      <c r="AG45" s="9">
        <v>1.36003795858376E-3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1</v>
      </c>
      <c r="BQ45">
        <f t="shared" si="1"/>
        <v>1</v>
      </c>
      <c r="BR45">
        <f t="shared" si="13"/>
        <v>1</v>
      </c>
      <c r="BS45" s="9">
        <f t="shared" si="14"/>
        <v>1.0437297579423899E-2</v>
      </c>
      <c r="BT45" s="9">
        <f t="shared" si="15"/>
        <v>-1.16467179961938E-2</v>
      </c>
      <c r="BU45" s="9">
        <f t="shared" si="16"/>
        <v>-1.2094204167699008E-3</v>
      </c>
      <c r="BV45" s="12">
        <f t="shared" si="17"/>
        <v>1.7638821489388782E-4</v>
      </c>
      <c r="BX45" s="12">
        <f t="shared" si="18"/>
        <v>-1.2094204167699008E-3</v>
      </c>
      <c r="BY45" s="12">
        <f t="shared" si="19"/>
        <v>1.7638821489388782E-4</v>
      </c>
    </row>
    <row r="46" spans="1:77" x14ac:dyDescent="0.3">
      <c r="A46" s="1">
        <v>46090</v>
      </c>
      <c r="B46" s="8">
        <v>42.98</v>
      </c>
      <c r="C46" s="8">
        <v>99.23</v>
      </c>
      <c r="D46" s="9">
        <v>2.0961926855751901E-3</v>
      </c>
      <c r="E46" s="9">
        <v>2.11853799287325E-3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42.98</v>
      </c>
      <c r="M46" s="8">
        <v>99.23</v>
      </c>
      <c r="N46" s="10">
        <v>2.3087482550023202</v>
      </c>
      <c r="O46" s="10">
        <v>2.3166568507100198</v>
      </c>
      <c r="P46" s="10">
        <v>2.31015469353488</v>
      </c>
      <c r="Q46" s="10">
        <v>2.3098315086933798</v>
      </c>
      <c r="R46" s="8">
        <v>99.569911443516602</v>
      </c>
      <c r="S46" s="8">
        <v>99.273249691211205</v>
      </c>
      <c r="T46" s="8">
        <v>99.313184940474201</v>
      </c>
      <c r="U46" s="9">
        <v>3.4196370842399901E-3</v>
      </c>
      <c r="V46" s="9">
        <v>4.35758023739429E-4</v>
      </c>
      <c r="W46" s="9">
        <v>8.3795316738385895E-4</v>
      </c>
      <c r="X46" s="10">
        <v>2.3087482550023202</v>
      </c>
      <c r="Y46" s="10">
        <v>2.3166568507100198</v>
      </c>
      <c r="Z46" s="10">
        <v>2.31015469353488</v>
      </c>
      <c r="AA46" s="10">
        <v>2.3098315086933798</v>
      </c>
      <c r="AB46" s="8">
        <v>99.569911443516602</v>
      </c>
      <c r="AC46" s="8">
        <v>99.273249691211205</v>
      </c>
      <c r="AD46" s="8">
        <v>99.313184940474201</v>
      </c>
      <c r="AE46" s="9">
        <v>3.4196370842399901E-3</v>
      </c>
      <c r="AF46" s="9">
        <v>4.35758023739429E-4</v>
      </c>
      <c r="AG46" s="9">
        <v>8.3795316738385895E-4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1</v>
      </c>
      <c r="BQ46">
        <f t="shared" si="1"/>
        <v>1</v>
      </c>
      <c r="BR46">
        <f t="shared" si="13"/>
        <v>1</v>
      </c>
      <c r="BS46" s="9">
        <f t="shared" si="14"/>
        <v>-2.0961926855751901E-3</v>
      </c>
      <c r="BT46" s="9">
        <f t="shared" si="15"/>
        <v>2.11853799287325E-3</v>
      </c>
      <c r="BU46" s="9">
        <f t="shared" si="16"/>
        <v>2.2345307298059832E-5</v>
      </c>
      <c r="BV46" s="12">
        <f t="shared" si="17"/>
        <v>1.9873352219194765E-4</v>
      </c>
      <c r="BX46" s="12">
        <f t="shared" si="18"/>
        <v>2.2345307298059832E-5</v>
      </c>
      <c r="BY46" s="12">
        <f t="shared" si="19"/>
        <v>1.9873352219194765E-4</v>
      </c>
    </row>
    <row r="47" spans="1:77" x14ac:dyDescent="0.3">
      <c r="A47" s="1">
        <v>46091</v>
      </c>
      <c r="B47" s="8">
        <v>42.92</v>
      </c>
      <c r="C47" s="8">
        <v>99.12</v>
      </c>
      <c r="D47" s="9">
        <v>-1.39697345186661E-3</v>
      </c>
      <c r="E47" s="9">
        <v>-1.10915060526317E-3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42.92</v>
      </c>
      <c r="M47" s="8">
        <v>99.12</v>
      </c>
      <c r="N47" s="10">
        <v>2.3094128611369902</v>
      </c>
      <c r="O47" s="10">
        <v>2.3166568507100198</v>
      </c>
      <c r="P47" s="10">
        <v>2.3106820761498401</v>
      </c>
      <c r="Q47" s="10">
        <v>2.3092548144721201</v>
      </c>
      <c r="R47" s="8">
        <v>99.430912032473998</v>
      </c>
      <c r="S47" s="8">
        <v>99.1518394465173</v>
      </c>
      <c r="T47" s="8">
        <v>99.137968353120002</v>
      </c>
      <c r="U47" s="9">
        <v>3.1318142376366999E-3</v>
      </c>
      <c r="V47" s="9">
        <v>3.2116963134959798E-4</v>
      </c>
      <c r="W47" s="9">
        <v>1.8126235549073701E-4</v>
      </c>
      <c r="X47" s="10">
        <v>2.3094128611369902</v>
      </c>
      <c r="Y47" s="10">
        <v>2.3166568507100198</v>
      </c>
      <c r="Z47" s="10">
        <v>2.3106820761498401</v>
      </c>
      <c r="AA47" s="10">
        <v>2.3092548144721201</v>
      </c>
      <c r="AB47" s="8">
        <v>99.430912032473998</v>
      </c>
      <c r="AC47" s="8">
        <v>99.1518394465173</v>
      </c>
      <c r="AD47" s="8">
        <v>99.137968353120002</v>
      </c>
      <c r="AE47" s="9">
        <v>3.1318142376366999E-3</v>
      </c>
      <c r="AF47" s="9">
        <v>3.2116963134959798E-4</v>
      </c>
      <c r="AG47" s="9">
        <v>1.8126235549073701E-4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0</v>
      </c>
      <c r="BP47">
        <f t="shared" si="12"/>
        <v>1</v>
      </c>
      <c r="BQ47">
        <f t="shared" si="1"/>
        <v>1</v>
      </c>
      <c r="BR47">
        <f t="shared" si="13"/>
        <v>1</v>
      </c>
      <c r="BS47" s="9">
        <f t="shared" si="14"/>
        <v>1.39697345186661E-3</v>
      </c>
      <c r="BT47" s="9">
        <f t="shared" si="15"/>
        <v>-1.10915060526317E-3</v>
      </c>
      <c r="BU47" s="9">
        <f t="shared" si="16"/>
        <v>2.8782284660343999E-4</v>
      </c>
      <c r="BV47" s="12">
        <f t="shared" si="17"/>
        <v>4.8655636879538764E-4</v>
      </c>
      <c r="BX47" s="12">
        <f t="shared" si="18"/>
        <v>2.8782284660343999E-4</v>
      </c>
      <c r="BY47" s="12">
        <f t="shared" si="19"/>
        <v>4.8655636879538764E-4</v>
      </c>
    </row>
    <row r="48" spans="1:77" x14ac:dyDescent="0.3">
      <c r="A48" s="1">
        <v>46092</v>
      </c>
      <c r="B48" s="8">
        <v>42.41</v>
      </c>
      <c r="C48" s="8">
        <v>98.01</v>
      </c>
      <c r="D48" s="9">
        <v>-1.1953734275998501E-2</v>
      </c>
      <c r="E48" s="9">
        <v>-1.1261723039798501E-2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42.41</v>
      </c>
      <c r="M48" s="8">
        <v>98.01</v>
      </c>
      <c r="N48" s="10">
        <v>2.3110115538787999</v>
      </c>
      <c r="O48" s="10">
        <v>2.3166568507100198</v>
      </c>
      <c r="P48" s="10">
        <v>2.3107289037292502</v>
      </c>
      <c r="Q48" s="10">
        <v>2.3088856909522399</v>
      </c>
      <c r="R48" s="8">
        <v>98.249417038611895</v>
      </c>
      <c r="S48" s="8">
        <v>97.996026849514806</v>
      </c>
      <c r="T48" s="8">
        <v>97.935496681762899</v>
      </c>
      <c r="U48" s="9">
        <v>2.4398030014366602E-3</v>
      </c>
      <c r="V48" s="9">
        <v>-1.4257878426899201E-4</v>
      </c>
      <c r="W48" s="9">
        <v>-7.60449442208237E-4</v>
      </c>
      <c r="X48" s="10">
        <v>2.3110115538787999</v>
      </c>
      <c r="Y48" s="10">
        <v>2.3166568507100198</v>
      </c>
      <c r="Z48" s="10">
        <v>2.3107289037292502</v>
      </c>
      <c r="AA48" s="10">
        <v>2.3088856909522399</v>
      </c>
      <c r="AB48" s="8">
        <v>98.249417038611895</v>
      </c>
      <c r="AC48" s="8">
        <v>97.996026849514806</v>
      </c>
      <c r="AD48" s="8">
        <v>97.935496681762899</v>
      </c>
      <c r="AE48" s="9">
        <v>2.4398030014366602E-3</v>
      </c>
      <c r="AF48" s="9">
        <v>-1.4257878426899201E-4</v>
      </c>
      <c r="AG48" s="9">
        <v>-7.60449442208237E-4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1</v>
      </c>
      <c r="BP48">
        <f t="shared" si="12"/>
        <v>1</v>
      </c>
      <c r="BQ48">
        <f t="shared" si="1"/>
        <v>1</v>
      </c>
      <c r="BR48">
        <f t="shared" si="13"/>
        <v>1</v>
      </c>
      <c r="BS48" s="9">
        <f t="shared" si="14"/>
        <v>1.1953734275998501E-2</v>
      </c>
      <c r="BT48" s="9">
        <f t="shared" si="15"/>
        <v>-1.1261723039798501E-2</v>
      </c>
      <c r="BU48" s="9">
        <f t="shared" si="16"/>
        <v>6.9201123619999985E-4</v>
      </c>
      <c r="BV48" s="12">
        <f t="shared" si="17"/>
        <v>1.1785676049953875E-3</v>
      </c>
      <c r="BX48" s="12">
        <f t="shared" si="18"/>
        <v>6.9201123619999985E-4</v>
      </c>
      <c r="BY48" s="12">
        <f t="shared" si="19"/>
        <v>1.1785676049953875E-3</v>
      </c>
    </row>
    <row r="49" spans="1:77" x14ac:dyDescent="0.3">
      <c r="A49" s="1">
        <v>46093</v>
      </c>
      <c r="B49" s="8">
        <v>42.14</v>
      </c>
      <c r="C49" s="8">
        <v>97.32</v>
      </c>
      <c r="D49" s="9">
        <v>-6.3867751104562899E-3</v>
      </c>
      <c r="E49" s="9">
        <v>-7.0649963657667897E-3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42.14</v>
      </c>
      <c r="M49" s="8">
        <v>97.32</v>
      </c>
      <c r="N49" s="10">
        <v>2.3094447081157998</v>
      </c>
      <c r="O49" s="10">
        <v>2.3166568507100198</v>
      </c>
      <c r="P49" s="10">
        <v>2.3100666818981499</v>
      </c>
      <c r="Q49" s="10">
        <v>2.30878549645149</v>
      </c>
      <c r="R49" s="8">
        <v>97.623919688920196</v>
      </c>
      <c r="S49" s="8">
        <v>97.374116003150704</v>
      </c>
      <c r="T49" s="8">
        <v>97.296443016727693</v>
      </c>
      <c r="U49" s="9">
        <v>3.1180242567471002E-3</v>
      </c>
      <c r="V49" s="9">
        <v>5.5590796121946201E-4</v>
      </c>
      <c r="W49" s="9">
        <v>-2.42086259743855E-4</v>
      </c>
      <c r="X49" s="10">
        <v>2.3094447081157998</v>
      </c>
      <c r="Y49" s="10">
        <v>2.3166568507100198</v>
      </c>
      <c r="Z49" s="10">
        <v>2.3100666818981499</v>
      </c>
      <c r="AA49" s="10">
        <v>2.30878549645149</v>
      </c>
      <c r="AB49" s="8">
        <v>97.623919688920196</v>
      </c>
      <c r="AC49" s="8">
        <v>97.374116003150704</v>
      </c>
      <c r="AD49" s="8">
        <v>97.296443016727693</v>
      </c>
      <c r="AE49" s="9">
        <v>3.1180242567471002E-3</v>
      </c>
      <c r="AF49" s="9">
        <v>5.5590796121946201E-4</v>
      </c>
      <c r="AG49" s="9">
        <v>-2.42086259743855E-4</v>
      </c>
      <c r="AZ49" s="9"/>
      <c r="BB49">
        <f t="shared" si="2"/>
        <v>0</v>
      </c>
      <c r="BC49">
        <f t="shared" si="3"/>
        <v>0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1.1785676049953875E-3</v>
      </c>
      <c r="BX49" s="12">
        <f t="shared" si="18"/>
        <v>0</v>
      </c>
      <c r="BY49" s="12">
        <f t="shared" si="19"/>
        <v>1.1785676049953875E-3</v>
      </c>
    </row>
    <row r="50" spans="1:77" x14ac:dyDescent="0.3">
      <c r="A50" s="1">
        <v>46094</v>
      </c>
      <c r="B50" s="8">
        <v>42.25</v>
      </c>
      <c r="C50" s="8">
        <v>97.5</v>
      </c>
      <c r="D50" s="9">
        <v>2.60694542713995E-3</v>
      </c>
      <c r="E50" s="9">
        <v>1.8478600884796199E-3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42.25</v>
      </c>
      <c r="M50" s="8">
        <v>97.5</v>
      </c>
      <c r="N50" s="10">
        <v>2.3076923076922999</v>
      </c>
      <c r="O50" s="10">
        <v>2.3166568507100198</v>
      </c>
      <c r="P50" s="10">
        <v>2.3098140148571602</v>
      </c>
      <c r="Q50" s="10">
        <v>2.3088563726245401</v>
      </c>
      <c r="R50" s="8">
        <v>97.878751942498297</v>
      </c>
      <c r="S50" s="8">
        <v>97.600317310197099</v>
      </c>
      <c r="T50" s="8">
        <v>97.546187225075698</v>
      </c>
      <c r="U50" s="9">
        <v>3.8771095954074101E-3</v>
      </c>
      <c r="V50" s="9">
        <v>1.0283665390292799E-3</v>
      </c>
      <c r="W50" s="9">
        <v>4.7360296139252201E-4</v>
      </c>
      <c r="X50" s="10">
        <v>2.3076923076922999</v>
      </c>
      <c r="Y50" s="10">
        <v>2.3166568507100198</v>
      </c>
      <c r="Z50" s="10">
        <v>2.3098140148571602</v>
      </c>
      <c r="AA50" s="10">
        <v>2.3088563726245401</v>
      </c>
      <c r="AB50" s="8">
        <v>97.878751942498297</v>
      </c>
      <c r="AC50" s="8">
        <v>97.600317310197099</v>
      </c>
      <c r="AD50" s="8">
        <v>97.546187225075698</v>
      </c>
      <c r="AE50" s="9">
        <v>3.8771095954074101E-3</v>
      </c>
      <c r="AF50" s="9">
        <v>1.0283665390292799E-3</v>
      </c>
      <c r="AG50" s="9">
        <v>4.7360296139252201E-4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1.1785676049953875E-3</v>
      </c>
      <c r="BX50" s="12">
        <f t="shared" si="18"/>
        <v>0</v>
      </c>
      <c r="BY50" s="12">
        <f t="shared" si="19"/>
        <v>1.1785676049953875E-3</v>
      </c>
    </row>
    <row r="51" spans="1:77" x14ac:dyDescent="0.3">
      <c r="A51" s="1">
        <v>46097</v>
      </c>
      <c r="B51" s="8">
        <v>42.58</v>
      </c>
      <c r="C51" s="8">
        <v>98.25</v>
      </c>
      <c r="D51" s="9">
        <v>7.7803056621505197E-3</v>
      </c>
      <c r="E51" s="9">
        <v>7.6628727455690902E-3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42.58</v>
      </c>
      <c r="M51" s="8">
        <v>98.25</v>
      </c>
      <c r="N51" s="10">
        <v>2.30742132456552</v>
      </c>
      <c r="O51" s="10">
        <v>2.3166568507100198</v>
      </c>
      <c r="P51" s="10">
        <v>2.30936306898949</v>
      </c>
      <c r="Q51" s="10">
        <v>2.3090320365539601</v>
      </c>
      <c r="R51" s="8">
        <v>98.643248703232601</v>
      </c>
      <c r="S51" s="8">
        <v>98.3518807526182</v>
      </c>
      <c r="T51" s="8">
        <v>98.311104346353005</v>
      </c>
      <c r="U51" s="9">
        <v>3.99454251198883E-3</v>
      </c>
      <c r="V51" s="9">
        <v>1.03641695947052E-3</v>
      </c>
      <c r="W51" s="9">
        <v>6.2173387277748404E-4</v>
      </c>
      <c r="X51" s="10">
        <v>2.30742132456552</v>
      </c>
      <c r="Y51" s="10">
        <v>2.3166568507100198</v>
      </c>
      <c r="Z51" s="10">
        <v>2.30936306898949</v>
      </c>
      <c r="AA51" s="10">
        <v>2.3090320365539601</v>
      </c>
      <c r="AB51" s="8">
        <v>98.643248703232601</v>
      </c>
      <c r="AC51" s="8">
        <v>98.3518807526182</v>
      </c>
      <c r="AD51" s="8">
        <v>98.311104346353005</v>
      </c>
      <c r="AE51" s="9">
        <v>3.99454251198883E-3</v>
      </c>
      <c r="AF51" s="9">
        <v>1.03641695947052E-3</v>
      </c>
      <c r="AG51" s="9">
        <v>6.2173387277748404E-4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1.1785676049953875E-3</v>
      </c>
      <c r="BX51" s="12">
        <f t="shared" si="18"/>
        <v>0</v>
      </c>
      <c r="BY51" s="12">
        <f t="shared" si="19"/>
        <v>1.1785676049953875E-3</v>
      </c>
    </row>
    <row r="52" spans="1:77" x14ac:dyDescent="0.3">
      <c r="A52" s="1">
        <v>46098</v>
      </c>
      <c r="B52" s="8">
        <v>42.72</v>
      </c>
      <c r="C52" s="8">
        <v>98.37</v>
      </c>
      <c r="D52" s="9">
        <v>3.2825351866060701E-3</v>
      </c>
      <c r="E52" s="9">
        <v>1.22062877529601E-3</v>
      </c>
      <c r="F52" s="8">
        <v>0</v>
      </c>
      <c r="G52" s="8">
        <v>0</v>
      </c>
      <c r="H52" s="8">
        <v>0.27539999999999998</v>
      </c>
      <c r="I52" s="8">
        <v>0.27539999999999998</v>
      </c>
      <c r="J52" s="8">
        <v>0</v>
      </c>
      <c r="K52" s="8">
        <v>0</v>
      </c>
      <c r="L52" s="8">
        <v>42.72</v>
      </c>
      <c r="M52" s="8">
        <v>98.37</v>
      </c>
      <c r="N52" s="10">
        <v>2.3026685393258401</v>
      </c>
      <c r="O52" s="10">
        <v>2.3166568507100198</v>
      </c>
      <c r="P52" s="10">
        <v>2.30860017463832</v>
      </c>
      <c r="Q52" s="10">
        <v>2.3089970520500702</v>
      </c>
      <c r="R52" s="8">
        <v>98.967580662331997</v>
      </c>
      <c r="S52" s="8">
        <v>98.655990307231207</v>
      </c>
      <c r="T52" s="8">
        <v>98.641848601585494</v>
      </c>
      <c r="U52" s="9">
        <v>6.0564489232986397E-3</v>
      </c>
      <c r="V52" s="9">
        <v>2.90307393092561E-3</v>
      </c>
      <c r="W52" s="9">
        <v>2.7597200478000198E-3</v>
      </c>
      <c r="X52" s="10">
        <v>2.3026685393258401</v>
      </c>
      <c r="Y52" s="10">
        <v>2.3166568507100198</v>
      </c>
      <c r="Z52" s="10">
        <v>2.30860017463832</v>
      </c>
      <c r="AA52" s="10">
        <v>2.3089970520500702</v>
      </c>
      <c r="AB52" s="8">
        <v>98.967580662331997</v>
      </c>
      <c r="AC52" s="8">
        <v>98.655990307231207</v>
      </c>
      <c r="AD52" s="8">
        <v>98.641848601585494</v>
      </c>
      <c r="AE52" s="9">
        <v>6.0564489232986397E-3</v>
      </c>
      <c r="AF52" s="9">
        <v>2.90307393092561E-3</v>
      </c>
      <c r="AG52" s="9">
        <v>2.7597200478000198E-3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1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1.1785676049953875E-3</v>
      </c>
      <c r="BX52" s="12">
        <f t="shared" si="18"/>
        <v>0</v>
      </c>
      <c r="BY52" s="12">
        <f t="shared" si="19"/>
        <v>1.1785676049953875E-3</v>
      </c>
    </row>
    <row r="53" spans="1:77" x14ac:dyDescent="0.3">
      <c r="A53" s="1">
        <v>46099</v>
      </c>
      <c r="B53" s="8">
        <v>42.02</v>
      </c>
      <c r="C53" s="8">
        <v>96.84</v>
      </c>
      <c r="D53" s="9">
        <v>-1.6521499235084801E-2</v>
      </c>
      <c r="E53" s="9">
        <v>-1.5675747454808799E-2</v>
      </c>
      <c r="F53" s="8">
        <v>0</v>
      </c>
      <c r="G53" s="8">
        <v>0</v>
      </c>
      <c r="H53" s="8">
        <v>0</v>
      </c>
      <c r="I53" s="8">
        <v>0.27539999999999998</v>
      </c>
      <c r="J53" s="8">
        <v>0</v>
      </c>
      <c r="K53" s="8">
        <v>0</v>
      </c>
      <c r="L53" s="8">
        <v>42.02</v>
      </c>
      <c r="M53" s="8">
        <v>96.84</v>
      </c>
      <c r="N53" s="10">
        <v>2.3046168491194599</v>
      </c>
      <c r="O53" s="10">
        <v>2.3166568507100198</v>
      </c>
      <c r="P53" s="10">
        <v>2.3081203604643399</v>
      </c>
      <c r="Q53" s="10">
        <v>2.30887610673211</v>
      </c>
      <c r="R53" s="8">
        <v>97.345920866835002</v>
      </c>
      <c r="S53" s="8">
        <v>97.0073793383024</v>
      </c>
      <c r="T53" s="8">
        <v>97.024056127143993</v>
      </c>
      <c r="U53" s="9">
        <v>5.2106971430227198E-3</v>
      </c>
      <c r="V53" s="9">
        <v>1.72691919252216E-3</v>
      </c>
      <c r="W53" s="9">
        <v>1.8988169970472299E-3</v>
      </c>
      <c r="X53" s="10">
        <v>2.3046168491194599</v>
      </c>
      <c r="Y53" s="10">
        <v>2.3166568507100198</v>
      </c>
      <c r="Z53" s="10">
        <v>2.3081203604643399</v>
      </c>
      <c r="AA53" s="10">
        <v>2.30887610673211</v>
      </c>
      <c r="AB53" s="8">
        <v>97.345920866835002</v>
      </c>
      <c r="AC53" s="8">
        <v>97.0073793383024</v>
      </c>
      <c r="AD53" s="8">
        <v>97.024056127143993</v>
      </c>
      <c r="AE53" s="9">
        <v>5.2106971430227198E-3</v>
      </c>
      <c r="AF53" s="9">
        <v>1.72691919252216E-3</v>
      </c>
      <c r="AG53" s="9">
        <v>1.8988169970472299E-3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1.6521499235084801E-2</v>
      </c>
      <c r="BT53" s="9">
        <f t="shared" si="15"/>
        <v>-1.5675747454808799E-2</v>
      </c>
      <c r="BU53" s="9">
        <f t="shared" si="16"/>
        <v>8.4575178027600229E-4</v>
      </c>
      <c r="BV53" s="12">
        <f t="shared" si="17"/>
        <v>2.0243193852713896E-3</v>
      </c>
      <c r="BX53" s="12">
        <f t="shared" si="18"/>
        <v>8.4575178027600229E-4</v>
      </c>
      <c r="BY53" s="12">
        <f t="shared" si="19"/>
        <v>2.0243193852713896E-3</v>
      </c>
    </row>
    <row r="54" spans="1:77" x14ac:dyDescent="0.3">
      <c r="A54" s="1">
        <v>46100</v>
      </c>
      <c r="B54" s="8">
        <v>41.92</v>
      </c>
      <c r="C54" s="8">
        <v>96.47</v>
      </c>
      <c r="D54" s="9">
        <v>-2.38265540406765E-3</v>
      </c>
      <c r="E54" s="9">
        <v>-3.82805288739555E-3</v>
      </c>
      <c r="F54" s="8">
        <v>0</v>
      </c>
      <c r="G54" s="8">
        <v>0</v>
      </c>
      <c r="H54" s="8">
        <v>0</v>
      </c>
      <c r="I54" s="8">
        <v>0.27539999999999998</v>
      </c>
      <c r="J54" s="8">
        <v>0</v>
      </c>
      <c r="K54" s="8">
        <v>0</v>
      </c>
      <c r="L54" s="8">
        <v>41.92</v>
      </c>
      <c r="M54" s="8">
        <v>96.47</v>
      </c>
      <c r="N54" s="10">
        <v>2.3012881679389299</v>
      </c>
      <c r="O54" s="10">
        <v>2.3166568507100198</v>
      </c>
      <c r="P54" s="10">
        <v>2.3071001232665398</v>
      </c>
      <c r="Q54" s="10">
        <v>2.3083965336475698</v>
      </c>
      <c r="R54" s="8">
        <v>97.114255181763994</v>
      </c>
      <c r="S54" s="8">
        <v>96.756405510665502</v>
      </c>
      <c r="T54" s="8">
        <v>96.788086394210197</v>
      </c>
      <c r="U54" s="9">
        <v>6.6560946263504997E-3</v>
      </c>
      <c r="V54" s="9">
        <v>2.9644573644381201E-3</v>
      </c>
      <c r="W54" s="9">
        <v>3.2918330858115498E-3</v>
      </c>
      <c r="X54" s="10">
        <v>2.3012881679389299</v>
      </c>
      <c r="Y54" s="10">
        <v>2.3166568507100198</v>
      </c>
      <c r="Z54" s="10">
        <v>2.3071001232665398</v>
      </c>
      <c r="AA54" s="10">
        <v>2.3083965336475698</v>
      </c>
      <c r="AB54" s="8">
        <v>97.114255181763994</v>
      </c>
      <c r="AC54" s="8">
        <v>96.756405510665502</v>
      </c>
      <c r="AD54" s="8">
        <v>96.788086394210197</v>
      </c>
      <c r="AE54" s="9">
        <v>6.6560946263504997E-3</v>
      </c>
      <c r="AF54" s="9">
        <v>2.9644573644381201E-3</v>
      </c>
      <c r="AG54" s="9">
        <v>3.2918330858115498E-3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1</v>
      </c>
      <c r="BO54">
        <f t="shared" si="11"/>
        <v>0</v>
      </c>
      <c r="BP54">
        <f t="shared" si="12"/>
        <v>1</v>
      </c>
      <c r="BQ54">
        <f t="shared" si="1"/>
        <v>1</v>
      </c>
      <c r="BR54">
        <f t="shared" si="13"/>
        <v>1</v>
      </c>
      <c r="BS54" s="9">
        <f t="shared" si="14"/>
        <v>2.38265540406765E-3</v>
      </c>
      <c r="BT54" s="9">
        <f t="shared" si="15"/>
        <v>-3.82805288739555E-3</v>
      </c>
      <c r="BU54" s="9">
        <f t="shared" si="16"/>
        <v>-1.4453974833279E-3</v>
      </c>
      <c r="BV54" s="12">
        <f t="shared" si="17"/>
        <v>5.7892190194348955E-4</v>
      </c>
      <c r="BX54" s="12">
        <f t="shared" si="18"/>
        <v>-1.4453974833279E-3</v>
      </c>
      <c r="BY54" s="12">
        <f t="shared" si="19"/>
        <v>5.7892190194348955E-4</v>
      </c>
    </row>
    <row r="55" spans="1:77" x14ac:dyDescent="0.3">
      <c r="A55" s="1">
        <v>46101</v>
      </c>
      <c r="B55" s="8">
        <v>40.590000000000003</v>
      </c>
      <c r="C55" s="8">
        <v>93.45</v>
      </c>
      <c r="D55" s="9">
        <v>-3.22413091619803E-2</v>
      </c>
      <c r="E55" s="9">
        <v>-3.1805545280890302E-2</v>
      </c>
      <c r="F55" s="8">
        <v>0</v>
      </c>
      <c r="G55" s="8">
        <v>0</v>
      </c>
      <c r="H55" s="8">
        <v>0</v>
      </c>
      <c r="I55" s="8">
        <v>0.27539999999999998</v>
      </c>
      <c r="J55" s="8">
        <v>0</v>
      </c>
      <c r="K55" s="8">
        <v>0</v>
      </c>
      <c r="L55" s="8">
        <v>40.590000000000003</v>
      </c>
      <c r="M55" s="8">
        <v>93.45</v>
      </c>
      <c r="N55" s="10">
        <v>2.3022912047302202</v>
      </c>
      <c r="O55" s="10">
        <v>2.3166568507100198</v>
      </c>
      <c r="P55" s="10">
        <v>2.30645957715062</v>
      </c>
      <c r="Q55" s="10">
        <v>2.3081070534800401</v>
      </c>
      <c r="R55" s="8">
        <v>94.033101570319701</v>
      </c>
      <c r="S55" s="8">
        <v>93.645194003389193</v>
      </c>
      <c r="T55" s="8">
        <v>93.697815300755195</v>
      </c>
      <c r="U55" s="9">
        <v>6.2203307452604797E-3</v>
      </c>
      <c r="V55" s="9">
        <v>2.08657496787693E-3</v>
      </c>
      <c r="W55" s="9">
        <v>2.6483391772306698E-3</v>
      </c>
      <c r="X55" s="10">
        <v>2.3022912047302202</v>
      </c>
      <c r="Y55" s="10">
        <v>2.3166568507100198</v>
      </c>
      <c r="Z55" s="10">
        <v>2.30645957715062</v>
      </c>
      <c r="AA55" s="10">
        <v>2.3081070534800401</v>
      </c>
      <c r="AB55" s="8">
        <v>94.033101570319701</v>
      </c>
      <c r="AC55" s="8">
        <v>93.645194003389193</v>
      </c>
      <c r="AD55" s="8">
        <v>93.697815300755195</v>
      </c>
      <c r="AE55" s="9">
        <v>6.2203307452604797E-3</v>
      </c>
      <c r="AF55" s="9">
        <v>2.08657496787693E-3</v>
      </c>
      <c r="AG55" s="9">
        <v>2.6483391772306698E-3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1</v>
      </c>
      <c r="BO55">
        <f t="shared" si="11"/>
        <v>0</v>
      </c>
      <c r="BP55">
        <f t="shared" si="12"/>
        <v>1</v>
      </c>
      <c r="BQ55">
        <f t="shared" si="1"/>
        <v>0</v>
      </c>
      <c r="BR55">
        <f t="shared" si="13"/>
        <v>1</v>
      </c>
      <c r="BS55" s="9">
        <f t="shared" si="14"/>
        <v>3.22413091619803E-2</v>
      </c>
      <c r="BT55" s="9">
        <f t="shared" si="15"/>
        <v>-3.1805545280890302E-2</v>
      </c>
      <c r="BU55" s="9">
        <f t="shared" si="16"/>
        <v>4.3576388108999831E-4</v>
      </c>
      <c r="BV55" s="12">
        <f t="shared" si="17"/>
        <v>1.0146857830334879E-3</v>
      </c>
      <c r="BX55" s="12">
        <f t="shared" si="18"/>
        <v>4.3576388108999831E-4</v>
      </c>
      <c r="BY55" s="12">
        <f t="shared" si="19"/>
        <v>1.0146857830334879E-3</v>
      </c>
    </row>
    <row r="56" spans="1:77" x14ac:dyDescent="0.3">
      <c r="A56" s="1">
        <v>46104</v>
      </c>
      <c r="B56" s="8">
        <v>40.619999999999997</v>
      </c>
      <c r="C56" s="8">
        <v>94.11</v>
      </c>
      <c r="D56" s="9">
        <v>7.3882530143203496E-4</v>
      </c>
      <c r="E56" s="9">
        <v>7.0377769691245696E-3</v>
      </c>
      <c r="F56" s="8">
        <v>0.27110000000000001</v>
      </c>
      <c r="G56" s="8">
        <v>0.27110000000000001</v>
      </c>
      <c r="H56" s="8">
        <v>0</v>
      </c>
      <c r="I56" s="8">
        <v>0.27539999999999998</v>
      </c>
      <c r="J56" s="8">
        <v>0</v>
      </c>
      <c r="K56" s="8">
        <v>0</v>
      </c>
      <c r="L56" s="8">
        <v>40.619999999999997</v>
      </c>
      <c r="M56" s="8">
        <v>94.11</v>
      </c>
      <c r="N56" s="10">
        <v>2.3168389955686801</v>
      </c>
      <c r="O56" s="10">
        <v>2.3166568507100198</v>
      </c>
      <c r="P56" s="10">
        <v>2.30726865120725</v>
      </c>
      <c r="Q56" s="10">
        <v>2.3087116723710701</v>
      </c>
      <c r="R56" s="8">
        <v>94.102601275840996</v>
      </c>
      <c r="S56" s="8">
        <v>93.688388023858295</v>
      </c>
      <c r="T56" s="8">
        <v>93.755308512359605</v>
      </c>
      <c r="U56" s="9">
        <v>-7.8620922431955705E-5</v>
      </c>
      <c r="V56" s="9">
        <v>-4.4900564792635699E-3</v>
      </c>
      <c r="W56" s="9">
        <v>-3.7760234914261501E-3</v>
      </c>
      <c r="X56" s="10">
        <v>2.3168389955686801</v>
      </c>
      <c r="Y56" s="10">
        <v>2.3166568507100198</v>
      </c>
      <c r="Z56" s="10">
        <v>2.30726865120725</v>
      </c>
      <c r="AA56" s="10">
        <v>2.3087116723710701</v>
      </c>
      <c r="AB56" s="8">
        <v>94.102601275840996</v>
      </c>
      <c r="AC56" s="8">
        <v>93.688388023858295</v>
      </c>
      <c r="AD56" s="8">
        <v>93.755308512359605</v>
      </c>
      <c r="AE56" s="9">
        <v>-7.8620922431955705E-5</v>
      </c>
      <c r="AF56" s="9">
        <v>-4.4900564792635699E-3</v>
      </c>
      <c r="AG56" s="9">
        <v>-3.7760234914261501E-3</v>
      </c>
      <c r="AZ56" s="9"/>
      <c r="BB56">
        <f t="shared" si="2"/>
        <v>1</v>
      </c>
      <c r="BC56">
        <f t="shared" si="3"/>
        <v>0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0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1.0146857830334879E-3</v>
      </c>
      <c r="BX56" s="12">
        <f t="shared" si="18"/>
        <v>0</v>
      </c>
      <c r="BY56" s="12">
        <f t="shared" si="19"/>
        <v>1.0146857830334879E-3</v>
      </c>
    </row>
    <row r="57" spans="1:77" x14ac:dyDescent="0.3">
      <c r="A57" s="1">
        <v>46105</v>
      </c>
      <c r="B57" s="8">
        <v>40.29</v>
      </c>
      <c r="C57" s="8">
        <v>93.49</v>
      </c>
      <c r="D57" s="9">
        <v>-8.1572569489827395E-3</v>
      </c>
      <c r="E57" s="9">
        <v>-6.6098321674721702E-3</v>
      </c>
      <c r="F57" s="8">
        <v>0</v>
      </c>
      <c r="G57" s="8">
        <v>0.27110000000000001</v>
      </c>
      <c r="H57" s="8">
        <v>0</v>
      </c>
      <c r="I57" s="8">
        <v>0.27539999999999998</v>
      </c>
      <c r="J57" s="8">
        <v>0</v>
      </c>
      <c r="K57" s="8">
        <v>0</v>
      </c>
      <c r="L57" s="8">
        <v>40.29</v>
      </c>
      <c r="M57" s="8">
        <v>93.49</v>
      </c>
      <c r="N57" s="10">
        <v>2.3204269049391901</v>
      </c>
      <c r="O57" s="10">
        <v>2.3166568507100198</v>
      </c>
      <c r="P57" s="10">
        <v>2.3083700555874702</v>
      </c>
      <c r="Q57" s="10">
        <v>2.3095260658686598</v>
      </c>
      <c r="R57" s="8">
        <v>93.338104515106593</v>
      </c>
      <c r="S57" s="8">
        <v>92.959853957140396</v>
      </c>
      <c r="T57" s="8">
        <v>93.017993279830506</v>
      </c>
      <c r="U57" s="9">
        <v>-1.6260457039424399E-3</v>
      </c>
      <c r="V57" s="9">
        <v>-5.68675662989676E-3</v>
      </c>
      <c r="W57" s="9">
        <v>-5.0615281368504997E-3</v>
      </c>
      <c r="X57" s="10">
        <v>2.3204269049391901</v>
      </c>
      <c r="Y57" s="10">
        <v>2.3166568507100198</v>
      </c>
      <c r="Z57" s="10">
        <v>2.3083700555874702</v>
      </c>
      <c r="AA57" s="10">
        <v>2.3095260658686598</v>
      </c>
      <c r="AB57" s="8">
        <v>93.338104515106593</v>
      </c>
      <c r="AC57" s="8">
        <v>92.959853957140396</v>
      </c>
      <c r="AD57" s="8">
        <v>93.017993279830506</v>
      </c>
      <c r="AE57" s="9">
        <v>-1.6260457039424399E-3</v>
      </c>
      <c r="AF57" s="9">
        <v>-5.68675662989676E-3</v>
      </c>
      <c r="AG57" s="9">
        <v>-5.0615281368504997E-3</v>
      </c>
      <c r="AZ57" s="9"/>
      <c r="BB57">
        <f t="shared" si="2"/>
        <v>1</v>
      </c>
      <c r="BC57">
        <f t="shared" si="3"/>
        <v>0</v>
      </c>
      <c r="BD57">
        <f t="shared" si="4"/>
        <v>1</v>
      </c>
      <c r="BE57">
        <f t="shared" si="0"/>
        <v>1</v>
      </c>
      <c r="BF57">
        <f t="shared" si="5"/>
        <v>1</v>
      </c>
      <c r="BG57" s="9">
        <f t="shared" si="6"/>
        <v>-8.1572569489827395E-3</v>
      </c>
      <c r="BH57" s="9">
        <f t="shared" si="7"/>
        <v>6.6098321674721702E-3</v>
      </c>
      <c r="BI57" s="9">
        <f t="shared" si="8"/>
        <v>-1.5474247815105693E-3</v>
      </c>
      <c r="BJ57" s="12">
        <f t="shared" si="9"/>
        <v>-1.5474247815105693E-3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1.0146857830334879E-3</v>
      </c>
      <c r="BX57" s="12">
        <f t="shared" si="18"/>
        <v>-1.5474247815105693E-3</v>
      </c>
      <c r="BY57" s="12">
        <f t="shared" si="19"/>
        <v>-5.3273899847708145E-4</v>
      </c>
    </row>
    <row r="58" spans="1:77" x14ac:dyDescent="0.3">
      <c r="A58" s="1">
        <v>46106</v>
      </c>
      <c r="B58" s="8">
        <v>40.270000000000003</v>
      </c>
      <c r="C58" s="8">
        <v>93.49</v>
      </c>
      <c r="D58" s="9">
        <v>-4.9652433989296201E-4</v>
      </c>
      <c r="E58" s="9">
        <v>0</v>
      </c>
      <c r="F58" s="8">
        <v>0</v>
      </c>
      <c r="G58" s="8">
        <v>0.27110000000000001</v>
      </c>
      <c r="H58" s="8">
        <v>0</v>
      </c>
      <c r="I58" s="8">
        <v>0.27539999999999998</v>
      </c>
      <c r="J58" s="8">
        <v>0</v>
      </c>
      <c r="K58" s="8">
        <v>0</v>
      </c>
      <c r="L58" s="8">
        <v>40.270000000000003</v>
      </c>
      <c r="M58" s="8">
        <v>93.49</v>
      </c>
      <c r="N58" s="10">
        <v>2.3215793394586499</v>
      </c>
      <c r="O58" s="10">
        <v>2.3166568507100198</v>
      </c>
      <c r="P58" s="10">
        <v>2.30942683414546</v>
      </c>
      <c r="Q58" s="10">
        <v>2.3100778689373498</v>
      </c>
      <c r="R58" s="8">
        <v>93.291771378092506</v>
      </c>
      <c r="S58" s="8">
        <v>92.9580621385077</v>
      </c>
      <c r="T58" s="8">
        <v>93.004614672530906</v>
      </c>
      <c r="U58" s="9">
        <v>-2.1225700438354499E-3</v>
      </c>
      <c r="V58" s="9">
        <v>-5.7060320033561996E-3</v>
      </c>
      <c r="W58" s="9">
        <v>-5.2053666462646402E-3</v>
      </c>
      <c r="X58" s="10">
        <v>2.3215793394586499</v>
      </c>
      <c r="Y58" s="10">
        <v>2.3166568507100198</v>
      </c>
      <c r="Z58" s="10">
        <v>2.30942683414546</v>
      </c>
      <c r="AA58" s="10">
        <v>2.3100778689373498</v>
      </c>
      <c r="AB58" s="8">
        <v>93.291771378092506</v>
      </c>
      <c r="AC58" s="8">
        <v>92.9580621385077</v>
      </c>
      <c r="AD58" s="8">
        <v>93.004614672530906</v>
      </c>
      <c r="AE58" s="9">
        <v>-2.1225700438354499E-3</v>
      </c>
      <c r="AF58" s="9">
        <v>-5.7060320033561996E-3</v>
      </c>
      <c r="AG58" s="9">
        <v>-5.2053666462646402E-3</v>
      </c>
      <c r="AZ58" s="9"/>
      <c r="BB58">
        <f t="shared" si="2"/>
        <v>1</v>
      </c>
      <c r="BC58">
        <f t="shared" si="3"/>
        <v>0</v>
      </c>
      <c r="BD58">
        <f t="shared" si="4"/>
        <v>1</v>
      </c>
      <c r="BE58">
        <f t="shared" si="0"/>
        <v>1</v>
      </c>
      <c r="BF58">
        <f t="shared" si="5"/>
        <v>1</v>
      </c>
      <c r="BG58" s="9">
        <f t="shared" si="6"/>
        <v>-4.9652433989296201E-4</v>
      </c>
      <c r="BH58" s="9">
        <f t="shared" si="7"/>
        <v>0</v>
      </c>
      <c r="BI58" s="9">
        <f t="shared" si="8"/>
        <v>-4.9652433989296201E-4</v>
      </c>
      <c r="BJ58" s="12">
        <f t="shared" si="9"/>
        <v>-2.0439491214035311E-3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1.0146857830334879E-3</v>
      </c>
      <c r="BX58" s="12">
        <f t="shared" si="18"/>
        <v>-4.9652433989296201E-4</v>
      </c>
      <c r="BY58" s="12">
        <f t="shared" si="19"/>
        <v>-1.0292633383700435E-3</v>
      </c>
    </row>
    <row r="59" spans="1:77" x14ac:dyDescent="0.3">
      <c r="A59" s="1">
        <v>46107</v>
      </c>
      <c r="B59" s="8">
        <v>40.29</v>
      </c>
      <c r="C59" s="8">
        <v>93.34</v>
      </c>
      <c r="D59" s="9">
        <v>4.9652433989306501E-4</v>
      </c>
      <c r="E59" s="9">
        <v>-1.6057381815546799E-3</v>
      </c>
      <c r="F59" s="8">
        <v>0</v>
      </c>
      <c r="G59" s="8">
        <v>0.27110000000000001</v>
      </c>
      <c r="H59" s="8">
        <v>0</v>
      </c>
      <c r="I59" s="8">
        <v>0.27539999999999998</v>
      </c>
      <c r="J59" s="8">
        <v>0</v>
      </c>
      <c r="K59" s="8">
        <v>0</v>
      </c>
      <c r="L59" s="8">
        <v>40.29</v>
      </c>
      <c r="M59" s="8">
        <v>93.34</v>
      </c>
      <c r="N59" s="10">
        <v>2.31670389674857</v>
      </c>
      <c r="O59" s="10">
        <v>2.3166568507100198</v>
      </c>
      <c r="P59" s="10">
        <v>2.3101527530087398</v>
      </c>
      <c r="Q59" s="10">
        <v>2.31010971745344</v>
      </c>
      <c r="R59" s="8">
        <v>93.338104515106593</v>
      </c>
      <c r="S59" s="8">
        <v>93.046807147720699</v>
      </c>
      <c r="T59" s="8">
        <v>93.073037339486106</v>
      </c>
      <c r="U59" s="9">
        <v>-2.0307522387740501E-5</v>
      </c>
      <c r="V59" s="9">
        <v>-3.1460713190537698E-3</v>
      </c>
      <c r="W59" s="9">
        <v>-2.8642078561719499E-3</v>
      </c>
      <c r="X59" s="10">
        <v>2.31670389674857</v>
      </c>
      <c r="Y59" s="10">
        <v>2.3166568507100198</v>
      </c>
      <c r="Z59" s="10">
        <v>2.3101527530087398</v>
      </c>
      <c r="AA59" s="10">
        <v>2.31010971745344</v>
      </c>
      <c r="AB59" s="8">
        <v>93.338104515106593</v>
      </c>
      <c r="AC59" s="8">
        <v>93.046807147720699</v>
      </c>
      <c r="AD59" s="8">
        <v>93.073037339486106</v>
      </c>
      <c r="AE59" s="9">
        <v>-2.0307522387740501E-5</v>
      </c>
      <c r="AF59" s="9">
        <v>-3.1460713190537698E-3</v>
      </c>
      <c r="AG59" s="9">
        <v>-2.8642078561719499E-3</v>
      </c>
      <c r="AZ59" s="9"/>
      <c r="BB59">
        <f t="shared" si="2"/>
        <v>1</v>
      </c>
      <c r="BC59">
        <f t="shared" si="3"/>
        <v>0</v>
      </c>
      <c r="BD59">
        <f t="shared" si="4"/>
        <v>1</v>
      </c>
      <c r="BE59">
        <f t="shared" si="0"/>
        <v>1</v>
      </c>
      <c r="BF59">
        <f t="shared" si="5"/>
        <v>1</v>
      </c>
      <c r="BG59" s="9">
        <f t="shared" si="6"/>
        <v>4.9652433989306501E-4</v>
      </c>
      <c r="BH59" s="9">
        <f t="shared" si="7"/>
        <v>1.6057381815546799E-3</v>
      </c>
      <c r="BI59" s="9">
        <f t="shared" si="8"/>
        <v>2.1022625214477449E-3</v>
      </c>
      <c r="BJ59" s="12">
        <f t="shared" si="9"/>
        <v>5.8313400044213842E-5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1.0146857830334879E-3</v>
      </c>
      <c r="BX59" s="12">
        <f t="shared" si="18"/>
        <v>2.1022625214477449E-3</v>
      </c>
      <c r="BY59" s="12">
        <f t="shared" si="19"/>
        <v>1.0729991830777015E-3</v>
      </c>
    </row>
    <row r="60" spans="1:77" x14ac:dyDescent="0.3">
      <c r="A60" s="1">
        <v>46108</v>
      </c>
      <c r="B60" s="8">
        <v>40.01</v>
      </c>
      <c r="C60" s="8">
        <v>92.61</v>
      </c>
      <c r="D60" s="9">
        <v>-6.9738763341122096E-3</v>
      </c>
      <c r="E60" s="9">
        <v>-7.8516133394919193E-3</v>
      </c>
      <c r="F60" s="8">
        <v>0</v>
      </c>
      <c r="G60" s="8">
        <v>0.27110000000000001</v>
      </c>
      <c r="H60" s="8">
        <v>0</v>
      </c>
      <c r="I60" s="8">
        <v>0.27539999999999998</v>
      </c>
      <c r="J60" s="8">
        <v>0</v>
      </c>
      <c r="K60" s="8">
        <v>0</v>
      </c>
      <c r="L60" s="8">
        <v>40.01</v>
      </c>
      <c r="M60" s="8">
        <v>92.61</v>
      </c>
      <c r="N60" s="10">
        <v>2.3146713321669501</v>
      </c>
      <c r="O60" s="10">
        <v>2.3166568507100198</v>
      </c>
      <c r="P60" s="10">
        <v>2.3108506554561998</v>
      </c>
      <c r="Q60" s="10">
        <v>2.31033233515668</v>
      </c>
      <c r="R60" s="8">
        <v>92.689440596907801</v>
      </c>
      <c r="S60" s="8">
        <v>92.429211647879697</v>
      </c>
      <c r="T60" s="8">
        <v>92.427489795312397</v>
      </c>
      <c r="U60" s="9">
        <v>8.5742948299181597E-4</v>
      </c>
      <c r="V60" s="9">
        <v>-1.9540551220045802E-3</v>
      </c>
      <c r="W60" s="9">
        <v>-1.9726841741713901E-3</v>
      </c>
      <c r="X60" s="10">
        <v>2.3146713321669501</v>
      </c>
      <c r="Y60" s="10">
        <v>2.3166568507100198</v>
      </c>
      <c r="Z60" s="10">
        <v>2.3108506554561998</v>
      </c>
      <c r="AA60" s="10">
        <v>2.31033233515668</v>
      </c>
      <c r="AB60" s="8">
        <v>92.689440596907801</v>
      </c>
      <c r="AC60" s="8">
        <v>92.429211647879697</v>
      </c>
      <c r="AD60" s="8">
        <v>92.427489795312397</v>
      </c>
      <c r="AE60" s="9">
        <v>8.5742948299181597E-4</v>
      </c>
      <c r="AF60" s="9">
        <v>-1.9540551220045802E-3</v>
      </c>
      <c r="AG60" s="9">
        <v>-1.9726841741713901E-3</v>
      </c>
      <c r="AZ60" s="9"/>
      <c r="BB60">
        <f t="shared" si="2"/>
        <v>0</v>
      </c>
      <c r="BC60">
        <f t="shared" si="3"/>
        <v>0</v>
      </c>
      <c r="BD60">
        <f t="shared" si="4"/>
        <v>1</v>
      </c>
      <c r="BE60">
        <f t="shared" si="0"/>
        <v>1</v>
      </c>
      <c r="BF60">
        <f t="shared" si="5"/>
        <v>1</v>
      </c>
      <c r="BG60" s="9">
        <f t="shared" si="6"/>
        <v>-6.9738763341122096E-3</v>
      </c>
      <c r="BH60" s="9">
        <f t="shared" si="7"/>
        <v>7.8516133394919193E-3</v>
      </c>
      <c r="BI60" s="9">
        <f t="shared" si="8"/>
        <v>8.7773700537970966E-4</v>
      </c>
      <c r="BJ60" s="12">
        <f t="shared" si="9"/>
        <v>9.360504054239235E-4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1.0146857830334879E-3</v>
      </c>
      <c r="BX60" s="12">
        <f t="shared" si="18"/>
        <v>8.7773700537970966E-4</v>
      </c>
      <c r="BY60" s="12">
        <f t="shared" si="19"/>
        <v>1.9507361884574111E-3</v>
      </c>
    </row>
    <row r="61" spans="1:77" x14ac:dyDescent="0.3">
      <c r="A61" s="1">
        <v>46111</v>
      </c>
      <c r="B61" s="8">
        <v>40.21</v>
      </c>
      <c r="C61" s="8">
        <v>93.06</v>
      </c>
      <c r="D61" s="9">
        <v>4.9862980400391197E-3</v>
      </c>
      <c r="E61" s="9">
        <v>4.8473192343247698E-3</v>
      </c>
      <c r="F61" s="8">
        <v>0</v>
      </c>
      <c r="G61" s="8">
        <v>0.27110000000000001</v>
      </c>
      <c r="H61" s="8">
        <v>0</v>
      </c>
      <c r="I61" s="8">
        <v>0.27539999999999998</v>
      </c>
      <c r="J61" s="8">
        <v>0</v>
      </c>
      <c r="K61" s="8">
        <v>0</v>
      </c>
      <c r="L61" s="8">
        <v>40.21</v>
      </c>
      <c r="M61" s="8">
        <v>93.06</v>
      </c>
      <c r="N61" s="10">
        <v>2.31434966426262</v>
      </c>
      <c r="O61" s="10">
        <v>2.3166568507100198</v>
      </c>
      <c r="P61" s="10">
        <v>2.3115434894259099</v>
      </c>
      <c r="Q61" s="10">
        <v>2.3104532792076999</v>
      </c>
      <c r="R61" s="8">
        <v>93.152771967049901</v>
      </c>
      <c r="S61" s="8">
        <v>92.919304855893998</v>
      </c>
      <c r="T61" s="8">
        <v>92.898463196650297</v>
      </c>
      <c r="U61" s="9">
        <v>9.9640828870611203E-4</v>
      </c>
      <c r="V61" s="9">
        <v>-1.5130196454413601E-3</v>
      </c>
      <c r="W61" s="9">
        <v>-1.7373432884330001E-3</v>
      </c>
      <c r="X61" s="10">
        <v>2.31434966426262</v>
      </c>
      <c r="Y61" s="10">
        <v>2.3166568507100198</v>
      </c>
      <c r="Z61" s="10">
        <v>2.3115434894259099</v>
      </c>
      <c r="AA61" s="10">
        <v>2.3104532792076999</v>
      </c>
      <c r="AB61" s="8">
        <v>93.152771967049901</v>
      </c>
      <c r="AC61" s="8">
        <v>92.919304855893998</v>
      </c>
      <c r="AD61" s="8">
        <v>92.898463196650297</v>
      </c>
      <c r="AE61" s="9">
        <v>9.9640828870611203E-4</v>
      </c>
      <c r="AF61" s="9">
        <v>-1.5130196454413601E-3</v>
      </c>
      <c r="AG61" s="9">
        <v>-1.7373432884330001E-3</v>
      </c>
      <c r="AZ61" s="9"/>
      <c r="BB61">
        <f t="shared" si="2"/>
        <v>0</v>
      </c>
      <c r="BC61">
        <f t="shared" si="3"/>
        <v>0</v>
      </c>
      <c r="BD61">
        <f t="shared" si="4"/>
        <v>1</v>
      </c>
      <c r="BE61">
        <f t="shared" si="0"/>
        <v>1</v>
      </c>
      <c r="BF61">
        <f t="shared" si="5"/>
        <v>1</v>
      </c>
      <c r="BG61" s="9">
        <f t="shared" si="6"/>
        <v>4.9862980400391197E-3</v>
      </c>
      <c r="BH61" s="9">
        <f t="shared" si="7"/>
        <v>-4.8473192343247698E-3</v>
      </c>
      <c r="BI61" s="9">
        <f t="shared" si="8"/>
        <v>1.3897880571434994E-4</v>
      </c>
      <c r="BJ61" s="12">
        <f t="shared" si="9"/>
        <v>1.0750292111382734E-3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1.0146857830334879E-3</v>
      </c>
      <c r="BX61" s="12">
        <f t="shared" si="18"/>
        <v>1.3897880571434994E-4</v>
      </c>
      <c r="BY61" s="12">
        <f t="shared" si="19"/>
        <v>2.0897149941717609E-3</v>
      </c>
    </row>
    <row r="62" spans="1:77" x14ac:dyDescent="0.3">
      <c r="A62" s="1">
        <v>46112</v>
      </c>
      <c r="B62" s="8">
        <v>40.83</v>
      </c>
      <c r="C62" s="8">
        <v>94.56</v>
      </c>
      <c r="D62" s="9">
        <v>1.53013844223017E-2</v>
      </c>
      <c r="E62" s="9">
        <v>1.5990107241285498E-2</v>
      </c>
      <c r="F62" s="8">
        <v>0</v>
      </c>
      <c r="G62" s="8">
        <v>0.27110000000000001</v>
      </c>
      <c r="H62" s="8">
        <v>0</v>
      </c>
      <c r="I62" s="8">
        <v>0.27539999999999998</v>
      </c>
      <c r="J62" s="8">
        <v>0</v>
      </c>
      <c r="K62" s="8">
        <v>0</v>
      </c>
      <c r="L62" s="8">
        <v>40.83</v>
      </c>
      <c r="M62" s="8">
        <v>94.56</v>
      </c>
      <c r="N62" s="10">
        <v>2.3159441587068299</v>
      </c>
      <c r="O62" s="10">
        <v>2.3166568507100198</v>
      </c>
      <c r="P62" s="10">
        <v>2.3128710513640098</v>
      </c>
      <c r="Q62" s="10">
        <v>2.31073561300117</v>
      </c>
      <c r="R62" s="8">
        <v>94.589099214490105</v>
      </c>
      <c r="S62" s="8">
        <v>94.380320673260101</v>
      </c>
      <c r="T62" s="8">
        <v>94.335807390050505</v>
      </c>
      <c r="U62" s="9">
        <v>3.0768546972230899E-4</v>
      </c>
      <c r="V62" s="9">
        <v>-1.9019696829695801E-3</v>
      </c>
      <c r="W62" s="9">
        <v>-2.3737182769224098E-3</v>
      </c>
      <c r="X62" s="10">
        <v>2.3159441587068299</v>
      </c>
      <c r="Y62" s="10">
        <v>2.3166568507100198</v>
      </c>
      <c r="Z62" s="10">
        <v>2.3128710513640098</v>
      </c>
      <c r="AA62" s="10">
        <v>2.31073561300117</v>
      </c>
      <c r="AB62" s="8">
        <v>94.589099214490105</v>
      </c>
      <c r="AC62" s="8">
        <v>94.380320673260101</v>
      </c>
      <c r="AD62" s="8">
        <v>94.335807390050505</v>
      </c>
      <c r="AE62" s="9">
        <v>3.0768546972230899E-4</v>
      </c>
      <c r="AF62" s="9">
        <v>-1.9019696829695801E-3</v>
      </c>
      <c r="AG62" s="9">
        <v>-2.3737182769224098E-3</v>
      </c>
      <c r="AZ62" s="9"/>
      <c r="BB62">
        <f t="shared" si="2"/>
        <v>1</v>
      </c>
      <c r="BC62">
        <f t="shared" si="3"/>
        <v>0</v>
      </c>
      <c r="BD62">
        <f t="shared" si="4"/>
        <v>1</v>
      </c>
      <c r="BE62">
        <f t="shared" si="0"/>
        <v>1</v>
      </c>
      <c r="BF62">
        <f t="shared" si="5"/>
        <v>1</v>
      </c>
      <c r="BG62" s="9">
        <f t="shared" si="6"/>
        <v>1.53013844223017E-2</v>
      </c>
      <c r="BH62" s="9">
        <f t="shared" si="7"/>
        <v>-1.5990107241285498E-2</v>
      </c>
      <c r="BI62" s="9">
        <f t="shared" si="8"/>
        <v>-6.8872281898379843E-4</v>
      </c>
      <c r="BJ62" s="12">
        <f t="shared" si="9"/>
        <v>3.8630639215447501E-4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1.0146857830334879E-3</v>
      </c>
      <c r="BX62" s="12">
        <f t="shared" si="18"/>
        <v>-6.8872281898379843E-4</v>
      </c>
      <c r="BY62" s="12">
        <f t="shared" si="19"/>
        <v>1.4009921751879624E-3</v>
      </c>
    </row>
    <row r="63" spans="1:77" x14ac:dyDescent="0.3">
      <c r="A63" s="1">
        <v>46113</v>
      </c>
      <c r="B63" s="8">
        <v>40.950000000000003</v>
      </c>
      <c r="C63" s="8">
        <v>94.88</v>
      </c>
      <c r="D63" s="9">
        <v>2.9347049675942402E-3</v>
      </c>
      <c r="E63" s="9">
        <v>3.3783815916271901E-3</v>
      </c>
      <c r="F63" s="8">
        <v>0</v>
      </c>
      <c r="G63" s="8">
        <v>0.27110000000000001</v>
      </c>
      <c r="H63" s="8">
        <v>0</v>
      </c>
      <c r="I63" s="8">
        <v>0.27539999999999998</v>
      </c>
      <c r="J63" s="8">
        <v>0</v>
      </c>
      <c r="K63" s="8">
        <v>0</v>
      </c>
      <c r="L63" s="8">
        <v>40.950000000000003</v>
      </c>
      <c r="M63" s="8">
        <v>94.88</v>
      </c>
      <c r="N63" s="10">
        <v>2.3169719169719101</v>
      </c>
      <c r="O63" s="10">
        <v>2.3166568507100198</v>
      </c>
      <c r="P63" s="10">
        <v>2.3141065581492501</v>
      </c>
      <c r="Q63" s="10">
        <v>2.3111134593067999</v>
      </c>
      <c r="R63" s="8">
        <v>94.8670980365753</v>
      </c>
      <c r="S63" s="8">
        <v>94.712069553356301</v>
      </c>
      <c r="T63" s="8">
        <v>94.624623352397904</v>
      </c>
      <c r="U63" s="9">
        <v>-1.35991154310837E-4</v>
      </c>
      <c r="V63" s="9">
        <v>-1.77149277346503E-3</v>
      </c>
      <c r="W63" s="9">
        <v>-2.69520392352439E-3</v>
      </c>
      <c r="X63" s="10">
        <v>2.3169719169719101</v>
      </c>
      <c r="Y63" s="10">
        <v>2.3166568507100198</v>
      </c>
      <c r="Z63" s="10">
        <v>2.3141065581492501</v>
      </c>
      <c r="AA63" s="10">
        <v>2.3111134593067999</v>
      </c>
      <c r="AB63" s="8">
        <v>94.8670980365753</v>
      </c>
      <c r="AC63" s="8">
        <v>94.712069553356301</v>
      </c>
      <c r="AD63" s="8">
        <v>94.624623352397904</v>
      </c>
      <c r="AE63" s="9">
        <v>-1.35991154310837E-4</v>
      </c>
      <c r="AF63" s="9">
        <v>-1.77149277346503E-3</v>
      </c>
      <c r="AG63" s="9">
        <v>-2.69520392352439E-3</v>
      </c>
      <c r="AZ63" s="9"/>
      <c r="BB63">
        <f t="shared" si="2"/>
        <v>1</v>
      </c>
      <c r="BC63">
        <f t="shared" si="3"/>
        <v>0</v>
      </c>
      <c r="BD63">
        <f t="shared" si="4"/>
        <v>1</v>
      </c>
      <c r="BE63">
        <f t="shared" si="0"/>
        <v>1</v>
      </c>
      <c r="BF63">
        <f t="shared" si="5"/>
        <v>1</v>
      </c>
      <c r="BG63" s="9">
        <f t="shared" si="6"/>
        <v>2.9347049675942402E-3</v>
      </c>
      <c r="BH63" s="9">
        <f t="shared" si="7"/>
        <v>-3.3783815916271901E-3</v>
      </c>
      <c r="BI63" s="9">
        <f t="shared" si="8"/>
        <v>-4.4367662403294993E-4</v>
      </c>
      <c r="BJ63" s="12">
        <f t="shared" si="9"/>
        <v>-5.7370231878474919E-5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1.0146857830334879E-3</v>
      </c>
      <c r="BX63" s="12">
        <f t="shared" si="18"/>
        <v>-4.4367662403294993E-4</v>
      </c>
      <c r="BY63" s="12">
        <f t="shared" si="19"/>
        <v>9.573155511550125E-4</v>
      </c>
    </row>
    <row r="64" spans="1:77" x14ac:dyDescent="0.3">
      <c r="A64" s="1">
        <v>46114</v>
      </c>
      <c r="B64" s="8">
        <v>41.61</v>
      </c>
      <c r="C64" s="8">
        <v>96.25</v>
      </c>
      <c r="D64" s="9">
        <v>1.5988712695771401E-2</v>
      </c>
      <c r="E64" s="9">
        <v>1.43360379184783E-2</v>
      </c>
      <c r="F64" s="8">
        <v>0</v>
      </c>
      <c r="G64" s="8">
        <v>0.27110000000000001</v>
      </c>
      <c r="H64" s="8">
        <v>0</v>
      </c>
      <c r="I64" s="8">
        <v>0.27539999999999998</v>
      </c>
      <c r="J64" s="8">
        <v>0</v>
      </c>
      <c r="K64" s="8">
        <v>0</v>
      </c>
      <c r="L64" s="8">
        <v>41.61</v>
      </c>
      <c r="M64" s="8">
        <v>96.25</v>
      </c>
      <c r="N64" s="10">
        <v>2.3131458783946099</v>
      </c>
      <c r="O64" s="10">
        <v>2.3166568507100198</v>
      </c>
      <c r="P64" s="10">
        <v>2.3152923291948202</v>
      </c>
      <c r="Q64" s="10">
        <v>2.3111962262306802</v>
      </c>
      <c r="R64" s="8">
        <v>96.396091558043906</v>
      </c>
      <c r="S64" s="8">
        <v>96.289973884590594</v>
      </c>
      <c r="T64" s="8">
        <v>96.165431041756094</v>
      </c>
      <c r="U64" s="9">
        <v>1.51668362298216E-3</v>
      </c>
      <c r="V64" s="9">
        <v>4.1522686804744299E-4</v>
      </c>
      <c r="W64" s="9">
        <v>-8.7902475629375305E-4</v>
      </c>
      <c r="X64" s="10">
        <v>2.3131458783946099</v>
      </c>
      <c r="Y64" s="10">
        <v>2.3166568507100198</v>
      </c>
      <c r="Z64" s="10">
        <v>2.3152923291948202</v>
      </c>
      <c r="AA64" s="10">
        <v>2.3111962262306802</v>
      </c>
      <c r="AB64" s="8">
        <v>96.396091558043906</v>
      </c>
      <c r="AC64" s="8">
        <v>96.289973884590594</v>
      </c>
      <c r="AD64" s="8">
        <v>96.165431041756094</v>
      </c>
      <c r="AE64" s="9">
        <v>1.51668362298216E-3</v>
      </c>
      <c r="AF64" s="9">
        <v>4.1522686804744299E-4</v>
      </c>
      <c r="AG64" s="9">
        <v>-8.7902475629375305E-4</v>
      </c>
      <c r="AZ64" s="9"/>
      <c r="BB64">
        <f t="shared" si="2"/>
        <v>0</v>
      </c>
      <c r="BC64">
        <f t="shared" si="3"/>
        <v>0</v>
      </c>
      <c r="BD64">
        <f t="shared" si="4"/>
        <v>1</v>
      </c>
      <c r="BE64">
        <f t="shared" si="0"/>
        <v>1</v>
      </c>
      <c r="BF64">
        <f t="shared" si="5"/>
        <v>1</v>
      </c>
      <c r="BG64" s="9">
        <f t="shared" si="6"/>
        <v>1.5988712695771401E-2</v>
      </c>
      <c r="BH64" s="9">
        <f t="shared" si="7"/>
        <v>-1.43360379184783E-2</v>
      </c>
      <c r="BI64" s="9">
        <f t="shared" si="8"/>
        <v>1.6526747772931012E-3</v>
      </c>
      <c r="BJ64" s="12">
        <f t="shared" si="9"/>
        <v>1.5953045454146263E-3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1.0146857830334879E-3</v>
      </c>
      <c r="BX64" s="12">
        <f t="shared" si="18"/>
        <v>1.6526747772931012E-3</v>
      </c>
      <c r="BY64" s="12">
        <f t="shared" si="19"/>
        <v>2.6099903284481137E-3</v>
      </c>
    </row>
    <row r="65" spans="1:77" x14ac:dyDescent="0.3">
      <c r="A65" s="1">
        <v>46118</v>
      </c>
      <c r="B65" s="8">
        <v>41.76</v>
      </c>
      <c r="C65" s="8">
        <v>96.37</v>
      </c>
      <c r="D65" s="9">
        <v>3.59842057953331E-3</v>
      </c>
      <c r="E65" s="9">
        <v>1.2459766953024701E-3</v>
      </c>
      <c r="F65" s="8">
        <v>0</v>
      </c>
      <c r="G65" s="8">
        <v>0.27110000000000001</v>
      </c>
      <c r="H65" s="8">
        <v>0</v>
      </c>
      <c r="I65" s="8">
        <v>0.27539999999999998</v>
      </c>
      <c r="J65" s="8">
        <v>0</v>
      </c>
      <c r="K65" s="8">
        <v>0</v>
      </c>
      <c r="L65" s="8">
        <v>41.76</v>
      </c>
      <c r="M65" s="8">
        <v>96.37</v>
      </c>
      <c r="N65" s="10">
        <v>2.3077107279693401</v>
      </c>
      <c r="O65" s="10">
        <v>2.3166568507100198</v>
      </c>
      <c r="P65" s="10">
        <v>2.31583428151874</v>
      </c>
      <c r="Q65" s="10">
        <v>2.3111469293346798</v>
      </c>
      <c r="R65" s="8">
        <v>96.743590085650396</v>
      </c>
      <c r="S65" s="8">
        <v>96.686607667176006</v>
      </c>
      <c r="T65" s="8">
        <v>96.515554407393495</v>
      </c>
      <c r="U65" s="9">
        <v>3.8691275072130602E-3</v>
      </c>
      <c r="V65" s="9">
        <v>3.2799493873044202E-3</v>
      </c>
      <c r="W65" s="9">
        <v>1.5092310615911E-3</v>
      </c>
      <c r="X65" s="10">
        <v>2.3077107279693401</v>
      </c>
      <c r="Y65" s="10">
        <v>2.3166568507100198</v>
      </c>
      <c r="Z65" s="10">
        <v>2.31583428151874</v>
      </c>
      <c r="AA65" s="10">
        <v>2.3111469293346798</v>
      </c>
      <c r="AB65" s="8">
        <v>96.743590085650396</v>
      </c>
      <c r="AC65" s="8">
        <v>96.686607667176006</v>
      </c>
      <c r="AD65" s="8">
        <v>96.515554407393495</v>
      </c>
      <c r="AE65" s="9">
        <v>3.8691275072130602E-3</v>
      </c>
      <c r="AF65" s="9">
        <v>3.2799493873044202E-3</v>
      </c>
      <c r="AG65" s="9">
        <v>1.5092310615911E-3</v>
      </c>
      <c r="AZ65" s="9"/>
      <c r="BB65">
        <f t="shared" si="2"/>
        <v>0</v>
      </c>
      <c r="BC65">
        <f t="shared" si="3"/>
        <v>1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3.59842057953331E-3</v>
      </c>
      <c r="BH65" s="9">
        <f t="shared" si="7"/>
        <v>-1.2459766953024701E-3</v>
      </c>
      <c r="BI65" s="9">
        <f t="shared" si="8"/>
        <v>2.3524438842308397E-3</v>
      </c>
      <c r="BJ65" s="12">
        <f t="shared" si="9"/>
        <v>3.947748429645466E-3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1.0146857830334879E-3</v>
      </c>
      <c r="BX65" s="12">
        <f t="shared" si="18"/>
        <v>2.3524438842308397E-3</v>
      </c>
      <c r="BY65" s="12">
        <f t="shared" si="19"/>
        <v>4.9624342126789534E-3</v>
      </c>
    </row>
    <row r="66" spans="1:77" x14ac:dyDescent="0.3">
      <c r="A66" s="1">
        <v>46119</v>
      </c>
      <c r="B66" s="8">
        <v>41.72</v>
      </c>
      <c r="C66" s="8">
        <v>96.46</v>
      </c>
      <c r="D66" s="9">
        <v>-9.5831344181159005E-4</v>
      </c>
      <c r="E66" s="9">
        <v>9.3346477762974798E-4</v>
      </c>
      <c r="F66" s="8">
        <v>0</v>
      </c>
      <c r="G66" s="8">
        <v>0.27110000000000001</v>
      </c>
      <c r="H66" s="8">
        <v>0</v>
      </c>
      <c r="I66" s="8">
        <v>0.27539999999999998</v>
      </c>
      <c r="J66" s="8">
        <v>0</v>
      </c>
      <c r="K66" s="8">
        <v>0</v>
      </c>
      <c r="L66" s="8">
        <v>41.72</v>
      </c>
      <c r="M66" s="8">
        <v>96.46</v>
      </c>
      <c r="N66" s="10">
        <v>2.3120805369127502</v>
      </c>
      <c r="O66" s="10">
        <v>2.3166568507100198</v>
      </c>
      <c r="P66" s="10">
        <v>2.31535843565314</v>
      </c>
      <c r="Q66" s="10">
        <v>2.3113135434302001</v>
      </c>
      <c r="R66" s="8">
        <v>96.650923811621993</v>
      </c>
      <c r="S66" s="8">
        <v>96.616606224961799</v>
      </c>
      <c r="T66" s="8">
        <v>96.421049891842898</v>
      </c>
      <c r="U66" s="9">
        <v>1.9773492877717602E-3</v>
      </c>
      <c r="V66" s="9">
        <v>1.62221889401808E-3</v>
      </c>
      <c r="W66" s="9">
        <v>-4.0387698748400901E-4</v>
      </c>
      <c r="X66" s="10">
        <v>2.3120805369127502</v>
      </c>
      <c r="Y66" s="10">
        <v>2.3166568507100198</v>
      </c>
      <c r="Z66" s="10">
        <v>2.31535843565314</v>
      </c>
      <c r="AA66" s="10">
        <v>2.3113135434302001</v>
      </c>
      <c r="AB66" s="8">
        <v>96.650923811621993</v>
      </c>
      <c r="AC66" s="8">
        <v>96.616606224961799</v>
      </c>
      <c r="AD66" s="8">
        <v>96.421049891842898</v>
      </c>
      <c r="AE66" s="9">
        <v>1.9773492877717602E-3</v>
      </c>
      <c r="AF66" s="9">
        <v>1.62221889401808E-3</v>
      </c>
      <c r="AG66" s="9">
        <v>-4.0387698748400901E-4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3.947748429645466E-3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1.0146857830334879E-3</v>
      </c>
      <c r="BX66" s="12">
        <f t="shared" si="18"/>
        <v>0</v>
      </c>
      <c r="BY66" s="12">
        <f t="shared" si="19"/>
        <v>4.9624342126789534E-3</v>
      </c>
    </row>
    <row r="67" spans="1:77" x14ac:dyDescent="0.3">
      <c r="A67" s="1">
        <v>46120</v>
      </c>
      <c r="B67" s="8">
        <v>42.44</v>
      </c>
      <c r="C67" s="8">
        <v>98.19</v>
      </c>
      <c r="D67" s="9">
        <v>1.7110683613210699E-2</v>
      </c>
      <c r="E67" s="9">
        <v>1.77759625403731E-2</v>
      </c>
      <c r="F67" s="8">
        <v>0</v>
      </c>
      <c r="G67" s="8">
        <v>0.27110000000000001</v>
      </c>
      <c r="H67" s="8">
        <v>0</v>
      </c>
      <c r="I67" s="8">
        <v>0.27539999999999998</v>
      </c>
      <c r="J67" s="8">
        <v>0</v>
      </c>
      <c r="K67" s="8">
        <v>0</v>
      </c>
      <c r="L67" s="8">
        <v>42.44</v>
      </c>
      <c r="M67" s="8">
        <v>98.19</v>
      </c>
      <c r="N67" s="10">
        <v>2.3136192271442</v>
      </c>
      <c r="O67" s="10">
        <v>2.3166568507100198</v>
      </c>
      <c r="P67" s="10">
        <v>2.31467766787364</v>
      </c>
      <c r="Q67" s="10">
        <v>2.31152386173056</v>
      </c>
      <c r="R67" s="8">
        <v>98.318916744133205</v>
      </c>
      <c r="S67" s="8">
        <v>98.263812009119505</v>
      </c>
      <c r="T67" s="8">
        <v>98.092146783177796</v>
      </c>
      <c r="U67" s="9">
        <v>1.3120703606094501E-3</v>
      </c>
      <c r="V67" s="9">
        <v>7.5144393318672404E-4</v>
      </c>
      <c r="W67" s="9">
        <v>-9.9706699292389199E-4</v>
      </c>
      <c r="X67" s="10">
        <v>2.3136192271442</v>
      </c>
      <c r="Y67" s="10">
        <v>2.3166568507100198</v>
      </c>
      <c r="Z67" s="10">
        <v>2.31467766787364</v>
      </c>
      <c r="AA67" s="10">
        <v>2.31152386173056</v>
      </c>
      <c r="AB67" s="8">
        <v>98.318916744133205</v>
      </c>
      <c r="AC67" s="8">
        <v>98.263812009119505</v>
      </c>
      <c r="AD67" s="8">
        <v>98.092146783177796</v>
      </c>
      <c r="AE67" s="9">
        <v>1.3120703606094501E-3</v>
      </c>
      <c r="AF67" s="9">
        <v>7.5144393318672404E-4</v>
      </c>
      <c r="AG67" s="9">
        <v>-9.9706699292389199E-4</v>
      </c>
      <c r="AZ67" s="9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3.947748429645466E-3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1.0146857830334879E-3</v>
      </c>
      <c r="BX67" s="12">
        <f t="shared" si="18"/>
        <v>0</v>
      </c>
      <c r="BY67" s="12">
        <f t="shared" si="19"/>
        <v>4.9624342126789534E-3</v>
      </c>
    </row>
    <row r="68" spans="1:77" x14ac:dyDescent="0.3">
      <c r="A68" s="1">
        <v>46121</v>
      </c>
      <c r="B68" s="8">
        <v>42.73</v>
      </c>
      <c r="C68" s="8">
        <v>98.9</v>
      </c>
      <c r="D68" s="9">
        <v>6.8099359101511702E-3</v>
      </c>
      <c r="E68" s="9">
        <v>7.2048614474676097E-3</v>
      </c>
      <c r="F68" s="8">
        <v>0</v>
      </c>
      <c r="G68" s="8">
        <v>0.27110000000000001</v>
      </c>
      <c r="H68" s="8">
        <v>0</v>
      </c>
      <c r="I68" s="8">
        <v>0.27539999999999998</v>
      </c>
      <c r="J68" s="8">
        <v>0</v>
      </c>
      <c r="K68" s="8">
        <v>0</v>
      </c>
      <c r="L68" s="8">
        <v>42.73</v>
      </c>
      <c r="M68" s="8">
        <v>98.9</v>
      </c>
      <c r="N68" s="10">
        <v>2.3145331149075501</v>
      </c>
      <c r="O68" s="10">
        <v>2.3166568507100198</v>
      </c>
      <c r="P68" s="10">
        <v>2.3139730454185301</v>
      </c>
      <c r="Q68" s="10">
        <v>2.3116999397820002</v>
      </c>
      <c r="R68" s="8">
        <v>98.990747230839105</v>
      </c>
      <c r="S68" s="8">
        <v>98.906176748240895</v>
      </c>
      <c r="T68" s="8">
        <v>98.771414611746906</v>
      </c>
      <c r="U68" s="9">
        <v>9.1714482329292499E-4</v>
      </c>
      <c r="V68" s="9">
        <v>6.2452531508329907E-5</v>
      </c>
      <c r="W68" s="9">
        <v>-1.3010015296610799E-3</v>
      </c>
      <c r="X68" s="10">
        <v>2.3145331149075501</v>
      </c>
      <c r="Y68" s="10">
        <v>2.3166568507100198</v>
      </c>
      <c r="Z68" s="10">
        <v>2.3139730454185301</v>
      </c>
      <c r="AA68" s="10">
        <v>2.3116999397820002</v>
      </c>
      <c r="AB68" s="8">
        <v>98.990747230839105</v>
      </c>
      <c r="AC68" s="8">
        <v>98.906176748240895</v>
      </c>
      <c r="AD68" s="8">
        <v>98.771414611746906</v>
      </c>
      <c r="AE68" s="9">
        <v>9.1714482329292499E-4</v>
      </c>
      <c r="AF68" s="9">
        <v>6.2452531508329907E-5</v>
      </c>
      <c r="AG68" s="9">
        <v>-1.3010015296610799E-3</v>
      </c>
      <c r="AZ68" s="9"/>
      <c r="BB68">
        <f t="shared" si="2"/>
        <v>0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3.947748429645466E-3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1.0146857830334879E-3</v>
      </c>
      <c r="BX68" s="12">
        <f t="shared" si="18"/>
        <v>0</v>
      </c>
      <c r="BY68" s="12">
        <f t="shared" si="19"/>
        <v>4.9624342126789534E-3</v>
      </c>
    </row>
    <row r="69" spans="1:77" x14ac:dyDescent="0.3">
      <c r="A69" s="1">
        <v>46122</v>
      </c>
      <c r="B69" s="8">
        <v>42.82</v>
      </c>
      <c r="C69" s="8">
        <v>99.02</v>
      </c>
      <c r="D69" s="9">
        <v>2.1040335056032901E-3</v>
      </c>
      <c r="E69" s="9">
        <v>1.21261130461038E-3</v>
      </c>
      <c r="F69" s="8">
        <v>0</v>
      </c>
      <c r="G69" s="8">
        <v>0.27110000000000001</v>
      </c>
      <c r="H69" s="8">
        <v>0</v>
      </c>
      <c r="I69" s="8">
        <v>0.27539999999999998</v>
      </c>
      <c r="J69" s="8">
        <v>0</v>
      </c>
      <c r="K69" s="8">
        <v>0</v>
      </c>
      <c r="L69" s="8">
        <v>42.82</v>
      </c>
      <c r="M69" s="8">
        <v>99.02</v>
      </c>
      <c r="N69" s="10">
        <v>2.3124708080336198</v>
      </c>
      <c r="O69" s="10">
        <v>2.3166568507100198</v>
      </c>
      <c r="P69" s="10">
        <v>2.3135497365470399</v>
      </c>
      <c r="Q69" s="10">
        <v>2.3118512447778898</v>
      </c>
      <c r="R69" s="8">
        <v>99.199246347403005</v>
      </c>
      <c r="S69" s="8">
        <v>99.084325804821802</v>
      </c>
      <c r="T69" s="8">
        <v>98.986991421465206</v>
      </c>
      <c r="U69" s="9">
        <v>1.8085670242858299E-3</v>
      </c>
      <c r="V69" s="9">
        <v>6.4941345244432099E-4</v>
      </c>
      <c r="W69" s="9">
        <v>-3.3340821557375301E-4</v>
      </c>
      <c r="X69" s="10">
        <v>2.3124708080336198</v>
      </c>
      <c r="Y69" s="10">
        <v>2.3166568507100198</v>
      </c>
      <c r="Z69" s="10">
        <v>2.3135497365470399</v>
      </c>
      <c r="AA69" s="10">
        <v>2.3118512447778898</v>
      </c>
      <c r="AB69" s="8">
        <v>99.199246347403005</v>
      </c>
      <c r="AC69" s="8">
        <v>99.084325804821802</v>
      </c>
      <c r="AD69" s="8">
        <v>98.986991421465206</v>
      </c>
      <c r="AE69" s="9">
        <v>1.8085670242858299E-3</v>
      </c>
      <c r="AF69" s="9">
        <v>6.4941345244432099E-4</v>
      </c>
      <c r="AG69" s="9">
        <v>-3.3340821557375301E-4</v>
      </c>
      <c r="AZ69" s="9"/>
      <c r="BB69">
        <f t="shared" si="2"/>
        <v>0</v>
      </c>
      <c r="BC69">
        <f t="shared" si="3"/>
        <v>0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3.947748429645466E-3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1.0146857830334879E-3</v>
      </c>
      <c r="BX69" s="12">
        <f t="shared" si="18"/>
        <v>0</v>
      </c>
      <c r="BY69" s="12">
        <f t="shared" si="19"/>
        <v>4.9624342126789534E-3</v>
      </c>
    </row>
    <row r="70" spans="1:77" x14ac:dyDescent="0.3">
      <c r="A70" s="1">
        <v>46125</v>
      </c>
      <c r="B70" s="8">
        <v>43.02</v>
      </c>
      <c r="C70" s="8">
        <v>99.45</v>
      </c>
      <c r="D70" s="9">
        <v>4.65984067804726E-3</v>
      </c>
      <c r="E70" s="9">
        <v>4.3331553667042104E-3</v>
      </c>
      <c r="F70" s="8">
        <v>0</v>
      </c>
      <c r="G70" s="8">
        <v>0.27110000000000001</v>
      </c>
      <c r="H70" s="8">
        <v>0</v>
      </c>
      <c r="I70" s="8">
        <v>0.27539999999999998</v>
      </c>
      <c r="J70" s="8">
        <v>0</v>
      </c>
      <c r="K70" s="8">
        <v>0</v>
      </c>
      <c r="L70" s="8">
        <v>43.02</v>
      </c>
      <c r="M70" s="8">
        <v>99.45</v>
      </c>
      <c r="N70" s="10">
        <v>2.3117154811715399</v>
      </c>
      <c r="O70" s="10">
        <v>2.3166568507100198</v>
      </c>
      <c r="P70" s="10">
        <v>2.3132541514475</v>
      </c>
      <c r="Q70" s="10">
        <v>2.3120524034518501</v>
      </c>
      <c r="R70" s="8">
        <v>99.662577717545005</v>
      </c>
      <c r="S70" s="8">
        <v>99.528909666253796</v>
      </c>
      <c r="T70" s="8">
        <v>99.455840550344902</v>
      </c>
      <c r="U70" s="9">
        <v>2.13525233562885E-3</v>
      </c>
      <c r="V70" s="9">
        <v>7.9314607284668897E-4</v>
      </c>
      <c r="W70" s="9">
        <v>5.8726785804125403E-5</v>
      </c>
      <c r="X70" s="10">
        <v>2.3117154811715399</v>
      </c>
      <c r="Y70" s="10">
        <v>2.3166568507100198</v>
      </c>
      <c r="Z70" s="10">
        <v>2.3132541514475</v>
      </c>
      <c r="AA70" s="10">
        <v>2.3120524034518501</v>
      </c>
      <c r="AB70" s="8">
        <v>99.662577717545005</v>
      </c>
      <c r="AC70" s="8">
        <v>99.528909666253796</v>
      </c>
      <c r="AD70" s="8">
        <v>99.455840550344902</v>
      </c>
      <c r="AE70" s="9">
        <v>2.13525233562885E-3</v>
      </c>
      <c r="AF70" s="9">
        <v>7.9314607284668897E-4</v>
      </c>
      <c r="AG70" s="9">
        <v>5.8726785804125403E-5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3.947748429645466E-3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1.0146857830334879E-3</v>
      </c>
      <c r="BX70" s="12">
        <f t="shared" si="18"/>
        <v>0</v>
      </c>
      <c r="BY70" s="12">
        <f t="shared" si="19"/>
        <v>4.9624342126789534E-3</v>
      </c>
    </row>
    <row r="71" spans="1:77" x14ac:dyDescent="0.3">
      <c r="A71" s="1">
        <v>46126</v>
      </c>
      <c r="B71" s="8">
        <v>43.43</v>
      </c>
      <c r="C71" s="8">
        <v>100.42</v>
      </c>
      <c r="D71" s="9">
        <v>9.4853227071463597E-3</v>
      </c>
      <c r="E71" s="9">
        <v>9.7063853065781896E-3</v>
      </c>
      <c r="F71" s="8">
        <v>0</v>
      </c>
      <c r="G71" s="8">
        <v>0.27110000000000001</v>
      </c>
      <c r="H71" s="8">
        <v>0</v>
      </c>
      <c r="I71" s="8">
        <v>0.27539999999999998</v>
      </c>
      <c r="J71" s="8">
        <v>0</v>
      </c>
      <c r="K71" s="8">
        <v>0</v>
      </c>
      <c r="L71" s="8">
        <v>43.43</v>
      </c>
      <c r="M71" s="8">
        <v>100.42</v>
      </c>
      <c r="N71" s="10">
        <v>2.31222657149435</v>
      </c>
      <c r="O71" s="10">
        <v>2.3166568507100198</v>
      </c>
      <c r="P71" s="10">
        <v>2.3130418421706702</v>
      </c>
      <c r="Q71" s="10">
        <v>2.3122926657982901</v>
      </c>
      <c r="R71" s="8">
        <v>100.612407026336</v>
      </c>
      <c r="S71" s="8">
        <v>100.464627797365</v>
      </c>
      <c r="T71" s="8">
        <v>100.41243588191401</v>
      </c>
      <c r="U71" s="9">
        <v>1.9141897361970299E-3</v>
      </c>
      <c r="V71" s="9">
        <v>4.44312724060136E-4</v>
      </c>
      <c r="W71" s="9">
        <v>-7.5327653686441801E-5</v>
      </c>
      <c r="X71" s="10">
        <v>2.31222657149435</v>
      </c>
      <c r="Y71" s="10">
        <v>2.3166568507100198</v>
      </c>
      <c r="Z71" s="10">
        <v>2.3130418421706702</v>
      </c>
      <c r="AA71" s="10">
        <v>2.3122926657982901</v>
      </c>
      <c r="AB71" s="8">
        <v>100.612407026336</v>
      </c>
      <c r="AC71" s="8">
        <v>100.464627797365</v>
      </c>
      <c r="AD71" s="8">
        <v>100.41243588191401</v>
      </c>
      <c r="AE71" s="9">
        <v>1.9141897361970299E-3</v>
      </c>
      <c r="AF71" s="9">
        <v>4.44312724060136E-4</v>
      </c>
      <c r="AG71" s="9">
        <v>-7.5327653686441801E-5</v>
      </c>
      <c r="AZ71" s="9"/>
      <c r="BB71">
        <f t="shared" si="2"/>
        <v>0</v>
      </c>
      <c r="BC71">
        <f t="shared" si="3"/>
        <v>0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3.947748429645466E-3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1.0146857830334879E-3</v>
      </c>
      <c r="BX71" s="12">
        <f t="shared" si="18"/>
        <v>0</v>
      </c>
      <c r="BY71" s="12">
        <f t="shared" si="19"/>
        <v>4.9624342126789534E-3</v>
      </c>
    </row>
    <row r="72" spans="1:77" x14ac:dyDescent="0.3">
      <c r="A72" s="1">
        <v>46127</v>
      </c>
      <c r="B72" s="8">
        <v>43.41</v>
      </c>
      <c r="C72" s="8">
        <v>100.47</v>
      </c>
      <c r="D72" s="9">
        <v>-4.60617235228384E-4</v>
      </c>
      <c r="E72" s="9">
        <v>4.9778486766349295E-4</v>
      </c>
      <c r="F72" s="8">
        <v>0</v>
      </c>
      <c r="G72" s="8">
        <v>0.27110000000000001</v>
      </c>
      <c r="H72" s="8">
        <v>0</v>
      </c>
      <c r="I72" s="8">
        <v>0.27539999999999998</v>
      </c>
      <c r="J72" s="8">
        <v>0</v>
      </c>
      <c r="K72" s="8">
        <v>0</v>
      </c>
      <c r="L72" s="8">
        <v>43.41</v>
      </c>
      <c r="M72" s="8">
        <v>100.47</v>
      </c>
      <c r="N72" s="10">
        <v>2.3144436765722101</v>
      </c>
      <c r="O72" s="10">
        <v>2.3166568507100198</v>
      </c>
      <c r="P72" s="10">
        <v>2.3128917939572098</v>
      </c>
      <c r="Q72" s="10">
        <v>2.31288142266061</v>
      </c>
      <c r="R72" s="8">
        <v>100.566073889321</v>
      </c>
      <c r="S72" s="8">
        <v>100.409146368629</v>
      </c>
      <c r="T72" s="8">
        <v>100.37662462230401</v>
      </c>
      <c r="U72" s="9">
        <v>9.5578763330512301E-4</v>
      </c>
      <c r="V72" s="9">
        <v>-6.0587307674831402E-4</v>
      </c>
      <c r="W72" s="9">
        <v>-9.2981781096840895E-4</v>
      </c>
      <c r="X72" s="10">
        <v>2.3144436765722101</v>
      </c>
      <c r="Y72" s="10">
        <v>2.3166568507100198</v>
      </c>
      <c r="Z72" s="10">
        <v>2.3128917939572098</v>
      </c>
      <c r="AA72" s="10">
        <v>2.31288142266061</v>
      </c>
      <c r="AB72" s="8">
        <v>100.566073889321</v>
      </c>
      <c r="AC72" s="8">
        <v>100.409146368629</v>
      </c>
      <c r="AD72" s="8">
        <v>100.37662462230401</v>
      </c>
      <c r="AE72" s="9">
        <v>9.5578763330512301E-4</v>
      </c>
      <c r="AF72" s="9">
        <v>-6.0587307674831402E-4</v>
      </c>
      <c r="AG72" s="9">
        <v>-9.2981781096840895E-4</v>
      </c>
      <c r="AZ72" s="9"/>
      <c r="BB72">
        <f t="shared" si="2"/>
        <v>0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3.947748429645466E-3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1.0146857830334879E-3</v>
      </c>
      <c r="BX72" s="12">
        <f t="shared" si="18"/>
        <v>0</v>
      </c>
      <c r="BY72" s="12">
        <f t="shared" si="19"/>
        <v>4.9624342126789534E-3</v>
      </c>
    </row>
    <row r="73" spans="1:77" x14ac:dyDescent="0.3">
      <c r="A73" s="1">
        <v>46128</v>
      </c>
      <c r="B73" s="8">
        <v>43.81</v>
      </c>
      <c r="C73" s="8">
        <v>101.36</v>
      </c>
      <c r="D73" s="9">
        <v>9.1722725143050798E-3</v>
      </c>
      <c r="E73" s="9">
        <v>8.8193605386607393E-3</v>
      </c>
      <c r="F73" s="8">
        <v>0</v>
      </c>
      <c r="G73" s="8">
        <v>0.27110000000000001</v>
      </c>
      <c r="H73" s="8">
        <v>0</v>
      </c>
      <c r="I73" s="8">
        <v>0.27539999999999998</v>
      </c>
      <c r="J73" s="8">
        <v>0</v>
      </c>
      <c r="K73" s="8">
        <v>0</v>
      </c>
      <c r="L73" s="8">
        <v>43.81</v>
      </c>
      <c r="M73" s="8">
        <v>101.36</v>
      </c>
      <c r="N73" s="10">
        <v>2.3136270257931901</v>
      </c>
      <c r="O73" s="10">
        <v>2.3166568507100198</v>
      </c>
      <c r="P73" s="10">
        <v>2.31255730483934</v>
      </c>
      <c r="Q73" s="10">
        <v>2.3133319314943002</v>
      </c>
      <c r="R73" s="8">
        <v>101.49273662960501</v>
      </c>
      <c r="S73" s="8">
        <v>101.327789493265</v>
      </c>
      <c r="T73" s="8">
        <v>101.327335126761</v>
      </c>
      <c r="U73" s="9">
        <v>1.3086996089494601E-3</v>
      </c>
      <c r="V73" s="9">
        <v>-3.17833719397671E-4</v>
      </c>
      <c r="W73" s="9">
        <v>-3.2231785474731299E-4</v>
      </c>
      <c r="X73" s="10">
        <v>2.3136270257931901</v>
      </c>
      <c r="Y73" s="10">
        <v>2.3166568507100198</v>
      </c>
      <c r="Z73" s="10">
        <v>2.31255730483934</v>
      </c>
      <c r="AA73" s="10">
        <v>2.3133319314943002</v>
      </c>
      <c r="AB73" s="8">
        <v>101.49273662960501</v>
      </c>
      <c r="AC73" s="8">
        <v>101.327789493265</v>
      </c>
      <c r="AD73" s="8">
        <v>101.327335126761</v>
      </c>
      <c r="AE73" s="9">
        <v>1.3086996089494601E-3</v>
      </c>
      <c r="AF73" s="9">
        <v>-3.17833719397671E-4</v>
      </c>
      <c r="AG73" s="9">
        <v>-3.2231785474731299E-4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3.947748429645466E-3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1.0146857830334879E-3</v>
      </c>
      <c r="BX73" s="12">
        <f t="shared" si="18"/>
        <v>0</v>
      </c>
      <c r="BY73" s="12">
        <f t="shared" si="19"/>
        <v>4.9624342126789534E-3</v>
      </c>
    </row>
    <row r="74" spans="1:77" x14ac:dyDescent="0.3">
      <c r="A74" s="1">
        <v>46129</v>
      </c>
      <c r="B74" s="8">
        <v>44.48</v>
      </c>
      <c r="C74" s="8">
        <v>102.98</v>
      </c>
      <c r="D74" s="9">
        <v>1.51775481165196E-2</v>
      </c>
      <c r="E74" s="9">
        <v>1.5856258605111799E-2</v>
      </c>
      <c r="F74" s="8">
        <v>0</v>
      </c>
      <c r="G74" s="8">
        <v>0.27110000000000001</v>
      </c>
      <c r="H74" s="8">
        <v>0</v>
      </c>
      <c r="I74" s="8">
        <v>0.27539999999999998</v>
      </c>
      <c r="J74" s="8">
        <v>0</v>
      </c>
      <c r="K74" s="8">
        <v>0</v>
      </c>
      <c r="L74" s="8">
        <v>44.48</v>
      </c>
      <c r="M74" s="8">
        <v>102.98</v>
      </c>
      <c r="N74" s="10">
        <v>2.3151978417266101</v>
      </c>
      <c r="O74" s="10">
        <v>2.3166568507100198</v>
      </c>
      <c r="P74" s="10">
        <v>2.3127625011725401</v>
      </c>
      <c r="Q74" s="10">
        <v>2.3140274151836802</v>
      </c>
      <c r="R74" s="8">
        <v>103.044896719581</v>
      </c>
      <c r="S74" s="8">
        <v>102.862548919253</v>
      </c>
      <c r="T74" s="8">
        <v>102.897004312866</v>
      </c>
      <c r="U74" s="9">
        <v>6.2998912035739697E-4</v>
      </c>
      <c r="V74" s="9">
        <v>-1.14117410718878E-3</v>
      </c>
      <c r="W74" s="9">
        <v>-8.0626480753933304E-4</v>
      </c>
      <c r="X74" s="10">
        <v>2.3151978417266101</v>
      </c>
      <c r="Y74" s="10">
        <v>2.3166568507100198</v>
      </c>
      <c r="Z74" s="10">
        <v>2.3127625011725401</v>
      </c>
      <c r="AA74" s="10">
        <v>2.3140274151836802</v>
      </c>
      <c r="AB74" s="8">
        <v>103.044896719581</v>
      </c>
      <c r="AC74" s="8">
        <v>102.862548919253</v>
      </c>
      <c r="AD74" s="8">
        <v>102.897004312866</v>
      </c>
      <c r="AE74" s="9">
        <v>6.2998912035739697E-4</v>
      </c>
      <c r="AF74" s="9">
        <v>-1.14117410718878E-3</v>
      </c>
      <c r="AG74" s="9">
        <v>-8.0626480753933304E-4</v>
      </c>
      <c r="AZ74" s="9"/>
      <c r="BB74">
        <f t="shared" si="2"/>
        <v>0</v>
      </c>
      <c r="BC74">
        <f t="shared" si="3"/>
        <v>0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3.947748429645466E-3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1.0146857830334879E-3</v>
      </c>
      <c r="BX74" s="12">
        <f t="shared" si="18"/>
        <v>0</v>
      </c>
      <c r="BY74" s="12">
        <f t="shared" si="19"/>
        <v>4.9624342126789534E-3</v>
      </c>
    </row>
    <row r="75" spans="1:77" x14ac:dyDescent="0.3">
      <c r="A75" s="1">
        <v>46132</v>
      </c>
      <c r="B75" s="8">
        <v>44.64</v>
      </c>
      <c r="C75" s="8">
        <v>103.23</v>
      </c>
      <c r="D75" s="9">
        <v>3.59066813072854E-3</v>
      </c>
      <c r="E75" s="9">
        <v>2.4247138595033398E-3</v>
      </c>
      <c r="F75" s="8">
        <v>0</v>
      </c>
      <c r="G75" s="8">
        <v>0.27110000000000001</v>
      </c>
      <c r="H75" s="8">
        <v>0</v>
      </c>
      <c r="I75" s="8">
        <v>0.27539999999999998</v>
      </c>
      <c r="J75" s="8">
        <v>0</v>
      </c>
      <c r="K75" s="8">
        <v>0</v>
      </c>
      <c r="L75" s="8">
        <v>44.64</v>
      </c>
      <c r="M75" s="8">
        <v>103.23</v>
      </c>
      <c r="N75" s="10">
        <v>2.3125</v>
      </c>
      <c r="O75" s="10">
        <v>2.3166568507100198</v>
      </c>
      <c r="P75" s="10">
        <v>2.3132414283756</v>
      </c>
      <c r="Q75" s="10">
        <v>2.31453785494717</v>
      </c>
      <c r="R75" s="8">
        <v>103.415561815695</v>
      </c>
      <c r="S75" s="8">
        <v>103.24171805234199</v>
      </c>
      <c r="T75" s="8">
        <v>103.298183813799</v>
      </c>
      <c r="U75" s="9">
        <v>1.7959433915826499E-3</v>
      </c>
      <c r="V75" s="9">
        <v>1.1350757833056501E-4</v>
      </c>
      <c r="W75" s="9">
        <v>6.6028582654291E-4</v>
      </c>
      <c r="X75" s="10">
        <v>2.3125</v>
      </c>
      <c r="Y75" s="10">
        <v>2.3166568507100198</v>
      </c>
      <c r="Z75" s="10">
        <v>2.3132414283756</v>
      </c>
      <c r="AA75" s="10">
        <v>2.31453785494717</v>
      </c>
      <c r="AB75" s="8">
        <v>103.415561815695</v>
      </c>
      <c r="AC75" s="8">
        <v>103.24171805234199</v>
      </c>
      <c r="AD75" s="8">
        <v>103.298183813799</v>
      </c>
      <c r="AE75" s="9">
        <v>1.7959433915826499E-3</v>
      </c>
      <c r="AF75" s="9">
        <v>1.1350757833056501E-4</v>
      </c>
      <c r="AG75" s="9">
        <v>6.6028582654291E-4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3.947748429645466E-3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1.0146857830334879E-3</v>
      </c>
      <c r="BX75" s="12">
        <f t="shared" si="18"/>
        <v>0</v>
      </c>
      <c r="BY75" s="12">
        <f t="shared" si="19"/>
        <v>4.9624342126789534E-3</v>
      </c>
    </row>
    <row r="76" spans="1:77" x14ac:dyDescent="0.3">
      <c r="A76" s="1">
        <v>46133</v>
      </c>
      <c r="B76" s="8">
        <v>43.78</v>
      </c>
      <c r="C76" s="8">
        <v>101.45</v>
      </c>
      <c r="D76" s="9">
        <v>-1.9453225978338502E-2</v>
      </c>
      <c r="E76" s="9">
        <v>-1.7393442205674899E-2</v>
      </c>
      <c r="F76" s="8">
        <v>0</v>
      </c>
      <c r="G76" s="8">
        <v>0.27110000000000001</v>
      </c>
      <c r="H76" s="8">
        <v>0</v>
      </c>
      <c r="I76" s="8">
        <v>0.27539999999999998</v>
      </c>
      <c r="J76" s="8">
        <v>0</v>
      </c>
      <c r="K76" s="8">
        <v>0</v>
      </c>
      <c r="L76" s="8">
        <v>43.78</v>
      </c>
      <c r="M76" s="8">
        <v>101.45</v>
      </c>
      <c r="N76" s="10">
        <v>2.3172681589767001</v>
      </c>
      <c r="O76" s="10">
        <v>2.3166568507100198</v>
      </c>
      <c r="P76" s="10">
        <v>2.3137601905820002</v>
      </c>
      <c r="Q76" s="10">
        <v>2.3145593131175701</v>
      </c>
      <c r="R76" s="8">
        <v>101.42323692408399</v>
      </c>
      <c r="S76" s="8">
        <v>101.273709734284</v>
      </c>
      <c r="T76" s="8">
        <v>101.33046728958701</v>
      </c>
      <c r="U76" s="9">
        <v>-2.6384038108080899E-4</v>
      </c>
      <c r="V76" s="9">
        <v>-1.7392174835884999E-3</v>
      </c>
      <c r="W76" s="9">
        <v>-1.1789372601337101E-3</v>
      </c>
      <c r="X76" s="10">
        <v>2.3172681589767001</v>
      </c>
      <c r="Y76" s="10">
        <v>2.3166568507100198</v>
      </c>
      <c r="Z76" s="10">
        <v>2.3137601905820002</v>
      </c>
      <c r="AA76" s="10">
        <v>2.3145593131175701</v>
      </c>
      <c r="AB76" s="8">
        <v>101.42323692408399</v>
      </c>
      <c r="AC76" s="8">
        <v>101.273709734284</v>
      </c>
      <c r="AD76" s="8">
        <v>101.33046728958701</v>
      </c>
      <c r="AE76" s="9">
        <v>-2.6384038108080899E-4</v>
      </c>
      <c r="AF76" s="9">
        <v>-1.7392174835884999E-3</v>
      </c>
      <c r="AG76" s="9">
        <v>-1.1789372601337101E-3</v>
      </c>
      <c r="AZ76" s="9"/>
      <c r="BB76">
        <f t="shared" si="2"/>
        <v>0</v>
      </c>
      <c r="BC76">
        <f t="shared" si="3"/>
        <v>0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3.947748429645466E-3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1.0146857830334879E-3</v>
      </c>
      <c r="BX76" s="12">
        <f t="shared" si="18"/>
        <v>0</v>
      </c>
      <c r="BY76" s="12">
        <f t="shared" si="19"/>
        <v>4.9624342126789534E-3</v>
      </c>
    </row>
    <row r="77" spans="1:77" x14ac:dyDescent="0.3">
      <c r="A77" s="1">
        <v>46134</v>
      </c>
      <c r="B77" s="8">
        <v>43.46</v>
      </c>
      <c r="C77" s="8">
        <v>100.63</v>
      </c>
      <c r="D77" s="9">
        <v>-7.33611726643329E-3</v>
      </c>
      <c r="E77" s="9">
        <v>-8.1156423265819396E-3</v>
      </c>
      <c r="F77" s="8">
        <v>0</v>
      </c>
      <c r="G77" s="8">
        <v>0.27110000000000001</v>
      </c>
      <c r="H77" s="8">
        <v>0</v>
      </c>
      <c r="I77" s="8">
        <v>0.27539999999999998</v>
      </c>
      <c r="J77" s="8">
        <v>0</v>
      </c>
      <c r="K77" s="8">
        <v>0</v>
      </c>
      <c r="L77" s="8">
        <v>43.46</v>
      </c>
      <c r="M77" s="8">
        <v>100.63</v>
      </c>
      <c r="N77" s="10">
        <v>2.3154624942475799</v>
      </c>
      <c r="O77" s="10">
        <v>2.3166568507100198</v>
      </c>
      <c r="P77" s="10">
        <v>2.3139445172923399</v>
      </c>
      <c r="Q77" s="10">
        <v>2.3143110925829902</v>
      </c>
      <c r="R77" s="8">
        <v>100.681906731857</v>
      </c>
      <c r="S77" s="8">
        <v>100.556017882693</v>
      </c>
      <c r="T77" s="8">
        <v>100.590747748089</v>
      </c>
      <c r="U77" s="9">
        <v>5.1568467906770005E-4</v>
      </c>
      <c r="V77" s="9">
        <v>-7.3545986365733905E-4</v>
      </c>
      <c r="W77" s="9">
        <v>-3.9014120409899502E-4</v>
      </c>
      <c r="X77" s="10">
        <v>2.3154624942475799</v>
      </c>
      <c r="Y77" s="10">
        <v>2.3166568507100198</v>
      </c>
      <c r="Z77" s="10">
        <v>2.3139445172923399</v>
      </c>
      <c r="AA77" s="10">
        <v>2.3143110925829902</v>
      </c>
      <c r="AB77" s="8">
        <v>100.681906731857</v>
      </c>
      <c r="AC77" s="8">
        <v>100.556017882693</v>
      </c>
      <c r="AD77" s="8">
        <v>100.590747748089</v>
      </c>
      <c r="AE77" s="9">
        <v>5.1568467906770005E-4</v>
      </c>
      <c r="AF77" s="9">
        <v>-7.3545986365733905E-4</v>
      </c>
      <c r="AG77" s="9">
        <v>-3.9014120409899502E-4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3.947748429645466E-3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1.0146857830334879E-3</v>
      </c>
      <c r="BX77" s="12">
        <f t="shared" si="18"/>
        <v>0</v>
      </c>
      <c r="BY77" s="12">
        <f t="shared" si="19"/>
        <v>4.9624342126789534E-3</v>
      </c>
    </row>
    <row r="78" spans="1:77" x14ac:dyDescent="0.3">
      <c r="A78" s="1">
        <v>46135</v>
      </c>
      <c r="B78" s="8">
        <v>43.96</v>
      </c>
      <c r="C78" s="8">
        <v>101.66</v>
      </c>
      <c r="D78" s="9">
        <v>1.1439154707137E-2</v>
      </c>
      <c r="E78" s="9">
        <v>1.01834880735146E-2</v>
      </c>
      <c r="F78" s="8">
        <v>0</v>
      </c>
      <c r="G78" s="8">
        <v>0.27110000000000001</v>
      </c>
      <c r="H78" s="8">
        <v>0</v>
      </c>
      <c r="I78" s="8">
        <v>0.27539999999999998</v>
      </c>
      <c r="J78" s="8">
        <v>0</v>
      </c>
      <c r="K78" s="8">
        <v>0</v>
      </c>
      <c r="L78" s="8">
        <v>43.96</v>
      </c>
      <c r="M78" s="8">
        <v>101.66</v>
      </c>
      <c r="N78" s="10">
        <v>2.3125568698817101</v>
      </c>
      <c r="O78" s="10">
        <v>2.3166568507100198</v>
      </c>
      <c r="P78" s="10">
        <v>2.3137468927897502</v>
      </c>
      <c r="Q78" s="10">
        <v>2.3138599691041399</v>
      </c>
      <c r="R78" s="8">
        <v>101.84023515721201</v>
      </c>
      <c r="S78" s="8">
        <v>101.721000980171</v>
      </c>
      <c r="T78" s="8">
        <v>101.73711562994799</v>
      </c>
      <c r="U78" s="9">
        <v>1.77135131269015E-3</v>
      </c>
      <c r="V78" s="9">
        <v>5.9986903109523701E-4</v>
      </c>
      <c r="W78" s="9">
        <v>7.5827657048746402E-4</v>
      </c>
      <c r="X78" s="10">
        <v>2.3125568698817101</v>
      </c>
      <c r="Y78" s="10">
        <v>2.3166568507100198</v>
      </c>
      <c r="Z78" s="10">
        <v>2.3137468927897502</v>
      </c>
      <c r="AA78" s="10">
        <v>2.3138599691041399</v>
      </c>
      <c r="AB78" s="8">
        <v>101.84023515721201</v>
      </c>
      <c r="AC78" s="8">
        <v>101.721000980171</v>
      </c>
      <c r="AD78" s="8">
        <v>101.73711562994799</v>
      </c>
      <c r="AE78" s="9">
        <v>1.77135131269015E-3</v>
      </c>
      <c r="AF78" s="9">
        <v>5.9986903109523701E-4</v>
      </c>
      <c r="AG78" s="9">
        <v>7.5827657048746402E-4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3.947748429645466E-3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1.0146857830334879E-3</v>
      </c>
      <c r="BX78" s="12">
        <f t="shared" si="18"/>
        <v>0</v>
      </c>
      <c r="BY78" s="12">
        <f t="shared" si="19"/>
        <v>4.9624342126789534E-3</v>
      </c>
    </row>
    <row r="79" spans="1:77" x14ac:dyDescent="0.3">
      <c r="A79" s="1">
        <v>46136</v>
      </c>
      <c r="B79" s="8">
        <v>43.83</v>
      </c>
      <c r="C79" s="8">
        <v>101.41</v>
      </c>
      <c r="D79" s="9">
        <v>-2.9616151047028401E-3</v>
      </c>
      <c r="E79" s="9">
        <v>-2.46220639485142E-3</v>
      </c>
      <c r="F79" s="8">
        <v>0</v>
      </c>
      <c r="G79" s="8">
        <v>0.27110000000000001</v>
      </c>
      <c r="H79" s="8">
        <v>0</v>
      </c>
      <c r="I79" s="8">
        <v>0.27539999999999998</v>
      </c>
      <c r="J79" s="8">
        <v>0</v>
      </c>
      <c r="K79" s="8">
        <v>0</v>
      </c>
      <c r="L79" s="8">
        <v>43.83</v>
      </c>
      <c r="M79" s="8">
        <v>101.41</v>
      </c>
      <c r="N79" s="10">
        <v>2.3137120693588802</v>
      </c>
      <c r="O79" s="10">
        <v>2.3166568507100198</v>
      </c>
      <c r="P79" s="10">
        <v>2.31387101892228</v>
      </c>
      <c r="Q79" s="10">
        <v>2.3137103777346599</v>
      </c>
      <c r="R79" s="8">
        <v>101.53906976662</v>
      </c>
      <c r="S79" s="8">
        <v>101.41152631097501</v>
      </c>
      <c r="T79" s="8">
        <v>101.41648244583401</v>
      </c>
      <c r="U79" s="9">
        <v>1.2719426028387701E-3</v>
      </c>
      <c r="V79" s="9">
        <v>1.5050778907034999E-5</v>
      </c>
      <c r="W79" s="9">
        <v>6.3921099048192906E-5</v>
      </c>
      <c r="X79" s="10">
        <v>2.3137120693588802</v>
      </c>
      <c r="Y79" s="10">
        <v>2.3166568507100198</v>
      </c>
      <c r="Z79" s="10">
        <v>2.31387101892228</v>
      </c>
      <c r="AA79" s="10">
        <v>2.3137103777346599</v>
      </c>
      <c r="AB79" s="8">
        <v>101.53906976662</v>
      </c>
      <c r="AC79" s="8">
        <v>101.41152631097501</v>
      </c>
      <c r="AD79" s="8">
        <v>101.41648244583401</v>
      </c>
      <c r="AE79" s="9">
        <v>1.2719426028387701E-3</v>
      </c>
      <c r="AF79" s="9">
        <v>1.5050778907034999E-5</v>
      </c>
      <c r="AG79" s="9">
        <v>6.3921099048192906E-5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3.947748429645466E-3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1.0146857830334879E-3</v>
      </c>
      <c r="BX79" s="12">
        <f t="shared" si="18"/>
        <v>0</v>
      </c>
      <c r="BY79" s="12">
        <f t="shared" si="19"/>
        <v>4.9624342126789534E-3</v>
      </c>
    </row>
    <row r="80" spans="1:77" x14ac:dyDescent="0.3">
      <c r="A80" s="1">
        <v>46139</v>
      </c>
      <c r="B80" s="8">
        <v>43.49</v>
      </c>
      <c r="C80" s="8">
        <v>100.83</v>
      </c>
      <c r="D80" s="9">
        <v>-7.7874878211706298E-3</v>
      </c>
      <c r="E80" s="9">
        <v>-5.7357752187809996E-3</v>
      </c>
      <c r="F80" s="8">
        <v>0</v>
      </c>
      <c r="G80" s="8">
        <v>0.27110000000000001</v>
      </c>
      <c r="H80" s="8">
        <v>0</v>
      </c>
      <c r="I80" s="8">
        <v>0.27539999999999998</v>
      </c>
      <c r="J80" s="8">
        <v>0</v>
      </c>
      <c r="K80" s="8">
        <v>0</v>
      </c>
      <c r="L80" s="8">
        <v>43.49</v>
      </c>
      <c r="M80" s="8">
        <v>100.83</v>
      </c>
      <c r="N80" s="10">
        <v>2.31846401471602</v>
      </c>
      <c r="O80" s="10">
        <v>2.3166568507100198</v>
      </c>
      <c r="P80" s="10">
        <v>2.3145458722767298</v>
      </c>
      <c r="Q80" s="10">
        <v>2.3139000118621098</v>
      </c>
      <c r="R80" s="8">
        <v>100.75140643737799</v>
      </c>
      <c r="S80" s="8">
        <v>100.63025061293</v>
      </c>
      <c r="T80" s="8">
        <v>100.62326432768</v>
      </c>
      <c r="U80" s="9">
        <v>-7.7976999955100201E-4</v>
      </c>
      <c r="V80" s="9">
        <v>-1.9830160234516302E-3</v>
      </c>
      <c r="W80" s="9">
        <v>-2.0524437326216701E-3</v>
      </c>
      <c r="X80" s="10">
        <v>2.31846401471602</v>
      </c>
      <c r="Y80" s="10">
        <v>2.3166568507100198</v>
      </c>
      <c r="Z80" s="10">
        <v>2.3145458722767298</v>
      </c>
      <c r="AA80" s="10">
        <v>2.3139000118621098</v>
      </c>
      <c r="AB80" s="8">
        <v>100.75140643737799</v>
      </c>
      <c r="AC80" s="8">
        <v>100.63025061293</v>
      </c>
      <c r="AD80" s="8">
        <v>100.62326432768</v>
      </c>
      <c r="AE80" s="9">
        <v>-7.7976999955100201E-4</v>
      </c>
      <c r="AF80" s="9">
        <v>-1.9830160234516302E-3</v>
      </c>
      <c r="AG80" s="9">
        <v>-2.0524437326216701E-3</v>
      </c>
      <c r="AZ80" s="9"/>
      <c r="BB80">
        <f t="shared" si="2"/>
        <v>1</v>
      </c>
      <c r="BC80">
        <f t="shared" si="3"/>
        <v>0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3.947748429645466E-3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1.0146857830334879E-3</v>
      </c>
      <c r="BX80" s="12">
        <f t="shared" si="18"/>
        <v>0</v>
      </c>
      <c r="BY80" s="12">
        <f t="shared" si="19"/>
        <v>4.9624342126789534E-3</v>
      </c>
    </row>
    <row r="81" spans="1:77" x14ac:dyDescent="0.3">
      <c r="A81" s="1">
        <v>46140</v>
      </c>
      <c r="B81" s="8">
        <v>43.91</v>
      </c>
      <c r="C81" s="8">
        <v>101.74</v>
      </c>
      <c r="D81" s="9">
        <v>9.6110579640788802E-3</v>
      </c>
      <c r="E81" s="9">
        <v>8.9846089894950101E-3</v>
      </c>
      <c r="F81" s="8">
        <v>0</v>
      </c>
      <c r="G81" s="8">
        <v>0.27110000000000001</v>
      </c>
      <c r="H81" s="8">
        <v>0</v>
      </c>
      <c r="I81" s="8">
        <v>0.27539999999999998</v>
      </c>
      <c r="J81" s="8">
        <v>0</v>
      </c>
      <c r="K81" s="8">
        <v>0</v>
      </c>
      <c r="L81" s="8">
        <v>43.91</v>
      </c>
      <c r="M81" s="8">
        <v>101.74</v>
      </c>
      <c r="N81" s="10">
        <v>2.3170120701434702</v>
      </c>
      <c r="O81" s="10">
        <v>2.3166568507100198</v>
      </c>
      <c r="P81" s="10">
        <v>2.3150244221416401</v>
      </c>
      <c r="Q81" s="10">
        <v>2.3140331321561498</v>
      </c>
      <c r="R81" s="8">
        <v>101.724402314676</v>
      </c>
      <c r="S81" s="8">
        <v>101.631709251671</v>
      </c>
      <c r="T81" s="8">
        <v>101.603349520865</v>
      </c>
      <c r="U81" s="9">
        <v>-1.5332102496694701E-4</v>
      </c>
      <c r="V81" s="9">
        <v>-1.0649540092068301E-3</v>
      </c>
      <c r="W81" s="9">
        <v>-1.3440370686062699E-3</v>
      </c>
      <c r="X81" s="10">
        <v>2.3170120701434702</v>
      </c>
      <c r="Y81" s="10">
        <v>2.3166568507100198</v>
      </c>
      <c r="Z81" s="10">
        <v>2.3150244221416401</v>
      </c>
      <c r="AA81" s="10">
        <v>2.3140331321561498</v>
      </c>
      <c r="AB81" s="8">
        <v>101.724402314676</v>
      </c>
      <c r="AC81" s="8">
        <v>101.631709251671</v>
      </c>
      <c r="AD81" s="8">
        <v>101.603349520865</v>
      </c>
      <c r="AE81" s="9">
        <v>-1.5332102496694701E-4</v>
      </c>
      <c r="AF81" s="9">
        <v>-1.0649540092068301E-3</v>
      </c>
      <c r="AG81" s="9">
        <v>-1.3440370686062699E-3</v>
      </c>
      <c r="AZ81" s="9"/>
      <c r="BB81">
        <f t="shared" si="2"/>
        <v>0</v>
      </c>
      <c r="BC81">
        <f t="shared" si="3"/>
        <v>0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9.6110579640788802E-3</v>
      </c>
      <c r="BH81" s="9">
        <f t="shared" si="7"/>
        <v>-8.9846089894950101E-3</v>
      </c>
      <c r="BI81" s="9">
        <f t="shared" si="8"/>
        <v>6.2644897458387014E-4</v>
      </c>
      <c r="BJ81" s="12">
        <f t="shared" si="9"/>
        <v>4.5741974042293361E-3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1.0146857830334879E-3</v>
      </c>
      <c r="BX81" s="12">
        <f t="shared" si="18"/>
        <v>6.2644897458387014E-4</v>
      </c>
      <c r="BY81" s="12">
        <f t="shared" si="19"/>
        <v>5.5888831872628235E-3</v>
      </c>
    </row>
    <row r="82" spans="1:77" x14ac:dyDescent="0.3">
      <c r="A82" s="1">
        <v>46141</v>
      </c>
      <c r="B82" s="8">
        <v>43.64</v>
      </c>
      <c r="C82" s="8">
        <v>100.9</v>
      </c>
      <c r="D82" s="9">
        <v>-6.1679236087558804E-3</v>
      </c>
      <c r="E82" s="9">
        <v>-8.2906120350556296E-3</v>
      </c>
      <c r="F82" s="8">
        <v>0</v>
      </c>
      <c r="G82" s="8">
        <v>0.27110000000000001</v>
      </c>
      <c r="H82" s="8">
        <v>0</v>
      </c>
      <c r="I82" s="8">
        <v>0.27539999999999998</v>
      </c>
      <c r="J82" s="8">
        <v>0</v>
      </c>
      <c r="K82" s="8">
        <v>0</v>
      </c>
      <c r="L82" s="8">
        <v>43.64</v>
      </c>
      <c r="M82" s="8">
        <v>100.9</v>
      </c>
      <c r="N82" s="10">
        <v>2.31209899175068</v>
      </c>
      <c r="O82" s="10">
        <v>2.3166568507100198</v>
      </c>
      <c r="P82" s="10">
        <v>2.31478995365948</v>
      </c>
      <c r="Q82" s="10">
        <v>2.31384087380835</v>
      </c>
      <c r="R82" s="8">
        <v>101.098904964985</v>
      </c>
      <c r="S82" s="8">
        <v>101.027665782261</v>
      </c>
      <c r="T82" s="8">
        <v>100.984405887294</v>
      </c>
      <c r="U82" s="9">
        <v>1.9693674013326399E-3</v>
      </c>
      <c r="V82" s="9">
        <v>1.26447060908596E-3</v>
      </c>
      <c r="W82" s="9">
        <v>8.36180405731039E-4</v>
      </c>
      <c r="X82" s="10">
        <v>2.31209899175068</v>
      </c>
      <c r="Y82" s="10">
        <v>2.3166568507100198</v>
      </c>
      <c r="Z82" s="10">
        <v>2.31478995365948</v>
      </c>
      <c r="AA82" s="10">
        <v>2.31384087380835</v>
      </c>
      <c r="AB82" s="8">
        <v>101.098904964985</v>
      </c>
      <c r="AC82" s="8">
        <v>101.027665782261</v>
      </c>
      <c r="AD82" s="8">
        <v>100.984405887294</v>
      </c>
      <c r="AE82" s="9">
        <v>1.9693674013326399E-3</v>
      </c>
      <c r="AF82" s="9">
        <v>1.26447060908596E-3</v>
      </c>
      <c r="AG82" s="9">
        <v>8.36180405731039E-4</v>
      </c>
      <c r="AZ82" s="9"/>
      <c r="BB82">
        <f t="shared" si="2"/>
        <v>0</v>
      </c>
      <c r="BC82">
        <f t="shared" si="3"/>
        <v>1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-6.1679236087558804E-3</v>
      </c>
      <c r="BH82" s="9">
        <f t="shared" si="7"/>
        <v>8.2906120350556296E-3</v>
      </c>
      <c r="BI82" s="9">
        <f t="shared" si="8"/>
        <v>2.1226884262997492E-3</v>
      </c>
      <c r="BJ82" s="12">
        <f t="shared" si="9"/>
        <v>6.6968858305290853E-3</v>
      </c>
      <c r="BL82" s="9"/>
      <c r="BN82">
        <f t="shared" si="10"/>
        <v>0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1.0146857830334879E-3</v>
      </c>
      <c r="BX82" s="12">
        <f t="shared" si="18"/>
        <v>2.1226884262997492E-3</v>
      </c>
      <c r="BY82" s="12">
        <f t="shared" si="19"/>
        <v>7.7115716135625727E-3</v>
      </c>
    </row>
    <row r="83" spans="1:77" x14ac:dyDescent="0.3">
      <c r="A83" s="1">
        <v>46142</v>
      </c>
      <c r="B83" s="8">
        <v>44.4</v>
      </c>
      <c r="C83" s="8">
        <v>102.63</v>
      </c>
      <c r="D83" s="9">
        <v>1.7265308473309E-2</v>
      </c>
      <c r="E83" s="9">
        <v>1.70003602980596E-2</v>
      </c>
      <c r="F83" s="8">
        <v>0</v>
      </c>
      <c r="G83" s="8">
        <v>0.27110000000000001</v>
      </c>
      <c r="H83" s="8">
        <v>0</v>
      </c>
      <c r="I83" s="8">
        <v>0.27539999999999998</v>
      </c>
      <c r="J83" s="8">
        <v>0</v>
      </c>
      <c r="K83" s="8">
        <v>0</v>
      </c>
      <c r="L83" s="8">
        <v>44.4</v>
      </c>
      <c r="M83" s="8">
        <v>102.63</v>
      </c>
      <c r="N83" s="10">
        <v>2.3114864864864799</v>
      </c>
      <c r="O83" s="10">
        <v>2.3166568507100198</v>
      </c>
      <c r="P83" s="10">
        <v>2.3145758997288102</v>
      </c>
      <c r="Q83" s="10">
        <v>2.3135666022840802</v>
      </c>
      <c r="R83" s="8">
        <v>102.859564171524</v>
      </c>
      <c r="S83" s="8">
        <v>102.776673942481</v>
      </c>
      <c r="T83" s="8">
        <v>102.73453479709001</v>
      </c>
      <c r="U83" s="9">
        <v>2.2343155765821398E-3</v>
      </c>
      <c r="V83" s="9">
        <v>1.4281324418077899E-3</v>
      </c>
      <c r="W83" s="9">
        <v>1.0180414668239E-3</v>
      </c>
      <c r="X83" s="10">
        <v>2.3114864864864799</v>
      </c>
      <c r="Y83" s="10">
        <v>2.3166568507100198</v>
      </c>
      <c r="Z83" s="10">
        <v>2.3145758997288102</v>
      </c>
      <c r="AA83" s="10">
        <v>2.3135666022840802</v>
      </c>
      <c r="AB83" s="8">
        <v>102.859564171524</v>
      </c>
      <c r="AC83" s="8">
        <v>102.776673942481</v>
      </c>
      <c r="AD83" s="8">
        <v>102.73453479709001</v>
      </c>
      <c r="AE83" s="9">
        <v>2.2343155765821398E-3</v>
      </c>
      <c r="AF83" s="9">
        <v>1.4281324418077899E-3</v>
      </c>
      <c r="AG83" s="9">
        <v>1.0180414668239E-3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6.6968858305290853E-3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1.0146857830334879E-3</v>
      </c>
      <c r="BX83" s="12">
        <f t="shared" si="18"/>
        <v>0</v>
      </c>
      <c r="BY83" s="12">
        <f t="shared" si="19"/>
        <v>7.7115716135625727E-3</v>
      </c>
    </row>
    <row r="84" spans="1:77" x14ac:dyDescent="0.3">
      <c r="A84" s="1">
        <v>46143</v>
      </c>
      <c r="B84" s="8">
        <v>44.32</v>
      </c>
      <c r="C84" s="8">
        <v>102.36</v>
      </c>
      <c r="D84" s="9">
        <v>-1.8034269991506801E-3</v>
      </c>
      <c r="E84" s="9">
        <v>-2.6342763660349498E-3</v>
      </c>
      <c r="F84" s="8">
        <v>0</v>
      </c>
      <c r="G84" s="8">
        <v>0.27110000000000001</v>
      </c>
      <c r="H84" s="8">
        <v>0</v>
      </c>
      <c r="I84" s="8">
        <v>0.27539999999999998</v>
      </c>
      <c r="J84" s="8">
        <v>0</v>
      </c>
      <c r="K84" s="8">
        <v>0</v>
      </c>
      <c r="L84" s="8">
        <v>44.32</v>
      </c>
      <c r="M84" s="8">
        <v>102.36</v>
      </c>
      <c r="N84" s="10">
        <v>2.3095667870036101</v>
      </c>
      <c r="O84" s="10">
        <v>2.3166568507100198</v>
      </c>
      <c r="P84" s="10">
        <v>2.3140127942565099</v>
      </c>
      <c r="Q84" s="10">
        <v>2.3133876477145301</v>
      </c>
      <c r="R84" s="8">
        <v>102.674231623468</v>
      </c>
      <c r="S84" s="8">
        <v>102.582003875981</v>
      </c>
      <c r="T84" s="8">
        <v>102.53727181323001</v>
      </c>
      <c r="U84" s="9">
        <v>3.0651649434663198E-3</v>
      </c>
      <c r="V84" s="9">
        <v>2.1665052416618901E-3</v>
      </c>
      <c r="W84" s="9">
        <v>1.73034863658828E-3</v>
      </c>
      <c r="X84" s="10">
        <v>2.3095667870036101</v>
      </c>
      <c r="Y84" s="10">
        <v>2.3166568507100198</v>
      </c>
      <c r="Z84" s="10">
        <v>2.3140127942565099</v>
      </c>
      <c r="AA84" s="10">
        <v>2.3133876477145301</v>
      </c>
      <c r="AB84" s="8">
        <v>102.674231623468</v>
      </c>
      <c r="AC84" s="8">
        <v>102.582003875981</v>
      </c>
      <c r="AD84" s="8">
        <v>102.53727181323001</v>
      </c>
      <c r="AE84" s="9">
        <v>3.0651649434663198E-3</v>
      </c>
      <c r="AF84" s="9">
        <v>2.1665052416618901E-3</v>
      </c>
      <c r="AG84" s="9">
        <v>1.73034863658828E-3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6.6968858305290853E-3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1.0146857830334879E-3</v>
      </c>
      <c r="BX84" s="12">
        <f t="shared" si="18"/>
        <v>0</v>
      </c>
      <c r="BY84" s="12">
        <f t="shared" si="19"/>
        <v>7.7115716135625727E-3</v>
      </c>
    </row>
    <row r="85" spans="1:77" x14ac:dyDescent="0.3">
      <c r="A85" s="1">
        <v>46146</v>
      </c>
      <c r="B85" s="8">
        <v>44.08</v>
      </c>
      <c r="C85" s="8">
        <v>101.63</v>
      </c>
      <c r="D85" s="9">
        <v>-5.4298775943693997E-3</v>
      </c>
      <c r="E85" s="9">
        <v>-7.1572441419129797E-3</v>
      </c>
      <c r="F85" s="8">
        <v>0</v>
      </c>
      <c r="G85" s="8">
        <v>0.27110000000000001</v>
      </c>
      <c r="H85" s="8">
        <v>0</v>
      </c>
      <c r="I85" s="8">
        <v>0.27539999999999998</v>
      </c>
      <c r="J85" s="8">
        <v>0</v>
      </c>
      <c r="K85" s="8">
        <v>0</v>
      </c>
      <c r="L85" s="8">
        <v>44.08</v>
      </c>
      <c r="M85" s="8">
        <v>101.63</v>
      </c>
      <c r="N85" s="10">
        <v>2.3055807622504498</v>
      </c>
      <c r="O85" s="10">
        <v>2.3166568507100198</v>
      </c>
      <c r="P85" s="10">
        <v>2.3133208704815602</v>
      </c>
      <c r="Q85" s="10">
        <v>2.3132811494285801</v>
      </c>
      <c r="R85" s="8">
        <v>102.118233979297</v>
      </c>
      <c r="S85" s="8">
        <v>102.001683970827</v>
      </c>
      <c r="T85" s="8">
        <v>101.974127511256</v>
      </c>
      <c r="U85" s="9">
        <v>4.7925314910098804E-3</v>
      </c>
      <c r="V85" s="9">
        <v>3.6505555162296599E-3</v>
      </c>
      <c r="W85" s="9">
        <v>3.38036210909774E-3</v>
      </c>
      <c r="X85" s="10">
        <v>2.3055807622504498</v>
      </c>
      <c r="Y85" s="10">
        <v>2.3166568507100198</v>
      </c>
      <c r="Z85" s="10">
        <v>2.3133208704815602</v>
      </c>
      <c r="AA85" s="10">
        <v>2.3132811494285801</v>
      </c>
      <c r="AB85" s="8">
        <v>102.118233979297</v>
      </c>
      <c r="AC85" s="8">
        <v>102.001683970827</v>
      </c>
      <c r="AD85" s="8">
        <v>101.974127511256</v>
      </c>
      <c r="AE85" s="9">
        <v>4.7925314910098804E-3</v>
      </c>
      <c r="AF85" s="9">
        <v>3.6505555162296599E-3</v>
      </c>
      <c r="AG85" s="9">
        <v>3.38036210909774E-3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6.6968858305290853E-3</v>
      </c>
      <c r="BL85" s="9"/>
      <c r="BN85">
        <f t="shared" si="10"/>
        <v>1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1.0146857830334879E-3</v>
      </c>
      <c r="BX85" s="12">
        <f t="shared" si="18"/>
        <v>0</v>
      </c>
      <c r="BY85" s="12">
        <f t="shared" si="19"/>
        <v>7.7115716135625727E-3</v>
      </c>
    </row>
    <row r="86" spans="1:77" x14ac:dyDescent="0.3">
      <c r="A86" s="1">
        <v>46147</v>
      </c>
      <c r="B86" s="8">
        <v>44.17</v>
      </c>
      <c r="C86" s="8">
        <v>101.94</v>
      </c>
      <c r="D86" s="9">
        <v>2.0396607637760398E-3</v>
      </c>
      <c r="E86" s="9">
        <v>3.0456377622205201E-3</v>
      </c>
      <c r="F86" s="8">
        <v>0</v>
      </c>
      <c r="G86" s="8">
        <v>0.27110000000000001</v>
      </c>
      <c r="H86" s="8">
        <v>0</v>
      </c>
      <c r="I86" s="8">
        <v>0.27539999999999998</v>
      </c>
      <c r="J86" s="8">
        <v>0</v>
      </c>
      <c r="K86" s="8">
        <v>0</v>
      </c>
      <c r="L86" s="8">
        <v>44.17</v>
      </c>
      <c r="M86" s="8">
        <v>101.94</v>
      </c>
      <c r="N86" s="10">
        <v>2.30790129046864</v>
      </c>
      <c r="O86" s="10">
        <v>2.3166568507100198</v>
      </c>
      <c r="P86" s="10">
        <v>2.3123841836307499</v>
      </c>
      <c r="Q86" s="10">
        <v>2.3130721871063802</v>
      </c>
      <c r="R86" s="8">
        <v>102.326733095861</v>
      </c>
      <c r="S86" s="8">
        <v>102.17938284917</v>
      </c>
      <c r="T86" s="8">
        <v>102.17762837026</v>
      </c>
      <c r="U86" s="9">
        <v>3.7865544925654799E-3</v>
      </c>
      <c r="V86" s="9">
        <v>2.3455191327299901E-3</v>
      </c>
      <c r="W86" s="9">
        <v>2.3283484088134198E-3</v>
      </c>
      <c r="X86" s="10">
        <v>2.30790129046864</v>
      </c>
      <c r="Y86" s="10">
        <v>2.3166568507100198</v>
      </c>
      <c r="Z86" s="10">
        <v>2.3123841836307499</v>
      </c>
      <c r="AA86" s="10">
        <v>2.3130721871063802</v>
      </c>
      <c r="AB86" s="8">
        <v>102.326733095861</v>
      </c>
      <c r="AC86" s="8">
        <v>102.17938284917</v>
      </c>
      <c r="AD86" s="8">
        <v>102.17762837026</v>
      </c>
      <c r="AE86" s="9">
        <v>3.7865544925654799E-3</v>
      </c>
      <c r="AF86" s="9">
        <v>2.3455191327299901E-3</v>
      </c>
      <c r="AG86" s="9">
        <v>2.3283484088134198E-3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6.6968858305290853E-3</v>
      </c>
      <c r="BL86" s="9"/>
      <c r="BN86">
        <f t="shared" si="10"/>
        <v>1</v>
      </c>
      <c r="BO86">
        <f t="shared" si="11"/>
        <v>0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-2.0396607637760398E-3</v>
      </c>
      <c r="BT86" s="9">
        <f t="shared" si="15"/>
        <v>3.0456377622205201E-3</v>
      </c>
      <c r="BU86" s="9">
        <f t="shared" si="16"/>
        <v>1.0059769984444803E-3</v>
      </c>
      <c r="BV86" s="12">
        <f t="shared" si="17"/>
        <v>2.0206627814779682E-3</v>
      </c>
      <c r="BX86" s="12">
        <f t="shared" si="18"/>
        <v>1.0059769984444803E-3</v>
      </c>
      <c r="BY86" s="12">
        <f t="shared" si="19"/>
        <v>8.717548612007053E-3</v>
      </c>
    </row>
    <row r="87" spans="1:77" x14ac:dyDescent="0.3">
      <c r="A87" s="1">
        <v>46148</v>
      </c>
      <c r="B87" s="8">
        <v>44.74</v>
      </c>
      <c r="C87" s="8">
        <v>103.28</v>
      </c>
      <c r="D87" s="9">
        <v>1.28221304535485E-2</v>
      </c>
      <c r="E87" s="9">
        <v>1.30593416264915E-2</v>
      </c>
      <c r="F87" s="8">
        <v>0</v>
      </c>
      <c r="G87" s="8">
        <v>0.27110000000000001</v>
      </c>
      <c r="H87" s="8">
        <v>0</v>
      </c>
      <c r="I87" s="8">
        <v>0.27539999999999998</v>
      </c>
      <c r="J87" s="8">
        <v>0</v>
      </c>
      <c r="K87" s="8">
        <v>0</v>
      </c>
      <c r="L87" s="8">
        <v>44.74</v>
      </c>
      <c r="M87" s="8">
        <v>103.28</v>
      </c>
      <c r="N87" s="10">
        <v>2.3084488153777301</v>
      </c>
      <c r="O87" s="10">
        <v>2.3166568507100198</v>
      </c>
      <c r="P87" s="10">
        <v>2.3116828157437701</v>
      </c>
      <c r="Q87" s="10">
        <v>2.3128136665180499</v>
      </c>
      <c r="R87" s="8">
        <v>103.64722750076599</v>
      </c>
      <c r="S87" s="8">
        <v>103.45606837564</v>
      </c>
      <c r="T87" s="8">
        <v>103.486849651139</v>
      </c>
      <c r="U87" s="9">
        <v>3.5493433196224201E-3</v>
      </c>
      <c r="V87" s="9">
        <v>1.70331591958923E-3</v>
      </c>
      <c r="W87" s="9">
        <v>2.0008015839446001E-3</v>
      </c>
      <c r="X87" s="10">
        <v>2.3084488153777301</v>
      </c>
      <c r="Y87" s="10">
        <v>2.3166568507100198</v>
      </c>
      <c r="Z87" s="10">
        <v>2.3116828157437701</v>
      </c>
      <c r="AA87" s="10">
        <v>2.3128136665180499</v>
      </c>
      <c r="AB87" s="8">
        <v>103.64722750076599</v>
      </c>
      <c r="AC87" s="8">
        <v>103.45606837564</v>
      </c>
      <c r="AD87" s="8">
        <v>103.486849651139</v>
      </c>
      <c r="AE87" s="9">
        <v>3.5493433196224201E-3</v>
      </c>
      <c r="AF87" s="9">
        <v>1.70331591958923E-3</v>
      </c>
      <c r="AG87" s="9">
        <v>2.0008015839446001E-3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6.6968858305290853E-3</v>
      </c>
      <c r="BL87" s="9"/>
      <c r="BN87">
        <f t="shared" ref="BN87:BN150" si="30">IF($AG87&gt;BM$20,1,0)</f>
        <v>1</v>
      </c>
      <c r="BO87">
        <f t="shared" ref="BO87:BO150" si="31">IF($AG87&lt;BM$21,1,0)</f>
        <v>0</v>
      </c>
      <c r="BP87">
        <f t="shared" ref="BP87:BP150" si="32">BR87</f>
        <v>1</v>
      </c>
      <c r="BQ87">
        <f t="shared" si="21"/>
        <v>1</v>
      </c>
      <c r="BR87">
        <f t="shared" ref="BR87:BR150" si="33">IF(BN86,1,IF(BO86,0,BP86))*BQ86</f>
        <v>1</v>
      </c>
      <c r="BS87" s="9">
        <f t="shared" ref="BS87:BS150" si="34">-BR87*D87</f>
        <v>-1.28221304535485E-2</v>
      </c>
      <c r="BT87" s="9">
        <f t="shared" ref="BT87:BT150" si="35">BR87*$E87</f>
        <v>1.30593416264915E-2</v>
      </c>
      <c r="BU87" s="9">
        <f t="shared" ref="BU87:BU150" si="36">BS87+BT87</f>
        <v>2.3721117294299952E-4</v>
      </c>
      <c r="BV87" s="12">
        <f t="shared" ref="BV87:BV150" si="37">BV86+BU87</f>
        <v>2.2578739544209677E-3</v>
      </c>
      <c r="BX87" s="12">
        <f t="shared" ref="BX87:BX150" si="38">BI87+BU87</f>
        <v>2.3721117294299952E-4</v>
      </c>
      <c r="BY87" s="12">
        <f t="shared" ref="BY87:BY150" si="39">BY86+BX87</f>
        <v>8.9547597849500525E-3</v>
      </c>
    </row>
    <row r="88" spans="1:77" x14ac:dyDescent="0.3">
      <c r="A88" s="1">
        <v>46149</v>
      </c>
      <c r="B88" s="8">
        <v>44.4</v>
      </c>
      <c r="C88" s="8">
        <v>102.56</v>
      </c>
      <c r="D88" s="9">
        <v>-7.6284866238045699E-3</v>
      </c>
      <c r="E88" s="9">
        <v>-6.9957533660271404E-3</v>
      </c>
      <c r="F88" s="8">
        <v>0</v>
      </c>
      <c r="G88" s="8">
        <v>0.27110000000000001</v>
      </c>
      <c r="H88" s="8">
        <v>0</v>
      </c>
      <c r="I88" s="8">
        <v>0.27539999999999998</v>
      </c>
      <c r="J88" s="8">
        <v>0</v>
      </c>
      <c r="K88" s="8">
        <v>0</v>
      </c>
      <c r="L88" s="8">
        <v>44.4</v>
      </c>
      <c r="M88" s="8">
        <v>102.56</v>
      </c>
      <c r="N88" s="10">
        <v>2.3099099099099099</v>
      </c>
      <c r="O88" s="10">
        <v>2.3166568507100198</v>
      </c>
      <c r="P88" s="10">
        <v>2.3114181197465902</v>
      </c>
      <c r="Q88" s="10">
        <v>2.31258250626817</v>
      </c>
      <c r="R88" s="8">
        <v>102.859564171524</v>
      </c>
      <c r="S88" s="8">
        <v>102.63871701902301</v>
      </c>
      <c r="T88" s="8">
        <v>102.688926793401</v>
      </c>
      <c r="U88" s="9">
        <v>2.91661006184502E-3</v>
      </c>
      <c r="V88" s="9">
        <v>7.6722724223944095E-4</v>
      </c>
      <c r="W88" s="9">
        <v>1.2562970474227499E-3</v>
      </c>
      <c r="X88" s="10">
        <v>2.3099099099099099</v>
      </c>
      <c r="Y88" s="10">
        <v>2.3166568507100198</v>
      </c>
      <c r="Z88" s="10">
        <v>2.3114181197465902</v>
      </c>
      <c r="AA88" s="10">
        <v>2.31258250626817</v>
      </c>
      <c r="AB88" s="8">
        <v>102.859564171524</v>
      </c>
      <c r="AC88" s="8">
        <v>102.63871701902301</v>
      </c>
      <c r="AD88" s="8">
        <v>102.688926793401</v>
      </c>
      <c r="AE88" s="9">
        <v>2.91661006184502E-3</v>
      </c>
      <c r="AF88" s="9">
        <v>7.6722724223944095E-4</v>
      </c>
      <c r="AG88" s="9">
        <v>1.2562970474227499E-3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6.6968858305290853E-3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7.6284866238045699E-3</v>
      </c>
      <c r="BT88" s="9">
        <f t="shared" si="35"/>
        <v>-6.9957533660271404E-3</v>
      </c>
      <c r="BU88" s="9">
        <f t="shared" si="36"/>
        <v>6.3273325777742952E-4</v>
      </c>
      <c r="BV88" s="12">
        <f t="shared" si="37"/>
        <v>2.8906072121983972E-3</v>
      </c>
      <c r="BX88" s="12">
        <f t="shared" si="38"/>
        <v>6.3273325777742952E-4</v>
      </c>
      <c r="BY88" s="12">
        <f t="shared" si="39"/>
        <v>9.587493042727482E-3</v>
      </c>
    </row>
    <row r="89" spans="1:77" x14ac:dyDescent="0.3">
      <c r="A89" s="1">
        <v>46150</v>
      </c>
      <c r="B89" s="8">
        <v>44.41</v>
      </c>
      <c r="C89" s="8">
        <v>102.77</v>
      </c>
      <c r="D89" s="9">
        <v>2.2519986583188401E-4</v>
      </c>
      <c r="E89" s="9">
        <v>2.04548846462182E-3</v>
      </c>
      <c r="F89" s="8">
        <v>0</v>
      </c>
      <c r="G89" s="8">
        <v>0.27110000000000001</v>
      </c>
      <c r="H89" s="8">
        <v>0</v>
      </c>
      <c r="I89" s="8">
        <v>0.27539999999999998</v>
      </c>
      <c r="J89" s="8">
        <v>0</v>
      </c>
      <c r="K89" s="8">
        <v>0</v>
      </c>
      <c r="L89" s="8">
        <v>44.41</v>
      </c>
      <c r="M89" s="8">
        <v>102.77</v>
      </c>
      <c r="N89" s="10">
        <v>2.3141184417923801</v>
      </c>
      <c r="O89" s="10">
        <v>2.3166568507100198</v>
      </c>
      <c r="P89" s="10">
        <v>2.3114587569899401</v>
      </c>
      <c r="Q89" s="10">
        <v>2.3126648879561098</v>
      </c>
      <c r="R89" s="8">
        <v>102.88273074003099</v>
      </c>
      <c r="S89" s="8">
        <v>102.650078697946</v>
      </c>
      <c r="T89" s="8">
        <v>102.70178910336899</v>
      </c>
      <c r="U89" s="9">
        <v>1.09632146305504E-3</v>
      </c>
      <c r="V89" s="9">
        <v>-1.1675715094383199E-3</v>
      </c>
      <c r="W89" s="9">
        <v>-6.6394417874857299E-4</v>
      </c>
      <c r="X89" s="10">
        <v>2.3141184417923801</v>
      </c>
      <c r="Y89" s="10">
        <v>2.3166568507100198</v>
      </c>
      <c r="Z89" s="10">
        <v>2.3114587569899401</v>
      </c>
      <c r="AA89" s="10">
        <v>2.3126648879561098</v>
      </c>
      <c r="AB89" s="8">
        <v>102.88273074003099</v>
      </c>
      <c r="AC89" s="8">
        <v>102.650078697946</v>
      </c>
      <c r="AD89" s="8">
        <v>102.70178910336899</v>
      </c>
      <c r="AE89" s="9">
        <v>1.09632146305504E-3</v>
      </c>
      <c r="AF89" s="9">
        <v>-1.1675715094383199E-3</v>
      </c>
      <c r="AG89" s="9">
        <v>-6.6394417874857299E-4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6.6968858305290853E-3</v>
      </c>
      <c r="BL89" s="9"/>
      <c r="BN89">
        <f t="shared" si="30"/>
        <v>0</v>
      </c>
      <c r="BO89">
        <f t="shared" si="31"/>
        <v>1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-2.2519986583188401E-4</v>
      </c>
      <c r="BT89" s="9">
        <f t="shared" si="35"/>
        <v>2.04548846462182E-3</v>
      </c>
      <c r="BU89" s="9">
        <f t="shared" si="36"/>
        <v>1.820288598789936E-3</v>
      </c>
      <c r="BV89" s="12">
        <f t="shared" si="37"/>
        <v>4.7108958109883334E-3</v>
      </c>
      <c r="BX89" s="12">
        <f t="shared" si="38"/>
        <v>1.820288598789936E-3</v>
      </c>
      <c r="BY89" s="12">
        <f t="shared" si="39"/>
        <v>1.1407781641517418E-2</v>
      </c>
    </row>
    <row r="90" spans="1:77" x14ac:dyDescent="0.3">
      <c r="A90" s="1">
        <v>46153</v>
      </c>
      <c r="B90" s="8">
        <v>44.57</v>
      </c>
      <c r="C90" s="8">
        <v>102.84</v>
      </c>
      <c r="D90" s="9">
        <v>3.5963176544537298E-3</v>
      </c>
      <c r="E90" s="9">
        <v>6.8090076070701205E-4</v>
      </c>
      <c r="F90" s="8">
        <v>0</v>
      </c>
      <c r="G90" s="8">
        <v>0.27110000000000001</v>
      </c>
      <c r="H90" s="8">
        <v>0</v>
      </c>
      <c r="I90" s="8">
        <v>0.27539999999999998</v>
      </c>
      <c r="J90" s="8">
        <v>0</v>
      </c>
      <c r="K90" s="8">
        <v>0</v>
      </c>
      <c r="L90" s="8">
        <v>44.57</v>
      </c>
      <c r="M90" s="8">
        <v>102.84</v>
      </c>
      <c r="N90" s="10">
        <v>2.30738164684765</v>
      </c>
      <c r="O90" s="10">
        <v>2.3166568507100198</v>
      </c>
      <c r="P90" s="10">
        <v>2.3103505202030998</v>
      </c>
      <c r="Q90" s="10">
        <v>2.3124481962399099</v>
      </c>
      <c r="R90" s="8">
        <v>103.253395836145</v>
      </c>
      <c r="S90" s="8">
        <v>103.021716799041</v>
      </c>
      <c r="T90" s="8">
        <v>103.07547405620301</v>
      </c>
      <c r="U90" s="9">
        <v>4.0117383568015596E-3</v>
      </c>
      <c r="V90" s="9">
        <v>1.76542631688984E-3</v>
      </c>
      <c r="W90" s="9">
        <v>2.2870953232285302E-3</v>
      </c>
      <c r="X90" s="10">
        <v>2.30738164684765</v>
      </c>
      <c r="Y90" s="10">
        <v>2.3166568507100198</v>
      </c>
      <c r="Z90" s="10">
        <v>2.3103505202030998</v>
      </c>
      <c r="AA90" s="10">
        <v>2.3124481962399099</v>
      </c>
      <c r="AB90" s="8">
        <v>103.253395836145</v>
      </c>
      <c r="AC90" s="8">
        <v>103.021716799041</v>
      </c>
      <c r="AD90" s="8">
        <v>103.07547405620301</v>
      </c>
      <c r="AE90" s="9">
        <v>4.0117383568015596E-3</v>
      </c>
      <c r="AF90" s="9">
        <v>1.76542631688984E-3</v>
      </c>
      <c r="AG90" s="9">
        <v>2.2870953232285302E-3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6.6968858305290853E-3</v>
      </c>
      <c r="BL90" s="9"/>
      <c r="BN90">
        <f t="shared" si="30"/>
        <v>1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4.7108958109883334E-3</v>
      </c>
      <c r="BX90" s="12">
        <f t="shared" si="38"/>
        <v>0</v>
      </c>
      <c r="BY90" s="12">
        <f t="shared" si="39"/>
        <v>1.1407781641517418E-2</v>
      </c>
    </row>
    <row r="91" spans="1:77" x14ac:dyDescent="0.3">
      <c r="A91" s="1">
        <v>46154</v>
      </c>
      <c r="B91" s="8">
        <v>44.58</v>
      </c>
      <c r="C91" s="8">
        <v>102.85</v>
      </c>
      <c r="D91" s="9">
        <v>2.24340999258194E-4</v>
      </c>
      <c r="E91" s="9">
        <v>9.7233701277305603E-5</v>
      </c>
      <c r="F91" s="8">
        <v>0</v>
      </c>
      <c r="G91" s="8">
        <v>0.27110000000000001</v>
      </c>
      <c r="H91" s="8">
        <v>0</v>
      </c>
      <c r="I91" s="8">
        <v>0.27539999999999998</v>
      </c>
      <c r="J91" s="8">
        <v>0</v>
      </c>
      <c r="K91" s="8">
        <v>0</v>
      </c>
      <c r="L91" s="8">
        <v>44.58</v>
      </c>
      <c r="M91" s="8">
        <v>102.85</v>
      </c>
      <c r="N91" s="10">
        <v>2.3070883804396498</v>
      </c>
      <c r="O91" s="10">
        <v>2.3166568507100198</v>
      </c>
      <c r="P91" s="10">
        <v>2.3093581512327201</v>
      </c>
      <c r="Q91" s="10">
        <v>2.3121912866871801</v>
      </c>
      <c r="R91" s="8">
        <v>103.276562404652</v>
      </c>
      <c r="S91" s="8">
        <v>102.995426190654</v>
      </c>
      <c r="T91" s="8">
        <v>103.088940588375</v>
      </c>
      <c r="U91" s="9">
        <v>4.1388456547825202E-3</v>
      </c>
      <c r="V91" s="9">
        <v>1.4129652287212999E-3</v>
      </c>
      <c r="W91" s="9">
        <v>2.3205003862980999E-3</v>
      </c>
      <c r="X91" s="10">
        <v>2.3070883804396498</v>
      </c>
      <c r="Y91" s="10">
        <v>2.3166568507100198</v>
      </c>
      <c r="Z91" s="10">
        <v>2.3093581512327201</v>
      </c>
      <c r="AA91" s="10">
        <v>2.3121912866871801</v>
      </c>
      <c r="AB91" s="8">
        <v>103.276562404652</v>
      </c>
      <c r="AC91" s="8">
        <v>102.995426190654</v>
      </c>
      <c r="AD91" s="8">
        <v>103.088940588375</v>
      </c>
      <c r="AE91" s="9">
        <v>4.1388456547825202E-3</v>
      </c>
      <c r="AF91" s="9">
        <v>1.4129652287212999E-3</v>
      </c>
      <c r="AG91" s="9">
        <v>2.3205003862980999E-3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6.6968858305290853E-3</v>
      </c>
      <c r="BL91" s="9"/>
      <c r="BN91">
        <f t="shared" si="30"/>
        <v>1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-2.24340999258194E-4</v>
      </c>
      <c r="BT91" s="9">
        <f t="shared" si="35"/>
        <v>9.7233701277305603E-5</v>
      </c>
      <c r="BU91" s="9">
        <f t="shared" si="36"/>
        <v>-1.2710729798088839E-4</v>
      </c>
      <c r="BV91" s="12">
        <f t="shared" si="37"/>
        <v>4.5837885130074448E-3</v>
      </c>
      <c r="BX91" s="12">
        <f t="shared" si="38"/>
        <v>-1.2710729798088839E-4</v>
      </c>
      <c r="BY91" s="12">
        <f t="shared" si="39"/>
        <v>1.128067434353653E-2</v>
      </c>
    </row>
    <row r="92" spans="1:77" x14ac:dyDescent="0.3">
      <c r="A92" s="1">
        <v>46155</v>
      </c>
      <c r="B92" s="8">
        <v>44.21</v>
      </c>
      <c r="C92" s="8">
        <v>102.01</v>
      </c>
      <c r="D92" s="9">
        <v>-8.3343201195709305E-3</v>
      </c>
      <c r="E92" s="9">
        <v>-8.20076840453857E-3</v>
      </c>
      <c r="F92" s="8">
        <v>0</v>
      </c>
      <c r="G92" s="8">
        <v>0.27110000000000001</v>
      </c>
      <c r="H92" s="8">
        <v>0</v>
      </c>
      <c r="I92" s="8">
        <v>0.27539999999999998</v>
      </c>
      <c r="J92" s="8">
        <v>0</v>
      </c>
      <c r="K92" s="8">
        <v>0</v>
      </c>
      <c r="L92" s="8">
        <v>44.21</v>
      </c>
      <c r="M92" s="8">
        <v>102.01</v>
      </c>
      <c r="N92" s="10">
        <v>2.30739651662519</v>
      </c>
      <c r="O92" s="10">
        <v>2.3166568507100198</v>
      </c>
      <c r="P92" s="10">
        <v>2.3088879037201702</v>
      </c>
      <c r="Q92" s="10">
        <v>2.3118389286898302</v>
      </c>
      <c r="R92" s="8">
        <v>102.41939936988901</v>
      </c>
      <c r="S92" s="8">
        <v>102.096723865998</v>
      </c>
      <c r="T92" s="8">
        <v>102.22197678444</v>
      </c>
      <c r="U92" s="9">
        <v>4.0052939397502204E-3</v>
      </c>
      <c r="V92" s="9">
        <v>8.4978945891612102E-4</v>
      </c>
      <c r="W92" s="9">
        <v>2.0758439877771699E-3</v>
      </c>
      <c r="X92" s="10">
        <v>2.30739651662519</v>
      </c>
      <c r="Y92" s="10">
        <v>2.3166568507100198</v>
      </c>
      <c r="Z92" s="10">
        <v>2.3088879037201702</v>
      </c>
      <c r="AA92" s="10">
        <v>2.3118389286898302</v>
      </c>
      <c r="AB92" s="8">
        <v>102.41939936988901</v>
      </c>
      <c r="AC92" s="8">
        <v>102.096723865998</v>
      </c>
      <c r="AD92" s="8">
        <v>102.22197678444</v>
      </c>
      <c r="AE92" s="9">
        <v>4.0052939397502204E-3</v>
      </c>
      <c r="AF92" s="9">
        <v>8.4978945891612102E-4</v>
      </c>
      <c r="AG92" s="9">
        <v>2.0758439877771699E-3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6.6968858305290853E-3</v>
      </c>
      <c r="BL92" s="9"/>
      <c r="BN92">
        <f t="shared" si="30"/>
        <v>1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8.3343201195709305E-3</v>
      </c>
      <c r="BT92" s="9">
        <f t="shared" si="35"/>
        <v>-8.20076840453857E-3</v>
      </c>
      <c r="BU92" s="9">
        <f t="shared" si="36"/>
        <v>1.3355171503236056E-4</v>
      </c>
      <c r="BV92" s="12">
        <f t="shared" si="37"/>
        <v>4.7173402280398053E-3</v>
      </c>
      <c r="BX92" s="12">
        <f t="shared" si="38"/>
        <v>1.3355171503236056E-4</v>
      </c>
      <c r="BY92" s="12">
        <f t="shared" si="39"/>
        <v>1.1414226058568891E-2</v>
      </c>
    </row>
    <row r="93" spans="1:77" x14ac:dyDescent="0.3">
      <c r="A93" s="1">
        <v>46156</v>
      </c>
      <c r="B93" s="8">
        <v>43.91</v>
      </c>
      <c r="C93" s="8">
        <v>101.33</v>
      </c>
      <c r="D93" s="9">
        <v>-6.8089232645258601E-3</v>
      </c>
      <c r="E93" s="9">
        <v>-6.6883302342014396E-3</v>
      </c>
      <c r="F93" s="8">
        <v>0</v>
      </c>
      <c r="G93" s="8">
        <v>0.27110000000000001</v>
      </c>
      <c r="H93" s="8">
        <v>0</v>
      </c>
      <c r="I93" s="8">
        <v>0.27539999999999998</v>
      </c>
      <c r="J93" s="8">
        <v>0</v>
      </c>
      <c r="K93" s="8">
        <v>0</v>
      </c>
      <c r="L93" s="8">
        <v>43.91</v>
      </c>
      <c r="M93" s="8">
        <v>101.33</v>
      </c>
      <c r="N93" s="10">
        <v>2.3076747893418301</v>
      </c>
      <c r="O93" s="10">
        <v>2.3166568507100198</v>
      </c>
      <c r="P93" s="10">
        <v>2.3085067340057002</v>
      </c>
      <c r="Q93" s="10">
        <v>2.3115413168672601</v>
      </c>
      <c r="R93" s="8">
        <v>101.724402314676</v>
      </c>
      <c r="S93" s="8">
        <v>101.38326785235201</v>
      </c>
      <c r="T93" s="8">
        <v>101.51284735877</v>
      </c>
      <c r="U93" s="9">
        <v>3.8847009094257999E-3</v>
      </c>
      <c r="V93" s="9">
        <v>5.2554876297189403E-4</v>
      </c>
      <c r="W93" s="9">
        <v>1.8028479749372999E-3</v>
      </c>
      <c r="X93" s="10">
        <v>2.3076747893418301</v>
      </c>
      <c r="Y93" s="10">
        <v>2.3166568507100198</v>
      </c>
      <c r="Z93" s="10">
        <v>2.3085067340057002</v>
      </c>
      <c r="AA93" s="10">
        <v>2.3115413168672601</v>
      </c>
      <c r="AB93" s="8">
        <v>101.724402314676</v>
      </c>
      <c r="AC93" s="8">
        <v>101.38326785235201</v>
      </c>
      <c r="AD93" s="8">
        <v>101.51284735877</v>
      </c>
      <c r="AE93" s="9">
        <v>3.8847009094257999E-3</v>
      </c>
      <c r="AF93" s="9">
        <v>5.2554876297189403E-4</v>
      </c>
      <c r="AG93" s="9">
        <v>1.8028479749372999E-3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6.6968858305290853E-3</v>
      </c>
      <c r="BL93" s="9"/>
      <c r="BN93">
        <f t="shared" si="30"/>
        <v>0</v>
      </c>
      <c r="BO93">
        <f t="shared" si="31"/>
        <v>0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6.8089232645258601E-3</v>
      </c>
      <c r="BT93" s="9">
        <f t="shared" si="35"/>
        <v>-6.6883302342014396E-3</v>
      </c>
      <c r="BU93" s="9">
        <f t="shared" si="36"/>
        <v>1.2059303032442049E-4</v>
      </c>
      <c r="BV93" s="12">
        <f t="shared" si="37"/>
        <v>4.8379332583642258E-3</v>
      </c>
      <c r="BX93" s="12">
        <f t="shared" si="38"/>
        <v>1.2059303032442049E-4</v>
      </c>
      <c r="BY93" s="12">
        <f t="shared" si="39"/>
        <v>1.1534819088893311E-2</v>
      </c>
    </row>
    <row r="94" spans="1:77" x14ac:dyDescent="0.3">
      <c r="A94" s="1">
        <v>46157</v>
      </c>
      <c r="B94" s="8">
        <v>43.23</v>
      </c>
      <c r="C94" s="8">
        <v>99.8</v>
      </c>
      <c r="D94" s="9">
        <v>-1.56073858940856E-2</v>
      </c>
      <c r="E94" s="9">
        <v>-1.52143341428078E-2</v>
      </c>
      <c r="F94" s="8">
        <v>0</v>
      </c>
      <c r="G94" s="8">
        <v>0.27110000000000001</v>
      </c>
      <c r="H94" s="8">
        <v>0</v>
      </c>
      <c r="I94" s="8">
        <v>0.27539999999999998</v>
      </c>
      <c r="J94" s="8">
        <v>0</v>
      </c>
      <c r="K94" s="8">
        <v>0</v>
      </c>
      <c r="L94" s="8">
        <v>43.23</v>
      </c>
      <c r="M94" s="8">
        <v>99.8</v>
      </c>
      <c r="N94" s="10">
        <v>2.3085820032384898</v>
      </c>
      <c r="O94" s="10">
        <v>2.3166568507100198</v>
      </c>
      <c r="P94" s="10">
        <v>2.3084082556291898</v>
      </c>
      <c r="Q94" s="10">
        <v>2.3112105249428501</v>
      </c>
      <c r="R94" s="8">
        <v>100.149075656194</v>
      </c>
      <c r="S94" s="8">
        <v>99.796746111066795</v>
      </c>
      <c r="T94" s="8">
        <v>99.927931128171707</v>
      </c>
      <c r="U94" s="9">
        <v>3.4916491581478601E-3</v>
      </c>
      <c r="V94" s="9">
        <v>-3.2604629052174697E-5</v>
      </c>
      <c r="W94" s="9">
        <v>1.28105413143589E-3</v>
      </c>
      <c r="X94" s="10">
        <v>2.3085820032384898</v>
      </c>
      <c r="Y94" s="10">
        <v>2.3166568507100198</v>
      </c>
      <c r="Z94" s="10">
        <v>2.3084082556291898</v>
      </c>
      <c r="AA94" s="10">
        <v>2.3112105249428501</v>
      </c>
      <c r="AB94" s="8">
        <v>100.149075656194</v>
      </c>
      <c r="AC94" s="8">
        <v>99.796746111066795</v>
      </c>
      <c r="AD94" s="8">
        <v>99.927931128171707</v>
      </c>
      <c r="AE94" s="9">
        <v>3.4916491581478601E-3</v>
      </c>
      <c r="AF94" s="9">
        <v>-3.2604629052174697E-5</v>
      </c>
      <c r="AG94" s="9">
        <v>1.28105413143589E-3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6.6968858305290853E-3</v>
      </c>
      <c r="BL94" s="9"/>
      <c r="BN94">
        <f t="shared" si="30"/>
        <v>0</v>
      </c>
      <c r="BO94">
        <f t="shared" si="31"/>
        <v>0</v>
      </c>
      <c r="BP94">
        <f t="shared" si="32"/>
        <v>1</v>
      </c>
      <c r="BQ94">
        <f t="shared" si="21"/>
        <v>1</v>
      </c>
      <c r="BR94">
        <f t="shared" si="33"/>
        <v>1</v>
      </c>
      <c r="BS94" s="9">
        <f t="shared" si="34"/>
        <v>1.56073858940856E-2</v>
      </c>
      <c r="BT94" s="9">
        <f t="shared" si="35"/>
        <v>-1.52143341428078E-2</v>
      </c>
      <c r="BU94" s="9">
        <f t="shared" si="36"/>
        <v>3.9305175127780055E-4</v>
      </c>
      <c r="BV94" s="12">
        <f t="shared" si="37"/>
        <v>5.2309850096420264E-3</v>
      </c>
      <c r="BX94" s="12">
        <f t="shared" si="38"/>
        <v>3.9305175127780055E-4</v>
      </c>
      <c r="BY94" s="12">
        <f t="shared" si="39"/>
        <v>1.1927870840171112E-2</v>
      </c>
    </row>
    <row r="95" spans="1:77" x14ac:dyDescent="0.3">
      <c r="A95" s="1">
        <v>46160</v>
      </c>
      <c r="B95" s="8">
        <v>43.75</v>
      </c>
      <c r="C95" s="8">
        <v>100.91</v>
      </c>
      <c r="D95" s="9">
        <v>1.1956914124083E-2</v>
      </c>
      <c r="E95" s="9">
        <v>1.10608471590191E-2</v>
      </c>
      <c r="F95" s="8">
        <v>0</v>
      </c>
      <c r="G95" s="8">
        <v>0.27110000000000001</v>
      </c>
      <c r="H95" s="8">
        <v>0</v>
      </c>
      <c r="I95" s="8">
        <v>0.27539999999999998</v>
      </c>
      <c r="J95" s="8">
        <v>0</v>
      </c>
      <c r="K95" s="8">
        <v>0</v>
      </c>
      <c r="L95" s="8">
        <v>43.75</v>
      </c>
      <c r="M95" s="8">
        <v>100.91</v>
      </c>
      <c r="N95" s="10">
        <v>2.3065142857142802</v>
      </c>
      <c r="O95" s="10">
        <v>2.3166568507100198</v>
      </c>
      <c r="P95" s="10">
        <v>2.3085016079755798</v>
      </c>
      <c r="Q95" s="10">
        <v>2.3109112392285698</v>
      </c>
      <c r="R95" s="8">
        <v>101.353737218563</v>
      </c>
      <c r="S95" s="8">
        <v>100.99286118377699</v>
      </c>
      <c r="T95" s="8">
        <v>101.11546046625</v>
      </c>
      <c r="U95" s="9">
        <v>4.38771612321212E-3</v>
      </c>
      <c r="V95" s="9">
        <v>8.20802518039048E-4</v>
      </c>
      <c r="W95" s="9">
        <v>2.0340063733693199E-3</v>
      </c>
      <c r="X95" s="10">
        <v>2.3065142857142802</v>
      </c>
      <c r="Y95" s="10">
        <v>2.3166568507100198</v>
      </c>
      <c r="Z95" s="10">
        <v>2.3085016079755798</v>
      </c>
      <c r="AA95" s="10">
        <v>2.3109112392285698</v>
      </c>
      <c r="AB95" s="8">
        <v>101.353737218563</v>
      </c>
      <c r="AC95" s="8">
        <v>100.99286118377699</v>
      </c>
      <c r="AD95" s="8">
        <v>101.11546046625</v>
      </c>
      <c r="AE95" s="9">
        <v>4.38771612321212E-3</v>
      </c>
      <c r="AF95" s="9">
        <v>8.20802518039048E-4</v>
      </c>
      <c r="AG95" s="9">
        <v>2.0340063733693199E-3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6.6968858305290853E-3</v>
      </c>
      <c r="BL95" s="9"/>
      <c r="BN95">
        <f t="shared" si="30"/>
        <v>1</v>
      </c>
      <c r="BO95">
        <f t="shared" si="31"/>
        <v>0</v>
      </c>
      <c r="BP95">
        <f t="shared" si="32"/>
        <v>1</v>
      </c>
      <c r="BQ95">
        <f t="shared" si="21"/>
        <v>1</v>
      </c>
      <c r="BR95">
        <f t="shared" si="33"/>
        <v>1</v>
      </c>
      <c r="BS95" s="9">
        <f t="shared" si="34"/>
        <v>-1.1956914124083E-2</v>
      </c>
      <c r="BT95" s="9">
        <f t="shared" si="35"/>
        <v>1.10608471590191E-2</v>
      </c>
      <c r="BU95" s="9">
        <f t="shared" si="36"/>
        <v>-8.960669650638995E-4</v>
      </c>
      <c r="BV95" s="12">
        <f t="shared" si="37"/>
        <v>4.3349180445781269E-3</v>
      </c>
      <c r="BX95" s="12">
        <f t="shared" si="38"/>
        <v>-8.960669650638995E-4</v>
      </c>
      <c r="BY95" s="12">
        <f t="shared" si="39"/>
        <v>1.1031803875107212E-2</v>
      </c>
    </row>
    <row r="96" spans="1:77" x14ac:dyDescent="0.3">
      <c r="A96" s="1">
        <v>46161</v>
      </c>
      <c r="B96" s="8">
        <v>43.94</v>
      </c>
      <c r="C96" s="8">
        <v>101.26</v>
      </c>
      <c r="D96" s="9">
        <v>4.3334541528405497E-3</v>
      </c>
      <c r="E96" s="9">
        <v>3.4624360653257198E-3</v>
      </c>
      <c r="F96" s="8">
        <v>0</v>
      </c>
      <c r="G96" s="8">
        <v>0.27110000000000001</v>
      </c>
      <c r="H96" s="8">
        <v>0</v>
      </c>
      <c r="I96" s="8">
        <v>0.27539999999999998</v>
      </c>
      <c r="J96" s="8">
        <v>0</v>
      </c>
      <c r="K96" s="8">
        <v>0</v>
      </c>
      <c r="L96" s="8">
        <v>43.94</v>
      </c>
      <c r="M96" s="8">
        <v>101.26</v>
      </c>
      <c r="N96" s="10">
        <v>2.3045061447428301</v>
      </c>
      <c r="O96" s="10">
        <v>2.3166568507100198</v>
      </c>
      <c r="P96" s="10">
        <v>2.3081620934029901</v>
      </c>
      <c r="Q96" s="10">
        <v>2.31027313851687</v>
      </c>
      <c r="R96" s="8">
        <v>101.793902020198</v>
      </c>
      <c r="S96" s="8">
        <v>101.435560654447</v>
      </c>
      <c r="T96" s="8">
        <v>101.541439851703</v>
      </c>
      <c r="U96" s="9">
        <v>5.2587342107267799E-3</v>
      </c>
      <c r="V96" s="9">
        <v>1.73225992499223E-3</v>
      </c>
      <c r="W96" s="9">
        <v>2.7755230197822598E-3</v>
      </c>
      <c r="X96" s="10">
        <v>2.3045061447428301</v>
      </c>
      <c r="Y96" s="10">
        <v>2.3166568507100198</v>
      </c>
      <c r="Z96" s="10">
        <v>2.3081620934029901</v>
      </c>
      <c r="AA96" s="10">
        <v>2.31027313851687</v>
      </c>
      <c r="AB96" s="8">
        <v>101.793902020198</v>
      </c>
      <c r="AC96" s="8">
        <v>101.435560654447</v>
      </c>
      <c r="AD96" s="8">
        <v>101.541439851703</v>
      </c>
      <c r="AE96" s="9">
        <v>5.2587342107267799E-3</v>
      </c>
      <c r="AF96" s="9">
        <v>1.73225992499223E-3</v>
      </c>
      <c r="AG96" s="9">
        <v>2.7755230197822598E-3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6.6968858305290853E-3</v>
      </c>
      <c r="BL96" s="9"/>
      <c r="BN96">
        <f t="shared" si="30"/>
        <v>1</v>
      </c>
      <c r="BO96">
        <f t="shared" si="31"/>
        <v>0</v>
      </c>
      <c r="BP96">
        <f t="shared" si="32"/>
        <v>1</v>
      </c>
      <c r="BQ96">
        <f t="shared" si="21"/>
        <v>1</v>
      </c>
      <c r="BR96">
        <f t="shared" si="33"/>
        <v>1</v>
      </c>
      <c r="BS96" s="9">
        <f t="shared" si="34"/>
        <v>-4.3334541528405497E-3</v>
      </c>
      <c r="BT96" s="9">
        <f t="shared" si="35"/>
        <v>3.4624360653257198E-3</v>
      </c>
      <c r="BU96" s="9">
        <f t="shared" si="36"/>
        <v>-8.710180875148299E-4</v>
      </c>
      <c r="BV96" s="12">
        <f t="shared" si="37"/>
        <v>3.463899957063297E-3</v>
      </c>
      <c r="BX96" s="12">
        <f t="shared" si="38"/>
        <v>-8.710180875148299E-4</v>
      </c>
      <c r="BY96" s="12">
        <f t="shared" si="39"/>
        <v>1.0160785787592382E-2</v>
      </c>
    </row>
    <row r="97" spans="1:77" x14ac:dyDescent="0.3">
      <c r="A97" s="1">
        <v>46162</v>
      </c>
      <c r="B97" s="8">
        <v>44.43</v>
      </c>
      <c r="C97" s="8">
        <v>102.41</v>
      </c>
      <c r="D97" s="9">
        <v>1.10898499913529E-2</v>
      </c>
      <c r="E97" s="9">
        <v>1.12928975455829E-2</v>
      </c>
      <c r="F97" s="8">
        <v>0</v>
      </c>
      <c r="G97" s="8">
        <v>0.27110000000000001</v>
      </c>
      <c r="H97" s="8">
        <v>0</v>
      </c>
      <c r="I97" s="8">
        <v>0.27539999999999998</v>
      </c>
      <c r="J97" s="8">
        <v>0</v>
      </c>
      <c r="K97" s="8">
        <v>0</v>
      </c>
      <c r="L97" s="8">
        <v>44.43</v>
      </c>
      <c r="M97" s="8">
        <v>102.41</v>
      </c>
      <c r="N97" s="10">
        <v>2.3049741165878901</v>
      </c>
      <c r="O97" s="10">
        <v>2.3166568507100198</v>
      </c>
      <c r="P97" s="10">
        <v>2.3078146235240098</v>
      </c>
      <c r="Q97" s="10">
        <v>2.3097487196338902</v>
      </c>
      <c r="R97" s="8">
        <v>102.929063877046</v>
      </c>
      <c r="S97" s="8">
        <v>102.551641809895</v>
      </c>
      <c r="T97" s="8">
        <v>102.64543554430399</v>
      </c>
      <c r="U97" s="9">
        <v>5.0556866564967799E-3</v>
      </c>
      <c r="V97" s="9">
        <v>1.3821301507200099E-3</v>
      </c>
      <c r="W97" s="9">
        <v>2.29631218636255E-3</v>
      </c>
      <c r="X97" s="10">
        <v>2.3049741165878901</v>
      </c>
      <c r="Y97" s="10">
        <v>2.3166568507100198</v>
      </c>
      <c r="Z97" s="10">
        <v>2.3078146235240098</v>
      </c>
      <c r="AA97" s="10">
        <v>2.3097487196338902</v>
      </c>
      <c r="AB97" s="8">
        <v>102.929063877046</v>
      </c>
      <c r="AC97" s="8">
        <v>102.551641809895</v>
      </c>
      <c r="AD97" s="8">
        <v>102.64543554430399</v>
      </c>
      <c r="AE97" s="9">
        <v>5.0556866564967799E-3</v>
      </c>
      <c r="AF97" s="9">
        <v>1.3821301507200099E-3</v>
      </c>
      <c r="AG97" s="9">
        <v>2.29631218636255E-3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6.6968858305290853E-3</v>
      </c>
      <c r="BL97" s="9"/>
      <c r="BN97">
        <f t="shared" si="30"/>
        <v>1</v>
      </c>
      <c r="BO97">
        <f t="shared" si="31"/>
        <v>0</v>
      </c>
      <c r="BP97">
        <f t="shared" si="32"/>
        <v>1</v>
      </c>
      <c r="BQ97">
        <f t="shared" si="21"/>
        <v>1</v>
      </c>
      <c r="BR97">
        <f t="shared" si="33"/>
        <v>1</v>
      </c>
      <c r="BS97" s="9">
        <f t="shared" si="34"/>
        <v>-1.10898499913529E-2</v>
      </c>
      <c r="BT97" s="9">
        <f t="shared" si="35"/>
        <v>1.12928975455829E-2</v>
      </c>
      <c r="BU97" s="9">
        <f t="shared" si="36"/>
        <v>2.0304755423000004E-4</v>
      </c>
      <c r="BV97" s="12">
        <f t="shared" si="37"/>
        <v>3.666947511293297E-3</v>
      </c>
      <c r="BX97" s="12">
        <f t="shared" si="38"/>
        <v>2.0304755423000004E-4</v>
      </c>
      <c r="BY97" s="12">
        <f t="shared" si="39"/>
        <v>1.0363833341822382E-2</v>
      </c>
    </row>
    <row r="98" spans="1:77" x14ac:dyDescent="0.3">
      <c r="A98" s="1">
        <v>46163</v>
      </c>
      <c r="B98" s="8">
        <v>44.5</v>
      </c>
      <c r="C98" s="8">
        <v>102.56</v>
      </c>
      <c r="D98" s="9">
        <v>1.5742722243773299E-3</v>
      </c>
      <c r="E98" s="9">
        <v>1.4636290850136499E-3</v>
      </c>
      <c r="F98" s="8">
        <v>0</v>
      </c>
      <c r="G98" s="8">
        <v>0.27110000000000001</v>
      </c>
      <c r="H98" s="8">
        <v>0</v>
      </c>
      <c r="I98" s="8">
        <v>0.27539999999999998</v>
      </c>
      <c r="J98" s="8">
        <v>0</v>
      </c>
      <c r="K98" s="8">
        <v>0</v>
      </c>
      <c r="L98" s="8">
        <v>44.5</v>
      </c>
      <c r="M98" s="8">
        <v>102.56</v>
      </c>
      <c r="N98" s="10">
        <v>2.3047191011235899</v>
      </c>
      <c r="O98" s="10">
        <v>2.3166568507100198</v>
      </c>
      <c r="P98" s="10">
        <v>2.3072955426453801</v>
      </c>
      <c r="Q98" s="10">
        <v>2.3093568311959798</v>
      </c>
      <c r="R98" s="8">
        <v>103.09122985659501</v>
      </c>
      <c r="S98" s="8">
        <v>102.697750746818</v>
      </c>
      <c r="T98" s="8">
        <v>102.78381802370799</v>
      </c>
      <c r="U98" s="9">
        <v>5.1663297958605397E-3</v>
      </c>
      <c r="V98" s="9">
        <v>1.3422223228889199E-3</v>
      </c>
      <c r="W98" s="9">
        <v>2.1799352373640798E-3</v>
      </c>
      <c r="X98" s="10">
        <v>2.3047191011235899</v>
      </c>
      <c r="Y98" s="10">
        <v>2.3166568507100198</v>
      </c>
      <c r="Z98" s="10">
        <v>2.3072955426453801</v>
      </c>
      <c r="AA98" s="10">
        <v>2.3093568311959798</v>
      </c>
      <c r="AB98" s="8">
        <v>103.09122985659501</v>
      </c>
      <c r="AC98" s="8">
        <v>102.697750746818</v>
      </c>
      <c r="AD98" s="8">
        <v>102.78381802370799</v>
      </c>
      <c r="AE98" s="9">
        <v>5.1663297958605397E-3</v>
      </c>
      <c r="AF98" s="9">
        <v>1.3422223228889199E-3</v>
      </c>
      <c r="AG98" s="9">
        <v>2.1799352373640798E-3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6.6968858305290853E-3</v>
      </c>
      <c r="BL98" s="9"/>
      <c r="BN98">
        <f t="shared" si="30"/>
        <v>1</v>
      </c>
      <c r="BO98">
        <f t="shared" si="31"/>
        <v>0</v>
      </c>
      <c r="BP98">
        <f t="shared" si="32"/>
        <v>1</v>
      </c>
      <c r="BQ98">
        <f t="shared" si="21"/>
        <v>1</v>
      </c>
      <c r="BR98">
        <f t="shared" si="33"/>
        <v>1</v>
      </c>
      <c r="BS98" s="9">
        <f t="shared" si="34"/>
        <v>-1.5742722243773299E-3</v>
      </c>
      <c r="BT98" s="9">
        <f t="shared" si="35"/>
        <v>1.4636290850136499E-3</v>
      </c>
      <c r="BU98" s="9">
        <f t="shared" si="36"/>
        <v>-1.1064313936368E-4</v>
      </c>
      <c r="BV98" s="12">
        <f t="shared" si="37"/>
        <v>3.556304371929617E-3</v>
      </c>
      <c r="BX98" s="12">
        <f t="shared" si="38"/>
        <v>-1.1064313936368E-4</v>
      </c>
      <c r="BY98" s="12">
        <f t="shared" si="39"/>
        <v>1.0253190202458701E-2</v>
      </c>
    </row>
    <row r="99" spans="1:77" x14ac:dyDescent="0.3">
      <c r="A99" s="1">
        <v>46164</v>
      </c>
      <c r="B99" s="8">
        <v>44.56</v>
      </c>
      <c r="C99" s="8">
        <v>102.72</v>
      </c>
      <c r="D99" s="9">
        <v>1.34740644683415E-3</v>
      </c>
      <c r="E99" s="9">
        <v>1.55884676929109E-3</v>
      </c>
      <c r="F99" s="8">
        <v>0</v>
      </c>
      <c r="G99" s="8">
        <v>0.27110000000000001</v>
      </c>
      <c r="H99" s="8">
        <v>0</v>
      </c>
      <c r="I99" s="8">
        <v>0.27539999999999998</v>
      </c>
      <c r="J99" s="8">
        <v>0</v>
      </c>
      <c r="K99" s="8">
        <v>0</v>
      </c>
      <c r="L99" s="8">
        <v>44.56</v>
      </c>
      <c r="M99" s="8">
        <v>102.72</v>
      </c>
      <c r="N99" s="10">
        <v>2.3052064631956899</v>
      </c>
      <c r="O99" s="10">
        <v>2.3166568507100198</v>
      </c>
      <c r="P99" s="10">
        <v>2.3064043447857099</v>
      </c>
      <c r="Q99" s="10">
        <v>2.3089315508878201</v>
      </c>
      <c r="R99" s="8">
        <v>103.23022926763799</v>
      </c>
      <c r="S99" s="8">
        <v>102.813089380278</v>
      </c>
      <c r="T99" s="8">
        <v>102.904940398093</v>
      </c>
      <c r="U99" s="9">
        <v>4.9548894734035296E-3</v>
      </c>
      <c r="V99" s="9">
        <v>9.0583357574418105E-4</v>
      </c>
      <c r="W99" s="9">
        <v>1.79881338910782E-3</v>
      </c>
      <c r="X99" s="10">
        <v>2.3052064631956899</v>
      </c>
      <c r="Y99" s="10">
        <v>2.3166568507100198</v>
      </c>
      <c r="Z99" s="10">
        <v>2.3064043447857099</v>
      </c>
      <c r="AA99" s="10">
        <v>2.3089315508878201</v>
      </c>
      <c r="AB99" s="8">
        <v>103.23022926763799</v>
      </c>
      <c r="AC99" s="8">
        <v>102.813089380278</v>
      </c>
      <c r="AD99" s="8">
        <v>102.904940398093</v>
      </c>
      <c r="AE99" s="9">
        <v>4.9548894734035296E-3</v>
      </c>
      <c r="AF99" s="9">
        <v>9.0583357574418105E-4</v>
      </c>
      <c r="AG99" s="9">
        <v>1.79881338910782E-3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6.6968858305290853E-3</v>
      </c>
      <c r="BL99" s="9"/>
      <c r="BN99">
        <f t="shared" si="30"/>
        <v>0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9">
        <f t="shared" si="34"/>
        <v>-1.34740644683415E-3</v>
      </c>
      <c r="BT99" s="9">
        <f t="shared" si="35"/>
        <v>1.55884676929109E-3</v>
      </c>
      <c r="BU99" s="9">
        <f t="shared" si="36"/>
        <v>2.1144032245694008E-4</v>
      </c>
      <c r="BV99" s="12">
        <f t="shared" si="37"/>
        <v>3.7677446943865569E-3</v>
      </c>
      <c r="BX99" s="12">
        <f t="shared" si="38"/>
        <v>2.1144032245694008E-4</v>
      </c>
      <c r="BY99" s="12">
        <f t="shared" si="39"/>
        <v>1.0464630524915641E-2</v>
      </c>
    </row>
    <row r="100" spans="1:77" x14ac:dyDescent="0.3">
      <c r="A100" s="1">
        <v>46168</v>
      </c>
      <c r="B100" s="8">
        <v>44.71</v>
      </c>
      <c r="C100" s="8">
        <v>103.12</v>
      </c>
      <c r="D100" s="9">
        <v>3.3605946268605602E-3</v>
      </c>
      <c r="E100" s="9">
        <v>3.8865186892809802E-3</v>
      </c>
      <c r="F100" s="8">
        <v>0</v>
      </c>
      <c r="G100" s="8">
        <v>0.27110000000000001</v>
      </c>
      <c r="H100" s="8">
        <v>0</v>
      </c>
      <c r="I100" s="8">
        <v>0.27539999999999998</v>
      </c>
      <c r="J100" s="8">
        <v>0</v>
      </c>
      <c r="K100" s="8">
        <v>0</v>
      </c>
      <c r="L100" s="8">
        <v>44.71</v>
      </c>
      <c r="M100" s="8">
        <v>103.12</v>
      </c>
      <c r="N100" s="10">
        <v>2.3064191456050098</v>
      </c>
      <c r="O100" s="10">
        <v>2.3166568507100198</v>
      </c>
      <c r="P100" s="10">
        <v>2.30630809466144</v>
      </c>
      <c r="Q100" s="10">
        <v>2.3083293074322699</v>
      </c>
      <c r="R100" s="8">
        <v>103.577727795244</v>
      </c>
      <c r="S100" s="8">
        <v>103.119338255369</v>
      </c>
      <c r="T100" s="8">
        <v>103.232329640194</v>
      </c>
      <c r="U100" s="9">
        <v>4.4289654109832604E-3</v>
      </c>
      <c r="V100" s="9">
        <v>-6.4172493605398798E-6</v>
      </c>
      <c r="W100" s="9">
        <v>1.0887170645084701E-3</v>
      </c>
      <c r="X100" s="10">
        <v>2.3064191456050098</v>
      </c>
      <c r="Y100" s="10">
        <v>2.3166568507100198</v>
      </c>
      <c r="Z100" s="10">
        <v>2.30630809466144</v>
      </c>
      <c r="AA100" s="10">
        <v>2.3083293074322699</v>
      </c>
      <c r="AB100" s="8">
        <v>103.577727795244</v>
      </c>
      <c r="AC100" s="8">
        <v>103.119338255369</v>
      </c>
      <c r="AD100" s="8">
        <v>103.232329640194</v>
      </c>
      <c r="AE100" s="9">
        <v>4.4289654109832604E-3</v>
      </c>
      <c r="AF100" s="9">
        <v>-6.4172493605398798E-6</v>
      </c>
      <c r="AG100" s="9">
        <v>1.0887170645084701E-3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6.6968858305290853E-3</v>
      </c>
      <c r="BL100" s="9"/>
      <c r="BN100">
        <f t="shared" si="30"/>
        <v>0</v>
      </c>
      <c r="BO100">
        <f t="shared" si="31"/>
        <v>0</v>
      </c>
      <c r="BP100">
        <f t="shared" si="32"/>
        <v>1</v>
      </c>
      <c r="BQ100">
        <f t="shared" si="21"/>
        <v>1</v>
      </c>
      <c r="BR100">
        <f t="shared" si="33"/>
        <v>1</v>
      </c>
      <c r="BS100" s="9">
        <f t="shared" si="34"/>
        <v>-3.3605946268605602E-3</v>
      </c>
      <c r="BT100" s="9">
        <f t="shared" si="35"/>
        <v>3.8865186892809802E-3</v>
      </c>
      <c r="BU100" s="9">
        <f t="shared" si="36"/>
        <v>5.2592406242042006E-4</v>
      </c>
      <c r="BV100" s="12">
        <f t="shared" si="37"/>
        <v>4.2936687568069769E-3</v>
      </c>
      <c r="BX100" s="12">
        <f t="shared" si="38"/>
        <v>5.2592406242042006E-4</v>
      </c>
      <c r="BY100" s="12">
        <f t="shared" si="39"/>
        <v>1.0990554587336061E-2</v>
      </c>
    </row>
    <row r="101" spans="1:77" x14ac:dyDescent="0.3">
      <c r="A101" s="1">
        <v>46169</v>
      </c>
      <c r="B101" s="8">
        <v>44.63</v>
      </c>
      <c r="C101" s="8">
        <v>102.79</v>
      </c>
      <c r="D101" s="9">
        <v>-1.79091160471069E-3</v>
      </c>
      <c r="E101" s="9">
        <v>-3.20528660610136E-3</v>
      </c>
      <c r="F101" s="8">
        <v>0</v>
      </c>
      <c r="G101" s="8">
        <v>0.27110000000000001</v>
      </c>
      <c r="H101" s="8">
        <v>0</v>
      </c>
      <c r="I101" s="8">
        <v>0.27539999999999998</v>
      </c>
      <c r="J101" s="8">
        <v>0</v>
      </c>
      <c r="K101" s="8">
        <v>0</v>
      </c>
      <c r="L101" s="8">
        <v>44.63</v>
      </c>
      <c r="M101" s="8">
        <v>102.79</v>
      </c>
      <c r="N101" s="10">
        <v>2.3031593098812402</v>
      </c>
      <c r="O101" s="10">
        <v>2.3166568507100198</v>
      </c>
      <c r="P101" s="10">
        <v>2.3059151876056001</v>
      </c>
      <c r="Q101" s="10">
        <v>2.3076366694191601</v>
      </c>
      <c r="R101" s="8">
        <v>103.39239524718801</v>
      </c>
      <c r="S101" s="8">
        <v>102.93053026474</v>
      </c>
      <c r="T101" s="8">
        <v>103.02073699070201</v>
      </c>
      <c r="U101" s="9">
        <v>5.8433404123738502E-3</v>
      </c>
      <c r="V101" s="9">
        <v>1.3662252028882401E-3</v>
      </c>
      <c r="W101" s="9">
        <v>2.2422259474596099E-3</v>
      </c>
      <c r="X101" s="10">
        <v>2.3031593098812402</v>
      </c>
      <c r="Y101" s="10">
        <v>2.3166568507100198</v>
      </c>
      <c r="Z101" s="10">
        <v>2.3059151876056001</v>
      </c>
      <c r="AA101" s="10">
        <v>2.3076366694191601</v>
      </c>
      <c r="AB101" s="8">
        <v>103.39239524718801</v>
      </c>
      <c r="AC101" s="8">
        <v>102.93053026474</v>
      </c>
      <c r="AD101" s="8">
        <v>103.02073699070201</v>
      </c>
      <c r="AE101" s="9">
        <v>5.8433404123738502E-3</v>
      </c>
      <c r="AF101" s="9">
        <v>1.3662252028882401E-3</v>
      </c>
      <c r="AG101" s="9">
        <v>2.2422259474596099E-3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6.6968858305290853E-3</v>
      </c>
      <c r="BL101" s="9"/>
      <c r="BN101">
        <f t="shared" si="30"/>
        <v>1</v>
      </c>
      <c r="BO101">
        <f t="shared" si="31"/>
        <v>0</v>
      </c>
      <c r="BP101">
        <f t="shared" si="32"/>
        <v>1</v>
      </c>
      <c r="BQ101">
        <f t="shared" si="21"/>
        <v>1</v>
      </c>
      <c r="BR101">
        <f t="shared" si="33"/>
        <v>1</v>
      </c>
      <c r="BS101" s="9">
        <f t="shared" si="34"/>
        <v>1.79091160471069E-3</v>
      </c>
      <c r="BT101" s="9">
        <f t="shared" si="35"/>
        <v>-3.20528660610136E-3</v>
      </c>
      <c r="BU101" s="9">
        <f t="shared" si="36"/>
        <v>-1.41437500139067E-3</v>
      </c>
      <c r="BV101" s="12">
        <f t="shared" si="37"/>
        <v>2.879293755416307E-3</v>
      </c>
      <c r="BX101" s="12">
        <f t="shared" si="38"/>
        <v>-1.41437500139067E-3</v>
      </c>
      <c r="BY101" s="12">
        <f t="shared" si="39"/>
        <v>9.5761795859453918E-3</v>
      </c>
    </row>
    <row r="102" spans="1:77" x14ac:dyDescent="0.3">
      <c r="A102" s="1">
        <v>46170</v>
      </c>
      <c r="B102" s="8">
        <v>44.41</v>
      </c>
      <c r="C102" s="8">
        <v>102.31</v>
      </c>
      <c r="D102" s="9">
        <v>-4.94160933716771E-3</v>
      </c>
      <c r="E102" s="9">
        <v>-4.6806521339820203E-3</v>
      </c>
      <c r="F102" s="8">
        <v>0</v>
      </c>
      <c r="G102" s="8">
        <v>0.27110000000000001</v>
      </c>
      <c r="H102" s="8">
        <v>0</v>
      </c>
      <c r="I102" s="8">
        <v>0.27539999999999998</v>
      </c>
      <c r="J102" s="8">
        <v>0</v>
      </c>
      <c r="K102" s="8">
        <v>0</v>
      </c>
      <c r="L102" s="8">
        <v>44.41</v>
      </c>
      <c r="M102" s="8">
        <v>102.31</v>
      </c>
      <c r="N102" s="10">
        <v>2.3037604143210899</v>
      </c>
      <c r="O102" s="10">
        <v>2.3166568507100198</v>
      </c>
      <c r="P102" s="10">
        <v>2.3055515773751898</v>
      </c>
      <c r="Q102" s="10">
        <v>2.30721974054768</v>
      </c>
      <c r="R102" s="8">
        <v>102.88273074003099</v>
      </c>
      <c r="S102" s="8">
        <v>102.405693481565</v>
      </c>
      <c r="T102" s="8">
        <v>102.48214448890501</v>
      </c>
      <c r="U102" s="9">
        <v>5.58238320918819E-3</v>
      </c>
      <c r="V102" s="9">
        <v>9.3489157482188104E-4</v>
      </c>
      <c r="W102" s="9">
        <v>1.6811634047704501E-3</v>
      </c>
      <c r="X102" s="10">
        <v>2.3037604143210899</v>
      </c>
      <c r="Y102" s="10">
        <v>2.3166568507100198</v>
      </c>
      <c r="Z102" s="10">
        <v>2.3055515773751898</v>
      </c>
      <c r="AA102" s="10">
        <v>2.30721974054768</v>
      </c>
      <c r="AB102" s="8">
        <v>102.88273074003099</v>
      </c>
      <c r="AC102" s="8">
        <v>102.405693481565</v>
      </c>
      <c r="AD102" s="8">
        <v>102.48214448890501</v>
      </c>
      <c r="AE102" s="9">
        <v>5.58238320918819E-3</v>
      </c>
      <c r="AF102" s="9">
        <v>9.3489157482188104E-4</v>
      </c>
      <c r="AG102" s="9">
        <v>1.6811634047704501E-3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6.6968858305290853E-3</v>
      </c>
      <c r="BL102" s="9"/>
      <c r="BN102">
        <f t="shared" si="30"/>
        <v>0</v>
      </c>
      <c r="BO102">
        <f t="shared" si="31"/>
        <v>0</v>
      </c>
      <c r="BP102">
        <f t="shared" si="32"/>
        <v>1</v>
      </c>
      <c r="BQ102">
        <f t="shared" si="21"/>
        <v>1</v>
      </c>
      <c r="BR102">
        <f t="shared" si="33"/>
        <v>1</v>
      </c>
      <c r="BS102" s="9">
        <f t="shared" si="34"/>
        <v>4.94160933716771E-3</v>
      </c>
      <c r="BT102" s="9">
        <f t="shared" si="35"/>
        <v>-4.6806521339820203E-3</v>
      </c>
      <c r="BU102" s="9">
        <f t="shared" si="36"/>
        <v>2.6095720318568966E-4</v>
      </c>
      <c r="BV102" s="12">
        <f t="shared" si="37"/>
        <v>3.1402509586019966E-3</v>
      </c>
      <c r="BX102" s="12">
        <f t="shared" si="38"/>
        <v>2.6095720318568966E-4</v>
      </c>
      <c r="BY102" s="12">
        <f t="shared" si="39"/>
        <v>9.8371367891310815E-3</v>
      </c>
    </row>
    <row r="103" spans="1:77" x14ac:dyDescent="0.3">
      <c r="A103" s="1">
        <v>46171</v>
      </c>
      <c r="B103" s="8">
        <v>43.99</v>
      </c>
      <c r="C103" s="8">
        <v>101.43</v>
      </c>
      <c r="D103" s="9">
        <v>-9.5023339433824294E-3</v>
      </c>
      <c r="E103" s="9">
        <v>-8.6385145029442296E-3</v>
      </c>
      <c r="F103" s="8">
        <v>0</v>
      </c>
      <c r="G103" s="8">
        <v>0.27110000000000001</v>
      </c>
      <c r="H103" s="8">
        <v>0</v>
      </c>
      <c r="I103" s="8">
        <v>0.27539999999999998</v>
      </c>
      <c r="J103" s="8">
        <v>0</v>
      </c>
      <c r="K103" s="8">
        <v>0</v>
      </c>
      <c r="L103" s="8">
        <v>43.99</v>
      </c>
      <c r="M103" s="8">
        <v>101.43</v>
      </c>
      <c r="N103" s="10">
        <v>2.30575130711525</v>
      </c>
      <c r="O103" s="10">
        <v>2.3166568507100198</v>
      </c>
      <c r="P103" s="10">
        <v>2.30535922915253</v>
      </c>
      <c r="Q103" s="10">
        <v>2.30693298157912</v>
      </c>
      <c r="R103" s="8">
        <v>101.909734862733</v>
      </c>
      <c r="S103" s="8">
        <v>101.421213888734</v>
      </c>
      <c r="T103" s="8">
        <v>101.494596386692</v>
      </c>
      <c r="U103" s="9">
        <v>4.7185637687499199E-3</v>
      </c>
      <c r="V103" s="9">
        <v>-8.6626164094547202E-5</v>
      </c>
      <c r="W103" s="9">
        <v>6.3665410723813098E-4</v>
      </c>
      <c r="X103" s="10">
        <v>2.30575130711525</v>
      </c>
      <c r="Y103" s="10">
        <v>2.3166568507100198</v>
      </c>
      <c r="Z103" s="10">
        <v>2.30535922915253</v>
      </c>
      <c r="AA103" s="10">
        <v>2.30693298157912</v>
      </c>
      <c r="AB103" s="8">
        <v>101.909734862733</v>
      </c>
      <c r="AC103" s="8">
        <v>101.421213888734</v>
      </c>
      <c r="AD103" s="8">
        <v>101.494596386692</v>
      </c>
      <c r="AE103" s="9">
        <v>4.7185637687499199E-3</v>
      </c>
      <c r="AF103" s="9">
        <v>-8.6626164094547202E-5</v>
      </c>
      <c r="AG103" s="9">
        <v>6.3665410723813098E-4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6.6968858305290853E-3</v>
      </c>
      <c r="BL103" s="9"/>
      <c r="BN103">
        <f t="shared" si="30"/>
        <v>0</v>
      </c>
      <c r="BO103">
        <f t="shared" si="31"/>
        <v>0</v>
      </c>
      <c r="BP103">
        <f t="shared" si="32"/>
        <v>1</v>
      </c>
      <c r="BQ103">
        <f t="shared" si="21"/>
        <v>1</v>
      </c>
      <c r="BR103">
        <f t="shared" si="33"/>
        <v>1</v>
      </c>
      <c r="BS103" s="9">
        <f t="shared" si="34"/>
        <v>9.5023339433824294E-3</v>
      </c>
      <c r="BT103" s="9">
        <f t="shared" si="35"/>
        <v>-8.6385145029442296E-3</v>
      </c>
      <c r="BU103" s="9">
        <f t="shared" si="36"/>
        <v>8.6381944043819985E-4</v>
      </c>
      <c r="BV103" s="12">
        <f t="shared" si="37"/>
        <v>4.0040703990401969E-3</v>
      </c>
      <c r="BX103" s="12">
        <f t="shared" si="38"/>
        <v>8.6381944043819985E-4</v>
      </c>
      <c r="BY103" s="12">
        <f t="shared" si="39"/>
        <v>1.0700956229569281E-2</v>
      </c>
    </row>
    <row r="104" spans="1:77" x14ac:dyDescent="0.3">
      <c r="A104" s="1">
        <v>46174</v>
      </c>
      <c r="B104" s="8">
        <v>43.27</v>
      </c>
      <c r="C104" s="8">
        <v>99.6</v>
      </c>
      <c r="D104" s="9">
        <v>-1.6502781123834898E-2</v>
      </c>
      <c r="E104" s="9">
        <v>-1.8206740797351899E-2</v>
      </c>
      <c r="F104" s="8">
        <v>0</v>
      </c>
      <c r="G104" s="8">
        <v>0.27110000000000001</v>
      </c>
      <c r="H104" s="8">
        <v>0</v>
      </c>
      <c r="I104" s="8">
        <v>0.27539999999999998</v>
      </c>
      <c r="J104" s="8">
        <v>0</v>
      </c>
      <c r="K104" s="8">
        <v>0</v>
      </c>
      <c r="L104" s="8">
        <v>43.27</v>
      </c>
      <c r="M104" s="8">
        <v>99.6</v>
      </c>
      <c r="N104" s="10">
        <v>2.3018257453200799</v>
      </c>
      <c r="O104" s="10">
        <v>2.3166568507100198</v>
      </c>
      <c r="P104" s="10">
        <v>2.3046836033606901</v>
      </c>
      <c r="Q104" s="10">
        <v>2.30654592949494</v>
      </c>
      <c r="R104" s="8">
        <v>100.24174193022201</v>
      </c>
      <c r="S104" s="8">
        <v>99.752893845430407</v>
      </c>
      <c r="T104" s="8">
        <v>99.820990112928698</v>
      </c>
      <c r="U104" s="9">
        <v>6.42252344226691E-3</v>
      </c>
      <c r="V104" s="9">
        <v>1.53390174036851E-3</v>
      </c>
      <c r="W104" s="9">
        <v>2.2163183851754498E-3</v>
      </c>
      <c r="X104" s="10">
        <v>2.3018257453200799</v>
      </c>
      <c r="Y104" s="10">
        <v>2.3166568507100198</v>
      </c>
      <c r="Z104" s="10">
        <v>2.3046836033606901</v>
      </c>
      <c r="AA104" s="10">
        <v>2.30654592949494</v>
      </c>
      <c r="AB104" s="8">
        <v>100.24174193022201</v>
      </c>
      <c r="AC104" s="8">
        <v>99.752893845430407</v>
      </c>
      <c r="AD104" s="8">
        <v>99.820990112928698</v>
      </c>
      <c r="AE104" s="9">
        <v>6.42252344226691E-3</v>
      </c>
      <c r="AF104" s="9">
        <v>1.53390174036851E-3</v>
      </c>
      <c r="AG104" s="9">
        <v>2.2163183851754498E-3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6.6968858305290853E-3</v>
      </c>
      <c r="BL104" s="9"/>
      <c r="BN104">
        <f t="shared" si="30"/>
        <v>1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9">
        <f t="shared" si="34"/>
        <v>1.6502781123834898E-2</v>
      </c>
      <c r="BT104" s="9">
        <f t="shared" si="35"/>
        <v>-1.8206740797351899E-2</v>
      </c>
      <c r="BU104" s="9">
        <f t="shared" si="36"/>
        <v>-1.7039596735170005E-3</v>
      </c>
      <c r="BV104" s="12">
        <f t="shared" si="37"/>
        <v>2.3001107255231964E-3</v>
      </c>
      <c r="BX104" s="12">
        <f t="shared" si="38"/>
        <v>-1.7039596735170005E-3</v>
      </c>
      <c r="BY104" s="12">
        <f t="shared" si="39"/>
        <v>8.9969965560522808E-3</v>
      </c>
    </row>
    <row r="105" spans="1:77" x14ac:dyDescent="0.3">
      <c r="A105" s="1">
        <v>46175</v>
      </c>
      <c r="B105" s="8">
        <v>43.49</v>
      </c>
      <c r="C105" s="8">
        <v>99.99</v>
      </c>
      <c r="D105" s="9">
        <v>5.07147237275349E-3</v>
      </c>
      <c r="E105" s="9">
        <v>3.90801639720555E-3</v>
      </c>
      <c r="F105" s="8">
        <v>0</v>
      </c>
      <c r="G105" s="8">
        <v>0.27110000000000001</v>
      </c>
      <c r="H105" s="8">
        <v>0</v>
      </c>
      <c r="I105" s="8">
        <v>0.27539999999999998</v>
      </c>
      <c r="J105" s="8">
        <v>0</v>
      </c>
      <c r="K105" s="8">
        <v>0</v>
      </c>
      <c r="L105" s="8">
        <v>43.49</v>
      </c>
      <c r="M105" s="8">
        <v>99.99</v>
      </c>
      <c r="N105" s="10">
        <v>2.2991492297079699</v>
      </c>
      <c r="O105" s="10">
        <v>2.3166568507100198</v>
      </c>
      <c r="P105" s="10">
        <v>2.30394709776006</v>
      </c>
      <c r="Q105" s="10">
        <v>2.3062243528678201</v>
      </c>
      <c r="R105" s="8">
        <v>100.75140643737799</v>
      </c>
      <c r="S105" s="8">
        <v>100.230689910156</v>
      </c>
      <c r="T105" s="8">
        <v>100.311682473735</v>
      </c>
      <c r="U105" s="9">
        <v>7.5859794178150201E-3</v>
      </c>
      <c r="V105" s="9">
        <v>2.40424729537399E-3</v>
      </c>
      <c r="W105" s="9">
        <v>3.2119825088280799E-3</v>
      </c>
      <c r="X105" s="10">
        <v>2.2991492297079699</v>
      </c>
      <c r="Y105" s="10">
        <v>2.3166568507100198</v>
      </c>
      <c r="Z105" s="10">
        <v>2.30394709776006</v>
      </c>
      <c r="AA105" s="10">
        <v>2.3062243528678201</v>
      </c>
      <c r="AB105" s="8">
        <v>100.75140643737799</v>
      </c>
      <c r="AC105" s="8">
        <v>100.230689910156</v>
      </c>
      <c r="AD105" s="8">
        <v>100.311682473735</v>
      </c>
      <c r="AE105" s="9">
        <v>7.5859794178150201E-3</v>
      </c>
      <c r="AF105" s="9">
        <v>2.40424729537399E-3</v>
      </c>
      <c r="AG105" s="9">
        <v>3.2119825088280799E-3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6.6968858305290853E-3</v>
      </c>
      <c r="BL105" s="9"/>
      <c r="BN105">
        <f t="shared" si="30"/>
        <v>1</v>
      </c>
      <c r="BO105">
        <f t="shared" si="31"/>
        <v>0</v>
      </c>
      <c r="BP105">
        <f t="shared" si="32"/>
        <v>1</v>
      </c>
      <c r="BQ105">
        <f t="shared" si="21"/>
        <v>1</v>
      </c>
      <c r="BR105">
        <f t="shared" si="33"/>
        <v>1</v>
      </c>
      <c r="BS105" s="9">
        <f t="shared" si="34"/>
        <v>-5.07147237275349E-3</v>
      </c>
      <c r="BT105" s="9">
        <f t="shared" si="35"/>
        <v>3.90801639720555E-3</v>
      </c>
      <c r="BU105" s="9">
        <f t="shared" si="36"/>
        <v>-1.16345597554794E-3</v>
      </c>
      <c r="BV105" s="12">
        <f t="shared" si="37"/>
        <v>1.1366547499752563E-3</v>
      </c>
      <c r="BX105" s="12">
        <f t="shared" si="38"/>
        <v>-1.16345597554794E-3</v>
      </c>
      <c r="BY105" s="12">
        <f t="shared" si="39"/>
        <v>7.8335405805043407E-3</v>
      </c>
    </row>
    <row r="106" spans="1:77" x14ac:dyDescent="0.3">
      <c r="A106" s="1">
        <v>46176</v>
      </c>
      <c r="B106" s="8">
        <v>43.51</v>
      </c>
      <c r="C106" s="8">
        <v>100</v>
      </c>
      <c r="D106" s="9">
        <v>4.5977012304156199E-4</v>
      </c>
      <c r="E106" s="9">
        <v>1.00005000333497E-4</v>
      </c>
      <c r="F106" s="8">
        <v>0</v>
      </c>
      <c r="G106" s="8">
        <v>0.27110000000000001</v>
      </c>
      <c r="H106" s="8">
        <v>0</v>
      </c>
      <c r="I106" s="8">
        <v>0.27539999999999998</v>
      </c>
      <c r="J106" s="8">
        <v>0</v>
      </c>
      <c r="K106" s="8">
        <v>0</v>
      </c>
      <c r="L106" s="8">
        <v>43.51</v>
      </c>
      <c r="M106" s="8">
        <v>100</v>
      </c>
      <c r="N106" s="10">
        <v>2.2983222247759101</v>
      </c>
      <c r="O106" s="10">
        <v>2.3166568507100198</v>
      </c>
      <c r="P106" s="10">
        <v>2.30332870576337</v>
      </c>
      <c r="Q106" s="10">
        <v>2.3057453995831798</v>
      </c>
      <c r="R106" s="8">
        <v>100.797739574392</v>
      </c>
      <c r="S106" s="8">
        <v>100.24473822354</v>
      </c>
      <c r="T106" s="8">
        <v>100.343821593279</v>
      </c>
      <c r="U106" s="9">
        <v>7.9457445405232297E-3</v>
      </c>
      <c r="V106" s="9">
        <v>2.4443922728960999E-3</v>
      </c>
      <c r="W106" s="9">
        <v>3.4323187816434398E-3</v>
      </c>
      <c r="X106" s="10">
        <v>2.2983222247759101</v>
      </c>
      <c r="Y106" s="10">
        <v>2.3166568507100198</v>
      </c>
      <c r="Z106" s="10">
        <v>2.30332870576337</v>
      </c>
      <c r="AA106" s="10">
        <v>2.3057453995831798</v>
      </c>
      <c r="AB106" s="8">
        <v>100.797739574392</v>
      </c>
      <c r="AC106" s="8">
        <v>100.24473822354</v>
      </c>
      <c r="AD106" s="8">
        <v>100.343821593279</v>
      </c>
      <c r="AE106" s="9">
        <v>7.9457445405232297E-3</v>
      </c>
      <c r="AF106" s="9">
        <v>2.4443922728960999E-3</v>
      </c>
      <c r="AG106" s="9">
        <v>3.4323187816434398E-3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6.6968858305290853E-3</v>
      </c>
      <c r="BL106" s="9"/>
      <c r="BN106">
        <f t="shared" si="30"/>
        <v>1</v>
      </c>
      <c r="BO106">
        <f t="shared" si="31"/>
        <v>0</v>
      </c>
      <c r="BP106">
        <f t="shared" si="32"/>
        <v>1</v>
      </c>
      <c r="BQ106">
        <f t="shared" si="21"/>
        <v>1</v>
      </c>
      <c r="BR106">
        <f t="shared" si="33"/>
        <v>1</v>
      </c>
      <c r="BS106" s="9">
        <f t="shared" si="34"/>
        <v>-4.5977012304156199E-4</v>
      </c>
      <c r="BT106" s="9">
        <f t="shared" si="35"/>
        <v>1.00005000333497E-4</v>
      </c>
      <c r="BU106" s="9">
        <f t="shared" si="36"/>
        <v>-3.5976512270806502E-4</v>
      </c>
      <c r="BV106" s="12">
        <f t="shared" si="37"/>
        <v>7.7688962726719132E-4</v>
      </c>
      <c r="BX106" s="12">
        <f t="shared" si="38"/>
        <v>-3.5976512270806502E-4</v>
      </c>
      <c r="BY106" s="12">
        <f t="shared" si="39"/>
        <v>7.4737754577962759E-3</v>
      </c>
    </row>
    <row r="107" spans="1:77" x14ac:dyDescent="0.3">
      <c r="A107" s="1">
        <v>46177</v>
      </c>
      <c r="B107" s="8">
        <v>44.4</v>
      </c>
      <c r="C107" s="8">
        <v>101.79</v>
      </c>
      <c r="D107" s="9">
        <v>2.02486727055902E-2</v>
      </c>
      <c r="E107" s="9">
        <v>1.7741681476157099E-2</v>
      </c>
      <c r="F107" s="8">
        <v>0</v>
      </c>
      <c r="G107" s="8">
        <v>0.27110000000000001</v>
      </c>
      <c r="H107" s="8">
        <v>0</v>
      </c>
      <c r="I107" s="8">
        <v>0.27539999999999998</v>
      </c>
      <c r="J107" s="8">
        <v>0</v>
      </c>
      <c r="K107" s="8">
        <v>0</v>
      </c>
      <c r="L107" s="8">
        <v>44.4</v>
      </c>
      <c r="M107" s="8">
        <v>101.79</v>
      </c>
      <c r="N107" s="10">
        <v>2.2925675675675601</v>
      </c>
      <c r="O107" s="10">
        <v>2.3166568507100198</v>
      </c>
      <c r="P107" s="10">
        <v>2.3020880508613399</v>
      </c>
      <c r="Q107" s="10">
        <v>2.3049513371926702</v>
      </c>
      <c r="R107" s="8">
        <v>102.859564171524</v>
      </c>
      <c r="S107" s="8">
        <v>102.267794535893</v>
      </c>
      <c r="T107" s="8">
        <v>102.375095741493</v>
      </c>
      <c r="U107" s="9">
        <v>1.0452735769956501E-2</v>
      </c>
      <c r="V107" s="9">
        <v>4.6829420081465102E-3</v>
      </c>
      <c r="W107" s="9">
        <v>5.73160991239183E-3</v>
      </c>
      <c r="X107" s="10">
        <v>2.2925675675675601</v>
      </c>
      <c r="Y107" s="10">
        <v>2.3166568507100198</v>
      </c>
      <c r="Z107" s="10">
        <v>2.3020880508613399</v>
      </c>
      <c r="AA107" s="10">
        <v>2.3049513371926702</v>
      </c>
      <c r="AB107" s="8">
        <v>102.859564171524</v>
      </c>
      <c r="AC107" s="8">
        <v>102.267794535893</v>
      </c>
      <c r="AD107" s="8">
        <v>102.375095741493</v>
      </c>
      <c r="AE107" s="9">
        <v>1.0452735769956501E-2</v>
      </c>
      <c r="AF107" s="9">
        <v>4.6829420081465102E-3</v>
      </c>
      <c r="AG107" s="9">
        <v>5.73160991239183E-3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6.6968858305290853E-3</v>
      </c>
      <c r="BL107" s="9"/>
      <c r="BN107">
        <f t="shared" si="30"/>
        <v>1</v>
      </c>
      <c r="BO107">
        <f t="shared" si="31"/>
        <v>0</v>
      </c>
      <c r="BP107">
        <f t="shared" si="32"/>
        <v>1</v>
      </c>
      <c r="BQ107">
        <f t="shared" si="21"/>
        <v>1</v>
      </c>
      <c r="BR107">
        <f t="shared" si="33"/>
        <v>1</v>
      </c>
      <c r="BS107" s="9">
        <f t="shared" si="34"/>
        <v>-2.02486727055902E-2</v>
      </c>
      <c r="BT107" s="9">
        <f t="shared" si="35"/>
        <v>1.7741681476157099E-2</v>
      </c>
      <c r="BU107" s="9">
        <f t="shared" si="36"/>
        <v>-2.5069912294331011E-3</v>
      </c>
      <c r="BV107" s="12">
        <f t="shared" si="37"/>
        <v>-1.7301016021659097E-3</v>
      </c>
      <c r="BX107" s="12">
        <f t="shared" si="38"/>
        <v>-2.5069912294331011E-3</v>
      </c>
      <c r="BY107" s="12">
        <f t="shared" si="39"/>
        <v>4.9667842283631749E-3</v>
      </c>
    </row>
    <row r="108" spans="1:77" x14ac:dyDescent="0.3">
      <c r="A108" s="1">
        <v>46178</v>
      </c>
      <c r="B108" s="8">
        <v>44.7</v>
      </c>
      <c r="C108" s="8">
        <v>102.54</v>
      </c>
      <c r="D108" s="9">
        <v>6.7340321813441099E-3</v>
      </c>
      <c r="E108" s="9">
        <v>7.3410988913061399E-3</v>
      </c>
      <c r="F108" s="8">
        <v>0</v>
      </c>
      <c r="G108" s="8">
        <v>0.27110000000000001</v>
      </c>
      <c r="H108" s="8">
        <v>0</v>
      </c>
      <c r="I108" s="8">
        <v>0.27539999999999998</v>
      </c>
      <c r="J108" s="8">
        <v>0</v>
      </c>
      <c r="K108" s="8">
        <v>0</v>
      </c>
      <c r="L108" s="8">
        <v>44.7</v>
      </c>
      <c r="M108" s="8">
        <v>102.54</v>
      </c>
      <c r="N108" s="10">
        <v>2.29395973154362</v>
      </c>
      <c r="O108" s="10">
        <v>2.3166568507100198</v>
      </c>
      <c r="P108" s="10">
        <v>2.3010121139033402</v>
      </c>
      <c r="Q108" s="10">
        <v>2.3041538282743601</v>
      </c>
      <c r="R108" s="8">
        <v>103.55456122673699</v>
      </c>
      <c r="S108" s="8">
        <v>102.903335873502</v>
      </c>
      <c r="T108" s="8">
        <v>103.03132477251199</v>
      </c>
      <c r="U108" s="9">
        <v>9.8456690599944604E-3</v>
      </c>
      <c r="V108" s="9">
        <v>3.5370945547223199E-3</v>
      </c>
      <c r="W108" s="9">
        <v>4.7800996427283899E-3</v>
      </c>
      <c r="X108" s="10">
        <v>2.29395973154362</v>
      </c>
      <c r="Y108" s="10">
        <v>2.3166568507100198</v>
      </c>
      <c r="Z108" s="10">
        <v>2.3010121139033402</v>
      </c>
      <c r="AA108" s="10">
        <v>2.3041538282743601</v>
      </c>
      <c r="AB108" s="8">
        <v>103.55456122673699</v>
      </c>
      <c r="AC108" s="8">
        <v>102.903335873502</v>
      </c>
      <c r="AD108" s="8">
        <v>103.03132477251199</v>
      </c>
      <c r="AE108" s="9">
        <v>9.8456690599944604E-3</v>
      </c>
      <c r="AF108" s="9">
        <v>3.5370945547223199E-3</v>
      </c>
      <c r="AG108" s="9">
        <v>4.7800996427283899E-3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6.6968858305290853E-3</v>
      </c>
      <c r="BL108" s="9"/>
      <c r="BN108">
        <f t="shared" si="30"/>
        <v>1</v>
      </c>
      <c r="BO108">
        <f t="shared" si="31"/>
        <v>0</v>
      </c>
      <c r="BP108">
        <f t="shared" si="32"/>
        <v>1</v>
      </c>
      <c r="BQ108">
        <f t="shared" si="21"/>
        <v>1</v>
      </c>
      <c r="BR108">
        <f t="shared" si="33"/>
        <v>1</v>
      </c>
      <c r="BS108" s="9">
        <f t="shared" si="34"/>
        <v>-6.7340321813441099E-3</v>
      </c>
      <c r="BT108" s="9">
        <f t="shared" si="35"/>
        <v>7.3410988913061399E-3</v>
      </c>
      <c r="BU108" s="9">
        <f t="shared" si="36"/>
        <v>6.0706670996202999E-4</v>
      </c>
      <c r="BV108" s="12">
        <f t="shared" si="37"/>
        <v>-1.1230348922038798E-3</v>
      </c>
      <c r="BX108" s="12">
        <f t="shared" si="38"/>
        <v>6.0706670996202999E-4</v>
      </c>
      <c r="BY108" s="12">
        <f t="shared" si="39"/>
        <v>5.5738509383252048E-3</v>
      </c>
    </row>
    <row r="109" spans="1:77" x14ac:dyDescent="0.3">
      <c r="A109" s="1">
        <v>46181</v>
      </c>
      <c r="B109" s="8">
        <v>44.03</v>
      </c>
      <c r="C109" s="8">
        <v>101.08</v>
      </c>
      <c r="D109" s="9">
        <v>-1.51022818518607E-2</v>
      </c>
      <c r="E109" s="9">
        <v>-1.4340683835561001E-2</v>
      </c>
      <c r="F109" s="8">
        <v>0</v>
      </c>
      <c r="G109" s="8">
        <v>0.27110000000000001</v>
      </c>
      <c r="H109" s="8">
        <v>0</v>
      </c>
      <c r="I109" s="8">
        <v>0.27539999999999998</v>
      </c>
      <c r="J109" s="8">
        <v>0</v>
      </c>
      <c r="K109" s="8">
        <v>0</v>
      </c>
      <c r="L109" s="8">
        <v>44.03</v>
      </c>
      <c r="M109" s="8">
        <v>101.08</v>
      </c>
      <c r="N109" s="10">
        <v>2.2957074721780599</v>
      </c>
      <c r="O109" s="10">
        <v>2.3166568507100198</v>
      </c>
      <c r="P109" s="10">
        <v>2.3000622148015801</v>
      </c>
      <c r="Q109" s="10">
        <v>2.3032332797936399</v>
      </c>
      <c r="R109" s="8">
        <v>102.002401136762</v>
      </c>
      <c r="S109" s="8">
        <v>101.31356337516399</v>
      </c>
      <c r="T109" s="8">
        <v>101.45189305892001</v>
      </c>
      <c r="U109" s="9">
        <v>9.0840710436950693E-3</v>
      </c>
      <c r="V109" s="9">
        <v>2.3080129125705598E-3</v>
      </c>
      <c r="W109" s="9">
        <v>3.6724435966626399E-3</v>
      </c>
      <c r="X109" s="10">
        <v>2.2957074721780599</v>
      </c>
      <c r="Y109" s="10">
        <v>2.3166568507100198</v>
      </c>
      <c r="Z109" s="10">
        <v>2.3000622148015801</v>
      </c>
      <c r="AA109" s="10">
        <v>2.3032332797936399</v>
      </c>
      <c r="AB109" s="8">
        <v>102.002401136762</v>
      </c>
      <c r="AC109" s="8">
        <v>101.31356337516399</v>
      </c>
      <c r="AD109" s="8">
        <v>101.45189305892001</v>
      </c>
      <c r="AE109" s="9">
        <v>9.0840710436950693E-3</v>
      </c>
      <c r="AF109" s="9">
        <v>2.3080129125705598E-3</v>
      </c>
      <c r="AG109" s="9">
        <v>3.6724435966626399E-3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6.6968858305290853E-3</v>
      </c>
      <c r="BL109" s="9"/>
      <c r="BN109">
        <f t="shared" si="30"/>
        <v>1</v>
      </c>
      <c r="BO109">
        <f t="shared" si="31"/>
        <v>0</v>
      </c>
      <c r="BP109">
        <f t="shared" si="32"/>
        <v>1</v>
      </c>
      <c r="BQ109">
        <f t="shared" si="21"/>
        <v>1</v>
      </c>
      <c r="BR109">
        <f t="shared" si="33"/>
        <v>1</v>
      </c>
      <c r="BS109" s="9">
        <f t="shared" si="34"/>
        <v>1.51022818518607E-2</v>
      </c>
      <c r="BT109" s="9">
        <f t="shared" si="35"/>
        <v>-1.4340683835561001E-2</v>
      </c>
      <c r="BU109" s="9">
        <f t="shared" si="36"/>
        <v>7.6159801629969992E-4</v>
      </c>
      <c r="BV109" s="12">
        <f t="shared" si="37"/>
        <v>-3.6143687590417983E-4</v>
      </c>
      <c r="BX109" s="12">
        <f t="shared" si="38"/>
        <v>7.6159801629969992E-4</v>
      </c>
      <c r="BY109" s="12">
        <f t="shared" si="39"/>
        <v>6.3354489546249048E-3</v>
      </c>
    </row>
    <row r="110" spans="1:77" x14ac:dyDescent="0.3">
      <c r="A110" s="1">
        <v>46182</v>
      </c>
      <c r="B110" s="8">
        <v>44.97</v>
      </c>
      <c r="C110" s="8">
        <v>103.49</v>
      </c>
      <c r="D110" s="9">
        <v>2.1124381014953401E-2</v>
      </c>
      <c r="E110" s="9">
        <v>2.3562707160088001E-2</v>
      </c>
      <c r="F110" s="8">
        <v>0</v>
      </c>
      <c r="G110" s="8">
        <v>0.27110000000000001</v>
      </c>
      <c r="H110" s="8">
        <v>0</v>
      </c>
      <c r="I110" s="8">
        <v>0.27539999999999998</v>
      </c>
      <c r="J110" s="8">
        <v>0</v>
      </c>
      <c r="K110" s="8">
        <v>0</v>
      </c>
      <c r="L110" s="8">
        <v>44.97</v>
      </c>
      <c r="M110" s="8">
        <v>103.49</v>
      </c>
      <c r="N110" s="10">
        <v>2.30131198576828</v>
      </c>
      <c r="O110" s="10">
        <v>2.3166568507100198</v>
      </c>
      <c r="P110" s="10">
        <v>2.2995514988179102</v>
      </c>
      <c r="Q110" s="10">
        <v>2.3029297967396798</v>
      </c>
      <c r="R110" s="8">
        <v>104.180058576429</v>
      </c>
      <c r="S110" s="8">
        <v>103.433797799627</v>
      </c>
      <c r="T110" s="8">
        <v>103.57640059232</v>
      </c>
      <c r="U110" s="9">
        <v>6.6457448985603297E-3</v>
      </c>
      <c r="V110" s="9">
        <v>-5.4321641447192099E-4</v>
      </c>
      <c r="W110" s="9">
        <v>8.3452068599748402E-4</v>
      </c>
      <c r="X110" s="10">
        <v>2.30131198576828</v>
      </c>
      <c r="Y110" s="10">
        <v>2.3166568507100198</v>
      </c>
      <c r="Z110" s="10">
        <v>2.2995514988179102</v>
      </c>
      <c r="AA110" s="10">
        <v>2.3029297967396798</v>
      </c>
      <c r="AB110" s="8">
        <v>104.180058576429</v>
      </c>
      <c r="AC110" s="8">
        <v>103.433797799627</v>
      </c>
      <c r="AD110" s="8">
        <v>103.57640059232</v>
      </c>
      <c r="AE110" s="9">
        <v>6.6457448985603297E-3</v>
      </c>
      <c r="AF110" s="9">
        <v>-5.4321641447192099E-4</v>
      </c>
      <c r="AG110" s="9">
        <v>8.3452068599748402E-4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6.6968858305290853E-3</v>
      </c>
      <c r="BL110" s="9"/>
      <c r="BN110">
        <f t="shared" si="30"/>
        <v>0</v>
      </c>
      <c r="BO110">
        <f t="shared" si="31"/>
        <v>0</v>
      </c>
      <c r="BP110">
        <f t="shared" si="32"/>
        <v>1</v>
      </c>
      <c r="BQ110">
        <f t="shared" si="21"/>
        <v>1</v>
      </c>
      <c r="BR110">
        <f t="shared" si="33"/>
        <v>1</v>
      </c>
      <c r="BS110" s="9">
        <f t="shared" si="34"/>
        <v>-2.1124381014953401E-2</v>
      </c>
      <c r="BT110" s="9">
        <f t="shared" si="35"/>
        <v>2.3562707160088001E-2</v>
      </c>
      <c r="BU110" s="9">
        <f t="shared" si="36"/>
        <v>2.4383261451345999E-3</v>
      </c>
      <c r="BV110" s="12">
        <f t="shared" si="37"/>
        <v>2.0768892692304202E-3</v>
      </c>
      <c r="BX110" s="12">
        <f t="shared" si="38"/>
        <v>2.4383261451345999E-3</v>
      </c>
      <c r="BY110" s="12">
        <f t="shared" si="39"/>
        <v>8.7737750997595038E-3</v>
      </c>
    </row>
    <row r="111" spans="1:77" x14ac:dyDescent="0.3">
      <c r="A111" s="1">
        <v>46183</v>
      </c>
      <c r="B111" s="8">
        <v>44.99</v>
      </c>
      <c r="C111" s="8">
        <v>103.52</v>
      </c>
      <c r="D111" s="9">
        <v>4.4464207046492299E-4</v>
      </c>
      <c r="E111" s="9">
        <v>2.8984107250883302E-4</v>
      </c>
      <c r="F111" s="8">
        <v>0</v>
      </c>
      <c r="G111" s="8">
        <v>0.27110000000000001</v>
      </c>
      <c r="H111" s="8">
        <v>0</v>
      </c>
      <c r="I111" s="8">
        <v>0.27539999999999998</v>
      </c>
      <c r="J111" s="8">
        <v>0</v>
      </c>
      <c r="K111" s="8">
        <v>0</v>
      </c>
      <c r="L111" s="8">
        <v>44.99</v>
      </c>
      <c r="M111" s="8">
        <v>103.52</v>
      </c>
      <c r="N111" s="10">
        <v>2.3009557679484298</v>
      </c>
      <c r="O111" s="10">
        <v>2.3166568507100198</v>
      </c>
      <c r="P111" s="10">
        <v>2.2993311446246301</v>
      </c>
      <c r="Q111" s="10">
        <v>2.3026231661151102</v>
      </c>
      <c r="R111" s="8">
        <v>104.22639171344299</v>
      </c>
      <c r="S111" s="8">
        <v>103.456821931817</v>
      </c>
      <c r="T111" s="8">
        <v>103.608811555318</v>
      </c>
      <c r="U111" s="9">
        <v>6.8005458965163497E-3</v>
      </c>
      <c r="V111" s="9">
        <v>-6.1048449342913198E-4</v>
      </c>
      <c r="W111" s="9">
        <v>8.5754907870062001E-4</v>
      </c>
      <c r="X111" s="10">
        <v>2.3009557679484298</v>
      </c>
      <c r="Y111" s="10">
        <v>2.3166568507100198</v>
      </c>
      <c r="Z111" s="10">
        <v>2.2993311446246301</v>
      </c>
      <c r="AA111" s="10">
        <v>2.3026231661151102</v>
      </c>
      <c r="AB111" s="8">
        <v>104.22639171344299</v>
      </c>
      <c r="AC111" s="8">
        <v>103.456821931817</v>
      </c>
      <c r="AD111" s="8">
        <v>103.608811555318</v>
      </c>
      <c r="AE111" s="9">
        <v>6.8005458965163497E-3</v>
      </c>
      <c r="AF111" s="9">
        <v>-6.1048449342913198E-4</v>
      </c>
      <c r="AG111" s="9">
        <v>8.5754907870062001E-4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6.6968858305290853E-3</v>
      </c>
      <c r="BL111" s="9"/>
      <c r="BN111">
        <f t="shared" si="30"/>
        <v>0</v>
      </c>
      <c r="BO111">
        <f t="shared" si="31"/>
        <v>0</v>
      </c>
      <c r="BP111">
        <f t="shared" si="32"/>
        <v>1</v>
      </c>
      <c r="BQ111">
        <f t="shared" si="21"/>
        <v>1</v>
      </c>
      <c r="BR111">
        <f t="shared" si="33"/>
        <v>1</v>
      </c>
      <c r="BS111" s="9">
        <f t="shared" si="34"/>
        <v>-4.4464207046492299E-4</v>
      </c>
      <c r="BT111" s="9">
        <f t="shared" si="35"/>
        <v>2.8984107250883302E-4</v>
      </c>
      <c r="BU111" s="9">
        <f t="shared" si="36"/>
        <v>-1.5480099795608997E-4</v>
      </c>
      <c r="BV111" s="12">
        <f t="shared" si="37"/>
        <v>1.9220882712743302E-3</v>
      </c>
      <c r="BX111" s="12">
        <f t="shared" si="38"/>
        <v>-1.5480099795608997E-4</v>
      </c>
      <c r="BY111" s="12">
        <f t="shared" si="39"/>
        <v>8.6189741018034144E-3</v>
      </c>
    </row>
    <row r="112" spans="1:77" x14ac:dyDescent="0.3">
      <c r="A112" s="1">
        <v>46184</v>
      </c>
      <c r="B112" s="8">
        <v>44.92</v>
      </c>
      <c r="C112" s="8">
        <v>103.45</v>
      </c>
      <c r="D112" s="9">
        <v>-1.55711298283844E-3</v>
      </c>
      <c r="E112" s="9">
        <v>-6.7642656103837498E-4</v>
      </c>
      <c r="F112" s="8">
        <v>0</v>
      </c>
      <c r="G112" s="8">
        <v>0.27110000000000001</v>
      </c>
      <c r="H112" s="8">
        <v>0</v>
      </c>
      <c r="I112" s="8">
        <v>0.27539999999999998</v>
      </c>
      <c r="J112" s="8">
        <v>0</v>
      </c>
      <c r="K112" s="8">
        <v>0</v>
      </c>
      <c r="L112" s="8">
        <v>44.92</v>
      </c>
      <c r="M112" s="8">
        <v>103.45</v>
      </c>
      <c r="N112" s="10">
        <v>2.3029830810329401</v>
      </c>
      <c r="O112" s="10">
        <v>2.3166568507100198</v>
      </c>
      <c r="P112" s="10">
        <v>2.2992534112958101</v>
      </c>
      <c r="Q112" s="10">
        <v>2.3024024943354999</v>
      </c>
      <c r="R112" s="8">
        <v>104.06422573389401</v>
      </c>
      <c r="S112" s="8">
        <v>103.285955016538</v>
      </c>
      <c r="T112" s="8">
        <v>103.433832621891</v>
      </c>
      <c r="U112" s="9">
        <v>5.9198594747162103E-3</v>
      </c>
      <c r="V112" s="9">
        <v>-1.58700036361235E-3</v>
      </c>
      <c r="W112" s="9">
        <v>-1.5629426366347001E-4</v>
      </c>
      <c r="X112" s="10">
        <v>2.3029830810329401</v>
      </c>
      <c r="Y112" s="10">
        <v>2.3166568507100198</v>
      </c>
      <c r="Z112" s="10">
        <v>2.2992534112958101</v>
      </c>
      <c r="AA112" s="10">
        <v>2.3024024943354999</v>
      </c>
      <c r="AB112" s="8">
        <v>104.06422573389401</v>
      </c>
      <c r="AC112" s="8">
        <v>103.285955016538</v>
      </c>
      <c r="AD112" s="8">
        <v>103.433832621891</v>
      </c>
      <c r="AE112" s="9">
        <v>5.9198594747162103E-3</v>
      </c>
      <c r="AF112" s="9">
        <v>-1.58700036361235E-3</v>
      </c>
      <c r="AG112" s="9">
        <v>-1.5629426366347001E-4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6.6968858305290853E-3</v>
      </c>
      <c r="BL112" s="9"/>
      <c r="BN112">
        <f t="shared" si="30"/>
        <v>0</v>
      </c>
      <c r="BO112">
        <f t="shared" si="31"/>
        <v>1</v>
      </c>
      <c r="BP112">
        <f t="shared" si="32"/>
        <v>1</v>
      </c>
      <c r="BQ112">
        <f t="shared" si="21"/>
        <v>1</v>
      </c>
      <c r="BR112">
        <f t="shared" si="33"/>
        <v>1</v>
      </c>
      <c r="BS112" s="9">
        <f t="shared" si="34"/>
        <v>1.55711298283844E-3</v>
      </c>
      <c r="BT112" s="9">
        <f t="shared" si="35"/>
        <v>-6.7642656103837498E-4</v>
      </c>
      <c r="BU112" s="9">
        <f t="shared" si="36"/>
        <v>8.8068642180006503E-4</v>
      </c>
      <c r="BV112" s="12">
        <f t="shared" si="37"/>
        <v>2.8027746930743952E-3</v>
      </c>
      <c r="BX112" s="12">
        <f t="shared" si="38"/>
        <v>8.8068642180006503E-4</v>
      </c>
      <c r="BY112" s="12">
        <f t="shared" si="39"/>
        <v>9.4996605236034801E-3</v>
      </c>
    </row>
    <row r="113" spans="1:77" x14ac:dyDescent="0.3">
      <c r="A113" s="1">
        <v>46185</v>
      </c>
      <c r="B113" s="8">
        <v>45.36</v>
      </c>
      <c r="C113" s="8">
        <v>104.37</v>
      </c>
      <c r="D113" s="9">
        <v>9.7475295492540394E-3</v>
      </c>
      <c r="E113" s="9">
        <v>8.8538736404082698E-3</v>
      </c>
      <c r="F113" s="8">
        <v>0</v>
      </c>
      <c r="G113" s="8">
        <v>0.27110000000000001</v>
      </c>
      <c r="H113" s="8">
        <v>0</v>
      </c>
      <c r="I113" s="8">
        <v>0.27539999999999998</v>
      </c>
      <c r="J113" s="8">
        <v>0</v>
      </c>
      <c r="K113" s="8">
        <v>0</v>
      </c>
      <c r="L113" s="8">
        <v>45.36</v>
      </c>
      <c r="M113" s="8">
        <v>104.37</v>
      </c>
      <c r="N113" s="10">
        <v>2.3009259259259198</v>
      </c>
      <c r="O113" s="10">
        <v>2.3166568507100198</v>
      </c>
      <c r="P113" s="10">
        <v>2.2987708731768799</v>
      </c>
      <c r="Q113" s="10">
        <v>2.3020650511647101</v>
      </c>
      <c r="R113" s="8">
        <v>105.083554748206</v>
      </c>
      <c r="S113" s="8">
        <v>104.294134736378</v>
      </c>
      <c r="T113" s="8">
        <v>104.436977143058</v>
      </c>
      <c r="U113" s="9">
        <v>6.8135153835622497E-3</v>
      </c>
      <c r="V113" s="9">
        <v>-7.2715195700008702E-4</v>
      </c>
      <c r="W113" s="9">
        <v>6.4152210114825205E-4</v>
      </c>
      <c r="X113" s="10">
        <v>2.3009259259259198</v>
      </c>
      <c r="Y113" s="10">
        <v>2.3166568507100198</v>
      </c>
      <c r="Z113" s="10">
        <v>2.2987708731768799</v>
      </c>
      <c r="AA113" s="10">
        <v>2.3020650511647101</v>
      </c>
      <c r="AB113" s="8">
        <v>105.083554748206</v>
      </c>
      <c r="AC113" s="8">
        <v>104.294134736378</v>
      </c>
      <c r="AD113" s="8">
        <v>104.436977143058</v>
      </c>
      <c r="AE113" s="9">
        <v>6.8135153835622497E-3</v>
      </c>
      <c r="AF113" s="9">
        <v>-7.2715195700008702E-4</v>
      </c>
      <c r="AG113" s="9">
        <v>6.4152210114825205E-4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6.6968858305290853E-3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2.8027746930743952E-3</v>
      </c>
      <c r="BX113" s="12">
        <f t="shared" si="38"/>
        <v>0</v>
      </c>
      <c r="BY113" s="12">
        <f t="shared" si="39"/>
        <v>9.4996605236034801E-3</v>
      </c>
    </row>
    <row r="114" spans="1:77" x14ac:dyDescent="0.3">
      <c r="A114" s="1">
        <v>46188</v>
      </c>
      <c r="B114" s="8">
        <v>44.99</v>
      </c>
      <c r="C114" s="8">
        <v>103.08</v>
      </c>
      <c r="D114" s="9">
        <v>-8.1904165664156096E-3</v>
      </c>
      <c r="E114" s="9">
        <v>-1.24368920477961E-2</v>
      </c>
      <c r="F114" s="8">
        <v>0</v>
      </c>
      <c r="G114" s="8">
        <v>0.27110000000000001</v>
      </c>
      <c r="H114" s="8">
        <v>0.51</v>
      </c>
      <c r="I114" s="8">
        <v>0.78539999999999999</v>
      </c>
      <c r="J114" s="8">
        <v>0</v>
      </c>
      <c r="K114" s="8">
        <v>0</v>
      </c>
      <c r="L114" s="8">
        <v>44.99</v>
      </c>
      <c r="M114" s="8">
        <v>103.08</v>
      </c>
      <c r="N114" s="10">
        <v>2.2911758168481802</v>
      </c>
      <c r="O114" s="10">
        <v>2.3166568507100198</v>
      </c>
      <c r="P114" s="10">
        <v>2.2977058803296901</v>
      </c>
      <c r="Q114" s="10">
        <v>2.3011947418451899</v>
      </c>
      <c r="R114" s="8">
        <v>104.22639171344299</v>
      </c>
      <c r="S114" s="8">
        <v>103.42170158422699</v>
      </c>
      <c r="T114" s="8">
        <v>103.5699066519</v>
      </c>
      <c r="U114" s="9">
        <v>1.10599908649425E-2</v>
      </c>
      <c r="V114" s="9">
        <v>3.3094341932891698E-3</v>
      </c>
      <c r="W114" s="9">
        <v>4.7414255117885096E-3</v>
      </c>
      <c r="X114" s="10">
        <v>2.2911758168481802</v>
      </c>
      <c r="Y114" s="10">
        <v>2.3166568507100198</v>
      </c>
      <c r="Z114" s="10">
        <v>2.2977058803296901</v>
      </c>
      <c r="AA114" s="10">
        <v>2.3011947418451899</v>
      </c>
      <c r="AB114" s="8">
        <v>104.22639171344299</v>
      </c>
      <c r="AC114" s="8">
        <v>103.42170158422699</v>
      </c>
      <c r="AD114" s="8">
        <v>103.5699066519</v>
      </c>
      <c r="AE114" s="9">
        <v>1.10599908649425E-2</v>
      </c>
      <c r="AF114" s="9">
        <v>3.3094341932891698E-3</v>
      </c>
      <c r="AG114" s="9">
        <v>4.7414255117885096E-3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6.6968858305290853E-3</v>
      </c>
      <c r="BL114" s="9"/>
      <c r="BN114">
        <f t="shared" si="30"/>
        <v>1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2.8027746930743952E-3</v>
      </c>
      <c r="BX114" s="12">
        <f t="shared" si="38"/>
        <v>0</v>
      </c>
      <c r="BY114" s="12">
        <f t="shared" si="39"/>
        <v>9.4996605236034801E-3</v>
      </c>
    </row>
    <row r="115" spans="1:77" x14ac:dyDescent="0.3">
      <c r="A115" s="1">
        <v>46189</v>
      </c>
      <c r="B115" s="8">
        <v>45.1</v>
      </c>
      <c r="C115" s="8">
        <v>103.34</v>
      </c>
      <c r="D115" s="9">
        <v>2.4420036555517998E-3</v>
      </c>
      <c r="E115" s="9">
        <v>2.51913707487421E-3</v>
      </c>
      <c r="F115" s="8">
        <v>0</v>
      </c>
      <c r="G115" s="8">
        <v>0.27110000000000001</v>
      </c>
      <c r="H115" s="8">
        <v>0</v>
      </c>
      <c r="I115" s="8">
        <v>0.78539999999999999</v>
      </c>
      <c r="J115" s="8">
        <v>0</v>
      </c>
      <c r="K115" s="8">
        <v>0</v>
      </c>
      <c r="L115" s="8">
        <v>45.1</v>
      </c>
      <c r="M115" s="8">
        <v>103.34</v>
      </c>
      <c r="N115" s="10">
        <v>2.2913525498891301</v>
      </c>
      <c r="O115" s="10">
        <v>2.3166568507100198</v>
      </c>
      <c r="P115" s="10">
        <v>2.2969262123477998</v>
      </c>
      <c r="Q115" s="10">
        <v>2.3004366550539301</v>
      </c>
      <c r="R115" s="8">
        <v>104.48122396702099</v>
      </c>
      <c r="S115" s="8">
        <v>103.62653520286899</v>
      </c>
      <c r="T115" s="8">
        <v>103.783882857218</v>
      </c>
      <c r="U115" s="9">
        <v>1.0982857445619901E-2</v>
      </c>
      <c r="V115" s="9">
        <v>2.76890547214795E-3</v>
      </c>
      <c r="W115" s="9">
        <v>4.2861646918762103E-3</v>
      </c>
      <c r="X115" s="10">
        <v>2.2913525498891301</v>
      </c>
      <c r="Y115" s="10">
        <v>2.3166568507100198</v>
      </c>
      <c r="Z115" s="10">
        <v>2.2969262123477998</v>
      </c>
      <c r="AA115" s="10">
        <v>2.3004366550539301</v>
      </c>
      <c r="AB115" s="8">
        <v>104.48122396702099</v>
      </c>
      <c r="AC115" s="8">
        <v>103.62653520286899</v>
      </c>
      <c r="AD115" s="8">
        <v>103.783882857218</v>
      </c>
      <c r="AE115" s="9">
        <v>1.0982857445619901E-2</v>
      </c>
      <c r="AF115" s="9">
        <v>2.76890547214795E-3</v>
      </c>
      <c r="AG115" s="9">
        <v>4.2861646918762103E-3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6.6968858305290853E-3</v>
      </c>
      <c r="BL115" s="9"/>
      <c r="BN115">
        <f t="shared" si="30"/>
        <v>1</v>
      </c>
      <c r="BO115">
        <f t="shared" si="31"/>
        <v>0</v>
      </c>
      <c r="BP115">
        <f t="shared" si="32"/>
        <v>1</v>
      </c>
      <c r="BQ115">
        <f t="shared" si="21"/>
        <v>1</v>
      </c>
      <c r="BR115">
        <f t="shared" si="33"/>
        <v>1</v>
      </c>
      <c r="BS115" s="9">
        <f t="shared" si="34"/>
        <v>-2.4420036555517998E-3</v>
      </c>
      <c r="BT115" s="9">
        <f t="shared" si="35"/>
        <v>2.51913707487421E-3</v>
      </c>
      <c r="BU115" s="9">
        <f t="shared" si="36"/>
        <v>7.713341932241019E-5</v>
      </c>
      <c r="BV115" s="12">
        <f t="shared" si="37"/>
        <v>2.8799081123968054E-3</v>
      </c>
      <c r="BX115" s="12">
        <f t="shared" si="38"/>
        <v>7.713341932241019E-5</v>
      </c>
      <c r="BY115" s="12">
        <f t="shared" si="39"/>
        <v>9.5767939429258903E-3</v>
      </c>
    </row>
    <row r="116" spans="1:77" x14ac:dyDescent="0.3">
      <c r="A116" s="1">
        <v>46190</v>
      </c>
      <c r="B116" s="8">
        <v>43.97</v>
      </c>
      <c r="C116" s="8">
        <v>100.62</v>
      </c>
      <c r="D116" s="9">
        <v>-2.5374663315913999E-2</v>
      </c>
      <c r="E116" s="9">
        <v>-2.6673477795865999E-2</v>
      </c>
      <c r="F116" s="8">
        <v>0</v>
      </c>
      <c r="G116" s="8">
        <v>0.27110000000000001</v>
      </c>
      <c r="H116" s="8">
        <v>0</v>
      </c>
      <c r="I116" s="8">
        <v>0.78539999999999999</v>
      </c>
      <c r="J116" s="8">
        <v>0</v>
      </c>
      <c r="K116" s="8">
        <v>0</v>
      </c>
      <c r="L116" s="8">
        <v>43.97</v>
      </c>
      <c r="M116" s="8">
        <v>100.62</v>
      </c>
      <c r="N116" s="10">
        <v>2.28837843984534</v>
      </c>
      <c r="O116" s="10">
        <v>2.3166568507100198</v>
      </c>
      <c r="P116" s="10">
        <v>2.2959318338547501</v>
      </c>
      <c r="Q116" s="10">
        <v>2.29963026980906</v>
      </c>
      <c r="R116" s="8">
        <v>101.863401725719</v>
      </c>
      <c r="S116" s="8">
        <v>100.99584555693301</v>
      </c>
      <c r="T116" s="8">
        <v>101.150199722721</v>
      </c>
      <c r="U116" s="9">
        <v>1.2281671925572E-2</v>
      </c>
      <c r="V116" s="9">
        <v>3.7283378324257E-3</v>
      </c>
      <c r="W116" s="9">
        <v>5.2554930688667196E-3</v>
      </c>
      <c r="X116" s="10">
        <v>2.28837843984534</v>
      </c>
      <c r="Y116" s="10">
        <v>2.3166568507100198</v>
      </c>
      <c r="Z116" s="10">
        <v>2.2959318338547501</v>
      </c>
      <c r="AA116" s="10">
        <v>2.29963026980906</v>
      </c>
      <c r="AB116" s="8">
        <v>101.863401725719</v>
      </c>
      <c r="AC116" s="8">
        <v>100.99584555693301</v>
      </c>
      <c r="AD116" s="8">
        <v>101.150199722721</v>
      </c>
      <c r="AE116" s="9">
        <v>1.2281671925572E-2</v>
      </c>
      <c r="AF116" s="9">
        <v>3.7283378324257E-3</v>
      </c>
      <c r="AG116" s="9">
        <v>5.2554930688667196E-3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6.6968858305290853E-3</v>
      </c>
      <c r="BL116" s="9"/>
      <c r="BN116">
        <f t="shared" si="30"/>
        <v>1</v>
      </c>
      <c r="BO116">
        <f t="shared" si="31"/>
        <v>0</v>
      </c>
      <c r="BP116">
        <f t="shared" si="32"/>
        <v>1</v>
      </c>
      <c r="BQ116">
        <f t="shared" si="21"/>
        <v>1</v>
      </c>
      <c r="BR116">
        <f t="shared" si="33"/>
        <v>1</v>
      </c>
      <c r="BS116" s="9">
        <f t="shared" si="34"/>
        <v>2.5374663315913999E-2</v>
      </c>
      <c r="BT116" s="9">
        <f t="shared" si="35"/>
        <v>-2.6673477795865999E-2</v>
      </c>
      <c r="BU116" s="9">
        <f t="shared" si="36"/>
        <v>-1.2988144799520006E-3</v>
      </c>
      <c r="BV116" s="12">
        <f t="shared" si="37"/>
        <v>1.5810936324448049E-3</v>
      </c>
      <c r="BX116" s="12">
        <f t="shared" si="38"/>
        <v>-1.2988144799520006E-3</v>
      </c>
      <c r="BY116" s="12">
        <f t="shared" si="39"/>
        <v>8.2779794629738897E-3</v>
      </c>
    </row>
    <row r="117" spans="1:77" x14ac:dyDescent="0.3">
      <c r="A117" s="1">
        <v>46191</v>
      </c>
      <c r="B117" s="8">
        <v>43.86</v>
      </c>
      <c r="C117" s="8">
        <v>100.45</v>
      </c>
      <c r="D117" s="9">
        <v>-2.5048402029765899E-3</v>
      </c>
      <c r="E117" s="9">
        <v>-1.6909538022290801E-3</v>
      </c>
      <c r="F117" s="8">
        <v>0</v>
      </c>
      <c r="G117" s="8">
        <v>0.27110000000000001</v>
      </c>
      <c r="H117" s="8">
        <v>0</v>
      </c>
      <c r="I117" s="8">
        <v>0.78539999999999999</v>
      </c>
      <c r="J117" s="8">
        <v>0</v>
      </c>
      <c r="K117" s="8">
        <v>0</v>
      </c>
      <c r="L117" s="8">
        <v>43.86</v>
      </c>
      <c r="M117" s="8">
        <v>100.45</v>
      </c>
      <c r="N117" s="10">
        <v>2.29024167806657</v>
      </c>
      <c r="O117" s="10">
        <v>2.3166568507100198</v>
      </c>
      <c r="P117" s="10">
        <v>2.2956992449046498</v>
      </c>
      <c r="Q117" s="10">
        <v>2.29889364788299</v>
      </c>
      <c r="R117" s="8">
        <v>101.608569472141</v>
      </c>
      <c r="S117" s="8">
        <v>100.69957023286899</v>
      </c>
      <c r="T117" s="8">
        <v>100.861783633825</v>
      </c>
      <c r="U117" s="9">
        <v>1.14677855248247E-2</v>
      </c>
      <c r="V117" s="9">
        <v>2.4814406577373499E-3</v>
      </c>
      <c r="W117" s="9">
        <v>4.09100948494518E-3</v>
      </c>
      <c r="X117" s="10">
        <v>2.29024167806657</v>
      </c>
      <c r="Y117" s="10">
        <v>2.3166568507100198</v>
      </c>
      <c r="Z117" s="10">
        <v>2.2956992449046498</v>
      </c>
      <c r="AA117" s="10">
        <v>2.29889364788299</v>
      </c>
      <c r="AB117" s="8">
        <v>101.608569472141</v>
      </c>
      <c r="AC117" s="8">
        <v>100.69957023286899</v>
      </c>
      <c r="AD117" s="8">
        <v>100.861783633825</v>
      </c>
      <c r="AE117" s="9">
        <v>1.14677855248247E-2</v>
      </c>
      <c r="AF117" s="9">
        <v>2.4814406577373499E-3</v>
      </c>
      <c r="AG117" s="9">
        <v>4.09100948494518E-3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6.6968858305290853E-3</v>
      </c>
      <c r="BL117" s="9"/>
      <c r="BN117">
        <f t="shared" si="30"/>
        <v>1</v>
      </c>
      <c r="BO117">
        <f t="shared" si="31"/>
        <v>0</v>
      </c>
      <c r="BP117">
        <f t="shared" si="32"/>
        <v>1</v>
      </c>
      <c r="BQ117">
        <f t="shared" si="21"/>
        <v>0</v>
      </c>
      <c r="BR117">
        <f t="shared" si="33"/>
        <v>1</v>
      </c>
      <c r="BS117" s="9">
        <f t="shared" si="34"/>
        <v>2.5048402029765899E-3</v>
      </c>
      <c r="BT117" s="9">
        <f t="shared" si="35"/>
        <v>-1.6909538022290801E-3</v>
      </c>
      <c r="BU117" s="9">
        <f t="shared" si="36"/>
        <v>8.1388640074750982E-4</v>
      </c>
      <c r="BV117" s="12">
        <f t="shared" si="37"/>
        <v>2.3949800331923149E-3</v>
      </c>
      <c r="BX117" s="12">
        <f t="shared" si="38"/>
        <v>8.1388640074750982E-4</v>
      </c>
      <c r="BY117" s="12">
        <f t="shared" si="39"/>
        <v>9.0918658637213993E-3</v>
      </c>
    </row>
    <row r="118" spans="1:77" x14ac:dyDescent="0.3">
      <c r="A118" s="1">
        <v>46195</v>
      </c>
      <c r="B118" s="8">
        <v>44.02</v>
      </c>
      <c r="C118" s="8">
        <v>101.61</v>
      </c>
      <c r="D118" s="9">
        <v>3.6413331085735799E-3</v>
      </c>
      <c r="E118" s="9">
        <v>1.1481864236846599E-2</v>
      </c>
      <c r="F118" s="8">
        <v>0.38109999999999999</v>
      </c>
      <c r="G118" s="8">
        <v>0.6522</v>
      </c>
      <c r="H118" s="8">
        <v>0</v>
      </c>
      <c r="I118" s="8">
        <v>0.78539999999999999</v>
      </c>
      <c r="J118" s="8">
        <v>0</v>
      </c>
      <c r="K118" s="8">
        <v>0</v>
      </c>
      <c r="L118" s="8">
        <v>44.02</v>
      </c>
      <c r="M118" s="8">
        <v>101.61</v>
      </c>
      <c r="N118" s="10">
        <v>2.3082689686506099</v>
      </c>
      <c r="O118" s="10">
        <v>2.3166568507100198</v>
      </c>
      <c r="P118" s="10">
        <v>2.2971301686153498</v>
      </c>
      <c r="Q118" s="10">
        <v>2.2990711412593399</v>
      </c>
      <c r="R118" s="8">
        <v>101.97923456825499</v>
      </c>
      <c r="S118" s="8">
        <v>101.05668076070199</v>
      </c>
      <c r="T118" s="8">
        <v>101.197298379809</v>
      </c>
      <c r="U118" s="9">
        <v>3.6272543965516699E-3</v>
      </c>
      <c r="V118" s="9">
        <v>-5.4604004173969701E-3</v>
      </c>
      <c r="W118" s="9">
        <v>-4.0698948524493196E-3</v>
      </c>
      <c r="X118" s="10">
        <v>2.3082689686506099</v>
      </c>
      <c r="Y118" s="10">
        <v>2.3166568507100198</v>
      </c>
      <c r="Z118" s="10">
        <v>2.2971301686153498</v>
      </c>
      <c r="AA118" s="10">
        <v>2.2990711412593399</v>
      </c>
      <c r="AB118" s="8">
        <v>101.97923456825499</v>
      </c>
      <c r="AC118" s="8">
        <v>101.05668076070199</v>
      </c>
      <c r="AD118" s="8">
        <v>101.197298379809</v>
      </c>
      <c r="AE118" s="9">
        <v>3.6272543965516699E-3</v>
      </c>
      <c r="AF118" s="9">
        <v>-5.4604004173969701E-3</v>
      </c>
      <c r="AG118" s="9">
        <v>-4.0698948524493196E-3</v>
      </c>
      <c r="AZ118" s="9"/>
      <c r="BB118">
        <f t="shared" si="22"/>
        <v>1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6.6968858305290853E-3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2.3949800331923149E-3</v>
      </c>
      <c r="BX118" s="12">
        <f t="shared" si="38"/>
        <v>0</v>
      </c>
      <c r="BY118" s="12">
        <f t="shared" si="39"/>
        <v>9.0918658637213993E-3</v>
      </c>
    </row>
    <row r="119" spans="1:77" x14ac:dyDescent="0.3">
      <c r="A119" s="1">
        <v>46196</v>
      </c>
      <c r="B119" s="8">
        <v>44.64</v>
      </c>
      <c r="C119" s="8">
        <v>102.99</v>
      </c>
      <c r="D119" s="9">
        <v>1.3986241974739799E-2</v>
      </c>
      <c r="E119" s="9">
        <v>1.3489940639920201E-2</v>
      </c>
      <c r="F119" s="8">
        <v>0</v>
      </c>
      <c r="G119" s="8">
        <v>0.6522</v>
      </c>
      <c r="H119" s="8">
        <v>0</v>
      </c>
      <c r="I119" s="8">
        <v>0.78539999999999999</v>
      </c>
      <c r="J119" s="8">
        <v>0</v>
      </c>
      <c r="K119" s="8">
        <v>0</v>
      </c>
      <c r="L119" s="8">
        <v>44.64</v>
      </c>
      <c r="M119" s="8">
        <v>102.99</v>
      </c>
      <c r="N119" s="10">
        <v>2.3071236559139701</v>
      </c>
      <c r="O119" s="10">
        <v>2.3166568507100198</v>
      </c>
      <c r="P119" s="10">
        <v>2.29827178698894</v>
      </c>
      <c r="Q119" s="10">
        <v>2.29916700089526</v>
      </c>
      <c r="R119" s="8">
        <v>103.415561815695</v>
      </c>
      <c r="S119" s="8">
        <v>102.54389072698901</v>
      </c>
      <c r="T119" s="8">
        <v>102.630535745817</v>
      </c>
      <c r="U119" s="9">
        <v>4.1235557313710697E-3</v>
      </c>
      <c r="V119" s="9">
        <v>-4.3409869971228598E-3</v>
      </c>
      <c r="W119" s="9">
        <v>-3.4963883259509498E-3</v>
      </c>
      <c r="X119" s="10">
        <v>2.3071236559139701</v>
      </c>
      <c r="Y119" s="10">
        <v>2.3166568507100198</v>
      </c>
      <c r="Z119" s="10">
        <v>2.29827178698894</v>
      </c>
      <c r="AA119" s="10">
        <v>2.29916700089526</v>
      </c>
      <c r="AB119" s="8">
        <v>103.415561815695</v>
      </c>
      <c r="AC119" s="8">
        <v>102.54389072698901</v>
      </c>
      <c r="AD119" s="8">
        <v>102.630535745817</v>
      </c>
      <c r="AE119" s="9">
        <v>4.1235557313710697E-3</v>
      </c>
      <c r="AF119" s="9">
        <v>-4.3409869971228598E-3</v>
      </c>
      <c r="AG119" s="9">
        <v>-3.4963883259509498E-3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1</v>
      </c>
      <c r="BF119">
        <f t="shared" si="25"/>
        <v>1</v>
      </c>
      <c r="BG119" s="9">
        <f t="shared" si="26"/>
        <v>1.3986241974739799E-2</v>
      </c>
      <c r="BH119" s="9">
        <f t="shared" si="27"/>
        <v>-1.3489940639920201E-2</v>
      </c>
      <c r="BI119" s="9">
        <f t="shared" si="28"/>
        <v>4.9630133481959847E-4</v>
      </c>
      <c r="BJ119" s="12">
        <f t="shared" si="29"/>
        <v>7.1931871653486837E-3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2.3949800331923149E-3</v>
      </c>
      <c r="BX119" s="12">
        <f t="shared" si="38"/>
        <v>4.9630133481959847E-4</v>
      </c>
      <c r="BY119" s="12">
        <f t="shared" si="39"/>
        <v>9.5881671985409977E-3</v>
      </c>
    </row>
    <row r="120" spans="1:77" x14ac:dyDescent="0.3">
      <c r="A120" s="1">
        <v>46197</v>
      </c>
      <c r="B120" s="8">
        <v>44.51</v>
      </c>
      <c r="C120" s="8">
        <v>102.85</v>
      </c>
      <c r="D120" s="9">
        <v>-2.9164350452926301E-3</v>
      </c>
      <c r="E120" s="9">
        <v>-1.3602800387442499E-3</v>
      </c>
      <c r="F120" s="8">
        <v>0</v>
      </c>
      <c r="G120" s="8">
        <v>0.6522</v>
      </c>
      <c r="H120" s="8">
        <v>0</v>
      </c>
      <c r="I120" s="8">
        <v>0.78539999999999999</v>
      </c>
      <c r="J120" s="8">
        <v>0</v>
      </c>
      <c r="K120" s="8">
        <v>0</v>
      </c>
      <c r="L120" s="8">
        <v>44.51</v>
      </c>
      <c r="M120" s="8">
        <v>102.85</v>
      </c>
      <c r="N120" s="10">
        <v>2.3107166928780001</v>
      </c>
      <c r="O120" s="10">
        <v>2.3166568507100198</v>
      </c>
      <c r="P120" s="10">
        <v>2.2992122576999101</v>
      </c>
      <c r="Q120" s="10">
        <v>2.2993818782589099</v>
      </c>
      <c r="R120" s="8">
        <v>103.114396425102</v>
      </c>
      <c r="S120" s="8">
        <v>102.296077238877</v>
      </c>
      <c r="T120" s="8">
        <v>102.335923209848</v>
      </c>
      <c r="U120" s="9">
        <v>2.5674007248227102E-3</v>
      </c>
      <c r="V120" s="9">
        <v>-5.4002895376168104E-3</v>
      </c>
      <c r="W120" s="9">
        <v>-5.01084926056777E-3</v>
      </c>
      <c r="X120" s="10">
        <v>2.3107166928780001</v>
      </c>
      <c r="Y120" s="10">
        <v>2.3166568507100198</v>
      </c>
      <c r="Z120" s="10">
        <v>2.2992122576999101</v>
      </c>
      <c r="AA120" s="10">
        <v>2.2993818782589099</v>
      </c>
      <c r="AB120" s="8">
        <v>103.114396425102</v>
      </c>
      <c r="AC120" s="8">
        <v>102.296077238877</v>
      </c>
      <c r="AD120" s="8">
        <v>102.335923209848</v>
      </c>
      <c r="AE120" s="9">
        <v>2.5674007248227102E-3</v>
      </c>
      <c r="AF120" s="9">
        <v>-5.4002895376168104E-3</v>
      </c>
      <c r="AG120" s="9">
        <v>-5.01084926056777E-3</v>
      </c>
      <c r="AZ120" s="9"/>
      <c r="BB120">
        <f t="shared" si="22"/>
        <v>1</v>
      </c>
      <c r="BC120">
        <f t="shared" si="23"/>
        <v>0</v>
      </c>
      <c r="BD120">
        <f t="shared" si="24"/>
        <v>1</v>
      </c>
      <c r="BE120">
        <f t="shared" si="20"/>
        <v>1</v>
      </c>
      <c r="BF120">
        <f t="shared" si="25"/>
        <v>1</v>
      </c>
      <c r="BG120" s="9">
        <f t="shared" si="26"/>
        <v>-2.9164350452926301E-3</v>
      </c>
      <c r="BH120" s="9">
        <f t="shared" si="27"/>
        <v>1.3602800387442499E-3</v>
      </c>
      <c r="BI120" s="9">
        <f t="shared" si="28"/>
        <v>-1.5561550065483801E-3</v>
      </c>
      <c r="BJ120" s="12">
        <f t="shared" si="29"/>
        <v>5.6370321588003038E-3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2.3949800331923149E-3</v>
      </c>
      <c r="BX120" s="12">
        <f t="shared" si="38"/>
        <v>-1.5561550065483801E-3</v>
      </c>
      <c r="BY120" s="12">
        <f t="shared" si="39"/>
        <v>8.0320121919926178E-3</v>
      </c>
    </row>
    <row r="121" spans="1:77" x14ac:dyDescent="0.3">
      <c r="A121" s="1">
        <v>46198</v>
      </c>
      <c r="B121" s="8">
        <v>44.59</v>
      </c>
      <c r="C121" s="8">
        <v>103.1</v>
      </c>
      <c r="D121" s="9">
        <v>1.7957356116224199E-3</v>
      </c>
      <c r="E121" s="9">
        <v>2.42777492394813E-3</v>
      </c>
      <c r="F121" s="8">
        <v>0</v>
      </c>
      <c r="G121" s="8">
        <v>0.6522</v>
      </c>
      <c r="H121" s="8">
        <v>0</v>
      </c>
      <c r="I121" s="8">
        <v>0.78539999999999999</v>
      </c>
      <c r="J121" s="8">
        <v>0</v>
      </c>
      <c r="K121" s="8">
        <v>0</v>
      </c>
      <c r="L121" s="8">
        <v>44.59</v>
      </c>
      <c r="M121" s="8">
        <v>103.1</v>
      </c>
      <c r="N121" s="10">
        <v>2.3121776183000602</v>
      </c>
      <c r="O121" s="10">
        <v>2.3166568507100198</v>
      </c>
      <c r="P121" s="10">
        <v>2.3003344427350698</v>
      </c>
      <c r="Q121" s="10">
        <v>2.2998327936798502</v>
      </c>
      <c r="R121" s="8">
        <v>103.29972897315901</v>
      </c>
      <c r="S121" s="8">
        <v>102.521874570839</v>
      </c>
      <c r="T121" s="8">
        <v>102.52943795156401</v>
      </c>
      <c r="U121" s="9">
        <v>1.93536141249712E-3</v>
      </c>
      <c r="V121" s="9">
        <v>-5.6232047660095801E-3</v>
      </c>
      <c r="W121" s="9">
        <v>-5.5494341508779098E-3</v>
      </c>
      <c r="X121" s="10">
        <v>2.3121776183000602</v>
      </c>
      <c r="Y121" s="10">
        <v>2.3166568507100198</v>
      </c>
      <c r="Z121" s="10">
        <v>2.3003344427350698</v>
      </c>
      <c r="AA121" s="10">
        <v>2.2998327936798502</v>
      </c>
      <c r="AB121" s="8">
        <v>103.29972897315901</v>
      </c>
      <c r="AC121" s="8">
        <v>102.521874570839</v>
      </c>
      <c r="AD121" s="8">
        <v>102.52943795156401</v>
      </c>
      <c r="AE121" s="9">
        <v>1.93536141249712E-3</v>
      </c>
      <c r="AF121" s="9">
        <v>-5.6232047660095801E-3</v>
      </c>
      <c r="AG121" s="9">
        <v>-5.5494341508779098E-3</v>
      </c>
      <c r="AZ121" s="9"/>
      <c r="BB121">
        <f t="shared" si="22"/>
        <v>1</v>
      </c>
      <c r="BC121">
        <f t="shared" si="23"/>
        <v>0</v>
      </c>
      <c r="BD121">
        <f t="shared" si="24"/>
        <v>1</v>
      </c>
      <c r="BE121">
        <f t="shared" si="20"/>
        <v>1</v>
      </c>
      <c r="BF121">
        <f t="shared" si="25"/>
        <v>1</v>
      </c>
      <c r="BG121" s="9">
        <f t="shared" si="26"/>
        <v>1.7957356116224199E-3</v>
      </c>
      <c r="BH121" s="9">
        <f t="shared" si="27"/>
        <v>-2.42777492394813E-3</v>
      </c>
      <c r="BI121" s="9">
        <f t="shared" si="28"/>
        <v>-6.3203931232571004E-4</v>
      </c>
      <c r="BJ121" s="12">
        <f t="shared" si="29"/>
        <v>5.0049928464745933E-3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2.3949800331923149E-3</v>
      </c>
      <c r="BX121" s="12">
        <f t="shared" si="38"/>
        <v>-6.3203931232571004E-4</v>
      </c>
      <c r="BY121" s="12">
        <f t="shared" si="39"/>
        <v>7.3999728796669082E-3</v>
      </c>
    </row>
    <row r="122" spans="1:77" x14ac:dyDescent="0.3">
      <c r="A122" s="1">
        <v>46199</v>
      </c>
      <c r="B122" s="8">
        <v>45.24</v>
      </c>
      <c r="C122" s="8">
        <v>104.64</v>
      </c>
      <c r="D122" s="9">
        <v>1.4472032608534399E-2</v>
      </c>
      <c r="E122" s="9">
        <v>1.48264966859744E-2</v>
      </c>
      <c r="F122" s="8">
        <v>0</v>
      </c>
      <c r="G122" s="8">
        <v>0.6522</v>
      </c>
      <c r="H122" s="8">
        <v>0</v>
      </c>
      <c r="I122" s="8">
        <v>0.78539999999999999</v>
      </c>
      <c r="J122" s="8">
        <v>0</v>
      </c>
      <c r="K122" s="8">
        <v>0</v>
      </c>
      <c r="L122" s="8">
        <v>45.24</v>
      </c>
      <c r="M122" s="8">
        <v>104.64</v>
      </c>
      <c r="N122" s="10">
        <v>2.3129973474801</v>
      </c>
      <c r="O122" s="10">
        <v>2.3166568507100198</v>
      </c>
      <c r="P122" s="10">
        <v>2.3013358693797898</v>
      </c>
      <c r="Q122" s="10">
        <v>2.3002946403378002</v>
      </c>
      <c r="R122" s="8">
        <v>104.805555926121</v>
      </c>
      <c r="S122" s="8">
        <v>104.06713018933399</v>
      </c>
      <c r="T122" s="8">
        <v>104.04443558607601</v>
      </c>
      <c r="U122" s="9">
        <v>1.58089733505711E-3</v>
      </c>
      <c r="V122" s="9">
        <v>-5.4897142120406998E-3</v>
      </c>
      <c r="W122" s="9">
        <v>-5.7078145685847499E-3</v>
      </c>
      <c r="X122" s="10">
        <v>2.3129973474801</v>
      </c>
      <c r="Y122" s="10">
        <v>2.3166568507100198</v>
      </c>
      <c r="Z122" s="10">
        <v>2.3013358693797898</v>
      </c>
      <c r="AA122" s="10">
        <v>2.3002946403378002</v>
      </c>
      <c r="AB122" s="8">
        <v>104.805555926121</v>
      </c>
      <c r="AC122" s="8">
        <v>104.06713018933399</v>
      </c>
      <c r="AD122" s="8">
        <v>104.04443558607601</v>
      </c>
      <c r="AE122" s="9">
        <v>1.58089733505711E-3</v>
      </c>
      <c r="AF122" s="9">
        <v>-5.4897142120406998E-3</v>
      </c>
      <c r="AG122" s="9">
        <v>-5.7078145685847499E-3</v>
      </c>
      <c r="AZ122" s="9"/>
      <c r="BB122">
        <f t="shared" si="22"/>
        <v>1</v>
      </c>
      <c r="BC122">
        <f t="shared" si="23"/>
        <v>0</v>
      </c>
      <c r="BD122">
        <f t="shared" si="24"/>
        <v>1</v>
      </c>
      <c r="BE122">
        <f t="shared" si="20"/>
        <v>1</v>
      </c>
      <c r="BF122">
        <f t="shared" si="25"/>
        <v>1</v>
      </c>
      <c r="BG122" s="9">
        <f t="shared" si="26"/>
        <v>1.4472032608534399E-2</v>
      </c>
      <c r="BH122" s="9">
        <f t="shared" si="27"/>
        <v>-1.48264966859744E-2</v>
      </c>
      <c r="BI122" s="9">
        <f t="shared" si="28"/>
        <v>-3.5446407744000111E-4</v>
      </c>
      <c r="BJ122" s="12">
        <f t="shared" si="29"/>
        <v>4.6505287690345922E-3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2.3949800331923149E-3</v>
      </c>
      <c r="BX122" s="12">
        <f t="shared" si="38"/>
        <v>-3.5446407744000111E-4</v>
      </c>
      <c r="BY122" s="12">
        <f t="shared" si="39"/>
        <v>7.0455088022269071E-3</v>
      </c>
    </row>
    <row r="123" spans="1:77" x14ac:dyDescent="0.3">
      <c r="A123" s="1">
        <v>46202</v>
      </c>
      <c r="B123" s="8">
        <v>44.92</v>
      </c>
      <c r="C123" s="8">
        <v>104.09</v>
      </c>
      <c r="D123" s="9">
        <v>-7.0985213776772896E-3</v>
      </c>
      <c r="E123" s="9">
        <v>-5.2699781815115599E-3</v>
      </c>
      <c r="F123" s="8">
        <v>0</v>
      </c>
      <c r="G123" s="8">
        <v>0.6522</v>
      </c>
      <c r="H123" s="8">
        <v>0</v>
      </c>
      <c r="I123" s="8">
        <v>0.78539999999999999</v>
      </c>
      <c r="J123" s="8">
        <v>0</v>
      </c>
      <c r="K123" s="8">
        <v>0</v>
      </c>
      <c r="L123" s="8">
        <v>44.92</v>
      </c>
      <c r="M123" s="8">
        <v>104.09</v>
      </c>
      <c r="N123" s="10">
        <v>2.3172306322350802</v>
      </c>
      <c r="O123" s="10">
        <v>2.3166568507100198</v>
      </c>
      <c r="P123" s="10">
        <v>2.3029663400107099</v>
      </c>
      <c r="Q123" s="10">
        <v>2.3008686065937898</v>
      </c>
      <c r="R123" s="8">
        <v>104.06422573389401</v>
      </c>
      <c r="S123" s="8">
        <v>103.37600725254001</v>
      </c>
      <c r="T123" s="8">
        <v>103.329235243974</v>
      </c>
      <c r="U123" s="9">
        <v>-2.4764586110865601E-4</v>
      </c>
      <c r="V123" s="9">
        <v>-6.8830125546633899E-3</v>
      </c>
      <c r="W123" s="9">
        <v>-7.3355604320129901E-3</v>
      </c>
      <c r="X123" s="10">
        <v>2.3172306322350802</v>
      </c>
      <c r="Y123" s="10">
        <v>2.3166568507100198</v>
      </c>
      <c r="Z123" s="10">
        <v>2.3029663400107099</v>
      </c>
      <c r="AA123" s="10">
        <v>2.3008686065937898</v>
      </c>
      <c r="AB123" s="8">
        <v>104.06422573389401</v>
      </c>
      <c r="AC123" s="8">
        <v>103.37600725254001</v>
      </c>
      <c r="AD123" s="8">
        <v>103.329235243974</v>
      </c>
      <c r="AE123" s="9">
        <v>-2.4764586110865601E-4</v>
      </c>
      <c r="AF123" s="9">
        <v>-6.8830125546633899E-3</v>
      </c>
      <c r="AG123" s="9">
        <v>-7.3355604320129901E-3</v>
      </c>
      <c r="AZ123" s="9"/>
      <c r="BB123">
        <f t="shared" si="22"/>
        <v>1</v>
      </c>
      <c r="BC123">
        <f t="shared" si="23"/>
        <v>0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-7.0985213776772896E-3</v>
      </c>
      <c r="BH123" s="9">
        <f t="shared" si="27"/>
        <v>5.2699781815115599E-3</v>
      </c>
      <c r="BI123" s="9">
        <f t="shared" si="28"/>
        <v>-1.8285431961657297E-3</v>
      </c>
      <c r="BJ123" s="12">
        <f t="shared" si="29"/>
        <v>2.8219855728688625E-3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2.3949800331923149E-3</v>
      </c>
      <c r="BX123" s="12">
        <f t="shared" si="38"/>
        <v>-1.8285431961657297E-3</v>
      </c>
      <c r="BY123" s="12">
        <f t="shared" si="39"/>
        <v>5.2169656060611774E-3</v>
      </c>
    </row>
    <row r="124" spans="1:77" x14ac:dyDescent="0.3">
      <c r="A124" s="1">
        <v>46203</v>
      </c>
      <c r="B124" s="8">
        <v>44.03</v>
      </c>
      <c r="C124" s="8">
        <v>102.25</v>
      </c>
      <c r="D124" s="9">
        <v>-2.0011910102580001E-2</v>
      </c>
      <c r="E124" s="9">
        <v>-1.78351146044659E-2</v>
      </c>
      <c r="F124" s="8">
        <v>0</v>
      </c>
      <c r="G124" s="8">
        <v>0.6522</v>
      </c>
      <c r="H124" s="8">
        <v>0</v>
      </c>
      <c r="I124" s="8">
        <v>0.78539999999999999</v>
      </c>
      <c r="J124" s="8">
        <v>0</v>
      </c>
      <c r="K124" s="8">
        <v>0</v>
      </c>
      <c r="L124" s="8">
        <v>44.03</v>
      </c>
      <c r="M124" s="8">
        <v>102.25</v>
      </c>
      <c r="N124" s="10">
        <v>2.3222802634567299</v>
      </c>
      <c r="O124" s="10">
        <v>2.3166568507100198</v>
      </c>
      <c r="P124" s="10">
        <v>2.3060767846715602</v>
      </c>
      <c r="Q124" s="10">
        <v>2.3018913325006198</v>
      </c>
      <c r="R124" s="8">
        <v>102.002401136762</v>
      </c>
      <c r="S124" s="8">
        <v>101.399607950671</v>
      </c>
      <c r="T124" s="8">
        <v>101.307244748324</v>
      </c>
      <c r="U124" s="9">
        <v>-2.4244413592227E-3</v>
      </c>
      <c r="V124" s="9">
        <v>-8.3515701374883202E-3</v>
      </c>
      <c r="W124" s="9">
        <v>-9.2628684730796905E-3</v>
      </c>
      <c r="X124" s="10">
        <v>2.3222802634567299</v>
      </c>
      <c r="Y124" s="10">
        <v>2.3166568507100198</v>
      </c>
      <c r="Z124" s="10">
        <v>2.3060767846715602</v>
      </c>
      <c r="AA124" s="10">
        <v>2.3018913325006198</v>
      </c>
      <c r="AB124" s="8">
        <v>102.002401136762</v>
      </c>
      <c r="AC124" s="8">
        <v>101.399607950671</v>
      </c>
      <c r="AD124" s="8">
        <v>101.307244748324</v>
      </c>
      <c r="AE124" s="9">
        <v>-2.4244413592227E-3</v>
      </c>
      <c r="AF124" s="9">
        <v>-8.3515701374883202E-3</v>
      </c>
      <c r="AG124" s="9">
        <v>-9.2628684730796905E-3</v>
      </c>
      <c r="AZ124" s="9"/>
      <c r="BB124">
        <f t="shared" si="22"/>
        <v>1</v>
      </c>
      <c r="BC124">
        <f t="shared" si="23"/>
        <v>0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-2.0011910102580001E-2</v>
      </c>
      <c r="BH124" s="9">
        <f t="shared" si="27"/>
        <v>1.78351146044659E-2</v>
      </c>
      <c r="BI124" s="9">
        <f t="shared" si="28"/>
        <v>-2.1767954981141008E-3</v>
      </c>
      <c r="BJ124" s="12">
        <f t="shared" si="29"/>
        <v>6.4519007475476176E-4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2.3949800331923149E-3</v>
      </c>
      <c r="BX124" s="12">
        <f t="shared" si="38"/>
        <v>-2.1767954981141008E-3</v>
      </c>
      <c r="BY124" s="12">
        <f t="shared" si="39"/>
        <v>3.0401701079470766E-3</v>
      </c>
    </row>
    <row r="125" spans="1:77" x14ac:dyDescent="0.3">
      <c r="A125" s="1">
        <v>46204</v>
      </c>
      <c r="B125" s="8">
        <v>44.18</v>
      </c>
      <c r="C125" s="8">
        <v>102.71</v>
      </c>
      <c r="D125" s="9">
        <v>3.4009782243085802E-3</v>
      </c>
      <c r="E125" s="9">
        <v>4.4886882548018699E-3</v>
      </c>
      <c r="F125" s="8">
        <v>0</v>
      </c>
      <c r="G125" s="8">
        <v>0.6522</v>
      </c>
      <c r="H125" s="8">
        <v>0</v>
      </c>
      <c r="I125" s="8">
        <v>0.78539999999999999</v>
      </c>
      <c r="J125" s="8">
        <v>0</v>
      </c>
      <c r="K125" s="8">
        <v>0</v>
      </c>
      <c r="L125" s="8">
        <v>44.18</v>
      </c>
      <c r="M125" s="8">
        <v>102.71</v>
      </c>
      <c r="N125" s="10">
        <v>2.3248076052512401</v>
      </c>
      <c r="O125" s="10">
        <v>2.3166568507100198</v>
      </c>
      <c r="P125" s="10">
        <v>2.3094222902077699</v>
      </c>
      <c r="Q125" s="10">
        <v>2.30317425127779</v>
      </c>
      <c r="R125" s="8">
        <v>102.349899664368</v>
      </c>
      <c r="S125" s="8">
        <v>101.882472346789</v>
      </c>
      <c r="T125" s="8">
        <v>101.697559069877</v>
      </c>
      <c r="U125" s="9">
        <v>-3.5121513897158202E-3</v>
      </c>
      <c r="V125" s="9">
        <v>-8.0895661171858594E-3</v>
      </c>
      <c r="W125" s="9">
        <v>-9.9061816907053003E-3</v>
      </c>
      <c r="X125" s="10">
        <v>2.3248076052512401</v>
      </c>
      <c r="Y125" s="10">
        <v>2.3166568507100198</v>
      </c>
      <c r="Z125" s="10">
        <v>2.3094222902077699</v>
      </c>
      <c r="AA125" s="10">
        <v>2.30317425127779</v>
      </c>
      <c r="AB125" s="8">
        <v>102.349899664368</v>
      </c>
      <c r="AC125" s="8">
        <v>101.882472346789</v>
      </c>
      <c r="AD125" s="8">
        <v>101.697559069877</v>
      </c>
      <c r="AE125" s="9">
        <v>-3.5121513897158202E-3</v>
      </c>
      <c r="AF125" s="9">
        <v>-8.0895661171858594E-3</v>
      </c>
      <c r="AG125" s="9">
        <v>-9.9061816907053003E-3</v>
      </c>
      <c r="AZ125" s="9"/>
      <c r="BB125">
        <f t="shared" si="22"/>
        <v>1</v>
      </c>
      <c r="BC125">
        <f t="shared" si="23"/>
        <v>0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3.4009782243085802E-3</v>
      </c>
      <c r="BH125" s="9">
        <f t="shared" si="27"/>
        <v>-4.4886882548018699E-3</v>
      </c>
      <c r="BI125" s="9">
        <f t="shared" si="28"/>
        <v>-1.0877100304932897E-3</v>
      </c>
      <c r="BJ125" s="12">
        <f t="shared" si="29"/>
        <v>-4.4251995573852797E-4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2.3949800331923149E-3</v>
      </c>
      <c r="BX125" s="12">
        <f t="shared" si="38"/>
        <v>-1.0877100304932897E-3</v>
      </c>
      <c r="BY125" s="12">
        <f t="shared" si="39"/>
        <v>1.9524600774537869E-3</v>
      </c>
    </row>
    <row r="126" spans="1:77" x14ac:dyDescent="0.3">
      <c r="A126" s="1">
        <v>46205</v>
      </c>
      <c r="B126" s="8">
        <v>44.68</v>
      </c>
      <c r="C126" s="8">
        <v>104.01</v>
      </c>
      <c r="D126" s="9">
        <v>1.12537762090289E-2</v>
      </c>
      <c r="E126" s="9">
        <v>1.2577565187328801E-2</v>
      </c>
      <c r="F126" s="8">
        <v>0</v>
      </c>
      <c r="G126" s="8">
        <v>0.6522</v>
      </c>
      <c r="H126" s="8">
        <v>0</v>
      </c>
      <c r="I126" s="8">
        <v>0.78539999999999999</v>
      </c>
      <c r="J126" s="8">
        <v>0</v>
      </c>
      <c r="K126" s="8">
        <v>0</v>
      </c>
      <c r="L126" s="8">
        <v>44.68</v>
      </c>
      <c r="M126" s="8">
        <v>104.01</v>
      </c>
      <c r="N126" s="10">
        <v>2.3278871978513802</v>
      </c>
      <c r="O126" s="10">
        <v>2.3166568507100198</v>
      </c>
      <c r="P126" s="10">
        <v>2.3133731660083798</v>
      </c>
      <c r="Q126" s="10">
        <v>2.3046524999315601</v>
      </c>
      <c r="R126" s="8">
        <v>103.508228089723</v>
      </c>
      <c r="S126" s="8">
        <v>103.184987926483</v>
      </c>
      <c r="T126" s="8">
        <v>102.905825547091</v>
      </c>
      <c r="U126" s="9">
        <v>-4.8359403680158604E-3</v>
      </c>
      <c r="V126" s="9">
        <v>-7.9636717274082294E-3</v>
      </c>
      <c r="W126" s="9">
        <v>-1.06727934531703E-2</v>
      </c>
      <c r="X126" s="10">
        <v>2.3278871978513802</v>
      </c>
      <c r="Y126" s="10">
        <v>2.3166568507100198</v>
      </c>
      <c r="Z126" s="10">
        <v>2.3133731660083798</v>
      </c>
      <c r="AA126" s="10">
        <v>2.3046524999315601</v>
      </c>
      <c r="AB126" s="8">
        <v>103.508228089723</v>
      </c>
      <c r="AC126" s="8">
        <v>103.184987926483</v>
      </c>
      <c r="AD126" s="8">
        <v>102.905825547091</v>
      </c>
      <c r="AE126" s="9">
        <v>-4.8359403680158604E-3</v>
      </c>
      <c r="AF126" s="9">
        <v>-7.9636717274082294E-3</v>
      </c>
      <c r="AG126" s="9">
        <v>-1.06727934531703E-2</v>
      </c>
      <c r="AZ126" s="9"/>
      <c r="BB126">
        <f t="shared" si="22"/>
        <v>1</v>
      </c>
      <c r="BC126">
        <f t="shared" si="23"/>
        <v>0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1.12537762090289E-2</v>
      </c>
      <c r="BH126" s="9">
        <f t="shared" si="27"/>
        <v>-1.2577565187328801E-2</v>
      </c>
      <c r="BI126" s="9">
        <f t="shared" si="28"/>
        <v>-1.3237889782999005E-3</v>
      </c>
      <c r="BJ126" s="12">
        <f t="shared" si="29"/>
        <v>-1.7663089340384285E-3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2.3949800331923149E-3</v>
      </c>
      <c r="BX126" s="12">
        <f t="shared" si="38"/>
        <v>-1.3237889782999005E-3</v>
      </c>
      <c r="BY126" s="12">
        <f t="shared" si="39"/>
        <v>6.2867109915388641E-4</v>
      </c>
    </row>
    <row r="127" spans="1:77" x14ac:dyDescent="0.3">
      <c r="A127" s="1">
        <v>46209</v>
      </c>
      <c r="B127" s="8">
        <v>44.29</v>
      </c>
      <c r="C127" s="8">
        <v>103.23</v>
      </c>
      <c r="D127" s="9">
        <v>-8.76705626589315E-3</v>
      </c>
      <c r="E127" s="9">
        <v>-7.5275398875431099E-3</v>
      </c>
      <c r="F127" s="8">
        <v>0</v>
      </c>
      <c r="G127" s="8">
        <v>0.6522</v>
      </c>
      <c r="H127" s="8">
        <v>0</v>
      </c>
      <c r="I127" s="8">
        <v>0.78539999999999999</v>
      </c>
      <c r="J127" s="8">
        <v>0</v>
      </c>
      <c r="K127" s="8">
        <v>0</v>
      </c>
      <c r="L127" s="8">
        <v>44.29</v>
      </c>
      <c r="M127" s="8">
        <v>103.23</v>
      </c>
      <c r="N127" s="10">
        <v>2.3307744411831099</v>
      </c>
      <c r="O127" s="10">
        <v>2.3166568507100198</v>
      </c>
      <c r="P127" s="10">
        <v>2.3174264423200301</v>
      </c>
      <c r="Q127" s="10">
        <v>2.30656284361234</v>
      </c>
      <c r="R127" s="8">
        <v>102.604731917946</v>
      </c>
      <c r="S127" s="8">
        <v>102.45929752251099</v>
      </c>
      <c r="T127" s="8">
        <v>102.073059221969</v>
      </c>
      <c r="U127" s="9">
        <v>-6.0754567463659299E-3</v>
      </c>
      <c r="V127" s="9">
        <v>-7.4938861044184001E-3</v>
      </c>
      <c r="W127" s="9">
        <v>-1.1270684707876301E-2</v>
      </c>
      <c r="X127" s="10">
        <v>2.3307744411831099</v>
      </c>
      <c r="Y127" s="10">
        <v>2.3166568507100198</v>
      </c>
      <c r="Z127" s="10">
        <v>2.3174264423200301</v>
      </c>
      <c r="AA127" s="10">
        <v>2.30656284361234</v>
      </c>
      <c r="AB127" s="8">
        <v>102.604731917946</v>
      </c>
      <c r="AC127" s="8">
        <v>102.45929752251099</v>
      </c>
      <c r="AD127" s="8">
        <v>102.073059221969</v>
      </c>
      <c r="AE127" s="9">
        <v>-6.0754567463659299E-3</v>
      </c>
      <c r="AF127" s="9">
        <v>-7.4938861044184001E-3</v>
      </c>
      <c r="AG127" s="9">
        <v>-1.1270684707876301E-2</v>
      </c>
      <c r="AZ127" s="9"/>
      <c r="BB127">
        <f t="shared" si="22"/>
        <v>1</v>
      </c>
      <c r="BC127">
        <f t="shared" si="23"/>
        <v>0</v>
      </c>
      <c r="BD127">
        <f t="shared" si="24"/>
        <v>1</v>
      </c>
      <c r="BE127">
        <f t="shared" si="20"/>
        <v>1</v>
      </c>
      <c r="BF127">
        <f t="shared" si="25"/>
        <v>1</v>
      </c>
      <c r="BG127" s="9">
        <f t="shared" si="26"/>
        <v>-8.76705626589315E-3</v>
      </c>
      <c r="BH127" s="9">
        <f t="shared" si="27"/>
        <v>7.5275398875431099E-3</v>
      </c>
      <c r="BI127" s="9">
        <f t="shared" si="28"/>
        <v>-1.2395163783500401E-3</v>
      </c>
      <c r="BJ127" s="12">
        <f t="shared" si="29"/>
        <v>-3.0058253123884686E-3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2.3949800331923149E-3</v>
      </c>
      <c r="BX127" s="12">
        <f t="shared" si="38"/>
        <v>-1.2395163783500401E-3</v>
      </c>
      <c r="BY127" s="12">
        <f t="shared" si="39"/>
        <v>-6.1084527919615366E-4</v>
      </c>
    </row>
    <row r="128" spans="1:77" x14ac:dyDescent="0.3">
      <c r="A128" s="1">
        <v>46210</v>
      </c>
      <c r="B128" s="8">
        <v>44.89</v>
      </c>
      <c r="C128" s="8">
        <v>104.51</v>
      </c>
      <c r="D128" s="9">
        <v>1.34561348587339E-2</v>
      </c>
      <c r="E128" s="9">
        <v>1.2323252128913701E-2</v>
      </c>
      <c r="F128" s="8">
        <v>0</v>
      </c>
      <c r="G128" s="8">
        <v>0.6522</v>
      </c>
      <c r="H128" s="8">
        <v>0</v>
      </c>
      <c r="I128" s="8">
        <v>0.78539999999999999</v>
      </c>
      <c r="J128" s="8">
        <v>0</v>
      </c>
      <c r="K128" s="8">
        <v>0</v>
      </c>
      <c r="L128" s="8">
        <v>44.89</v>
      </c>
      <c r="M128" s="8">
        <v>104.51</v>
      </c>
      <c r="N128" s="10">
        <v>2.32813544219202</v>
      </c>
      <c r="O128" s="10">
        <v>2.3166568507100198</v>
      </c>
      <c r="P128" s="10">
        <v>2.3194130896741698</v>
      </c>
      <c r="Q128" s="10">
        <v>2.3082716291447598</v>
      </c>
      <c r="R128" s="8">
        <v>103.994726028372</v>
      </c>
      <c r="S128" s="8">
        <v>104.029272995746</v>
      </c>
      <c r="T128" s="8">
        <v>103.541606049758</v>
      </c>
      <c r="U128" s="9">
        <v>-4.9425740165456103E-3</v>
      </c>
      <c r="V128" s="9">
        <v>-4.6104299576565496E-3</v>
      </c>
      <c r="W128" s="9">
        <v>-9.3092378587321997E-3</v>
      </c>
      <c r="X128" s="10">
        <v>2.32813544219202</v>
      </c>
      <c r="Y128" s="10">
        <v>2.3166568507100198</v>
      </c>
      <c r="Z128" s="10">
        <v>2.3194130896741698</v>
      </c>
      <c r="AA128" s="10">
        <v>2.3082716291447598</v>
      </c>
      <c r="AB128" s="8">
        <v>103.994726028372</v>
      </c>
      <c r="AC128" s="8">
        <v>104.029272995746</v>
      </c>
      <c r="AD128" s="8">
        <v>103.541606049758</v>
      </c>
      <c r="AE128" s="9">
        <v>-4.9425740165456103E-3</v>
      </c>
      <c r="AF128" s="9">
        <v>-4.6104299576565496E-3</v>
      </c>
      <c r="AG128" s="9">
        <v>-9.3092378587321997E-3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1.34561348587339E-2</v>
      </c>
      <c r="BH128" s="9">
        <f t="shared" si="27"/>
        <v>-1.2323252128913701E-2</v>
      </c>
      <c r="BI128" s="9">
        <f t="shared" si="28"/>
        <v>1.1328827298201991E-3</v>
      </c>
      <c r="BJ128" s="12">
        <f t="shared" si="29"/>
        <v>-1.8729425825682695E-3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2.3949800331923149E-3</v>
      </c>
      <c r="BX128" s="12">
        <f t="shared" si="38"/>
        <v>1.1328827298201991E-3</v>
      </c>
      <c r="BY128" s="12">
        <f t="shared" si="39"/>
        <v>5.2203745062404539E-4</v>
      </c>
    </row>
    <row r="129" spans="1:77" x14ac:dyDescent="0.3">
      <c r="A129" s="1">
        <v>46211</v>
      </c>
      <c r="B129" s="8">
        <v>44.15</v>
      </c>
      <c r="C129" s="8">
        <v>102.79</v>
      </c>
      <c r="D129" s="9">
        <v>-1.6622125743871698E-2</v>
      </c>
      <c r="E129" s="9">
        <v>-1.6594688581581699E-2</v>
      </c>
      <c r="F129" s="8">
        <v>0</v>
      </c>
      <c r="G129" s="8">
        <v>0.6522</v>
      </c>
      <c r="H129" s="8">
        <v>0</v>
      </c>
      <c r="I129" s="8">
        <v>0.78539999999999999</v>
      </c>
      <c r="J129" s="8">
        <v>0</v>
      </c>
      <c r="K129" s="8">
        <v>0</v>
      </c>
      <c r="L129" s="8">
        <v>44.15</v>
      </c>
      <c r="M129" s="8">
        <v>102.79</v>
      </c>
      <c r="N129" s="10">
        <v>2.3281993204983</v>
      </c>
      <c r="O129" s="10">
        <v>2.3166568507100198</v>
      </c>
      <c r="P129" s="10">
        <v>2.3215206561325998</v>
      </c>
      <c r="Q129" s="10">
        <v>2.3098962215607699</v>
      </c>
      <c r="R129" s="8">
        <v>102.280399958847</v>
      </c>
      <c r="S129" s="8">
        <v>102.402087909114</v>
      </c>
      <c r="T129" s="8">
        <v>101.91019242674101</v>
      </c>
      <c r="U129" s="9">
        <v>-4.97001117883573E-3</v>
      </c>
      <c r="V129" s="9">
        <v>-3.7809698898420602E-3</v>
      </c>
      <c r="W129" s="9">
        <v>-8.5961129832704108E-3</v>
      </c>
      <c r="X129" s="10">
        <v>2.3281993204983</v>
      </c>
      <c r="Y129" s="10">
        <v>2.3166568507100198</v>
      </c>
      <c r="Z129" s="10">
        <v>2.3215206561325998</v>
      </c>
      <c r="AA129" s="10">
        <v>2.3098962215607699</v>
      </c>
      <c r="AB129" s="8">
        <v>102.280399958847</v>
      </c>
      <c r="AC129" s="8">
        <v>102.402087909114</v>
      </c>
      <c r="AD129" s="8">
        <v>101.91019242674101</v>
      </c>
      <c r="AE129" s="9">
        <v>-4.97001117883573E-3</v>
      </c>
      <c r="AF129" s="9">
        <v>-3.7809698898420602E-3</v>
      </c>
      <c r="AG129" s="9">
        <v>-8.5961129832704108E-3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-1.6622125743871698E-2</v>
      </c>
      <c r="BH129" s="9">
        <f t="shared" si="27"/>
        <v>1.6594688581581699E-2</v>
      </c>
      <c r="BI129" s="9">
        <f t="shared" si="28"/>
        <v>-2.7437162289999095E-5</v>
      </c>
      <c r="BJ129" s="12">
        <f t="shared" si="29"/>
        <v>-1.9003797448582686E-3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2.3949800331923149E-3</v>
      </c>
      <c r="BX129" s="12">
        <f t="shared" si="38"/>
        <v>-2.7437162289999095E-5</v>
      </c>
      <c r="BY129" s="12">
        <f t="shared" si="39"/>
        <v>4.946002883340463E-4</v>
      </c>
    </row>
    <row r="130" spans="1:77" x14ac:dyDescent="0.3">
      <c r="A130" s="1">
        <v>46212</v>
      </c>
      <c r="B130" s="8">
        <v>44.23</v>
      </c>
      <c r="C130" s="8">
        <v>103</v>
      </c>
      <c r="D130" s="9">
        <v>1.81036483026622E-3</v>
      </c>
      <c r="E130" s="9">
        <v>2.04091620480519E-3</v>
      </c>
      <c r="F130" s="8">
        <v>0</v>
      </c>
      <c r="G130" s="8">
        <v>0.6522</v>
      </c>
      <c r="H130" s="8">
        <v>0</v>
      </c>
      <c r="I130" s="8">
        <v>0.78539999999999999</v>
      </c>
      <c r="J130" s="8">
        <v>0</v>
      </c>
      <c r="K130" s="8">
        <v>0</v>
      </c>
      <c r="L130" s="8">
        <v>44.23</v>
      </c>
      <c r="M130" s="8">
        <v>103</v>
      </c>
      <c r="N130" s="10">
        <v>2.3287361519330698</v>
      </c>
      <c r="O130" s="10">
        <v>2.3166568507100198</v>
      </c>
      <c r="P130" s="10">
        <v>2.3233226020381101</v>
      </c>
      <c r="Q130" s="10">
        <v>2.3112674298690101</v>
      </c>
      <c r="R130" s="8">
        <v>102.465732506904</v>
      </c>
      <c r="S130" s="8">
        <v>102.680858620745</v>
      </c>
      <c r="T130" s="8">
        <v>102.166709879633</v>
      </c>
      <c r="U130" s="9">
        <v>-5.20056255337449E-3</v>
      </c>
      <c r="V130" s="9">
        <v>-3.1032701585692901E-3</v>
      </c>
      <c r="W130" s="9">
        <v>-8.1230985561554607E-3</v>
      </c>
      <c r="X130" s="10">
        <v>2.3287361519330698</v>
      </c>
      <c r="Y130" s="10">
        <v>2.3166568507100198</v>
      </c>
      <c r="Z130" s="10">
        <v>2.3233226020381101</v>
      </c>
      <c r="AA130" s="10">
        <v>2.3112674298690101</v>
      </c>
      <c r="AB130" s="8">
        <v>102.465732506904</v>
      </c>
      <c r="AC130" s="8">
        <v>102.680858620745</v>
      </c>
      <c r="AD130" s="8">
        <v>102.166709879633</v>
      </c>
      <c r="AE130" s="9">
        <v>-5.20056255337449E-3</v>
      </c>
      <c r="AF130" s="9">
        <v>-3.1032701585692901E-3</v>
      </c>
      <c r="AG130" s="9">
        <v>-8.1230985561554607E-3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1.81036483026622E-3</v>
      </c>
      <c r="BH130" s="9">
        <f t="shared" si="27"/>
        <v>-2.04091620480519E-3</v>
      </c>
      <c r="BI130" s="9">
        <f t="shared" si="28"/>
        <v>-2.3055137453897E-4</v>
      </c>
      <c r="BJ130" s="12">
        <f t="shared" si="29"/>
        <v>-2.1309311193972386E-3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2.3949800331923149E-3</v>
      </c>
      <c r="BX130" s="12">
        <f t="shared" si="38"/>
        <v>-2.3055137453897E-4</v>
      </c>
      <c r="BY130" s="12">
        <f t="shared" si="39"/>
        <v>2.640489137950763E-4</v>
      </c>
    </row>
    <row r="131" spans="1:77" x14ac:dyDescent="0.3">
      <c r="A131" s="1">
        <v>46213</v>
      </c>
      <c r="B131" s="8">
        <v>44.45</v>
      </c>
      <c r="C131" s="8">
        <v>103.32</v>
      </c>
      <c r="D131" s="9">
        <v>4.9616700796783703E-3</v>
      </c>
      <c r="E131" s="9">
        <v>3.10197999800389E-3</v>
      </c>
      <c r="F131" s="8">
        <v>0</v>
      </c>
      <c r="G131" s="8">
        <v>0.6522</v>
      </c>
      <c r="H131" s="8">
        <v>0</v>
      </c>
      <c r="I131" s="8">
        <v>0.78539999999999999</v>
      </c>
      <c r="J131" s="8">
        <v>0</v>
      </c>
      <c r="K131" s="8">
        <v>0</v>
      </c>
      <c r="L131" s="8">
        <v>44.45</v>
      </c>
      <c r="M131" s="8">
        <v>103.32</v>
      </c>
      <c r="N131" s="10">
        <v>2.3244094488188898</v>
      </c>
      <c r="O131" s="10">
        <v>2.3166568507100198</v>
      </c>
      <c r="P131" s="10">
        <v>2.32454578508999</v>
      </c>
      <c r="Q131" s="10">
        <v>2.3124401139125301</v>
      </c>
      <c r="R131" s="8">
        <v>102.97539701405999</v>
      </c>
      <c r="S131" s="8">
        <v>103.27168966059401</v>
      </c>
      <c r="T131" s="8">
        <v>102.73583725767701</v>
      </c>
      <c r="U131" s="9">
        <v>-3.34087247170006E-3</v>
      </c>
      <c r="V131" s="9">
        <v>-4.6768909597276899E-4</v>
      </c>
      <c r="W131" s="9">
        <v>-5.6699612599215203E-3</v>
      </c>
      <c r="X131" s="10">
        <v>2.3244094488188898</v>
      </c>
      <c r="Y131" s="10">
        <v>2.3166568507100198</v>
      </c>
      <c r="Z131" s="10">
        <v>2.32454578508999</v>
      </c>
      <c r="AA131" s="10">
        <v>2.3124401139125301</v>
      </c>
      <c r="AB131" s="8">
        <v>102.97539701405999</v>
      </c>
      <c r="AC131" s="8">
        <v>103.27168966059401</v>
      </c>
      <c r="AD131" s="8">
        <v>102.73583725767701</v>
      </c>
      <c r="AE131" s="9">
        <v>-3.34087247170006E-3</v>
      </c>
      <c r="AF131" s="9">
        <v>-4.6768909597276899E-4</v>
      </c>
      <c r="AG131" s="9">
        <v>-5.6699612599215203E-3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4.9616700796783703E-3</v>
      </c>
      <c r="BH131" s="9">
        <f t="shared" si="27"/>
        <v>-3.10197999800389E-3</v>
      </c>
      <c r="BI131" s="9">
        <f t="shared" si="28"/>
        <v>1.8596900816744803E-3</v>
      </c>
      <c r="BJ131" s="12">
        <f t="shared" si="29"/>
        <v>-2.7124103772275827E-4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2.3949800331923149E-3</v>
      </c>
      <c r="BX131" s="12">
        <f t="shared" si="38"/>
        <v>1.8596900816744803E-3</v>
      </c>
      <c r="BY131" s="12">
        <f t="shared" si="39"/>
        <v>2.1237389954695566E-3</v>
      </c>
    </row>
    <row r="132" spans="1:77" x14ac:dyDescent="0.3">
      <c r="A132" s="1">
        <v>46216</v>
      </c>
      <c r="B132" s="8">
        <v>44.7</v>
      </c>
      <c r="C132" s="8">
        <v>103.91</v>
      </c>
      <c r="D132" s="9">
        <v>5.60853965960961E-3</v>
      </c>
      <c r="E132" s="9">
        <v>5.6941716369156899E-3</v>
      </c>
      <c r="F132" s="8">
        <v>0</v>
      </c>
      <c r="G132" s="8">
        <v>0.6522</v>
      </c>
      <c r="H132" s="8">
        <v>0</v>
      </c>
      <c r="I132" s="8">
        <v>0.78539999999999999</v>
      </c>
      <c r="J132" s="8">
        <v>0</v>
      </c>
      <c r="K132" s="8">
        <v>0</v>
      </c>
      <c r="L132" s="8">
        <v>44.7</v>
      </c>
      <c r="M132" s="8">
        <v>103.91</v>
      </c>
      <c r="N132" s="10">
        <v>2.32460850111856</v>
      </c>
      <c r="O132" s="10">
        <v>2.3166568507100198</v>
      </c>
      <c r="P132" s="10">
        <v>2.3257069004538402</v>
      </c>
      <c r="Q132" s="10">
        <v>2.3135213849168101</v>
      </c>
      <c r="R132" s="8">
        <v>103.55456122673699</v>
      </c>
      <c r="S132" s="8">
        <v>103.907196593522</v>
      </c>
      <c r="T132" s="8">
        <v>103.36607309189</v>
      </c>
      <c r="U132" s="9">
        <v>-3.4265044490061898E-3</v>
      </c>
      <c r="V132" s="9">
        <v>-2.6979542821654701E-5</v>
      </c>
      <c r="W132" s="9">
        <v>-5.2483448623840004E-3</v>
      </c>
      <c r="X132" s="10">
        <v>2.32460850111856</v>
      </c>
      <c r="Y132" s="10">
        <v>2.3166568507100198</v>
      </c>
      <c r="Z132" s="10">
        <v>2.3257069004538402</v>
      </c>
      <c r="AA132" s="10">
        <v>2.3135213849168101</v>
      </c>
      <c r="AB132" s="8">
        <v>103.55456122673699</v>
      </c>
      <c r="AC132" s="8">
        <v>103.907196593522</v>
      </c>
      <c r="AD132" s="8">
        <v>103.36607309189</v>
      </c>
      <c r="AE132" s="9">
        <v>-3.4265044490061898E-3</v>
      </c>
      <c r="AF132" s="9">
        <v>-2.6979542821654701E-5</v>
      </c>
      <c r="AG132" s="9">
        <v>-5.2483448623840004E-3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5.60853965960961E-3</v>
      </c>
      <c r="BH132" s="9">
        <f t="shared" si="27"/>
        <v>-5.6941716369156899E-3</v>
      </c>
      <c r="BI132" s="9">
        <f t="shared" si="28"/>
        <v>-8.5631977306079889E-5</v>
      </c>
      <c r="BJ132" s="12">
        <f t="shared" si="29"/>
        <v>-3.5687301502883816E-4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2.3949800331923149E-3</v>
      </c>
      <c r="BX132" s="12">
        <f t="shared" si="38"/>
        <v>-8.5631977306079889E-5</v>
      </c>
      <c r="BY132" s="12">
        <f t="shared" si="39"/>
        <v>2.0381070181634767E-3</v>
      </c>
    </row>
    <row r="133" spans="1:77" x14ac:dyDescent="0.3">
      <c r="A133" s="1">
        <v>46217</v>
      </c>
      <c r="B133" s="8">
        <v>44.48</v>
      </c>
      <c r="C133" s="8">
        <v>103.59</v>
      </c>
      <c r="D133" s="9">
        <v>-4.9338516771963003E-3</v>
      </c>
      <c r="E133" s="9">
        <v>-3.0843397945446499E-3</v>
      </c>
      <c r="F133" s="8">
        <v>0</v>
      </c>
      <c r="G133" s="8">
        <v>0.6522</v>
      </c>
      <c r="H133" s="8">
        <v>0</v>
      </c>
      <c r="I133" s="8">
        <v>0.78539999999999999</v>
      </c>
      <c r="J133" s="8">
        <v>0</v>
      </c>
      <c r="K133" s="8">
        <v>0</v>
      </c>
      <c r="L133" s="8">
        <v>44.48</v>
      </c>
      <c r="M133" s="8">
        <v>103.59</v>
      </c>
      <c r="N133" s="10">
        <v>2.3289118705035898</v>
      </c>
      <c r="O133" s="10">
        <v>2.3166568507100198</v>
      </c>
      <c r="P133" s="10">
        <v>2.3268750242806902</v>
      </c>
      <c r="Q133" s="10">
        <v>2.3149206821456998</v>
      </c>
      <c r="R133" s="8">
        <v>103.044896719581</v>
      </c>
      <c r="S133" s="8">
        <v>103.44744293218599</v>
      </c>
      <c r="T133" s="8">
        <v>102.9054312011</v>
      </c>
      <c r="U133" s="9">
        <v>-5.2760163316578302E-3</v>
      </c>
      <c r="V133" s="9">
        <v>-1.37711409417889E-3</v>
      </c>
      <c r="W133" s="9">
        <v>-6.6303772710944496E-3</v>
      </c>
      <c r="X133" s="10">
        <v>2.3289118705035898</v>
      </c>
      <c r="Y133" s="10">
        <v>2.3166568507100198</v>
      </c>
      <c r="Z133" s="10">
        <v>2.3268750242806902</v>
      </c>
      <c r="AA133" s="10">
        <v>2.3149206821456998</v>
      </c>
      <c r="AB133" s="8">
        <v>103.044896719581</v>
      </c>
      <c r="AC133" s="8">
        <v>103.44744293218599</v>
      </c>
      <c r="AD133" s="8">
        <v>102.9054312011</v>
      </c>
      <c r="AE133" s="9">
        <v>-5.2760163316578302E-3</v>
      </c>
      <c r="AF133" s="9">
        <v>-1.37711409417889E-3</v>
      </c>
      <c r="AG133" s="9">
        <v>-6.6303772710944496E-3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-4.9338516771963003E-3</v>
      </c>
      <c r="BH133" s="9">
        <f t="shared" si="27"/>
        <v>3.0843397945446499E-3</v>
      </c>
      <c r="BI133" s="9">
        <f t="shared" si="28"/>
        <v>-1.8495118826516504E-3</v>
      </c>
      <c r="BJ133" s="12">
        <f t="shared" si="29"/>
        <v>-2.2063848976804886E-3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2.3949800331923149E-3</v>
      </c>
      <c r="BX133" s="12">
        <f t="shared" si="38"/>
        <v>-1.8495118826516504E-3</v>
      </c>
      <c r="BY133" s="12">
        <f t="shared" si="39"/>
        <v>1.8859513551182632E-4</v>
      </c>
    </row>
    <row r="134" spans="1:77" x14ac:dyDescent="0.3">
      <c r="A134" s="1">
        <v>46218</v>
      </c>
      <c r="B134" s="8">
        <v>44.56</v>
      </c>
      <c r="C134" s="8">
        <v>103.83</v>
      </c>
      <c r="D134" s="9">
        <v>1.79694567670185E-3</v>
      </c>
      <c r="E134" s="9">
        <v>2.3141462453518001E-3</v>
      </c>
      <c r="F134" s="8">
        <v>0</v>
      </c>
      <c r="G134" s="8">
        <v>0.6522</v>
      </c>
      <c r="H134" s="8">
        <v>0</v>
      </c>
      <c r="I134" s="8">
        <v>0.78539999999999999</v>
      </c>
      <c r="J134" s="8">
        <v>0</v>
      </c>
      <c r="K134" s="8">
        <v>0</v>
      </c>
      <c r="L134" s="8">
        <v>44.56</v>
      </c>
      <c r="M134" s="8">
        <v>103.83</v>
      </c>
      <c r="N134" s="10">
        <v>2.3301166965888598</v>
      </c>
      <c r="O134" s="10">
        <v>2.3166568507100198</v>
      </c>
      <c r="P134" s="10">
        <v>2.3276586675939002</v>
      </c>
      <c r="Q134" s="10">
        <v>2.3168677261327302</v>
      </c>
      <c r="R134" s="8">
        <v>103.23022926763799</v>
      </c>
      <c r="S134" s="8">
        <v>103.685551081947</v>
      </c>
      <c r="T134" s="8">
        <v>103.152865596412</v>
      </c>
      <c r="U134" s="9">
        <v>-5.7932169003079197E-3</v>
      </c>
      <c r="V134" s="9">
        <v>-1.39217461659545E-3</v>
      </c>
      <c r="W134" s="9">
        <v>-6.5429263171625698E-3</v>
      </c>
      <c r="X134" s="10">
        <v>2.3301166965888598</v>
      </c>
      <c r="Y134" s="10">
        <v>2.3166568507100198</v>
      </c>
      <c r="Z134" s="10">
        <v>2.3276586675939002</v>
      </c>
      <c r="AA134" s="10">
        <v>2.3168677261327302</v>
      </c>
      <c r="AB134" s="8">
        <v>103.23022926763799</v>
      </c>
      <c r="AC134" s="8">
        <v>103.685551081947</v>
      </c>
      <c r="AD134" s="8">
        <v>103.152865596412</v>
      </c>
      <c r="AE134" s="9">
        <v>-5.7932169003079197E-3</v>
      </c>
      <c r="AF134" s="9">
        <v>-1.39217461659545E-3</v>
      </c>
      <c r="AG134" s="9">
        <v>-6.5429263171625698E-3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1.79694567670185E-3</v>
      </c>
      <c r="BH134" s="9">
        <f t="shared" si="27"/>
        <v>-2.3141462453518001E-3</v>
      </c>
      <c r="BI134" s="9">
        <f t="shared" si="28"/>
        <v>-5.1720056864995004E-4</v>
      </c>
      <c r="BJ134" s="12">
        <f t="shared" si="29"/>
        <v>-2.7235854663304384E-3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2.3949800331923149E-3</v>
      </c>
      <c r="BX134" s="12">
        <f t="shared" si="38"/>
        <v>-5.1720056864995004E-4</v>
      </c>
      <c r="BY134" s="12">
        <f t="shared" si="39"/>
        <v>-3.2860543313812372E-4</v>
      </c>
    </row>
    <row r="135" spans="1:77" x14ac:dyDescent="0.3">
      <c r="A135" s="1">
        <v>46219</v>
      </c>
      <c r="B135" s="8">
        <v>45.46</v>
      </c>
      <c r="C135" s="8">
        <v>106.25</v>
      </c>
      <c r="D135" s="9">
        <v>1.9996222805368499E-2</v>
      </c>
      <c r="E135" s="9">
        <v>2.3039861489163701E-2</v>
      </c>
      <c r="F135" s="8">
        <v>0</v>
      </c>
      <c r="G135" s="8">
        <v>0.6522</v>
      </c>
      <c r="H135" s="8">
        <v>0</v>
      </c>
      <c r="I135" s="8">
        <v>0.78539999999999999</v>
      </c>
      <c r="J135" s="8">
        <v>0</v>
      </c>
      <c r="K135" s="8">
        <v>0</v>
      </c>
      <c r="L135" s="8">
        <v>45.46</v>
      </c>
      <c r="M135" s="8">
        <v>106.25</v>
      </c>
      <c r="N135" s="10">
        <v>2.33721953365596</v>
      </c>
      <c r="O135" s="10">
        <v>2.3166568507100198</v>
      </c>
      <c r="P135" s="10">
        <v>2.3288998604343698</v>
      </c>
      <c r="Q135" s="10">
        <v>2.3191610753210701</v>
      </c>
      <c r="R135" s="8">
        <v>105.31522043327701</v>
      </c>
      <c r="S135" s="8">
        <v>105.81536302881899</v>
      </c>
      <c r="T135" s="8">
        <v>105.324806829994</v>
      </c>
      <c r="U135" s="9">
        <v>-8.8368555841031003E-3</v>
      </c>
      <c r="V135" s="9">
        <v>-4.0990907101188098E-3</v>
      </c>
      <c r="W135" s="9">
        <v>-8.7458339786857901E-3</v>
      </c>
      <c r="X135" s="10">
        <v>2.33721953365596</v>
      </c>
      <c r="Y135" s="10">
        <v>2.3166568507100198</v>
      </c>
      <c r="Z135" s="10">
        <v>2.3288998604343698</v>
      </c>
      <c r="AA135" s="10">
        <v>2.3191610753210701</v>
      </c>
      <c r="AB135" s="8">
        <v>105.31522043327701</v>
      </c>
      <c r="AC135" s="8">
        <v>105.81536302881899</v>
      </c>
      <c r="AD135" s="8">
        <v>105.324806829994</v>
      </c>
      <c r="AE135" s="9">
        <v>-8.8368555841031003E-3</v>
      </c>
      <c r="AF135" s="9">
        <v>-4.0990907101188098E-3</v>
      </c>
      <c r="AG135" s="9">
        <v>-8.7458339786857901E-3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1.9996222805368499E-2</v>
      </c>
      <c r="BH135" s="9">
        <f t="shared" si="27"/>
        <v>-2.3039861489163701E-2</v>
      </c>
      <c r="BI135" s="9">
        <f t="shared" si="28"/>
        <v>-3.0436386837952023E-3</v>
      </c>
      <c r="BJ135" s="12">
        <f t="shared" si="29"/>
        <v>-5.7672241501256407E-3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2.3949800331923149E-3</v>
      </c>
      <c r="BX135" s="12">
        <f t="shared" si="38"/>
        <v>-3.0436386837952023E-3</v>
      </c>
      <c r="BY135" s="12">
        <f t="shared" si="39"/>
        <v>-3.3722441169333258E-3</v>
      </c>
    </row>
    <row r="136" spans="1:77" x14ac:dyDescent="0.3">
      <c r="A136" s="1">
        <v>46220</v>
      </c>
      <c r="B136" s="8">
        <v>45.42</v>
      </c>
      <c r="C136" s="8">
        <v>106.09</v>
      </c>
      <c r="D136" s="9">
        <v>-8.8028174698470305E-4</v>
      </c>
      <c r="E136" s="9">
        <v>-1.50701733334599E-3</v>
      </c>
      <c r="F136" s="8">
        <v>0</v>
      </c>
      <c r="G136" s="8">
        <v>0.6522</v>
      </c>
      <c r="H136" s="8">
        <v>0</v>
      </c>
      <c r="I136" s="8">
        <v>0.78539999999999999</v>
      </c>
      <c r="J136" s="8">
        <v>0</v>
      </c>
      <c r="K136" s="8">
        <v>0</v>
      </c>
      <c r="L136" s="8">
        <v>45.42</v>
      </c>
      <c r="M136" s="8">
        <v>106.09</v>
      </c>
      <c r="N136" s="10">
        <v>2.33575517393218</v>
      </c>
      <c r="O136" s="10">
        <v>2.3166568507100198</v>
      </c>
      <c r="P136" s="10">
        <v>2.32968665804245</v>
      </c>
      <c r="Q136" s="10">
        <v>2.3215299120254098</v>
      </c>
      <c r="R136" s="8">
        <v>105.222554159249</v>
      </c>
      <c r="S136" s="8">
        <v>105.77863166092899</v>
      </c>
      <c r="T136" s="8">
        <v>105.336296041083</v>
      </c>
      <c r="U136" s="9">
        <v>-8.2101199977418198E-3</v>
      </c>
      <c r="V136" s="9">
        <v>-2.9392606238622899E-3</v>
      </c>
      <c r="W136" s="9">
        <v>-7.1297389756234302E-3</v>
      </c>
      <c r="X136" s="10">
        <v>2.33575517393218</v>
      </c>
      <c r="Y136" s="10">
        <v>2.3166568507100198</v>
      </c>
      <c r="Z136" s="10">
        <v>2.32968665804245</v>
      </c>
      <c r="AA136" s="10">
        <v>2.3215299120254098</v>
      </c>
      <c r="AB136" s="8">
        <v>105.222554159249</v>
      </c>
      <c r="AC136" s="8">
        <v>105.77863166092899</v>
      </c>
      <c r="AD136" s="8">
        <v>105.336296041083</v>
      </c>
      <c r="AE136" s="9">
        <v>-8.2101199977418198E-3</v>
      </c>
      <c r="AF136" s="9">
        <v>-2.9392606238622899E-3</v>
      </c>
      <c r="AG136" s="9">
        <v>-7.1297389756234302E-3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-8.8028174698470305E-4</v>
      </c>
      <c r="BH136" s="9">
        <f t="shared" si="27"/>
        <v>1.50701733334599E-3</v>
      </c>
      <c r="BI136" s="9">
        <f t="shared" si="28"/>
        <v>6.267355863612869E-4</v>
      </c>
      <c r="BJ136" s="12">
        <f t="shared" si="29"/>
        <v>-5.1404885637643541E-3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2.3949800331923149E-3</v>
      </c>
      <c r="BX136" s="12">
        <f t="shared" si="38"/>
        <v>6.267355863612869E-4</v>
      </c>
      <c r="BY136" s="12">
        <f t="shared" si="39"/>
        <v>-2.7455085305720388E-3</v>
      </c>
    </row>
    <row r="137" spans="1:77" x14ac:dyDescent="0.3">
      <c r="A137" s="1">
        <v>46223</v>
      </c>
      <c r="B137" s="8">
        <v>45.23</v>
      </c>
      <c r="C137" s="8">
        <v>105.55</v>
      </c>
      <c r="D137" s="9">
        <v>-4.19195318766067E-3</v>
      </c>
      <c r="E137" s="9">
        <v>-5.1030161768505699E-3</v>
      </c>
      <c r="F137" s="8">
        <v>0</v>
      </c>
      <c r="G137" s="8">
        <v>0.6522</v>
      </c>
      <c r="H137" s="8">
        <v>0</v>
      </c>
      <c r="I137" s="8">
        <v>0.78539999999999999</v>
      </c>
      <c r="J137" s="8">
        <v>0</v>
      </c>
      <c r="K137" s="8">
        <v>0</v>
      </c>
      <c r="L137" s="8">
        <v>45.23</v>
      </c>
      <c r="M137" s="8">
        <v>105.55</v>
      </c>
      <c r="N137" s="10">
        <v>2.33362812292726</v>
      </c>
      <c r="O137" s="10">
        <v>2.3166568507100198</v>
      </c>
      <c r="P137" s="10">
        <v>2.3299720262168702</v>
      </c>
      <c r="Q137" s="10">
        <v>2.3236992342684499</v>
      </c>
      <c r="R137" s="8">
        <v>104.78238935761399</v>
      </c>
      <c r="S137" s="8">
        <v>105.37172754325999</v>
      </c>
      <c r="T137" s="8">
        <v>105.002797920909</v>
      </c>
      <c r="U137" s="9">
        <v>-7.2990570085518696E-3</v>
      </c>
      <c r="V137" s="9">
        <v>-1.69041379726145E-3</v>
      </c>
      <c r="W137" s="9">
        <v>-5.1977776260208504E-3</v>
      </c>
      <c r="X137" s="10">
        <v>2.33362812292726</v>
      </c>
      <c r="Y137" s="10">
        <v>2.3166568507100198</v>
      </c>
      <c r="Z137" s="10">
        <v>2.3299720262168702</v>
      </c>
      <c r="AA137" s="10">
        <v>2.3236992342684499</v>
      </c>
      <c r="AB137" s="8">
        <v>104.78238935761399</v>
      </c>
      <c r="AC137" s="8">
        <v>105.37172754325999</v>
      </c>
      <c r="AD137" s="8">
        <v>105.002797920909</v>
      </c>
      <c r="AE137" s="9">
        <v>-7.2990570085518696E-3</v>
      </c>
      <c r="AF137" s="9">
        <v>-1.69041379726145E-3</v>
      </c>
      <c r="AG137" s="9">
        <v>-5.1977776260208504E-3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-4.19195318766067E-3</v>
      </c>
      <c r="BH137" s="9">
        <f t="shared" si="27"/>
        <v>5.1030161768505699E-3</v>
      </c>
      <c r="BI137" s="9">
        <f t="shared" si="28"/>
        <v>9.1106298918989994E-4</v>
      </c>
      <c r="BJ137" s="12">
        <f t="shared" si="29"/>
        <v>-4.2294255745744542E-3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2.3949800331923149E-3</v>
      </c>
      <c r="BX137" s="12">
        <f t="shared" si="38"/>
        <v>9.1106298918989994E-4</v>
      </c>
      <c r="BY137" s="12">
        <f t="shared" si="39"/>
        <v>-1.8344455413821389E-3</v>
      </c>
    </row>
    <row r="138" spans="1:77" x14ac:dyDescent="0.3">
      <c r="A138" s="1">
        <v>46224</v>
      </c>
      <c r="B138" s="8">
        <v>45.2</v>
      </c>
      <c r="C138" s="8">
        <v>105.52</v>
      </c>
      <c r="D138" s="9">
        <v>-6.6349665156613901E-4</v>
      </c>
      <c r="E138" s="9">
        <v>-2.8426588527043402E-4</v>
      </c>
      <c r="F138" s="8">
        <v>0</v>
      </c>
      <c r="G138" s="8">
        <v>0.6522</v>
      </c>
      <c r="H138" s="8">
        <v>0</v>
      </c>
      <c r="I138" s="8">
        <v>0.78539999999999999</v>
      </c>
      <c r="J138" s="8">
        <v>0</v>
      </c>
      <c r="K138" s="8">
        <v>0</v>
      </c>
      <c r="L138" s="8">
        <v>45.2</v>
      </c>
      <c r="M138" s="8">
        <v>105.52</v>
      </c>
      <c r="N138" s="10">
        <v>2.3345132743362802</v>
      </c>
      <c r="O138" s="10">
        <v>2.3166568507100198</v>
      </c>
      <c r="P138" s="10">
        <v>2.3306098094313001</v>
      </c>
      <c r="Q138" s="10">
        <v>2.3250114495527301</v>
      </c>
      <c r="R138" s="8">
        <v>104.712889652092</v>
      </c>
      <c r="S138" s="8">
        <v>105.314735585002</v>
      </c>
      <c r="T138" s="8">
        <v>105.031205388934</v>
      </c>
      <c r="U138" s="9">
        <v>-7.6782877748476598E-3</v>
      </c>
      <c r="V138" s="9">
        <v>-1.9471599808404401E-3</v>
      </c>
      <c r="W138" s="9">
        <v>-4.6430082246532696E-3</v>
      </c>
      <c r="X138" s="10">
        <v>2.3345132743362802</v>
      </c>
      <c r="Y138" s="10">
        <v>2.3166568507100198</v>
      </c>
      <c r="Z138" s="10">
        <v>2.3306098094313001</v>
      </c>
      <c r="AA138" s="10">
        <v>2.3250114495527301</v>
      </c>
      <c r="AB138" s="8">
        <v>104.712889652092</v>
      </c>
      <c r="AC138" s="8">
        <v>105.314735585002</v>
      </c>
      <c r="AD138" s="8">
        <v>105.031205388934</v>
      </c>
      <c r="AE138" s="9">
        <v>-7.6782877748476598E-3</v>
      </c>
      <c r="AF138" s="9">
        <v>-1.9471599808404401E-3</v>
      </c>
      <c r="AG138" s="9">
        <v>-4.6430082246532696E-3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-6.6349665156613901E-4</v>
      </c>
      <c r="BH138" s="9">
        <f t="shared" si="27"/>
        <v>2.8426588527043402E-4</v>
      </c>
      <c r="BI138" s="9">
        <f t="shared" si="28"/>
        <v>-3.7923076629570499E-4</v>
      </c>
      <c r="BJ138" s="12">
        <f t="shared" si="29"/>
        <v>-4.6086563408701594E-3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2.3949800331923149E-3</v>
      </c>
      <c r="BX138" s="12">
        <f t="shared" si="38"/>
        <v>-3.7923076629570499E-4</v>
      </c>
      <c r="BY138" s="12">
        <f t="shared" si="39"/>
        <v>-2.2136763076778436E-3</v>
      </c>
    </row>
    <row r="139" spans="1:77" x14ac:dyDescent="0.3">
      <c r="A139" s="1">
        <v>46225</v>
      </c>
      <c r="B139" s="8">
        <v>45.01</v>
      </c>
      <c r="C139" s="8">
        <v>104.95</v>
      </c>
      <c r="D139" s="9">
        <v>-4.2123995333442398E-3</v>
      </c>
      <c r="E139" s="9">
        <v>-5.4164621424170802E-3</v>
      </c>
      <c r="F139" s="8">
        <v>0</v>
      </c>
      <c r="G139" s="8">
        <v>0.6522</v>
      </c>
      <c r="H139" s="8">
        <v>0</v>
      </c>
      <c r="I139" s="8">
        <v>0.78539999999999999</v>
      </c>
      <c r="J139" s="8">
        <v>0</v>
      </c>
      <c r="K139" s="8">
        <v>0</v>
      </c>
      <c r="L139" s="8">
        <v>45.01</v>
      </c>
      <c r="M139" s="8">
        <v>104.95</v>
      </c>
      <c r="N139" s="10">
        <v>2.33170406576316</v>
      </c>
      <c r="O139" s="10">
        <v>2.3166568507100198</v>
      </c>
      <c r="P139" s="10">
        <v>2.3309602839577801</v>
      </c>
      <c r="Q139" s="10">
        <v>2.3262404700451902</v>
      </c>
      <c r="R139" s="8">
        <v>104.272724850457</v>
      </c>
      <c r="S139" s="8">
        <v>104.900747522502</v>
      </c>
      <c r="T139" s="8">
        <v>104.648765344368</v>
      </c>
      <c r="U139" s="9">
        <v>-6.4742251657747898E-3</v>
      </c>
      <c r="V139" s="9">
        <v>-4.6940484113584601E-4</v>
      </c>
      <c r="W139" s="9">
        <v>-2.8743953957948401E-3</v>
      </c>
      <c r="X139" s="10">
        <v>2.33170406576316</v>
      </c>
      <c r="Y139" s="10">
        <v>2.3166568507100198</v>
      </c>
      <c r="Z139" s="10">
        <v>2.3309602839577801</v>
      </c>
      <c r="AA139" s="10">
        <v>2.3262404700451902</v>
      </c>
      <c r="AB139" s="8">
        <v>104.272724850457</v>
      </c>
      <c r="AC139" s="8">
        <v>104.900747522502</v>
      </c>
      <c r="AD139" s="8">
        <v>104.648765344368</v>
      </c>
      <c r="AE139" s="9">
        <v>-6.4742251657747898E-3</v>
      </c>
      <c r="AF139" s="9">
        <v>-4.6940484113584601E-4</v>
      </c>
      <c r="AG139" s="9">
        <v>-2.8743953957948401E-3</v>
      </c>
      <c r="AZ139" s="9"/>
      <c r="BB139">
        <f t="shared" si="22"/>
        <v>1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-4.2123995333442398E-3</v>
      </c>
      <c r="BH139" s="9">
        <f t="shared" si="27"/>
        <v>5.4164621424170802E-3</v>
      </c>
      <c r="BI139" s="9">
        <f t="shared" si="28"/>
        <v>1.2040626090728404E-3</v>
      </c>
      <c r="BJ139" s="12">
        <f t="shared" si="29"/>
        <v>-3.404593731797319E-3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2.3949800331923149E-3</v>
      </c>
      <c r="BX139" s="12">
        <f t="shared" si="38"/>
        <v>1.2040626090728404E-3</v>
      </c>
      <c r="BY139" s="12">
        <f t="shared" si="39"/>
        <v>-1.0096136986050032E-3</v>
      </c>
    </row>
    <row r="140" spans="1:77" x14ac:dyDescent="0.3">
      <c r="A140" s="1">
        <v>46226</v>
      </c>
      <c r="B140" s="8">
        <v>44.95</v>
      </c>
      <c r="C140" s="8">
        <v>104.71</v>
      </c>
      <c r="D140" s="9">
        <v>-1.3339263872119301E-3</v>
      </c>
      <c r="E140" s="9">
        <v>-2.2894219672713999E-3</v>
      </c>
      <c r="F140" s="8">
        <v>0</v>
      </c>
      <c r="G140" s="8">
        <v>0.6522</v>
      </c>
      <c r="H140" s="8">
        <v>0</v>
      </c>
      <c r="I140" s="8">
        <v>0.78539999999999999</v>
      </c>
      <c r="J140" s="8">
        <v>0</v>
      </c>
      <c r="K140" s="8">
        <v>0</v>
      </c>
      <c r="L140" s="8">
        <v>44.95</v>
      </c>
      <c r="M140" s="8">
        <v>104.71</v>
      </c>
      <c r="N140" s="10">
        <v>2.3294771968854202</v>
      </c>
      <c r="O140" s="10">
        <v>2.3166568507100198</v>
      </c>
      <c r="P140" s="10">
        <v>2.3310343884530198</v>
      </c>
      <c r="Q140" s="10">
        <v>2.3271784952455601</v>
      </c>
      <c r="R140" s="8">
        <v>104.133725439415</v>
      </c>
      <c r="S140" s="8">
        <v>104.77666476390201</v>
      </c>
      <c r="T140" s="8">
        <v>104.564509128531</v>
      </c>
      <c r="U140" s="9">
        <v>-5.5187295857152896E-3</v>
      </c>
      <c r="V140" s="9">
        <v>6.3645832757913397E-4</v>
      </c>
      <c r="W140" s="9">
        <v>-1.3904311185725701E-3</v>
      </c>
      <c r="X140" s="10">
        <v>2.3294771968854202</v>
      </c>
      <c r="Y140" s="10">
        <v>2.3166568507100198</v>
      </c>
      <c r="Z140" s="10">
        <v>2.3310343884530198</v>
      </c>
      <c r="AA140" s="10">
        <v>2.3271784952455601</v>
      </c>
      <c r="AB140" s="8">
        <v>104.133725439415</v>
      </c>
      <c r="AC140" s="8">
        <v>104.77666476390201</v>
      </c>
      <c r="AD140" s="8">
        <v>104.564509128531</v>
      </c>
      <c r="AE140" s="9">
        <v>-5.5187295857152896E-3</v>
      </c>
      <c r="AF140" s="9">
        <v>6.3645832757913397E-4</v>
      </c>
      <c r="AG140" s="9">
        <v>-1.3904311185725701E-3</v>
      </c>
      <c r="AZ140" s="9"/>
      <c r="BB140">
        <f t="shared" si="22"/>
        <v>0</v>
      </c>
      <c r="BC140">
        <f t="shared" si="23"/>
        <v>0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-1.3339263872119301E-3</v>
      </c>
      <c r="BH140" s="9">
        <f t="shared" si="27"/>
        <v>2.2894219672713999E-3</v>
      </c>
      <c r="BI140" s="9">
        <f t="shared" si="28"/>
        <v>9.5549558005946986E-4</v>
      </c>
      <c r="BJ140" s="12">
        <f t="shared" si="29"/>
        <v>-2.4490981517378491E-3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2.3949800331923149E-3</v>
      </c>
      <c r="BX140" s="12">
        <f t="shared" si="38"/>
        <v>9.5549558005946986E-4</v>
      </c>
      <c r="BY140" s="12">
        <f t="shared" si="39"/>
        <v>-5.4118118545533334E-5</v>
      </c>
    </row>
    <row r="141" spans="1:77" x14ac:dyDescent="0.3">
      <c r="A141" s="1">
        <v>46227</v>
      </c>
      <c r="B141" s="8">
        <v>45.95</v>
      </c>
      <c r="C141" s="8">
        <v>107</v>
      </c>
      <c r="D141" s="9">
        <v>2.20030878840668E-2</v>
      </c>
      <c r="E141" s="9">
        <v>2.1634210162535399E-2</v>
      </c>
      <c r="F141" s="8">
        <v>0</v>
      </c>
      <c r="G141" s="8">
        <v>0.6522</v>
      </c>
      <c r="H141" s="8">
        <v>0</v>
      </c>
      <c r="I141" s="8">
        <v>0.78539999999999999</v>
      </c>
      <c r="J141" s="8">
        <v>0</v>
      </c>
      <c r="K141" s="8">
        <v>0</v>
      </c>
      <c r="L141" s="8">
        <v>45.95</v>
      </c>
      <c r="M141" s="8">
        <v>107</v>
      </c>
      <c r="N141" s="10">
        <v>2.3286180631120699</v>
      </c>
      <c r="O141" s="10">
        <v>2.3166568507100198</v>
      </c>
      <c r="P141" s="10">
        <v>2.33145524988233</v>
      </c>
      <c r="Q141" s="10">
        <v>2.32800051748616</v>
      </c>
      <c r="R141" s="8">
        <v>106.45038229012501</v>
      </c>
      <c r="S141" s="8">
        <v>107.111030149416</v>
      </c>
      <c r="T141" s="8">
        <v>106.933851856533</v>
      </c>
      <c r="U141" s="9">
        <v>-5.1498518641841197E-3</v>
      </c>
      <c r="V141" s="9">
        <v>1.03712694568948E-3</v>
      </c>
      <c r="W141" s="9">
        <v>-6.1839811698902397E-4</v>
      </c>
      <c r="X141" s="10">
        <v>2.3286180631120699</v>
      </c>
      <c r="Y141" s="10">
        <v>2.3166568507100198</v>
      </c>
      <c r="Z141" s="10">
        <v>2.33145524988233</v>
      </c>
      <c r="AA141" s="10">
        <v>2.32800051748616</v>
      </c>
      <c r="AB141" s="8">
        <v>106.45038229012501</v>
      </c>
      <c r="AC141" s="8">
        <v>107.111030149416</v>
      </c>
      <c r="AD141" s="8">
        <v>106.933851856533</v>
      </c>
      <c r="AE141" s="9">
        <v>-5.1498518641841197E-3</v>
      </c>
      <c r="AF141" s="9">
        <v>1.03712694568948E-3</v>
      </c>
      <c r="AG141" s="9">
        <v>-6.1839811698902397E-4</v>
      </c>
      <c r="AZ141" s="9"/>
      <c r="BB141">
        <f t="shared" si="22"/>
        <v>0</v>
      </c>
      <c r="BC141">
        <f t="shared" si="23"/>
        <v>0</v>
      </c>
      <c r="BD141">
        <f t="shared" si="24"/>
        <v>1</v>
      </c>
      <c r="BE141">
        <f t="shared" si="20"/>
        <v>1</v>
      </c>
      <c r="BF141">
        <f t="shared" si="25"/>
        <v>1</v>
      </c>
      <c r="BG141" s="9">
        <f t="shared" si="26"/>
        <v>2.20030878840668E-2</v>
      </c>
      <c r="BH141" s="9">
        <f t="shared" si="27"/>
        <v>-2.1634210162535399E-2</v>
      </c>
      <c r="BI141" s="9">
        <f t="shared" si="28"/>
        <v>3.6887772153140069E-4</v>
      </c>
      <c r="BJ141" s="12">
        <f t="shared" si="29"/>
        <v>-2.0802204302064484E-3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2.3949800331923149E-3</v>
      </c>
      <c r="BX141" s="12">
        <f t="shared" si="38"/>
        <v>3.6887772153140069E-4</v>
      </c>
      <c r="BY141" s="12">
        <f t="shared" si="39"/>
        <v>3.1475960298586736E-4</v>
      </c>
    </row>
    <row r="142" spans="1:77" x14ac:dyDescent="0.3">
      <c r="A142" s="1">
        <v>46230</v>
      </c>
      <c r="B142" s="8">
        <v>45.76</v>
      </c>
      <c r="C142" s="8">
        <v>106.64</v>
      </c>
      <c r="D142" s="9">
        <v>-4.1435017301537404E-3</v>
      </c>
      <c r="E142" s="9">
        <v>-3.3701585914529802E-3</v>
      </c>
      <c r="F142" s="8">
        <v>0</v>
      </c>
      <c r="G142" s="8">
        <v>0.6522</v>
      </c>
      <c r="H142" s="8">
        <v>0</v>
      </c>
      <c r="I142" s="8">
        <v>0.78539999999999999</v>
      </c>
      <c r="J142" s="8">
        <v>0</v>
      </c>
      <c r="K142" s="8">
        <v>0</v>
      </c>
      <c r="L142" s="8">
        <v>45.76</v>
      </c>
      <c r="M142" s="8">
        <v>106.64</v>
      </c>
      <c r="N142" s="10">
        <v>2.33041958041958</v>
      </c>
      <c r="O142" s="10">
        <v>2.3166568507100198</v>
      </c>
      <c r="P142" s="10">
        <v>2.3320363578124401</v>
      </c>
      <c r="Q142" s="10">
        <v>2.3288716291331402</v>
      </c>
      <c r="R142" s="8">
        <v>106.01021748849</v>
      </c>
      <c r="S142" s="8">
        <v>106.687392234615</v>
      </c>
      <c r="T142" s="8">
        <v>106.529303680167</v>
      </c>
      <c r="U142" s="9">
        <v>-5.9231950028848799E-3</v>
      </c>
      <c r="V142" s="9">
        <v>4.4431458050544597E-4</v>
      </c>
      <c r="W142" s="9">
        <v>-1.0385766418711899E-3</v>
      </c>
      <c r="X142" s="10">
        <v>2.33041958041958</v>
      </c>
      <c r="Y142" s="10">
        <v>2.3166568507100198</v>
      </c>
      <c r="Z142" s="10">
        <v>2.3320363578124401</v>
      </c>
      <c r="AA142" s="10">
        <v>2.3288716291331402</v>
      </c>
      <c r="AB142" s="8">
        <v>106.01021748849</v>
      </c>
      <c r="AC142" s="8">
        <v>106.687392234615</v>
      </c>
      <c r="AD142" s="8">
        <v>106.529303680167</v>
      </c>
      <c r="AE142" s="9">
        <v>-5.9231950028848799E-3</v>
      </c>
      <c r="AF142" s="9">
        <v>4.4431458050544597E-4</v>
      </c>
      <c r="AG142" s="9">
        <v>-1.0385766418711899E-3</v>
      </c>
      <c r="AZ142" s="9"/>
      <c r="BB142">
        <f t="shared" si="22"/>
        <v>0</v>
      </c>
      <c r="BC142">
        <f t="shared" si="23"/>
        <v>0</v>
      </c>
      <c r="BD142">
        <f t="shared" si="24"/>
        <v>1</v>
      </c>
      <c r="BE142">
        <f t="shared" si="20"/>
        <v>1</v>
      </c>
      <c r="BF142">
        <f t="shared" si="25"/>
        <v>1</v>
      </c>
      <c r="BG142" s="9">
        <f t="shared" si="26"/>
        <v>-4.1435017301537404E-3</v>
      </c>
      <c r="BH142" s="9">
        <f t="shared" si="27"/>
        <v>3.3701585914529802E-3</v>
      </c>
      <c r="BI142" s="9">
        <f t="shared" si="28"/>
        <v>-7.733431387007602E-4</v>
      </c>
      <c r="BJ142" s="12">
        <f t="shared" si="29"/>
        <v>-2.8535635689072086E-3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2.3949800331923149E-3</v>
      </c>
      <c r="BX142" s="12">
        <f t="shared" si="38"/>
        <v>-7.733431387007602E-4</v>
      </c>
      <c r="BY142" s="12">
        <f t="shared" si="39"/>
        <v>-4.5858353571489284E-4</v>
      </c>
    </row>
    <row r="143" spans="1:77" x14ac:dyDescent="0.3">
      <c r="A143" s="1">
        <v>46231</v>
      </c>
      <c r="B143" s="8">
        <v>46.01</v>
      </c>
      <c r="C143" s="8">
        <v>107.26</v>
      </c>
      <c r="D143" s="9">
        <v>5.44841709583472E-3</v>
      </c>
      <c r="E143" s="9">
        <v>5.7971176843259102E-3</v>
      </c>
      <c r="F143" s="8">
        <v>0</v>
      </c>
      <c r="G143" s="8">
        <v>0.6522</v>
      </c>
      <c r="H143" s="8">
        <v>0</v>
      </c>
      <c r="I143" s="8">
        <v>0.78539999999999999</v>
      </c>
      <c r="J143" s="8">
        <v>0</v>
      </c>
      <c r="K143" s="8">
        <v>0</v>
      </c>
      <c r="L143" s="8">
        <v>46.01</v>
      </c>
      <c r="M143" s="8">
        <v>107.26</v>
      </c>
      <c r="N143" s="10">
        <v>2.33123234079547</v>
      </c>
      <c r="O143" s="10">
        <v>2.3166568507100198</v>
      </c>
      <c r="P143" s="10">
        <v>2.3322684048416198</v>
      </c>
      <c r="Q143" s="10">
        <v>2.3295717145611601</v>
      </c>
      <c r="R143" s="8">
        <v>106.58938170116799</v>
      </c>
      <c r="S143" s="8">
        <v>107.29699282295</v>
      </c>
      <c r="T143" s="8">
        <v>107.15138365641501</v>
      </c>
      <c r="U143" s="9">
        <v>-6.2718955913759703E-3</v>
      </c>
      <c r="V143" s="9">
        <v>3.4482980797068499E-4</v>
      </c>
      <c r="W143" s="9">
        <v>-1.01315845290502E-3</v>
      </c>
      <c r="X143" s="10">
        <v>2.33123234079547</v>
      </c>
      <c r="Y143" s="10">
        <v>2.3166568507100198</v>
      </c>
      <c r="Z143" s="10">
        <v>2.3322684048416198</v>
      </c>
      <c r="AA143" s="10">
        <v>2.3295717145611601</v>
      </c>
      <c r="AB143" s="8">
        <v>106.58938170116799</v>
      </c>
      <c r="AC143" s="8">
        <v>107.29699282295</v>
      </c>
      <c r="AD143" s="8">
        <v>107.15138365641501</v>
      </c>
      <c r="AE143" s="9">
        <v>-6.2718955913759703E-3</v>
      </c>
      <c r="AF143" s="9">
        <v>3.4482980797068499E-4</v>
      </c>
      <c r="AG143" s="9">
        <v>-1.01315845290502E-3</v>
      </c>
      <c r="AZ143" s="9"/>
      <c r="BB143">
        <f t="shared" si="22"/>
        <v>0</v>
      </c>
      <c r="BC143">
        <f t="shared" si="23"/>
        <v>0</v>
      </c>
      <c r="BD143">
        <f t="shared" si="24"/>
        <v>1</v>
      </c>
      <c r="BE143">
        <f t="shared" si="20"/>
        <v>1</v>
      </c>
      <c r="BF143">
        <f t="shared" si="25"/>
        <v>1</v>
      </c>
      <c r="BG143" s="9">
        <f t="shared" si="26"/>
        <v>5.44841709583472E-3</v>
      </c>
      <c r="BH143" s="9">
        <f t="shared" si="27"/>
        <v>-5.7971176843259102E-3</v>
      </c>
      <c r="BI143" s="9">
        <f t="shared" si="28"/>
        <v>-3.4870058849119021E-4</v>
      </c>
      <c r="BJ143" s="12">
        <f t="shared" si="29"/>
        <v>-3.2022641573983988E-3</v>
      </c>
      <c r="BL143" s="9"/>
      <c r="BN143">
        <f t="shared" si="30"/>
        <v>0</v>
      </c>
      <c r="BO143">
        <f t="shared" si="31"/>
        <v>1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2.3949800331923149E-3</v>
      </c>
      <c r="BX143" s="12">
        <f t="shared" si="38"/>
        <v>-3.4870058849119021E-4</v>
      </c>
      <c r="BY143" s="12">
        <f t="shared" si="39"/>
        <v>-8.0728412420608305E-4</v>
      </c>
    </row>
    <row r="144" spans="1:77" x14ac:dyDescent="0.3">
      <c r="A144" s="1">
        <v>46232</v>
      </c>
      <c r="B144" s="8">
        <v>45.96</v>
      </c>
      <c r="C144" s="8">
        <v>107.01</v>
      </c>
      <c r="D144" s="9">
        <v>-1.0873111868222401E-3</v>
      </c>
      <c r="E144" s="9">
        <v>-2.3335055158692501E-3</v>
      </c>
      <c r="F144" s="8">
        <v>0</v>
      </c>
      <c r="G144" s="8">
        <v>0.6522</v>
      </c>
      <c r="H144" s="8">
        <v>0</v>
      </c>
      <c r="I144" s="8">
        <v>0.78539999999999999</v>
      </c>
      <c r="J144" s="8">
        <v>0</v>
      </c>
      <c r="K144" s="8">
        <v>0</v>
      </c>
      <c r="L144" s="8">
        <v>45.96</v>
      </c>
      <c r="M144" s="8">
        <v>107.01</v>
      </c>
      <c r="N144" s="10">
        <v>2.3283289817232302</v>
      </c>
      <c r="O144" s="10">
        <v>2.3166568507100198</v>
      </c>
      <c r="P144" s="10">
        <v>2.3320896333550598</v>
      </c>
      <c r="Q144" s="10">
        <v>2.3298741504744802</v>
      </c>
      <c r="R144" s="8">
        <v>106.473548858632</v>
      </c>
      <c r="S144" s="8">
        <v>107.191055886521</v>
      </c>
      <c r="T144" s="8">
        <v>107.067116001231</v>
      </c>
      <c r="U144" s="9">
        <v>-5.0257012623289698E-3</v>
      </c>
      <c r="V144" s="9">
        <v>1.69052322259968E-3</v>
      </c>
      <c r="W144" s="9">
        <v>5.3360213042008401E-4</v>
      </c>
      <c r="X144" s="10">
        <v>2.3283289817232302</v>
      </c>
      <c r="Y144" s="10">
        <v>2.3166568507100198</v>
      </c>
      <c r="Z144" s="10">
        <v>2.3320896333550598</v>
      </c>
      <c r="AA144" s="10">
        <v>2.3298741504744802</v>
      </c>
      <c r="AB144" s="8">
        <v>106.473548858632</v>
      </c>
      <c r="AC144" s="8">
        <v>107.191055886521</v>
      </c>
      <c r="AD144" s="8">
        <v>107.067116001231</v>
      </c>
      <c r="AE144" s="9">
        <v>-5.0257012623289698E-3</v>
      </c>
      <c r="AF144" s="9">
        <v>1.69052322259968E-3</v>
      </c>
      <c r="AG144" s="9">
        <v>5.3360213042008401E-4</v>
      </c>
      <c r="AZ144" s="9"/>
      <c r="BB144">
        <f t="shared" si="22"/>
        <v>0</v>
      </c>
      <c r="BC144">
        <f t="shared" si="23"/>
        <v>1</v>
      </c>
      <c r="BD144">
        <f t="shared" si="24"/>
        <v>1</v>
      </c>
      <c r="BE144">
        <f t="shared" si="20"/>
        <v>1</v>
      </c>
      <c r="BF144">
        <f t="shared" si="25"/>
        <v>1</v>
      </c>
      <c r="BG144" s="9">
        <f t="shared" si="26"/>
        <v>-1.0873111868222401E-3</v>
      </c>
      <c r="BH144" s="9">
        <f t="shared" si="27"/>
        <v>2.3335055158692501E-3</v>
      </c>
      <c r="BI144" s="9">
        <f t="shared" si="28"/>
        <v>1.2461943290470101E-3</v>
      </c>
      <c r="BJ144" s="12">
        <f t="shared" si="29"/>
        <v>-1.9560698283513887E-3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2.3949800331923149E-3</v>
      </c>
      <c r="BX144" s="12">
        <f t="shared" si="38"/>
        <v>1.2461943290470101E-3</v>
      </c>
      <c r="BY144" s="12">
        <f t="shared" si="39"/>
        <v>4.3891020484092703E-4</v>
      </c>
    </row>
    <row r="145" spans="1:77" x14ac:dyDescent="0.3">
      <c r="A145" s="1">
        <v>46233</v>
      </c>
      <c r="B145" s="8">
        <v>45.3</v>
      </c>
      <c r="C145" s="8">
        <v>105.67</v>
      </c>
      <c r="D145" s="9">
        <v>-1.4464420491566699E-2</v>
      </c>
      <c r="E145" s="9">
        <v>-1.26012575859704E-2</v>
      </c>
      <c r="F145" s="8">
        <v>0</v>
      </c>
      <c r="G145" s="8">
        <v>0.6522</v>
      </c>
      <c r="H145" s="8">
        <v>0</v>
      </c>
      <c r="I145" s="8">
        <v>0.78539999999999999</v>
      </c>
      <c r="J145" s="8">
        <v>0</v>
      </c>
      <c r="K145" s="8">
        <v>0</v>
      </c>
      <c r="L145" s="8">
        <v>45.3</v>
      </c>
      <c r="M145" s="8">
        <v>105.67</v>
      </c>
      <c r="N145" s="10">
        <v>2.3326710816777001</v>
      </c>
      <c r="O145" s="10">
        <v>2.3166568507100198</v>
      </c>
      <c r="P145" s="10">
        <v>2.3316347881572401</v>
      </c>
      <c r="Q145" s="10">
        <v>2.3302673242958098</v>
      </c>
      <c r="R145" s="8">
        <v>104.944555337163</v>
      </c>
      <c r="S145" s="8">
        <v>105.643660390984</v>
      </c>
      <c r="T145" s="8">
        <v>105.543299016494</v>
      </c>
      <c r="U145" s="9">
        <v>-6.8888641679252099E-3</v>
      </c>
      <c r="V145" s="9">
        <v>-2.49293955754661E-4</v>
      </c>
      <c r="W145" s="9">
        <v>-1.1997445169726899E-3</v>
      </c>
      <c r="X145" s="10">
        <v>2.3326710816777001</v>
      </c>
      <c r="Y145" s="10">
        <v>2.3166568507100198</v>
      </c>
      <c r="Z145" s="10">
        <v>2.3316347881572401</v>
      </c>
      <c r="AA145" s="10">
        <v>2.3302673242958098</v>
      </c>
      <c r="AB145" s="8">
        <v>104.944555337163</v>
      </c>
      <c r="AC145" s="8">
        <v>105.643660390984</v>
      </c>
      <c r="AD145" s="8">
        <v>105.543299016494</v>
      </c>
      <c r="AE145" s="9">
        <v>-6.8888641679252099E-3</v>
      </c>
      <c r="AF145" s="9">
        <v>-2.49293955754661E-4</v>
      </c>
      <c r="AG145" s="9">
        <v>-1.1997445169726899E-3</v>
      </c>
      <c r="AZ145" s="9"/>
      <c r="BB145">
        <f t="shared" si="22"/>
        <v>0</v>
      </c>
      <c r="BC145">
        <f t="shared" si="23"/>
        <v>0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-1.9560698283513887E-3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2.3949800331923149E-3</v>
      </c>
      <c r="BX145" s="12">
        <f t="shared" si="38"/>
        <v>0</v>
      </c>
      <c r="BY145" s="12">
        <f t="shared" si="39"/>
        <v>4.3891020484092703E-4</v>
      </c>
    </row>
    <row r="146" spans="1:77" x14ac:dyDescent="0.3">
      <c r="A146" s="1">
        <v>46234</v>
      </c>
      <c r="B146" s="8">
        <v>45.07</v>
      </c>
      <c r="C146" s="8">
        <v>105.09</v>
      </c>
      <c r="D146" s="9">
        <v>-5.0901957864313598E-3</v>
      </c>
      <c r="E146" s="9">
        <v>-5.5039045754342103E-3</v>
      </c>
      <c r="F146" s="8">
        <v>0</v>
      </c>
      <c r="G146" s="8">
        <v>0.6522</v>
      </c>
      <c r="H146" s="8">
        <v>0</v>
      </c>
      <c r="I146" s="8">
        <v>0.78539999999999999</v>
      </c>
      <c r="J146" s="8">
        <v>0</v>
      </c>
      <c r="K146" s="8">
        <v>0</v>
      </c>
      <c r="L146" s="8">
        <v>45.07</v>
      </c>
      <c r="M146" s="8">
        <v>105.09</v>
      </c>
      <c r="N146" s="10">
        <v>2.3317062347459498</v>
      </c>
      <c r="O146" s="10">
        <v>2.3166568507100198</v>
      </c>
      <c r="P146" s="10">
        <v>2.3312298942386098</v>
      </c>
      <c r="Q146" s="10">
        <v>2.3304582761405301</v>
      </c>
      <c r="R146" s="8">
        <v>104.4117242615</v>
      </c>
      <c r="S146" s="8">
        <v>105.08677990224599</v>
      </c>
      <c r="T146" s="8">
        <v>105.025148306012</v>
      </c>
      <c r="U146" s="9">
        <v>-6.4751553789222996E-3</v>
      </c>
      <c r="V146" s="9">
        <v>-3.0641803104193398E-5</v>
      </c>
      <c r="W146" s="9">
        <v>-6.1729672106016105E-4</v>
      </c>
      <c r="X146" s="10">
        <v>2.3317062347459498</v>
      </c>
      <c r="Y146" s="10">
        <v>2.3166568507100198</v>
      </c>
      <c r="Z146" s="10">
        <v>2.3312298942386098</v>
      </c>
      <c r="AA146" s="10">
        <v>2.3304582761405301</v>
      </c>
      <c r="AB146" s="8">
        <v>104.4117242615</v>
      </c>
      <c r="AC146" s="8">
        <v>105.08677990224599</v>
      </c>
      <c r="AD146" s="8">
        <v>105.025148306012</v>
      </c>
      <c r="AE146" s="9">
        <v>-6.4751553789222996E-3</v>
      </c>
      <c r="AF146" s="9">
        <v>-3.0641803104193398E-5</v>
      </c>
      <c r="AG146" s="9">
        <v>-6.1729672106016105E-4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-1.9560698283513887E-3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2.3949800331923149E-3</v>
      </c>
      <c r="BX146" s="12">
        <f t="shared" si="38"/>
        <v>0</v>
      </c>
      <c r="BY146" s="12">
        <f t="shared" si="39"/>
        <v>4.3891020484092703E-4</v>
      </c>
    </row>
    <row r="147" spans="1:77" x14ac:dyDescent="0.3">
      <c r="A147" s="1">
        <v>46237</v>
      </c>
      <c r="B147" s="8">
        <v>45.18</v>
      </c>
      <c r="C147" s="8">
        <v>105.23</v>
      </c>
      <c r="D147" s="9">
        <v>2.43767433730031E-3</v>
      </c>
      <c r="E147" s="9">
        <v>1.33130487521563E-3</v>
      </c>
      <c r="F147" s="8">
        <v>0</v>
      </c>
      <c r="G147" s="8">
        <v>0.6522</v>
      </c>
      <c r="H147" s="8">
        <v>0</v>
      </c>
      <c r="I147" s="8">
        <v>0.78539999999999999</v>
      </c>
      <c r="J147" s="8">
        <v>0</v>
      </c>
      <c r="K147" s="8">
        <v>0</v>
      </c>
      <c r="L147" s="8">
        <v>45.18</v>
      </c>
      <c r="M147" s="8">
        <v>105.23</v>
      </c>
      <c r="N147" s="10">
        <v>2.3291279327135901</v>
      </c>
      <c r="O147" s="10">
        <v>2.3166568507100198</v>
      </c>
      <c r="P147" s="10">
        <v>2.3307798752172499</v>
      </c>
      <c r="Q147" s="10">
        <v>2.3303759507170598</v>
      </c>
      <c r="R147" s="8">
        <v>104.666556515078</v>
      </c>
      <c r="S147" s="8">
        <v>105.3249666217</v>
      </c>
      <c r="T147" s="8">
        <v>105.29010491602899</v>
      </c>
      <c r="U147" s="9">
        <v>-5.36878591683769E-3</v>
      </c>
      <c r="V147" s="9">
        <v>9.0206020464902797E-4</v>
      </c>
      <c r="W147" s="9">
        <v>5.7101356363658596E-4</v>
      </c>
      <c r="X147" s="10">
        <v>2.3291279327135901</v>
      </c>
      <c r="Y147" s="10">
        <v>2.3166568507100198</v>
      </c>
      <c r="Z147" s="10">
        <v>2.3307798752172499</v>
      </c>
      <c r="AA147" s="10">
        <v>2.3303759507170598</v>
      </c>
      <c r="AB147" s="8">
        <v>104.666556515078</v>
      </c>
      <c r="AC147" s="8">
        <v>105.3249666217</v>
      </c>
      <c r="AD147" s="8">
        <v>105.29010491602899</v>
      </c>
      <c r="AE147" s="9">
        <v>-5.36878591683769E-3</v>
      </c>
      <c r="AF147" s="9">
        <v>9.0206020464902797E-4</v>
      </c>
      <c r="AG147" s="9">
        <v>5.7101356363658596E-4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-1.9560698283513887E-3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2.3949800331923149E-3</v>
      </c>
      <c r="BX147" s="12">
        <f t="shared" si="38"/>
        <v>0</v>
      </c>
      <c r="BY147" s="12">
        <f t="shared" si="39"/>
        <v>4.3891020484092703E-4</v>
      </c>
    </row>
    <row r="148" spans="1:77" x14ac:dyDescent="0.3">
      <c r="A148" s="1">
        <v>46238</v>
      </c>
      <c r="B148" s="8">
        <v>45.17</v>
      </c>
      <c r="C148" s="8">
        <v>105.12</v>
      </c>
      <c r="D148" s="9">
        <v>-2.2136137334434299E-4</v>
      </c>
      <c r="E148" s="9">
        <v>-1.0458760164204399E-3</v>
      </c>
      <c r="F148" s="8">
        <v>0</v>
      </c>
      <c r="G148" s="8">
        <v>0.6522</v>
      </c>
      <c r="H148" s="8">
        <v>0</v>
      </c>
      <c r="I148" s="8">
        <v>0.78539999999999999</v>
      </c>
      <c r="J148" s="8">
        <v>0</v>
      </c>
      <c r="K148" s="8">
        <v>0</v>
      </c>
      <c r="L148" s="8">
        <v>45.17</v>
      </c>
      <c r="M148" s="8">
        <v>105.12</v>
      </c>
      <c r="N148" s="10">
        <v>2.3272083241089199</v>
      </c>
      <c r="O148" s="10">
        <v>2.3166568507100198</v>
      </c>
      <c r="P148" s="10">
        <v>2.3300493801945099</v>
      </c>
      <c r="Q148" s="10">
        <v>2.3303295948129001</v>
      </c>
      <c r="R148" s="8">
        <v>104.64338994657101</v>
      </c>
      <c r="S148" s="8">
        <v>105.281326963563</v>
      </c>
      <c r="T148" s="8">
        <v>105.26308169388901</v>
      </c>
      <c r="U148" s="9">
        <v>-4.54427127376164E-3</v>
      </c>
      <c r="V148" s="9">
        <v>1.53351689846358E-3</v>
      </c>
      <c r="W148" s="9">
        <v>1.3602017310313599E-3</v>
      </c>
      <c r="X148" s="10">
        <v>2.3272083241089199</v>
      </c>
      <c r="Y148" s="10">
        <v>2.3166568507100198</v>
      </c>
      <c r="Z148" s="10">
        <v>2.3300493801945099</v>
      </c>
      <c r="AA148" s="10">
        <v>2.3303295948129001</v>
      </c>
      <c r="AB148" s="8">
        <v>104.64338994657101</v>
      </c>
      <c r="AC148" s="8">
        <v>105.281326963563</v>
      </c>
      <c r="AD148" s="8">
        <v>105.26308169388901</v>
      </c>
      <c r="AE148" s="9">
        <v>-4.54427127376164E-3</v>
      </c>
      <c r="AF148" s="9">
        <v>1.53351689846358E-3</v>
      </c>
      <c r="AG148" s="9">
        <v>1.3602017310313599E-3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-1.9560698283513887E-3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2.3949800331923149E-3</v>
      </c>
      <c r="BX148" s="12">
        <f t="shared" si="38"/>
        <v>0</v>
      </c>
      <c r="BY148" s="12">
        <f t="shared" si="39"/>
        <v>4.3891020484092703E-4</v>
      </c>
    </row>
    <row r="149" spans="1:77" x14ac:dyDescent="0.3">
      <c r="A149" s="1">
        <v>46239</v>
      </c>
      <c r="B149" s="8">
        <v>45.2</v>
      </c>
      <c r="C149" s="8">
        <v>105.14</v>
      </c>
      <c r="D149" s="9">
        <v>6.6393717167272895E-4</v>
      </c>
      <c r="E149" s="9">
        <v>1.9024065500150499E-4</v>
      </c>
      <c r="F149" s="8">
        <v>0</v>
      </c>
      <c r="G149" s="8">
        <v>0.6522</v>
      </c>
      <c r="H149" s="8">
        <v>0</v>
      </c>
      <c r="I149" s="8">
        <v>0.78539999999999999</v>
      </c>
      <c r="J149" s="8">
        <v>0</v>
      </c>
      <c r="K149" s="8">
        <v>0</v>
      </c>
      <c r="L149" s="8">
        <v>45.2</v>
      </c>
      <c r="M149" s="8">
        <v>105.14</v>
      </c>
      <c r="N149" s="10">
        <v>2.3261061946902601</v>
      </c>
      <c r="O149" s="10">
        <v>2.3166568507100198</v>
      </c>
      <c r="P149" s="10">
        <v>2.3294895930872199</v>
      </c>
      <c r="Q149" s="10">
        <v>2.3302249385225</v>
      </c>
      <c r="R149" s="8">
        <v>104.712889652092</v>
      </c>
      <c r="S149" s="8">
        <v>105.31823198479201</v>
      </c>
      <c r="T149" s="8">
        <v>105.33089768554299</v>
      </c>
      <c r="U149" s="9">
        <v>-4.07057475709054E-3</v>
      </c>
      <c r="V149" s="9">
        <v>1.6937520164491699E-3</v>
      </c>
      <c r="W149" s="9">
        <v>1.8140060216420501E-3</v>
      </c>
      <c r="X149" s="10">
        <v>2.3261061946902601</v>
      </c>
      <c r="Y149" s="10">
        <v>2.3166568507100198</v>
      </c>
      <c r="Z149" s="10">
        <v>2.3294895930872199</v>
      </c>
      <c r="AA149" s="10">
        <v>2.3302249385225</v>
      </c>
      <c r="AB149" s="8">
        <v>104.712889652092</v>
      </c>
      <c r="AC149" s="8">
        <v>105.31823198479201</v>
      </c>
      <c r="AD149" s="8">
        <v>105.33089768554299</v>
      </c>
      <c r="AE149" s="9">
        <v>-4.07057475709054E-3</v>
      </c>
      <c r="AF149" s="9">
        <v>1.6937520164491699E-3</v>
      </c>
      <c r="AG149" s="9">
        <v>1.8140060216420501E-3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-1.9560698283513887E-3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2.3949800331923149E-3</v>
      </c>
      <c r="BX149" s="12">
        <f t="shared" si="38"/>
        <v>0</v>
      </c>
      <c r="BY149" s="12">
        <f t="shared" si="39"/>
        <v>4.3891020484092703E-4</v>
      </c>
    </row>
    <row r="150" spans="1:77" x14ac:dyDescent="0.3">
      <c r="A150" s="1">
        <v>46240</v>
      </c>
      <c r="B150" s="8">
        <v>44.81</v>
      </c>
      <c r="C150" s="8">
        <v>104.19</v>
      </c>
      <c r="D150" s="9">
        <v>-8.6657580401337999E-3</v>
      </c>
      <c r="E150" s="9">
        <v>-9.0766399672096397E-3</v>
      </c>
      <c r="F150" s="8">
        <v>0</v>
      </c>
      <c r="G150" s="8">
        <v>0.6522</v>
      </c>
      <c r="H150" s="8">
        <v>0</v>
      </c>
      <c r="I150" s="8">
        <v>0.78539999999999999</v>
      </c>
      <c r="J150" s="8">
        <v>0</v>
      </c>
      <c r="K150" s="8">
        <v>0</v>
      </c>
      <c r="L150" s="8">
        <v>44.81</v>
      </c>
      <c r="M150" s="8">
        <v>104.19</v>
      </c>
      <c r="N150" s="10">
        <v>2.3251506360187402</v>
      </c>
      <c r="O150" s="10">
        <v>2.3166568507100198</v>
      </c>
      <c r="P150" s="10">
        <v>2.3290569370005501</v>
      </c>
      <c r="Q150" s="10">
        <v>2.3300456627267798</v>
      </c>
      <c r="R150" s="8">
        <v>103.80939348031499</v>
      </c>
      <c r="S150" s="8">
        <v>104.38442866623799</v>
      </c>
      <c r="T150" s="8">
        <v>104.417379495193</v>
      </c>
      <c r="U150" s="9">
        <v>-3.6596928300146798E-3</v>
      </c>
      <c r="V150" s="9">
        <v>1.8643581938454399E-3</v>
      </c>
      <c r="W150" s="9">
        <v>2.17997643028366E-3</v>
      </c>
      <c r="X150" s="10">
        <v>2.3251506360187402</v>
      </c>
      <c r="Y150" s="10">
        <v>2.3166568507100198</v>
      </c>
      <c r="Z150" s="10">
        <v>2.3290569370005501</v>
      </c>
      <c r="AA150" s="10">
        <v>2.3300456627267798</v>
      </c>
      <c r="AB150" s="8">
        <v>103.80939348031499</v>
      </c>
      <c r="AC150" s="8">
        <v>104.38442866623799</v>
      </c>
      <c r="AD150" s="8">
        <v>104.417379495193</v>
      </c>
      <c r="AE150" s="9">
        <v>-3.6596928300146798E-3</v>
      </c>
      <c r="AF150" s="9">
        <v>1.8643581938454399E-3</v>
      </c>
      <c r="AG150" s="9">
        <v>2.17997643028366E-3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-1.9560698283513887E-3</v>
      </c>
      <c r="BL150" s="9"/>
      <c r="BN150">
        <f t="shared" si="30"/>
        <v>1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2.3949800331923149E-3</v>
      </c>
      <c r="BX150" s="12">
        <f t="shared" si="38"/>
        <v>0</v>
      </c>
      <c r="BY150" s="12">
        <f t="shared" si="39"/>
        <v>4.3891020484092703E-4</v>
      </c>
    </row>
    <row r="151" spans="1:77" x14ac:dyDescent="0.3">
      <c r="A151" s="1">
        <v>46241</v>
      </c>
      <c r="B151" s="8">
        <v>44.98</v>
      </c>
      <c r="C151" s="8">
        <v>104.69</v>
      </c>
      <c r="D151" s="9">
        <v>3.78661773311795E-3</v>
      </c>
      <c r="E151" s="9">
        <v>4.7874469071712998E-3</v>
      </c>
      <c r="F151" s="8">
        <v>0</v>
      </c>
      <c r="G151" s="8">
        <v>0.6522</v>
      </c>
      <c r="H151" s="8">
        <v>0</v>
      </c>
      <c r="I151" s="8">
        <v>0.78539999999999999</v>
      </c>
      <c r="J151" s="8">
        <v>0</v>
      </c>
      <c r="K151" s="8">
        <v>0</v>
      </c>
      <c r="L151" s="8">
        <v>44.98</v>
      </c>
      <c r="M151" s="8">
        <v>104.69</v>
      </c>
      <c r="N151" s="10">
        <v>2.3274788795019998</v>
      </c>
      <c r="O151" s="10">
        <v>2.3166568507100198</v>
      </c>
      <c r="P151" s="10">
        <v>2.3289430186395399</v>
      </c>
      <c r="Q151" s="10">
        <v>2.3301991342609401</v>
      </c>
      <c r="R151" s="8">
        <v>104.203225144936</v>
      </c>
      <c r="S151" s="8">
        <v>104.76098102628499</v>
      </c>
      <c r="T151" s="8">
        <v>104.80545390944999</v>
      </c>
      <c r="U151" s="9">
        <v>-4.6605220040680803E-3</v>
      </c>
      <c r="V151" s="9">
        <v>6.7778177647596699E-4</v>
      </c>
      <c r="W151" s="9">
        <v>1.10220932230108E-3</v>
      </c>
      <c r="X151" s="10">
        <v>2.3274788795019998</v>
      </c>
      <c r="Y151" s="10">
        <v>2.3166568507100198</v>
      </c>
      <c r="Z151" s="10">
        <v>2.3289430186395399</v>
      </c>
      <c r="AA151" s="10">
        <v>2.3301991342609401</v>
      </c>
      <c r="AB151" s="8">
        <v>104.203225144936</v>
      </c>
      <c r="AC151" s="8">
        <v>104.76098102628499</v>
      </c>
      <c r="AD151" s="8">
        <v>104.80545390944999</v>
      </c>
      <c r="AE151" s="9">
        <v>-4.6605220040680803E-3</v>
      </c>
      <c r="AF151" s="9">
        <v>6.7778177647596699E-4</v>
      </c>
      <c r="AG151" s="9">
        <v>1.10220932230108E-3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-1.9560698283513887E-3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1</v>
      </c>
      <c r="BQ151">
        <f t="shared" si="41"/>
        <v>1</v>
      </c>
      <c r="BR151">
        <f t="shared" ref="BR151:BR167" si="53">IF(BN150,1,IF(BO150,0,BP150))*BQ150</f>
        <v>1</v>
      </c>
      <c r="BS151" s="9">
        <f t="shared" ref="BS151:BS167" si="54">-BR151*D151</f>
        <v>-3.78661773311795E-3</v>
      </c>
      <c r="BT151" s="9">
        <f t="shared" ref="BT151:BT167" si="55">BR151*$E151</f>
        <v>4.7874469071712998E-3</v>
      </c>
      <c r="BU151" s="9">
        <f t="shared" ref="BU151:BU167" si="56">BS151+BT151</f>
        <v>1.0008291740533498E-3</v>
      </c>
      <c r="BV151" s="12">
        <f t="shared" ref="BV151:BV167" si="57">BV150+BU151</f>
        <v>3.3958092072456647E-3</v>
      </c>
      <c r="BX151" s="12">
        <f t="shared" ref="BX151:BX167" si="58">BI151+BU151</f>
        <v>1.0008291740533498E-3</v>
      </c>
      <c r="BY151" s="12">
        <f t="shared" ref="BY151:BY167" si="59">BY150+BX151</f>
        <v>1.4397393788942768E-3</v>
      </c>
    </row>
    <row r="152" spans="1:77" x14ac:dyDescent="0.3">
      <c r="A152" s="1">
        <v>46244</v>
      </c>
      <c r="B152" s="8">
        <v>44.4</v>
      </c>
      <c r="C152" s="8">
        <v>103.35</v>
      </c>
      <c r="D152" s="9">
        <v>-1.2978477092990499E-2</v>
      </c>
      <c r="E152" s="9">
        <v>-1.28823162034862E-2</v>
      </c>
      <c r="F152" s="8">
        <v>0</v>
      </c>
      <c r="G152" s="8">
        <v>0.6522</v>
      </c>
      <c r="H152" s="8">
        <v>0</v>
      </c>
      <c r="I152" s="8">
        <v>0.78539999999999999</v>
      </c>
      <c r="J152" s="8">
        <v>0</v>
      </c>
      <c r="K152" s="8">
        <v>0</v>
      </c>
      <c r="L152" s="8">
        <v>44.4</v>
      </c>
      <c r="M152" s="8">
        <v>103.35</v>
      </c>
      <c r="N152" s="10">
        <v>2.3277027027027</v>
      </c>
      <c r="O152" s="10">
        <v>2.3166568507100198</v>
      </c>
      <c r="P152" s="10">
        <v>2.3286713308678499</v>
      </c>
      <c r="Q152" s="10">
        <v>2.3303538443401499</v>
      </c>
      <c r="R152" s="8">
        <v>102.859564171524</v>
      </c>
      <c r="S152" s="8">
        <v>103.405070027595</v>
      </c>
      <c r="T152" s="8">
        <v>103.46084156118501</v>
      </c>
      <c r="U152" s="9">
        <v>-4.7566828935721598E-3</v>
      </c>
      <c r="V152" s="9">
        <v>5.3270789336257705E-4</v>
      </c>
      <c r="W152" s="9">
        <v>1.07191258410071E-3</v>
      </c>
      <c r="X152" s="10">
        <v>2.3277027027027</v>
      </c>
      <c r="Y152" s="10">
        <v>2.3166568507100198</v>
      </c>
      <c r="Z152" s="10">
        <v>2.3286713308678499</v>
      </c>
      <c r="AA152" s="10">
        <v>2.3303538443401499</v>
      </c>
      <c r="AB152" s="8">
        <v>102.859564171524</v>
      </c>
      <c r="AC152" s="8">
        <v>103.405070027595</v>
      </c>
      <c r="AD152" s="8">
        <v>103.46084156118501</v>
      </c>
      <c r="AE152" s="9">
        <v>-4.7566828935721598E-3</v>
      </c>
      <c r="AF152" s="9">
        <v>5.3270789336257705E-4</v>
      </c>
      <c r="AG152" s="9">
        <v>1.07191258410071E-3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-1.9560698283513887E-3</v>
      </c>
      <c r="BL152" s="9"/>
      <c r="BN152">
        <f t="shared" si="50"/>
        <v>0</v>
      </c>
      <c r="BO152">
        <f t="shared" si="51"/>
        <v>0</v>
      </c>
      <c r="BP152">
        <f t="shared" si="52"/>
        <v>1</v>
      </c>
      <c r="BQ152">
        <f t="shared" si="41"/>
        <v>1</v>
      </c>
      <c r="BR152">
        <f t="shared" si="53"/>
        <v>1</v>
      </c>
      <c r="BS152" s="9">
        <f t="shared" si="54"/>
        <v>1.2978477092990499E-2</v>
      </c>
      <c r="BT152" s="9">
        <f t="shared" si="55"/>
        <v>-1.28823162034862E-2</v>
      </c>
      <c r="BU152" s="9">
        <f t="shared" si="56"/>
        <v>9.6160889504299726E-5</v>
      </c>
      <c r="BV152" s="12">
        <f t="shared" si="57"/>
        <v>3.4919700967499644E-3</v>
      </c>
      <c r="BX152" s="12">
        <f t="shared" si="58"/>
        <v>9.6160889504299726E-5</v>
      </c>
      <c r="BY152" s="12">
        <f t="shared" si="59"/>
        <v>1.5359002683985766E-3</v>
      </c>
    </row>
    <row r="153" spans="1:77" x14ac:dyDescent="0.3">
      <c r="A153" s="1">
        <v>46245</v>
      </c>
      <c r="B153" s="8">
        <v>44.08</v>
      </c>
      <c r="C153" s="8">
        <v>102.57</v>
      </c>
      <c r="D153" s="9">
        <v>-7.2333045935200598E-3</v>
      </c>
      <c r="E153" s="9">
        <v>-7.5757938084576497E-3</v>
      </c>
      <c r="F153" s="8">
        <v>0</v>
      </c>
      <c r="G153" s="8">
        <v>0.6522</v>
      </c>
      <c r="H153" s="8">
        <v>0</v>
      </c>
      <c r="I153" s="8">
        <v>0.78539999999999999</v>
      </c>
      <c r="J153" s="8">
        <v>0</v>
      </c>
      <c r="K153" s="8">
        <v>0</v>
      </c>
      <c r="L153" s="8">
        <v>44.08</v>
      </c>
      <c r="M153" s="8">
        <v>102.57</v>
      </c>
      <c r="N153" s="10">
        <v>2.3269056261343</v>
      </c>
      <c r="O153" s="10">
        <v>2.3166568507100198</v>
      </c>
      <c r="P153" s="10">
        <v>2.3282386594017401</v>
      </c>
      <c r="Q153" s="10">
        <v>2.33025353212168</v>
      </c>
      <c r="R153" s="8">
        <v>102.118233979297</v>
      </c>
      <c r="S153" s="8">
        <v>102.64783226465499</v>
      </c>
      <c r="T153" s="8">
        <v>102.721997458513</v>
      </c>
      <c r="U153" s="9">
        <v>-4.4141936786345603E-3</v>
      </c>
      <c r="V153" s="9">
        <v>7.5853318913096397E-4</v>
      </c>
      <c r="W153" s="9">
        <v>1.4807930963690399E-3</v>
      </c>
      <c r="X153" s="10">
        <v>2.3269056261343</v>
      </c>
      <c r="Y153" s="10">
        <v>2.3166568507100198</v>
      </c>
      <c r="Z153" s="10">
        <v>2.3282386594017401</v>
      </c>
      <c r="AA153" s="10">
        <v>2.33025353212168</v>
      </c>
      <c r="AB153" s="8">
        <v>102.118233979297</v>
      </c>
      <c r="AC153" s="8">
        <v>102.64783226465499</v>
      </c>
      <c r="AD153" s="8">
        <v>102.721997458513</v>
      </c>
      <c r="AE153" s="9">
        <v>-4.4141936786345603E-3</v>
      </c>
      <c r="AF153" s="9">
        <v>7.5853318913096397E-4</v>
      </c>
      <c r="AG153" s="9">
        <v>1.4807930963690399E-3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-1.9560698283513887E-3</v>
      </c>
      <c r="BL153" s="9"/>
      <c r="BN153">
        <f t="shared" si="50"/>
        <v>0</v>
      </c>
      <c r="BO153">
        <f t="shared" si="51"/>
        <v>0</v>
      </c>
      <c r="BP153">
        <f t="shared" si="52"/>
        <v>1</v>
      </c>
      <c r="BQ153">
        <f t="shared" si="41"/>
        <v>1</v>
      </c>
      <c r="BR153">
        <f t="shared" si="53"/>
        <v>1</v>
      </c>
      <c r="BS153" s="9">
        <f t="shared" si="54"/>
        <v>7.2333045935200598E-3</v>
      </c>
      <c r="BT153" s="9">
        <f t="shared" si="55"/>
        <v>-7.5757938084576497E-3</v>
      </c>
      <c r="BU153" s="9">
        <f t="shared" si="56"/>
        <v>-3.4248921493758994E-4</v>
      </c>
      <c r="BV153" s="12">
        <f t="shared" si="57"/>
        <v>3.1494808818123745E-3</v>
      </c>
      <c r="BX153" s="12">
        <f t="shared" si="58"/>
        <v>-3.4248921493758994E-4</v>
      </c>
      <c r="BY153" s="12">
        <f t="shared" si="59"/>
        <v>1.1934110534609866E-3</v>
      </c>
    </row>
    <row r="154" spans="1:77" x14ac:dyDescent="0.3">
      <c r="A154" s="1">
        <v>46246</v>
      </c>
      <c r="B154" s="8">
        <v>44.49</v>
      </c>
      <c r="C154" s="8">
        <v>103.51</v>
      </c>
      <c r="D154" s="9">
        <v>9.2582799732914001E-3</v>
      </c>
      <c r="E154" s="9">
        <v>9.1227340763393693E-3</v>
      </c>
      <c r="F154" s="8">
        <v>0</v>
      </c>
      <c r="G154" s="8">
        <v>0.6522</v>
      </c>
      <c r="H154" s="8">
        <v>0</v>
      </c>
      <c r="I154" s="8">
        <v>0.78539999999999999</v>
      </c>
      <c r="J154" s="8">
        <v>0</v>
      </c>
      <c r="K154" s="8">
        <v>0</v>
      </c>
      <c r="L154" s="8">
        <v>44.49</v>
      </c>
      <c r="M154" s="8">
        <v>103.51</v>
      </c>
      <c r="N154" s="10">
        <v>2.32659024499887</v>
      </c>
      <c r="O154" s="10">
        <v>2.3166568507100198</v>
      </c>
      <c r="P154" s="10">
        <v>2.3280647857293002</v>
      </c>
      <c r="Q154" s="10">
        <v>2.3300772095421798</v>
      </c>
      <c r="R154" s="8">
        <v>103.068063288088</v>
      </c>
      <c r="S154" s="8">
        <v>103.583337956783</v>
      </c>
      <c r="T154" s="8">
        <v>103.672979644093</v>
      </c>
      <c r="U154" s="9">
        <v>-4.2786477816824696E-3</v>
      </c>
      <c r="V154" s="9">
        <v>7.0825996212892897E-4</v>
      </c>
      <c r="W154" s="9">
        <v>1.5732921496900401E-3</v>
      </c>
      <c r="X154" s="10">
        <v>2.32659024499887</v>
      </c>
      <c r="Y154" s="10">
        <v>2.3166568507100198</v>
      </c>
      <c r="Z154" s="10">
        <v>2.3280647857293002</v>
      </c>
      <c r="AA154" s="10">
        <v>2.3300772095421798</v>
      </c>
      <c r="AB154" s="8">
        <v>103.068063288088</v>
      </c>
      <c r="AC154" s="8">
        <v>103.583337956783</v>
      </c>
      <c r="AD154" s="8">
        <v>103.672979644093</v>
      </c>
      <c r="AE154" s="9">
        <v>-4.2786477816824696E-3</v>
      </c>
      <c r="AF154" s="9">
        <v>7.0825996212892897E-4</v>
      </c>
      <c r="AG154" s="9">
        <v>1.5732921496900401E-3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-1.9560698283513887E-3</v>
      </c>
      <c r="BL154" s="9"/>
      <c r="BN154">
        <f t="shared" si="50"/>
        <v>0</v>
      </c>
      <c r="BO154">
        <f t="shared" si="51"/>
        <v>0</v>
      </c>
      <c r="BP154">
        <f t="shared" si="52"/>
        <v>1</v>
      </c>
      <c r="BQ154">
        <f t="shared" si="41"/>
        <v>1</v>
      </c>
      <c r="BR154">
        <f t="shared" si="53"/>
        <v>1</v>
      </c>
      <c r="BS154" s="9">
        <f t="shared" si="54"/>
        <v>-9.2582799732914001E-3</v>
      </c>
      <c r="BT154" s="9">
        <f t="shared" si="55"/>
        <v>9.1227340763393693E-3</v>
      </c>
      <c r="BU154" s="9">
        <f t="shared" si="56"/>
        <v>-1.3554589695203081E-4</v>
      </c>
      <c r="BV154" s="12">
        <f t="shared" si="57"/>
        <v>3.0139349848603437E-3</v>
      </c>
      <c r="BX154" s="12">
        <f t="shared" si="58"/>
        <v>-1.3554589695203081E-4</v>
      </c>
      <c r="BY154" s="12">
        <f t="shared" si="59"/>
        <v>1.0578651565089558E-3</v>
      </c>
    </row>
    <row r="155" spans="1:77" x14ac:dyDescent="0.3">
      <c r="A155" s="1">
        <v>46247</v>
      </c>
      <c r="B155" s="8">
        <v>45.12</v>
      </c>
      <c r="C155" s="8">
        <v>104.89</v>
      </c>
      <c r="D155" s="9">
        <v>1.4061162371853E-2</v>
      </c>
      <c r="E155" s="9">
        <v>1.32439555778536E-2</v>
      </c>
      <c r="F155" s="8">
        <v>0</v>
      </c>
      <c r="G155" s="8">
        <v>0.6522</v>
      </c>
      <c r="H155" s="8">
        <v>0</v>
      </c>
      <c r="I155" s="8">
        <v>0.78539999999999999</v>
      </c>
      <c r="J155" s="8">
        <v>0</v>
      </c>
      <c r="K155" s="8">
        <v>0</v>
      </c>
      <c r="L155" s="8">
        <v>45.12</v>
      </c>
      <c r="M155" s="8">
        <v>104.89</v>
      </c>
      <c r="N155" s="10">
        <v>2.3246897163120499</v>
      </c>
      <c r="O155" s="10">
        <v>2.3166568507100198</v>
      </c>
      <c r="P155" s="10">
        <v>2.3272666491927398</v>
      </c>
      <c r="Q155" s="10">
        <v>2.3294507186749902</v>
      </c>
      <c r="R155" s="8">
        <v>104.52755710403601</v>
      </c>
      <c r="S155" s="8">
        <v>105.04228313210599</v>
      </c>
      <c r="T155" s="8">
        <v>105.133083694543</v>
      </c>
      <c r="U155" s="9">
        <v>-3.4614409876831502E-3</v>
      </c>
      <c r="V155" s="9">
        <v>1.45078361978823E-3</v>
      </c>
      <c r="W155" s="9">
        <v>2.3148293874463502E-3</v>
      </c>
      <c r="X155" s="10">
        <v>2.3246897163120499</v>
      </c>
      <c r="Y155" s="10">
        <v>2.3166568507100198</v>
      </c>
      <c r="Z155" s="10">
        <v>2.3272666491927398</v>
      </c>
      <c r="AA155" s="10">
        <v>2.3294507186749902</v>
      </c>
      <c r="AB155" s="8">
        <v>104.52755710403601</v>
      </c>
      <c r="AC155" s="8">
        <v>105.04228313210599</v>
      </c>
      <c r="AD155" s="8">
        <v>105.133083694543</v>
      </c>
      <c r="AE155" s="9">
        <v>-3.4614409876831502E-3</v>
      </c>
      <c r="AF155" s="9">
        <v>1.45078361978823E-3</v>
      </c>
      <c r="AG155" s="9">
        <v>2.3148293874463502E-3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-1.9560698283513887E-3</v>
      </c>
      <c r="BL155" s="9"/>
      <c r="BN155">
        <f t="shared" si="50"/>
        <v>1</v>
      </c>
      <c r="BO155">
        <f t="shared" si="51"/>
        <v>0</v>
      </c>
      <c r="BP155">
        <f t="shared" si="52"/>
        <v>1</v>
      </c>
      <c r="BQ155">
        <f t="shared" si="41"/>
        <v>1</v>
      </c>
      <c r="BR155">
        <f t="shared" si="53"/>
        <v>1</v>
      </c>
      <c r="BS155" s="9">
        <f t="shared" si="54"/>
        <v>-1.4061162371853E-2</v>
      </c>
      <c r="BT155" s="9">
        <f t="shared" si="55"/>
        <v>1.32439555778536E-2</v>
      </c>
      <c r="BU155" s="9">
        <f t="shared" si="56"/>
        <v>-8.1720679399940009E-4</v>
      </c>
      <c r="BV155" s="12">
        <f t="shared" si="57"/>
        <v>2.1967281908609436E-3</v>
      </c>
      <c r="BX155" s="12">
        <f t="shared" si="58"/>
        <v>-8.1720679399940009E-4</v>
      </c>
      <c r="BY155" s="12">
        <f t="shared" si="59"/>
        <v>2.4065836250955572E-4</v>
      </c>
    </row>
    <row r="156" spans="1:77" x14ac:dyDescent="0.3">
      <c r="A156" s="1">
        <v>46248</v>
      </c>
      <c r="B156" s="8">
        <v>45.27</v>
      </c>
      <c r="C156" s="8">
        <v>105.06</v>
      </c>
      <c r="D156" s="9">
        <v>3.3189542580639299E-3</v>
      </c>
      <c r="E156" s="9">
        <v>1.6194335523029701E-3</v>
      </c>
      <c r="F156" s="8">
        <v>0</v>
      </c>
      <c r="G156" s="8">
        <v>0.6522</v>
      </c>
      <c r="H156" s="8">
        <v>0</v>
      </c>
      <c r="I156" s="8">
        <v>0.78539999999999999</v>
      </c>
      <c r="J156" s="8">
        <v>0</v>
      </c>
      <c r="K156" s="8">
        <v>0</v>
      </c>
      <c r="L156" s="8">
        <v>45.27</v>
      </c>
      <c r="M156" s="8">
        <v>105.06</v>
      </c>
      <c r="N156" s="10">
        <v>2.3207422133863398</v>
      </c>
      <c r="O156" s="10">
        <v>2.3166568507100198</v>
      </c>
      <c r="P156" s="10">
        <v>2.3261702470567802</v>
      </c>
      <c r="Q156" s="10">
        <v>2.3287000706476899</v>
      </c>
      <c r="R156" s="8">
        <v>104.875055631642</v>
      </c>
      <c r="S156" s="8">
        <v>105.355361208955</v>
      </c>
      <c r="T156" s="8">
        <v>105.454234034416</v>
      </c>
      <c r="U156" s="9">
        <v>-1.7619202819222099E-3</v>
      </c>
      <c r="V156" s="9">
        <v>2.80741293079349E-3</v>
      </c>
      <c r="W156" s="9">
        <v>3.7454426499545701E-3</v>
      </c>
      <c r="X156" s="10">
        <v>2.3207422133863398</v>
      </c>
      <c r="Y156" s="10">
        <v>2.3166568507100198</v>
      </c>
      <c r="Z156" s="10">
        <v>2.3261702470567802</v>
      </c>
      <c r="AA156" s="10">
        <v>2.3287000706476899</v>
      </c>
      <c r="AB156" s="8">
        <v>104.875055631642</v>
      </c>
      <c r="AC156" s="8">
        <v>105.355361208955</v>
      </c>
      <c r="AD156" s="8">
        <v>105.454234034416</v>
      </c>
      <c r="AE156" s="9">
        <v>-1.7619202819222099E-3</v>
      </c>
      <c r="AF156" s="9">
        <v>2.80741293079349E-3</v>
      </c>
      <c r="AG156" s="9">
        <v>3.7454426499545701E-3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-1.9560698283513887E-3</v>
      </c>
      <c r="BL156" s="9"/>
      <c r="BN156">
        <f t="shared" si="50"/>
        <v>1</v>
      </c>
      <c r="BO156">
        <f t="shared" si="51"/>
        <v>0</v>
      </c>
      <c r="BP156">
        <f t="shared" si="52"/>
        <v>1</v>
      </c>
      <c r="BQ156">
        <f t="shared" si="41"/>
        <v>1</v>
      </c>
      <c r="BR156">
        <f t="shared" si="53"/>
        <v>1</v>
      </c>
      <c r="BS156" s="9">
        <f t="shared" si="54"/>
        <v>-3.3189542580639299E-3</v>
      </c>
      <c r="BT156" s="9">
        <f t="shared" si="55"/>
        <v>1.6194335523029701E-3</v>
      </c>
      <c r="BU156" s="9">
        <f t="shared" si="56"/>
        <v>-1.6995207057609598E-3</v>
      </c>
      <c r="BV156" s="12">
        <f t="shared" si="57"/>
        <v>4.9720748509998378E-4</v>
      </c>
      <c r="BX156" s="12">
        <f t="shared" si="58"/>
        <v>-1.6995207057609598E-3</v>
      </c>
      <c r="BY156" s="12">
        <f t="shared" si="59"/>
        <v>-1.4588623432514041E-3</v>
      </c>
    </row>
    <row r="157" spans="1:77" x14ac:dyDescent="0.3">
      <c r="A157" s="1">
        <v>46251</v>
      </c>
      <c r="B157" s="8">
        <v>44.83</v>
      </c>
      <c r="C157" s="8">
        <v>104.15</v>
      </c>
      <c r="D157" s="9">
        <v>-9.7670032805191806E-3</v>
      </c>
      <c r="E157" s="9">
        <v>-8.6994478188344802E-3</v>
      </c>
      <c r="F157" s="8">
        <v>0</v>
      </c>
      <c r="G157" s="8">
        <v>0.6522</v>
      </c>
      <c r="H157" s="8">
        <v>0</v>
      </c>
      <c r="I157" s="8">
        <v>0.78539999999999999</v>
      </c>
      <c r="J157" s="8">
        <v>0</v>
      </c>
      <c r="K157" s="8">
        <v>0</v>
      </c>
      <c r="L157" s="8">
        <v>44.83</v>
      </c>
      <c r="M157" s="8">
        <v>104.15</v>
      </c>
      <c r="N157" s="10">
        <v>2.3232210573276801</v>
      </c>
      <c r="O157" s="10">
        <v>2.3166568507100198</v>
      </c>
      <c r="P157" s="10">
        <v>2.3255795595181898</v>
      </c>
      <c r="Q157" s="10">
        <v>2.3281797173677199</v>
      </c>
      <c r="R157" s="8">
        <v>103.85572661733001</v>
      </c>
      <c r="S157" s="8">
        <v>104.282212175555</v>
      </c>
      <c r="T157" s="8">
        <v>104.39562416713601</v>
      </c>
      <c r="U157" s="9">
        <v>-2.8294757436069301E-3</v>
      </c>
      <c r="V157" s="9">
        <v>1.26863493802337E-3</v>
      </c>
      <c r="W157" s="9">
        <v>2.3555927552470499E-3</v>
      </c>
      <c r="X157" s="10">
        <v>2.3232210573276801</v>
      </c>
      <c r="Y157" s="10">
        <v>2.3166568507100198</v>
      </c>
      <c r="Z157" s="10">
        <v>2.3255795595181898</v>
      </c>
      <c r="AA157" s="10">
        <v>2.3281797173677199</v>
      </c>
      <c r="AB157" s="8">
        <v>103.85572661733001</v>
      </c>
      <c r="AC157" s="8">
        <v>104.282212175555</v>
      </c>
      <c r="AD157" s="8">
        <v>104.39562416713601</v>
      </c>
      <c r="AE157" s="9">
        <v>-2.8294757436069301E-3</v>
      </c>
      <c r="AF157" s="9">
        <v>1.26863493802337E-3</v>
      </c>
      <c r="AG157" s="9">
        <v>2.3555927552470499E-3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-1.9560698283513887E-3</v>
      </c>
      <c r="BL157" s="9"/>
      <c r="BN157">
        <f t="shared" si="50"/>
        <v>1</v>
      </c>
      <c r="BO157">
        <f t="shared" si="51"/>
        <v>0</v>
      </c>
      <c r="BP157">
        <f t="shared" si="52"/>
        <v>1</v>
      </c>
      <c r="BQ157">
        <f t="shared" si="41"/>
        <v>1</v>
      </c>
      <c r="BR157">
        <f t="shared" si="53"/>
        <v>1</v>
      </c>
      <c r="BS157" s="9">
        <f t="shared" si="54"/>
        <v>9.7670032805191806E-3</v>
      </c>
      <c r="BT157" s="9">
        <f t="shared" si="55"/>
        <v>-8.6994478188344802E-3</v>
      </c>
      <c r="BU157" s="9">
        <f t="shared" si="56"/>
        <v>1.0675554616847004E-3</v>
      </c>
      <c r="BV157" s="12">
        <f t="shared" si="57"/>
        <v>1.5647629467846842E-3</v>
      </c>
      <c r="BX157" s="12">
        <f t="shared" si="58"/>
        <v>1.0675554616847004E-3</v>
      </c>
      <c r="BY157" s="12">
        <f t="shared" si="59"/>
        <v>-3.9130688156670365E-4</v>
      </c>
    </row>
    <row r="158" spans="1:77" x14ac:dyDescent="0.3">
      <c r="A158" s="1">
        <v>46252</v>
      </c>
      <c r="B158" s="8">
        <v>44.63</v>
      </c>
      <c r="C158" s="8">
        <v>103.76</v>
      </c>
      <c r="D158" s="9">
        <v>-4.4712795261694603E-3</v>
      </c>
      <c r="E158" s="9">
        <v>-3.7516276987926002E-3</v>
      </c>
      <c r="F158" s="8">
        <v>0</v>
      </c>
      <c r="G158" s="8">
        <v>0.6522</v>
      </c>
      <c r="H158" s="8">
        <v>0</v>
      </c>
      <c r="I158" s="8">
        <v>0.78539999999999999</v>
      </c>
      <c r="J158" s="8">
        <v>0</v>
      </c>
      <c r="K158" s="8">
        <v>0</v>
      </c>
      <c r="L158" s="8">
        <v>44.63</v>
      </c>
      <c r="M158" s="8">
        <v>103.76</v>
      </c>
      <c r="N158" s="10">
        <v>2.32489356934797</v>
      </c>
      <c r="O158" s="10">
        <v>2.3166568507100198</v>
      </c>
      <c r="P158" s="10">
        <v>2.3253480840420901</v>
      </c>
      <c r="Q158" s="10">
        <v>2.3276987321183</v>
      </c>
      <c r="R158" s="8">
        <v>103.39239524718801</v>
      </c>
      <c r="S158" s="8">
        <v>103.79061574129599</v>
      </c>
      <c r="T158" s="8">
        <v>103.90666078612099</v>
      </c>
      <c r="U158" s="9">
        <v>-3.5491275709839702E-3</v>
      </c>
      <c r="V158" s="9">
        <v>2.95019520029273E-4</v>
      </c>
      <c r="W158" s="9">
        <v>1.4124637045656E-3</v>
      </c>
      <c r="X158" s="10">
        <v>2.32489356934797</v>
      </c>
      <c r="Y158" s="10">
        <v>2.3166568507100198</v>
      </c>
      <c r="Z158" s="10">
        <v>2.3253480840420901</v>
      </c>
      <c r="AA158" s="10">
        <v>2.3276987321183</v>
      </c>
      <c r="AB158" s="8">
        <v>103.39239524718801</v>
      </c>
      <c r="AC158" s="8">
        <v>103.79061574129599</v>
      </c>
      <c r="AD158" s="8">
        <v>103.90666078612099</v>
      </c>
      <c r="AE158" s="9">
        <v>-3.5491275709839702E-3</v>
      </c>
      <c r="AF158" s="9">
        <v>2.95019520029273E-4</v>
      </c>
      <c r="AG158" s="9">
        <v>1.4124637045656E-3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-1.9560698283513887E-3</v>
      </c>
      <c r="BL158" s="9"/>
      <c r="BN158">
        <f t="shared" si="50"/>
        <v>0</v>
      </c>
      <c r="BO158">
        <f t="shared" si="51"/>
        <v>0</v>
      </c>
      <c r="BP158">
        <f t="shared" si="52"/>
        <v>1</v>
      </c>
      <c r="BQ158">
        <f t="shared" si="41"/>
        <v>1</v>
      </c>
      <c r="BR158">
        <f t="shared" si="53"/>
        <v>1</v>
      </c>
      <c r="BS158" s="9">
        <f t="shared" si="54"/>
        <v>4.4712795261694603E-3</v>
      </c>
      <c r="BT158" s="9">
        <f t="shared" si="55"/>
        <v>-3.7516276987926002E-3</v>
      </c>
      <c r="BU158" s="9">
        <f t="shared" si="56"/>
        <v>7.1965182737686014E-4</v>
      </c>
      <c r="BV158" s="12">
        <f t="shared" si="57"/>
        <v>2.2844147741615441E-3</v>
      </c>
      <c r="BX158" s="12">
        <f t="shared" si="58"/>
        <v>7.1965182737686014E-4</v>
      </c>
      <c r="BY158" s="12">
        <f t="shared" si="59"/>
        <v>3.2834494581015648E-4</v>
      </c>
    </row>
    <row r="159" spans="1:77" x14ac:dyDescent="0.3">
      <c r="A159" s="1">
        <v>46253</v>
      </c>
      <c r="B159" s="8">
        <v>44.99</v>
      </c>
      <c r="C159" s="8">
        <v>104.79</v>
      </c>
      <c r="D159" s="9">
        <v>8.0339642119024307E-3</v>
      </c>
      <c r="E159" s="9">
        <v>9.8778074786617497E-3</v>
      </c>
      <c r="F159" s="8">
        <v>0</v>
      </c>
      <c r="G159" s="8">
        <v>0.6522</v>
      </c>
      <c r="H159" s="8">
        <v>0</v>
      </c>
      <c r="I159" s="8">
        <v>0.78539999999999999</v>
      </c>
      <c r="J159" s="8">
        <v>0</v>
      </c>
      <c r="K159" s="8">
        <v>0</v>
      </c>
      <c r="L159" s="8">
        <v>44.99</v>
      </c>
      <c r="M159" s="8">
        <v>104.79</v>
      </c>
      <c r="N159" s="10">
        <v>2.3291842631695898</v>
      </c>
      <c r="O159" s="10">
        <v>2.3166568507100198</v>
      </c>
      <c r="P159" s="10">
        <v>2.3256558908900198</v>
      </c>
      <c r="Q159" s="10">
        <v>2.3275727419886199</v>
      </c>
      <c r="R159" s="8">
        <v>104.22639171344299</v>
      </c>
      <c r="S159" s="8">
        <v>104.617410301053</v>
      </c>
      <c r="T159" s="8">
        <v>104.723165958002</v>
      </c>
      <c r="U159" s="9">
        <v>-5.3929708377435E-3</v>
      </c>
      <c r="V159" s="9">
        <v>-1.6483632339147499E-3</v>
      </c>
      <c r="W159" s="9">
        <v>-6.3799374095537301E-4</v>
      </c>
      <c r="X159" s="10">
        <v>2.3291842631695898</v>
      </c>
      <c r="Y159" s="10">
        <v>2.3166568507100198</v>
      </c>
      <c r="Z159" s="10">
        <v>2.3256558908900198</v>
      </c>
      <c r="AA159" s="10">
        <v>2.3275727419886199</v>
      </c>
      <c r="AB159" s="8">
        <v>104.22639171344299</v>
      </c>
      <c r="AC159" s="8">
        <v>104.617410301053</v>
      </c>
      <c r="AD159" s="8">
        <v>104.723165958002</v>
      </c>
      <c r="AE159" s="9">
        <v>-5.3929708377435E-3</v>
      </c>
      <c r="AF159" s="9">
        <v>-1.6483632339147499E-3</v>
      </c>
      <c r="AG159" s="9">
        <v>-6.3799374095537301E-4</v>
      </c>
      <c r="BB159">
        <f t="shared" si="42"/>
        <v>0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-1.9560698283513887E-3</v>
      </c>
      <c r="BL159" s="9"/>
      <c r="BN159">
        <f t="shared" si="50"/>
        <v>0</v>
      </c>
      <c r="BO159">
        <f t="shared" si="51"/>
        <v>1</v>
      </c>
      <c r="BP159">
        <f t="shared" si="52"/>
        <v>1</v>
      </c>
      <c r="BQ159">
        <f t="shared" si="41"/>
        <v>1</v>
      </c>
      <c r="BR159">
        <f t="shared" si="53"/>
        <v>1</v>
      </c>
      <c r="BS159" s="9">
        <f t="shared" si="54"/>
        <v>-8.0339642119024307E-3</v>
      </c>
      <c r="BT159" s="9">
        <f t="shared" si="55"/>
        <v>9.8778074786617497E-3</v>
      </c>
      <c r="BU159" s="9">
        <f t="shared" si="56"/>
        <v>1.843843266759319E-3</v>
      </c>
      <c r="BV159" s="12">
        <f t="shared" si="57"/>
        <v>4.1282580409208632E-3</v>
      </c>
      <c r="BX159" s="12">
        <f t="shared" si="58"/>
        <v>1.843843266759319E-3</v>
      </c>
      <c r="BY159" s="12">
        <f t="shared" si="59"/>
        <v>2.1721882125694753E-3</v>
      </c>
    </row>
    <row r="160" spans="1:77" x14ac:dyDescent="0.3">
      <c r="A160" s="1">
        <v>46254</v>
      </c>
      <c r="B160" s="8">
        <v>45.08</v>
      </c>
      <c r="C160" s="8">
        <v>104.78</v>
      </c>
      <c r="D160" s="9">
        <v>1.9984463184945802E-3</v>
      </c>
      <c r="E160" s="9">
        <v>-9.5433506776655504E-5</v>
      </c>
      <c r="F160" s="8">
        <v>0</v>
      </c>
      <c r="G160" s="8">
        <v>0.6522</v>
      </c>
      <c r="H160" s="8">
        <v>0</v>
      </c>
      <c r="I160" s="8">
        <v>0.78539999999999999</v>
      </c>
      <c r="J160" s="8">
        <v>0</v>
      </c>
      <c r="K160" s="8">
        <v>0</v>
      </c>
      <c r="L160" s="8">
        <v>45.08</v>
      </c>
      <c r="M160" s="8">
        <v>104.78</v>
      </c>
      <c r="N160" s="10">
        <v>2.3243123336290998</v>
      </c>
      <c r="O160" s="10">
        <v>2.3166568507100198</v>
      </c>
      <c r="P160" s="10">
        <v>2.3255720606510599</v>
      </c>
      <c r="Q160" s="10">
        <v>2.3273144988258001</v>
      </c>
      <c r="R160" s="8">
        <v>104.43489083000701</v>
      </c>
      <c r="S160" s="8">
        <v>104.840567561322</v>
      </c>
      <c r="T160" s="8">
        <v>104.926979208847</v>
      </c>
      <c r="U160" s="9">
        <v>-3.2990910124721501E-3</v>
      </c>
      <c r="V160" s="9">
        <v>5.77878055694634E-4</v>
      </c>
      <c r="W160" s="9">
        <v>1.4017581433740699E-3</v>
      </c>
      <c r="X160" s="10">
        <v>2.3243123336290998</v>
      </c>
      <c r="Y160" s="10">
        <v>2.3166568507100198</v>
      </c>
      <c r="Z160" s="10">
        <v>2.3255720606510599</v>
      </c>
      <c r="AA160" s="10">
        <v>2.3273144988258001</v>
      </c>
      <c r="AB160" s="8">
        <v>104.43489083000701</v>
      </c>
      <c r="AC160" s="8">
        <v>104.840567561322</v>
      </c>
      <c r="AD160" s="8">
        <v>104.926979208847</v>
      </c>
      <c r="AE160" s="9">
        <v>-3.2990910124721501E-3</v>
      </c>
      <c r="AF160" s="9">
        <v>5.77878055694634E-4</v>
      </c>
      <c r="AG160" s="9">
        <v>1.4017581433740699E-3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-1.9560698283513887E-3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4.1282580409208632E-3</v>
      </c>
      <c r="BX160" s="12">
        <f t="shared" si="58"/>
        <v>0</v>
      </c>
      <c r="BY160" s="12">
        <f t="shared" si="59"/>
        <v>2.1721882125694753E-3</v>
      </c>
    </row>
    <row r="161" spans="1:77" x14ac:dyDescent="0.3">
      <c r="A161" s="1">
        <v>46255</v>
      </c>
      <c r="B161" s="8">
        <v>45.08</v>
      </c>
      <c r="C161" s="8">
        <v>104.73</v>
      </c>
      <c r="D161" s="9">
        <v>0</v>
      </c>
      <c r="E161" s="9">
        <v>-4.7730419501929402E-4</v>
      </c>
      <c r="F161" s="8">
        <v>0</v>
      </c>
      <c r="G161" s="8">
        <v>0.6522</v>
      </c>
      <c r="H161" s="8">
        <v>0</v>
      </c>
      <c r="I161" s="8">
        <v>0.78539999999999999</v>
      </c>
      <c r="J161" s="8">
        <v>0</v>
      </c>
      <c r="K161" s="8">
        <v>0</v>
      </c>
      <c r="L161" s="8">
        <v>45.08</v>
      </c>
      <c r="M161" s="8">
        <v>104.73</v>
      </c>
      <c r="N161" s="10">
        <v>2.3232031943211999</v>
      </c>
      <c r="O161" s="10">
        <v>2.3166568507100198</v>
      </c>
      <c r="P161" s="10">
        <v>2.32514449213298</v>
      </c>
      <c r="Q161" s="10">
        <v>2.32704375538626</v>
      </c>
      <c r="R161" s="8">
        <v>104.43489083000701</v>
      </c>
      <c r="S161" s="8">
        <v>104.836788494149</v>
      </c>
      <c r="T161" s="8">
        <v>104.915337607067</v>
      </c>
      <c r="U161" s="9">
        <v>-2.8217868174528898E-3</v>
      </c>
      <c r="V161" s="9">
        <v>1.0191357529516301E-3</v>
      </c>
      <c r="W161" s="9">
        <v>1.7681066268060001E-3</v>
      </c>
      <c r="X161" s="10">
        <v>2.3232031943211999</v>
      </c>
      <c r="Y161" s="10">
        <v>2.3166568507100198</v>
      </c>
      <c r="Z161" s="10">
        <v>2.32514449213298</v>
      </c>
      <c r="AA161" s="10">
        <v>2.32704375538626</v>
      </c>
      <c r="AB161" s="8">
        <v>104.43489083000701</v>
      </c>
      <c r="AC161" s="8">
        <v>104.836788494149</v>
      </c>
      <c r="AD161" s="8">
        <v>104.915337607067</v>
      </c>
      <c r="AE161" s="9">
        <v>-2.8217868174528898E-3</v>
      </c>
      <c r="AF161" s="9">
        <v>1.0191357529516301E-3</v>
      </c>
      <c r="AG161" s="9">
        <v>1.7681066268060001E-3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-1.9560698283513887E-3</v>
      </c>
      <c r="BL161" s="9"/>
      <c r="BN161">
        <f t="shared" si="50"/>
        <v>0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4.1282580409208632E-3</v>
      </c>
      <c r="BX161" s="12">
        <f t="shared" si="58"/>
        <v>0</v>
      </c>
      <c r="BY161" s="12">
        <f t="shared" si="59"/>
        <v>2.1721882125694753E-3</v>
      </c>
    </row>
    <row r="162" spans="1:77" x14ac:dyDescent="0.3">
      <c r="A162" s="1">
        <v>46258</v>
      </c>
      <c r="B162" s="8">
        <v>45.33</v>
      </c>
      <c r="C162" s="8">
        <v>105.39</v>
      </c>
      <c r="D162" s="9">
        <v>5.5303757811823104E-3</v>
      </c>
      <c r="E162" s="9">
        <v>6.2821451607909199E-3</v>
      </c>
      <c r="F162" s="8">
        <v>0</v>
      </c>
      <c r="G162" s="8">
        <v>0.6522</v>
      </c>
      <c r="H162" s="8">
        <v>0</v>
      </c>
      <c r="I162" s="8">
        <v>0.78539999999999999</v>
      </c>
      <c r="J162" s="8">
        <v>0</v>
      </c>
      <c r="K162" s="8">
        <v>0</v>
      </c>
      <c r="L162" s="8">
        <v>45.33</v>
      </c>
      <c r="M162" s="8">
        <v>105.39</v>
      </c>
      <c r="N162" s="10">
        <v>2.3249503639973499</v>
      </c>
      <c r="O162" s="10">
        <v>2.3166568507100198</v>
      </c>
      <c r="P162" s="10">
        <v>2.32486925826244</v>
      </c>
      <c r="Q162" s="10">
        <v>2.3267702945651498</v>
      </c>
      <c r="R162" s="8">
        <v>105.014055042685</v>
      </c>
      <c r="S162" s="8">
        <v>105.39879982838799</v>
      </c>
      <c r="T162" s="8">
        <v>105.484893431659</v>
      </c>
      <c r="U162" s="9">
        <v>-3.5735561970614699E-3</v>
      </c>
      <c r="V162" s="9">
        <v>8.3494269149632903E-5</v>
      </c>
      <c r="W162" s="9">
        <v>8.9999749633993403E-4</v>
      </c>
      <c r="X162" s="10">
        <v>2.3249503639973499</v>
      </c>
      <c r="Y162" s="10">
        <v>2.3166568507100198</v>
      </c>
      <c r="Z162" s="10">
        <v>2.32486925826244</v>
      </c>
      <c r="AA162" s="10">
        <v>2.3267702945651498</v>
      </c>
      <c r="AB162" s="8">
        <v>105.014055042685</v>
      </c>
      <c r="AC162" s="8">
        <v>105.39879982838799</v>
      </c>
      <c r="AD162" s="8">
        <v>105.484893431659</v>
      </c>
      <c r="AE162" s="9">
        <v>-3.5735561970614699E-3</v>
      </c>
      <c r="AF162" s="9">
        <v>8.3494269149632903E-5</v>
      </c>
      <c r="AG162" s="9">
        <v>8.9999749633993403E-4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-1.9560698283513887E-3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4.1282580409208632E-3</v>
      </c>
      <c r="BX162" s="12">
        <f t="shared" si="58"/>
        <v>0</v>
      </c>
      <c r="BY162" s="12">
        <f t="shared" si="59"/>
        <v>2.1721882125694753E-3</v>
      </c>
    </row>
    <row r="163" spans="1:77" x14ac:dyDescent="0.3">
      <c r="A163" s="1">
        <v>46259</v>
      </c>
      <c r="B163" s="8">
        <v>45.36</v>
      </c>
      <c r="C163" s="8">
        <v>105.46</v>
      </c>
      <c r="D163" s="9">
        <v>6.6159446673871804E-4</v>
      </c>
      <c r="E163" s="9">
        <v>6.6397915647820104E-4</v>
      </c>
      <c r="F163" s="8">
        <v>0</v>
      </c>
      <c r="G163" s="8">
        <v>0.6522</v>
      </c>
      <c r="H163" s="8">
        <v>0</v>
      </c>
      <c r="I163" s="8">
        <v>0.78539999999999999</v>
      </c>
      <c r="J163" s="8">
        <v>0</v>
      </c>
      <c r="K163" s="8">
        <v>0</v>
      </c>
      <c r="L163" s="8">
        <v>45.36</v>
      </c>
      <c r="M163" s="8">
        <v>105.46</v>
      </c>
      <c r="N163" s="10">
        <v>2.3249559082892399</v>
      </c>
      <c r="O163" s="10">
        <v>2.3166568507100198</v>
      </c>
      <c r="P163" s="10">
        <v>2.3246742864779399</v>
      </c>
      <c r="Q163" s="10">
        <v>2.32645647293984</v>
      </c>
      <c r="R163" s="8">
        <v>105.083554748206</v>
      </c>
      <c r="S163" s="8">
        <v>105.45606955478399</v>
      </c>
      <c r="T163" s="8">
        <v>105.542300561475</v>
      </c>
      <c r="U163" s="9">
        <v>-3.5759408868010901E-3</v>
      </c>
      <c r="V163" s="9">
        <v>-3.7270230040146099E-5</v>
      </c>
      <c r="W163" s="9">
        <v>7.8009164288791002E-4</v>
      </c>
      <c r="X163" s="10">
        <v>2.3249559082892399</v>
      </c>
      <c r="Y163" s="10">
        <v>2.3166568507100198</v>
      </c>
      <c r="Z163" s="10">
        <v>2.3246742864779399</v>
      </c>
      <c r="AA163" s="10">
        <v>2.32645647293984</v>
      </c>
      <c r="AB163" s="8">
        <v>105.083554748206</v>
      </c>
      <c r="AC163" s="8">
        <v>105.45606955478399</v>
      </c>
      <c r="AD163" s="8">
        <v>105.542300561475</v>
      </c>
      <c r="AE163" s="9">
        <v>-3.5759408868010901E-3</v>
      </c>
      <c r="AF163" s="9">
        <v>-3.7270230040146099E-5</v>
      </c>
      <c r="AG163" s="9">
        <v>7.8009164288791002E-4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-1.9560698283513887E-3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4.1282580409208632E-3</v>
      </c>
      <c r="BX163" s="12">
        <f t="shared" si="58"/>
        <v>0</v>
      </c>
      <c r="BY163" s="12">
        <f t="shared" si="59"/>
        <v>2.1721882125694753E-3</v>
      </c>
    </row>
    <row r="164" spans="1:77" x14ac:dyDescent="0.3">
      <c r="A164" s="1">
        <v>46260</v>
      </c>
      <c r="B164" s="8">
        <v>45.09</v>
      </c>
      <c r="C164" s="8">
        <v>104.74</v>
      </c>
      <c r="D164" s="9">
        <v>-5.9701669865036798E-3</v>
      </c>
      <c r="E164" s="9">
        <v>-6.8506452509821004E-3</v>
      </c>
      <c r="F164" s="8">
        <v>0</v>
      </c>
      <c r="G164" s="8">
        <v>0.6522</v>
      </c>
      <c r="H164" s="8">
        <v>0</v>
      </c>
      <c r="I164" s="8">
        <v>0.78539999999999999</v>
      </c>
      <c r="J164" s="8">
        <v>0</v>
      </c>
      <c r="K164" s="8">
        <v>0</v>
      </c>
      <c r="L164" s="8">
        <v>45.09</v>
      </c>
      <c r="M164" s="8">
        <v>104.74</v>
      </c>
      <c r="N164" s="10">
        <v>2.3229097360833801</v>
      </c>
      <c r="O164" s="10">
        <v>2.3166568507100198</v>
      </c>
      <c r="P164" s="10">
        <v>2.3243062355863899</v>
      </c>
      <c r="Q164" s="10">
        <v>2.32618551065785</v>
      </c>
      <c r="R164" s="8">
        <v>104.458057398514</v>
      </c>
      <c r="S164" s="8">
        <v>104.81956357729</v>
      </c>
      <c r="T164" s="8">
        <v>104.89992236485701</v>
      </c>
      <c r="U164" s="9">
        <v>-2.6954626223227398E-3</v>
      </c>
      <c r="V164" s="9">
        <v>7.5934096974920005E-4</v>
      </c>
      <c r="W164" s="9">
        <v>1.52568646348191E-3</v>
      </c>
      <c r="X164" s="10">
        <v>2.3229097360833801</v>
      </c>
      <c r="Y164" s="10">
        <v>2.3166568507100198</v>
      </c>
      <c r="Z164" s="10">
        <v>2.3243062355863899</v>
      </c>
      <c r="AA164" s="10">
        <v>2.32618551065785</v>
      </c>
      <c r="AB164" s="8">
        <v>104.458057398514</v>
      </c>
      <c r="AC164" s="8">
        <v>104.81956357729</v>
      </c>
      <c r="AD164" s="8">
        <v>104.89992236485701</v>
      </c>
      <c r="AE164" s="9">
        <v>-2.6954626223227398E-3</v>
      </c>
      <c r="AF164" s="9">
        <v>7.5934096974920005E-4</v>
      </c>
      <c r="AG164" s="9">
        <v>1.52568646348191E-3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-1.9560698283513887E-3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4.1282580409208632E-3</v>
      </c>
      <c r="BX164" s="12">
        <f t="shared" si="58"/>
        <v>0</v>
      </c>
      <c r="BY164" s="12">
        <f t="shared" si="59"/>
        <v>2.1721882125694753E-3</v>
      </c>
    </row>
    <row r="165" spans="1:77" x14ac:dyDescent="0.3">
      <c r="A165" s="1">
        <v>46261</v>
      </c>
      <c r="B165" s="8">
        <v>44.66</v>
      </c>
      <c r="C165" s="8">
        <v>103.79</v>
      </c>
      <c r="D165" s="9">
        <v>-9.5822460209811708E-3</v>
      </c>
      <c r="E165" s="9">
        <v>-9.1114618741438506E-3</v>
      </c>
      <c r="F165" s="8">
        <v>0</v>
      </c>
      <c r="G165" s="8">
        <v>0.6522</v>
      </c>
      <c r="H165" s="8">
        <v>0</v>
      </c>
      <c r="I165" s="8">
        <v>0.78539999999999999</v>
      </c>
      <c r="J165" s="8">
        <v>0</v>
      </c>
      <c r="K165" s="8">
        <v>0</v>
      </c>
      <c r="L165" s="8">
        <v>44.66</v>
      </c>
      <c r="M165" s="8">
        <v>103.79</v>
      </c>
      <c r="N165" s="10">
        <v>2.32400358262427</v>
      </c>
      <c r="O165" s="10">
        <v>2.3166568507100198</v>
      </c>
      <c r="P165" s="10">
        <v>2.32423762221761</v>
      </c>
      <c r="Q165" s="10">
        <v>2.3257521357051698</v>
      </c>
      <c r="R165" s="8">
        <v>103.461894952709</v>
      </c>
      <c r="S165" s="8">
        <v>103.803516481288</v>
      </c>
      <c r="T165" s="8">
        <v>103.887444905979</v>
      </c>
      <c r="U165" s="9">
        <v>-3.1662467691600102E-3</v>
      </c>
      <c r="V165" s="9">
        <v>1.3022064982161799E-4</v>
      </c>
      <c r="W165" s="9">
        <v>9.3842557794253996E-4</v>
      </c>
      <c r="X165" s="10">
        <v>2.32400358262427</v>
      </c>
      <c r="Y165" s="10">
        <v>2.3166568507100198</v>
      </c>
      <c r="Z165" s="10">
        <v>2.32423762221761</v>
      </c>
      <c r="AA165" s="10">
        <v>2.3257521357051698</v>
      </c>
      <c r="AB165" s="8">
        <v>103.461894952709</v>
      </c>
      <c r="AC165" s="8">
        <v>103.803516481288</v>
      </c>
      <c r="AD165" s="8">
        <v>103.887444905979</v>
      </c>
      <c r="AE165" s="9">
        <v>-3.1662467691600102E-3</v>
      </c>
      <c r="AF165" s="9">
        <v>1.3022064982161799E-4</v>
      </c>
      <c r="AG165" s="9">
        <v>9.3842557794253996E-4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-1.9560698283513887E-3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4.1282580409208632E-3</v>
      </c>
      <c r="BX165" s="12">
        <f t="shared" si="58"/>
        <v>0</v>
      </c>
      <c r="BY165" s="12">
        <f t="shared" si="59"/>
        <v>2.1721882125694753E-3</v>
      </c>
    </row>
    <row r="166" spans="1:77" x14ac:dyDescent="0.3">
      <c r="A166" s="1">
        <v>46262</v>
      </c>
      <c r="B166" s="8">
        <v>44.48</v>
      </c>
      <c r="C166" s="8">
        <v>103.43</v>
      </c>
      <c r="D166" s="9">
        <v>-4.0385964696848797E-3</v>
      </c>
      <c r="E166" s="9">
        <v>-3.4745715874853799E-3</v>
      </c>
      <c r="F166" s="8">
        <v>0</v>
      </c>
      <c r="G166" s="8">
        <v>0.6522</v>
      </c>
      <c r="H166" s="8">
        <v>0</v>
      </c>
      <c r="I166" s="8">
        <v>0.78539999999999999</v>
      </c>
      <c r="J166" s="8">
        <v>0</v>
      </c>
      <c r="K166" s="8">
        <v>0</v>
      </c>
      <c r="L166" s="8">
        <v>44.48</v>
      </c>
      <c r="M166" s="8">
        <v>103.43</v>
      </c>
      <c r="N166" s="10">
        <v>2.3253147482014298</v>
      </c>
      <c r="O166" s="10">
        <v>2.3166568507100198</v>
      </c>
      <c r="P166" s="10">
        <v>2.3246948756991199</v>
      </c>
      <c r="Q166" s="10">
        <v>2.3254325613779501</v>
      </c>
      <c r="R166" s="8">
        <v>103.044896719581</v>
      </c>
      <c r="S166" s="8">
        <v>103.382089436239</v>
      </c>
      <c r="T166" s="8">
        <v>103.449454996166</v>
      </c>
      <c r="U166" s="9">
        <v>-3.7302716513594801E-3</v>
      </c>
      <c r="V166" s="9">
        <v>-4.6332460300669702E-4</v>
      </c>
      <c r="W166" s="9">
        <v>1.88080505375249E-4</v>
      </c>
      <c r="X166" s="10">
        <v>2.3253147482014298</v>
      </c>
      <c r="Y166" s="10">
        <v>2.3166568507100198</v>
      </c>
      <c r="Z166" s="10">
        <v>2.3246948756991199</v>
      </c>
      <c r="AA166" s="10">
        <v>2.3254325613779501</v>
      </c>
      <c r="AB166" s="8">
        <v>103.044896719581</v>
      </c>
      <c r="AC166" s="8">
        <v>103.382089436239</v>
      </c>
      <c r="AD166" s="8">
        <v>103.449454996166</v>
      </c>
      <c r="AE166" s="9">
        <v>-3.7302716513594801E-3</v>
      </c>
      <c r="AF166" s="9">
        <v>-4.6332460300669702E-4</v>
      </c>
      <c r="AG166" s="9">
        <v>1.88080505375249E-4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-1.9560698283513887E-3</v>
      </c>
      <c r="BL166" s="9"/>
      <c r="BN166">
        <f t="shared" si="50"/>
        <v>0</v>
      </c>
      <c r="BO166">
        <f t="shared" si="51"/>
        <v>0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4.1282580409208632E-3</v>
      </c>
      <c r="BX166" s="12">
        <f t="shared" si="58"/>
        <v>0</v>
      </c>
      <c r="BY166" s="12">
        <f t="shared" si="59"/>
        <v>2.1721882125694753E-3</v>
      </c>
    </row>
    <row r="167" spans="1:77" x14ac:dyDescent="0.3">
      <c r="A167" s="1">
        <v>46265</v>
      </c>
      <c r="B167" s="8">
        <v>44.11</v>
      </c>
      <c r="C167" s="8">
        <v>102.63</v>
      </c>
      <c r="D167" s="9">
        <v>-8.3531358254785495E-3</v>
      </c>
      <c r="E167" s="9">
        <v>-7.7647677320894096E-3</v>
      </c>
      <c r="F167" s="8">
        <v>0</v>
      </c>
      <c r="G167" s="8">
        <v>0.6522</v>
      </c>
      <c r="H167" s="8">
        <v>0</v>
      </c>
      <c r="I167" s="8">
        <v>0.78539999999999999</v>
      </c>
      <c r="J167" s="8">
        <v>0</v>
      </c>
      <c r="K167" s="8">
        <v>0</v>
      </c>
      <c r="L167" s="8">
        <v>44.11</v>
      </c>
      <c r="M167" s="8">
        <v>102.63</v>
      </c>
      <c r="N167" s="10">
        <v>2.32668329177057</v>
      </c>
      <c r="O167" s="10">
        <v>2.3166568507100198</v>
      </c>
      <c r="P167" s="10">
        <v>2.3250410991434101</v>
      </c>
      <c r="Q167" s="10">
        <v>2.3253103293308</v>
      </c>
      <c r="R167" s="8">
        <v>102.187733684818</v>
      </c>
      <c r="S167" s="8">
        <v>102.54229096708799</v>
      </c>
      <c r="T167" s="8">
        <v>102.574830282381</v>
      </c>
      <c r="U167" s="9">
        <v>-4.3186397447487401E-3</v>
      </c>
      <c r="V167" s="9">
        <v>-8.5497937212696896E-4</v>
      </c>
      <c r="W167" s="9">
        <v>-5.3770390172410397E-4</v>
      </c>
      <c r="X167" s="10">
        <v>2.32668329177057</v>
      </c>
      <c r="Y167" s="10">
        <v>2.3166568507100198</v>
      </c>
      <c r="Z167" s="10">
        <v>2.3250410991434101</v>
      </c>
      <c r="AA167" s="10">
        <v>2.3253103293308</v>
      </c>
      <c r="AB167" s="8">
        <v>102.187733684818</v>
      </c>
      <c r="AC167" s="8">
        <v>102.54229096708799</v>
      </c>
      <c r="AD167" s="8">
        <v>102.574830282381</v>
      </c>
      <c r="AE167" s="9">
        <v>-4.3186397447487401E-3</v>
      </c>
      <c r="AF167" s="9">
        <v>-8.5497937212696896E-4</v>
      </c>
      <c r="AG167" s="9">
        <v>-5.3770390172410397E-4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-1.9560698283513887E-3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4.1282580409208632E-3</v>
      </c>
      <c r="BX167" s="12">
        <f t="shared" si="58"/>
        <v>0</v>
      </c>
      <c r="BY167" s="12">
        <f t="shared" si="59"/>
        <v>2.1721882125694753E-3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XLRE_IYR_0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2026-09-03T18:51:39Z</dcterms:created>
  <dcterms:modified xsi:type="dcterms:W3CDTF">2026-09-03T20:05:11Z</dcterms:modified>
</cp:coreProperties>
</file>