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927B41B1-C0B0-4AF1-BEE2-98F4C3445557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V35" i="1" l="1"/>
  <c r="BY34" i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l="1"/>
  <c r="BU44" i="1"/>
  <c r="BI44" i="1"/>
  <c r="BG45" i="1"/>
  <c r="BD45" i="1"/>
  <c r="BF46" i="1" s="1"/>
  <c r="BH45" i="1"/>
  <c r="BX43" i="1"/>
  <c r="BY43" i="1" s="1"/>
  <c r="BS45" i="1"/>
  <c r="BT45" i="1"/>
  <c r="BP45" i="1"/>
  <c r="BR46" i="1" s="1"/>
  <c r="BV44" i="1" l="1"/>
  <c r="BX44" i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Y46" i="1" s="1"/>
  <c r="BJ46" i="1"/>
  <c r="BV46" i="1"/>
  <c r="BU47" i="1"/>
  <c r="BI47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Y50" i="1" s="1"/>
  <c r="BV50" i="1"/>
  <c r="BJ50" i="1"/>
  <c r="BI51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J53" i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6" i="1"/>
  <c r="BY56" i="1" s="1"/>
  <c r="BS58" i="1"/>
  <c r="BT58" i="1"/>
  <c r="BP58" i="1"/>
  <c r="BR59" i="1" s="1"/>
  <c r="BD58" i="1"/>
  <c r="BF59" i="1" s="1"/>
  <c r="BG58" i="1"/>
  <c r="BH58" i="1"/>
  <c r="BX57" i="1" l="1"/>
  <c r="BY57" i="1" s="1"/>
  <c r="BJ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P75" i="1"/>
  <c r="BR76" i="1" s="1"/>
  <c r="BT75" i="1"/>
  <c r="BS75" i="1"/>
  <c r="BG75" i="1"/>
  <c r="BD75" i="1"/>
  <c r="BF76" i="1" s="1"/>
  <c r="BH75" i="1"/>
  <c r="BJ73" i="1"/>
  <c r="BV74" i="1" l="1"/>
  <c r="BU75" i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V75" i="1" l="1"/>
  <c r="BJ75" i="1"/>
  <c r="BX75" i="1"/>
  <c r="BY75" i="1" s="1"/>
  <c r="BP77" i="1"/>
  <c r="BR78" i="1" s="1"/>
  <c r="BT77" i="1"/>
  <c r="BS77" i="1"/>
  <c r="BU76" i="1"/>
  <c r="BD77" i="1"/>
  <c r="BF78" i="1" s="1"/>
  <c r="BH77" i="1"/>
  <c r="BG77" i="1"/>
  <c r="BI77" i="1" s="1"/>
  <c r="BI76" i="1"/>
  <c r="BX76" i="1" s="1"/>
  <c r="BV76" i="1" l="1"/>
  <c r="BY76" i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V86" i="1" l="1"/>
  <c r="BX86" i="1"/>
  <c r="BY86" i="1" s="1"/>
  <c r="BU87" i="1"/>
  <c r="BS88" i="1"/>
  <c r="BP88" i="1"/>
  <c r="BR89" i="1" s="1"/>
  <c r="BT88" i="1"/>
  <c r="BH88" i="1"/>
  <c r="BG88" i="1"/>
  <c r="BD88" i="1"/>
  <c r="BF89" i="1" s="1"/>
  <c r="BJ87" i="1"/>
  <c r="BV87" i="1" l="1"/>
  <c r="BS89" i="1"/>
  <c r="BP89" i="1"/>
  <c r="BR90" i="1" s="1"/>
  <c r="BT89" i="1"/>
  <c r="BI88" i="1"/>
  <c r="BU88" i="1"/>
  <c r="BX87" i="1"/>
  <c r="BY87" i="1" s="1"/>
  <c r="BJ88" i="1"/>
  <c r="BH89" i="1"/>
  <c r="BD89" i="1"/>
  <c r="BF90" i="1" s="1"/>
  <c r="BG89" i="1"/>
  <c r="BV88" i="1" l="1"/>
  <c r="BT90" i="1"/>
  <c r="BP90" i="1"/>
  <c r="BR91" i="1" s="1"/>
  <c r="BS90" i="1"/>
  <c r="BU89" i="1"/>
  <c r="BX88" i="1"/>
  <c r="BY88" i="1" s="1"/>
  <c r="BG90" i="1"/>
  <c r="BD90" i="1"/>
  <c r="BF91" i="1" s="1"/>
  <c r="BH90" i="1"/>
  <c r="BI89" i="1"/>
  <c r="BV89" i="1" l="1"/>
  <c r="BU90" i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V90" i="1" l="1"/>
  <c r="BX90" i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Y107" i="1" l="1"/>
  <c r="BX108" i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Y108" i="1" l="1"/>
  <c r="BI110" i="1"/>
  <c r="BJ110" i="1" s="1"/>
  <c r="BX109" i="1"/>
  <c r="BU110" i="1"/>
  <c r="BV110" i="1" s="1"/>
  <c r="BD111" i="1"/>
  <c r="BF112" i="1" s="1"/>
  <c r="BG111" i="1"/>
  <c r="BH111" i="1"/>
  <c r="BS111" i="1"/>
  <c r="BT111" i="1"/>
  <c r="BP111" i="1"/>
  <c r="BR112" i="1" s="1"/>
  <c r="BY109" i="1" l="1"/>
  <c r="BX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Y110" i="1" l="1"/>
  <c r="BS113" i="1"/>
  <c r="BP113" i="1"/>
  <c r="BR114" i="1" s="1"/>
  <c r="BT113" i="1"/>
  <c r="BH113" i="1"/>
  <c r="BD113" i="1"/>
  <c r="BF114" i="1" s="1"/>
  <c r="BG113" i="1"/>
  <c r="BI112" i="1"/>
  <c r="BX111" i="1"/>
  <c r="BJ111" i="1"/>
  <c r="BJ112" i="1" s="1"/>
  <c r="BU112" i="1"/>
  <c r="BX112" i="1" s="1"/>
  <c r="BY111" i="1" l="1"/>
  <c r="BY112" i="1" s="1"/>
  <c r="BI113" i="1"/>
  <c r="BJ113" i="1" s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V124" i="1" l="1"/>
  <c r="BY123" i="1"/>
  <c r="BI125" i="1"/>
  <c r="BJ125" i="1" s="1"/>
  <c r="BX124" i="1"/>
  <c r="BS126" i="1"/>
  <c r="BT126" i="1"/>
  <c r="BP126" i="1"/>
  <c r="BR127" i="1" s="1"/>
  <c r="BU125" i="1"/>
  <c r="BH126" i="1"/>
  <c r="BG126" i="1"/>
  <c r="BD126" i="1"/>
  <c r="BF127" i="1" s="1"/>
  <c r="BV125" i="1" l="1"/>
  <c r="BY124" i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Y126" i="1" l="1"/>
  <c r="BX127" i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Y127" i="1" l="1"/>
  <c r="BI129" i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l="1"/>
  <c r="BX129" i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Y129" i="1" l="1"/>
  <c r="BI131" i="1"/>
  <c r="BJ131" i="1" s="1"/>
  <c r="BV130" i="1"/>
  <c r="BV131" i="1" s="1"/>
  <c r="BX130" i="1"/>
  <c r="BG132" i="1"/>
  <c r="BH132" i="1"/>
  <c r="BD132" i="1"/>
  <c r="BF133" i="1" s="1"/>
  <c r="BP132" i="1"/>
  <c r="BR133" i="1" s="1"/>
  <c r="BT132" i="1"/>
  <c r="BS132" i="1"/>
  <c r="BU132" i="1" s="1"/>
  <c r="BY130" i="1" l="1"/>
  <c r="BY131" i="1" s="1"/>
  <c r="BX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J134" i="1" s="1"/>
  <c r="BX133" i="1"/>
  <c r="BY133" i="1" s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Y146" i="1" s="1"/>
  <c r="BI147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 s="1"/>
  <c r="BX159" i="1"/>
  <c r="BY159" i="1" s="1"/>
  <c r="BU160" i="1"/>
  <c r="BP161" i="1"/>
  <c r="BR162" i="1" s="1"/>
  <c r="BT161" i="1"/>
  <c r="BS161" i="1"/>
  <c r="BH161" i="1"/>
  <c r="BG161" i="1"/>
  <c r="BD161" i="1"/>
  <c r="BF162" i="1" s="1"/>
  <c r="BX160" i="1" l="1"/>
  <c r="BY160" i="1" s="1"/>
  <c r="BV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V163" i="1" l="1"/>
  <c r="BX163" i="1"/>
  <c r="BY163" i="1" s="1"/>
  <c r="BJ163" i="1"/>
  <c r="BI164" i="1"/>
  <c r="BU164" i="1"/>
  <c r="BS165" i="1"/>
  <c r="BT165" i="1"/>
  <c r="BP165" i="1"/>
  <c r="BR166" i="1" s="1"/>
  <c r="BG165" i="1"/>
  <c r="BD165" i="1"/>
  <c r="BF166" i="1" s="1"/>
  <c r="BH165" i="1"/>
  <c r="BV164" i="1" l="1"/>
  <c r="BJ164" i="1"/>
  <c r="BU165" i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V165" i="1" l="1"/>
  <c r="BV166" i="1" s="1"/>
  <c r="BI166" i="1"/>
  <c r="BX166" i="1" s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X167" i="1"/>
  <c r="BY167" i="1" s="1"/>
  <c r="BY1" i="1" s="1"/>
  <c r="BJ9" i="1"/>
  <c r="BJ10" i="1"/>
  <c r="BJ167" i="1"/>
  <c r="BJ1" i="1" s="1"/>
  <c r="BV11" i="1" l="1"/>
  <c r="BY9" i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<sst xmlns="http://schemas.openxmlformats.org/spreadsheetml/2006/main" count="53" uniqueCount="42">
  <si>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</si>
  <si>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</si>
  <si>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</si>
  <si>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</si>
  <si>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</si>
  <si>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</si>
  <si>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</si>
  <si>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</si>
  <si>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</si>
  <si>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</si>
  <si>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FHLC</t>
  </si>
  <si>
    <t>VHT</t>
  </si>
  <si>
    <t>FHLC log rtn</t>
  </si>
  <si>
    <t>VHT log rtn</t>
  </si>
  <si>
    <t>FHLC div</t>
  </si>
  <si>
    <t>FHLC div cumsum</t>
  </si>
  <si>
    <t>VHT div</t>
  </si>
  <si>
    <t>VHT div cumsum</t>
  </si>
  <si>
    <t>FHLC div adjustment</t>
  </si>
  <si>
    <t>VHT div adjustment</t>
  </si>
  <si>
    <t>FHLC*</t>
  </si>
  <si>
    <t>VHT*</t>
  </si>
  <si>
    <t>VHT/FHLC</t>
  </si>
  <si>
    <t>VHT/FHLC avg</t>
  </si>
  <si>
    <t>VHT/FHLC 10 dma</t>
  </si>
  <si>
    <t>VHT/FHLC 20 dma</t>
  </si>
  <si>
    <t>FHLC x avg</t>
  </si>
  <si>
    <t>FHLC x 10 dma</t>
  </si>
  <si>
    <t>FHLC x 20 dma</t>
  </si>
  <si>
    <t>log diff FHLC x avg / VHT</t>
  </si>
  <si>
    <t>log diff FHLC x 10 dma / VHT</t>
  </si>
  <si>
    <t>log diff FHLC x 20 dma / VHT</t>
  </si>
  <si>
    <t>VHT*/FHLC*</t>
  </si>
  <si>
    <t>VHT*/FHLC* avg</t>
  </si>
  <si>
    <t>VHT*/FHLC* 10 dma</t>
  </si>
  <si>
    <t>VHT*/FHLC* 20 dma</t>
  </si>
  <si>
    <t>FHLC* x avg</t>
  </si>
  <si>
    <t>FHLC* x 10 dma</t>
  </si>
  <si>
    <t>FHLC* x 20 dma</t>
  </si>
  <si>
    <t>log diff FHLC* x avg / VHT*</t>
  </si>
  <si>
    <t>log diff FHLC* x 10 dma / VHT*</t>
  </si>
  <si>
    <t>log diff FHLC* x 20 dma / VHT*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</si>
</sst>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VHT/FHLC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3.8715231538253501</c:v>
                </c:pt>
                <c:pt idx="1">
                  <c:v>3.8715231538253501</c:v>
                </c:pt>
                <c:pt idx="2">
                  <c:v>3.8715231538253501</c:v>
                </c:pt>
                <c:pt idx="3">
                  <c:v>3.8715231538253501</c:v>
                </c:pt>
                <c:pt idx="4">
                  <c:v>3.8715231538253501</c:v>
                </c:pt>
                <c:pt idx="5">
                  <c:v>3.8715231538253501</c:v>
                </c:pt>
                <c:pt idx="6">
                  <c:v>3.8715231538253501</c:v>
                </c:pt>
                <c:pt idx="7">
                  <c:v>3.8715231538253501</c:v>
                </c:pt>
                <c:pt idx="8">
                  <c:v>3.8715231538253501</c:v>
                </c:pt>
                <c:pt idx="9">
                  <c:v>3.8715231538253501</c:v>
                </c:pt>
                <c:pt idx="10">
                  <c:v>3.8715231538253501</c:v>
                </c:pt>
                <c:pt idx="11">
                  <c:v>3.8715231538253501</c:v>
                </c:pt>
                <c:pt idx="12">
                  <c:v>3.8715231538253501</c:v>
                </c:pt>
                <c:pt idx="13">
                  <c:v>3.8715231538253501</c:v>
                </c:pt>
                <c:pt idx="14">
                  <c:v>3.8715231538253501</c:v>
                </c:pt>
                <c:pt idx="15">
                  <c:v>3.8715231538253501</c:v>
                </c:pt>
                <c:pt idx="16">
                  <c:v>3.8715231538253501</c:v>
                </c:pt>
                <c:pt idx="17">
                  <c:v>3.8715231538253501</c:v>
                </c:pt>
                <c:pt idx="18">
                  <c:v>3.8715231538253501</c:v>
                </c:pt>
                <c:pt idx="19">
                  <c:v>3.8715231538253501</c:v>
                </c:pt>
                <c:pt idx="20">
                  <c:v>3.8715231538253501</c:v>
                </c:pt>
                <c:pt idx="21">
                  <c:v>3.8715231538253501</c:v>
                </c:pt>
                <c:pt idx="22">
                  <c:v>3.8715231538253501</c:v>
                </c:pt>
                <c:pt idx="23">
                  <c:v>3.8715231538253501</c:v>
                </c:pt>
                <c:pt idx="24">
                  <c:v>3.8715231538253501</c:v>
                </c:pt>
                <c:pt idx="25">
                  <c:v>3.8715231538253501</c:v>
                </c:pt>
                <c:pt idx="26">
                  <c:v>3.8715231538253501</c:v>
                </c:pt>
                <c:pt idx="27">
                  <c:v>3.8715231538253501</c:v>
                </c:pt>
                <c:pt idx="28">
                  <c:v>3.8715231538253501</c:v>
                </c:pt>
                <c:pt idx="29">
                  <c:v>3.8715231538253501</c:v>
                </c:pt>
                <c:pt idx="30">
                  <c:v>3.8715231538253501</c:v>
                </c:pt>
                <c:pt idx="31">
                  <c:v>3.8715231538253501</c:v>
                </c:pt>
                <c:pt idx="32">
                  <c:v>3.8715231538253501</c:v>
                </c:pt>
                <c:pt idx="33">
                  <c:v>3.8715231538253501</c:v>
                </c:pt>
                <c:pt idx="34">
                  <c:v>3.8715231538253501</c:v>
                </c:pt>
                <c:pt idx="35">
                  <c:v>3.8715231538253501</c:v>
                </c:pt>
                <c:pt idx="36">
                  <c:v>3.8715231538253501</c:v>
                </c:pt>
                <c:pt idx="37">
                  <c:v>3.8715231538253501</c:v>
                </c:pt>
                <c:pt idx="38">
                  <c:v>3.8715231538253501</c:v>
                </c:pt>
                <c:pt idx="39">
                  <c:v>3.8715231538253501</c:v>
                </c:pt>
                <c:pt idx="40">
                  <c:v>3.8715231538253501</c:v>
                </c:pt>
                <c:pt idx="41">
                  <c:v>3.8715231538253501</c:v>
                </c:pt>
                <c:pt idx="42">
                  <c:v>3.8715231538253501</c:v>
                </c:pt>
                <c:pt idx="43">
                  <c:v>3.8715231538253501</c:v>
                </c:pt>
                <c:pt idx="44">
                  <c:v>3.8715231538253501</c:v>
                </c:pt>
                <c:pt idx="45">
                  <c:v>3.8715231538253501</c:v>
                </c:pt>
                <c:pt idx="46">
                  <c:v>3.8715231538253501</c:v>
                </c:pt>
                <c:pt idx="47">
                  <c:v>3.8715231538253501</c:v>
                </c:pt>
                <c:pt idx="48">
                  <c:v>3.8715231538253501</c:v>
                </c:pt>
                <c:pt idx="49">
                  <c:v>3.8715231538253501</c:v>
                </c:pt>
                <c:pt idx="50">
                  <c:v>3.8715231538253501</c:v>
                </c:pt>
                <c:pt idx="51">
                  <c:v>3.8715231538253501</c:v>
                </c:pt>
                <c:pt idx="52">
                  <c:v>3.8715231538253501</c:v>
                </c:pt>
                <c:pt idx="53">
                  <c:v>3.8715231538253501</c:v>
                </c:pt>
                <c:pt idx="54">
                  <c:v>3.8715231538253501</c:v>
                </c:pt>
                <c:pt idx="55">
                  <c:v>3.8715231538253501</c:v>
                </c:pt>
                <c:pt idx="56">
                  <c:v>3.8715231538253501</c:v>
                </c:pt>
                <c:pt idx="57">
                  <c:v>3.8715231538253501</c:v>
                </c:pt>
                <c:pt idx="58">
                  <c:v>3.8715231538253501</c:v>
                </c:pt>
                <c:pt idx="59">
                  <c:v>3.8715231538253501</c:v>
                </c:pt>
                <c:pt idx="60">
                  <c:v>3.8715231538253501</c:v>
                </c:pt>
                <c:pt idx="61">
                  <c:v>3.8715231538253501</c:v>
                </c:pt>
                <c:pt idx="62">
                  <c:v>3.8715231538253501</c:v>
                </c:pt>
                <c:pt idx="63">
                  <c:v>3.8715231538253501</c:v>
                </c:pt>
                <c:pt idx="64">
                  <c:v>3.8715231538253501</c:v>
                </c:pt>
                <c:pt idx="65">
                  <c:v>3.8715231538253501</c:v>
                </c:pt>
                <c:pt idx="66">
                  <c:v>3.8715231538253501</c:v>
                </c:pt>
                <c:pt idx="67">
                  <c:v>3.8715231538253501</c:v>
                </c:pt>
                <c:pt idx="68">
                  <c:v>3.8715231538253501</c:v>
                </c:pt>
                <c:pt idx="69">
                  <c:v>3.8715231538253501</c:v>
                </c:pt>
                <c:pt idx="70">
                  <c:v>3.8715231538253501</c:v>
                </c:pt>
                <c:pt idx="71">
                  <c:v>3.8715231538253501</c:v>
                </c:pt>
                <c:pt idx="72">
                  <c:v>3.8715231538253501</c:v>
                </c:pt>
                <c:pt idx="73">
                  <c:v>3.8715231538253501</c:v>
                </c:pt>
                <c:pt idx="74">
                  <c:v>3.8715231538253501</c:v>
                </c:pt>
                <c:pt idx="75">
                  <c:v>3.8715231538253501</c:v>
                </c:pt>
                <c:pt idx="76">
                  <c:v>3.8715231538253501</c:v>
                </c:pt>
                <c:pt idx="77">
                  <c:v>3.8715231538253501</c:v>
                </c:pt>
                <c:pt idx="78">
                  <c:v>3.8715231538253501</c:v>
                </c:pt>
                <c:pt idx="79">
                  <c:v>3.8715231538253501</c:v>
                </c:pt>
                <c:pt idx="80">
                  <c:v>3.8715231538253501</c:v>
                </c:pt>
                <c:pt idx="81">
                  <c:v>3.8715231538253501</c:v>
                </c:pt>
                <c:pt idx="82">
                  <c:v>3.8715231538253501</c:v>
                </c:pt>
                <c:pt idx="83">
                  <c:v>3.8715231538253501</c:v>
                </c:pt>
                <c:pt idx="84">
                  <c:v>3.8715231538253501</c:v>
                </c:pt>
                <c:pt idx="85">
                  <c:v>3.8715231538253501</c:v>
                </c:pt>
                <c:pt idx="86">
                  <c:v>3.8715231538253501</c:v>
                </c:pt>
                <c:pt idx="87">
                  <c:v>3.8715231538253501</c:v>
                </c:pt>
                <c:pt idx="88">
                  <c:v>3.8715231538253501</c:v>
                </c:pt>
                <c:pt idx="89">
                  <c:v>3.8715231538253501</c:v>
                </c:pt>
                <c:pt idx="90">
                  <c:v>3.8715231538253501</c:v>
                </c:pt>
                <c:pt idx="91">
                  <c:v>3.8715231538253501</c:v>
                </c:pt>
                <c:pt idx="92">
                  <c:v>3.8715231538253501</c:v>
                </c:pt>
                <c:pt idx="93">
                  <c:v>3.8715231538253501</c:v>
                </c:pt>
                <c:pt idx="94">
                  <c:v>3.8715231538253501</c:v>
                </c:pt>
                <c:pt idx="95">
                  <c:v>3.8715231538253501</c:v>
                </c:pt>
                <c:pt idx="96">
                  <c:v>3.8715231538253501</c:v>
                </c:pt>
                <c:pt idx="97">
                  <c:v>3.8715231538253501</c:v>
                </c:pt>
                <c:pt idx="98">
                  <c:v>3.8715231538253501</c:v>
                </c:pt>
                <c:pt idx="99">
                  <c:v>3.8715231538253501</c:v>
                </c:pt>
                <c:pt idx="100">
                  <c:v>3.8715231538253501</c:v>
                </c:pt>
                <c:pt idx="101">
                  <c:v>3.8715231538253501</c:v>
                </c:pt>
                <c:pt idx="102">
                  <c:v>3.8715231538253501</c:v>
                </c:pt>
                <c:pt idx="103">
                  <c:v>3.8715231538253501</c:v>
                </c:pt>
                <c:pt idx="104">
                  <c:v>3.8715231538253501</c:v>
                </c:pt>
                <c:pt idx="105">
                  <c:v>3.8715231538253501</c:v>
                </c:pt>
                <c:pt idx="106">
                  <c:v>3.8715231538253501</c:v>
                </c:pt>
                <c:pt idx="107">
                  <c:v>3.8715231538253501</c:v>
                </c:pt>
                <c:pt idx="108">
                  <c:v>3.8715231538253501</c:v>
                </c:pt>
                <c:pt idx="109">
                  <c:v>3.8715231538253501</c:v>
                </c:pt>
                <c:pt idx="110">
                  <c:v>3.8715231538253501</c:v>
                </c:pt>
                <c:pt idx="111">
                  <c:v>3.8715231538253501</c:v>
                </c:pt>
                <c:pt idx="112">
                  <c:v>3.8715231538253501</c:v>
                </c:pt>
                <c:pt idx="113">
                  <c:v>3.8715231538253501</c:v>
                </c:pt>
                <c:pt idx="114">
                  <c:v>3.8715231538253501</c:v>
                </c:pt>
                <c:pt idx="115">
                  <c:v>3.8715231538253501</c:v>
                </c:pt>
                <c:pt idx="116">
                  <c:v>3.8715231538253501</c:v>
                </c:pt>
                <c:pt idx="117">
                  <c:v>3.8715231538253501</c:v>
                </c:pt>
                <c:pt idx="118">
                  <c:v>3.8715231538253501</c:v>
                </c:pt>
                <c:pt idx="119">
                  <c:v>3.8715231538253501</c:v>
                </c:pt>
                <c:pt idx="120">
                  <c:v>3.8715231538253501</c:v>
                </c:pt>
                <c:pt idx="121">
                  <c:v>3.8715231538253501</c:v>
                </c:pt>
                <c:pt idx="122">
                  <c:v>3.8715231538253501</c:v>
                </c:pt>
                <c:pt idx="123">
                  <c:v>3.8715231538253501</c:v>
                </c:pt>
                <c:pt idx="124">
                  <c:v>3.8715231538253501</c:v>
                </c:pt>
                <c:pt idx="125">
                  <c:v>3.8715231538253501</c:v>
                </c:pt>
                <c:pt idx="126">
                  <c:v>3.8715231538253501</c:v>
                </c:pt>
                <c:pt idx="127">
                  <c:v>3.8715231538253501</c:v>
                </c:pt>
                <c:pt idx="128">
                  <c:v>3.8715231538253501</c:v>
                </c:pt>
                <c:pt idx="129">
                  <c:v>3.8715231538253501</c:v>
                </c:pt>
                <c:pt idx="130">
                  <c:v>3.8715231538253501</c:v>
                </c:pt>
                <c:pt idx="131">
                  <c:v>3.8715231538253501</c:v>
                </c:pt>
                <c:pt idx="132">
                  <c:v>3.8715231538253501</c:v>
                </c:pt>
                <c:pt idx="133">
                  <c:v>3.8715231538253501</c:v>
                </c:pt>
                <c:pt idx="134">
                  <c:v>3.8715231538253501</c:v>
                </c:pt>
                <c:pt idx="135">
                  <c:v>3.8715231538253501</c:v>
                </c:pt>
                <c:pt idx="136">
                  <c:v>3.8715231538253501</c:v>
                </c:pt>
                <c:pt idx="137">
                  <c:v>3.8715231538253501</c:v>
                </c:pt>
                <c:pt idx="138">
                  <c:v>3.8715231538253501</c:v>
                </c:pt>
                <c:pt idx="139">
                  <c:v>3.8715231538253501</c:v>
                </c:pt>
                <c:pt idx="140">
                  <c:v>3.8715231538253501</c:v>
                </c:pt>
                <c:pt idx="141">
                  <c:v>3.8715231538253501</c:v>
                </c:pt>
                <c:pt idx="142">
                  <c:v>3.8715231538253501</c:v>
                </c:pt>
                <c:pt idx="143">
                  <c:v>3.8715231538253501</c:v>
                </c:pt>
                <c:pt idx="144">
                  <c:v>3.8715231538253501</c:v>
                </c:pt>
                <c:pt idx="145">
                  <c:v>3.8715231538253501</c:v>
                </c:pt>
                <c:pt idx="146">
                  <c:v>3.8715231538253501</c:v>
                </c:pt>
                <c:pt idx="147">
                  <c:v>3.8715231538253501</c:v>
                </c:pt>
                <c:pt idx="148">
                  <c:v>3.8715231538253501</c:v>
                </c:pt>
                <c:pt idx="149">
                  <c:v>3.8715231538253501</c:v>
                </c:pt>
                <c:pt idx="150">
                  <c:v>3.8715231538253501</c:v>
                </c:pt>
                <c:pt idx="151">
                  <c:v>3.8715231538253501</c:v>
                </c:pt>
                <c:pt idx="152">
                  <c:v>3.8715231538253501</c:v>
                </c:pt>
                <c:pt idx="153">
                  <c:v>3.8715231538253501</c:v>
                </c:pt>
                <c:pt idx="154">
                  <c:v>3.8715231538253501</c:v>
                </c:pt>
                <c:pt idx="155">
                  <c:v>3.8715231538253501</c:v>
                </c:pt>
                <c:pt idx="156">
                  <c:v>3.8715231538253501</c:v>
                </c:pt>
                <c:pt idx="157">
                  <c:v>3.8715231538253501</c:v>
                </c:pt>
                <c:pt idx="158">
                  <c:v>3.8715231538253501</c:v>
                </c:pt>
                <c:pt idx="159">
                  <c:v>3.8715231538253501</c:v>
                </c:pt>
                <c:pt idx="160">
                  <c:v>3.8715231538253501</c:v>
                </c:pt>
                <c:pt idx="161">
                  <c:v>3.8715231538253501</c:v>
                </c:pt>
                <c:pt idx="162">
                  <c:v>3.8715231538253501</c:v>
                </c:pt>
                <c:pt idx="163">
                  <c:v>3.8715231538253501</c:v>
                </c:pt>
                <c:pt idx="164">
                  <c:v>3.8715231538253501</c:v>
                </c:pt>
                <c:pt idx="165">
                  <c:v>3.8715231538253501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VHT/FHLC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VHT/FHLC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FHLC* x avg / VHT*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-6.9824209218667796E-4</c:v>
                </c:pt>
                <c:pt idx="2">
                  <c:v>5.4565686321890802E-5</c:v>
                </c:pt>
                <c:pt idx="3">
                  <c:v>-7.9673673625598905E-4</c:v>
                </c:pt>
                <c:pt idx="4">
                  <c:v>-3.1591363806506001E-4</c:v>
                </c:pt>
                <c:pt idx="5">
                  <c:v>-9.6592210165242305E-4</c:v>
                </c:pt>
                <c:pt idx="6">
                  <c:v>-9.2328861537500798E-4</c:v>
                </c:pt>
                <c:pt idx="7">
                  <c:v>-6.6172694390482405E-4</c:v>
                </c:pt>
                <c:pt idx="8">
                  <c:v>-1.65171931664045E-3</c:v>
                </c:pt>
                <c:pt idx="9">
                  <c:v>-1.35586906086101E-3</c:v>
                </c:pt>
                <c:pt idx="10">
                  <c:v>-9.4943065026395696E-4</c:v>
                </c:pt>
                <c:pt idx="11">
                  <c:v>-1.48100709123644E-3</c:v>
                </c:pt>
                <c:pt idx="12">
                  <c:v>-1.11424103733693E-3</c:v>
                </c:pt>
                <c:pt idx="13">
                  <c:v>-1.3385181763499599E-3</c:v>
                </c:pt>
                <c:pt idx="14">
                  <c:v>-9.4035577324798E-4</c:v>
                </c:pt>
                <c:pt idx="15">
                  <c:v>-9.9549055675879697E-4</c:v>
                </c:pt>
                <c:pt idx="16">
                  <c:v>-1.06173718273129E-3</c:v>
                </c:pt>
                <c:pt idx="17">
                  <c:v>-6.7107189976715702E-4</c:v>
                </c:pt>
                <c:pt idx="18">
                  <c:v>-7.2289238124246505E-4</c:v>
                </c:pt>
                <c:pt idx="19">
                  <c:v>-9.8903183988883103E-4</c:v>
                </c:pt>
                <c:pt idx="20">
                  <c:v>-9.4090542993389504E-4</c:v>
                </c:pt>
                <c:pt idx="21">
                  <c:v>-9.5440572231508803E-4</c:v>
                </c:pt>
                <c:pt idx="22">
                  <c:v>-1.3261682523283301E-3</c:v>
                </c:pt>
                <c:pt idx="23">
                  <c:v>-5.6981821984695904E-4</c:v>
                </c:pt>
                <c:pt idx="24">
                  <c:v>-3.4406352328533903E-4</c:v>
                </c:pt>
                <c:pt idx="25">
                  <c:v>-3.31106871053861E-4</c:v>
                </c:pt>
                <c:pt idx="26">
                  <c:v>-6.1514357690519805E-4</c:v>
                </c:pt>
                <c:pt idx="27">
                  <c:v>-1.4476838308811999E-4</c:v>
                </c:pt>
                <c:pt idx="28">
                  <c:v>-1.2147531091410101E-3</c:v>
                </c:pt>
                <c:pt idx="29">
                  <c:v>-6.2219975654910899E-4</c:v>
                </c:pt>
                <c:pt idx="30">
                  <c:v>-6.7830374532750805E-4</c:v>
                </c:pt>
                <c:pt idx="31">
                  <c:v>-9.6628522060429199E-4</c:v>
                </c:pt>
                <c:pt idx="32">
                  <c:v>-9.4062884413333701E-4</c:v>
                </c:pt>
                <c:pt idx="33">
                  <c:v>-8.0279759829962095E-4</c:v>
                </c:pt>
                <c:pt idx="34">
                  <c:v>-7.7382258289287499E-4</c:v>
                </c:pt>
                <c:pt idx="35">
                  <c:v>-5.8940782458978503E-4</c:v>
                </c:pt>
                <c:pt idx="36">
                  <c:v>-6.8354722421418298E-4</c:v>
                </c:pt>
                <c:pt idx="37">
                  <c:v>-1.09927278646303E-3</c:v>
                </c:pt>
                <c:pt idx="38">
                  <c:v>-6.43887079578976E-4</c:v>
                </c:pt>
                <c:pt idx="39">
                  <c:v>-5.3897639786812401E-4</c:v>
                </c:pt>
                <c:pt idx="40">
                  <c:v>-2.8458818033722498E-4</c:v>
                </c:pt>
                <c:pt idx="41">
                  <c:v>-6.39279941574101E-4</c:v>
                </c:pt>
                <c:pt idx="42">
                  <c:v>-9.9868812347899999E-4</c:v>
                </c:pt>
                <c:pt idx="43">
                  <c:v>1.6062038828262601E-4</c:v>
                </c:pt>
                <c:pt idx="44">
                  <c:v>1.7512720067001399E-4</c:v>
                </c:pt>
                <c:pt idx="45">
                  <c:v>-7.0806363680657599E-4</c:v>
                </c:pt>
                <c:pt idx="46">
                  <c:v>-3.1868751892538498E-4</c:v>
                </c:pt>
                <c:pt idx="47">
                  <c:v>-1.7193288373096901E-4</c:v>
                </c:pt>
                <c:pt idx="48">
                  <c:v>-8.7958148787743902E-4</c:v>
                </c:pt>
                <c:pt idx="49">
                  <c:v>-1.9887265033004001E-4</c:v>
                </c:pt>
                <c:pt idx="50">
                  <c:v>-3.0244212352398801E-4</c:v>
                </c:pt>
                <c:pt idx="51">
                  <c:v>-6.2253257036964504E-4</c:v>
                </c:pt>
                <c:pt idx="52">
                  <c:v>-8.6547296491759304E-4</c:v>
                </c:pt>
                <c:pt idx="53">
                  <c:v>-3.4517430702926798E-3</c:v>
                </c:pt>
                <c:pt idx="54">
                  <c:v>-2.84796745743666E-3</c:v>
                </c:pt>
                <c:pt idx="55">
                  <c:v>7.5056815537955998E-4</c:v>
                </c:pt>
                <c:pt idx="56">
                  <c:v>1.05452635426088E-4</c:v>
                </c:pt>
                <c:pt idx="57">
                  <c:v>5.9428096773588999E-4</c:v>
                </c:pt>
                <c:pt idx="58">
                  <c:v>-1.6777963175478299E-4</c:v>
                </c:pt>
                <c:pt idx="59">
                  <c:v>-1.42382295188828E-4</c:v>
                </c:pt>
                <c:pt idx="60">
                  <c:v>2.58363063763456E-4</c:v>
                </c:pt>
                <c:pt idx="61">
                  <c:v>1.0821577562981499E-4</c:v>
                </c:pt>
                <c:pt idx="62">
                  <c:v>9.9761643337573205E-5</c:v>
                </c:pt>
                <c:pt idx="63">
                  <c:v>4.9786647792573601E-4</c:v>
                </c:pt>
                <c:pt idx="64">
                  <c:v>-1.19054742572659E-4</c:v>
                </c:pt>
                <c:pt idx="65">
                  <c:v>-1.1165755499869399E-4</c:v>
                </c:pt>
                <c:pt idx="66">
                  <c:v>-2.22570672731362E-4</c:v>
                </c:pt>
                <c:pt idx="67">
                  <c:v>-2.31281855528981E-4</c:v>
                </c:pt>
                <c:pt idx="68">
                  <c:v>-5.8054829112193804E-4</c:v>
                </c:pt>
                <c:pt idx="69">
                  <c:v>2.7114871503055199E-4</c:v>
                </c:pt>
                <c:pt idx="70">
                  <c:v>2.00654281201894E-4</c:v>
                </c:pt>
                <c:pt idx="71">
                  <c:v>-5.3769777145225598E-4</c:v>
                </c:pt>
                <c:pt idx="72">
                  <c:v>2.4193764111042699E-4</c:v>
                </c:pt>
                <c:pt idx="73">
                  <c:v>-2.93465397081411E-5</c:v>
                </c:pt>
                <c:pt idx="74">
                  <c:v>1.3993054368879599E-4</c:v>
                </c:pt>
                <c:pt idx="75">
                  <c:v>2.6469486040866402E-4</c:v>
                </c:pt>
                <c:pt idx="76">
                  <c:v>6.0299655711960399E-4</c:v>
                </c:pt>
                <c:pt idx="77">
                  <c:v>2.6418206420750602E-4</c:v>
                </c:pt>
                <c:pt idx="78">
                  <c:v>2.1787864248681499E-4</c:v>
                </c:pt>
                <c:pt idx="79">
                  <c:v>6.9069118402558902E-5</c:v>
                </c:pt>
                <c:pt idx="80">
                  <c:v>3.8525645656076001E-4</c:v>
                </c:pt>
                <c:pt idx="81">
                  <c:v>3.4945823539204199E-4</c:v>
                </c:pt>
                <c:pt idx="82">
                  <c:v>4.51368077540241E-4</c:v>
                </c:pt>
                <c:pt idx="83">
                  <c:v>1.9815639269207599E-4</c:v>
                </c:pt>
                <c:pt idx="84">
                  <c:v>4.1958866439739602E-4</c:v>
                </c:pt>
                <c:pt idx="85">
                  <c:v>4.1510594238948403E-4</c:v>
                </c:pt>
                <c:pt idx="86">
                  <c:v>-2.19441308029715E-5</c:v>
                </c:pt>
                <c:pt idx="87">
                  <c:v>4.9923386811114697E-5</c:v>
                </c:pt>
                <c:pt idx="88">
                  <c:v>5.7075853589860803E-4</c:v>
                </c:pt>
                <c:pt idx="89">
                  <c:v>3.2901488916018898E-4</c:v>
                </c:pt>
                <c:pt idx="90">
                  <c:v>8.5912041840294597E-4</c:v>
                </c:pt>
                <c:pt idx="91">
                  <c:v>1.1433123973951501E-3</c:v>
                </c:pt>
                <c:pt idx="92">
                  <c:v>8.5603672421312004E-4</c:v>
                </c:pt>
                <c:pt idx="93">
                  <c:v>9.0144202028263399E-4</c:v>
                </c:pt>
                <c:pt idx="94">
                  <c:v>6.5656804014301701E-4</c:v>
                </c:pt>
                <c:pt idx="95">
                  <c:v>5.3433752030667802E-4</c:v>
                </c:pt>
                <c:pt idx="96">
                  <c:v>5.7031468072560798E-4</c:v>
                </c:pt>
                <c:pt idx="97">
                  <c:v>4.9340069698374596E-4</c:v>
                </c:pt>
                <c:pt idx="98">
                  <c:v>7.2376407778608801E-4</c:v>
                </c:pt>
                <c:pt idx="99">
                  <c:v>1.03925610966365E-3</c:v>
                </c:pt>
                <c:pt idx="100">
                  <c:v>5.4751684031613998E-4</c:v>
                </c:pt>
                <c:pt idx="101">
                  <c:v>3.8456130264926102E-4</c:v>
                </c:pt>
                <c:pt idx="102">
                  <c:v>1.19005833631992E-3</c:v>
                </c:pt>
                <c:pt idx="103">
                  <c:v>8.5460199399933995E-4</c:v>
                </c:pt>
                <c:pt idx="104">
                  <c:v>6.8589976500511396E-4</c:v>
                </c:pt>
                <c:pt idx="105">
                  <c:v>8.7401362389766095E-4</c:v>
                </c:pt>
                <c:pt idx="106">
                  <c:v>6.8487581542555102E-4</c:v>
                </c:pt>
                <c:pt idx="107">
                  <c:v>1.22225669576064E-3</c:v>
                </c:pt>
                <c:pt idx="108">
                  <c:v>1.3224698181415399E-3</c:v>
                </c:pt>
                <c:pt idx="109">
                  <c:v>1.05809459756498E-3</c:v>
                </c:pt>
                <c:pt idx="110">
                  <c:v>1.0878219414444999E-3</c:v>
                </c:pt>
                <c:pt idx="111">
                  <c:v>9.2467454305778798E-4</c:v>
                </c:pt>
                <c:pt idx="112">
                  <c:v>6.1545098637542396E-4</c:v>
                </c:pt>
                <c:pt idx="113">
                  <c:v>1.3393419968998599E-3</c:v>
                </c:pt>
                <c:pt idx="114">
                  <c:v>4.5343177505098299E-4</c:v>
                </c:pt>
                <c:pt idx="115">
                  <c:v>-2.8877926039800801E-3</c:v>
                </c:pt>
                <c:pt idx="116">
                  <c:v>-3.1925254327243098E-3</c:v>
                </c:pt>
                <c:pt idx="117">
                  <c:v>-2.7174742291604299E-3</c:v>
                </c:pt>
                <c:pt idx="118">
                  <c:v>2.8388792111844199E-5</c:v>
                </c:pt>
                <c:pt idx="119">
                  <c:v>1.9067876224549802E-5</c:v>
                </c:pt>
                <c:pt idx="120">
                  <c:v>1.5096225814368401E-4</c:v>
                </c:pt>
                <c:pt idx="121">
                  <c:v>4.4269683828436001E-5</c:v>
                </c:pt>
                <c:pt idx="122">
                  <c:v>2.1790753969033199E-4</c:v>
                </c:pt>
                <c:pt idx="123">
                  <c:v>-7.5295175290388599E-5</c:v>
                </c:pt>
                <c:pt idx="124">
                  <c:v>1.1104621657236E-4</c:v>
                </c:pt>
                <c:pt idx="125">
                  <c:v>5.4424313123210095E-4</c:v>
                </c:pt>
                <c:pt idx="126">
                  <c:v>4.0544407049975903E-5</c:v>
                </c:pt>
                <c:pt idx="127">
                  <c:v>3.2137418307574302E-4</c:v>
                </c:pt>
                <c:pt idx="128">
                  <c:v>4.0231031473662301E-4</c:v>
                </c:pt>
                <c:pt idx="129">
                  <c:v>3.4967355504569799E-4</c:v>
                </c:pt>
                <c:pt idx="130">
                  <c:v>4.3138168576339501E-4</c:v>
                </c:pt>
                <c:pt idx="131">
                  <c:v>4.57802520756618E-4</c:v>
                </c:pt>
                <c:pt idx="132">
                  <c:v>-1.7051740207414901E-4</c:v>
                </c:pt>
                <c:pt idx="133">
                  <c:v>6.2592644826090502E-4</c:v>
                </c:pt>
                <c:pt idx="134">
                  <c:v>7.8682978578142502E-4</c:v>
                </c:pt>
                <c:pt idx="135">
                  <c:v>9.4128379149882005E-4</c:v>
                </c:pt>
                <c:pt idx="136">
                  <c:v>5.7929591773965604E-4</c:v>
                </c:pt>
                <c:pt idx="137">
                  <c:v>8.1036010011384298E-4</c:v>
                </c:pt>
                <c:pt idx="138">
                  <c:v>7.1655195854104499E-4</c:v>
                </c:pt>
                <c:pt idx="139">
                  <c:v>5.27233222673884E-4</c:v>
                </c:pt>
                <c:pt idx="140">
                  <c:v>6.0934629047869403E-4</c:v>
                </c:pt>
                <c:pt idx="141">
                  <c:v>1.1594191116200601E-3</c:v>
                </c:pt>
                <c:pt idx="142">
                  <c:v>1.0838717426403599E-3</c:v>
                </c:pt>
                <c:pt idx="143">
                  <c:v>1.31380153629071E-3</c:v>
                </c:pt>
                <c:pt idx="144">
                  <c:v>2.37655441794945E-4</c:v>
                </c:pt>
                <c:pt idx="145">
                  <c:v>8.0849571529607097E-4</c:v>
                </c:pt>
                <c:pt idx="146">
                  <c:v>1.04314867412723E-3</c:v>
                </c:pt>
                <c:pt idx="147">
                  <c:v>3.1701017011053298E-4</c:v>
                </c:pt>
                <c:pt idx="148">
                  <c:v>2.6664169024658799E-4</c:v>
                </c:pt>
                <c:pt idx="149">
                  <c:v>6.2703910963259296E-4</c:v>
                </c:pt>
                <c:pt idx="150">
                  <c:v>1.1288974704585901E-3</c:v>
                </c:pt>
                <c:pt idx="151">
                  <c:v>7.7574218674636105E-4</c:v>
                </c:pt>
                <c:pt idx="152">
                  <c:v>1.1330923881738399E-3</c:v>
                </c:pt>
                <c:pt idx="153">
                  <c:v>6.3096705534936796E-4</c:v>
                </c:pt>
                <c:pt idx="154">
                  <c:v>6.6610581802733202E-4</c:v>
                </c:pt>
                <c:pt idx="155">
                  <c:v>1.19581451960765E-3</c:v>
                </c:pt>
                <c:pt idx="156">
                  <c:v>1.7989280274511001E-4</c:v>
                </c:pt>
                <c:pt idx="157">
                  <c:v>1.0164113910111499E-3</c:v>
                </c:pt>
                <c:pt idx="158">
                  <c:v>3.8361631671372001E-4</c:v>
                </c:pt>
                <c:pt idx="159">
                  <c:v>1.9268879731872601E-4</c:v>
                </c:pt>
                <c:pt idx="160">
                  <c:v>2.4295208774072701E-4</c:v>
                </c:pt>
                <c:pt idx="161">
                  <c:v>3.28760598350464E-4</c:v>
                </c:pt>
                <c:pt idx="162">
                  <c:v>5.4183476239942705E-4</c:v>
                </c:pt>
                <c:pt idx="163">
                  <c:v>8.1951014870427802E-4</c:v>
                </c:pt>
                <c:pt idx="164">
                  <c:v>1.17211243233729E-3</c:v>
                </c:pt>
                <c:pt idx="165">
                  <c:v>1.0343146307805499E-3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FHLC* x 10 dma / VHT*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-3.0784923680710701E-3</c:v>
                </c:pt>
                <c:pt idx="54">
                  <c:v>-2.11308571173624E-3</c:v>
                </c:pt>
                <c:pt idx="55">
                  <c:v>1.78789564620585E-3</c:v>
                </c:pt>
                <c:pt idx="56">
                  <c:v>9.970606436582939E-4</c:v>
                </c:pt>
                <c:pt idx="57">
                  <c:v>1.44350734366416E-3</c:v>
                </c:pt>
                <c:pt idx="58">
                  <c:v>6.0490363409114098E-4</c:v>
                </c:pt>
                <c:pt idx="59">
                  <c:v>5.5913597322643899E-4</c:v>
                </c:pt>
                <c:pt idx="60">
                  <c:v>9.5423527894973701E-4</c:v>
                </c:pt>
                <c:pt idx="61">
                  <c:v>7.4804367705784099E-4</c:v>
                </c:pt>
                <c:pt idx="62">
                  <c:v>6.6653999864816802E-4</c:v>
                </c:pt>
                <c:pt idx="63">
                  <c:v>9.6813446291076804E-4</c:v>
                </c:pt>
                <c:pt idx="64">
                  <c:v>-4.4223940019247297E-5</c:v>
                </c:pt>
                <c:pt idx="65">
                  <c:v>-3.1014014287329E-4</c:v>
                </c:pt>
                <c:pt idx="66">
                  <c:v>-3.3484483289819599E-4</c:v>
                </c:pt>
                <c:pt idx="67">
                  <c:v>-3.1074861869634601E-4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2.0367384745507801E-4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2.9830890835490299E-5</c:v>
                </c:pt>
                <c:pt idx="74">
                  <c:v>2.5181241957027497E-4</c:v>
                </c:pt>
                <c:pt idx="75">
                  <c:v>3.5068104000964299E-4</c:v>
                </c:pt>
                <c:pt idx="76">
                  <c:v>6.5135290237575301E-4</c:v>
                </c:pt>
                <c:pt idx="77">
                  <c:v>2.2999797091567299E-4</c:v>
                </c:pt>
                <c:pt idx="78">
                  <c:v>1.34146050545201E-4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1.87608589024297E-4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9.2851373005175503E-5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3.1738621161687698E-4</c:v>
                </c:pt>
                <c:pt idx="89">
                  <c:v>4.03589262539702E-5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-4.1530598419469601E-5</c:v>
                </c:pt>
                <c:pt idx="96">
                  <c:v>-1.7477872940460801E-5</c:v>
                </c:pt>
                <c:pt idx="97">
                  <c:v>-1.53638070303427E-4</c:v>
                </c:pt>
                <c:pt idx="98">
                  <c:v>3.2359944758987303E-5</c:v>
                </c:pt>
                <c:pt idx="99">
                  <c:v>3.3255062994308601E-4</c:v>
                </c:pt>
                <c:pt idx="100">
                  <c:v>-2.3021688842501001E-4</c:v>
                </c:pt>
                <c:pt idx="101">
                  <c:v>-3.6201023481600498E-4</c:v>
                </c:pt>
                <c:pt idx="102">
                  <c:v>5.1935771429518997E-4</c:v>
                </c:pt>
                <c:pt idx="103">
                  <c:v>1.50510420212184E-4</c:v>
                </c:pt>
                <c:pt idx="104">
                  <c:v>-1.3508631739240999E-5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2.0543072020266101E-4</c:v>
                </c:pt>
                <c:pt idx="111">
                  <c:v>-1.1752145910528401E-5</c:v>
                </c:pt>
                <c:pt idx="112">
                  <c:v>-3.7500370978642999E-4</c:v>
                </c:pt>
                <c:pt idx="113">
                  <c:v>4.0635142495824898E-4</c:v>
                </c:pt>
                <c:pt idx="114">
                  <c:v>-5.2802602398854001E-4</c:v>
                </c:pt>
                <c:pt idx="115">
                  <c:v>-3.8459942995793502E-3</c:v>
                </c:pt>
                <c:pt idx="116">
                  <c:v>-3.7738773440630599E-3</c:v>
                </c:pt>
                <c:pt idx="117">
                  <c:v>-2.9104489755429098E-3</c:v>
                </c:pt>
                <c:pt idx="118">
                  <c:v>2.2968039898417701E-4</c:v>
                </c:pt>
                <c:pt idx="119">
                  <c:v>3.4964583181113803E-4</c:v>
                </c:pt>
                <c:pt idx="120">
                  <c:v>5.8534723367083296E-4</c:v>
                </c:pt>
                <c:pt idx="121">
                  <c:v>5.7223757996309899E-4</c:v>
                </c:pt>
                <c:pt idx="122">
                  <c:v>8.3382296648763104E-4</c:v>
                </c:pt>
                <c:pt idx="123">
                  <c:v>5.8033277894573997E-4</c:v>
                </c:pt>
                <c:pt idx="124">
                  <c:v>9.0794588176770395E-4</c:v>
                </c:pt>
                <c:pt idx="125">
                  <c:v>1.3753438393594899E-3</c:v>
                </c:pt>
                <c:pt idx="126">
                  <c:v>5.2826548465917703E-4</c:v>
                </c:pt>
                <c:pt idx="127">
                  <c:v>4.85383710183598E-4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2.2069465035106099E-4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3.8469740333460202E-4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1.6068288623864301E-4</c:v>
                </c:pt>
                <c:pt idx="137">
                  <c:v>3.3786460909556099E-4</c:v>
                </c:pt>
                <c:pt idx="138">
                  <c:v>1.95161245508607E-4</c:v>
                </c:pt>
                <c:pt idx="139">
                  <c:v>-2.55809532143287E-5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-5.1393033794706205E-4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4.5614232877306198E-4</c:v>
                </c:pt>
                <c:pt idx="156">
                  <c:v>-5.9850185334481504E-4</c:v>
                </c:pt>
                <c:pt idx="157">
                  <c:v>3.2435300434839398E-4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FHLC* x 20 dma / VHT*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-2.91237848283263E-3</c:v>
                </c:pt>
                <c:pt idx="54">
                  <c:v>-2.17595387500428E-3</c:v>
                </c:pt>
                <c:pt idx="55">
                  <c:v>1.5264017881995099E-3</c:v>
                </c:pt>
                <c:pt idx="56">
                  <c:v>8.1434257769345602E-4</c:v>
                </c:pt>
                <c:pt idx="57">
                  <c:v>1.26373669779316E-3</c:v>
                </c:pt>
                <c:pt idx="58">
                  <c:v>4.1703011794111302E-4</c:v>
                </c:pt>
                <c:pt idx="59">
                  <c:v>4.18626058858742E-4</c:v>
                </c:pt>
                <c:pt idx="60">
                  <c:v>7.9954588460023597E-4</c:v>
                </c:pt>
                <c:pt idx="61">
                  <c:v>6.2226499785147103E-4</c:v>
                </c:pt>
                <c:pt idx="62">
                  <c:v>5.7644466784216499E-4</c:v>
                </c:pt>
                <c:pt idx="63">
                  <c:v>9.1962699807309899E-4</c:v>
                </c:pt>
                <c:pt idx="64">
                  <c:v>2.85855989959205E-4</c:v>
                </c:pt>
                <c:pt idx="65">
                  <c:v>3.0795579978364703E-4</c:v>
                </c:pt>
                <c:pt idx="66">
                  <c:v>1.6722222372213299E-4</c:v>
                </c:pt>
                <c:pt idx="67">
                  <c:v>1.5370575971617801E-4</c:v>
                </c:pt>
                <c:pt idx="68">
                  <c:v>-1.92593775809285E-4</c:v>
                </c:pt>
                <c:pt idx="69">
                  <c:v>6.44146342602658E-4</c:v>
                </c:pt>
                <c:pt idx="70">
                  <c:v>5.5016017751967805E-4</c:v>
                </c:pt>
                <c:pt idx="71">
                  <c:v>-2.1333950142573901E-4</c:v>
                </c:pt>
                <c:pt idx="72">
                  <c:v>5.6205307719602905E-4</c:v>
                </c:pt>
                <c:pt idx="73">
                  <c:v>2.35397292486611E-4</c:v>
                </c:pt>
                <c:pt idx="74">
                  <c:v>2.33287054504023E-4</c:v>
                </c:pt>
                <c:pt idx="75">
                  <c:v>2.0845677158150299E-4</c:v>
                </c:pt>
                <c:pt idx="76">
                  <c:v>5.7104087493427204E-4</c:v>
                </c:pt>
                <c:pt idx="77">
                  <c:v>2.0735689229298601E-4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3.6278107842185702E-4</c:v>
                </c:pt>
                <c:pt idx="83">
                  <c:v>9.1992204118700101E-5</c:v>
                </c:pt>
                <c:pt idx="84">
                  <c:v>3.2840624415012698E-4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1.02889040985792E-4</c:v>
                </c:pt>
                <c:pt idx="90">
                  <c:v>6.3010147130614297E-4</c:v>
                </c:pt>
                <c:pt idx="91">
                  <c:v>8.81379505278414E-4</c:v>
                </c:pt>
                <c:pt idx="92">
                  <c:v>5.1005321705001002E-4</c:v>
                </c:pt>
                <c:pt idx="93">
                  <c:v>5.2475931985219103E-4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5.4159723402474804E-4</c:v>
                </c:pt>
                <c:pt idx="100">
                  <c:v>1.35017761060686E-6</c:v>
                </c:pt>
                <c:pt idx="101">
                  <c:v>-1.6971905945164901E-4</c:v>
                </c:pt>
                <c:pt idx="102">
                  <c:v>6.3402249059569898E-4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5.6644611876999304E-4</c:v>
                </c:pt>
                <c:pt idx="109">
                  <c:v>2.6449178987880798E-4</c:v>
                </c:pt>
                <c:pt idx="110">
                  <c:v>2.57760835601567E-4</c:v>
                </c:pt>
                <c:pt idx="111">
                  <c:v>8.3179935463369498E-5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-3.7180560968218001E-3</c:v>
                </c:pt>
                <c:pt idx="116">
                  <c:v>-3.8513532775576302E-3</c:v>
                </c:pt>
                <c:pt idx="117">
                  <c:v>-3.1878067309878402E-3</c:v>
                </c:pt>
                <c:pt idx="118">
                  <c:v>-2.81158580367282E-4</c:v>
                </c:pt>
                <c:pt idx="119">
                  <c:v>-2.5571364866564601E-4</c:v>
                </c:pt>
                <c:pt idx="120">
                  <c:v>-7.2824127285169498E-5</c:v>
                </c:pt>
                <c:pt idx="121">
                  <c:v>-1.5969165617481701E-4</c:v>
                </c:pt>
                <c:pt idx="122">
                  <c:v>3.0960458095050698E-5</c:v>
                </c:pt>
                <c:pt idx="123">
                  <c:v>-2.13661020573598E-4</c:v>
                </c:pt>
                <c:pt idx="124">
                  <c:v>1.9162469006980199E-5</c:v>
                </c:pt>
                <c:pt idx="125">
                  <c:v>4.81092837829378E-4</c:v>
                </c:pt>
                <c:pt idx="126">
                  <c:v>-6.1281451895846096E-6</c:v>
                </c:pt>
                <c:pt idx="127">
                  <c:v>3.0690750315975099E-4</c:v>
                </c:pt>
                <c:pt idx="128">
                  <c:v>4.3285264785830602E-4</c:v>
                </c:pt>
                <c:pt idx="129">
                  <c:v>4.2618174483757902E-4</c:v>
                </c:pt>
                <c:pt idx="130">
                  <c:v>5.4328267055722397E-4</c:v>
                </c:pt>
                <c:pt idx="131">
                  <c:v>6.0249638921549696E-4</c:v>
                </c:pt>
                <c:pt idx="132">
                  <c:v>-2.4997098094714601E-6</c:v>
                </c:pt>
                <c:pt idx="133">
                  <c:v>8.3322644697188697E-4</c:v>
                </c:pt>
                <c:pt idx="134">
                  <c:v>1.0297575073701E-3</c:v>
                </c:pt>
                <c:pt idx="135">
                  <c:v>1.1675558546619801E-3</c:v>
                </c:pt>
                <c:pt idx="136">
                  <c:v>6.1395262097993096E-4</c:v>
                </c:pt>
                <c:pt idx="137">
                  <c:v>6.5616776048745397E-4</c:v>
                </c:pt>
                <c:pt idx="138">
                  <c:v>3.8575671141839502E-4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6.14590015465514E-4</c:v>
                </c:pt>
                <c:pt idx="143">
                  <c:v>8.0122852314531198E-4</c:v>
                </c:pt>
                <c:pt idx="144">
                  <c:v>-3.4436741503933498E-4</c:v>
                </c:pt>
                <c:pt idx="145">
                  <c:v>2.2013979586462E-4</c:v>
                </c:pt>
                <c:pt idx="146">
                  <c:v>4.4158120102004699E-4</c:v>
                </c:pt>
                <c:pt idx="147">
                  <c:v>-3.34691769073704E-4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8.2301379026596794E-5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-6.0158221713815102E-4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3.6083845642015399E-4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VHT*/FHLC*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3.8715231538253501</c:v>
                </c:pt>
                <c:pt idx="1">
                  <c:v>3.8715231538253501</c:v>
                </c:pt>
                <c:pt idx="2">
                  <c:v>3.8715231538253501</c:v>
                </c:pt>
                <c:pt idx="3">
                  <c:v>3.8715231538253501</c:v>
                </c:pt>
                <c:pt idx="4">
                  <c:v>3.8715231538253501</c:v>
                </c:pt>
                <c:pt idx="5">
                  <c:v>3.8715231538253501</c:v>
                </c:pt>
                <c:pt idx="6">
                  <c:v>3.8715231538253501</c:v>
                </c:pt>
                <c:pt idx="7">
                  <c:v>3.8715231538253501</c:v>
                </c:pt>
                <c:pt idx="8">
                  <c:v>3.8715231538253501</c:v>
                </c:pt>
                <c:pt idx="9">
                  <c:v>3.8715231538253501</c:v>
                </c:pt>
                <c:pt idx="10">
                  <c:v>3.8715231538253501</c:v>
                </c:pt>
                <c:pt idx="11">
                  <c:v>3.8715231538253501</c:v>
                </c:pt>
                <c:pt idx="12">
                  <c:v>3.8715231538253501</c:v>
                </c:pt>
                <c:pt idx="13">
                  <c:v>3.8715231538253501</c:v>
                </c:pt>
                <c:pt idx="14">
                  <c:v>3.8715231538253501</c:v>
                </c:pt>
                <c:pt idx="15">
                  <c:v>3.8715231538253501</c:v>
                </c:pt>
                <c:pt idx="16">
                  <c:v>3.8715231538253501</c:v>
                </c:pt>
                <c:pt idx="17">
                  <c:v>3.8715231538253501</c:v>
                </c:pt>
                <c:pt idx="18">
                  <c:v>3.8715231538253501</c:v>
                </c:pt>
                <c:pt idx="19">
                  <c:v>3.8715231538253501</c:v>
                </c:pt>
                <c:pt idx="20">
                  <c:v>3.8715231538253501</c:v>
                </c:pt>
                <c:pt idx="21">
                  <c:v>3.8715231538253501</c:v>
                </c:pt>
                <c:pt idx="22">
                  <c:v>3.8715231538253501</c:v>
                </c:pt>
                <c:pt idx="23">
                  <c:v>3.8715231538253501</c:v>
                </c:pt>
                <c:pt idx="24">
                  <c:v>3.8715231538253501</c:v>
                </c:pt>
                <c:pt idx="25">
                  <c:v>3.8715231538253501</c:v>
                </c:pt>
                <c:pt idx="26">
                  <c:v>3.8715231538253501</c:v>
                </c:pt>
                <c:pt idx="27">
                  <c:v>3.8715231538253501</c:v>
                </c:pt>
                <c:pt idx="28">
                  <c:v>3.8715231538253501</c:v>
                </c:pt>
                <c:pt idx="29">
                  <c:v>3.8715231538253501</c:v>
                </c:pt>
                <c:pt idx="30">
                  <c:v>3.8715231538253501</c:v>
                </c:pt>
                <c:pt idx="31">
                  <c:v>3.8715231538253501</c:v>
                </c:pt>
                <c:pt idx="32">
                  <c:v>3.8715231538253501</c:v>
                </c:pt>
                <c:pt idx="33">
                  <c:v>3.8715231538253501</c:v>
                </c:pt>
                <c:pt idx="34">
                  <c:v>3.8715231538253501</c:v>
                </c:pt>
                <c:pt idx="35">
                  <c:v>3.8715231538253501</c:v>
                </c:pt>
                <c:pt idx="36">
                  <c:v>3.8715231538253501</c:v>
                </c:pt>
                <c:pt idx="37">
                  <c:v>3.8715231538253501</c:v>
                </c:pt>
                <c:pt idx="38">
                  <c:v>3.8715231538253501</c:v>
                </c:pt>
                <c:pt idx="39">
                  <c:v>3.8715231538253501</c:v>
                </c:pt>
                <c:pt idx="40">
                  <c:v>3.8715231538253501</c:v>
                </c:pt>
                <c:pt idx="41">
                  <c:v>3.8715231538253501</c:v>
                </c:pt>
                <c:pt idx="42">
                  <c:v>3.8715231538253501</c:v>
                </c:pt>
                <c:pt idx="43">
                  <c:v>3.8715231538253501</c:v>
                </c:pt>
                <c:pt idx="44">
                  <c:v>3.8715231538253501</c:v>
                </c:pt>
                <c:pt idx="45">
                  <c:v>3.8715231538253501</c:v>
                </c:pt>
                <c:pt idx="46">
                  <c:v>3.8715231538253501</c:v>
                </c:pt>
                <c:pt idx="47">
                  <c:v>3.8715231538253501</c:v>
                </c:pt>
                <c:pt idx="48">
                  <c:v>3.8715231538253501</c:v>
                </c:pt>
                <c:pt idx="49">
                  <c:v>3.8715231538253501</c:v>
                </c:pt>
                <c:pt idx="50">
                  <c:v>3.8715231538253501</c:v>
                </c:pt>
                <c:pt idx="51">
                  <c:v>3.8715231538253501</c:v>
                </c:pt>
                <c:pt idx="52">
                  <c:v>3.8715231538253501</c:v>
                </c:pt>
                <c:pt idx="53">
                  <c:v>3.8715231538253501</c:v>
                </c:pt>
                <c:pt idx="54">
                  <c:v>3.8715231538253501</c:v>
                </c:pt>
                <c:pt idx="55">
                  <c:v>3.8715231538253501</c:v>
                </c:pt>
                <c:pt idx="56">
                  <c:v>3.8715231538253501</c:v>
                </c:pt>
                <c:pt idx="57">
                  <c:v>3.8715231538253501</c:v>
                </c:pt>
                <c:pt idx="58">
                  <c:v>3.8715231538253501</c:v>
                </c:pt>
                <c:pt idx="59">
                  <c:v>3.8715231538253501</c:v>
                </c:pt>
                <c:pt idx="60">
                  <c:v>3.8715231538253501</c:v>
                </c:pt>
                <c:pt idx="61">
                  <c:v>3.8715231538253501</c:v>
                </c:pt>
                <c:pt idx="62">
                  <c:v>3.8715231538253501</c:v>
                </c:pt>
                <c:pt idx="63">
                  <c:v>3.8715231538253501</c:v>
                </c:pt>
                <c:pt idx="64">
                  <c:v>3.8715231538253501</c:v>
                </c:pt>
                <c:pt idx="65">
                  <c:v>3.8715231538253501</c:v>
                </c:pt>
                <c:pt idx="66">
                  <c:v>3.8715231538253501</c:v>
                </c:pt>
                <c:pt idx="67">
                  <c:v>3.8715231538253501</c:v>
                </c:pt>
                <c:pt idx="68">
                  <c:v>3.8715231538253501</c:v>
                </c:pt>
                <c:pt idx="69">
                  <c:v>3.8715231538253501</c:v>
                </c:pt>
                <c:pt idx="70">
                  <c:v>3.8715231538253501</c:v>
                </c:pt>
                <c:pt idx="71">
                  <c:v>3.8715231538253501</c:v>
                </c:pt>
                <c:pt idx="72">
                  <c:v>3.8715231538253501</c:v>
                </c:pt>
                <c:pt idx="73">
                  <c:v>3.8715231538253501</c:v>
                </c:pt>
                <c:pt idx="74">
                  <c:v>3.8715231538253501</c:v>
                </c:pt>
                <c:pt idx="75">
                  <c:v>3.8715231538253501</c:v>
                </c:pt>
                <c:pt idx="76">
                  <c:v>3.8715231538253501</c:v>
                </c:pt>
                <c:pt idx="77">
                  <c:v>3.8715231538253501</c:v>
                </c:pt>
                <c:pt idx="78">
                  <c:v>3.8715231538253501</c:v>
                </c:pt>
                <c:pt idx="79">
                  <c:v>3.8715231538253501</c:v>
                </c:pt>
                <c:pt idx="80">
                  <c:v>3.8715231538253501</c:v>
                </c:pt>
                <c:pt idx="81">
                  <c:v>3.8715231538253501</c:v>
                </c:pt>
                <c:pt idx="82">
                  <c:v>3.8715231538253501</c:v>
                </c:pt>
                <c:pt idx="83">
                  <c:v>3.8715231538253501</c:v>
                </c:pt>
                <c:pt idx="84">
                  <c:v>3.8715231538253501</c:v>
                </c:pt>
                <c:pt idx="85">
                  <c:v>3.8715231538253501</c:v>
                </c:pt>
                <c:pt idx="86">
                  <c:v>3.8715231538253501</c:v>
                </c:pt>
                <c:pt idx="87">
                  <c:v>3.8715231538253501</c:v>
                </c:pt>
                <c:pt idx="88">
                  <c:v>3.8715231538253501</c:v>
                </c:pt>
                <c:pt idx="89">
                  <c:v>3.8715231538253501</c:v>
                </c:pt>
                <c:pt idx="90">
                  <c:v>3.8715231538253501</c:v>
                </c:pt>
                <c:pt idx="91">
                  <c:v>3.8715231538253501</c:v>
                </c:pt>
                <c:pt idx="92">
                  <c:v>3.8715231538253501</c:v>
                </c:pt>
                <c:pt idx="93">
                  <c:v>3.8715231538253501</c:v>
                </c:pt>
                <c:pt idx="94">
                  <c:v>3.8715231538253501</c:v>
                </c:pt>
                <c:pt idx="95">
                  <c:v>3.8715231538253501</c:v>
                </c:pt>
                <c:pt idx="96">
                  <c:v>3.8715231538253501</c:v>
                </c:pt>
                <c:pt idx="97">
                  <c:v>3.8715231538253501</c:v>
                </c:pt>
                <c:pt idx="98">
                  <c:v>3.8715231538253501</c:v>
                </c:pt>
                <c:pt idx="99">
                  <c:v>3.8715231538253501</c:v>
                </c:pt>
                <c:pt idx="100">
                  <c:v>3.8715231538253501</c:v>
                </c:pt>
                <c:pt idx="101">
                  <c:v>3.8715231538253501</c:v>
                </c:pt>
                <c:pt idx="102">
                  <c:v>3.8715231538253501</c:v>
                </c:pt>
                <c:pt idx="103">
                  <c:v>3.8715231538253501</c:v>
                </c:pt>
                <c:pt idx="104">
                  <c:v>3.8715231538253501</c:v>
                </c:pt>
                <c:pt idx="105">
                  <c:v>3.8715231538253501</c:v>
                </c:pt>
                <c:pt idx="106">
                  <c:v>3.8715231538253501</c:v>
                </c:pt>
                <c:pt idx="107">
                  <c:v>3.8715231538253501</c:v>
                </c:pt>
                <c:pt idx="108">
                  <c:v>3.8715231538253501</c:v>
                </c:pt>
                <c:pt idx="109">
                  <c:v>3.8715231538253501</c:v>
                </c:pt>
                <c:pt idx="110">
                  <c:v>3.8715231538253501</c:v>
                </c:pt>
                <c:pt idx="111">
                  <c:v>3.8715231538253501</c:v>
                </c:pt>
                <c:pt idx="112">
                  <c:v>3.8715231538253501</c:v>
                </c:pt>
                <c:pt idx="113">
                  <c:v>3.8715231538253501</c:v>
                </c:pt>
                <c:pt idx="114">
                  <c:v>3.8715231538253501</c:v>
                </c:pt>
                <c:pt idx="115">
                  <c:v>3.8715231538253501</c:v>
                </c:pt>
                <c:pt idx="116">
                  <c:v>3.8715231538253501</c:v>
                </c:pt>
                <c:pt idx="117">
                  <c:v>3.8715231538253501</c:v>
                </c:pt>
                <c:pt idx="118">
                  <c:v>3.8715231538253501</c:v>
                </c:pt>
                <c:pt idx="119">
                  <c:v>3.8715231538253501</c:v>
                </c:pt>
                <c:pt idx="120">
                  <c:v>3.8715231538253501</c:v>
                </c:pt>
                <c:pt idx="121">
                  <c:v>3.8715231538253501</c:v>
                </c:pt>
                <c:pt idx="122">
                  <c:v>3.8715231538253501</c:v>
                </c:pt>
                <c:pt idx="123">
                  <c:v>3.8715231538253501</c:v>
                </c:pt>
                <c:pt idx="124">
                  <c:v>3.8715231538253501</c:v>
                </c:pt>
                <c:pt idx="125">
                  <c:v>3.8715231538253501</c:v>
                </c:pt>
                <c:pt idx="126">
                  <c:v>3.8715231538253501</c:v>
                </c:pt>
                <c:pt idx="127">
                  <c:v>3.8715231538253501</c:v>
                </c:pt>
                <c:pt idx="128">
                  <c:v>3.8715231538253501</c:v>
                </c:pt>
                <c:pt idx="129">
                  <c:v>3.8715231538253501</c:v>
                </c:pt>
                <c:pt idx="130">
                  <c:v>3.8715231538253501</c:v>
                </c:pt>
                <c:pt idx="131">
                  <c:v>3.8715231538253501</c:v>
                </c:pt>
                <c:pt idx="132">
                  <c:v>3.8715231538253501</c:v>
                </c:pt>
                <c:pt idx="133">
                  <c:v>3.8715231538253501</c:v>
                </c:pt>
                <c:pt idx="134">
                  <c:v>3.8715231538253501</c:v>
                </c:pt>
                <c:pt idx="135">
                  <c:v>3.8715231538253501</c:v>
                </c:pt>
                <c:pt idx="136">
                  <c:v>3.8715231538253501</c:v>
                </c:pt>
                <c:pt idx="137">
                  <c:v>3.8715231538253501</c:v>
                </c:pt>
                <c:pt idx="138">
                  <c:v>3.8715231538253501</c:v>
                </c:pt>
                <c:pt idx="139">
                  <c:v>3.8715231538253501</c:v>
                </c:pt>
                <c:pt idx="140">
                  <c:v>3.8715231538253501</c:v>
                </c:pt>
                <c:pt idx="141">
                  <c:v>3.8715231538253501</c:v>
                </c:pt>
                <c:pt idx="142">
                  <c:v>3.8715231538253501</c:v>
                </c:pt>
                <c:pt idx="143">
                  <c:v>3.8715231538253501</c:v>
                </c:pt>
                <c:pt idx="144">
                  <c:v>3.8715231538253501</c:v>
                </c:pt>
                <c:pt idx="145">
                  <c:v>3.8715231538253501</c:v>
                </c:pt>
                <c:pt idx="146">
                  <c:v>3.8715231538253501</c:v>
                </c:pt>
                <c:pt idx="147">
                  <c:v>3.8715231538253501</c:v>
                </c:pt>
                <c:pt idx="148">
                  <c:v>3.8715231538253501</c:v>
                </c:pt>
                <c:pt idx="149">
                  <c:v>3.8715231538253501</c:v>
                </c:pt>
                <c:pt idx="150">
                  <c:v>3.8715231538253501</c:v>
                </c:pt>
                <c:pt idx="151">
                  <c:v>3.8715231538253501</c:v>
                </c:pt>
                <c:pt idx="152">
                  <c:v>3.8715231538253501</c:v>
                </c:pt>
                <c:pt idx="153">
                  <c:v>3.8715231538253501</c:v>
                </c:pt>
                <c:pt idx="154">
                  <c:v>3.8715231538253501</c:v>
                </c:pt>
                <c:pt idx="155">
                  <c:v>3.8715231538253501</c:v>
                </c:pt>
                <c:pt idx="156">
                  <c:v>3.8715231538253501</c:v>
                </c:pt>
                <c:pt idx="157">
                  <c:v>3.8715231538253501</c:v>
                </c:pt>
                <c:pt idx="158">
                  <c:v>3.8715231538253501</c:v>
                </c:pt>
                <c:pt idx="159">
                  <c:v>3.8715231538253501</c:v>
                </c:pt>
                <c:pt idx="160">
                  <c:v>3.8715231538253501</c:v>
                </c:pt>
                <c:pt idx="161">
                  <c:v>3.8715231538253501</c:v>
                </c:pt>
                <c:pt idx="162">
                  <c:v>3.8715231538253501</c:v>
                </c:pt>
                <c:pt idx="163">
                  <c:v>3.8715231538253501</c:v>
                </c:pt>
                <c:pt idx="164">
                  <c:v>3.8715231538253501</c:v>
                </c:pt>
                <c:pt idx="165">
                  <c:v>3.8715231538253501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VHT*/FHLC*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  <c:pt idx="155">
                  <c:v>3.86851075346175</c:v>
                </c:pt>
                <c:pt idx="156">
                  <c:v>3.8688447606667098</c:v>
                </c:pt>
                <c:pt idx="157">
                  <c:v>3.8685741663274502</c:v>
                </c:pt>
                <c:pt idx="158">
                  <c:v>3.86852889405167</c:v>
                </c:pt>
                <c:pt idx="159">
                  <c:v>3.8686969848735999</c:v>
                </c:pt>
                <c:pt idx="160">
                  <c:v>3.8690397455023802</c:v>
                </c:pt>
                <c:pt idx="161">
                  <c:v>3.86921269992001</c:v>
                </c:pt>
                <c:pt idx="162">
                  <c:v>3.8694414150613201</c:v>
                </c:pt>
                <c:pt idx="163">
                  <c:v>3.86936847308559</c:v>
                </c:pt>
                <c:pt idx="164">
                  <c:v>3.8691727514234402</c:v>
                </c:pt>
                <c:pt idx="165">
                  <c:v>3.8692352067987801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VHT*/FHLC*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  <c:pt idx="155">
                  <c:v>3.8684988370596498</c:v>
                </c:pt>
                <c:pt idx="156">
                  <c:v>3.8685761226377902</c:v>
                </c:pt>
                <c:pt idx="157">
                  <c:v>3.8685362724357799</c:v>
                </c:pt>
                <c:pt idx="158">
                  <c:v>3.8686006853960899</c:v>
                </c:pt>
                <c:pt idx="159">
                  <c:v>3.86866542191401</c:v>
                </c:pt>
                <c:pt idx="160">
                  <c:v>3.8687363168780999</c:v>
                </c:pt>
                <c:pt idx="161">
                  <c:v>3.8688969929641401</c:v>
                </c:pt>
                <c:pt idx="162">
                  <c:v>3.8690018331470601</c:v>
                </c:pt>
                <c:pt idx="163">
                  <c:v>3.8690974141691701</c:v>
                </c:pt>
                <c:pt idx="164">
                  <c:v>3.8689166530293702</c:v>
                </c:pt>
                <c:pt idx="165">
                  <c:v>3.8688729801302699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FHLC x avg / VHT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-6.9824209218667796E-4</c:v>
                </c:pt>
                <c:pt idx="2">
                  <c:v>5.4565686321890802E-5</c:v>
                </c:pt>
                <c:pt idx="3">
                  <c:v>-7.9673673625598905E-4</c:v>
                </c:pt>
                <c:pt idx="4">
                  <c:v>-3.1591363806506001E-4</c:v>
                </c:pt>
                <c:pt idx="5">
                  <c:v>-9.6592210165242305E-4</c:v>
                </c:pt>
                <c:pt idx="6">
                  <c:v>-9.2328861537500798E-4</c:v>
                </c:pt>
                <c:pt idx="7">
                  <c:v>-6.6172694390482405E-4</c:v>
                </c:pt>
                <c:pt idx="8">
                  <c:v>-1.65171931664045E-3</c:v>
                </c:pt>
                <c:pt idx="9">
                  <c:v>-1.35586906086101E-3</c:v>
                </c:pt>
                <c:pt idx="10">
                  <c:v>-9.4943065026395696E-4</c:v>
                </c:pt>
                <c:pt idx="11">
                  <c:v>-1.48100709123644E-3</c:v>
                </c:pt>
                <c:pt idx="12">
                  <c:v>-1.11424103733693E-3</c:v>
                </c:pt>
                <c:pt idx="13">
                  <c:v>-1.3385181763499599E-3</c:v>
                </c:pt>
                <c:pt idx="14">
                  <c:v>-9.4035577324798E-4</c:v>
                </c:pt>
                <c:pt idx="15">
                  <c:v>-9.9549055675879697E-4</c:v>
                </c:pt>
                <c:pt idx="16">
                  <c:v>-1.06173718273129E-3</c:v>
                </c:pt>
                <c:pt idx="17">
                  <c:v>-6.7107189976715702E-4</c:v>
                </c:pt>
                <c:pt idx="18">
                  <c:v>-7.2289238124246505E-4</c:v>
                </c:pt>
                <c:pt idx="19">
                  <c:v>-9.8903183988883103E-4</c:v>
                </c:pt>
                <c:pt idx="20">
                  <c:v>-9.4090542993389504E-4</c:v>
                </c:pt>
                <c:pt idx="21">
                  <c:v>-9.5440572231508803E-4</c:v>
                </c:pt>
                <c:pt idx="22">
                  <c:v>-1.3261682523283301E-3</c:v>
                </c:pt>
                <c:pt idx="23">
                  <c:v>-5.6981821984695904E-4</c:v>
                </c:pt>
                <c:pt idx="24">
                  <c:v>-3.4406352328533903E-4</c:v>
                </c:pt>
                <c:pt idx="25">
                  <c:v>-3.31106871053861E-4</c:v>
                </c:pt>
                <c:pt idx="26">
                  <c:v>-6.1514357690519805E-4</c:v>
                </c:pt>
                <c:pt idx="27">
                  <c:v>-1.4476838308811999E-4</c:v>
                </c:pt>
                <c:pt idx="28">
                  <c:v>-1.2147531091410101E-3</c:v>
                </c:pt>
                <c:pt idx="29">
                  <c:v>-6.2219975654910899E-4</c:v>
                </c:pt>
                <c:pt idx="30">
                  <c:v>-6.7830374532750805E-4</c:v>
                </c:pt>
                <c:pt idx="31">
                  <c:v>-9.6628522060429199E-4</c:v>
                </c:pt>
                <c:pt idx="32">
                  <c:v>-9.4062884413333701E-4</c:v>
                </c:pt>
                <c:pt idx="33">
                  <c:v>-8.0279759829962095E-4</c:v>
                </c:pt>
                <c:pt idx="34">
                  <c:v>-7.7382258289287499E-4</c:v>
                </c:pt>
                <c:pt idx="35">
                  <c:v>-5.8940782458978503E-4</c:v>
                </c:pt>
                <c:pt idx="36">
                  <c:v>-6.8354722421418298E-4</c:v>
                </c:pt>
                <c:pt idx="37">
                  <c:v>-1.09927278646303E-3</c:v>
                </c:pt>
                <c:pt idx="38">
                  <c:v>-6.43887079578976E-4</c:v>
                </c:pt>
                <c:pt idx="39">
                  <c:v>-5.3897639786812401E-4</c:v>
                </c:pt>
                <c:pt idx="40">
                  <c:v>-2.8458818033722498E-4</c:v>
                </c:pt>
                <c:pt idx="41">
                  <c:v>-6.39279941574101E-4</c:v>
                </c:pt>
                <c:pt idx="42">
                  <c:v>-9.9868812347899999E-4</c:v>
                </c:pt>
                <c:pt idx="43">
                  <c:v>1.6062038828262601E-4</c:v>
                </c:pt>
                <c:pt idx="44">
                  <c:v>1.7512720067001399E-4</c:v>
                </c:pt>
                <c:pt idx="45">
                  <c:v>-7.0806363680657599E-4</c:v>
                </c:pt>
                <c:pt idx="46">
                  <c:v>-3.1868751892538498E-4</c:v>
                </c:pt>
                <c:pt idx="47">
                  <c:v>-1.7193288373096901E-4</c:v>
                </c:pt>
                <c:pt idx="48">
                  <c:v>-8.7958148787743902E-4</c:v>
                </c:pt>
                <c:pt idx="49">
                  <c:v>-1.9887265033004001E-4</c:v>
                </c:pt>
                <c:pt idx="50">
                  <c:v>-3.0244212352398801E-4</c:v>
                </c:pt>
                <c:pt idx="51">
                  <c:v>-6.2253257036964504E-4</c:v>
                </c:pt>
                <c:pt idx="52">
                  <c:v>-8.6547296491759304E-4</c:v>
                </c:pt>
                <c:pt idx="53">
                  <c:v>-3.4517430702926798E-3</c:v>
                </c:pt>
                <c:pt idx="54">
                  <c:v>-2.84796745743666E-3</c:v>
                </c:pt>
                <c:pt idx="55">
                  <c:v>7.5056815537955998E-4</c:v>
                </c:pt>
                <c:pt idx="56">
                  <c:v>1.05452635426088E-4</c:v>
                </c:pt>
                <c:pt idx="57">
                  <c:v>5.9428096773588999E-4</c:v>
                </c:pt>
                <c:pt idx="58">
                  <c:v>-1.6777963175478299E-4</c:v>
                </c:pt>
                <c:pt idx="59">
                  <c:v>-1.42382295188828E-4</c:v>
                </c:pt>
                <c:pt idx="60">
                  <c:v>2.58363063763456E-4</c:v>
                </c:pt>
                <c:pt idx="61">
                  <c:v>1.0821577562981499E-4</c:v>
                </c:pt>
                <c:pt idx="62">
                  <c:v>9.9761643337573205E-5</c:v>
                </c:pt>
                <c:pt idx="63">
                  <c:v>4.9786647792573601E-4</c:v>
                </c:pt>
                <c:pt idx="64">
                  <c:v>-1.19054742572659E-4</c:v>
                </c:pt>
                <c:pt idx="65">
                  <c:v>-1.1165755499869399E-4</c:v>
                </c:pt>
                <c:pt idx="66">
                  <c:v>-2.22570672731362E-4</c:v>
                </c:pt>
                <c:pt idx="67">
                  <c:v>-2.31281855528981E-4</c:v>
                </c:pt>
                <c:pt idx="68">
                  <c:v>-5.8054829112193804E-4</c:v>
                </c:pt>
                <c:pt idx="69">
                  <c:v>2.7114871503055199E-4</c:v>
                </c:pt>
                <c:pt idx="70">
                  <c:v>2.00654281201894E-4</c:v>
                </c:pt>
                <c:pt idx="71">
                  <c:v>-5.3769777145225598E-4</c:v>
                </c:pt>
                <c:pt idx="72">
                  <c:v>2.4193764111042699E-4</c:v>
                </c:pt>
                <c:pt idx="73">
                  <c:v>-2.93465397081411E-5</c:v>
                </c:pt>
                <c:pt idx="74">
                  <c:v>1.3993054368879599E-4</c:v>
                </c:pt>
                <c:pt idx="75">
                  <c:v>2.6469486040866402E-4</c:v>
                </c:pt>
                <c:pt idx="76">
                  <c:v>6.0299655711960399E-4</c:v>
                </c:pt>
                <c:pt idx="77">
                  <c:v>2.6418206420750602E-4</c:v>
                </c:pt>
                <c:pt idx="78">
                  <c:v>2.1787864248681499E-4</c:v>
                </c:pt>
                <c:pt idx="79">
                  <c:v>6.9069118402558902E-5</c:v>
                </c:pt>
                <c:pt idx="80">
                  <c:v>3.8525645656076001E-4</c:v>
                </c:pt>
                <c:pt idx="81">
                  <c:v>3.4945823539204199E-4</c:v>
                </c:pt>
                <c:pt idx="82">
                  <c:v>4.51368077540241E-4</c:v>
                </c:pt>
                <c:pt idx="83">
                  <c:v>1.9815639269207599E-4</c:v>
                </c:pt>
                <c:pt idx="84">
                  <c:v>4.1958866439739602E-4</c:v>
                </c:pt>
                <c:pt idx="85">
                  <c:v>4.1510594238948403E-4</c:v>
                </c:pt>
                <c:pt idx="86">
                  <c:v>-2.19441308029715E-5</c:v>
                </c:pt>
                <c:pt idx="87">
                  <c:v>4.9923386811114697E-5</c:v>
                </c:pt>
                <c:pt idx="88">
                  <c:v>5.7075853589860803E-4</c:v>
                </c:pt>
                <c:pt idx="89">
                  <c:v>3.2901488916018898E-4</c:v>
                </c:pt>
                <c:pt idx="90">
                  <c:v>8.5912041840294597E-4</c:v>
                </c:pt>
                <c:pt idx="91">
                  <c:v>1.1433123973951501E-3</c:v>
                </c:pt>
                <c:pt idx="92">
                  <c:v>8.5603672421312004E-4</c:v>
                </c:pt>
                <c:pt idx="93">
                  <c:v>9.0144202028263399E-4</c:v>
                </c:pt>
                <c:pt idx="94">
                  <c:v>6.5656804014301701E-4</c:v>
                </c:pt>
                <c:pt idx="95">
                  <c:v>5.3433752030667802E-4</c:v>
                </c:pt>
                <c:pt idx="96">
                  <c:v>5.7031468072560798E-4</c:v>
                </c:pt>
                <c:pt idx="97">
                  <c:v>4.9340069698374596E-4</c:v>
                </c:pt>
                <c:pt idx="98">
                  <c:v>7.2376407778608801E-4</c:v>
                </c:pt>
                <c:pt idx="99">
                  <c:v>1.03925610966365E-3</c:v>
                </c:pt>
                <c:pt idx="100">
                  <c:v>5.4751684031613998E-4</c:v>
                </c:pt>
                <c:pt idx="101">
                  <c:v>3.8456130264926102E-4</c:v>
                </c:pt>
                <c:pt idx="102">
                  <c:v>1.19005833631992E-3</c:v>
                </c:pt>
                <c:pt idx="103">
                  <c:v>8.5460199399933995E-4</c:v>
                </c:pt>
                <c:pt idx="104">
                  <c:v>6.8589976500511396E-4</c:v>
                </c:pt>
                <c:pt idx="105">
                  <c:v>8.7401362389766095E-4</c:v>
                </c:pt>
                <c:pt idx="106">
                  <c:v>6.8487581542555102E-4</c:v>
                </c:pt>
                <c:pt idx="107">
                  <c:v>1.22225669576064E-3</c:v>
                </c:pt>
                <c:pt idx="108">
                  <c:v>1.3224698181415399E-3</c:v>
                </c:pt>
                <c:pt idx="109">
                  <c:v>1.05809459756498E-3</c:v>
                </c:pt>
                <c:pt idx="110">
                  <c:v>1.0878219414444999E-3</c:v>
                </c:pt>
                <c:pt idx="111">
                  <c:v>9.2467454305778798E-4</c:v>
                </c:pt>
                <c:pt idx="112">
                  <c:v>6.1545098637542396E-4</c:v>
                </c:pt>
                <c:pt idx="113">
                  <c:v>1.3393419968998599E-3</c:v>
                </c:pt>
                <c:pt idx="114">
                  <c:v>4.5343177505098299E-4</c:v>
                </c:pt>
                <c:pt idx="115">
                  <c:v>-2.8877926039800801E-3</c:v>
                </c:pt>
                <c:pt idx="116">
                  <c:v>-3.1925254327243098E-3</c:v>
                </c:pt>
                <c:pt idx="117">
                  <c:v>-2.7174742291604299E-3</c:v>
                </c:pt>
                <c:pt idx="118">
                  <c:v>2.8388792111844199E-5</c:v>
                </c:pt>
                <c:pt idx="119">
                  <c:v>1.9067876224549802E-5</c:v>
                </c:pt>
                <c:pt idx="120">
                  <c:v>1.5096225814368401E-4</c:v>
                </c:pt>
                <c:pt idx="121">
                  <c:v>4.4269683828436001E-5</c:v>
                </c:pt>
                <c:pt idx="122">
                  <c:v>2.1790753969033199E-4</c:v>
                </c:pt>
                <c:pt idx="123">
                  <c:v>-7.5295175290388599E-5</c:v>
                </c:pt>
                <c:pt idx="124">
                  <c:v>1.1104621657236E-4</c:v>
                </c:pt>
                <c:pt idx="125">
                  <c:v>5.4424313123210095E-4</c:v>
                </c:pt>
                <c:pt idx="126">
                  <c:v>4.0544407049975903E-5</c:v>
                </c:pt>
                <c:pt idx="127">
                  <c:v>3.2137418307574302E-4</c:v>
                </c:pt>
                <c:pt idx="128">
                  <c:v>4.0231031473662301E-4</c:v>
                </c:pt>
                <c:pt idx="129">
                  <c:v>3.4967355504569799E-4</c:v>
                </c:pt>
                <c:pt idx="130">
                  <c:v>4.3138168576339501E-4</c:v>
                </c:pt>
                <c:pt idx="131">
                  <c:v>4.57802520756618E-4</c:v>
                </c:pt>
                <c:pt idx="132">
                  <c:v>-1.7051740207414901E-4</c:v>
                </c:pt>
                <c:pt idx="133">
                  <c:v>6.2592644826090502E-4</c:v>
                </c:pt>
                <c:pt idx="134">
                  <c:v>7.8682978578142502E-4</c:v>
                </c:pt>
                <c:pt idx="135">
                  <c:v>9.4128379149882005E-4</c:v>
                </c:pt>
                <c:pt idx="136">
                  <c:v>5.7929591773965604E-4</c:v>
                </c:pt>
                <c:pt idx="137">
                  <c:v>8.1036010011384298E-4</c:v>
                </c:pt>
                <c:pt idx="138">
                  <c:v>7.1655195854104499E-4</c:v>
                </c:pt>
                <c:pt idx="139">
                  <c:v>5.27233222673884E-4</c:v>
                </c:pt>
                <c:pt idx="140">
                  <c:v>6.0934629047869403E-4</c:v>
                </c:pt>
                <c:pt idx="141">
                  <c:v>1.1594191116200601E-3</c:v>
                </c:pt>
                <c:pt idx="142">
                  <c:v>1.0838717426403599E-3</c:v>
                </c:pt>
                <c:pt idx="143">
                  <c:v>1.31380153629071E-3</c:v>
                </c:pt>
                <c:pt idx="144">
                  <c:v>2.37655441794945E-4</c:v>
                </c:pt>
                <c:pt idx="145">
                  <c:v>8.0849571529607097E-4</c:v>
                </c:pt>
                <c:pt idx="146">
                  <c:v>1.04314867412723E-3</c:v>
                </c:pt>
                <c:pt idx="147">
                  <c:v>3.1701017011053298E-4</c:v>
                </c:pt>
                <c:pt idx="148">
                  <c:v>2.6664169024658799E-4</c:v>
                </c:pt>
                <c:pt idx="149">
                  <c:v>6.2703910963259296E-4</c:v>
                </c:pt>
                <c:pt idx="150">
                  <c:v>1.1288974704585901E-3</c:v>
                </c:pt>
                <c:pt idx="151">
                  <c:v>7.7574218674636105E-4</c:v>
                </c:pt>
                <c:pt idx="152">
                  <c:v>1.1330923881738399E-3</c:v>
                </c:pt>
                <c:pt idx="153">
                  <c:v>6.3096705534936796E-4</c:v>
                </c:pt>
                <c:pt idx="154">
                  <c:v>6.6610581802733202E-4</c:v>
                </c:pt>
                <c:pt idx="155">
                  <c:v>1.19581451960765E-3</c:v>
                </c:pt>
                <c:pt idx="156">
                  <c:v>1.7989280274511001E-4</c:v>
                </c:pt>
                <c:pt idx="157">
                  <c:v>1.0164113910111499E-3</c:v>
                </c:pt>
                <c:pt idx="158">
                  <c:v>3.8361631671372001E-4</c:v>
                </c:pt>
                <c:pt idx="159">
                  <c:v>1.9268879731872601E-4</c:v>
                </c:pt>
                <c:pt idx="160">
                  <c:v>2.4295208774072701E-4</c:v>
                </c:pt>
                <c:pt idx="161">
                  <c:v>3.28760598350464E-4</c:v>
                </c:pt>
                <c:pt idx="162">
                  <c:v>5.4183476239942705E-4</c:v>
                </c:pt>
                <c:pt idx="163">
                  <c:v>8.1951014870427802E-4</c:v>
                </c:pt>
                <c:pt idx="164">
                  <c:v>1.17211243233729E-3</c:v>
                </c:pt>
                <c:pt idx="165">
                  <c:v>1.0343146307805499E-3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FHLC x 10 dma / VHT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-1.8692225463285E-4</c:v>
                </c:pt>
                <c:pt idx="11">
                  <c:v>-6.5447441622631995E-4</c:v>
                </c:pt>
                <c:pt idx="12">
                  <c:v>-2.0941432885707701E-4</c:v>
                </c:pt>
                <c:pt idx="13">
                  <c:v>-3.1686143450121998E-4</c:v>
                </c:pt>
                <c:pt idx="14">
                  <c:v>1.35480136220248E-4</c:v>
                </c:pt>
                <c:pt idx="15">
                  <c:v>1.42759669335102E-4</c:v>
                </c:pt>
                <c:pt idx="16">
                  <c:v>7.9469418707092497E-5</c:v>
                </c:pt>
                <c:pt idx="17">
                  <c:v>4.8397740411733402E-4</c:v>
                </c:pt>
                <c:pt idx="18">
                  <c:v>4.3309096126254598E-4</c:v>
                </c:pt>
                <c:pt idx="19">
                  <c:v>7.4061582237986293E-5</c:v>
                </c:pt>
                <c:pt idx="20">
                  <c:v>8.5499585036352306E-5</c:v>
                </c:pt>
                <c:pt idx="21">
                  <c:v>7.1146839512372799E-5</c:v>
                </c:pt>
                <c:pt idx="22">
                  <c:v>-3.5328733494836601E-4</c:v>
                </c:pt>
                <c:pt idx="23">
                  <c:v>4.2426043650934699E-4</c:v>
                </c:pt>
                <c:pt idx="24">
                  <c:v>5.73145248969783E-4</c:v>
                </c:pt>
                <c:pt idx="25">
                  <c:v>5.2648729413660002E-4</c:v>
                </c:pt>
                <c:pt idx="26">
                  <c:v>1.7602291964325401E-4</c:v>
                </c:pt>
                <c:pt idx="27">
                  <c:v>6.0173564388194402E-4</c:v>
                </c:pt>
                <c:pt idx="28">
                  <c:v>-5.2086300176163998E-4</c:v>
                </c:pt>
                <c:pt idx="29">
                  <c:v>1.20888738571356E-4</c:v>
                </c:pt>
                <c:pt idx="30">
                  <c:v>2.80985745500139E-5</c:v>
                </c:pt>
                <c:pt idx="31">
                  <c:v>-2.8614612438686797E-4</c:v>
                </c:pt>
                <c:pt idx="32">
                  <c:v>-2.59301465875457E-4</c:v>
                </c:pt>
                <c:pt idx="33">
                  <c:v>-1.60042338060057E-4</c:v>
                </c:pt>
                <c:pt idx="34">
                  <c:v>-1.0776864146264999E-4</c:v>
                </c:pt>
                <c:pt idx="35">
                  <c:v>1.19616496951274E-4</c:v>
                </c:pt>
                <c:pt idx="36">
                  <c:v>5.1300434451170298E-5</c:v>
                </c:pt>
                <c:pt idx="37">
                  <c:v>-3.5758537129811102E-4</c:v>
                </c:pt>
                <c:pt idx="38">
                  <c:v>1.93234803964412E-4</c:v>
                </c:pt>
                <c:pt idx="39">
                  <c:v>2.4105198861605999E-4</c:v>
                </c:pt>
                <c:pt idx="40">
                  <c:v>4.8711949530305199E-4</c:v>
                </c:pt>
                <c:pt idx="41">
                  <c:v>9.3066829079490194E-5</c:v>
                </c:pt>
                <c:pt idx="42">
                  <c:v>-2.9904471899288399E-4</c:v>
                </c:pt>
                <c:pt idx="43">
                  <c:v>8.6607127174061303E-4</c:v>
                </c:pt>
                <c:pt idx="44">
                  <c:v>7.8426866718003005E-4</c:v>
                </c:pt>
                <c:pt idx="45">
                  <c:v>-1.9379225891643899E-4</c:v>
                </c:pt>
                <c:pt idx="46">
                  <c:v>2.0745096538420801E-4</c:v>
                </c:pt>
                <c:pt idx="47">
                  <c:v>3.17719877159524E-4</c:v>
                </c:pt>
                <c:pt idx="48">
                  <c:v>-4.82680557421849E-4</c:v>
                </c:pt>
                <c:pt idx="49">
                  <c:v>2.2160604353886E-4</c:v>
                </c:pt>
                <c:pt idx="50">
                  <c:v>8.4027370452364802E-5</c:v>
                </c:pt>
                <c:pt idx="51">
                  <c:v>-2.3427784962071701E-4</c:v>
                </c:pt>
                <c:pt idx="52">
                  <c:v>-4.7889338911852699E-4</c:v>
                </c:pt>
                <c:pt idx="53">
                  <c:v>-3.0784923680710701E-3</c:v>
                </c:pt>
                <c:pt idx="54">
                  <c:v>-2.11308571173624E-3</c:v>
                </c:pt>
                <c:pt idx="55">
                  <c:v>1.78789564620585E-3</c:v>
                </c:pt>
                <c:pt idx="56">
                  <c:v>9.970606436582939E-4</c:v>
                </c:pt>
                <c:pt idx="57">
                  <c:v>1.44350734366416E-3</c:v>
                </c:pt>
                <c:pt idx="58">
                  <c:v>6.0490363409114098E-4</c:v>
                </c:pt>
                <c:pt idx="59">
                  <c:v>5.5913597322643899E-4</c:v>
                </c:pt>
                <c:pt idx="60">
                  <c:v>9.5423527894973701E-4</c:v>
                </c:pt>
                <c:pt idx="61">
                  <c:v>7.4804367705784099E-4</c:v>
                </c:pt>
                <c:pt idx="62">
                  <c:v>6.6653999864816802E-4</c:v>
                </c:pt>
                <c:pt idx="63">
                  <c:v>9.6813446291076804E-4</c:v>
                </c:pt>
                <c:pt idx="64">
                  <c:v>-4.4223940019247297E-5</c:v>
                </c:pt>
                <c:pt idx="65">
                  <c:v>-3.1014014287329E-4</c:v>
                </c:pt>
                <c:pt idx="66">
                  <c:v>-3.3484483289819599E-4</c:v>
                </c:pt>
                <c:pt idx="67">
                  <c:v>-3.1074861869634601E-4</c:v>
                </c:pt>
                <c:pt idx="68">
                  <c:v>-5.7747059952416703E-4</c:v>
                </c:pt>
                <c:pt idx="69">
                  <c:v>3.1551774047973202E-4</c:v>
                </c:pt>
                <c:pt idx="70">
                  <c:v>2.0367384745507801E-4</c:v>
                </c:pt>
                <c:pt idx="71">
                  <c:v>-5.2890868532194896E-4</c:v>
                </c:pt>
                <c:pt idx="72">
                  <c:v>3.1532930036359401E-4</c:v>
                </c:pt>
                <c:pt idx="73">
                  <c:v>2.9830890835490299E-5</c:v>
                </c:pt>
                <c:pt idx="74">
                  <c:v>2.5181241957027497E-4</c:v>
                </c:pt>
                <c:pt idx="75">
                  <c:v>3.5068104000964299E-4</c:v>
                </c:pt>
                <c:pt idx="76">
                  <c:v>6.5135290237575301E-4</c:v>
                </c:pt>
                <c:pt idx="77">
                  <c:v>2.2999797091567299E-4</c:v>
                </c:pt>
                <c:pt idx="78">
                  <c:v>1.34146050545201E-4</c:v>
                </c:pt>
                <c:pt idx="79">
                  <c:v>-9.4530524810766694E-5</c:v>
                </c:pt>
                <c:pt idx="80">
                  <c:v>2.41864437330435E-4</c:v>
                </c:pt>
                <c:pt idx="81">
                  <c:v>1.87608589024297E-4</c:v>
                </c:pt>
                <c:pt idx="82">
                  <c:v>2.0077617871392899E-4</c:v>
                </c:pt>
                <c:pt idx="83">
                  <c:v>-7.3376757369981397E-5</c:v>
                </c:pt>
                <c:pt idx="84">
                  <c:v>1.25300704537428E-4</c:v>
                </c:pt>
                <c:pt idx="85">
                  <c:v>9.2851373005175503E-5</c:v>
                </c:pt>
                <c:pt idx="86">
                  <c:v>-3.5923965610347398E-4</c:v>
                </c:pt>
                <c:pt idx="87">
                  <c:v>-2.2487709866305999E-4</c:v>
                </c:pt>
                <c:pt idx="88">
                  <c:v>3.1738621161687698E-4</c:v>
                </c:pt>
                <c:pt idx="89">
                  <c:v>4.03589262539702E-5</c:v>
                </c:pt>
                <c:pt idx="90">
                  <c:v>5.4446721084082503E-4</c:v>
                </c:pt>
                <c:pt idx="91">
                  <c:v>7.8128624187099097E-4</c:v>
                </c:pt>
                <c:pt idx="92">
                  <c:v>4.1465250828603902E-4</c:v>
                </c:pt>
                <c:pt idx="93">
                  <c:v>4.1959871189344098E-4</c:v>
                </c:pt>
                <c:pt idx="94">
                  <c:v>1.04398473789996E-4</c:v>
                </c:pt>
                <c:pt idx="95">
                  <c:v>-4.1530598419469601E-5</c:v>
                </c:pt>
                <c:pt idx="96">
                  <c:v>-1.7477872940460801E-5</c:v>
                </c:pt>
                <c:pt idx="97">
                  <c:v>-1.53638070303427E-4</c:v>
                </c:pt>
                <c:pt idx="98">
                  <c:v>3.2359944758987303E-5</c:v>
                </c:pt>
                <c:pt idx="99">
                  <c:v>3.3255062994308601E-4</c:v>
                </c:pt>
                <c:pt idx="100">
                  <c:v>-2.3021688842501001E-4</c:v>
                </c:pt>
                <c:pt idx="101">
                  <c:v>-3.6201023481600498E-4</c:v>
                </c:pt>
                <c:pt idx="102">
                  <c:v>5.1935771429518997E-4</c:v>
                </c:pt>
                <c:pt idx="103">
                  <c:v>1.50510420212184E-4</c:v>
                </c:pt>
                <c:pt idx="104">
                  <c:v>-1.3508631739240999E-5</c:v>
                </c:pt>
                <c:pt idx="105">
                  <c:v>1.7167196772324001E-4</c:v>
                </c:pt>
                <c:pt idx="106">
                  <c:v>-5.14339658879365E-5</c:v>
                </c:pt>
                <c:pt idx="107">
                  <c:v>4.7448948982119199E-4</c:v>
                </c:pt>
                <c:pt idx="108">
                  <c:v>5.0182237646760695E-4</c:v>
                </c:pt>
                <c:pt idx="109">
                  <c:v>1.77586910111526E-4</c:v>
                </c:pt>
                <c:pt idx="110">
                  <c:v>2.0543072020266101E-4</c:v>
                </c:pt>
                <c:pt idx="111">
                  <c:v>-1.1752145910528401E-5</c:v>
                </c:pt>
                <c:pt idx="112">
                  <c:v>-3.7500370978642999E-4</c:v>
                </c:pt>
                <c:pt idx="113">
                  <c:v>4.0635142495824898E-4</c:v>
                </c:pt>
                <c:pt idx="114">
                  <c:v>-5.2802602398854001E-4</c:v>
                </c:pt>
                <c:pt idx="115">
                  <c:v>-3.8459942995793502E-3</c:v>
                </c:pt>
                <c:pt idx="116">
                  <c:v>-3.7738773440630599E-3</c:v>
                </c:pt>
                <c:pt idx="117">
                  <c:v>-2.9104489755429098E-3</c:v>
                </c:pt>
                <c:pt idx="118">
                  <c:v>2.2968039898417701E-4</c:v>
                </c:pt>
                <c:pt idx="119">
                  <c:v>3.4964583181113803E-4</c:v>
                </c:pt>
                <c:pt idx="120">
                  <c:v>5.8534723367083296E-4</c:v>
                </c:pt>
                <c:pt idx="121">
                  <c:v>5.7223757996309899E-4</c:v>
                </c:pt>
                <c:pt idx="122">
                  <c:v>8.3382296648763104E-4</c:v>
                </c:pt>
                <c:pt idx="123">
                  <c:v>5.8033277894573997E-4</c:v>
                </c:pt>
                <c:pt idx="124">
                  <c:v>9.0794588176770395E-4</c:v>
                </c:pt>
                <c:pt idx="125">
                  <c:v>1.3753438393594899E-3</c:v>
                </c:pt>
                <c:pt idx="126">
                  <c:v>5.2826548465917703E-4</c:v>
                </c:pt>
                <c:pt idx="127">
                  <c:v>4.85383710183598E-4</c:v>
                </c:pt>
                <c:pt idx="128">
                  <c:v>2.62074213814281E-4</c:v>
                </c:pt>
                <c:pt idx="129">
                  <c:v>1.72047411191904E-4</c:v>
                </c:pt>
                <c:pt idx="130">
                  <c:v>2.2069465035106099E-4</c:v>
                </c:pt>
                <c:pt idx="131">
                  <c:v>2.1907540623379701E-4</c:v>
                </c:pt>
                <c:pt idx="132">
                  <c:v>-4.5059814662016802E-4</c:v>
                </c:pt>
                <c:pt idx="133">
                  <c:v>3.8469740333460202E-4</c:v>
                </c:pt>
                <c:pt idx="134">
                  <c:v>4.7547850874145298E-4</c:v>
                </c:pt>
                <c:pt idx="135">
                  <c:v>5.6236117060587604E-4</c:v>
                </c:pt>
                <c:pt idx="136">
                  <c:v>1.6068288623864301E-4</c:v>
                </c:pt>
                <c:pt idx="137">
                  <c:v>3.3786460909556099E-4</c:v>
                </c:pt>
                <c:pt idx="138">
                  <c:v>1.95161245508607E-4</c:v>
                </c:pt>
                <c:pt idx="139">
                  <c:v>-2.55809532143287E-5</c:v>
                </c:pt>
                <c:pt idx="140">
                  <c:v>3.8773959426869199E-5</c:v>
                </c:pt>
                <c:pt idx="141">
                  <c:v>5.7104926814540303E-4</c:v>
                </c:pt>
                <c:pt idx="142">
                  <c:v>4.2535322905047201E-4</c:v>
                </c:pt>
                <c:pt idx="143">
                  <c:v>5.2981090739282399E-4</c:v>
                </c:pt>
                <c:pt idx="144">
                  <c:v>-6.1511227777424297E-4</c:v>
                </c:pt>
                <c:pt idx="145">
                  <c:v>1.06626258312458E-5</c:v>
                </c:pt>
                <c:pt idx="146">
                  <c:v>2.5859328096178698E-4</c:v>
                </c:pt>
                <c:pt idx="147">
                  <c:v>-5.1393033794706205E-4</c:v>
                </c:pt>
                <c:pt idx="148">
                  <c:v>-5.1495185508755505E-4</c:v>
                </c:pt>
                <c:pt idx="149">
                  <c:v>-1.0955137200343899E-4</c:v>
                </c:pt>
                <c:pt idx="150">
                  <c:v>3.82324758725394E-4</c:v>
                </c:pt>
                <c:pt idx="151">
                  <c:v>-2.27806262857462E-5</c:v>
                </c:pt>
                <c:pt idx="152">
                  <c:v>3.7293004628130599E-4</c:v>
                </c:pt>
                <c:pt idx="153">
                  <c:v>-1.3411564904843601E-4</c:v>
                </c:pt>
                <c:pt idx="154">
                  <c:v>-3.0709920992626503E-5</c:v>
                </c:pt>
                <c:pt idx="155">
                  <c:v>4.5614232877306198E-4</c:v>
                </c:pt>
                <c:pt idx="156">
                  <c:v>-5.9850185334481504E-4</c:v>
                </c:pt>
                <c:pt idx="157">
                  <c:v>3.2435300434839398E-4</c:v>
                </c:pt>
                <c:pt idx="158">
                  <c:v>-3.7838641235018701E-4</c:v>
                </c:pt>
                <c:pt idx="159">
                  <c:v>-5.8101657430489895E-4</c:v>
                </c:pt>
                <c:pt idx="160">
                  <c:v>-4.8730338993149098E-4</c:v>
                </c:pt>
                <c:pt idx="161">
                  <c:v>-3.1290033522020898E-4</c:v>
                </c:pt>
                <c:pt idx="162">
                  <c:v>-5.5125014450646E-5</c:v>
                </c:pt>
                <c:pt idx="163">
                  <c:v>2.8166017001365299E-4</c:v>
                </c:pt>
                <c:pt idx="164">
                  <c:v>6.15411499357127E-4</c:v>
                </c:pt>
                <c:pt idx="165">
                  <c:v>4.2703009127230298E-4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FHLC x 20 dma / VHT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-4.6440019454997003E-5</c:v>
                </c:pt>
                <c:pt idx="21">
                  <c:v>-2.8358152781822399E-5</c:v>
                </c:pt>
                <c:pt idx="22">
                  <c:v>-3.8731386047639502E-4</c:v>
                </c:pt>
                <c:pt idx="23">
                  <c:v>4.3804957432444199E-4</c:v>
                </c:pt>
                <c:pt idx="24">
                  <c:v>6.52461962897237E-4</c:v>
                </c:pt>
                <c:pt idx="25">
                  <c:v>6.6682517056624398E-4</c:v>
                </c:pt>
                <c:pt idx="26">
                  <c:v>3.5105828809771101E-4</c:v>
                </c:pt>
                <c:pt idx="27">
                  <c:v>8.0602914599465505E-4</c:v>
                </c:pt>
                <c:pt idx="28">
                  <c:v>-2.8978969292945398E-4</c:v>
                </c:pt>
                <c:pt idx="29">
                  <c:v>2.8090400246887098E-4</c:v>
                </c:pt>
                <c:pt idx="30">
                  <c:v>1.8811272231194199E-4</c:v>
                </c:pt>
                <c:pt idx="31">
                  <c:v>-1.13424477774271E-4</c:v>
                </c:pt>
                <c:pt idx="32">
                  <c:v>-1.13514070881046E-4</c:v>
                </c:pt>
                <c:pt idx="33">
                  <c:v>1.5634788514139701E-5</c:v>
                </c:pt>
                <c:pt idx="34">
                  <c:v>1.7816658793288199E-5</c:v>
                </c:pt>
                <c:pt idx="35">
                  <c:v>1.93904177900789E-4</c:v>
                </c:pt>
                <c:pt idx="36">
                  <c:v>7.9460249868838106E-5</c:v>
                </c:pt>
                <c:pt idx="37">
                  <c:v>-3.5517706249553298E-4</c:v>
                </c:pt>
                <c:pt idx="38">
                  <c:v>1.21621480300174E-4</c:v>
                </c:pt>
                <c:pt idx="39">
                  <c:v>2.2258221350347299E-4</c:v>
                </c:pt>
                <c:pt idx="40">
                  <c:v>4.5446735052048602E-4</c:v>
                </c:pt>
                <c:pt idx="41">
                  <c:v>6.6963332566571303E-5</c:v>
                </c:pt>
                <c:pt idx="42">
                  <c:v>-3.0820269017219602E-4</c:v>
                </c:pt>
                <c:pt idx="43">
                  <c:v>8.34723951474119E-4</c:v>
                </c:pt>
                <c:pt idx="44">
                  <c:v>8.1272530951906395E-4</c:v>
                </c:pt>
                <c:pt idx="45">
                  <c:v>-9.6411046002515107E-5</c:v>
                </c:pt>
                <c:pt idx="46">
                  <c:v>3.1181099750203397E-4</c:v>
                </c:pt>
                <c:pt idx="47">
                  <c:v>4.4374514447971498E-4</c:v>
                </c:pt>
                <c:pt idx="48">
                  <c:v>-2.6254585656727603E-4</c:v>
                </c:pt>
                <c:pt idx="49">
                  <c:v>4.0139704934419502E-4</c:v>
                </c:pt>
                <c:pt idx="50">
                  <c:v>2.7666501234136902E-4</c:v>
                </c:pt>
                <c:pt idx="51">
                  <c:v>-6.2217024750868405E-5</c:v>
                </c:pt>
                <c:pt idx="52">
                  <c:v>-3.22349223654937E-4</c:v>
                </c:pt>
                <c:pt idx="53">
                  <c:v>-2.91237848283263E-3</c:v>
                </c:pt>
                <c:pt idx="54">
                  <c:v>-2.17595387500428E-3</c:v>
                </c:pt>
                <c:pt idx="55">
                  <c:v>1.5264017881995099E-3</c:v>
                </c:pt>
                <c:pt idx="56">
                  <c:v>8.1434257769345602E-4</c:v>
                </c:pt>
                <c:pt idx="57">
                  <c:v>1.26373669779316E-3</c:v>
                </c:pt>
                <c:pt idx="58">
                  <c:v>4.1703011794111302E-4</c:v>
                </c:pt>
                <c:pt idx="59">
                  <c:v>4.18626058858742E-4</c:v>
                </c:pt>
                <c:pt idx="60">
                  <c:v>7.9954588460023597E-4</c:v>
                </c:pt>
                <c:pt idx="61">
                  <c:v>6.2226499785147103E-4</c:v>
                </c:pt>
                <c:pt idx="62">
                  <c:v>5.7644466784216499E-4</c:v>
                </c:pt>
                <c:pt idx="63">
                  <c:v>9.1962699807309899E-4</c:v>
                </c:pt>
                <c:pt idx="64">
                  <c:v>2.85855989959205E-4</c:v>
                </c:pt>
                <c:pt idx="65">
                  <c:v>3.0795579978364703E-4</c:v>
                </c:pt>
                <c:pt idx="66">
                  <c:v>1.6722222372213299E-4</c:v>
                </c:pt>
                <c:pt idx="67">
                  <c:v>1.5370575971617801E-4</c:v>
                </c:pt>
                <c:pt idx="68">
                  <c:v>-1.92593775809285E-4</c:v>
                </c:pt>
                <c:pt idx="69">
                  <c:v>6.44146342602658E-4</c:v>
                </c:pt>
                <c:pt idx="70">
                  <c:v>5.5016017751967805E-4</c:v>
                </c:pt>
                <c:pt idx="71">
                  <c:v>-2.1333950142573901E-4</c:v>
                </c:pt>
                <c:pt idx="72">
                  <c:v>5.6205307719602905E-4</c:v>
                </c:pt>
                <c:pt idx="73">
                  <c:v>2.35397292486611E-4</c:v>
                </c:pt>
                <c:pt idx="74">
                  <c:v>2.33287054504023E-4</c:v>
                </c:pt>
                <c:pt idx="75">
                  <c:v>2.0845677158150299E-4</c:v>
                </c:pt>
                <c:pt idx="76">
                  <c:v>5.7104087493427204E-4</c:v>
                </c:pt>
                <c:pt idx="77">
                  <c:v>2.0735689229298601E-4</c:v>
                </c:pt>
                <c:pt idx="78">
                  <c:v>1.7755213431789099E-4</c:v>
                </c:pt>
                <c:pt idx="79">
                  <c:v>9.4592158913722898E-6</c:v>
                </c:pt>
                <c:pt idx="80">
                  <c:v>3.1507290961611199E-4</c:v>
                </c:pt>
                <c:pt idx="81">
                  <c:v>2.7293159497063002E-4</c:v>
                </c:pt>
                <c:pt idx="82">
                  <c:v>3.6278107842185702E-4</c:v>
                </c:pt>
                <c:pt idx="83">
                  <c:v>9.1992204118700101E-5</c:v>
                </c:pt>
                <c:pt idx="84">
                  <c:v>3.2840624415012698E-4</c:v>
                </c:pt>
                <c:pt idx="85">
                  <c:v>2.9699258006122398E-4</c:v>
                </c:pt>
                <c:pt idx="86">
                  <c:v>-1.66395129904346E-4</c:v>
                </c:pt>
                <c:pt idx="87">
                  <c:v>-1.04561665540701E-4</c:v>
                </c:pt>
                <c:pt idx="88">
                  <c:v>4.0220967499196201E-4</c:v>
                </c:pt>
                <c:pt idx="89">
                  <c:v>1.02889040985792E-4</c:v>
                </c:pt>
                <c:pt idx="90">
                  <c:v>6.3010147130614297E-4</c:v>
                </c:pt>
                <c:pt idx="91">
                  <c:v>8.81379505278414E-4</c:v>
                </c:pt>
                <c:pt idx="92">
                  <c:v>5.1005321705001002E-4</c:v>
                </c:pt>
                <c:pt idx="93">
                  <c:v>5.2475931985219103E-4</c:v>
                </c:pt>
                <c:pt idx="94">
                  <c:v>2.33347589902035E-4</c:v>
                </c:pt>
                <c:pt idx="95">
                  <c:v>8.5284216230256294E-5</c:v>
                </c:pt>
                <c:pt idx="96">
                  <c:v>1.07778484837385E-4</c:v>
                </c:pt>
                <c:pt idx="97">
                  <c:v>3.2498390770289302E-5</c:v>
                </c:pt>
                <c:pt idx="98">
                  <c:v>2.5139983311466398E-4</c:v>
                </c:pt>
                <c:pt idx="99">
                  <c:v>5.4159723402474804E-4</c:v>
                </c:pt>
                <c:pt idx="100">
                  <c:v>1.35017761060686E-6</c:v>
                </c:pt>
                <c:pt idx="101">
                  <c:v>-1.6971905945164901E-4</c:v>
                </c:pt>
                <c:pt idx="102">
                  <c:v>6.3402249059569898E-4</c:v>
                </c:pt>
                <c:pt idx="103">
                  <c:v>2.6164072719750701E-4</c:v>
                </c:pt>
                <c:pt idx="104">
                  <c:v>6.0113493365741299E-5</c:v>
                </c:pt>
                <c:pt idx="105">
                  <c:v>2.34910735891654E-4</c:v>
                </c:pt>
                <c:pt idx="106">
                  <c:v>2.28274051063408E-5</c:v>
                </c:pt>
                <c:pt idx="107">
                  <c:v>5.2485497742471099E-4</c:v>
                </c:pt>
                <c:pt idx="108">
                  <c:v>5.6644611876999304E-4</c:v>
                </c:pt>
                <c:pt idx="109">
                  <c:v>2.6449178987880798E-4</c:v>
                </c:pt>
                <c:pt idx="110">
                  <c:v>2.57760835601567E-4</c:v>
                </c:pt>
                <c:pt idx="111">
                  <c:v>8.3179935463369498E-5</c:v>
                </c:pt>
                <c:pt idx="112">
                  <c:v>-2.1511389238446999E-4</c:v>
                </c:pt>
                <c:pt idx="113">
                  <c:v>5.2080747337922501E-4</c:v>
                </c:pt>
                <c:pt idx="114">
                  <c:v>-3.8699137885769798E-4</c:v>
                </c:pt>
                <c:pt idx="115">
                  <c:v>-3.7180560968218001E-3</c:v>
                </c:pt>
                <c:pt idx="116">
                  <c:v>-3.8513532775576302E-3</c:v>
                </c:pt>
                <c:pt idx="117">
                  <c:v>-3.1878067309878402E-3</c:v>
                </c:pt>
                <c:pt idx="118">
                  <c:v>-2.81158580367282E-4</c:v>
                </c:pt>
                <c:pt idx="119">
                  <c:v>-2.5571364866564601E-4</c:v>
                </c:pt>
                <c:pt idx="120">
                  <c:v>-7.2824127285169498E-5</c:v>
                </c:pt>
                <c:pt idx="121">
                  <c:v>-1.5969165617481701E-4</c:v>
                </c:pt>
                <c:pt idx="122">
                  <c:v>3.0960458095050698E-5</c:v>
                </c:pt>
                <c:pt idx="123">
                  <c:v>-2.13661020573598E-4</c:v>
                </c:pt>
                <c:pt idx="124">
                  <c:v>1.9162469006980199E-5</c:v>
                </c:pt>
                <c:pt idx="125">
                  <c:v>4.81092837829378E-4</c:v>
                </c:pt>
                <c:pt idx="126">
                  <c:v>-6.1281451895846096E-6</c:v>
                </c:pt>
                <c:pt idx="127">
                  <c:v>3.0690750315975099E-4</c:v>
                </c:pt>
                <c:pt idx="128">
                  <c:v>4.3285264785830602E-4</c:v>
                </c:pt>
                <c:pt idx="129">
                  <c:v>4.2618174483757902E-4</c:v>
                </c:pt>
                <c:pt idx="130">
                  <c:v>5.4328267055722397E-4</c:v>
                </c:pt>
                <c:pt idx="131">
                  <c:v>6.0249638921549696E-4</c:v>
                </c:pt>
                <c:pt idx="132">
                  <c:v>-2.4997098094714601E-6</c:v>
                </c:pt>
                <c:pt idx="133">
                  <c:v>8.3322644697188697E-4</c:v>
                </c:pt>
                <c:pt idx="134">
                  <c:v>1.0297575073701E-3</c:v>
                </c:pt>
                <c:pt idx="135">
                  <c:v>1.1675558546619801E-3</c:v>
                </c:pt>
                <c:pt idx="136">
                  <c:v>6.1395262097993096E-4</c:v>
                </c:pt>
                <c:pt idx="137">
                  <c:v>6.5616776048745397E-4</c:v>
                </c:pt>
                <c:pt idx="138">
                  <c:v>3.8575671141839502E-4</c:v>
                </c:pt>
                <c:pt idx="139">
                  <c:v>1.62030658560456E-4</c:v>
                </c:pt>
                <c:pt idx="140">
                  <c:v>2.1873279692455401E-4</c:v>
                </c:pt>
                <c:pt idx="141">
                  <c:v>7.4588591387583997E-4</c:v>
                </c:pt>
                <c:pt idx="142">
                  <c:v>6.14590015465514E-4</c:v>
                </c:pt>
                <c:pt idx="143">
                  <c:v>8.0122852314531198E-4</c:v>
                </c:pt>
                <c:pt idx="144">
                  <c:v>-3.4436741503933498E-4</c:v>
                </c:pt>
                <c:pt idx="145">
                  <c:v>2.2013979586462E-4</c:v>
                </c:pt>
                <c:pt idx="146">
                  <c:v>4.4158120102004699E-4</c:v>
                </c:pt>
                <c:pt idx="147">
                  <c:v>-3.34691769073704E-4</c:v>
                </c:pt>
                <c:pt idx="148">
                  <c:v>-3.84841975747447E-4</c:v>
                </c:pt>
                <c:pt idx="149">
                  <c:v>-1.7658997413138599E-5</c:v>
                </c:pt>
                <c:pt idx="150">
                  <c:v>4.70328821082863E-4</c:v>
                </c:pt>
                <c:pt idx="151">
                  <c:v>8.2301379026596794E-5</c:v>
                </c:pt>
                <c:pt idx="152">
                  <c:v>4.2375325186625698E-4</c:v>
                </c:pt>
                <c:pt idx="153">
                  <c:v>-1.4356956660988501E-4</c:v>
                </c:pt>
                <c:pt idx="154">
                  <c:v>-1.0868287113971E-4</c:v>
                </c:pt>
                <c:pt idx="155">
                  <c:v>4.27062302294171E-4</c:v>
                </c:pt>
                <c:pt idx="156">
                  <c:v>-6.0158221713815102E-4</c:v>
                </c:pt>
                <c:pt idx="157">
                  <c:v>2.5491435468127401E-4</c:v>
                </c:pt>
                <c:pt idx="158">
                  <c:v>-3.8818177251031898E-4</c:v>
                </c:pt>
                <c:pt idx="159">
                  <c:v>-5.6245895712160501E-4</c:v>
                </c:pt>
                <c:pt idx="160">
                  <c:v>-4.9546197368051804E-4</c:v>
                </c:pt>
                <c:pt idx="161">
                  <c:v>-3.9132819924480401E-4</c:v>
                </c:pt>
                <c:pt idx="162">
                  <c:v>-1.3672296758729101E-4</c:v>
                </c:pt>
                <c:pt idx="163">
                  <c:v>1.6805026149910101E-4</c:v>
                </c:pt>
                <c:pt idx="164">
                  <c:v>5.4535655035715101E-4</c:v>
                </c:pt>
                <c:pt idx="165">
                  <c:v>3.6083845642015399E-4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6.0377561285577977E-4</c:v>
                </c:pt>
                <c:pt idx="35">
                  <c:v>6.0377561285577977E-4</c:v>
                </c:pt>
                <c:pt idx="36">
                  <c:v>6.0377561285577977E-4</c:v>
                </c:pt>
                <c:pt idx="37">
                  <c:v>6.0377561285577977E-4</c:v>
                </c:pt>
                <c:pt idx="38">
                  <c:v>6.0377561285577977E-4</c:v>
                </c:pt>
                <c:pt idx="39">
                  <c:v>6.0377561285577977E-4</c:v>
                </c:pt>
                <c:pt idx="40">
                  <c:v>6.0377561285577977E-4</c:v>
                </c:pt>
                <c:pt idx="41">
                  <c:v>6.0377561285577977E-4</c:v>
                </c:pt>
                <c:pt idx="42">
                  <c:v>6.0377561285577977E-4</c:v>
                </c:pt>
                <c:pt idx="43">
                  <c:v>6.0377561285577977E-4</c:v>
                </c:pt>
                <c:pt idx="44">
                  <c:v>6.0377561285577977E-4</c:v>
                </c:pt>
                <c:pt idx="45">
                  <c:v>6.0377561285577977E-4</c:v>
                </c:pt>
                <c:pt idx="46">
                  <c:v>6.0377561285577977E-4</c:v>
                </c:pt>
                <c:pt idx="47">
                  <c:v>6.0377561285577977E-4</c:v>
                </c:pt>
                <c:pt idx="48">
                  <c:v>6.0377561285577977E-4</c:v>
                </c:pt>
                <c:pt idx="49">
                  <c:v>6.0377561285577977E-4</c:v>
                </c:pt>
                <c:pt idx="50">
                  <c:v>6.0377561285577977E-4</c:v>
                </c:pt>
                <c:pt idx="51">
                  <c:v>6.0377561285577977E-4</c:v>
                </c:pt>
                <c:pt idx="52">
                  <c:v>6.0377561285577977E-4</c:v>
                </c:pt>
                <c:pt idx="53">
                  <c:v>6.0377561285577977E-4</c:v>
                </c:pt>
                <c:pt idx="54">
                  <c:v>6.0377561285577977E-4</c:v>
                </c:pt>
                <c:pt idx="55">
                  <c:v>6.0377561285577977E-4</c:v>
                </c:pt>
                <c:pt idx="56">
                  <c:v>6.0377561285577977E-4</c:v>
                </c:pt>
                <c:pt idx="57">
                  <c:v>6.0377561285577977E-4</c:v>
                </c:pt>
                <c:pt idx="58">
                  <c:v>6.0377561285577977E-4</c:v>
                </c:pt>
                <c:pt idx="59">
                  <c:v>6.0377561285577977E-4</c:v>
                </c:pt>
                <c:pt idx="60">
                  <c:v>6.0377561285577977E-4</c:v>
                </c:pt>
                <c:pt idx="61">
                  <c:v>6.0377561285577977E-4</c:v>
                </c:pt>
                <c:pt idx="62">
                  <c:v>6.0377561285577977E-4</c:v>
                </c:pt>
                <c:pt idx="63">
                  <c:v>6.0377561285577977E-4</c:v>
                </c:pt>
                <c:pt idx="64">
                  <c:v>6.0377561285577977E-4</c:v>
                </c:pt>
                <c:pt idx="65">
                  <c:v>6.0377561285577977E-4</c:v>
                </c:pt>
                <c:pt idx="66">
                  <c:v>6.0377561285577977E-4</c:v>
                </c:pt>
                <c:pt idx="67">
                  <c:v>6.0377561285577977E-4</c:v>
                </c:pt>
                <c:pt idx="68">
                  <c:v>6.0377561285577977E-4</c:v>
                </c:pt>
                <c:pt idx="69">
                  <c:v>6.0377561285577977E-4</c:v>
                </c:pt>
                <c:pt idx="70">
                  <c:v>6.0377561285577977E-4</c:v>
                </c:pt>
                <c:pt idx="71">
                  <c:v>6.0377561285577977E-4</c:v>
                </c:pt>
                <c:pt idx="72">
                  <c:v>6.0377561285577977E-4</c:v>
                </c:pt>
                <c:pt idx="73">
                  <c:v>6.0377561285577977E-4</c:v>
                </c:pt>
                <c:pt idx="74">
                  <c:v>6.0377561285577977E-4</c:v>
                </c:pt>
                <c:pt idx="75">
                  <c:v>6.0377561285577977E-4</c:v>
                </c:pt>
                <c:pt idx="76">
                  <c:v>6.0377561285577977E-4</c:v>
                </c:pt>
                <c:pt idx="77">
                  <c:v>6.0377561285577977E-4</c:v>
                </c:pt>
                <c:pt idx="78">
                  <c:v>6.0377561285577977E-4</c:v>
                </c:pt>
                <c:pt idx="79">
                  <c:v>6.0377561285577977E-4</c:v>
                </c:pt>
                <c:pt idx="80">
                  <c:v>6.0377561285577977E-4</c:v>
                </c:pt>
                <c:pt idx="81">
                  <c:v>6.0377561285577977E-4</c:v>
                </c:pt>
                <c:pt idx="82">
                  <c:v>6.0377561285577977E-4</c:v>
                </c:pt>
                <c:pt idx="83">
                  <c:v>6.0377561285577977E-4</c:v>
                </c:pt>
                <c:pt idx="84">
                  <c:v>6.0377561285577977E-4</c:v>
                </c:pt>
                <c:pt idx="85">
                  <c:v>6.0377561285577977E-4</c:v>
                </c:pt>
                <c:pt idx="86">
                  <c:v>6.0377561285577977E-4</c:v>
                </c:pt>
                <c:pt idx="87">
                  <c:v>6.0377561285577977E-4</c:v>
                </c:pt>
                <c:pt idx="88">
                  <c:v>6.0377561285577977E-4</c:v>
                </c:pt>
                <c:pt idx="89">
                  <c:v>6.0377561285577977E-4</c:v>
                </c:pt>
                <c:pt idx="90">
                  <c:v>6.0377561285577977E-4</c:v>
                </c:pt>
                <c:pt idx="91">
                  <c:v>6.0377561285577977E-4</c:v>
                </c:pt>
                <c:pt idx="92">
                  <c:v>6.0377561285577977E-4</c:v>
                </c:pt>
                <c:pt idx="93">
                  <c:v>6.0377561285577977E-4</c:v>
                </c:pt>
                <c:pt idx="94">
                  <c:v>6.0377561285577977E-4</c:v>
                </c:pt>
                <c:pt idx="95">
                  <c:v>6.0377561285577977E-4</c:v>
                </c:pt>
                <c:pt idx="96">
                  <c:v>2.9904278411151011E-4</c:v>
                </c:pt>
                <c:pt idx="97">
                  <c:v>7.7409398767540913E-4</c:v>
                </c:pt>
                <c:pt idx="98">
                  <c:v>7.7409398767540913E-4</c:v>
                </c:pt>
                <c:pt idx="99">
                  <c:v>7.7409398767540913E-4</c:v>
                </c:pt>
                <c:pt idx="100">
                  <c:v>7.7409398767540913E-4</c:v>
                </c:pt>
                <c:pt idx="101">
                  <c:v>7.7409398767540913E-4</c:v>
                </c:pt>
                <c:pt idx="102">
                  <c:v>7.7409398767540913E-4</c:v>
                </c:pt>
                <c:pt idx="103">
                  <c:v>7.7409398767540913E-4</c:v>
                </c:pt>
                <c:pt idx="104">
                  <c:v>7.7409398767540913E-4</c:v>
                </c:pt>
                <c:pt idx="105">
                  <c:v>7.7409398767540913E-4</c:v>
                </c:pt>
                <c:pt idx="106">
                  <c:v>7.7409398767540913E-4</c:v>
                </c:pt>
                <c:pt idx="107">
                  <c:v>7.7409398767540913E-4</c:v>
                </c:pt>
                <c:pt idx="108">
                  <c:v>7.7409398767540913E-4</c:v>
                </c:pt>
                <c:pt idx="109">
                  <c:v>7.7409398767540913E-4</c:v>
                </c:pt>
                <c:pt idx="110">
                  <c:v>7.7409398767540913E-4</c:v>
                </c:pt>
                <c:pt idx="111">
                  <c:v>7.7409398767540913E-4</c:v>
                </c:pt>
                <c:pt idx="112">
                  <c:v>7.7409398767540913E-4</c:v>
                </c:pt>
                <c:pt idx="113">
                  <c:v>7.7409398767540913E-4</c:v>
                </c:pt>
                <c:pt idx="114">
                  <c:v>7.7409398767540913E-4</c:v>
                </c:pt>
                <c:pt idx="115">
                  <c:v>7.7409398767540913E-4</c:v>
                </c:pt>
                <c:pt idx="116">
                  <c:v>7.7409398767540913E-4</c:v>
                </c:pt>
                <c:pt idx="117">
                  <c:v>7.7409398767540913E-4</c:v>
                </c:pt>
                <c:pt idx="118">
                  <c:v>7.7409398767540913E-4</c:v>
                </c:pt>
                <c:pt idx="119">
                  <c:v>7.7409398767540913E-4</c:v>
                </c:pt>
                <c:pt idx="120">
                  <c:v>7.7409398767540913E-4</c:v>
                </c:pt>
                <c:pt idx="121">
                  <c:v>7.7409398767540913E-4</c:v>
                </c:pt>
                <c:pt idx="122">
                  <c:v>7.7409398767540913E-4</c:v>
                </c:pt>
                <c:pt idx="123">
                  <c:v>7.7409398767540913E-4</c:v>
                </c:pt>
                <c:pt idx="124">
                  <c:v>7.7409398767540913E-4</c:v>
                </c:pt>
                <c:pt idx="125">
                  <c:v>7.7409398767540913E-4</c:v>
                </c:pt>
                <c:pt idx="126">
                  <c:v>7.7409398767540913E-4</c:v>
                </c:pt>
                <c:pt idx="127">
                  <c:v>7.7409398767540913E-4</c:v>
                </c:pt>
                <c:pt idx="128">
                  <c:v>7.7409398767540913E-4</c:v>
                </c:pt>
                <c:pt idx="129">
                  <c:v>7.7409398767540913E-4</c:v>
                </c:pt>
                <c:pt idx="130">
                  <c:v>7.7409398767540913E-4</c:v>
                </c:pt>
                <c:pt idx="131">
                  <c:v>7.7409398767540913E-4</c:v>
                </c:pt>
                <c:pt idx="132">
                  <c:v>7.7409398767540913E-4</c:v>
                </c:pt>
                <c:pt idx="133">
                  <c:v>7.7409398767540913E-4</c:v>
                </c:pt>
                <c:pt idx="134">
                  <c:v>7.7409398767540913E-4</c:v>
                </c:pt>
                <c:pt idx="135">
                  <c:v>7.7409398767540913E-4</c:v>
                </c:pt>
                <c:pt idx="136">
                  <c:v>7.7409398767540913E-4</c:v>
                </c:pt>
                <c:pt idx="137">
                  <c:v>7.7409398767540913E-4</c:v>
                </c:pt>
                <c:pt idx="138">
                  <c:v>7.7409398767540913E-4</c:v>
                </c:pt>
                <c:pt idx="139">
                  <c:v>7.7409398767540913E-4</c:v>
                </c:pt>
                <c:pt idx="140">
                  <c:v>7.7409398767540913E-4</c:v>
                </c:pt>
                <c:pt idx="141">
                  <c:v>7.7409398767540913E-4</c:v>
                </c:pt>
                <c:pt idx="142">
                  <c:v>7.7409398767540913E-4</c:v>
                </c:pt>
                <c:pt idx="143">
                  <c:v>7.7409398767540913E-4</c:v>
                </c:pt>
                <c:pt idx="144">
                  <c:v>7.7409398767540913E-4</c:v>
                </c:pt>
                <c:pt idx="145">
                  <c:v>7.7409398767540913E-4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6.0377561285577977E-4</c:v>
                </c:pt>
                <c:pt idx="35">
                  <c:v>6.0377561285577977E-4</c:v>
                </c:pt>
                <c:pt idx="36">
                  <c:v>6.0377561285577977E-4</c:v>
                </c:pt>
                <c:pt idx="37">
                  <c:v>6.0377561285577977E-4</c:v>
                </c:pt>
                <c:pt idx="38">
                  <c:v>6.0377561285577977E-4</c:v>
                </c:pt>
                <c:pt idx="39">
                  <c:v>6.0377561285577977E-4</c:v>
                </c:pt>
                <c:pt idx="40">
                  <c:v>6.0377561285577977E-4</c:v>
                </c:pt>
                <c:pt idx="41">
                  <c:v>6.0377561285577977E-4</c:v>
                </c:pt>
                <c:pt idx="42">
                  <c:v>6.0377561285577977E-4</c:v>
                </c:pt>
                <c:pt idx="43">
                  <c:v>6.0377561285577977E-4</c:v>
                </c:pt>
                <c:pt idx="44">
                  <c:v>6.0377561285577977E-4</c:v>
                </c:pt>
                <c:pt idx="45">
                  <c:v>6.0377561285577977E-4</c:v>
                </c:pt>
                <c:pt idx="46">
                  <c:v>6.0377561285577977E-4</c:v>
                </c:pt>
                <c:pt idx="47">
                  <c:v>6.0377561285577977E-4</c:v>
                </c:pt>
                <c:pt idx="48">
                  <c:v>6.0377561285577977E-4</c:v>
                </c:pt>
                <c:pt idx="49">
                  <c:v>6.0377561285577977E-4</c:v>
                </c:pt>
                <c:pt idx="50">
                  <c:v>6.0377561285577977E-4</c:v>
                </c:pt>
                <c:pt idx="51">
                  <c:v>6.0377561285577977E-4</c:v>
                </c:pt>
                <c:pt idx="52">
                  <c:v>6.0377561285577977E-4</c:v>
                </c:pt>
                <c:pt idx="53">
                  <c:v>6.0377561285577977E-4</c:v>
                </c:pt>
                <c:pt idx="54">
                  <c:v>6.0377561285577977E-4</c:v>
                </c:pt>
                <c:pt idx="55">
                  <c:v>6.0377561285577977E-4</c:v>
                </c:pt>
                <c:pt idx="56">
                  <c:v>6.0377561285577977E-4</c:v>
                </c:pt>
                <c:pt idx="57">
                  <c:v>6.0377561285577977E-4</c:v>
                </c:pt>
                <c:pt idx="58">
                  <c:v>6.0377561285577977E-4</c:v>
                </c:pt>
                <c:pt idx="59">
                  <c:v>6.0377561285577977E-4</c:v>
                </c:pt>
                <c:pt idx="60">
                  <c:v>6.0377561285577977E-4</c:v>
                </c:pt>
                <c:pt idx="61">
                  <c:v>6.0377561285577977E-4</c:v>
                </c:pt>
                <c:pt idx="62">
                  <c:v>6.0377561285577977E-4</c:v>
                </c:pt>
                <c:pt idx="63">
                  <c:v>6.0377561285577977E-4</c:v>
                </c:pt>
                <c:pt idx="64">
                  <c:v>6.0377561285577977E-4</c:v>
                </c:pt>
                <c:pt idx="65">
                  <c:v>6.0377561285577977E-4</c:v>
                </c:pt>
                <c:pt idx="66">
                  <c:v>6.0377561285577977E-4</c:v>
                </c:pt>
                <c:pt idx="67">
                  <c:v>6.0377561285577977E-4</c:v>
                </c:pt>
                <c:pt idx="68">
                  <c:v>6.0377561285577977E-4</c:v>
                </c:pt>
                <c:pt idx="69">
                  <c:v>6.0377561285577977E-4</c:v>
                </c:pt>
                <c:pt idx="70">
                  <c:v>6.0377561285577977E-4</c:v>
                </c:pt>
                <c:pt idx="71">
                  <c:v>6.0377561285577977E-4</c:v>
                </c:pt>
                <c:pt idx="72">
                  <c:v>6.0377561285577977E-4</c:v>
                </c:pt>
                <c:pt idx="73">
                  <c:v>6.0377561285577977E-4</c:v>
                </c:pt>
                <c:pt idx="74">
                  <c:v>6.0377561285577977E-4</c:v>
                </c:pt>
                <c:pt idx="75">
                  <c:v>6.0377561285577977E-4</c:v>
                </c:pt>
                <c:pt idx="76">
                  <c:v>6.0377561285577977E-4</c:v>
                </c:pt>
                <c:pt idx="77">
                  <c:v>6.0377561285577977E-4</c:v>
                </c:pt>
                <c:pt idx="78">
                  <c:v>6.0377561285577977E-4</c:v>
                </c:pt>
                <c:pt idx="79">
                  <c:v>6.0377561285577977E-4</c:v>
                </c:pt>
                <c:pt idx="80">
                  <c:v>6.0377561285577977E-4</c:v>
                </c:pt>
                <c:pt idx="81">
                  <c:v>6.0377561285577977E-4</c:v>
                </c:pt>
                <c:pt idx="82">
                  <c:v>6.0377561285577977E-4</c:v>
                </c:pt>
                <c:pt idx="83">
                  <c:v>6.0377561285577977E-4</c:v>
                </c:pt>
                <c:pt idx="84">
                  <c:v>6.0377561285577977E-4</c:v>
                </c:pt>
                <c:pt idx="85">
                  <c:v>6.0377561285577977E-4</c:v>
                </c:pt>
                <c:pt idx="86">
                  <c:v>6.0377561285577977E-4</c:v>
                </c:pt>
                <c:pt idx="87">
                  <c:v>6.0377561285577977E-4</c:v>
                </c:pt>
                <c:pt idx="88">
                  <c:v>6.0377561285577977E-4</c:v>
                </c:pt>
                <c:pt idx="89">
                  <c:v>6.0377561285577977E-4</c:v>
                </c:pt>
                <c:pt idx="90">
                  <c:v>6.0377561285577977E-4</c:v>
                </c:pt>
                <c:pt idx="91">
                  <c:v>6.0377561285577977E-4</c:v>
                </c:pt>
                <c:pt idx="92">
                  <c:v>6.0377561285577977E-4</c:v>
                </c:pt>
                <c:pt idx="93">
                  <c:v>6.0377561285577977E-4</c:v>
                </c:pt>
                <c:pt idx="94">
                  <c:v>6.0377561285577977E-4</c:v>
                </c:pt>
                <c:pt idx="95">
                  <c:v>6.0377561285577977E-4</c:v>
                </c:pt>
                <c:pt idx="96">
                  <c:v>2.9904278411151011E-4</c:v>
                </c:pt>
                <c:pt idx="97">
                  <c:v>7.7409398767540913E-4</c:v>
                </c:pt>
                <c:pt idx="98">
                  <c:v>7.7409398767540913E-4</c:v>
                </c:pt>
                <c:pt idx="99">
                  <c:v>7.7409398767540913E-4</c:v>
                </c:pt>
                <c:pt idx="100">
                  <c:v>7.7409398767540913E-4</c:v>
                </c:pt>
                <c:pt idx="101">
                  <c:v>7.7409398767540913E-4</c:v>
                </c:pt>
                <c:pt idx="102">
                  <c:v>7.7409398767540913E-4</c:v>
                </c:pt>
                <c:pt idx="103">
                  <c:v>7.7409398767540913E-4</c:v>
                </c:pt>
                <c:pt idx="104">
                  <c:v>7.7409398767540913E-4</c:v>
                </c:pt>
                <c:pt idx="105">
                  <c:v>7.7409398767540913E-4</c:v>
                </c:pt>
                <c:pt idx="106">
                  <c:v>7.7409398767540913E-4</c:v>
                </c:pt>
                <c:pt idx="107">
                  <c:v>7.7409398767540913E-4</c:v>
                </c:pt>
                <c:pt idx="108">
                  <c:v>7.7409398767540913E-4</c:v>
                </c:pt>
                <c:pt idx="109">
                  <c:v>7.7409398767540913E-4</c:v>
                </c:pt>
                <c:pt idx="110">
                  <c:v>7.7409398767540913E-4</c:v>
                </c:pt>
                <c:pt idx="111">
                  <c:v>7.7409398767540913E-4</c:v>
                </c:pt>
                <c:pt idx="112">
                  <c:v>7.7409398767540913E-4</c:v>
                </c:pt>
                <c:pt idx="113">
                  <c:v>7.7409398767540913E-4</c:v>
                </c:pt>
                <c:pt idx="114">
                  <c:v>7.7409398767540913E-4</c:v>
                </c:pt>
                <c:pt idx="115">
                  <c:v>7.7409398767540913E-4</c:v>
                </c:pt>
                <c:pt idx="116">
                  <c:v>7.7409398767540913E-4</c:v>
                </c:pt>
                <c:pt idx="117">
                  <c:v>7.7409398767540913E-4</c:v>
                </c:pt>
                <c:pt idx="118">
                  <c:v>7.7409398767540913E-4</c:v>
                </c:pt>
                <c:pt idx="119">
                  <c:v>7.7409398767540913E-4</c:v>
                </c:pt>
                <c:pt idx="120">
                  <c:v>7.7409398767540913E-4</c:v>
                </c:pt>
                <c:pt idx="121">
                  <c:v>7.7409398767540913E-4</c:v>
                </c:pt>
                <c:pt idx="122">
                  <c:v>7.7409398767540913E-4</c:v>
                </c:pt>
                <c:pt idx="123">
                  <c:v>7.7409398767540913E-4</c:v>
                </c:pt>
                <c:pt idx="124">
                  <c:v>7.7409398767540913E-4</c:v>
                </c:pt>
                <c:pt idx="125">
                  <c:v>7.7409398767540913E-4</c:v>
                </c:pt>
                <c:pt idx="126">
                  <c:v>7.7409398767540913E-4</c:v>
                </c:pt>
                <c:pt idx="127">
                  <c:v>7.7409398767540913E-4</c:v>
                </c:pt>
                <c:pt idx="128">
                  <c:v>7.7409398767540913E-4</c:v>
                </c:pt>
                <c:pt idx="129">
                  <c:v>7.7409398767540913E-4</c:v>
                </c:pt>
                <c:pt idx="130">
                  <c:v>7.7409398767540913E-4</c:v>
                </c:pt>
                <c:pt idx="131">
                  <c:v>7.7409398767540913E-4</c:v>
                </c:pt>
                <c:pt idx="132">
                  <c:v>7.7409398767540913E-4</c:v>
                </c:pt>
                <c:pt idx="133">
                  <c:v>7.7409398767540913E-4</c:v>
                </c:pt>
                <c:pt idx="134">
                  <c:v>7.7409398767540913E-4</c:v>
                </c:pt>
                <c:pt idx="135">
                  <c:v>7.7409398767540913E-4</c:v>
                </c:pt>
                <c:pt idx="136">
                  <c:v>7.7409398767540913E-4</c:v>
                </c:pt>
                <c:pt idx="137">
                  <c:v>7.7409398767540913E-4</c:v>
                </c:pt>
                <c:pt idx="138">
                  <c:v>7.7409398767540913E-4</c:v>
                </c:pt>
                <c:pt idx="139">
                  <c:v>7.7409398767540913E-4</c:v>
                </c:pt>
                <c:pt idx="140">
                  <c:v>7.7409398767540913E-4</c:v>
                </c:pt>
                <c:pt idx="141">
                  <c:v>7.7409398767540913E-4</c:v>
                </c:pt>
                <c:pt idx="142">
                  <c:v>7.7409398767540913E-4</c:v>
                </c:pt>
                <c:pt idx="143">
                  <c:v>7.7409398767540913E-4</c:v>
                </c:pt>
                <c:pt idx="144">
                  <c:v>7.7409398767540913E-4</c:v>
                </c:pt>
                <c:pt idx="145">
                  <c:v>7.7409398767540913E-4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7.7409398767540913E-4</v>
      </c>
      <c r="BS1" s="6"/>
      <c r="BT1" s="6"/>
      <c r="BU1" s="6"/>
      <c r="BV1" s="7">
        <f>BV167</f>
        <v>0</v>
      </c>
      <c r="BY1" s="7">
        <f>BY167</f>
        <v>7.7409398767540913E-4</v>
      </c>
    </row>
    <row r="2" spans="1:77" x14ac:dyDescent="0.3">
      <c r="A2" s="1">
        <v>46024</v>
      </c>
      <c r="B2" s="8">
        <v>74.56</v>
      </c>
      <c r="C2" s="8">
        <v>288.75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74.56</v>
      </c>
      <c r="M2" s="8">
        <v>288.75</v>
      </c>
      <c r="N2" s="10">
        <v>3.8727199570815398</v>
      </c>
      <c r="O2" s="10">
        <v>3.8715231538253501</v>
      </c>
      <c r="X2" s="10">
        <v>3.8727199570815398</v>
      </c>
      <c r="Y2" s="10">
        <v>3.8715231538253501</v>
      </c>
    </row>
    <row r="3" spans="1:77" x14ac:dyDescent="0.3">
      <c r="A3" s="1">
        <v>46027</v>
      </c>
      <c r="B3" s="8">
        <v>74.42</v>
      </c>
      <c r="C3" s="8">
        <v>288.32</v>
      </c>
      <c r="D3" s="9">
        <v>-1.87944745885927E-3</v>
      </c>
      <c r="E3" s="9">
        <v>-1.49028741603025E-3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74.42</v>
      </c>
      <c r="M3" s="8">
        <v>288.32</v>
      </c>
      <c r="N3" s="10">
        <v>3.8742273582370301</v>
      </c>
      <c r="O3" s="10">
        <v>3.8715231538253501</v>
      </c>
      <c r="R3" s="8">
        <v>288.11875310768198</v>
      </c>
      <c r="U3" s="9">
        <v>-6.9824209218667796E-4</v>
      </c>
      <c r="X3" s="10">
        <v>3.8742273582370301</v>
      </c>
      <c r="Y3" s="10">
        <v>3.8715231538253501</v>
      </c>
      <c r="AB3" s="8">
        <v>288.11875310768198</v>
      </c>
      <c r="AE3" s="9">
        <v>-6.9824209218667796E-4</v>
      </c>
    </row>
    <row r="4" spans="1:77" x14ac:dyDescent="0.3">
      <c r="A4" s="1">
        <v>46028</v>
      </c>
      <c r="B4" s="8">
        <v>75.92</v>
      </c>
      <c r="C4" s="8">
        <v>293.91000000000003</v>
      </c>
      <c r="D4" s="9">
        <v>1.9955431383195801E-2</v>
      </c>
      <c r="E4" s="9">
        <v>1.92026236046875E-2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75.92</v>
      </c>
      <c r="M4" s="8">
        <v>293.91000000000003</v>
      </c>
      <c r="N4" s="10">
        <v>3.87131190727081</v>
      </c>
      <c r="O4" s="10">
        <v>3.8715231538253501</v>
      </c>
      <c r="R4" s="8">
        <v>293.92603783841997</v>
      </c>
      <c r="U4" s="9">
        <v>5.4565686321890802E-5</v>
      </c>
      <c r="X4" s="10">
        <v>3.87131190727081</v>
      </c>
      <c r="Y4" s="10">
        <v>3.8715231538253501</v>
      </c>
      <c r="AB4" s="8">
        <v>293.92603783841997</v>
      </c>
      <c r="AE4" s="9">
        <v>5.4565686321890802E-5</v>
      </c>
    </row>
    <row r="5" spans="1:77" x14ac:dyDescent="0.3">
      <c r="A5" s="1">
        <v>46029</v>
      </c>
      <c r="B5" s="8">
        <v>76.72</v>
      </c>
      <c r="C5" s="8">
        <v>297.26</v>
      </c>
      <c r="D5" s="9">
        <v>1.0482276273510199E-2</v>
      </c>
      <c r="E5" s="9">
        <v>1.13335786960882E-2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76.72</v>
      </c>
      <c r="M5" s="8">
        <v>297.26</v>
      </c>
      <c r="N5" s="10">
        <v>3.8746089676746598</v>
      </c>
      <c r="O5" s="10">
        <v>3.8715231538253501</v>
      </c>
      <c r="R5" s="8">
        <v>297.023256361481</v>
      </c>
      <c r="U5" s="9">
        <v>-7.9673673625598905E-4</v>
      </c>
      <c r="X5" s="10">
        <v>3.8746089676746598</v>
      </c>
      <c r="Y5" s="10">
        <v>3.8715231538253501</v>
      </c>
      <c r="AB5" s="8">
        <v>297.023256361481</v>
      </c>
      <c r="AE5" s="9">
        <v>-7.9673673625598905E-4</v>
      </c>
    </row>
    <row r="6" spans="1:77" x14ac:dyDescent="0.3">
      <c r="A6" s="1">
        <v>46030</v>
      </c>
      <c r="B6" s="8">
        <v>75.989999999999995</v>
      </c>
      <c r="C6" s="8">
        <v>294.29000000000002</v>
      </c>
      <c r="D6" s="9">
        <v>-9.5606778934892896E-3</v>
      </c>
      <c r="E6" s="9">
        <v>-1.00415009916802E-2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75.989999999999995</v>
      </c>
      <c r="M6" s="8">
        <v>294.29000000000002</v>
      </c>
      <c r="N6" s="10">
        <v>3.8727464140018402</v>
      </c>
      <c r="O6" s="10">
        <v>3.8715231538253501</v>
      </c>
      <c r="R6" s="8">
        <v>294.19704445918802</v>
      </c>
      <c r="U6" s="9">
        <v>-3.1591363806506001E-4</v>
      </c>
      <c r="X6" s="10">
        <v>3.8727464140018402</v>
      </c>
      <c r="Y6" s="10">
        <v>3.8715231538253501</v>
      </c>
      <c r="AB6" s="8">
        <v>294.19704445918802</v>
      </c>
      <c r="AE6" s="9">
        <v>-3.1591363806506001E-4</v>
      </c>
    </row>
    <row r="7" spans="1:77" x14ac:dyDescent="0.3">
      <c r="A7" s="1">
        <v>46031</v>
      </c>
      <c r="B7" s="8">
        <v>75.599999999999994</v>
      </c>
      <c r="C7" s="8">
        <v>292.97000000000003</v>
      </c>
      <c r="D7" s="9">
        <v>-5.1454694962062E-3</v>
      </c>
      <c r="E7" s="9">
        <v>-4.49546103261901E-3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75.599999999999994</v>
      </c>
      <c r="M7" s="8">
        <v>292.97000000000003</v>
      </c>
      <c r="N7" s="10">
        <v>3.87526455026455</v>
      </c>
      <c r="O7" s="10">
        <v>3.8715231538253501</v>
      </c>
      <c r="R7" s="8">
        <v>292.68715042919598</v>
      </c>
      <c r="U7" s="9">
        <v>-9.6592210165242305E-4</v>
      </c>
      <c r="X7" s="10">
        <v>3.87526455026455</v>
      </c>
      <c r="Y7" s="10">
        <v>3.8715231538253501</v>
      </c>
      <c r="AB7" s="8">
        <v>292.68715042919598</v>
      </c>
      <c r="AE7" s="9">
        <v>-9.6592210165242305E-4</v>
      </c>
    </row>
    <row r="8" spans="1:77" x14ac:dyDescent="0.3">
      <c r="A8" s="1">
        <v>46034</v>
      </c>
      <c r="B8" s="8">
        <v>75.5</v>
      </c>
      <c r="C8" s="8">
        <v>292.57</v>
      </c>
      <c r="D8" s="9">
        <v>-1.3236269305082499E-3</v>
      </c>
      <c r="E8" s="9">
        <v>-1.3662604167854399E-3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75.5</v>
      </c>
      <c r="M8" s="8">
        <v>292.57</v>
      </c>
      <c r="N8" s="10">
        <v>3.87509933774834</v>
      </c>
      <c r="O8" s="10">
        <v>3.8715231538253501</v>
      </c>
      <c r="R8" s="8">
        <v>292.29999811381401</v>
      </c>
      <c r="U8" s="9">
        <v>-9.2328861537500798E-4</v>
      </c>
      <c r="X8" s="10">
        <v>3.87509933774834</v>
      </c>
      <c r="Y8" s="10">
        <v>3.8715231538253501</v>
      </c>
      <c r="AB8" s="8">
        <v>292.29999811381401</v>
      </c>
      <c r="AE8" s="9">
        <v>-9.2328861537500798E-4</v>
      </c>
    </row>
    <row r="9" spans="1:77" x14ac:dyDescent="0.3">
      <c r="A9" s="1">
        <v>46035</v>
      </c>
      <c r="B9" s="8">
        <v>75.209999999999994</v>
      </c>
      <c r="C9" s="8">
        <v>291.37</v>
      </c>
      <c r="D9" s="9">
        <v>-3.8484554166674299E-3</v>
      </c>
      <c r="E9" s="9">
        <v>-4.1100170881376201E-3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75.209999999999994</v>
      </c>
      <c r="M9" s="8">
        <v>291.37</v>
      </c>
      <c r="N9" s="10">
        <v>3.8740858928334001</v>
      </c>
      <c r="O9" s="10">
        <v>3.8715231538253501</v>
      </c>
      <c r="R9" s="8">
        <v>291.177256399204</v>
      </c>
      <c r="U9" s="9">
        <v>-6.6172694390482405E-4</v>
      </c>
      <c r="X9" s="10">
        <v>3.8740858928334001</v>
      </c>
      <c r="Y9" s="10">
        <v>3.8715231538253501</v>
      </c>
      <c r="AB9" s="8">
        <v>291.177256399204</v>
      </c>
      <c r="AE9" s="9">
        <v>-6.6172694390482405E-4</v>
      </c>
      <c r="BJ9" s="12">
        <f>AVERAGE(BI22:BI200)</f>
        <v>5.302013614215131E-6</v>
      </c>
      <c r="BV9" s="12">
        <f>AVERAGE(BU22:BU200)</f>
        <v>0</v>
      </c>
      <c r="BY9" s="12">
        <f>AVERAGE(BX22:BX200)</f>
        <v>5.302013614215131E-6</v>
      </c>
    </row>
    <row r="10" spans="1:77" x14ac:dyDescent="0.3">
      <c r="A10" s="1">
        <v>46036</v>
      </c>
      <c r="B10" s="8">
        <v>75.69</v>
      </c>
      <c r="C10" s="8">
        <v>293.52</v>
      </c>
      <c r="D10" s="9">
        <v>6.3618504827643602E-3</v>
      </c>
      <c r="E10" s="9">
        <v>7.3518428555001299E-3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75.69</v>
      </c>
      <c r="M10" s="8">
        <v>293.52</v>
      </c>
      <c r="N10" s="10">
        <v>3.8779231074118101</v>
      </c>
      <c r="O10" s="10">
        <v>3.8715231538253501</v>
      </c>
      <c r="R10" s="8">
        <v>293.03558751304001</v>
      </c>
      <c r="U10" s="9">
        <v>-1.65171931664045E-3</v>
      </c>
      <c r="X10" s="10">
        <v>3.8779231074118101</v>
      </c>
      <c r="Y10" s="10">
        <v>3.8715231538253501</v>
      </c>
      <c r="AB10" s="8">
        <v>293.03558751304001</v>
      </c>
      <c r="AE10" s="9">
        <v>-1.65171931664045E-3</v>
      </c>
      <c r="AZ10" s="13"/>
      <c r="BJ10" s="12">
        <f>STDEV(BI22:BI200)</f>
        <v>6.8429499423205921E-5</v>
      </c>
      <c r="BL10" s="13"/>
      <c r="BV10" s="12">
        <f>STDEV(BU22:BU200)</f>
        <v>0</v>
      </c>
      <c r="BY10" s="12">
        <f>STDEV(BX22:BX200)</f>
        <v>6.8429499423205921E-5</v>
      </c>
    </row>
    <row r="11" spans="1:77" x14ac:dyDescent="0.3">
      <c r="A11" s="1">
        <v>46037</v>
      </c>
      <c r="B11" s="8">
        <v>75.31</v>
      </c>
      <c r="C11" s="8">
        <v>291.95999999999998</v>
      </c>
      <c r="D11" s="9">
        <v>-5.0331232078156801E-3</v>
      </c>
      <c r="E11" s="9">
        <v>-5.3289734635951101E-3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75.31</v>
      </c>
      <c r="M11" s="8">
        <v>291.95999999999998</v>
      </c>
      <c r="N11" s="10">
        <v>3.8767759925640601</v>
      </c>
      <c r="O11" s="10">
        <v>3.8715231538253501</v>
      </c>
      <c r="P11" s="10">
        <v>3.8744763485088001</v>
      </c>
      <c r="R11" s="8">
        <v>291.56440871458699</v>
      </c>
      <c r="U11" s="9">
        <v>-1.35586906086101E-3</v>
      </c>
      <c r="X11" s="10">
        <v>3.8767759925640601</v>
      </c>
      <c r="Y11" s="10">
        <v>3.8715231538253501</v>
      </c>
      <c r="Z11" s="10">
        <v>3.8744763485088001</v>
      </c>
      <c r="AB11" s="8">
        <v>291.56440871458699</v>
      </c>
      <c r="AE11" s="9">
        <v>-1.35586906086101E-3</v>
      </c>
      <c r="BJ11">
        <f>SQRT(252)*BJ9/BJ10</f>
        <v>1.2299791396400184</v>
      </c>
      <c r="BV11" t="e">
        <f>SQRT(252)*BV9/BV10</f>
        <v>#DIV/0!</v>
      </c>
      <c r="BY11">
        <f>SQRT(252)*BY9/BY10</f>
        <v>1.2299791396400184</v>
      </c>
    </row>
    <row r="12" spans="1:77" x14ac:dyDescent="0.3">
      <c r="A12" s="1">
        <v>46038</v>
      </c>
      <c r="B12" s="8">
        <v>74.760000000000005</v>
      </c>
      <c r="C12" s="8">
        <v>289.70999999999998</v>
      </c>
      <c r="D12" s="9">
        <v>-7.3299455258982599E-3</v>
      </c>
      <c r="E12" s="9">
        <v>-7.73638393649532E-3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74.760000000000005</v>
      </c>
      <c r="M12" s="8">
        <v>289.70999999999998</v>
      </c>
      <c r="N12" s="10">
        <v>3.8752006420545699</v>
      </c>
      <c r="O12" s="10">
        <v>3.8715231538253501</v>
      </c>
      <c r="P12" s="10">
        <v>3.8747244170061101</v>
      </c>
      <c r="R12" s="8">
        <v>289.43507097998298</v>
      </c>
      <c r="S12" s="8">
        <v>289.65585181451797</v>
      </c>
      <c r="U12" s="9">
        <v>-9.4943065026395696E-4</v>
      </c>
      <c r="V12" s="9">
        <v>-1.8692225463285E-4</v>
      </c>
      <c r="X12" s="10">
        <v>3.8752006420545699</v>
      </c>
      <c r="Y12" s="10">
        <v>3.8715231538253501</v>
      </c>
      <c r="Z12" s="10">
        <v>3.8747244170061101</v>
      </c>
      <c r="AB12" s="8">
        <v>289.43507097998298</v>
      </c>
      <c r="AC12" s="8">
        <v>289.65585181451797</v>
      </c>
      <c r="AE12" s="9">
        <v>-9.4943065026395696E-4</v>
      </c>
      <c r="AF12" s="9">
        <v>-1.8692225463285E-4</v>
      </c>
    </row>
    <row r="13" spans="1:77" x14ac:dyDescent="0.3">
      <c r="A13" s="1">
        <v>46042</v>
      </c>
      <c r="B13" s="8">
        <v>74.63</v>
      </c>
      <c r="C13" s="8">
        <v>289.36</v>
      </c>
      <c r="D13" s="9">
        <v>-1.7404114440661301E-3</v>
      </c>
      <c r="E13" s="9">
        <v>-1.20883500309358E-3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74.63</v>
      </c>
      <c r="M13" s="8">
        <v>289.36</v>
      </c>
      <c r="N13" s="10">
        <v>3.8772611550314799</v>
      </c>
      <c r="O13" s="10">
        <v>3.8715231538253501</v>
      </c>
      <c r="P13" s="10">
        <v>3.8750277966855502</v>
      </c>
      <c r="R13" s="8">
        <v>288.93177296998601</v>
      </c>
      <c r="S13" s="8">
        <v>289.17068324116599</v>
      </c>
      <c r="U13" s="9">
        <v>-1.48100709123644E-3</v>
      </c>
      <c r="V13" s="9">
        <v>-6.5447441622631995E-4</v>
      </c>
      <c r="X13" s="10">
        <v>3.8772611550314799</v>
      </c>
      <c r="Y13" s="10">
        <v>3.8715231538253501</v>
      </c>
      <c r="Z13" s="10">
        <v>3.8750277966855502</v>
      </c>
      <c r="AB13" s="8">
        <v>288.93177296998601</v>
      </c>
      <c r="AC13" s="8">
        <v>289.17068324116599</v>
      </c>
      <c r="AE13" s="9">
        <v>-1.48100709123644E-3</v>
      </c>
      <c r="AF13" s="9">
        <v>-6.5447441622631995E-4</v>
      </c>
    </row>
    <row r="14" spans="1:77" x14ac:dyDescent="0.3">
      <c r="A14" s="1">
        <v>46043</v>
      </c>
      <c r="B14" s="8">
        <v>75.95</v>
      </c>
      <c r="C14" s="8">
        <v>294.37</v>
      </c>
      <c r="D14" s="9">
        <v>1.75326578984859E-2</v>
      </c>
      <c r="E14" s="9">
        <v>1.7165891844586199E-2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75.95</v>
      </c>
      <c r="M14" s="8">
        <v>294.37</v>
      </c>
      <c r="N14" s="10">
        <v>3.8758393680052601</v>
      </c>
      <c r="O14" s="10">
        <v>3.8715231538253501</v>
      </c>
      <c r="P14" s="10">
        <v>3.875480542759</v>
      </c>
      <c r="R14" s="8">
        <v>294.04218353303497</v>
      </c>
      <c r="S14" s="8">
        <v>294.30836115826702</v>
      </c>
      <c r="U14" s="9">
        <v>-1.11424103733693E-3</v>
      </c>
      <c r="V14" s="9">
        <v>-2.0941432885707701E-4</v>
      </c>
      <c r="X14" s="10">
        <v>3.8758393680052601</v>
      </c>
      <c r="Y14" s="10">
        <v>3.8715231538253501</v>
      </c>
      <c r="Z14" s="10">
        <v>3.875480542759</v>
      </c>
      <c r="AB14" s="8">
        <v>294.04218353303497</v>
      </c>
      <c r="AC14" s="8">
        <v>294.30836115826702</v>
      </c>
      <c r="AE14" s="9">
        <v>-1.11424103733693E-3</v>
      </c>
      <c r="AF14" s="9">
        <v>-2.0941432885707701E-4</v>
      </c>
    </row>
    <row r="15" spans="1:77" x14ac:dyDescent="0.3">
      <c r="A15" s="1">
        <v>46044</v>
      </c>
      <c r="B15" s="8">
        <v>76.08</v>
      </c>
      <c r="C15" s="8">
        <v>294.94</v>
      </c>
      <c r="D15" s="9">
        <v>1.7101891953529699E-3</v>
      </c>
      <c r="E15" s="9">
        <v>1.93446633436593E-3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76.08</v>
      </c>
      <c r="M15" s="8">
        <v>294.94</v>
      </c>
      <c r="N15" s="10">
        <v>3.8767087276551</v>
      </c>
      <c r="O15" s="10">
        <v>3.8715231538253501</v>
      </c>
      <c r="P15" s="10">
        <v>3.8756905187570401</v>
      </c>
      <c r="R15" s="8">
        <v>294.545481543032</v>
      </c>
      <c r="S15" s="8">
        <v>294.84655969310398</v>
      </c>
      <c r="U15" s="9">
        <v>-1.3385181763499599E-3</v>
      </c>
      <c r="V15" s="9">
        <v>-3.1686143450121998E-4</v>
      </c>
      <c r="X15" s="10">
        <v>3.8767087276551</v>
      </c>
      <c r="Y15" s="10">
        <v>3.8715231538253501</v>
      </c>
      <c r="Z15" s="10">
        <v>3.8756905187570401</v>
      </c>
      <c r="AB15" s="8">
        <v>294.545481543032</v>
      </c>
      <c r="AC15" s="8">
        <v>294.84655969310398</v>
      </c>
      <c r="AE15" s="9">
        <v>-1.3385181763499599E-3</v>
      </c>
      <c r="AF15" s="9">
        <v>-3.1686143450121998E-4</v>
      </c>
    </row>
    <row r="16" spans="1:77" x14ac:dyDescent="0.3">
      <c r="A16" s="1">
        <v>46045</v>
      </c>
      <c r="B16" s="8">
        <v>75.540000000000006</v>
      </c>
      <c r="C16" s="8">
        <v>292.73</v>
      </c>
      <c r="D16" s="9">
        <v>-7.1231009528239103E-3</v>
      </c>
      <c r="E16" s="9">
        <v>-7.5212633559257197E-3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75.540000000000006</v>
      </c>
      <c r="M16" s="8">
        <v>292.73</v>
      </c>
      <c r="N16" s="10">
        <v>3.8751654752448998</v>
      </c>
      <c r="O16" s="10">
        <v>3.8715231538253501</v>
      </c>
      <c r="P16" s="10">
        <v>3.8759324248813498</v>
      </c>
      <c r="R16" s="8">
        <v>292.454859039967</v>
      </c>
      <c r="S16" s="8">
        <v>292.76966178690702</v>
      </c>
      <c r="U16" s="9">
        <v>-9.4035577324798E-4</v>
      </c>
      <c r="V16" s="9">
        <v>1.35480136220248E-4</v>
      </c>
      <c r="X16" s="10">
        <v>3.8751654752448998</v>
      </c>
      <c r="Y16" s="10">
        <v>3.8715231538253501</v>
      </c>
      <c r="Z16" s="10">
        <v>3.8759324248813498</v>
      </c>
      <c r="AB16" s="8">
        <v>292.454859039967</v>
      </c>
      <c r="AC16" s="8">
        <v>292.76966178690702</v>
      </c>
      <c r="AE16" s="9">
        <v>-9.4035577324798E-4</v>
      </c>
      <c r="AF16" s="9">
        <v>1.35480136220248E-4</v>
      </c>
    </row>
    <row r="17" spans="1:77" x14ac:dyDescent="0.3">
      <c r="A17" s="1">
        <v>46048</v>
      </c>
      <c r="B17" s="8">
        <v>75.83</v>
      </c>
      <c r="C17" s="8">
        <v>293.87</v>
      </c>
      <c r="D17" s="9">
        <v>3.83167542853333E-3</v>
      </c>
      <c r="E17" s="9">
        <v>3.8868102120440001E-3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75.83</v>
      </c>
      <c r="M17" s="8">
        <v>293.87</v>
      </c>
      <c r="N17" s="10">
        <v>3.8753791375444999</v>
      </c>
      <c r="O17" s="10">
        <v>3.8715231538253501</v>
      </c>
      <c r="P17" s="10">
        <v>3.8759438836093398</v>
      </c>
      <c r="R17" s="8">
        <v>293.577600754576</v>
      </c>
      <c r="S17" s="8">
        <v>293.91195577875197</v>
      </c>
      <c r="U17" s="9">
        <v>-9.9549055675879697E-4</v>
      </c>
      <c r="V17" s="9">
        <v>1.42759669335102E-4</v>
      </c>
      <c r="X17" s="10">
        <v>3.8753791375444999</v>
      </c>
      <c r="Y17" s="10">
        <v>3.8715231538253501</v>
      </c>
      <c r="Z17" s="10">
        <v>3.8759438836093398</v>
      </c>
      <c r="AB17" s="8">
        <v>293.577600754576</v>
      </c>
      <c r="AC17" s="8">
        <v>293.91195577875197</v>
      </c>
      <c r="AE17" s="9">
        <v>-9.9549055675879697E-4</v>
      </c>
      <c r="AF17" s="9">
        <v>1.42759669335102E-4</v>
      </c>
    </row>
    <row r="18" spans="1:77" x14ac:dyDescent="0.3">
      <c r="A18" s="1">
        <v>46049</v>
      </c>
      <c r="B18" s="8">
        <v>74.7</v>
      </c>
      <c r="C18" s="8">
        <v>289.51</v>
      </c>
      <c r="D18" s="9">
        <v>-1.5013900574072399E-2</v>
      </c>
      <c r="E18" s="9">
        <v>-1.49476539481E-2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74.7</v>
      </c>
      <c r="M18" s="8">
        <v>289.51</v>
      </c>
      <c r="N18" s="10">
        <v>3.8756358768406902</v>
      </c>
      <c r="O18" s="10">
        <v>3.8715231538253501</v>
      </c>
      <c r="P18" s="10">
        <v>3.8759975375185798</v>
      </c>
      <c r="R18" s="8">
        <v>289.20277959075298</v>
      </c>
      <c r="S18" s="8">
        <v>289.53300810561802</v>
      </c>
      <c r="U18" s="9">
        <v>-1.06173718273129E-3</v>
      </c>
      <c r="V18" s="9">
        <v>7.9469418707092497E-5</v>
      </c>
      <c r="X18" s="10">
        <v>3.8756358768406902</v>
      </c>
      <c r="Y18" s="10">
        <v>3.8715231538253501</v>
      </c>
      <c r="Z18" s="10">
        <v>3.8759975375185798</v>
      </c>
      <c r="AB18" s="8">
        <v>289.20277959075298</v>
      </c>
      <c r="AC18" s="8">
        <v>289.53300810561802</v>
      </c>
      <c r="AE18" s="9">
        <v>-1.06173718273129E-3</v>
      </c>
      <c r="AF18" s="9">
        <v>7.9469418707092497E-5</v>
      </c>
    </row>
    <row r="19" spans="1:77" x14ac:dyDescent="0.3">
      <c r="A19" s="1">
        <v>46050</v>
      </c>
      <c r="B19" s="8">
        <v>74.040000000000006</v>
      </c>
      <c r="C19" s="8">
        <v>286.83999999999997</v>
      </c>
      <c r="D19" s="9">
        <v>-8.8746044334748406E-3</v>
      </c>
      <c r="E19" s="9">
        <v>-9.2652697164388696E-3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74.040000000000006</v>
      </c>
      <c r="M19" s="8">
        <v>286.83999999999997</v>
      </c>
      <c r="N19" s="10">
        <v>3.8741220961642302</v>
      </c>
      <c r="O19" s="10">
        <v>3.8715231538253501</v>
      </c>
      <c r="P19" s="10">
        <v>3.8760011578516602</v>
      </c>
      <c r="R19" s="8">
        <v>286.64757430922901</v>
      </c>
      <c r="S19" s="8">
        <v>286.978857677875</v>
      </c>
      <c r="U19" s="9">
        <v>-6.7107189976715702E-4</v>
      </c>
      <c r="V19" s="9">
        <v>4.8397740411733402E-4</v>
      </c>
      <c r="X19" s="10">
        <v>3.8741220961642302</v>
      </c>
      <c r="Y19" s="10">
        <v>3.8715231538253501</v>
      </c>
      <c r="Z19" s="10">
        <v>3.8760011578516602</v>
      </c>
      <c r="AB19" s="8">
        <v>286.64757430922901</v>
      </c>
      <c r="AC19" s="8">
        <v>286.978857677875</v>
      </c>
      <c r="AE19" s="9">
        <v>-6.7107189976715702E-4</v>
      </c>
      <c r="AF19" s="9">
        <v>4.8397740411733402E-4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73.84</v>
      </c>
      <c r="C20" s="8">
        <v>286.08</v>
      </c>
      <c r="D20" s="9">
        <v>-2.7048975107001002E-3</v>
      </c>
      <c r="E20" s="9">
        <v>-2.6530770292248198E-3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73.84</v>
      </c>
      <c r="M20" s="8">
        <v>286.08</v>
      </c>
      <c r="N20" s="10">
        <v>3.8743228602383502</v>
      </c>
      <c r="O20" s="10">
        <v>3.8715231538253501</v>
      </c>
      <c r="P20" s="10">
        <v>3.8756411331343101</v>
      </c>
      <c r="R20" s="8">
        <v>285.873269678464</v>
      </c>
      <c r="S20" s="8">
        <v>286.20392549576599</v>
      </c>
      <c r="U20" s="9">
        <v>-7.2289238124246505E-4</v>
      </c>
      <c r="V20" s="9">
        <v>4.3309096126254598E-4</v>
      </c>
      <c r="X20" s="10">
        <v>3.8743228602383502</v>
      </c>
      <c r="Y20" s="10">
        <v>3.8715231538253501</v>
      </c>
      <c r="Z20" s="10">
        <v>3.8756411331343101</v>
      </c>
      <c r="AB20" s="8">
        <v>285.873269678464</v>
      </c>
      <c r="AC20" s="8">
        <v>286.20392549576599</v>
      </c>
      <c r="AE20" s="9">
        <v>-7.2289238124246505E-4</v>
      </c>
      <c r="AF20" s="9">
        <v>4.3309096126254598E-4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FHLC log rtn</v>
      </c>
      <c r="BH20" s="6" t="str">
        <f>E1</f>
        <v>VHT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FHLC log rtn</v>
      </c>
      <c r="BT20" s="7" t="str">
        <f>E1</f>
        <v>VHT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74.13</v>
      </c>
      <c r="C21" s="8">
        <v>287.27999999999997</v>
      </c>
      <c r="D21" s="9">
        <v>3.9197184740315198E-3</v>
      </c>
      <c r="E21" s="9">
        <v>4.1858579326780297E-3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74.13</v>
      </c>
      <c r="M21" s="8">
        <v>287.27999999999997</v>
      </c>
      <c r="N21" s="10">
        <v>3.8753541076487199</v>
      </c>
      <c r="O21" s="10">
        <v>3.8715231538253501</v>
      </c>
      <c r="P21" s="10">
        <v>3.8754989446427799</v>
      </c>
      <c r="Q21" s="10">
        <v>3.8749876465757902</v>
      </c>
      <c r="R21" s="8">
        <v>286.99601139307299</v>
      </c>
      <c r="S21" s="8">
        <v>287.30127719924701</v>
      </c>
      <c r="U21" s="9">
        <v>-9.8903183988883103E-4</v>
      </c>
      <c r="V21" s="9">
        <v>7.4061582237986293E-5</v>
      </c>
      <c r="X21" s="10">
        <v>3.8753541076487199</v>
      </c>
      <c r="Y21" s="10">
        <v>3.8715231538253501</v>
      </c>
      <c r="Z21" s="10">
        <v>3.8754989446427799</v>
      </c>
      <c r="AA21" s="10">
        <v>3.8749876465757902</v>
      </c>
      <c r="AB21" s="8">
        <v>286.99601139307299</v>
      </c>
      <c r="AC21" s="8">
        <v>287.30127719924701</v>
      </c>
      <c r="AE21" s="9">
        <v>-9.8903183988883103E-4</v>
      </c>
      <c r="AF21" s="9">
        <v>7.4061582237986293E-5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74.58</v>
      </c>
      <c r="C22" s="8">
        <v>289.01</v>
      </c>
      <c r="D22" s="9">
        <v>6.0520660820464001E-3</v>
      </c>
      <c r="E22" s="9">
        <v>6.0039396720913702E-3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74.58</v>
      </c>
      <c r="M22" s="8">
        <v>289.01</v>
      </c>
      <c r="N22" s="10">
        <v>3.8751676052561002</v>
      </c>
      <c r="O22" s="10">
        <v>3.8715231538253501</v>
      </c>
      <c r="P22" s="10">
        <v>3.8754956409629302</v>
      </c>
      <c r="Q22" s="10">
        <v>3.8751100289845199</v>
      </c>
      <c r="R22" s="8">
        <v>288.73819681229401</v>
      </c>
      <c r="S22" s="8">
        <v>289.034711291458</v>
      </c>
      <c r="T22" s="8">
        <v>288.996578681622</v>
      </c>
      <c r="U22" s="9">
        <v>-9.4090542993389504E-4</v>
      </c>
      <c r="V22" s="9">
        <v>8.5499585036352306E-5</v>
      </c>
      <c r="W22" s="9">
        <v>-4.6440019454997003E-5</v>
      </c>
      <c r="X22" s="10">
        <v>3.8751676052561002</v>
      </c>
      <c r="Y22" s="10">
        <v>3.8715231538253501</v>
      </c>
      <c r="Z22" s="10">
        <v>3.8754956409629302</v>
      </c>
      <c r="AA22" s="10">
        <v>3.8751100289845199</v>
      </c>
      <c r="AB22" s="8">
        <v>288.73819681229401</v>
      </c>
      <c r="AC22" s="8">
        <v>289.034711291458</v>
      </c>
      <c r="AD22" s="8">
        <v>288.996578681622</v>
      </c>
      <c r="AE22" s="9">
        <v>-9.4090542993389504E-4</v>
      </c>
      <c r="AF22" s="9">
        <v>8.5499585036352306E-5</v>
      </c>
      <c r="AG22" s="9">
        <v>-4.6440019454997003E-5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73.89</v>
      </c>
      <c r="C23" s="8">
        <v>286.33999999999997</v>
      </c>
      <c r="D23" s="9">
        <v>-9.2948739501185207E-3</v>
      </c>
      <c r="E23" s="9">
        <v>-9.2813736577372595E-3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73.89</v>
      </c>
      <c r="M23" s="8">
        <v>286.33999999999997</v>
      </c>
      <c r="N23" s="10">
        <v>3.8752199215049301</v>
      </c>
      <c r="O23" s="10">
        <v>3.8715231538253501</v>
      </c>
      <c r="P23" s="10">
        <v>3.8752915176102798</v>
      </c>
      <c r="Q23" s="10">
        <v>3.8751596571479099</v>
      </c>
      <c r="R23" s="8">
        <v>286.06684583615498</v>
      </c>
      <c r="S23" s="8">
        <v>286.36037291075098</v>
      </c>
      <c r="T23" s="8">
        <v>286.33188004166601</v>
      </c>
      <c r="U23" s="9">
        <v>-9.5440572231508803E-4</v>
      </c>
      <c r="V23" s="9">
        <v>7.1146839512372799E-5</v>
      </c>
      <c r="W23" s="9">
        <v>-2.8358152781822399E-5</v>
      </c>
      <c r="X23" s="10">
        <v>3.8752199215049301</v>
      </c>
      <c r="Y23" s="10">
        <v>3.8715231538253501</v>
      </c>
      <c r="Z23" s="10">
        <v>3.8752915176102798</v>
      </c>
      <c r="AA23" s="10">
        <v>3.8751596571479099</v>
      </c>
      <c r="AB23" s="8">
        <v>286.06684583615498</v>
      </c>
      <c r="AC23" s="8">
        <v>286.36037291075098</v>
      </c>
      <c r="AD23" s="8">
        <v>286.33188004166601</v>
      </c>
      <c r="AE23" s="9">
        <v>-9.5440572231508803E-4</v>
      </c>
      <c r="AF23" s="9">
        <v>7.1146839512372799E-5</v>
      </c>
      <c r="AG23" s="9">
        <v>-2.8358152781822399E-5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74.510000000000005</v>
      </c>
      <c r="C24" s="8">
        <v>288.85000000000002</v>
      </c>
      <c r="D24" s="9">
        <v>8.3558437650799108E-3</v>
      </c>
      <c r="E24" s="9">
        <v>8.7276062950933202E-3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74.510000000000005</v>
      </c>
      <c r="M24" s="8">
        <v>288.85000000000002</v>
      </c>
      <c r="N24" s="10">
        <v>3.87666085089249</v>
      </c>
      <c r="O24" s="10">
        <v>3.8715231538253501</v>
      </c>
      <c r="P24" s="10">
        <v>3.8753736658990001</v>
      </c>
      <c r="Q24" s="10">
        <v>3.8754271043289998</v>
      </c>
      <c r="R24" s="8">
        <v>288.46719019152698</v>
      </c>
      <c r="S24" s="8">
        <v>288.74797097714202</v>
      </c>
      <c r="T24" s="8">
        <v>288.73814605409098</v>
      </c>
      <c r="U24" s="9">
        <v>-1.3261682523283301E-3</v>
      </c>
      <c r="V24" s="9">
        <v>-3.5328733494836601E-4</v>
      </c>
      <c r="W24" s="9">
        <v>-3.8731386047639502E-4</v>
      </c>
      <c r="X24" s="10">
        <v>3.87666085089249</v>
      </c>
      <c r="Y24" s="10">
        <v>3.8715231538253501</v>
      </c>
      <c r="Z24" s="10">
        <v>3.8753736658990001</v>
      </c>
      <c r="AA24" s="10">
        <v>3.8754271043289998</v>
      </c>
      <c r="AB24" s="8">
        <v>288.46719019152698</v>
      </c>
      <c r="AC24" s="8">
        <v>288.74797097714202</v>
      </c>
      <c r="AD24" s="8">
        <v>288.73814605409098</v>
      </c>
      <c r="AE24" s="9">
        <v>-1.3261682523283301E-3</v>
      </c>
      <c r="AF24" s="9">
        <v>-3.5328733494836601E-4</v>
      </c>
      <c r="AG24" s="9">
        <v>-3.8731386047639502E-4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73.81</v>
      </c>
      <c r="C25" s="8">
        <v>285.92</v>
      </c>
      <c r="D25" s="9">
        <v>-9.4391207836751704E-3</v>
      </c>
      <c r="E25" s="9">
        <v>-1.0195470816156601E-2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73.81</v>
      </c>
      <c r="M25" s="8">
        <v>285.92</v>
      </c>
      <c r="N25" s="10">
        <v>3.8737298469042099</v>
      </c>
      <c r="O25" s="10">
        <v>3.8715231538253501</v>
      </c>
      <c r="P25" s="10">
        <v>3.87507577782391</v>
      </c>
      <c r="Q25" s="10">
        <v>3.8753831482904801</v>
      </c>
      <c r="R25" s="8">
        <v>285.757123983849</v>
      </c>
      <c r="S25" s="8">
        <v>286.04133028000501</v>
      </c>
      <c r="T25" s="8">
        <v>286.04527457052302</v>
      </c>
      <c r="U25" s="9">
        <v>-5.6981821984695904E-4</v>
      </c>
      <c r="V25" s="9">
        <v>4.2426043650934699E-4</v>
      </c>
      <c r="W25" s="9">
        <v>4.3804957432444199E-4</v>
      </c>
      <c r="X25" s="10">
        <v>3.8737298469042099</v>
      </c>
      <c r="Y25" s="10">
        <v>3.8715231538253501</v>
      </c>
      <c r="Z25" s="10">
        <v>3.87507577782391</v>
      </c>
      <c r="AA25" s="10">
        <v>3.8753831482904801</v>
      </c>
      <c r="AB25" s="8">
        <v>285.757123983849</v>
      </c>
      <c r="AC25" s="8">
        <v>286.04133028000501</v>
      </c>
      <c r="AD25" s="8">
        <v>286.04527457052302</v>
      </c>
      <c r="AE25" s="9">
        <v>-5.6981821984695904E-4</v>
      </c>
      <c r="AF25" s="9">
        <v>4.2426043650934699E-4</v>
      </c>
      <c r="AG25" s="9">
        <v>4.3804957432444199E-4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75.19</v>
      </c>
      <c r="C26" s="8">
        <v>291.2</v>
      </c>
      <c r="D26" s="9">
        <v>1.8524019607974399E-2</v>
      </c>
      <c r="E26" s="9">
        <v>1.8298264911412801E-2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75.19</v>
      </c>
      <c r="M26" s="8">
        <v>291.2</v>
      </c>
      <c r="N26" s="10">
        <v>3.87285543290331</v>
      </c>
      <c r="O26" s="10">
        <v>3.8715231538253501</v>
      </c>
      <c r="P26" s="10">
        <v>3.87484477358975</v>
      </c>
      <c r="Q26" s="10">
        <v>3.8753885992355501</v>
      </c>
      <c r="R26" s="8">
        <v>291.09982593612801</v>
      </c>
      <c r="S26" s="8">
        <v>291.36694773457998</v>
      </c>
      <c r="T26" s="8">
        <v>291.39005891996101</v>
      </c>
      <c r="U26" s="9">
        <v>-3.4406352328533903E-4</v>
      </c>
      <c r="V26" s="9">
        <v>5.73145248969783E-4</v>
      </c>
      <c r="W26" s="9">
        <v>6.52461962897237E-4</v>
      </c>
      <c r="X26" s="10">
        <v>3.87285543290331</v>
      </c>
      <c r="Y26" s="10">
        <v>3.8715231538253501</v>
      </c>
      <c r="Z26" s="10">
        <v>3.87484477358975</v>
      </c>
      <c r="AA26" s="10">
        <v>3.8753885992355501</v>
      </c>
      <c r="AB26" s="8">
        <v>291.09982593612801</v>
      </c>
      <c r="AC26" s="8">
        <v>291.36694773457998</v>
      </c>
      <c r="AD26" s="8">
        <v>291.39005891996101</v>
      </c>
      <c r="AE26" s="9">
        <v>-3.4406352328533903E-4</v>
      </c>
      <c r="AF26" s="9">
        <v>5.73145248969783E-4</v>
      </c>
      <c r="AG26" s="9">
        <v>6.52461962897237E-4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0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74.61</v>
      </c>
      <c r="C27" s="8">
        <v>288.95</v>
      </c>
      <c r="D27" s="9">
        <v>-7.7436969065125E-3</v>
      </c>
      <c r="E27" s="9">
        <v>-7.7566535587439501E-3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74.61</v>
      </c>
      <c r="M27" s="8">
        <v>288.95</v>
      </c>
      <c r="N27" s="10">
        <v>3.8728052539874001</v>
      </c>
      <c r="O27" s="10">
        <v>3.8715231538253501</v>
      </c>
      <c r="P27" s="10">
        <v>3.8745873852340398</v>
      </c>
      <c r="Q27" s="10">
        <v>3.87526563442169</v>
      </c>
      <c r="R27" s="8">
        <v>288.85434250690901</v>
      </c>
      <c r="S27" s="8">
        <v>289.102168557531</v>
      </c>
      <c r="T27" s="8">
        <v>289.14274338896399</v>
      </c>
      <c r="U27" s="9">
        <v>-3.31106871053861E-4</v>
      </c>
      <c r="V27" s="9">
        <v>5.2648729413660002E-4</v>
      </c>
      <c r="W27" s="9">
        <v>6.6682517056624398E-4</v>
      </c>
      <c r="X27" s="10">
        <v>3.8728052539874001</v>
      </c>
      <c r="Y27" s="10">
        <v>3.8715231538253501</v>
      </c>
      <c r="Z27" s="10">
        <v>3.8745873852340398</v>
      </c>
      <c r="AA27" s="10">
        <v>3.87526563442169</v>
      </c>
      <c r="AB27" s="8">
        <v>288.85434250690901</v>
      </c>
      <c r="AC27" s="8">
        <v>289.102168557531</v>
      </c>
      <c r="AD27" s="8">
        <v>289.14274338896399</v>
      </c>
      <c r="AE27" s="9">
        <v>-3.31106871053861E-4</v>
      </c>
      <c r="AF27" s="9">
        <v>5.2648729413660002E-4</v>
      </c>
      <c r="AG27" s="9">
        <v>6.6682517056624398E-4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0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74.23</v>
      </c>
      <c r="C28" s="8">
        <v>287.56</v>
      </c>
      <c r="D28" s="9">
        <v>-5.10616535396732E-3</v>
      </c>
      <c r="E28" s="9">
        <v>-4.8221286481161798E-3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74.23</v>
      </c>
      <c r="M28" s="8">
        <v>287.56</v>
      </c>
      <c r="N28" s="10">
        <v>3.8739054290718</v>
      </c>
      <c r="O28" s="10">
        <v>3.8715231538253501</v>
      </c>
      <c r="P28" s="10">
        <v>3.8744143404571498</v>
      </c>
      <c r="Q28" s="10">
        <v>3.8752059389878699</v>
      </c>
      <c r="R28" s="8">
        <v>287.38316370845502</v>
      </c>
      <c r="S28" s="8">
        <v>287.61062160592297</v>
      </c>
      <c r="T28" s="8">
        <v>287.66096804312201</v>
      </c>
      <c r="U28" s="9">
        <v>-6.1514357690519805E-4</v>
      </c>
      <c r="V28" s="9">
        <v>1.7602291964325401E-4</v>
      </c>
      <c r="W28" s="9">
        <v>3.5105828809771101E-4</v>
      </c>
      <c r="X28" s="10">
        <v>3.8739054290718</v>
      </c>
      <c r="Y28" s="10">
        <v>3.8715231538253501</v>
      </c>
      <c r="Z28" s="10">
        <v>3.8744143404571498</v>
      </c>
      <c r="AA28" s="10">
        <v>3.8752059389878699</v>
      </c>
      <c r="AB28" s="8">
        <v>287.38316370845502</v>
      </c>
      <c r="AC28" s="8">
        <v>287.61062160592297</v>
      </c>
      <c r="AD28" s="8">
        <v>287.66096804312201</v>
      </c>
      <c r="AE28" s="9">
        <v>-6.1514357690519805E-4</v>
      </c>
      <c r="AF28" s="9">
        <v>1.7602291964325401E-4</v>
      </c>
      <c r="AG28" s="9">
        <v>3.5105828809771101E-4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74.58</v>
      </c>
      <c r="C29" s="8">
        <v>288.77999999999997</v>
      </c>
      <c r="D29" s="9">
        <v>4.7039936212191101E-3</v>
      </c>
      <c r="E29" s="9">
        <v>4.23361842740211E-3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74.58</v>
      </c>
      <c r="M29" s="8">
        <v>288.77999999999997</v>
      </c>
      <c r="N29" s="10">
        <v>3.8720836685438398</v>
      </c>
      <c r="O29" s="10">
        <v>3.8715231538253501</v>
      </c>
      <c r="P29" s="10">
        <v>3.8742104976951102</v>
      </c>
      <c r="Q29" s="10">
        <v>3.8751058277733899</v>
      </c>
      <c r="R29" s="8">
        <v>288.73819681229401</v>
      </c>
      <c r="S29" s="8">
        <v>288.953821511294</v>
      </c>
      <c r="T29" s="8">
        <v>289.01285892971498</v>
      </c>
      <c r="U29" s="9">
        <v>-1.4476838308811999E-4</v>
      </c>
      <c r="V29" s="9">
        <v>6.0173564388194402E-4</v>
      </c>
      <c r="W29" s="9">
        <v>8.0602914599465505E-4</v>
      </c>
      <c r="X29" s="10">
        <v>3.8720836685438398</v>
      </c>
      <c r="Y29" s="10">
        <v>3.8715231538253501</v>
      </c>
      <c r="Z29" s="10">
        <v>3.8742104976951102</v>
      </c>
      <c r="AA29" s="10">
        <v>3.8751058277733899</v>
      </c>
      <c r="AB29" s="8">
        <v>288.73819681229401</v>
      </c>
      <c r="AC29" s="8">
        <v>288.953821511294</v>
      </c>
      <c r="AD29" s="8">
        <v>289.01285892971498</v>
      </c>
      <c r="AE29" s="9">
        <v>-1.4476838308811999E-4</v>
      </c>
      <c r="AF29" s="9">
        <v>6.0173564388194402E-4</v>
      </c>
      <c r="AG29" s="9">
        <v>8.0602914599465505E-4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74.25</v>
      </c>
      <c r="C30" s="8">
        <v>287.81</v>
      </c>
      <c r="D30" s="9">
        <v>-4.4345970678657497E-3</v>
      </c>
      <c r="E30" s="9">
        <v>-3.3646123418128999E-3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74.25</v>
      </c>
      <c r="M30" s="8">
        <v>287.81</v>
      </c>
      <c r="N30" s="10">
        <v>3.87622895622895</v>
      </c>
      <c r="O30" s="10">
        <v>3.8715231538253501</v>
      </c>
      <c r="P30" s="10">
        <v>3.8744011072941702</v>
      </c>
      <c r="Q30" s="10">
        <v>3.8750211202142402</v>
      </c>
      <c r="R30" s="8">
        <v>287.46059417153202</v>
      </c>
      <c r="S30" s="8">
        <v>287.660129453862</v>
      </c>
      <c r="T30" s="8">
        <v>287.72660771217397</v>
      </c>
      <c r="U30" s="9">
        <v>-1.2147531091410101E-3</v>
      </c>
      <c r="V30" s="9">
        <v>-5.2086300176163998E-4</v>
      </c>
      <c r="W30" s="9">
        <v>-2.8978969292945398E-4</v>
      </c>
      <c r="X30" s="10">
        <v>3.87622895622895</v>
      </c>
      <c r="Y30" s="10">
        <v>3.8715231538253501</v>
      </c>
      <c r="Z30" s="10">
        <v>3.8744011072941702</v>
      </c>
      <c r="AA30" s="10">
        <v>3.8750211202142402</v>
      </c>
      <c r="AB30" s="8">
        <v>287.46059417153202</v>
      </c>
      <c r="AC30" s="8">
        <v>287.660129453862</v>
      </c>
      <c r="AD30" s="8">
        <v>287.72660771217397</v>
      </c>
      <c r="AE30" s="9">
        <v>-1.2147531091410101E-3</v>
      </c>
      <c r="AF30" s="9">
        <v>-5.2086300176163998E-4</v>
      </c>
      <c r="AG30" s="9">
        <v>-2.8978969292945398E-4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74.959999999999994</v>
      </c>
      <c r="C31" s="8">
        <v>290.39</v>
      </c>
      <c r="D31" s="9">
        <v>9.51686024735773E-3</v>
      </c>
      <c r="E31" s="9">
        <v>8.9243068947657492E-3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74.959999999999994</v>
      </c>
      <c r="M31" s="8">
        <v>290.39</v>
      </c>
      <c r="N31" s="10">
        <v>3.8739327641408701</v>
      </c>
      <c r="O31" s="10">
        <v>3.8715231538253501</v>
      </c>
      <c r="P31" s="10">
        <v>3.8742589729433901</v>
      </c>
      <c r="Q31" s="10">
        <v>3.8748789587930799</v>
      </c>
      <c r="R31" s="8">
        <v>290.209375610748</v>
      </c>
      <c r="S31" s="8">
        <v>290.42510700277103</v>
      </c>
      <c r="T31" s="8">
        <v>290.47158317126002</v>
      </c>
      <c r="U31" s="9">
        <v>-6.2219975654910899E-4</v>
      </c>
      <c r="V31" s="9">
        <v>1.20888738571356E-4</v>
      </c>
      <c r="W31" s="9">
        <v>2.8090400246887098E-4</v>
      </c>
      <c r="X31" s="10">
        <v>3.8739327641408701</v>
      </c>
      <c r="Y31" s="10">
        <v>3.8715231538253501</v>
      </c>
      <c r="Z31" s="10">
        <v>3.8742589729433901</v>
      </c>
      <c r="AA31" s="10">
        <v>3.8748789587930799</v>
      </c>
      <c r="AB31" s="8">
        <v>290.209375610748</v>
      </c>
      <c r="AC31" s="8">
        <v>290.42510700277103</v>
      </c>
      <c r="AD31" s="8">
        <v>290.47158317126002</v>
      </c>
      <c r="AE31" s="9">
        <v>-6.2219975654910899E-4</v>
      </c>
      <c r="AF31" s="9">
        <v>1.20888738571356E-4</v>
      </c>
      <c r="AG31" s="9">
        <v>2.8090400246887098E-4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75.010000000000005</v>
      </c>
      <c r="C32" s="8">
        <v>290.60000000000002</v>
      </c>
      <c r="D32" s="9">
        <v>6.6680005137829501E-4</v>
      </c>
      <c r="E32" s="9">
        <v>7.2290404015677798E-4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75.010000000000005</v>
      </c>
      <c r="M32" s="8">
        <v>290.60000000000002</v>
      </c>
      <c r="N32" s="10">
        <v>3.8741501133182199</v>
      </c>
      <c r="O32" s="10">
        <v>3.8715231538253501</v>
      </c>
      <c r="P32" s="10">
        <v>3.8741572237496</v>
      </c>
      <c r="Q32" s="10">
        <v>3.87482643235627</v>
      </c>
      <c r="R32" s="8">
        <v>290.40295176843898</v>
      </c>
      <c r="S32" s="8">
        <v>290.608165560484</v>
      </c>
      <c r="T32" s="8">
        <v>290.65467069906902</v>
      </c>
      <c r="U32" s="9">
        <v>-6.7830374532750805E-4</v>
      </c>
      <c r="V32" s="9">
        <v>2.80985745500139E-5</v>
      </c>
      <c r="W32" s="9">
        <v>1.8811272231194199E-4</v>
      </c>
      <c r="X32" s="10">
        <v>3.8741501133182199</v>
      </c>
      <c r="Y32" s="10">
        <v>3.8715231538253501</v>
      </c>
      <c r="Z32" s="10">
        <v>3.8741572237496</v>
      </c>
      <c r="AA32" s="10">
        <v>3.87482643235627</v>
      </c>
      <c r="AB32" s="8">
        <v>290.40295176843898</v>
      </c>
      <c r="AC32" s="8">
        <v>290.608165560484</v>
      </c>
      <c r="AD32" s="8">
        <v>290.65467069906902</v>
      </c>
      <c r="AE32" s="9">
        <v>-6.7830374532750805E-4</v>
      </c>
      <c r="AF32" s="9">
        <v>2.80985745500139E-5</v>
      </c>
      <c r="AG32" s="9">
        <v>1.8811272231194199E-4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75.2</v>
      </c>
      <c r="C33" s="8">
        <v>291.42</v>
      </c>
      <c r="D33" s="9">
        <v>2.5297929742492402E-3</v>
      </c>
      <c r="E33" s="9">
        <v>2.81777444952587E-3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75.2</v>
      </c>
      <c r="M33" s="8">
        <v>291.42</v>
      </c>
      <c r="N33" s="10">
        <v>3.8752659574467998</v>
      </c>
      <c r="O33" s="10">
        <v>3.8715231538253501</v>
      </c>
      <c r="P33" s="10">
        <v>3.8741618273437899</v>
      </c>
      <c r="Q33" s="10">
        <v>3.87472667247703</v>
      </c>
      <c r="R33" s="8">
        <v>291.13854116766601</v>
      </c>
      <c r="S33" s="8">
        <v>291.33662322597002</v>
      </c>
      <c r="T33" s="8">
        <v>291.38694771319098</v>
      </c>
      <c r="U33" s="9">
        <v>-9.6628522060429199E-4</v>
      </c>
      <c r="V33" s="9">
        <v>-2.8614612438686797E-4</v>
      </c>
      <c r="W33" s="9">
        <v>-1.13424477774271E-4</v>
      </c>
      <c r="X33" s="10">
        <v>3.8752659574467998</v>
      </c>
      <c r="Y33" s="10">
        <v>3.8715231538253501</v>
      </c>
      <c r="Z33" s="10">
        <v>3.8741618273437899</v>
      </c>
      <c r="AA33" s="10">
        <v>3.87472667247703</v>
      </c>
      <c r="AB33" s="8">
        <v>291.13854116766601</v>
      </c>
      <c r="AC33" s="8">
        <v>291.33662322597002</v>
      </c>
      <c r="AD33" s="8">
        <v>291.38694771319098</v>
      </c>
      <c r="AE33" s="9">
        <v>-9.6628522060429199E-4</v>
      </c>
      <c r="AF33" s="9">
        <v>-2.8614612438686797E-4</v>
      </c>
      <c r="AG33" s="9">
        <v>-1.13424477774271E-4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75.06</v>
      </c>
      <c r="C34" s="8">
        <v>290.87</v>
      </c>
      <c r="D34" s="9">
        <v>-1.8634372489193601E-3</v>
      </c>
      <c r="E34" s="9">
        <v>-1.8890936253903199E-3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75.06</v>
      </c>
      <c r="M34" s="8">
        <v>290.87</v>
      </c>
      <c r="N34" s="10">
        <v>3.8751665334399101</v>
      </c>
      <c r="O34" s="10">
        <v>3.8715231538253501</v>
      </c>
      <c r="P34" s="10">
        <v>3.8740123955985299</v>
      </c>
      <c r="Q34" s="10">
        <v>3.8746930307487699</v>
      </c>
      <c r="R34" s="8">
        <v>290.59652792613002</v>
      </c>
      <c r="S34" s="8">
        <v>290.79458676042498</v>
      </c>
      <c r="T34" s="8">
        <v>290.83698403612601</v>
      </c>
      <c r="U34" s="9">
        <v>-9.4062884413333701E-4</v>
      </c>
      <c r="V34" s="9">
        <v>-2.59301465875457E-4</v>
      </c>
      <c r="W34" s="9">
        <v>-1.13514070881046E-4</v>
      </c>
      <c r="X34" s="10">
        <v>3.8751665334399101</v>
      </c>
      <c r="Y34" s="10">
        <v>3.8715231538253501</v>
      </c>
      <c r="Z34" s="10">
        <v>3.8740123955985299</v>
      </c>
      <c r="AA34" s="10">
        <v>3.8746930307487699</v>
      </c>
      <c r="AB34" s="8">
        <v>290.59652792613002</v>
      </c>
      <c r="AC34" s="8">
        <v>290.79458676042498</v>
      </c>
      <c r="AD34" s="8">
        <v>290.83698403612601</v>
      </c>
      <c r="AE34" s="9">
        <v>-9.4062884413333701E-4</v>
      </c>
      <c r="AF34" s="9">
        <v>-2.59301465875457E-4</v>
      </c>
      <c r="AG34" s="9">
        <v>-1.13514070881046E-4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74.819999999999993</v>
      </c>
      <c r="C35" s="8">
        <v>289.89999999999998</v>
      </c>
      <c r="D35" s="9">
        <v>-3.2025647868748502E-3</v>
      </c>
      <c r="E35" s="9">
        <v>-3.3403960327084499E-3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74.819999999999993</v>
      </c>
      <c r="M35" s="8">
        <v>289.89999999999998</v>
      </c>
      <c r="N35" s="10">
        <v>3.8746324512162502</v>
      </c>
      <c r="O35" s="10">
        <v>3.8715231538253501</v>
      </c>
      <c r="P35" s="10">
        <v>3.8741026560297298</v>
      </c>
      <c r="Q35" s="10">
        <v>3.8745892169268199</v>
      </c>
      <c r="R35" s="8">
        <v>289.66736236921201</v>
      </c>
      <c r="S35" s="8">
        <v>289.85360743868199</v>
      </c>
      <c r="T35" s="8">
        <v>289.90453256062199</v>
      </c>
      <c r="U35" s="9">
        <v>-8.0279759829962095E-4</v>
      </c>
      <c r="V35" s="9">
        <v>-1.60042338060057E-4</v>
      </c>
      <c r="W35" s="9">
        <v>1.5634788514139701E-5</v>
      </c>
      <c r="X35" s="10">
        <v>3.8746324512162502</v>
      </c>
      <c r="Y35" s="10">
        <v>3.8715231538253501</v>
      </c>
      <c r="Z35" s="10">
        <v>3.8741026560297298</v>
      </c>
      <c r="AA35" s="10">
        <v>3.8745892169268199</v>
      </c>
      <c r="AB35" s="8">
        <v>289.66736236921201</v>
      </c>
      <c r="AC35" s="8">
        <v>289.85360743868199</v>
      </c>
      <c r="AD35" s="8">
        <v>289.90453256062199</v>
      </c>
      <c r="AE35" s="9">
        <v>-8.0279759829962095E-4</v>
      </c>
      <c r="AF35" s="9">
        <v>-1.60042338060057E-4</v>
      </c>
      <c r="AG35" s="9">
        <v>1.5634788514139701E-5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75.55</v>
      </c>
      <c r="C36" s="8">
        <v>292.72000000000003</v>
      </c>
      <c r="D36" s="9">
        <v>9.7094597987484703E-3</v>
      </c>
      <c r="E36" s="9">
        <v>9.6804847833417296E-3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75.55</v>
      </c>
      <c r="M36" s="8">
        <v>292.72000000000003</v>
      </c>
      <c r="N36" s="10">
        <v>3.8745201853077398</v>
      </c>
      <c r="O36" s="10">
        <v>3.8715231538253501</v>
      </c>
      <c r="P36" s="10">
        <v>3.87426913127018</v>
      </c>
      <c r="Q36" s="10">
        <v>3.8745569524299701</v>
      </c>
      <c r="R36" s="8">
        <v>292.493574271505</v>
      </c>
      <c r="S36" s="8">
        <v>292.688455663046</v>
      </c>
      <c r="T36" s="8">
        <v>292.72521533882099</v>
      </c>
      <c r="U36" s="9">
        <v>-7.7382258289287499E-4</v>
      </c>
      <c r="V36" s="9">
        <v>-1.0776864146264999E-4</v>
      </c>
      <c r="W36" s="9">
        <v>1.7816658793288199E-5</v>
      </c>
      <c r="X36" s="10">
        <v>3.8745201853077398</v>
      </c>
      <c r="Y36" s="10">
        <v>3.8715231538253501</v>
      </c>
      <c r="Z36" s="10">
        <v>3.87426913127018</v>
      </c>
      <c r="AA36" s="10">
        <v>3.8745569524299701</v>
      </c>
      <c r="AB36" s="8">
        <v>292.493574271505</v>
      </c>
      <c r="AC36" s="8">
        <v>292.688455663046</v>
      </c>
      <c r="AD36" s="8">
        <v>292.72521533882099</v>
      </c>
      <c r="AE36" s="9">
        <v>-7.7382258289287499E-4</v>
      </c>
      <c r="AF36" s="9">
        <v>-1.0776864146264999E-4</v>
      </c>
      <c r="AG36" s="9">
        <v>1.7816658793288199E-5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75.36</v>
      </c>
      <c r="C37" s="8">
        <v>291.93</v>
      </c>
      <c r="D37" s="9">
        <v>-2.5180584506409201E-3</v>
      </c>
      <c r="E37" s="9">
        <v>-2.7024732089440998E-3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75.36</v>
      </c>
      <c r="M37" s="8">
        <v>291.93</v>
      </c>
      <c r="N37" s="10">
        <v>3.8738057324840698</v>
      </c>
      <c r="O37" s="10">
        <v>3.8715231538253501</v>
      </c>
      <c r="P37" s="10">
        <v>3.8743691791198498</v>
      </c>
      <c r="Q37" s="10">
        <v>3.8744782821769399</v>
      </c>
      <c r="R37" s="8">
        <v>291.75798487227797</v>
      </c>
      <c r="S37" s="8">
        <v>291.96492173252102</v>
      </c>
      <c r="T37" s="8">
        <v>291.98661193512203</v>
      </c>
      <c r="U37" s="9">
        <v>-5.8940782458978503E-4</v>
      </c>
      <c r="V37" s="9">
        <v>1.19616496951274E-4</v>
      </c>
      <c r="W37" s="9">
        <v>1.93904177900789E-4</v>
      </c>
      <c r="X37" s="10">
        <v>3.8738057324840698</v>
      </c>
      <c r="Y37" s="10">
        <v>3.8715231538253501</v>
      </c>
      <c r="Z37" s="10">
        <v>3.8743691791198498</v>
      </c>
      <c r="AA37" s="10">
        <v>3.8744782821769399</v>
      </c>
      <c r="AB37" s="8">
        <v>291.75798487227797</v>
      </c>
      <c r="AC37" s="8">
        <v>291.96492173252102</v>
      </c>
      <c r="AD37" s="8">
        <v>291.98661193512203</v>
      </c>
      <c r="AE37" s="9">
        <v>-5.8940782458978503E-4</v>
      </c>
      <c r="AF37" s="9">
        <v>1.19616496951274E-4</v>
      </c>
      <c r="AG37" s="9">
        <v>1.93904177900789E-4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75.34</v>
      </c>
      <c r="C38" s="8">
        <v>291.88</v>
      </c>
      <c r="D38" s="9">
        <v>-2.6542800421258E-4</v>
      </c>
      <c r="E38" s="9">
        <v>-1.7128860458798299E-4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75.34</v>
      </c>
      <c r="M38" s="8">
        <v>291.88</v>
      </c>
      <c r="N38" s="10">
        <v>3.8741704273958</v>
      </c>
      <c r="O38" s="10">
        <v>3.8715231538253501</v>
      </c>
      <c r="P38" s="10">
        <v>3.8743956789522498</v>
      </c>
      <c r="Q38" s="10">
        <v>3.8744050097047</v>
      </c>
      <c r="R38" s="8">
        <v>291.68055440920199</v>
      </c>
      <c r="S38" s="8">
        <v>291.894973954889</v>
      </c>
      <c r="T38" s="8">
        <v>291.90319377921099</v>
      </c>
      <c r="U38" s="9">
        <v>-6.8354722421418298E-4</v>
      </c>
      <c r="V38" s="9">
        <v>5.1300434451170298E-5</v>
      </c>
      <c r="W38" s="9">
        <v>7.9460249868838106E-5</v>
      </c>
      <c r="X38" s="10">
        <v>3.8741704273958</v>
      </c>
      <c r="Y38" s="10">
        <v>3.8715231538253501</v>
      </c>
      <c r="Z38" s="10">
        <v>3.8743956789522498</v>
      </c>
      <c r="AA38" s="10">
        <v>3.8744050097047</v>
      </c>
      <c r="AB38" s="8">
        <v>291.68055440920199</v>
      </c>
      <c r="AC38" s="8">
        <v>291.894973954889</v>
      </c>
      <c r="AD38" s="8">
        <v>291.90319377921099</v>
      </c>
      <c r="AE38" s="9">
        <v>-6.8354722421418298E-4</v>
      </c>
      <c r="AF38" s="9">
        <v>5.1300434451170298E-5</v>
      </c>
      <c r="AG38" s="9">
        <v>7.9460249868838106E-5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75.19</v>
      </c>
      <c r="C39" s="8">
        <v>291.42</v>
      </c>
      <c r="D39" s="9">
        <v>-1.9929588739595501E-3</v>
      </c>
      <c r="E39" s="9">
        <v>-1.57723331171086E-3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75.19</v>
      </c>
      <c r="M39" s="8">
        <v>291.42</v>
      </c>
      <c r="N39" s="10">
        <v>3.8757813539034398</v>
      </c>
      <c r="O39" s="10">
        <v>3.8715231538253501</v>
      </c>
      <c r="P39" s="10">
        <v>3.8747654474882101</v>
      </c>
      <c r="Q39" s="10">
        <v>3.8744879725916599</v>
      </c>
      <c r="R39" s="8">
        <v>291.09982593612801</v>
      </c>
      <c r="S39" s="8">
        <v>291.31581110041901</v>
      </c>
      <c r="T39" s="8">
        <v>291.31651267969602</v>
      </c>
      <c r="U39" s="9">
        <v>-1.09927278646303E-3</v>
      </c>
      <c r="V39" s="9">
        <v>-3.5758537129811102E-4</v>
      </c>
      <c r="W39" s="9">
        <v>-3.5517706249553298E-4</v>
      </c>
      <c r="X39" s="10">
        <v>3.8757813539034398</v>
      </c>
      <c r="Y39" s="10">
        <v>3.8715231538253501</v>
      </c>
      <c r="Z39" s="10">
        <v>3.8747654474882101</v>
      </c>
      <c r="AA39" s="10">
        <v>3.8744879725916599</v>
      </c>
      <c r="AB39" s="8">
        <v>291.09982593612801</v>
      </c>
      <c r="AC39" s="8">
        <v>291.31581110041901</v>
      </c>
      <c r="AD39" s="8">
        <v>291.31651267969602</v>
      </c>
      <c r="AE39" s="9">
        <v>-1.09927278646303E-3</v>
      </c>
      <c r="AF39" s="9">
        <v>-3.5758537129811102E-4</v>
      </c>
      <c r="AG39" s="9">
        <v>-3.5517706249553298E-4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76.28</v>
      </c>
      <c r="C40" s="8">
        <v>295.51</v>
      </c>
      <c r="D40" s="9">
        <v>1.43925373422828E-2</v>
      </c>
      <c r="E40" s="9">
        <v>1.39371516353988E-2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76.28</v>
      </c>
      <c r="M40" s="8">
        <v>295.51</v>
      </c>
      <c r="N40" s="10">
        <v>3.87401678028316</v>
      </c>
      <c r="O40" s="10">
        <v>3.8715231538253501</v>
      </c>
      <c r="P40" s="10">
        <v>3.8745442298936301</v>
      </c>
      <c r="Q40" s="10">
        <v>3.8744726685939002</v>
      </c>
      <c r="R40" s="8">
        <v>295.31978617379701</v>
      </c>
      <c r="S40" s="8">
        <v>295.56710833440002</v>
      </c>
      <c r="T40" s="8">
        <v>295.54594254929202</v>
      </c>
      <c r="U40" s="9">
        <v>-6.43887079578976E-4</v>
      </c>
      <c r="V40" s="9">
        <v>1.93234803964412E-4</v>
      </c>
      <c r="W40" s="9">
        <v>1.21621480300174E-4</v>
      </c>
      <c r="X40" s="10">
        <v>3.87401678028316</v>
      </c>
      <c r="Y40" s="10">
        <v>3.8715231538253501</v>
      </c>
      <c r="Z40" s="10">
        <v>3.8745442298936301</v>
      </c>
      <c r="AA40" s="10">
        <v>3.8744726685939002</v>
      </c>
      <c r="AB40" s="8">
        <v>295.31978617379701</v>
      </c>
      <c r="AC40" s="8">
        <v>295.56710833440002</v>
      </c>
      <c r="AD40" s="8">
        <v>295.54594254929202</v>
      </c>
      <c r="AE40" s="9">
        <v>-6.43887079578976E-4</v>
      </c>
      <c r="AF40" s="9">
        <v>1.93234803964412E-4</v>
      </c>
      <c r="AG40" s="9">
        <v>1.21621480300174E-4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75.56</v>
      </c>
      <c r="C41" s="8">
        <v>292.69</v>
      </c>
      <c r="D41" s="9">
        <v>-9.4837380989094607E-3</v>
      </c>
      <c r="E41" s="9">
        <v>-9.5886487806204294E-3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75.56</v>
      </c>
      <c r="M41" s="8">
        <v>292.69</v>
      </c>
      <c r="N41" s="10">
        <v>3.87361037586024</v>
      </c>
      <c r="O41" s="10">
        <v>3.8715231538253501</v>
      </c>
      <c r="P41" s="10">
        <v>3.8745119910655599</v>
      </c>
      <c r="Q41" s="10">
        <v>3.8743854820044801</v>
      </c>
      <c r="R41" s="8">
        <v>292.53228950304299</v>
      </c>
      <c r="S41" s="8">
        <v>292.76056201076199</v>
      </c>
      <c r="T41" s="8">
        <v>292.75515483895498</v>
      </c>
      <c r="U41" s="9">
        <v>-5.3897639786812401E-4</v>
      </c>
      <c r="V41" s="9">
        <v>2.4105198861605999E-4</v>
      </c>
      <c r="W41" s="9">
        <v>2.2258221350347299E-4</v>
      </c>
      <c r="X41" s="10">
        <v>3.87361037586024</v>
      </c>
      <c r="Y41" s="10">
        <v>3.8715231538253501</v>
      </c>
      <c r="Z41" s="10">
        <v>3.8745119910655599</v>
      </c>
      <c r="AA41" s="10">
        <v>3.8743854820044801</v>
      </c>
      <c r="AB41" s="8">
        <v>292.53228950304299</v>
      </c>
      <c r="AC41" s="8">
        <v>292.76056201076199</v>
      </c>
      <c r="AD41" s="8">
        <v>292.75515483895498</v>
      </c>
      <c r="AE41" s="9">
        <v>-5.3897639786812401E-4</v>
      </c>
      <c r="AF41" s="9">
        <v>2.4105198861605999E-4</v>
      </c>
      <c r="AG41" s="9">
        <v>2.2258221350347299E-4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74.739999999999995</v>
      </c>
      <c r="C42" s="8">
        <v>289.44</v>
      </c>
      <c r="D42" s="9">
        <v>-1.0911618575971E-2</v>
      </c>
      <c r="E42" s="9">
        <v>-1.1166006793501999E-2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74.739999999999995</v>
      </c>
      <c r="M42" s="8">
        <v>289.44</v>
      </c>
      <c r="N42" s="10">
        <v>3.8726251003478702</v>
      </c>
      <c r="O42" s="10">
        <v>3.8715231538253501</v>
      </c>
      <c r="P42" s="10">
        <v>3.8743594897685298</v>
      </c>
      <c r="Q42" s="10">
        <v>3.87425835675907</v>
      </c>
      <c r="R42" s="8">
        <v>289.35764051690597</v>
      </c>
      <c r="S42" s="8">
        <v>289.58102621223998</v>
      </c>
      <c r="T42" s="8">
        <v>289.57157092501399</v>
      </c>
      <c r="U42" s="9">
        <v>-2.8458818033722498E-4</v>
      </c>
      <c r="V42" s="9">
        <v>4.8711949530305199E-4</v>
      </c>
      <c r="W42" s="9">
        <v>4.5446735052048602E-4</v>
      </c>
      <c r="X42" s="10">
        <v>3.8726251003478702</v>
      </c>
      <c r="Y42" s="10">
        <v>3.8715231538253501</v>
      </c>
      <c r="Z42" s="10">
        <v>3.8743594897685298</v>
      </c>
      <c r="AA42" s="10">
        <v>3.87425835675907</v>
      </c>
      <c r="AB42" s="8">
        <v>289.35764051690597</v>
      </c>
      <c r="AC42" s="8">
        <v>289.58102621223998</v>
      </c>
      <c r="AD42" s="8">
        <v>289.57157092501399</v>
      </c>
      <c r="AE42" s="9">
        <v>-2.8458818033722498E-4</v>
      </c>
      <c r="AF42" s="9">
        <v>4.8711949530305199E-4</v>
      </c>
      <c r="AG42" s="9">
        <v>4.5446735052048602E-4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74.92</v>
      </c>
      <c r="C43" s="8">
        <v>290.24</v>
      </c>
      <c r="D43" s="9">
        <v>2.40545351854997E-3</v>
      </c>
      <c r="E43" s="9">
        <v>2.7601452797868702E-3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74.92</v>
      </c>
      <c r="M43" s="8">
        <v>290.24</v>
      </c>
      <c r="N43" s="10">
        <v>3.8739989321943402</v>
      </c>
      <c r="O43" s="10">
        <v>3.8715231538253501</v>
      </c>
      <c r="P43" s="10">
        <v>3.87423278724328</v>
      </c>
      <c r="Q43" s="10">
        <v>3.8741973072935401</v>
      </c>
      <c r="R43" s="8">
        <v>290.05451468459501</v>
      </c>
      <c r="S43" s="8">
        <v>290.26701297345801</v>
      </c>
      <c r="T43" s="8">
        <v>290.25943608838901</v>
      </c>
      <c r="U43" s="9">
        <v>-6.39279941574101E-4</v>
      </c>
      <c r="V43" s="9">
        <v>9.3066829079490194E-5</v>
      </c>
      <c r="W43" s="9">
        <v>6.6963332566571303E-5</v>
      </c>
      <c r="X43" s="10">
        <v>3.8739989321943402</v>
      </c>
      <c r="Y43" s="10">
        <v>3.8715231538253501</v>
      </c>
      <c r="Z43" s="10">
        <v>3.87423278724328</v>
      </c>
      <c r="AA43" s="10">
        <v>3.8741973072935401</v>
      </c>
      <c r="AB43" s="8">
        <v>290.05451468459501</v>
      </c>
      <c r="AC43" s="8">
        <v>290.26701297345801</v>
      </c>
      <c r="AD43" s="8">
        <v>290.25943608838901</v>
      </c>
      <c r="AE43" s="9">
        <v>-6.39279941574101E-4</v>
      </c>
      <c r="AF43" s="9">
        <v>9.3066829079490194E-5</v>
      </c>
      <c r="AG43" s="9">
        <v>6.6963332566571303E-5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73.430000000000007</v>
      </c>
      <c r="C44" s="8">
        <v>284.57</v>
      </c>
      <c r="D44" s="9">
        <v>-2.00883061123685E-2</v>
      </c>
      <c r="E44" s="9">
        <v>-1.9728897930463399E-2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73.430000000000007</v>
      </c>
      <c r="M44" s="8">
        <v>284.57</v>
      </c>
      <c r="N44" s="10">
        <v>3.8753915293476702</v>
      </c>
      <c r="O44" s="10">
        <v>3.8715231538253501</v>
      </c>
      <c r="P44" s="10">
        <v>3.8742552868340598</v>
      </c>
      <c r="Q44" s="10">
        <v>3.87413384121629</v>
      </c>
      <c r="R44" s="8">
        <v>284.28594518539501</v>
      </c>
      <c r="S44" s="8">
        <v>284.48491356727402</v>
      </c>
      <c r="T44" s="8">
        <v>284.48230827456399</v>
      </c>
      <c r="U44" s="9">
        <v>-9.9868812347899999E-4</v>
      </c>
      <c r="V44" s="9">
        <v>-2.9904471899288399E-4</v>
      </c>
      <c r="W44" s="9">
        <v>-3.0820269017219602E-4</v>
      </c>
      <c r="X44" s="10">
        <v>3.8753915293476702</v>
      </c>
      <c r="Y44" s="10">
        <v>3.8715231538253501</v>
      </c>
      <c r="Z44" s="10">
        <v>3.8742552868340598</v>
      </c>
      <c r="AA44" s="10">
        <v>3.87413384121629</v>
      </c>
      <c r="AB44" s="8">
        <v>284.28594518539501</v>
      </c>
      <c r="AC44" s="8">
        <v>284.48491356727402</v>
      </c>
      <c r="AD44" s="8">
        <v>284.48230827456399</v>
      </c>
      <c r="AE44" s="9">
        <v>-9.9868812347899999E-4</v>
      </c>
      <c r="AF44" s="9">
        <v>-2.9904471899288399E-4</v>
      </c>
      <c r="AG44" s="9">
        <v>-3.0820269017219602E-4</v>
      </c>
      <c r="AZ44" s="9"/>
      <c r="BB44">
        <f t="shared" si="2"/>
        <v>0</v>
      </c>
      <c r="BC44">
        <f t="shared" si="3"/>
        <v>0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1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72.89</v>
      </c>
      <c r="C45" s="8">
        <v>282.14999999999998</v>
      </c>
      <c r="D45" s="9">
        <v>-7.3811160693976396E-3</v>
      </c>
      <c r="E45" s="9">
        <v>-8.5404245811593095E-3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72.89</v>
      </c>
      <c r="M45" s="8">
        <v>282.14999999999998</v>
      </c>
      <c r="N45" s="10">
        <v>3.8709013582109999</v>
      </c>
      <c r="O45" s="10">
        <v>3.8715231538253501</v>
      </c>
      <c r="P45" s="10">
        <v>3.8738821775335301</v>
      </c>
      <c r="Q45" s="10">
        <v>3.87399241678163</v>
      </c>
      <c r="R45" s="8">
        <v>282.19532268232899</v>
      </c>
      <c r="S45" s="8">
        <v>282.39446785733401</v>
      </c>
      <c r="T45" s="8">
        <v>282.38561568625602</v>
      </c>
      <c r="U45" s="9">
        <v>1.6062038828262601E-4</v>
      </c>
      <c r="V45" s="9">
        <v>8.6607127174061303E-4</v>
      </c>
      <c r="W45" s="9">
        <v>8.34723951474119E-4</v>
      </c>
      <c r="X45" s="10">
        <v>3.8709013582109999</v>
      </c>
      <c r="Y45" s="10">
        <v>3.8715231538253501</v>
      </c>
      <c r="Z45" s="10">
        <v>3.8738821775335301</v>
      </c>
      <c r="AA45" s="10">
        <v>3.87399241678163</v>
      </c>
      <c r="AB45" s="8">
        <v>282.19532268232899</v>
      </c>
      <c r="AC45" s="8">
        <v>282.39446785733401</v>
      </c>
      <c r="AD45" s="8">
        <v>282.38561568625602</v>
      </c>
      <c r="AE45" s="9">
        <v>1.6062038828262601E-4</v>
      </c>
      <c r="AF45" s="9">
        <v>8.6607127174061303E-4</v>
      </c>
      <c r="AG45" s="9">
        <v>8.34723951474119E-4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73.709999999999994</v>
      </c>
      <c r="C46" s="8">
        <v>285.32</v>
      </c>
      <c r="D46" s="9">
        <v>1.11870198070758E-2</v>
      </c>
      <c r="E46" s="9">
        <v>1.11725129946883E-2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73.709999999999994</v>
      </c>
      <c r="M46" s="8">
        <v>285.32</v>
      </c>
      <c r="N46" s="10">
        <v>3.8708452041785302</v>
      </c>
      <c r="O46" s="10">
        <v>3.8715231538253501</v>
      </c>
      <c r="P46" s="10">
        <v>3.8735146794206101</v>
      </c>
      <c r="Q46" s="10">
        <v>3.8738919053454</v>
      </c>
      <c r="R46" s="8">
        <v>285.36997166846601</v>
      </c>
      <c r="S46" s="8">
        <v>285.543855305997</v>
      </c>
      <c r="T46" s="8">
        <v>285.551981040974</v>
      </c>
      <c r="U46" s="9">
        <v>1.7512720067001399E-4</v>
      </c>
      <c r="V46" s="9">
        <v>7.8426866718003005E-4</v>
      </c>
      <c r="W46" s="9">
        <v>8.1272530951906395E-4</v>
      </c>
      <c r="X46" s="10">
        <v>3.8708452041785302</v>
      </c>
      <c r="Y46" s="10">
        <v>3.8715231538253501</v>
      </c>
      <c r="Z46" s="10">
        <v>3.8735146794206101</v>
      </c>
      <c r="AA46" s="10">
        <v>3.8738919053454</v>
      </c>
      <c r="AB46" s="8">
        <v>285.36997166846601</v>
      </c>
      <c r="AC46" s="8">
        <v>285.543855305997</v>
      </c>
      <c r="AD46" s="8">
        <v>285.551981040974</v>
      </c>
      <c r="AE46" s="9">
        <v>1.7512720067001399E-4</v>
      </c>
      <c r="AF46" s="9">
        <v>7.8426866718003005E-4</v>
      </c>
      <c r="AG46" s="9">
        <v>8.1272530951906395E-4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73.17</v>
      </c>
      <c r="C47" s="8">
        <v>283.48</v>
      </c>
      <c r="D47" s="9">
        <v>-7.3529743052586898E-3</v>
      </c>
      <c r="E47" s="9">
        <v>-6.4697834677820698E-3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73.17</v>
      </c>
      <c r="M47" s="8">
        <v>283.48</v>
      </c>
      <c r="N47" s="10">
        <v>3.8742654093207598</v>
      </c>
      <c r="O47" s="10">
        <v>3.8715231538253501</v>
      </c>
      <c r="P47" s="10">
        <v>3.8735606471042798</v>
      </c>
      <c r="Q47" s="10">
        <v>3.8739649131120601</v>
      </c>
      <c r="R47" s="8">
        <v>283.27934916540102</v>
      </c>
      <c r="S47" s="8">
        <v>283.42506909320599</v>
      </c>
      <c r="T47" s="8">
        <v>283.45267071412201</v>
      </c>
      <c r="U47" s="9">
        <v>-7.0806363680657599E-4</v>
      </c>
      <c r="V47" s="9">
        <v>-1.9379225891643899E-4</v>
      </c>
      <c r="W47" s="9">
        <v>-9.6411046002515107E-5</v>
      </c>
      <c r="X47" s="10">
        <v>3.8742654093207598</v>
      </c>
      <c r="Y47" s="10">
        <v>3.8715231538253501</v>
      </c>
      <c r="Z47" s="10">
        <v>3.8735606471042798</v>
      </c>
      <c r="AA47" s="10">
        <v>3.8739649131120601</v>
      </c>
      <c r="AB47" s="8">
        <v>283.27934916540102</v>
      </c>
      <c r="AC47" s="8">
        <v>283.42506909320599</v>
      </c>
      <c r="AD47" s="8">
        <v>283.45267071412201</v>
      </c>
      <c r="AE47" s="9">
        <v>-7.0806363680657599E-4</v>
      </c>
      <c r="AF47" s="9">
        <v>-1.9379225891643899E-4</v>
      </c>
      <c r="AG47" s="9">
        <v>-9.6411046002515107E-5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73.010000000000005</v>
      </c>
      <c r="C48" s="8">
        <v>282.75</v>
      </c>
      <c r="D48" s="9">
        <v>-2.18908282794419E-3</v>
      </c>
      <c r="E48" s="9">
        <v>-2.5784589458254701E-3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73.010000000000005</v>
      </c>
      <c r="M48" s="8">
        <v>282.75</v>
      </c>
      <c r="N48" s="10">
        <v>3.8727571565538899</v>
      </c>
      <c r="O48" s="10">
        <v>3.8715231538253501</v>
      </c>
      <c r="P48" s="10">
        <v>3.8734193200200902</v>
      </c>
      <c r="Q48" s="10">
        <v>3.8739074994861702</v>
      </c>
      <c r="R48" s="8">
        <v>282.65990546078802</v>
      </c>
      <c r="S48" s="8">
        <v>282.80866284508301</v>
      </c>
      <c r="T48" s="8">
        <v>282.83817830631199</v>
      </c>
      <c r="U48" s="9">
        <v>-3.1868751892538498E-4</v>
      </c>
      <c r="V48" s="9">
        <v>2.0745096538420801E-4</v>
      </c>
      <c r="W48" s="9">
        <v>3.1181099750203397E-4</v>
      </c>
      <c r="X48" s="10">
        <v>3.8727571565538899</v>
      </c>
      <c r="Y48" s="10">
        <v>3.8715231538253501</v>
      </c>
      <c r="Z48" s="10">
        <v>3.8734193200200902</v>
      </c>
      <c r="AA48" s="10">
        <v>3.8739074994861702</v>
      </c>
      <c r="AB48" s="8">
        <v>282.65990546078802</v>
      </c>
      <c r="AC48" s="8">
        <v>282.80866284508301</v>
      </c>
      <c r="AD48" s="8">
        <v>282.83817830631199</v>
      </c>
      <c r="AE48" s="9">
        <v>-3.1868751892538498E-4</v>
      </c>
      <c r="AF48" s="9">
        <v>2.0745096538420801E-4</v>
      </c>
      <c r="AG48" s="9">
        <v>3.1181099750203397E-4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71.59</v>
      </c>
      <c r="C49" s="8">
        <v>277.20999999999998</v>
      </c>
      <c r="D49" s="9">
        <v>-1.96410186599007E-2</v>
      </c>
      <c r="E49" s="9">
        <v>-1.9787773295095099E-2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71.59</v>
      </c>
      <c r="M49" s="8">
        <v>277.20999999999998</v>
      </c>
      <c r="N49" s="10">
        <v>3.8721888531917799</v>
      </c>
      <c r="O49" s="10">
        <v>3.8715231538253501</v>
      </c>
      <c r="P49" s="10">
        <v>3.8730600699489202</v>
      </c>
      <c r="Q49" s="10">
        <v>3.8739127587185598</v>
      </c>
      <c r="R49" s="8">
        <v>277.16234258235602</v>
      </c>
      <c r="S49" s="8">
        <v>277.29808912023799</v>
      </c>
      <c r="T49" s="8">
        <v>277.33303788821502</v>
      </c>
      <c r="U49" s="9">
        <v>-1.7193288373096901E-4</v>
      </c>
      <c r="V49" s="9">
        <v>3.17719877159524E-4</v>
      </c>
      <c r="W49" s="9">
        <v>4.4374514447971498E-4</v>
      </c>
      <c r="X49" s="10">
        <v>3.8721888531917799</v>
      </c>
      <c r="Y49" s="10">
        <v>3.8715231538253501</v>
      </c>
      <c r="Z49" s="10">
        <v>3.8730600699489202</v>
      </c>
      <c r="AA49" s="10">
        <v>3.8739127587185598</v>
      </c>
      <c r="AB49" s="8">
        <v>277.16234258235602</v>
      </c>
      <c r="AC49" s="8">
        <v>277.29808912023799</v>
      </c>
      <c r="AD49" s="8">
        <v>277.33303788821502</v>
      </c>
      <c r="AE49" s="9">
        <v>-1.7193288373096901E-4</v>
      </c>
      <c r="AF49" s="9">
        <v>3.17719877159524E-4</v>
      </c>
      <c r="AG49" s="9">
        <v>4.4374514447971498E-4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71.400000000000006</v>
      </c>
      <c r="C50" s="8">
        <v>276.67</v>
      </c>
      <c r="D50" s="9">
        <v>-2.6575300625549599E-3</v>
      </c>
      <c r="E50" s="9">
        <v>-1.9498814584085499E-3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71.400000000000006</v>
      </c>
      <c r="M50" s="8">
        <v>276.67</v>
      </c>
      <c r="N50" s="10">
        <v>3.8749299719887902</v>
      </c>
      <c r="O50" s="10">
        <v>3.8715231538253501</v>
      </c>
      <c r="P50" s="10">
        <v>3.87315138911949</v>
      </c>
      <c r="Q50" s="10">
        <v>3.87384780950656</v>
      </c>
      <c r="R50" s="8">
        <v>276.42675318313002</v>
      </c>
      <c r="S50" s="8">
        <v>276.53648899435302</v>
      </c>
      <c r="T50" s="8">
        <v>276.59737097250502</v>
      </c>
      <c r="U50" s="9">
        <v>-8.7958148787743902E-4</v>
      </c>
      <c r="V50" s="9">
        <v>-4.82680557421849E-4</v>
      </c>
      <c r="W50" s="9">
        <v>-2.6254585656727603E-4</v>
      </c>
      <c r="X50" s="10">
        <v>3.8749299719887902</v>
      </c>
      <c r="Y50" s="10">
        <v>3.8715231538253501</v>
      </c>
      <c r="Z50" s="10">
        <v>3.87315138911949</v>
      </c>
      <c r="AA50" s="10">
        <v>3.87384780950656</v>
      </c>
      <c r="AB50" s="8">
        <v>276.42675318313002</v>
      </c>
      <c r="AC50" s="8">
        <v>276.53648899435302</v>
      </c>
      <c r="AD50" s="8">
        <v>276.59737097250502</v>
      </c>
      <c r="AE50" s="9">
        <v>-8.7958148787743902E-4</v>
      </c>
      <c r="AF50" s="9">
        <v>-4.82680557421849E-4</v>
      </c>
      <c r="AG50" s="9">
        <v>-2.6254585656727603E-4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72.040000000000006</v>
      </c>
      <c r="C51" s="8">
        <v>278.95999999999998</v>
      </c>
      <c r="D51" s="9">
        <v>8.9236509622165894E-3</v>
      </c>
      <c r="E51" s="9">
        <v>8.2429421246693994E-3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72.040000000000006</v>
      </c>
      <c r="M51" s="8">
        <v>278.95999999999998</v>
      </c>
      <c r="N51" s="10">
        <v>3.8722931704608499</v>
      </c>
      <c r="O51" s="10">
        <v>3.8715231538253501</v>
      </c>
      <c r="P51" s="10">
        <v>3.8730196685795502</v>
      </c>
      <c r="Q51" s="10">
        <v>3.8737658298225601</v>
      </c>
      <c r="R51" s="8">
        <v>278.904528001578</v>
      </c>
      <c r="S51" s="8">
        <v>279.02182607216798</v>
      </c>
      <c r="T51" s="8">
        <v>279.07199619685201</v>
      </c>
      <c r="U51" s="9">
        <v>-1.9887265033004001E-4</v>
      </c>
      <c r="V51" s="9">
        <v>2.2160604353886E-4</v>
      </c>
      <c r="W51" s="9">
        <v>4.0139704934419502E-4</v>
      </c>
      <c r="X51" s="10">
        <v>3.8722931704608499</v>
      </c>
      <c r="Y51" s="10">
        <v>3.8715231538253501</v>
      </c>
      <c r="Z51" s="10">
        <v>3.8730196685795502</v>
      </c>
      <c r="AA51" s="10">
        <v>3.8737658298225601</v>
      </c>
      <c r="AB51" s="8">
        <v>278.904528001578</v>
      </c>
      <c r="AC51" s="8">
        <v>279.02182607216798</v>
      </c>
      <c r="AD51" s="8">
        <v>279.07199619685201</v>
      </c>
      <c r="AE51" s="9">
        <v>-1.9887265033004001E-4</v>
      </c>
      <c r="AF51" s="9">
        <v>2.2160604353886E-4</v>
      </c>
      <c r="AG51" s="9">
        <v>4.0139704934419502E-4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71.56</v>
      </c>
      <c r="C52" s="8">
        <v>277.13</v>
      </c>
      <c r="D52" s="9">
        <v>-6.6852616672370196E-3</v>
      </c>
      <c r="E52" s="9">
        <v>-6.5816921940431298E-3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71.56</v>
      </c>
      <c r="M52" s="8">
        <v>277.13</v>
      </c>
      <c r="N52" s="10">
        <v>3.8726942425936199</v>
      </c>
      <c r="O52" s="10">
        <v>3.8715231538253501</v>
      </c>
      <c r="P52" s="10">
        <v>3.8730265828041199</v>
      </c>
      <c r="Q52" s="10">
        <v>3.8736930362863302</v>
      </c>
      <c r="R52" s="8">
        <v>277.04619688774198</v>
      </c>
      <c r="S52" s="8">
        <v>277.15328748355199</v>
      </c>
      <c r="T52" s="8">
        <v>277.20668278210201</v>
      </c>
      <c r="U52" s="9">
        <v>-3.0244212352398801E-4</v>
      </c>
      <c r="V52" s="9">
        <v>8.4027370452364802E-5</v>
      </c>
      <c r="W52" s="9">
        <v>2.7666501234136902E-4</v>
      </c>
      <c r="X52" s="10">
        <v>3.8726942425936199</v>
      </c>
      <c r="Y52" s="10">
        <v>3.8715231538253501</v>
      </c>
      <c r="Z52" s="10">
        <v>3.8730265828041199</v>
      </c>
      <c r="AA52" s="10">
        <v>3.8736930362863302</v>
      </c>
      <c r="AB52" s="8">
        <v>277.04619688774198</v>
      </c>
      <c r="AC52" s="8">
        <v>277.15328748355199</v>
      </c>
      <c r="AD52" s="8">
        <v>277.20668278210201</v>
      </c>
      <c r="AE52" s="9">
        <v>-3.0244212352398801E-4</v>
      </c>
      <c r="AF52" s="9">
        <v>8.4027370452364802E-5</v>
      </c>
      <c r="AG52" s="9">
        <v>2.7666501234136902E-4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70.36</v>
      </c>
      <c r="C53" s="8">
        <v>272.57</v>
      </c>
      <c r="D53" s="9">
        <v>-1.6911338771161001E-2</v>
      </c>
      <c r="E53" s="9">
        <v>-1.65912483243153E-2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70.36</v>
      </c>
      <c r="M53" s="8">
        <v>272.57</v>
      </c>
      <c r="N53" s="10">
        <v>3.87393405343945</v>
      </c>
      <c r="O53" s="10">
        <v>3.8715231538253501</v>
      </c>
      <c r="P53" s="10">
        <v>3.8730200949286302</v>
      </c>
      <c r="Q53" s="10">
        <v>3.87362644108596</v>
      </c>
      <c r="R53" s="8">
        <v>272.40036910315098</v>
      </c>
      <c r="S53" s="8">
        <v>272.50615036609798</v>
      </c>
      <c r="T53" s="8">
        <v>272.55304203310601</v>
      </c>
      <c r="U53" s="9">
        <v>-6.2253257036964504E-4</v>
      </c>
      <c r="V53" s="9">
        <v>-2.3427784962071701E-4</v>
      </c>
      <c r="W53" s="9">
        <v>-6.2217024750868405E-5</v>
      </c>
      <c r="X53" s="10">
        <v>3.87393405343945</v>
      </c>
      <c r="Y53" s="10">
        <v>3.8715231538253501</v>
      </c>
      <c r="Z53" s="10">
        <v>3.8730200949286302</v>
      </c>
      <c r="AA53" s="10">
        <v>3.87362644108596</v>
      </c>
      <c r="AB53" s="8">
        <v>272.40036910315098</v>
      </c>
      <c r="AC53" s="8">
        <v>272.50615036609798</v>
      </c>
      <c r="AD53" s="8">
        <v>272.55304203310601</v>
      </c>
      <c r="AE53" s="9">
        <v>-6.2253257036964504E-4</v>
      </c>
      <c r="AF53" s="9">
        <v>-2.3427784962071701E-4</v>
      </c>
      <c r="AG53" s="9">
        <v>-6.2217024750868405E-5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70.17</v>
      </c>
      <c r="C54" s="8">
        <v>271.89999999999998</v>
      </c>
      <c r="D54" s="9">
        <v>-2.70405060516008E-3</v>
      </c>
      <c r="E54" s="9">
        <v>-2.4611102106122801E-3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70.17</v>
      </c>
      <c r="M54" s="8">
        <v>271.89999999999998</v>
      </c>
      <c r="N54" s="10">
        <v>3.8748753028359602</v>
      </c>
      <c r="O54" s="10">
        <v>3.8715231538253501</v>
      </c>
      <c r="P54" s="10">
        <v>3.87296847227746</v>
      </c>
      <c r="Q54" s="10">
        <v>3.8736118795557601</v>
      </c>
      <c r="R54" s="8">
        <v>271.66477970392401</v>
      </c>
      <c r="S54" s="8">
        <v>271.76982006114201</v>
      </c>
      <c r="T54" s="8">
        <v>271.81236737100198</v>
      </c>
      <c r="U54" s="9">
        <v>-8.6547296491759304E-4</v>
      </c>
      <c r="V54" s="9">
        <v>-4.7889338911852699E-4</v>
      </c>
      <c r="W54" s="9">
        <v>-3.22349223654937E-4</v>
      </c>
      <c r="X54" s="10">
        <v>3.8748753028359602</v>
      </c>
      <c r="Y54" s="10">
        <v>3.8715231538253501</v>
      </c>
      <c r="Z54" s="10">
        <v>3.87296847227746</v>
      </c>
      <c r="AA54" s="10">
        <v>3.8736118795557601</v>
      </c>
      <c r="AB54" s="8">
        <v>271.66477970392401</v>
      </c>
      <c r="AC54" s="8">
        <v>271.76982006114201</v>
      </c>
      <c r="AD54" s="8">
        <v>271.81236737100198</v>
      </c>
      <c r="AE54" s="9">
        <v>-8.6547296491759304E-4</v>
      </c>
      <c r="AF54" s="9">
        <v>-4.7889338911852699E-4</v>
      </c>
      <c r="AG54" s="9">
        <v>-3.22349223654937E-4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69.25</v>
      </c>
      <c r="C55" s="8">
        <v>269.02999999999997</v>
      </c>
      <c r="D55" s="9">
        <v>-1.31977241967495E-2</v>
      </c>
      <c r="E55" s="9">
        <v>-1.06114540913743E-2</v>
      </c>
      <c r="F55" s="8">
        <v>0.22900000000000001</v>
      </c>
      <c r="G55" s="8">
        <v>0.22900000000000001</v>
      </c>
      <c r="H55" s="8">
        <v>0</v>
      </c>
      <c r="I55" s="8">
        <v>0</v>
      </c>
      <c r="J55" s="8">
        <v>0</v>
      </c>
      <c r="K55" s="8">
        <v>0</v>
      </c>
      <c r="L55" s="8">
        <v>69.25</v>
      </c>
      <c r="M55" s="8">
        <v>269.02999999999997</v>
      </c>
      <c r="N55" s="10">
        <v>3.8849097472924101</v>
      </c>
      <c r="O55" s="10">
        <v>3.8715231538253501</v>
      </c>
      <c r="P55" s="10">
        <v>3.8743693111856099</v>
      </c>
      <c r="Q55" s="10">
        <v>3.8741257443595698</v>
      </c>
      <c r="R55" s="8">
        <v>268.10297840240497</v>
      </c>
      <c r="S55" s="8">
        <v>268.20306670521398</v>
      </c>
      <c r="T55" s="8">
        <v>268.24762265923601</v>
      </c>
      <c r="U55" s="9">
        <v>-3.4517430702926798E-3</v>
      </c>
      <c r="V55" s="9">
        <v>-3.0784923680710701E-3</v>
      </c>
      <c r="W55" s="9">
        <v>-2.91237848283263E-3</v>
      </c>
      <c r="X55" s="10">
        <v>3.8849097472924101</v>
      </c>
      <c r="Y55" s="10">
        <v>3.8715231538253501</v>
      </c>
      <c r="Z55" s="10">
        <v>3.8743693111856099</v>
      </c>
      <c r="AA55" s="10">
        <v>3.8741257443595698</v>
      </c>
      <c r="AB55" s="8">
        <v>268.10297840240497</v>
      </c>
      <c r="AC55" s="8">
        <v>268.20306670521398</v>
      </c>
      <c r="AD55" s="8">
        <v>268.24762265923601</v>
      </c>
      <c r="AE55" s="9">
        <v>-3.4517430702926798E-3</v>
      </c>
      <c r="AF55" s="9">
        <v>-3.0784923680710701E-3</v>
      </c>
      <c r="AG55" s="9">
        <v>-2.91237848283263E-3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69.400000000000006</v>
      </c>
      <c r="C56" s="8">
        <v>269.45</v>
      </c>
      <c r="D56" s="9">
        <v>2.1637224453109598E-3</v>
      </c>
      <c r="E56" s="9">
        <v>1.5599468324551801E-3</v>
      </c>
      <c r="F56" s="8">
        <v>0</v>
      </c>
      <c r="G56" s="8">
        <v>0.22900000000000001</v>
      </c>
      <c r="H56" s="8">
        <v>0</v>
      </c>
      <c r="I56" s="8">
        <v>0</v>
      </c>
      <c r="J56" s="8">
        <v>0</v>
      </c>
      <c r="K56" s="8">
        <v>0</v>
      </c>
      <c r="L56" s="8">
        <v>69.400000000000006</v>
      </c>
      <c r="M56" s="8">
        <v>269.45</v>
      </c>
      <c r="N56" s="10">
        <v>3.8825648414985499</v>
      </c>
      <c r="O56" s="10">
        <v>3.8715231538253501</v>
      </c>
      <c r="P56" s="10">
        <v>3.8755412749176101</v>
      </c>
      <c r="Q56" s="10">
        <v>3.8745279771691101</v>
      </c>
      <c r="R56" s="8">
        <v>268.683706875479</v>
      </c>
      <c r="S56" s="8">
        <v>268.88123019628102</v>
      </c>
      <c r="T56" s="8">
        <v>268.86432665855398</v>
      </c>
      <c r="U56" s="9">
        <v>-2.84796745743666E-3</v>
      </c>
      <c r="V56" s="9">
        <v>-2.11308571173624E-3</v>
      </c>
      <c r="W56" s="9">
        <v>-2.17595387500428E-3</v>
      </c>
      <c r="X56" s="10">
        <v>3.8825648414985499</v>
      </c>
      <c r="Y56" s="10">
        <v>3.8715231538253501</v>
      </c>
      <c r="Z56" s="10">
        <v>3.8755412749176101</v>
      </c>
      <c r="AA56" s="10">
        <v>3.8745279771691101</v>
      </c>
      <c r="AB56" s="8">
        <v>268.683706875479</v>
      </c>
      <c r="AC56" s="8">
        <v>268.88123019628102</v>
      </c>
      <c r="AD56" s="8">
        <v>268.86432665855398</v>
      </c>
      <c r="AE56" s="9">
        <v>-2.84796745743666E-3</v>
      </c>
      <c r="AF56" s="9">
        <v>-2.11308571173624E-3</v>
      </c>
      <c r="AG56" s="9">
        <v>-2.17595387500428E-3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2.1637224453109598E-3</v>
      </c>
      <c r="BH56" s="9">
        <f t="shared" si="7"/>
        <v>-1.5599468324551801E-3</v>
      </c>
      <c r="BI56" s="9">
        <f t="shared" si="8"/>
        <v>6.0377561285577977E-4</v>
      </c>
      <c r="BJ56" s="12">
        <f t="shared" si="9"/>
        <v>6.0377561285577977E-4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6.0377561285577977E-4</v>
      </c>
      <c r="BY56" s="12">
        <f t="shared" si="19"/>
        <v>6.0377561285577977E-4</v>
      </c>
    </row>
    <row r="57" spans="1:77" x14ac:dyDescent="0.3">
      <c r="A57" s="1">
        <v>46105</v>
      </c>
      <c r="B57" s="8">
        <v>69.34</v>
      </c>
      <c r="C57" s="8">
        <v>268.25</v>
      </c>
      <c r="D57" s="9">
        <v>-8.6492725588145798E-4</v>
      </c>
      <c r="E57" s="9">
        <v>-4.4634628686978598E-3</v>
      </c>
      <c r="F57" s="8">
        <v>0</v>
      </c>
      <c r="G57" s="8">
        <v>0.22900000000000001</v>
      </c>
      <c r="H57" s="8">
        <v>0.99399999999999999</v>
      </c>
      <c r="I57" s="8">
        <v>0.99399999999999999</v>
      </c>
      <c r="J57" s="8">
        <v>0</v>
      </c>
      <c r="K57" s="8">
        <v>0</v>
      </c>
      <c r="L57" s="8">
        <v>69.34</v>
      </c>
      <c r="M57" s="8">
        <v>268.25</v>
      </c>
      <c r="N57" s="10">
        <v>3.86861840207672</v>
      </c>
      <c r="O57" s="10">
        <v>3.8715231538253501</v>
      </c>
      <c r="P57" s="10">
        <v>3.8749765741931999</v>
      </c>
      <c r="Q57" s="10">
        <v>3.8742686106487398</v>
      </c>
      <c r="R57" s="8">
        <v>268.451415486249</v>
      </c>
      <c r="S57" s="8">
        <v>268.73003200278703</v>
      </c>
      <c r="T57" s="8">
        <v>268.659769936906</v>
      </c>
      <c r="U57" s="9">
        <v>7.5056815537955998E-4</v>
      </c>
      <c r="V57" s="9">
        <v>1.78789564620585E-3</v>
      </c>
      <c r="W57" s="9">
        <v>1.5264017881995099E-3</v>
      </c>
      <c r="X57" s="10">
        <v>3.86861840207672</v>
      </c>
      <c r="Y57" s="10">
        <v>3.8715231538253501</v>
      </c>
      <c r="Z57" s="10">
        <v>3.8749765741931999</v>
      </c>
      <c r="AA57" s="10">
        <v>3.8742686106487398</v>
      </c>
      <c r="AB57" s="8">
        <v>268.451415486249</v>
      </c>
      <c r="AC57" s="8">
        <v>268.73003200278703</v>
      </c>
      <c r="AD57" s="8">
        <v>268.659769936906</v>
      </c>
      <c r="AE57" s="9">
        <v>7.5056815537955998E-4</v>
      </c>
      <c r="AF57" s="9">
        <v>1.78789564620585E-3</v>
      </c>
      <c r="AG57" s="9">
        <v>1.5264017881995099E-3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6.0377561285577977E-4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6.0377561285577977E-4</v>
      </c>
    </row>
    <row r="58" spans="1:77" x14ac:dyDescent="0.3">
      <c r="A58" s="1">
        <v>46106</v>
      </c>
      <c r="B58" s="8">
        <v>70.14</v>
      </c>
      <c r="C58" s="8">
        <v>271.52</v>
      </c>
      <c r="D58" s="9">
        <v>1.14713044551546E-2</v>
      </c>
      <c r="E58" s="9">
        <v>1.2116419975108201E-2</v>
      </c>
      <c r="F58" s="8">
        <v>0</v>
      </c>
      <c r="G58" s="8">
        <v>0.22900000000000001</v>
      </c>
      <c r="H58" s="8">
        <v>0</v>
      </c>
      <c r="I58" s="8">
        <v>0.99399999999999999</v>
      </c>
      <c r="J58" s="8">
        <v>0</v>
      </c>
      <c r="K58" s="8">
        <v>0</v>
      </c>
      <c r="L58" s="8">
        <v>70.14</v>
      </c>
      <c r="M58" s="8">
        <v>271.52</v>
      </c>
      <c r="N58" s="10">
        <v>3.87111491303108</v>
      </c>
      <c r="O58" s="10">
        <v>3.8715231538253501</v>
      </c>
      <c r="P58" s="10">
        <v>3.8748123498409202</v>
      </c>
      <c r="Q58" s="10">
        <v>3.8741158349305098</v>
      </c>
      <c r="R58" s="8">
        <v>271.54863400930998</v>
      </c>
      <c r="S58" s="8">
        <v>271.790856913911</v>
      </c>
      <c r="T58" s="8">
        <v>271.741200350903</v>
      </c>
      <c r="U58" s="9">
        <v>1.05452635426088E-4</v>
      </c>
      <c r="V58" s="9">
        <v>9.970606436582939E-4</v>
      </c>
      <c r="W58" s="9">
        <v>8.1434257769345602E-4</v>
      </c>
      <c r="X58" s="10">
        <v>3.87111491303108</v>
      </c>
      <c r="Y58" s="10">
        <v>3.8715231538253501</v>
      </c>
      <c r="Z58" s="10">
        <v>3.8748123498409202</v>
      </c>
      <c r="AA58" s="10">
        <v>3.8741158349305098</v>
      </c>
      <c r="AB58" s="8">
        <v>271.54863400930998</v>
      </c>
      <c r="AC58" s="8">
        <v>271.790856913911</v>
      </c>
      <c r="AD58" s="8">
        <v>271.741200350903</v>
      </c>
      <c r="AE58" s="9">
        <v>1.05452635426088E-4</v>
      </c>
      <c r="AF58" s="9">
        <v>9.970606436582939E-4</v>
      </c>
      <c r="AG58" s="9">
        <v>8.1434257769345602E-4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6.0377561285577977E-4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6.0377561285577977E-4</v>
      </c>
    </row>
    <row r="59" spans="1:77" x14ac:dyDescent="0.3">
      <c r="A59" s="1">
        <v>46107</v>
      </c>
      <c r="B59" s="8">
        <v>69.89</v>
      </c>
      <c r="C59" s="8">
        <v>270.42</v>
      </c>
      <c r="D59" s="9">
        <v>-3.57066722299434E-3</v>
      </c>
      <c r="E59" s="9">
        <v>-4.0594955553041002E-3</v>
      </c>
      <c r="F59" s="8">
        <v>0</v>
      </c>
      <c r="G59" s="8">
        <v>0.22900000000000001</v>
      </c>
      <c r="H59" s="8">
        <v>0</v>
      </c>
      <c r="I59" s="8">
        <v>0.99399999999999999</v>
      </c>
      <c r="J59" s="8">
        <v>0</v>
      </c>
      <c r="K59" s="8">
        <v>0</v>
      </c>
      <c r="L59" s="8">
        <v>69.89</v>
      </c>
      <c r="M59" s="8">
        <v>270.42</v>
      </c>
      <c r="N59" s="10">
        <v>3.8692230648161399</v>
      </c>
      <c r="O59" s="10">
        <v>3.8715231538253501</v>
      </c>
      <c r="P59" s="10">
        <v>3.87451577100336</v>
      </c>
      <c r="Q59" s="10">
        <v>3.8737879204761398</v>
      </c>
      <c r="R59" s="8">
        <v>270.58075322085301</v>
      </c>
      <c r="S59" s="8">
        <v>270.81063513038202</v>
      </c>
      <c r="T59" s="8">
        <v>270.76195570329298</v>
      </c>
      <c r="U59" s="9">
        <v>5.9428096773588999E-4</v>
      </c>
      <c r="V59" s="9">
        <v>1.44350734366416E-3</v>
      </c>
      <c r="W59" s="9">
        <v>1.26373669779316E-3</v>
      </c>
      <c r="X59" s="10">
        <v>3.8692230648161399</v>
      </c>
      <c r="Y59" s="10">
        <v>3.8715231538253501</v>
      </c>
      <c r="Z59" s="10">
        <v>3.87451577100336</v>
      </c>
      <c r="AA59" s="10">
        <v>3.8737879204761398</v>
      </c>
      <c r="AB59" s="8">
        <v>270.58075322085301</v>
      </c>
      <c r="AC59" s="8">
        <v>270.81063513038202</v>
      </c>
      <c r="AD59" s="8">
        <v>270.76195570329298</v>
      </c>
      <c r="AE59" s="9">
        <v>5.9428096773588999E-4</v>
      </c>
      <c r="AF59" s="9">
        <v>1.44350734366416E-3</v>
      </c>
      <c r="AG59" s="9">
        <v>1.26373669779316E-3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6.0377561285577977E-4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6.0377561285577977E-4</v>
      </c>
    </row>
    <row r="60" spans="1:77" x14ac:dyDescent="0.3">
      <c r="A60" s="1">
        <v>46108</v>
      </c>
      <c r="B60" s="8">
        <v>68.53</v>
      </c>
      <c r="C60" s="8">
        <v>265.36</v>
      </c>
      <c r="D60" s="9">
        <v>-1.96509718913052E-2</v>
      </c>
      <c r="E60" s="9">
        <v>-1.88889112918149E-2</v>
      </c>
      <c r="F60" s="8">
        <v>0</v>
      </c>
      <c r="G60" s="8">
        <v>0.22900000000000001</v>
      </c>
      <c r="H60" s="8">
        <v>0</v>
      </c>
      <c r="I60" s="8">
        <v>0.99399999999999999</v>
      </c>
      <c r="J60" s="8">
        <v>0</v>
      </c>
      <c r="K60" s="8">
        <v>0</v>
      </c>
      <c r="L60" s="8">
        <v>68.53</v>
      </c>
      <c r="M60" s="8">
        <v>265.36</v>
      </c>
      <c r="N60" s="10">
        <v>3.8721727710491698</v>
      </c>
      <c r="O60" s="10">
        <v>3.8715231538253501</v>
      </c>
      <c r="P60" s="10">
        <v>3.8742400509094002</v>
      </c>
      <c r="Q60" s="10">
        <v>3.8736957200144402</v>
      </c>
      <c r="R60" s="8">
        <v>265.315481731651</v>
      </c>
      <c r="S60" s="8">
        <v>265.52056578686</v>
      </c>
      <c r="T60" s="8">
        <v>265.47068619023003</v>
      </c>
      <c r="U60" s="9">
        <v>-1.6777963175478299E-4</v>
      </c>
      <c r="V60" s="9">
        <v>6.0490363409114098E-4</v>
      </c>
      <c r="W60" s="9">
        <v>4.1703011794111302E-4</v>
      </c>
      <c r="X60" s="10">
        <v>3.8721727710491698</v>
      </c>
      <c r="Y60" s="10">
        <v>3.8715231538253501</v>
      </c>
      <c r="Z60" s="10">
        <v>3.8742400509094002</v>
      </c>
      <c r="AA60" s="10">
        <v>3.8736957200144402</v>
      </c>
      <c r="AB60" s="8">
        <v>265.315481731651</v>
      </c>
      <c r="AC60" s="8">
        <v>265.52056578686</v>
      </c>
      <c r="AD60" s="8">
        <v>265.47068619023003</v>
      </c>
      <c r="AE60" s="9">
        <v>-1.6777963175478299E-4</v>
      </c>
      <c r="AF60" s="9">
        <v>6.0490363409114098E-4</v>
      </c>
      <c r="AG60" s="9">
        <v>4.1703011794111302E-4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6.0377561285577977E-4</v>
      </c>
      <c r="BL60" s="9"/>
      <c r="BN60">
        <f t="shared" si="10"/>
        <v>0</v>
      </c>
      <c r="BO60">
        <f t="shared" si="11"/>
        <v>0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6.0377561285577977E-4</v>
      </c>
    </row>
    <row r="61" spans="1:77" x14ac:dyDescent="0.3">
      <c r="A61" s="1">
        <v>46111</v>
      </c>
      <c r="B61" s="8">
        <v>68.790000000000006</v>
      </c>
      <c r="C61" s="8">
        <v>266.36</v>
      </c>
      <c r="D61" s="9">
        <v>3.78677994019059E-3</v>
      </c>
      <c r="E61" s="9">
        <v>3.7613826036247298E-3</v>
      </c>
      <c r="F61" s="8">
        <v>0</v>
      </c>
      <c r="G61" s="8">
        <v>0.22900000000000001</v>
      </c>
      <c r="H61" s="8">
        <v>0</v>
      </c>
      <c r="I61" s="8">
        <v>0.99399999999999999</v>
      </c>
      <c r="J61" s="8">
        <v>0</v>
      </c>
      <c r="K61" s="8">
        <v>0</v>
      </c>
      <c r="L61" s="8">
        <v>68.790000000000006</v>
      </c>
      <c r="M61" s="8">
        <v>266.36</v>
      </c>
      <c r="N61" s="10">
        <v>3.8720744294228799</v>
      </c>
      <c r="O61" s="10">
        <v>3.8715231538253501</v>
      </c>
      <c r="P61" s="10">
        <v>3.8742181768055999</v>
      </c>
      <c r="Q61" s="10">
        <v>3.8736189226925699</v>
      </c>
      <c r="R61" s="8">
        <v>266.322077751645</v>
      </c>
      <c r="S61" s="8">
        <v>266.50897310205698</v>
      </c>
      <c r="T61" s="8">
        <v>266.47152857979302</v>
      </c>
      <c r="U61" s="9">
        <v>-1.42382295188828E-4</v>
      </c>
      <c r="V61" s="9">
        <v>5.5913597322643899E-4</v>
      </c>
      <c r="W61" s="9">
        <v>4.18626058858742E-4</v>
      </c>
      <c r="X61" s="10">
        <v>3.8720744294228799</v>
      </c>
      <c r="Y61" s="10">
        <v>3.8715231538253501</v>
      </c>
      <c r="Z61" s="10">
        <v>3.8742181768055999</v>
      </c>
      <c r="AA61" s="10">
        <v>3.8736189226925699</v>
      </c>
      <c r="AB61" s="8">
        <v>266.322077751645</v>
      </c>
      <c r="AC61" s="8">
        <v>266.50897310205698</v>
      </c>
      <c r="AD61" s="8">
        <v>266.47152857979302</v>
      </c>
      <c r="AE61" s="9">
        <v>-1.42382295188828E-4</v>
      </c>
      <c r="AF61" s="9">
        <v>5.5913597322643899E-4</v>
      </c>
      <c r="AG61" s="9">
        <v>4.18626058858742E-4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6.0377561285577977E-4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6.0377561285577977E-4</v>
      </c>
    </row>
    <row r="62" spans="1:77" x14ac:dyDescent="0.3">
      <c r="A62" s="1">
        <v>46112</v>
      </c>
      <c r="B62" s="8">
        <v>70.36</v>
      </c>
      <c r="C62" s="8">
        <v>272.33</v>
      </c>
      <c r="D62" s="9">
        <v>2.2566534331434601E-2</v>
      </c>
      <c r="E62" s="9">
        <v>2.2165788972482399E-2</v>
      </c>
      <c r="F62" s="8">
        <v>0</v>
      </c>
      <c r="G62" s="8">
        <v>0.22900000000000001</v>
      </c>
      <c r="H62" s="8">
        <v>0</v>
      </c>
      <c r="I62" s="8">
        <v>0.99399999999999999</v>
      </c>
      <c r="J62" s="8">
        <v>0</v>
      </c>
      <c r="K62" s="8">
        <v>0</v>
      </c>
      <c r="L62" s="8">
        <v>70.36</v>
      </c>
      <c r="M62" s="8">
        <v>272.33</v>
      </c>
      <c r="N62" s="10">
        <v>3.8705230244457001</v>
      </c>
      <c r="O62" s="10">
        <v>3.8715231538253501</v>
      </c>
      <c r="P62" s="10">
        <v>3.8740010549908099</v>
      </c>
      <c r="Q62" s="10">
        <v>3.87351381889746</v>
      </c>
      <c r="R62" s="8">
        <v>272.40036910315098</v>
      </c>
      <c r="S62" s="8">
        <v>272.589990920042</v>
      </c>
      <c r="T62" s="8">
        <v>272.547827400649</v>
      </c>
      <c r="U62" s="9">
        <v>2.58363063763456E-4</v>
      </c>
      <c r="V62" s="9">
        <v>9.5423527894973701E-4</v>
      </c>
      <c r="W62" s="9">
        <v>7.9954588460023597E-4</v>
      </c>
      <c r="X62" s="10">
        <v>3.8705230244457001</v>
      </c>
      <c r="Y62" s="10">
        <v>3.8715231538253501</v>
      </c>
      <c r="Z62" s="10">
        <v>3.8740010549908099</v>
      </c>
      <c r="AA62" s="10">
        <v>3.87351381889746</v>
      </c>
      <c r="AB62" s="8">
        <v>272.40036910315098</v>
      </c>
      <c r="AC62" s="8">
        <v>272.589990920042</v>
      </c>
      <c r="AD62" s="8">
        <v>272.547827400649</v>
      </c>
      <c r="AE62" s="9">
        <v>2.58363063763456E-4</v>
      </c>
      <c r="AF62" s="9">
        <v>9.5423527894973701E-4</v>
      </c>
      <c r="AG62" s="9">
        <v>7.9954588460023597E-4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6.0377561285577977E-4</v>
      </c>
      <c r="BL62" s="9"/>
      <c r="BN62">
        <f t="shared" si="10"/>
        <v>0</v>
      </c>
      <c r="BO62">
        <f t="shared" si="11"/>
        <v>0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6.0377561285577977E-4</v>
      </c>
    </row>
    <row r="63" spans="1:77" x14ac:dyDescent="0.3">
      <c r="A63" s="1">
        <v>46113</v>
      </c>
      <c r="B63" s="8">
        <v>70.91</v>
      </c>
      <c r="C63" s="8">
        <v>274.5</v>
      </c>
      <c r="D63" s="9">
        <v>7.7865474465477497E-3</v>
      </c>
      <c r="E63" s="9">
        <v>7.9366947346812006E-3</v>
      </c>
      <c r="F63" s="8">
        <v>0</v>
      </c>
      <c r="G63" s="8">
        <v>0.22900000000000001</v>
      </c>
      <c r="H63" s="8">
        <v>0</v>
      </c>
      <c r="I63" s="8">
        <v>0.99399999999999999</v>
      </c>
      <c r="J63" s="8">
        <v>0</v>
      </c>
      <c r="K63" s="8">
        <v>0</v>
      </c>
      <c r="L63" s="8">
        <v>70.91</v>
      </c>
      <c r="M63" s="8">
        <v>274.5</v>
      </c>
      <c r="N63" s="10">
        <v>3.8711042166126002</v>
      </c>
      <c r="O63" s="10">
        <v>3.8715231538253501</v>
      </c>
      <c r="P63" s="10">
        <v>3.8737180713081201</v>
      </c>
      <c r="Q63" s="10">
        <v>3.87336908311838</v>
      </c>
      <c r="R63" s="8">
        <v>274.52970683775499</v>
      </c>
      <c r="S63" s="8">
        <v>274.70541480939801</v>
      </c>
      <c r="T63" s="8">
        <v>274.67086489801898</v>
      </c>
      <c r="U63" s="9">
        <v>1.0821577562981499E-4</v>
      </c>
      <c r="V63" s="9">
        <v>7.4804367705784099E-4</v>
      </c>
      <c r="W63" s="9">
        <v>6.2226499785147103E-4</v>
      </c>
      <c r="X63" s="10">
        <v>3.8711042166126002</v>
      </c>
      <c r="Y63" s="10">
        <v>3.8715231538253501</v>
      </c>
      <c r="Z63" s="10">
        <v>3.8737180713081201</v>
      </c>
      <c r="AA63" s="10">
        <v>3.87336908311838</v>
      </c>
      <c r="AB63" s="8">
        <v>274.52970683775499</v>
      </c>
      <c r="AC63" s="8">
        <v>274.70541480939801</v>
      </c>
      <c r="AD63" s="8">
        <v>274.67086489801898</v>
      </c>
      <c r="AE63" s="9">
        <v>1.0821577562981499E-4</v>
      </c>
      <c r="AF63" s="9">
        <v>7.4804367705784099E-4</v>
      </c>
      <c r="AG63" s="9">
        <v>6.2226499785147103E-4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6.0377561285577977E-4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6.0377561285577977E-4</v>
      </c>
    </row>
    <row r="64" spans="1:77" x14ac:dyDescent="0.3">
      <c r="A64" s="1">
        <v>46114</v>
      </c>
      <c r="B64" s="8">
        <v>70.540000000000006</v>
      </c>
      <c r="C64" s="8">
        <v>273.07</v>
      </c>
      <c r="D64" s="9">
        <v>-5.23154250799921E-3</v>
      </c>
      <c r="E64" s="9">
        <v>-5.2230883757068804E-3</v>
      </c>
      <c r="F64" s="8">
        <v>0</v>
      </c>
      <c r="G64" s="8">
        <v>0.22900000000000001</v>
      </c>
      <c r="H64" s="8">
        <v>0</v>
      </c>
      <c r="I64" s="8">
        <v>0.99399999999999999</v>
      </c>
      <c r="J64" s="8">
        <v>0</v>
      </c>
      <c r="K64" s="8">
        <v>0</v>
      </c>
      <c r="L64" s="8">
        <v>70.540000000000006</v>
      </c>
      <c r="M64" s="8">
        <v>273.07</v>
      </c>
      <c r="N64" s="10">
        <v>3.8711369435781098</v>
      </c>
      <c r="O64" s="10">
        <v>3.8715231538253501</v>
      </c>
      <c r="P64" s="10">
        <v>3.8733442353823402</v>
      </c>
      <c r="Q64" s="10">
        <v>3.8731563538298999</v>
      </c>
      <c r="R64" s="8">
        <v>273.09724327084001</v>
      </c>
      <c r="S64" s="8">
        <v>273.252072750075</v>
      </c>
      <c r="T64" s="8">
        <v>273.22745512316999</v>
      </c>
      <c r="U64" s="9">
        <v>9.9761643337573205E-5</v>
      </c>
      <c r="V64" s="9">
        <v>6.6653999864816802E-4</v>
      </c>
      <c r="W64" s="9">
        <v>5.7644466784216499E-4</v>
      </c>
      <c r="X64" s="10">
        <v>3.8711369435781098</v>
      </c>
      <c r="Y64" s="10">
        <v>3.8715231538253501</v>
      </c>
      <c r="Z64" s="10">
        <v>3.8733442353823402</v>
      </c>
      <c r="AA64" s="10">
        <v>3.8731563538298999</v>
      </c>
      <c r="AB64" s="8">
        <v>273.09724327084001</v>
      </c>
      <c r="AC64" s="8">
        <v>273.252072750075</v>
      </c>
      <c r="AD64" s="8">
        <v>273.22745512316999</v>
      </c>
      <c r="AE64" s="9">
        <v>9.9761643337573205E-5</v>
      </c>
      <c r="AF64" s="9">
        <v>6.6653999864816802E-4</v>
      </c>
      <c r="AG64" s="9">
        <v>5.7644466784216499E-4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6.0377561285577977E-4</v>
      </c>
      <c r="BL64" s="9"/>
      <c r="BN64">
        <f t="shared" si="10"/>
        <v>0</v>
      </c>
      <c r="BO64">
        <f t="shared" si="11"/>
        <v>0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6.0377561285577977E-4</v>
      </c>
    </row>
    <row r="65" spans="1:77" x14ac:dyDescent="0.3">
      <c r="A65" s="1">
        <v>46118</v>
      </c>
      <c r="B65" s="8">
        <v>70.319999999999993</v>
      </c>
      <c r="C65" s="8">
        <v>272.11</v>
      </c>
      <c r="D65" s="9">
        <v>-3.1236714309845798E-3</v>
      </c>
      <c r="E65" s="9">
        <v>-3.52177626557254E-3</v>
      </c>
      <c r="F65" s="8">
        <v>0</v>
      </c>
      <c r="G65" s="8">
        <v>0.22900000000000001</v>
      </c>
      <c r="H65" s="8">
        <v>0</v>
      </c>
      <c r="I65" s="8">
        <v>0.99399999999999999</v>
      </c>
      <c r="J65" s="8">
        <v>0</v>
      </c>
      <c r="K65" s="8">
        <v>0</v>
      </c>
      <c r="L65" s="8">
        <v>70.319999999999993</v>
      </c>
      <c r="M65" s="8">
        <v>272.11</v>
      </c>
      <c r="N65" s="10">
        <v>3.86959613196814</v>
      </c>
      <c r="O65" s="10">
        <v>3.8715231538253501</v>
      </c>
      <c r="P65" s="10">
        <v>3.87181287384991</v>
      </c>
      <c r="Q65" s="10">
        <v>3.8730910925177602</v>
      </c>
      <c r="R65" s="8">
        <v>272.24550817699799</v>
      </c>
      <c r="S65" s="8">
        <v>272.37356663208601</v>
      </c>
      <c r="T65" s="8">
        <v>272.36035480131801</v>
      </c>
      <c r="U65" s="9">
        <v>4.9786647792573601E-4</v>
      </c>
      <c r="V65" s="9">
        <v>9.6813446291076804E-4</v>
      </c>
      <c r="W65" s="9">
        <v>9.1962699807309899E-4</v>
      </c>
      <c r="X65" s="10">
        <v>3.86959613196814</v>
      </c>
      <c r="Y65" s="10">
        <v>3.8715231538253501</v>
      </c>
      <c r="Z65" s="10">
        <v>3.87181287384991</v>
      </c>
      <c r="AA65" s="10">
        <v>3.8730910925177602</v>
      </c>
      <c r="AB65" s="8">
        <v>272.24550817699799</v>
      </c>
      <c r="AC65" s="8">
        <v>272.37356663208601</v>
      </c>
      <c r="AD65" s="8">
        <v>272.36035480131801</v>
      </c>
      <c r="AE65" s="9">
        <v>4.9786647792573601E-4</v>
      </c>
      <c r="AF65" s="9">
        <v>9.6813446291076804E-4</v>
      </c>
      <c r="AG65" s="9">
        <v>9.1962699807309899E-4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6.0377561285577977E-4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6.0377561285577977E-4</v>
      </c>
    </row>
    <row r="66" spans="1:77" x14ac:dyDescent="0.3">
      <c r="A66" s="1">
        <v>46119</v>
      </c>
      <c r="B66" s="8">
        <v>70.459999999999994</v>
      </c>
      <c r="C66" s="8">
        <v>272.82</v>
      </c>
      <c r="D66" s="9">
        <v>1.9889195361700298E-3</v>
      </c>
      <c r="E66" s="9">
        <v>2.6058407566683399E-3</v>
      </c>
      <c r="F66" s="8">
        <v>0</v>
      </c>
      <c r="G66" s="8">
        <v>0.22900000000000001</v>
      </c>
      <c r="H66" s="8">
        <v>0</v>
      </c>
      <c r="I66" s="8">
        <v>0.99399999999999999</v>
      </c>
      <c r="J66" s="8">
        <v>0</v>
      </c>
      <c r="K66" s="8">
        <v>0</v>
      </c>
      <c r="L66" s="8">
        <v>70.459999999999994</v>
      </c>
      <c r="M66" s="8">
        <v>272.82</v>
      </c>
      <c r="N66" s="10">
        <v>3.8719841044564198</v>
      </c>
      <c r="O66" s="10">
        <v>3.8715231538253501</v>
      </c>
      <c r="P66" s="10">
        <v>3.87075480014569</v>
      </c>
      <c r="Q66" s="10">
        <v>3.8731480375316498</v>
      </c>
      <c r="R66" s="8">
        <v>272.78752141853403</v>
      </c>
      <c r="S66" s="8">
        <v>272.807935091464</v>
      </c>
      <c r="T66" s="8">
        <v>272.89799837880099</v>
      </c>
      <c r="U66" s="9">
        <v>-1.19054742572659E-4</v>
      </c>
      <c r="V66" s="9">
        <v>-4.4223940019247297E-5</v>
      </c>
      <c r="W66" s="9">
        <v>2.85855989959205E-4</v>
      </c>
      <c r="X66" s="10">
        <v>3.8719841044564198</v>
      </c>
      <c r="Y66" s="10">
        <v>3.8715231538253501</v>
      </c>
      <c r="Z66" s="10">
        <v>3.87075480014569</v>
      </c>
      <c r="AA66" s="10">
        <v>3.8731480375316498</v>
      </c>
      <c r="AB66" s="8">
        <v>272.78752141853403</v>
      </c>
      <c r="AC66" s="8">
        <v>272.807935091464</v>
      </c>
      <c r="AD66" s="8">
        <v>272.89799837880099</v>
      </c>
      <c r="AE66" s="9">
        <v>-1.19054742572659E-4</v>
      </c>
      <c r="AF66" s="9">
        <v>-4.4223940019247297E-5</v>
      </c>
      <c r="AG66" s="9">
        <v>2.85855989959205E-4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6.0377561285577977E-4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6.0377561285577977E-4</v>
      </c>
    </row>
    <row r="67" spans="1:77" x14ac:dyDescent="0.3">
      <c r="A67" s="1">
        <v>46120</v>
      </c>
      <c r="B67" s="8">
        <v>71.849999999999994</v>
      </c>
      <c r="C67" s="8">
        <v>278.2</v>
      </c>
      <c r="D67" s="9">
        <v>1.9535439611942301E-2</v>
      </c>
      <c r="E67" s="9">
        <v>1.9528042424368199E-2</v>
      </c>
      <c r="F67" s="8">
        <v>0</v>
      </c>
      <c r="G67" s="8">
        <v>0.22900000000000001</v>
      </c>
      <c r="H67" s="8">
        <v>0</v>
      </c>
      <c r="I67" s="8">
        <v>0.99399999999999999</v>
      </c>
      <c r="J67" s="8">
        <v>0</v>
      </c>
      <c r="K67" s="8">
        <v>0</v>
      </c>
      <c r="L67" s="8">
        <v>71.849999999999994</v>
      </c>
      <c r="M67" s="8">
        <v>278.2</v>
      </c>
      <c r="N67" s="10">
        <v>3.87195546276965</v>
      </c>
      <c r="O67" s="10">
        <v>3.8715231538253501</v>
      </c>
      <c r="P67" s="10">
        <v>3.8710885062149898</v>
      </c>
      <c r="Q67" s="10">
        <v>3.8730325402040999</v>
      </c>
      <c r="R67" s="8">
        <v>278.16893860235098</v>
      </c>
      <c r="S67" s="8">
        <v>278.11373239046799</v>
      </c>
      <c r="T67" s="8">
        <v>278.28568649664902</v>
      </c>
      <c r="U67" s="9">
        <v>-1.1165755499869399E-4</v>
      </c>
      <c r="V67" s="9">
        <v>-3.1014014287329E-4</v>
      </c>
      <c r="W67" s="9">
        <v>3.0795579978364703E-4</v>
      </c>
      <c r="X67" s="10">
        <v>3.87195546276965</v>
      </c>
      <c r="Y67" s="10">
        <v>3.8715231538253501</v>
      </c>
      <c r="Z67" s="10">
        <v>3.8710885062149898</v>
      </c>
      <c r="AA67" s="10">
        <v>3.8730325402040999</v>
      </c>
      <c r="AB67" s="8">
        <v>278.16893860235098</v>
      </c>
      <c r="AC67" s="8">
        <v>278.11373239046799</v>
      </c>
      <c r="AD67" s="8">
        <v>278.28568649664902</v>
      </c>
      <c r="AE67" s="9">
        <v>-1.1165755499869399E-4</v>
      </c>
      <c r="AF67" s="9">
        <v>-3.1014014287329E-4</v>
      </c>
      <c r="AG67" s="9">
        <v>3.0795579978364703E-4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6.0377561285577977E-4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6.0377561285577977E-4</v>
      </c>
    </row>
    <row r="68" spans="1:77" x14ac:dyDescent="0.3">
      <c r="A68" s="1">
        <v>46121</v>
      </c>
      <c r="B68" s="8">
        <v>71.7</v>
      </c>
      <c r="C68" s="8">
        <v>277.64999999999998</v>
      </c>
      <c r="D68" s="9">
        <v>-2.0898649194591298E-3</v>
      </c>
      <c r="E68" s="9">
        <v>-1.9789518017264002E-3</v>
      </c>
      <c r="F68" s="8">
        <v>0</v>
      </c>
      <c r="G68" s="8">
        <v>0.22900000000000001</v>
      </c>
      <c r="H68" s="8">
        <v>0</v>
      </c>
      <c r="I68" s="8">
        <v>0.99399999999999999</v>
      </c>
      <c r="J68" s="8">
        <v>0</v>
      </c>
      <c r="K68" s="8">
        <v>0</v>
      </c>
      <c r="L68" s="8">
        <v>71.7</v>
      </c>
      <c r="M68" s="8">
        <v>277.64999999999998</v>
      </c>
      <c r="N68" s="10">
        <v>3.8723849372384902</v>
      </c>
      <c r="O68" s="10">
        <v>3.8715231538253501</v>
      </c>
      <c r="P68" s="10">
        <v>3.8712155086357298</v>
      </c>
      <c r="Q68" s="10">
        <v>3.8730139292383301</v>
      </c>
      <c r="R68" s="8">
        <v>277.588210129277</v>
      </c>
      <c r="S68" s="8">
        <v>277.55704589561498</v>
      </c>
      <c r="T68" s="8">
        <v>277.69643313263401</v>
      </c>
      <c r="U68" s="9">
        <v>-2.22570672731362E-4</v>
      </c>
      <c r="V68" s="9">
        <v>-3.3484483289819599E-4</v>
      </c>
      <c r="W68" s="9">
        <v>1.6722222372213299E-4</v>
      </c>
      <c r="X68" s="10">
        <v>3.8723849372384902</v>
      </c>
      <c r="Y68" s="10">
        <v>3.8715231538253501</v>
      </c>
      <c r="Z68" s="10">
        <v>3.8712155086357298</v>
      </c>
      <c r="AA68" s="10">
        <v>3.8730139292383301</v>
      </c>
      <c r="AB68" s="8">
        <v>277.588210129277</v>
      </c>
      <c r="AC68" s="8">
        <v>277.55704589561498</v>
      </c>
      <c r="AD68" s="8">
        <v>277.69643313263401</v>
      </c>
      <c r="AE68" s="9">
        <v>-2.22570672731362E-4</v>
      </c>
      <c r="AF68" s="9">
        <v>-3.3484483289819599E-4</v>
      </c>
      <c r="AG68" s="9">
        <v>1.6722222372213299E-4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6.0377561285577977E-4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6.0377561285577977E-4</v>
      </c>
    </row>
    <row r="69" spans="1:77" x14ac:dyDescent="0.3">
      <c r="A69" s="1">
        <v>46122</v>
      </c>
      <c r="B69" s="8">
        <v>70.7</v>
      </c>
      <c r="C69" s="8">
        <v>273.77999999999997</v>
      </c>
      <c r="D69" s="9">
        <v>-1.40451747030476E-2</v>
      </c>
      <c r="E69" s="9">
        <v>-1.403646352025E-2</v>
      </c>
      <c r="F69" s="8">
        <v>0</v>
      </c>
      <c r="G69" s="8">
        <v>0.22900000000000001</v>
      </c>
      <c r="H69" s="8">
        <v>0</v>
      </c>
      <c r="I69" s="8">
        <v>0.99399999999999999</v>
      </c>
      <c r="J69" s="8">
        <v>0</v>
      </c>
      <c r="K69" s="8">
        <v>0</v>
      </c>
      <c r="L69" s="8">
        <v>70.7</v>
      </c>
      <c r="M69" s="8">
        <v>273.77999999999997</v>
      </c>
      <c r="N69" s="10">
        <v>3.8724186704384702</v>
      </c>
      <c r="O69" s="10">
        <v>3.8715231538253501</v>
      </c>
      <c r="P69" s="10">
        <v>3.87153506919796</v>
      </c>
      <c r="Q69" s="10">
        <v>3.8730254201006602</v>
      </c>
      <c r="R69" s="8">
        <v>273.71668697545198</v>
      </c>
      <c r="S69" s="8">
        <v>273.69493646054599</v>
      </c>
      <c r="T69" s="8">
        <v>273.82208479715001</v>
      </c>
      <c r="U69" s="9">
        <v>-2.31281855528981E-4</v>
      </c>
      <c r="V69" s="9">
        <v>-3.1074861869634601E-4</v>
      </c>
      <c r="W69" s="9">
        <v>1.5370575971617801E-4</v>
      </c>
      <c r="X69" s="10">
        <v>3.8724186704384702</v>
      </c>
      <c r="Y69" s="10">
        <v>3.8715231538253501</v>
      </c>
      <c r="Z69" s="10">
        <v>3.87153506919796</v>
      </c>
      <c r="AA69" s="10">
        <v>3.8730254201006602</v>
      </c>
      <c r="AB69" s="8">
        <v>273.71668697545198</v>
      </c>
      <c r="AC69" s="8">
        <v>273.69493646054599</v>
      </c>
      <c r="AD69" s="8">
        <v>273.82208479715001</v>
      </c>
      <c r="AE69" s="9">
        <v>-2.31281855528981E-4</v>
      </c>
      <c r="AF69" s="9">
        <v>-3.1074861869634601E-4</v>
      </c>
      <c r="AG69" s="9">
        <v>1.5370575971617801E-4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6.0377561285577977E-4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6.0377561285577977E-4</v>
      </c>
    </row>
    <row r="70" spans="1:77" x14ac:dyDescent="0.3">
      <c r="A70" s="1">
        <v>46125</v>
      </c>
      <c r="B70" s="8">
        <v>71.22</v>
      </c>
      <c r="C70" s="8">
        <v>275.89</v>
      </c>
      <c r="D70" s="9">
        <v>7.32810494710454E-3</v>
      </c>
      <c r="E70" s="9">
        <v>7.6773713826974897E-3</v>
      </c>
      <c r="F70" s="8">
        <v>0</v>
      </c>
      <c r="G70" s="8">
        <v>0.22900000000000001</v>
      </c>
      <c r="H70" s="8">
        <v>0</v>
      </c>
      <c r="I70" s="8">
        <v>0.99399999999999999</v>
      </c>
      <c r="J70" s="8">
        <v>0</v>
      </c>
      <c r="K70" s="8">
        <v>0</v>
      </c>
      <c r="L70" s="8">
        <v>71.22</v>
      </c>
      <c r="M70" s="8">
        <v>275.89</v>
      </c>
      <c r="N70" s="10">
        <v>3.8737714125245701</v>
      </c>
      <c r="O70" s="10">
        <v>3.8715231538253501</v>
      </c>
      <c r="P70" s="10">
        <v>3.8716949333455002</v>
      </c>
      <c r="Q70" s="10">
        <v>3.87296749212745</v>
      </c>
      <c r="R70" s="8">
        <v>275.72987901544099</v>
      </c>
      <c r="S70" s="8">
        <v>275.730727628279</v>
      </c>
      <c r="T70" s="8">
        <v>275.83687041956898</v>
      </c>
      <c r="U70" s="9">
        <v>-5.8054829112193804E-4</v>
      </c>
      <c r="V70" s="9">
        <v>-5.7747059952416703E-4</v>
      </c>
      <c r="W70" s="9">
        <v>-1.92593775809285E-4</v>
      </c>
      <c r="X70" s="10">
        <v>3.8737714125245701</v>
      </c>
      <c r="Y70" s="10">
        <v>3.8715231538253501</v>
      </c>
      <c r="Z70" s="10">
        <v>3.8716949333455002</v>
      </c>
      <c r="AA70" s="10">
        <v>3.87296749212745</v>
      </c>
      <c r="AB70" s="8">
        <v>275.72987901544099</v>
      </c>
      <c r="AC70" s="8">
        <v>275.730727628279</v>
      </c>
      <c r="AD70" s="8">
        <v>275.83687041956898</v>
      </c>
      <c r="AE70" s="9">
        <v>-5.8054829112193804E-4</v>
      </c>
      <c r="AF70" s="9">
        <v>-5.7747059952416703E-4</v>
      </c>
      <c r="AG70" s="9">
        <v>-1.92593775809285E-4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6.0377561285577977E-4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6.0377561285577977E-4</v>
      </c>
    </row>
    <row r="71" spans="1:77" x14ac:dyDescent="0.3">
      <c r="A71" s="1">
        <v>46126</v>
      </c>
      <c r="B71" s="8">
        <v>71.8</v>
      </c>
      <c r="C71" s="8">
        <v>277.89999999999998</v>
      </c>
      <c r="D71" s="9">
        <v>8.1107982045468593E-3</v>
      </c>
      <c r="E71" s="9">
        <v>7.2591011983943301E-3</v>
      </c>
      <c r="F71" s="8">
        <v>0</v>
      </c>
      <c r="G71" s="8">
        <v>0.22900000000000001</v>
      </c>
      <c r="H71" s="8">
        <v>0</v>
      </c>
      <c r="I71" s="8">
        <v>0.99399999999999999</v>
      </c>
      <c r="J71" s="8">
        <v>0</v>
      </c>
      <c r="K71" s="8">
        <v>0</v>
      </c>
      <c r="L71" s="8">
        <v>71.8</v>
      </c>
      <c r="M71" s="8">
        <v>277.89999999999998</v>
      </c>
      <c r="N71" s="10">
        <v>3.8704735376044499</v>
      </c>
      <c r="O71" s="10">
        <v>3.8715231538253501</v>
      </c>
      <c r="P71" s="10">
        <v>3.8715348441636599</v>
      </c>
      <c r="Q71" s="10">
        <v>3.8728765104846299</v>
      </c>
      <c r="R71" s="8">
        <v>277.97536244465999</v>
      </c>
      <c r="S71" s="8">
        <v>277.98769621420701</v>
      </c>
      <c r="T71" s="8">
        <v>278.07906593475099</v>
      </c>
      <c r="U71" s="9">
        <v>2.7114871503055199E-4</v>
      </c>
      <c r="V71" s="9">
        <v>3.1551774047973202E-4</v>
      </c>
      <c r="W71" s="9">
        <v>6.44146342602658E-4</v>
      </c>
      <c r="X71" s="10">
        <v>3.8704735376044499</v>
      </c>
      <c r="Y71" s="10">
        <v>3.8715231538253501</v>
      </c>
      <c r="Z71" s="10">
        <v>3.8715348441636599</v>
      </c>
      <c r="AA71" s="10">
        <v>3.8728765104846299</v>
      </c>
      <c r="AB71" s="8">
        <v>277.97536244465999</v>
      </c>
      <c r="AC71" s="8">
        <v>277.98769621420701</v>
      </c>
      <c r="AD71" s="8">
        <v>278.07906593475099</v>
      </c>
      <c r="AE71" s="9">
        <v>2.7114871503055199E-4</v>
      </c>
      <c r="AF71" s="9">
        <v>3.1551774047973202E-4</v>
      </c>
      <c r="AG71" s="9">
        <v>6.44146342602658E-4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6.0377561285577977E-4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6.0377561285577977E-4</v>
      </c>
    </row>
    <row r="72" spans="1:77" x14ac:dyDescent="0.3">
      <c r="A72" s="1">
        <v>46127</v>
      </c>
      <c r="B72" s="8">
        <v>71.41</v>
      </c>
      <c r="C72" s="8">
        <v>276.41000000000003</v>
      </c>
      <c r="D72" s="9">
        <v>-5.4465604931599196E-3</v>
      </c>
      <c r="E72" s="9">
        <v>-5.3760660593311803E-3</v>
      </c>
      <c r="F72" s="8">
        <v>0</v>
      </c>
      <c r="G72" s="8">
        <v>0.22900000000000001</v>
      </c>
      <c r="H72" s="8">
        <v>0</v>
      </c>
      <c r="I72" s="8">
        <v>0.99399999999999999</v>
      </c>
      <c r="J72" s="8">
        <v>0</v>
      </c>
      <c r="K72" s="8">
        <v>0</v>
      </c>
      <c r="L72" s="8">
        <v>71.41</v>
      </c>
      <c r="M72" s="8">
        <v>276.41000000000003</v>
      </c>
      <c r="N72" s="10">
        <v>3.8707463940624498</v>
      </c>
      <c r="O72" s="10">
        <v>3.8715231538253501</v>
      </c>
      <c r="P72" s="10">
        <v>3.8715571811253402</v>
      </c>
      <c r="Q72" s="10">
        <v>3.87277911805807</v>
      </c>
      <c r="R72" s="8">
        <v>276.46546841466801</v>
      </c>
      <c r="S72" s="8">
        <v>276.466303221727</v>
      </c>
      <c r="T72" s="8">
        <v>276.56211161370697</v>
      </c>
      <c r="U72" s="9">
        <v>2.00654281201894E-4</v>
      </c>
      <c r="V72" s="9">
        <v>2.0367384745507801E-4</v>
      </c>
      <c r="W72" s="9">
        <v>5.5016017751967805E-4</v>
      </c>
      <c r="X72" s="10">
        <v>3.8707463940624498</v>
      </c>
      <c r="Y72" s="10">
        <v>3.8715231538253501</v>
      </c>
      <c r="Z72" s="10">
        <v>3.8715571811253402</v>
      </c>
      <c r="AA72" s="10">
        <v>3.87277911805807</v>
      </c>
      <c r="AB72" s="8">
        <v>276.46546841466801</v>
      </c>
      <c r="AC72" s="8">
        <v>276.466303221727</v>
      </c>
      <c r="AD72" s="8">
        <v>276.56211161370697</v>
      </c>
      <c r="AE72" s="9">
        <v>2.00654281201894E-4</v>
      </c>
      <c r="AF72" s="9">
        <v>2.0367384745507801E-4</v>
      </c>
      <c r="AG72" s="9">
        <v>5.5016017751967805E-4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6.0377561285577977E-4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6.0377561285577977E-4</v>
      </c>
    </row>
    <row r="73" spans="1:77" x14ac:dyDescent="0.3">
      <c r="A73" s="1">
        <v>46128</v>
      </c>
      <c r="B73" s="8">
        <v>70.81</v>
      </c>
      <c r="C73" s="8">
        <v>274.29000000000002</v>
      </c>
      <c r="D73" s="9">
        <v>-8.4376818973359406E-3</v>
      </c>
      <c r="E73" s="9">
        <v>-7.6993298446817598E-3</v>
      </c>
      <c r="F73" s="8">
        <v>0</v>
      </c>
      <c r="G73" s="8">
        <v>0.22900000000000001</v>
      </c>
      <c r="H73" s="8">
        <v>0</v>
      </c>
      <c r="I73" s="8">
        <v>0.99399999999999999</v>
      </c>
      <c r="J73" s="8">
        <v>0</v>
      </c>
      <c r="K73" s="8">
        <v>0</v>
      </c>
      <c r="L73" s="8">
        <v>70.81</v>
      </c>
      <c r="M73" s="8">
        <v>274.29000000000002</v>
      </c>
      <c r="N73" s="10">
        <v>3.87360542296285</v>
      </c>
      <c r="O73" s="10">
        <v>3.8715231538253501</v>
      </c>
      <c r="P73" s="10">
        <v>3.8718073017603598</v>
      </c>
      <c r="Q73" s="10">
        <v>3.8727626865342399</v>
      </c>
      <c r="R73" s="8">
        <v>274.14255452237302</v>
      </c>
      <c r="S73" s="8">
        <v>274.144963995485</v>
      </c>
      <c r="T73" s="8">
        <v>274.23148934969203</v>
      </c>
      <c r="U73" s="9">
        <v>-5.3769777145225598E-4</v>
      </c>
      <c r="V73" s="9">
        <v>-5.2890868532194896E-4</v>
      </c>
      <c r="W73" s="9">
        <v>-2.1333950142573901E-4</v>
      </c>
      <c r="X73" s="10">
        <v>3.87360542296285</v>
      </c>
      <c r="Y73" s="10">
        <v>3.8715231538253501</v>
      </c>
      <c r="Z73" s="10">
        <v>3.8718073017603598</v>
      </c>
      <c r="AA73" s="10">
        <v>3.8727626865342399</v>
      </c>
      <c r="AB73" s="8">
        <v>274.14255452237302</v>
      </c>
      <c r="AC73" s="8">
        <v>274.144963995485</v>
      </c>
      <c r="AD73" s="8">
        <v>274.23148934969203</v>
      </c>
      <c r="AE73" s="9">
        <v>-5.3769777145225598E-4</v>
      </c>
      <c r="AF73" s="9">
        <v>-5.2890868532194896E-4</v>
      </c>
      <c r="AG73" s="9">
        <v>-2.1333950142573901E-4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6.0377561285577977E-4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6.0377561285577977E-4</v>
      </c>
    </row>
    <row r="74" spans="1:77" x14ac:dyDescent="0.3">
      <c r="A74" s="1">
        <v>46129</v>
      </c>
      <c r="B74" s="8">
        <v>71.94</v>
      </c>
      <c r="C74" s="8">
        <v>278.45</v>
      </c>
      <c r="D74" s="9">
        <v>1.58322046037952E-2</v>
      </c>
      <c r="E74" s="9">
        <v>1.5052569191232599E-2</v>
      </c>
      <c r="F74" s="8">
        <v>0</v>
      </c>
      <c r="G74" s="8">
        <v>0.22900000000000001</v>
      </c>
      <c r="H74" s="8">
        <v>0</v>
      </c>
      <c r="I74" s="8">
        <v>0.99399999999999999</v>
      </c>
      <c r="J74" s="8">
        <v>0</v>
      </c>
      <c r="K74" s="8">
        <v>0</v>
      </c>
      <c r="L74" s="8">
        <v>71.94</v>
      </c>
      <c r="M74" s="8">
        <v>278.45</v>
      </c>
      <c r="N74" s="10">
        <v>3.87058659994439</v>
      </c>
      <c r="O74" s="10">
        <v>3.8715231538253501</v>
      </c>
      <c r="P74" s="10">
        <v>3.8717522673969902</v>
      </c>
      <c r="Q74" s="10">
        <v>3.8725482513896599</v>
      </c>
      <c r="R74" s="8">
        <v>278.51737568619501</v>
      </c>
      <c r="S74" s="8">
        <v>278.53781728863999</v>
      </c>
      <c r="T74" s="8">
        <v>278.60654766927303</v>
      </c>
      <c r="U74" s="9">
        <v>2.4193764111042699E-4</v>
      </c>
      <c r="V74" s="9">
        <v>3.1532930036359401E-4</v>
      </c>
      <c r="W74" s="9">
        <v>5.6205307719602905E-4</v>
      </c>
      <c r="X74" s="10">
        <v>3.87058659994439</v>
      </c>
      <c r="Y74" s="10">
        <v>3.8715231538253501</v>
      </c>
      <c r="Z74" s="10">
        <v>3.8717522673969902</v>
      </c>
      <c r="AA74" s="10">
        <v>3.8725482513896599</v>
      </c>
      <c r="AB74" s="8">
        <v>278.51737568619501</v>
      </c>
      <c r="AC74" s="8">
        <v>278.53781728863999</v>
      </c>
      <c r="AD74" s="8">
        <v>278.60654766927303</v>
      </c>
      <c r="AE74" s="9">
        <v>2.4193764111042699E-4</v>
      </c>
      <c r="AF74" s="9">
        <v>3.1532930036359401E-4</v>
      </c>
      <c r="AG74" s="9">
        <v>5.6205307719602905E-4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6.0377561285577977E-4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6.0377561285577977E-4</v>
      </c>
    </row>
    <row r="75" spans="1:77" x14ac:dyDescent="0.3">
      <c r="A75" s="1">
        <v>46132</v>
      </c>
      <c r="B75" s="8">
        <v>71.36</v>
      </c>
      <c r="C75" s="8">
        <v>276.27999999999997</v>
      </c>
      <c r="D75" s="9">
        <v>-8.0949499957239102E-3</v>
      </c>
      <c r="E75" s="9">
        <v>-7.8236658149055099E-3</v>
      </c>
      <c r="F75" s="8">
        <v>0</v>
      </c>
      <c r="G75" s="8">
        <v>0.22900000000000001</v>
      </c>
      <c r="H75" s="8">
        <v>0</v>
      </c>
      <c r="I75" s="8">
        <v>0.99399999999999999</v>
      </c>
      <c r="J75" s="8">
        <v>0</v>
      </c>
      <c r="K75" s="8">
        <v>0</v>
      </c>
      <c r="L75" s="8">
        <v>71.36</v>
      </c>
      <c r="M75" s="8">
        <v>276.27999999999997</v>
      </c>
      <c r="N75" s="10">
        <v>3.87163677130044</v>
      </c>
      <c r="O75" s="10">
        <v>3.8715231538253501</v>
      </c>
      <c r="P75" s="10">
        <v>3.8719563313302201</v>
      </c>
      <c r="Q75" s="10">
        <v>3.8718846025900602</v>
      </c>
      <c r="R75" s="8">
        <v>276.27189225697703</v>
      </c>
      <c r="S75" s="8">
        <v>276.28824180144898</v>
      </c>
      <c r="T75" s="8">
        <v>276.34504321916597</v>
      </c>
      <c r="U75" s="9">
        <v>-2.93465397081411E-5</v>
      </c>
      <c r="V75" s="9">
        <v>2.9830890835490299E-5</v>
      </c>
      <c r="W75" s="9">
        <v>2.35397292486611E-4</v>
      </c>
      <c r="X75" s="10">
        <v>3.87163677130044</v>
      </c>
      <c r="Y75" s="10">
        <v>3.8715231538253501</v>
      </c>
      <c r="Z75" s="10">
        <v>3.8719563313302201</v>
      </c>
      <c r="AA75" s="10">
        <v>3.8718846025900602</v>
      </c>
      <c r="AB75" s="8">
        <v>276.27189225697703</v>
      </c>
      <c r="AC75" s="8">
        <v>276.28824180144898</v>
      </c>
      <c r="AD75" s="8">
        <v>276.34504321916597</v>
      </c>
      <c r="AE75" s="9">
        <v>-2.93465397081411E-5</v>
      </c>
      <c r="AF75" s="9">
        <v>2.9830890835490299E-5</v>
      </c>
      <c r="AG75" s="9">
        <v>2.35397292486611E-4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6.0377561285577977E-4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6.0377561285577977E-4</v>
      </c>
    </row>
    <row r="76" spans="1:77" x14ac:dyDescent="0.3">
      <c r="A76" s="1">
        <v>46133</v>
      </c>
      <c r="B76" s="8">
        <v>70.61</v>
      </c>
      <c r="C76" s="8">
        <v>273.33</v>
      </c>
      <c r="D76" s="9">
        <v>-1.0565710743498401E-2</v>
      </c>
      <c r="E76" s="9">
        <v>-1.07349878268953E-2</v>
      </c>
      <c r="F76" s="8">
        <v>0</v>
      </c>
      <c r="G76" s="8">
        <v>0.22900000000000001</v>
      </c>
      <c r="H76" s="8">
        <v>0</v>
      </c>
      <c r="I76" s="8">
        <v>0.99399999999999999</v>
      </c>
      <c r="J76" s="8">
        <v>0</v>
      </c>
      <c r="K76" s="8">
        <v>0</v>
      </c>
      <c r="L76" s="8">
        <v>70.61</v>
      </c>
      <c r="M76" s="8">
        <v>273.33</v>
      </c>
      <c r="N76" s="10">
        <v>3.8709814473870501</v>
      </c>
      <c r="O76" s="10">
        <v>3.8715231538253501</v>
      </c>
      <c r="P76" s="10">
        <v>3.8718560656232799</v>
      </c>
      <c r="Q76" s="10">
        <v>3.87130543288449</v>
      </c>
      <c r="R76" s="8">
        <v>273.368249891608</v>
      </c>
      <c r="S76" s="8">
        <v>273.39883655522698</v>
      </c>
      <c r="T76" s="8">
        <v>273.39377178888401</v>
      </c>
      <c r="U76" s="9">
        <v>1.3993054368879599E-4</v>
      </c>
      <c r="V76" s="9">
        <v>2.5181241957027497E-4</v>
      </c>
      <c r="W76" s="9">
        <v>2.33287054504023E-4</v>
      </c>
      <c r="X76" s="10">
        <v>3.8709814473870501</v>
      </c>
      <c r="Y76" s="10">
        <v>3.8715231538253501</v>
      </c>
      <c r="Z76" s="10">
        <v>3.8718560656232799</v>
      </c>
      <c r="AA76" s="10">
        <v>3.87130543288449</v>
      </c>
      <c r="AB76" s="8">
        <v>273.368249891608</v>
      </c>
      <c r="AC76" s="8">
        <v>273.39883655522698</v>
      </c>
      <c r="AD76" s="8">
        <v>273.39377178888401</v>
      </c>
      <c r="AE76" s="9">
        <v>1.3993054368879599E-4</v>
      </c>
      <c r="AF76" s="9">
        <v>2.5181241957027497E-4</v>
      </c>
      <c r="AG76" s="9">
        <v>2.33287054504023E-4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6.0377561285577977E-4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6.0377561285577977E-4</v>
      </c>
    </row>
    <row r="77" spans="1:77" x14ac:dyDescent="0.3">
      <c r="A77" s="1">
        <v>46134</v>
      </c>
      <c r="B77" s="8">
        <v>70.81</v>
      </c>
      <c r="C77" s="8">
        <v>274.07</v>
      </c>
      <c r="D77" s="9">
        <v>2.8284561354270901E-3</v>
      </c>
      <c r="E77" s="9">
        <v>2.7036918187072498E-3</v>
      </c>
      <c r="F77" s="8">
        <v>0</v>
      </c>
      <c r="G77" s="8">
        <v>0.22900000000000001</v>
      </c>
      <c r="H77" s="8">
        <v>0</v>
      </c>
      <c r="I77" s="8">
        <v>0.99399999999999999</v>
      </c>
      <c r="J77" s="8">
        <v>0</v>
      </c>
      <c r="K77" s="8">
        <v>0</v>
      </c>
      <c r="L77" s="8">
        <v>70.81</v>
      </c>
      <c r="M77" s="8">
        <v>274.07</v>
      </c>
      <c r="N77" s="10">
        <v>3.8704985171585902</v>
      </c>
      <c r="O77" s="10">
        <v>3.8715231538253501</v>
      </c>
      <c r="P77" s="10">
        <v>3.8717103710621799</v>
      </c>
      <c r="Q77" s="10">
        <v>3.8713994386385799</v>
      </c>
      <c r="R77" s="8">
        <v>274.14255452237302</v>
      </c>
      <c r="S77" s="8">
        <v>274.16612800678502</v>
      </c>
      <c r="T77" s="8">
        <v>274.12713770254999</v>
      </c>
      <c r="U77" s="9">
        <v>2.6469486040866402E-4</v>
      </c>
      <c r="V77" s="9">
        <v>3.5068104000964299E-4</v>
      </c>
      <c r="W77" s="9">
        <v>2.0845677158150299E-4</v>
      </c>
      <c r="X77" s="10">
        <v>3.8704985171585902</v>
      </c>
      <c r="Y77" s="10">
        <v>3.8715231538253501</v>
      </c>
      <c r="Z77" s="10">
        <v>3.8717103710621799</v>
      </c>
      <c r="AA77" s="10">
        <v>3.8713994386385799</v>
      </c>
      <c r="AB77" s="8">
        <v>274.14255452237302</v>
      </c>
      <c r="AC77" s="8">
        <v>274.16612800678502</v>
      </c>
      <c r="AD77" s="8">
        <v>274.12713770254999</v>
      </c>
      <c r="AE77" s="9">
        <v>2.6469486040866402E-4</v>
      </c>
      <c r="AF77" s="9">
        <v>3.5068104000964299E-4</v>
      </c>
      <c r="AG77" s="9">
        <v>2.0845677158150299E-4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6.0377561285577977E-4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6.0377561285577977E-4</v>
      </c>
    </row>
    <row r="78" spans="1:77" x14ac:dyDescent="0.3">
      <c r="A78" s="1">
        <v>46135</v>
      </c>
      <c r="B78" s="8">
        <v>70.56</v>
      </c>
      <c r="C78" s="8">
        <v>273.01</v>
      </c>
      <c r="D78" s="9">
        <v>-3.5368219651467198E-3</v>
      </c>
      <c r="E78" s="9">
        <v>-3.8751236618575899E-3</v>
      </c>
      <c r="F78" s="8">
        <v>0</v>
      </c>
      <c r="G78" s="8">
        <v>0.22900000000000001</v>
      </c>
      <c r="H78" s="8">
        <v>0</v>
      </c>
      <c r="I78" s="8">
        <v>0.99399999999999999</v>
      </c>
      <c r="J78" s="8">
        <v>0</v>
      </c>
      <c r="K78" s="8">
        <v>0</v>
      </c>
      <c r="L78" s="8">
        <v>70.56</v>
      </c>
      <c r="M78" s="8">
        <v>273.01</v>
      </c>
      <c r="N78" s="10">
        <v>3.8691893424036201</v>
      </c>
      <c r="O78" s="10">
        <v>3.8715231538253501</v>
      </c>
      <c r="P78" s="10">
        <v>3.8713908115786899</v>
      </c>
      <c r="Q78" s="10">
        <v>3.8713031601072099</v>
      </c>
      <c r="R78" s="8">
        <v>273.17467373391599</v>
      </c>
      <c r="S78" s="8">
        <v>273.18788378214703</v>
      </c>
      <c r="T78" s="8">
        <v>273.16594439033798</v>
      </c>
      <c r="U78" s="9">
        <v>6.0299655711960399E-4</v>
      </c>
      <c r="V78" s="9">
        <v>6.5135290237575301E-4</v>
      </c>
      <c r="W78" s="9">
        <v>5.7104087493427204E-4</v>
      </c>
      <c r="X78" s="10">
        <v>3.8691893424036201</v>
      </c>
      <c r="Y78" s="10">
        <v>3.8715231538253501</v>
      </c>
      <c r="Z78" s="10">
        <v>3.8713908115786899</v>
      </c>
      <c r="AA78" s="10">
        <v>3.8713031601072099</v>
      </c>
      <c r="AB78" s="8">
        <v>273.17467373391599</v>
      </c>
      <c r="AC78" s="8">
        <v>273.18788378214703</v>
      </c>
      <c r="AD78" s="8">
        <v>273.16594439033798</v>
      </c>
      <c r="AE78" s="9">
        <v>6.0299655711960399E-4</v>
      </c>
      <c r="AF78" s="9">
        <v>6.5135290237575301E-4</v>
      </c>
      <c r="AG78" s="9">
        <v>5.7104087493427204E-4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6.0377561285577977E-4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6.0377561285577977E-4</v>
      </c>
    </row>
    <row r="79" spans="1:77" x14ac:dyDescent="0.3">
      <c r="A79" s="1">
        <v>46136</v>
      </c>
      <c r="B79" s="8">
        <v>69.73</v>
      </c>
      <c r="C79" s="8">
        <v>269.89</v>
      </c>
      <c r="D79" s="9">
        <v>-1.1832770465616401E-2</v>
      </c>
      <c r="E79" s="9">
        <v>-1.1493955972704299E-2</v>
      </c>
      <c r="F79" s="8">
        <v>0</v>
      </c>
      <c r="G79" s="8">
        <v>0.22900000000000001</v>
      </c>
      <c r="H79" s="8">
        <v>0</v>
      </c>
      <c r="I79" s="8">
        <v>0.99399999999999999</v>
      </c>
      <c r="J79" s="8">
        <v>0</v>
      </c>
      <c r="K79" s="8">
        <v>0</v>
      </c>
      <c r="L79" s="8">
        <v>69.73</v>
      </c>
      <c r="M79" s="8">
        <v>269.89</v>
      </c>
      <c r="N79" s="10">
        <v>3.8705005019360299</v>
      </c>
      <c r="O79" s="10">
        <v>3.8715231538253501</v>
      </c>
      <c r="P79" s="10">
        <v>3.87119899472845</v>
      </c>
      <c r="Q79" s="10">
        <v>3.8713670319631999</v>
      </c>
      <c r="R79" s="8">
        <v>269.96130951624099</v>
      </c>
      <c r="S79" s="8">
        <v>269.952081291382</v>
      </c>
      <c r="T79" s="8">
        <v>269.94596935427597</v>
      </c>
      <c r="U79" s="9">
        <v>2.6418206420750602E-4</v>
      </c>
      <c r="V79" s="9">
        <v>2.2999797091567299E-4</v>
      </c>
      <c r="W79" s="9">
        <v>2.0735689229298601E-4</v>
      </c>
      <c r="X79" s="10">
        <v>3.8705005019360299</v>
      </c>
      <c r="Y79" s="10">
        <v>3.8715231538253501</v>
      </c>
      <c r="Z79" s="10">
        <v>3.87119899472845</v>
      </c>
      <c r="AA79" s="10">
        <v>3.8713670319631999</v>
      </c>
      <c r="AB79" s="8">
        <v>269.96130951624099</v>
      </c>
      <c r="AC79" s="8">
        <v>269.952081291382</v>
      </c>
      <c r="AD79" s="8">
        <v>269.94596935427597</v>
      </c>
      <c r="AE79" s="9">
        <v>2.6418206420750602E-4</v>
      </c>
      <c r="AF79" s="9">
        <v>2.2999797091567299E-4</v>
      </c>
      <c r="AG79" s="9">
        <v>2.0735689229298601E-4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6.0377561285577977E-4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6.0377561285577977E-4</v>
      </c>
    </row>
    <row r="80" spans="1:77" x14ac:dyDescent="0.3">
      <c r="A80" s="1">
        <v>46139</v>
      </c>
      <c r="B80" s="8">
        <v>69.44</v>
      </c>
      <c r="C80" s="8">
        <v>268.77999999999997</v>
      </c>
      <c r="D80" s="9">
        <v>-4.1675708808246699E-3</v>
      </c>
      <c r="E80" s="9">
        <v>-4.1212674591040001E-3</v>
      </c>
      <c r="F80" s="8">
        <v>0</v>
      </c>
      <c r="G80" s="8">
        <v>0.22900000000000001</v>
      </c>
      <c r="H80" s="8">
        <v>0</v>
      </c>
      <c r="I80" s="8">
        <v>0.99399999999999999</v>
      </c>
      <c r="J80" s="8">
        <v>0</v>
      </c>
      <c r="K80" s="8">
        <v>0</v>
      </c>
      <c r="L80" s="8">
        <v>69.44</v>
      </c>
      <c r="M80" s="8">
        <v>268.77999999999997</v>
      </c>
      <c r="N80" s="10">
        <v>3.8706797235022998</v>
      </c>
      <c r="O80" s="10">
        <v>3.8715231538253501</v>
      </c>
      <c r="P80" s="10">
        <v>3.8708898258262199</v>
      </c>
      <c r="Q80" s="10">
        <v>3.87129237958586</v>
      </c>
      <c r="R80" s="8">
        <v>268.838567801632</v>
      </c>
      <c r="S80" s="8">
        <v>268.81605819394298</v>
      </c>
      <c r="T80" s="8">
        <v>268.82772669952499</v>
      </c>
      <c r="U80" s="9">
        <v>2.1787864248681499E-4</v>
      </c>
      <c r="V80" s="9">
        <v>1.34146050545201E-4</v>
      </c>
      <c r="W80" s="9">
        <v>1.7755213431789099E-4</v>
      </c>
      <c r="X80" s="10">
        <v>3.8706797235022998</v>
      </c>
      <c r="Y80" s="10">
        <v>3.8715231538253501</v>
      </c>
      <c r="Z80" s="10">
        <v>3.8708898258262199</v>
      </c>
      <c r="AA80" s="10">
        <v>3.87129237958586</v>
      </c>
      <c r="AB80" s="8">
        <v>268.838567801632</v>
      </c>
      <c r="AC80" s="8">
        <v>268.81605819394298</v>
      </c>
      <c r="AD80" s="8">
        <v>268.82772669952499</v>
      </c>
      <c r="AE80" s="9">
        <v>2.1787864248681499E-4</v>
      </c>
      <c r="AF80" s="9">
        <v>1.34146050545201E-4</v>
      </c>
      <c r="AG80" s="9">
        <v>1.7755213431789099E-4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6.0377561285577977E-4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6.0377561285577977E-4</v>
      </c>
    </row>
    <row r="81" spans="1:77" x14ac:dyDescent="0.3">
      <c r="A81" s="1">
        <v>46140</v>
      </c>
      <c r="B81" s="8">
        <v>69.44</v>
      </c>
      <c r="C81" s="8">
        <v>268.82</v>
      </c>
      <c r="D81" s="9">
        <v>0</v>
      </c>
      <c r="E81" s="9">
        <v>1.48809524084108E-4</v>
      </c>
      <c r="F81" s="8">
        <v>0</v>
      </c>
      <c r="G81" s="8">
        <v>0.22900000000000001</v>
      </c>
      <c r="H81" s="8">
        <v>0</v>
      </c>
      <c r="I81" s="8">
        <v>0.99399999999999999</v>
      </c>
      <c r="J81" s="8">
        <v>0</v>
      </c>
      <c r="K81" s="8">
        <v>0</v>
      </c>
      <c r="L81" s="8">
        <v>69.44</v>
      </c>
      <c r="M81" s="8">
        <v>268.82</v>
      </c>
      <c r="N81" s="10">
        <v>3.8712557603686601</v>
      </c>
      <c r="O81" s="10">
        <v>3.8715231538253501</v>
      </c>
      <c r="P81" s="10">
        <v>3.8709680481026401</v>
      </c>
      <c r="Q81" s="10">
        <v>3.87125144613315</v>
      </c>
      <c r="R81" s="8">
        <v>268.838567801632</v>
      </c>
      <c r="S81" s="8">
        <v>268.79458950537298</v>
      </c>
      <c r="T81" s="8">
        <v>268.82254283844202</v>
      </c>
      <c r="U81" s="9">
        <v>6.9069118402558902E-5</v>
      </c>
      <c r="V81" s="9">
        <v>-9.4530524810766694E-5</v>
      </c>
      <c r="W81" s="9">
        <v>9.4592158913722898E-6</v>
      </c>
      <c r="X81" s="10">
        <v>3.8712557603686601</v>
      </c>
      <c r="Y81" s="10">
        <v>3.8715231538253501</v>
      </c>
      <c r="Z81" s="10">
        <v>3.8709680481026401</v>
      </c>
      <c r="AA81" s="10">
        <v>3.87125144613315</v>
      </c>
      <c r="AB81" s="8">
        <v>268.838567801632</v>
      </c>
      <c r="AC81" s="8">
        <v>268.79458950537298</v>
      </c>
      <c r="AD81" s="8">
        <v>268.82254283844202</v>
      </c>
      <c r="AE81" s="9">
        <v>6.9069118402558902E-5</v>
      </c>
      <c r="AF81" s="9">
        <v>-9.4530524810766694E-5</v>
      </c>
      <c r="AG81" s="9">
        <v>9.4592158913722898E-6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6.0377561285577977E-4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6.0377561285577977E-4</v>
      </c>
    </row>
    <row r="82" spans="1:77" x14ac:dyDescent="0.3">
      <c r="A82" s="1">
        <v>46141</v>
      </c>
      <c r="B82" s="8">
        <v>68.94</v>
      </c>
      <c r="C82" s="8">
        <v>266.8</v>
      </c>
      <c r="D82" s="9">
        <v>-7.2265092633754299E-3</v>
      </c>
      <c r="E82" s="9">
        <v>-7.5426966015335502E-3</v>
      </c>
      <c r="F82" s="8">
        <v>0</v>
      </c>
      <c r="G82" s="8">
        <v>0.22900000000000001</v>
      </c>
      <c r="H82" s="8">
        <v>0</v>
      </c>
      <c r="I82" s="8">
        <v>0.99399999999999999</v>
      </c>
      <c r="J82" s="8">
        <v>0</v>
      </c>
      <c r="K82" s="8">
        <v>0</v>
      </c>
      <c r="L82" s="8">
        <v>68.94</v>
      </c>
      <c r="M82" s="8">
        <v>266.8</v>
      </c>
      <c r="N82" s="10">
        <v>3.8700319118073598</v>
      </c>
      <c r="O82" s="10">
        <v>3.8715231538253501</v>
      </c>
      <c r="P82" s="10">
        <v>3.8708965998771299</v>
      </c>
      <c r="Q82" s="10">
        <v>3.8712268905012301</v>
      </c>
      <c r="R82" s="8">
        <v>266.90280622471897</v>
      </c>
      <c r="S82" s="8">
        <v>266.86453723619599</v>
      </c>
      <c r="T82" s="8">
        <v>266.88407469641902</v>
      </c>
      <c r="U82" s="9">
        <v>3.8525645656076001E-4</v>
      </c>
      <c r="V82" s="9">
        <v>2.41864437330435E-4</v>
      </c>
      <c r="W82" s="9">
        <v>3.1507290961611199E-4</v>
      </c>
      <c r="X82" s="10">
        <v>3.8700319118073598</v>
      </c>
      <c r="Y82" s="10">
        <v>3.8715231538253501</v>
      </c>
      <c r="Z82" s="10">
        <v>3.8708965998771299</v>
      </c>
      <c r="AA82" s="10">
        <v>3.8712268905012301</v>
      </c>
      <c r="AB82" s="8">
        <v>266.90280622471897</v>
      </c>
      <c r="AC82" s="8">
        <v>266.86453723619599</v>
      </c>
      <c r="AD82" s="8">
        <v>266.88407469641902</v>
      </c>
      <c r="AE82" s="9">
        <v>3.8525645656076001E-4</v>
      </c>
      <c r="AF82" s="9">
        <v>2.41864437330435E-4</v>
      </c>
      <c r="AG82" s="9">
        <v>3.1507290961611199E-4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6.0377561285577977E-4</v>
      </c>
      <c r="BL82" s="9"/>
      <c r="BN82">
        <f t="shared" si="10"/>
        <v>0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6.0377561285577977E-4</v>
      </c>
    </row>
    <row r="83" spans="1:77" x14ac:dyDescent="0.3">
      <c r="A83" s="1">
        <v>46142</v>
      </c>
      <c r="B83" s="8">
        <v>70.400000000000006</v>
      </c>
      <c r="C83" s="8">
        <v>272.45999999999998</v>
      </c>
      <c r="D83" s="9">
        <v>2.09567020752774E-2</v>
      </c>
      <c r="E83" s="9">
        <v>2.0992500296446E-2</v>
      </c>
      <c r="F83" s="8">
        <v>0</v>
      </c>
      <c r="G83" s="8">
        <v>0.22900000000000001</v>
      </c>
      <c r="H83" s="8">
        <v>0</v>
      </c>
      <c r="I83" s="8">
        <v>0.99399999999999999</v>
      </c>
      <c r="J83" s="8">
        <v>0</v>
      </c>
      <c r="K83" s="8">
        <v>0</v>
      </c>
      <c r="L83" s="8">
        <v>70.400000000000006</v>
      </c>
      <c r="M83" s="8">
        <v>272.45999999999998</v>
      </c>
      <c r="N83" s="10">
        <v>3.8701704545454501</v>
      </c>
      <c r="O83" s="10">
        <v>3.8715231538253501</v>
      </c>
      <c r="P83" s="10">
        <v>3.8705531030353901</v>
      </c>
      <c r="Q83" s="10">
        <v>3.8711802023978801</v>
      </c>
      <c r="R83" s="8">
        <v>272.55523002930403</v>
      </c>
      <c r="S83" s="8">
        <v>272.51112063135002</v>
      </c>
      <c r="T83" s="8">
        <v>272.53437309128702</v>
      </c>
      <c r="U83" s="9">
        <v>3.4945823539204199E-4</v>
      </c>
      <c r="V83" s="9">
        <v>1.87608589024297E-4</v>
      </c>
      <c r="W83" s="9">
        <v>2.7293159497063002E-4</v>
      </c>
      <c r="X83" s="10">
        <v>3.8701704545454501</v>
      </c>
      <c r="Y83" s="10">
        <v>3.8715231538253501</v>
      </c>
      <c r="Z83" s="10">
        <v>3.8705531030353901</v>
      </c>
      <c r="AA83" s="10">
        <v>3.8711802023978801</v>
      </c>
      <c r="AB83" s="8">
        <v>272.55523002930403</v>
      </c>
      <c r="AC83" s="8">
        <v>272.51112063135002</v>
      </c>
      <c r="AD83" s="8">
        <v>272.53437309128702</v>
      </c>
      <c r="AE83" s="9">
        <v>3.4945823539204199E-4</v>
      </c>
      <c r="AF83" s="9">
        <v>1.87608589024297E-4</v>
      </c>
      <c r="AG83" s="9">
        <v>2.7293159497063002E-4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6.0377561285577977E-4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6.0377561285577977E-4</v>
      </c>
    </row>
    <row r="84" spans="1:77" x14ac:dyDescent="0.3">
      <c r="A84" s="1">
        <v>46143</v>
      </c>
      <c r="B84" s="8">
        <v>70.11</v>
      </c>
      <c r="C84" s="8">
        <v>271.31</v>
      </c>
      <c r="D84" s="9">
        <v>-4.1278259451205702E-3</v>
      </c>
      <c r="E84" s="9">
        <v>-4.22973578726851E-3</v>
      </c>
      <c r="F84" s="8">
        <v>0</v>
      </c>
      <c r="G84" s="8">
        <v>0.22900000000000001</v>
      </c>
      <c r="H84" s="8">
        <v>0</v>
      </c>
      <c r="I84" s="8">
        <v>0.99399999999999999</v>
      </c>
      <c r="J84" s="8">
        <v>0</v>
      </c>
      <c r="K84" s="8">
        <v>0</v>
      </c>
      <c r="L84" s="8">
        <v>70.11</v>
      </c>
      <c r="M84" s="8">
        <v>271.31</v>
      </c>
      <c r="N84" s="10">
        <v>3.8697760661817102</v>
      </c>
      <c r="O84" s="10">
        <v>3.8715231538253501</v>
      </c>
      <c r="P84" s="10">
        <v>3.8704720496591198</v>
      </c>
      <c r="Q84" s="10">
        <v>3.8711121585280601</v>
      </c>
      <c r="R84" s="8">
        <v>271.43248831469498</v>
      </c>
      <c r="S84" s="8">
        <v>271.36447805381101</v>
      </c>
      <c r="T84" s="8">
        <v>271.40844399011502</v>
      </c>
      <c r="U84" s="9">
        <v>4.51368077540241E-4</v>
      </c>
      <c r="V84" s="9">
        <v>2.0077617871392899E-4</v>
      </c>
      <c r="W84" s="9">
        <v>3.6278107842185702E-4</v>
      </c>
      <c r="X84" s="10">
        <v>3.8697760661817102</v>
      </c>
      <c r="Y84" s="10">
        <v>3.8715231538253501</v>
      </c>
      <c r="Z84" s="10">
        <v>3.8704720496591198</v>
      </c>
      <c r="AA84" s="10">
        <v>3.8711121585280601</v>
      </c>
      <c r="AB84" s="8">
        <v>271.43248831469498</v>
      </c>
      <c r="AC84" s="8">
        <v>271.36447805381101</v>
      </c>
      <c r="AD84" s="8">
        <v>271.40844399011502</v>
      </c>
      <c r="AE84" s="9">
        <v>4.51368077540241E-4</v>
      </c>
      <c r="AF84" s="9">
        <v>2.0077617871392899E-4</v>
      </c>
      <c r="AG84" s="9">
        <v>3.6278107842185702E-4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6.0377561285577977E-4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6.0377561285577977E-4</v>
      </c>
    </row>
    <row r="85" spans="1:77" x14ac:dyDescent="0.3">
      <c r="A85" s="1">
        <v>46146</v>
      </c>
      <c r="B85" s="8">
        <v>70.099999999999994</v>
      </c>
      <c r="C85" s="8">
        <v>271.33999999999997</v>
      </c>
      <c r="D85" s="9">
        <v>-1.4264317833195399E-4</v>
      </c>
      <c r="E85" s="9">
        <v>1.10568506516361E-4</v>
      </c>
      <c r="F85" s="8">
        <v>0</v>
      </c>
      <c r="G85" s="8">
        <v>0.22900000000000001</v>
      </c>
      <c r="H85" s="8">
        <v>0</v>
      </c>
      <c r="I85" s="8">
        <v>0.99399999999999999</v>
      </c>
      <c r="J85" s="8">
        <v>0</v>
      </c>
      <c r="K85" s="8">
        <v>0</v>
      </c>
      <c r="L85" s="8">
        <v>70.099999999999994</v>
      </c>
      <c r="M85" s="8">
        <v>271.33999999999997</v>
      </c>
      <c r="N85" s="10">
        <v>3.87075606276747</v>
      </c>
      <c r="O85" s="10">
        <v>3.8715231538253501</v>
      </c>
      <c r="P85" s="10">
        <v>3.8703839788058199</v>
      </c>
      <c r="Q85" s="10">
        <v>3.87117015506802</v>
      </c>
      <c r="R85" s="8">
        <v>271.39377308315699</v>
      </c>
      <c r="S85" s="8">
        <v>271.32009068110398</v>
      </c>
      <c r="T85" s="8">
        <v>271.364962312817</v>
      </c>
      <c r="U85" s="9">
        <v>1.9815639269207599E-4</v>
      </c>
      <c r="V85" s="9">
        <v>-7.3376757369981397E-5</v>
      </c>
      <c r="W85" s="9">
        <v>9.1992204118700101E-5</v>
      </c>
      <c r="X85" s="10">
        <v>3.87075606276747</v>
      </c>
      <c r="Y85" s="10">
        <v>3.8715231538253501</v>
      </c>
      <c r="Z85" s="10">
        <v>3.8703839788058199</v>
      </c>
      <c r="AA85" s="10">
        <v>3.87117015506802</v>
      </c>
      <c r="AB85" s="8">
        <v>271.39377308315699</v>
      </c>
      <c r="AC85" s="8">
        <v>271.32009068110398</v>
      </c>
      <c r="AD85" s="8">
        <v>271.364962312817</v>
      </c>
      <c r="AE85" s="9">
        <v>1.9815639269207599E-4</v>
      </c>
      <c r="AF85" s="9">
        <v>-7.3376757369981397E-5</v>
      </c>
      <c r="AG85" s="9">
        <v>9.1992204118700101E-5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6.0377561285577977E-4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6.0377561285577977E-4</v>
      </c>
    </row>
    <row r="86" spans="1:77" x14ac:dyDescent="0.3">
      <c r="A86" s="1">
        <v>46147</v>
      </c>
      <c r="B86" s="8">
        <v>70.33</v>
      </c>
      <c r="C86" s="8">
        <v>272.17</v>
      </c>
      <c r="D86" s="9">
        <v>3.2756562793825501E-3</v>
      </c>
      <c r="E86" s="9">
        <v>3.054224007677E-3</v>
      </c>
      <c r="F86" s="8">
        <v>0</v>
      </c>
      <c r="G86" s="8">
        <v>0.22900000000000001</v>
      </c>
      <c r="H86" s="8">
        <v>0</v>
      </c>
      <c r="I86" s="8">
        <v>0.99399999999999999</v>
      </c>
      <c r="J86" s="8">
        <v>0</v>
      </c>
      <c r="K86" s="8">
        <v>0</v>
      </c>
      <c r="L86" s="8">
        <v>70.33</v>
      </c>
      <c r="M86" s="8">
        <v>272.17</v>
      </c>
      <c r="N86" s="10">
        <v>3.86989904734821</v>
      </c>
      <c r="O86" s="10">
        <v>3.8715231538253501</v>
      </c>
      <c r="P86" s="10">
        <v>3.87027573880194</v>
      </c>
      <c r="Q86" s="10">
        <v>3.8710659022126102</v>
      </c>
      <c r="R86" s="8">
        <v>272.284223408537</v>
      </c>
      <c r="S86" s="8">
        <v>272.20410522941398</v>
      </c>
      <c r="T86" s="8">
        <v>272.25939700593398</v>
      </c>
      <c r="U86" s="9">
        <v>4.1958866439739602E-4</v>
      </c>
      <c r="V86" s="9">
        <v>1.25300704537428E-4</v>
      </c>
      <c r="W86" s="9">
        <v>3.2840624415012698E-4</v>
      </c>
      <c r="X86" s="10">
        <v>3.86989904734821</v>
      </c>
      <c r="Y86" s="10">
        <v>3.8715231538253501</v>
      </c>
      <c r="Z86" s="10">
        <v>3.87027573880194</v>
      </c>
      <c r="AA86" s="10">
        <v>3.8710659022126102</v>
      </c>
      <c r="AB86" s="8">
        <v>272.284223408537</v>
      </c>
      <c r="AC86" s="8">
        <v>272.20410522941398</v>
      </c>
      <c r="AD86" s="8">
        <v>272.25939700593398</v>
      </c>
      <c r="AE86" s="9">
        <v>4.1958866439739602E-4</v>
      </c>
      <c r="AF86" s="9">
        <v>1.25300704537428E-4</v>
      </c>
      <c r="AG86" s="9">
        <v>3.2840624415012698E-4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6.0377561285577977E-4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6.0377561285577977E-4</v>
      </c>
    </row>
    <row r="87" spans="1:77" x14ac:dyDescent="0.3">
      <c r="A87" s="1">
        <v>46148</v>
      </c>
      <c r="B87" s="8">
        <v>70.569999999999993</v>
      </c>
      <c r="C87" s="8">
        <v>273.10000000000002</v>
      </c>
      <c r="D87" s="9">
        <v>3.4066746928118402E-3</v>
      </c>
      <c r="E87" s="9">
        <v>3.4111574148200101E-3</v>
      </c>
      <c r="F87" s="8">
        <v>0</v>
      </c>
      <c r="G87" s="8">
        <v>0.22900000000000001</v>
      </c>
      <c r="H87" s="8">
        <v>0</v>
      </c>
      <c r="I87" s="8">
        <v>0.99399999999999999</v>
      </c>
      <c r="J87" s="8">
        <v>0</v>
      </c>
      <c r="K87" s="8">
        <v>0</v>
      </c>
      <c r="L87" s="8">
        <v>70.569999999999993</v>
      </c>
      <c r="M87" s="8">
        <v>273.10000000000002</v>
      </c>
      <c r="N87" s="10">
        <v>3.8699163950687199</v>
      </c>
      <c r="O87" s="10">
        <v>3.8715231538253501</v>
      </c>
      <c r="P87" s="10">
        <v>3.8702175265929499</v>
      </c>
      <c r="Q87" s="10">
        <v>3.87096394882757</v>
      </c>
      <c r="R87" s="8">
        <v>273.21338896545501</v>
      </c>
      <c r="S87" s="8">
        <v>273.12535888725301</v>
      </c>
      <c r="T87" s="8">
        <v>273.18112071914402</v>
      </c>
      <c r="U87" s="9">
        <v>4.1510594238948403E-4</v>
      </c>
      <c r="V87" s="9">
        <v>9.2851373005175503E-5</v>
      </c>
      <c r="W87" s="9">
        <v>2.9699258006122398E-4</v>
      </c>
      <c r="X87" s="10">
        <v>3.8699163950687199</v>
      </c>
      <c r="Y87" s="10">
        <v>3.8715231538253501</v>
      </c>
      <c r="Z87" s="10">
        <v>3.8702175265929499</v>
      </c>
      <c r="AA87" s="10">
        <v>3.87096394882757</v>
      </c>
      <c r="AB87" s="8">
        <v>273.21338896545501</v>
      </c>
      <c r="AC87" s="8">
        <v>273.12535888725301</v>
      </c>
      <c r="AD87" s="8">
        <v>273.18112071914402</v>
      </c>
      <c r="AE87" s="9">
        <v>4.1510594238948403E-4</v>
      </c>
      <c r="AF87" s="9">
        <v>9.2851373005175503E-5</v>
      </c>
      <c r="AG87" s="9">
        <v>2.9699258006122398E-4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6.0377561285577977E-4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6.0377561285577977E-4</v>
      </c>
    </row>
    <row r="88" spans="1:77" x14ac:dyDescent="0.3">
      <c r="A88" s="1">
        <v>46149</v>
      </c>
      <c r="B88" s="8">
        <v>70.02</v>
      </c>
      <c r="C88" s="8">
        <v>271.08999999999997</v>
      </c>
      <c r="D88" s="9">
        <v>-7.8242094862191799E-3</v>
      </c>
      <c r="E88" s="9">
        <v>-7.38715941302688E-3</v>
      </c>
      <c r="F88" s="8">
        <v>0</v>
      </c>
      <c r="G88" s="8">
        <v>0.22900000000000001</v>
      </c>
      <c r="H88" s="8">
        <v>0</v>
      </c>
      <c r="I88" s="8">
        <v>0.99399999999999999</v>
      </c>
      <c r="J88" s="8">
        <v>0</v>
      </c>
      <c r="K88" s="8">
        <v>0</v>
      </c>
      <c r="L88" s="8">
        <v>70.02</v>
      </c>
      <c r="M88" s="8">
        <v>271.08999999999997</v>
      </c>
      <c r="N88" s="10">
        <v>3.8716081119679999</v>
      </c>
      <c r="O88" s="10">
        <v>3.8715231538253501</v>
      </c>
      <c r="P88" s="10">
        <v>3.8704594035493902</v>
      </c>
      <c r="Q88" s="10">
        <v>3.8709251075640401</v>
      </c>
      <c r="R88" s="8">
        <v>271.084051230851</v>
      </c>
      <c r="S88" s="8">
        <v>270.99263121203899</v>
      </c>
      <c r="T88" s="8">
        <v>271.044895696906</v>
      </c>
      <c r="U88" s="9">
        <v>-2.19441308029715E-5</v>
      </c>
      <c r="V88" s="9">
        <v>-3.5923965610347398E-4</v>
      </c>
      <c r="W88" s="9">
        <v>-1.66395129904346E-4</v>
      </c>
      <c r="X88" s="10">
        <v>3.8716081119679999</v>
      </c>
      <c r="Y88" s="10">
        <v>3.8715231538253501</v>
      </c>
      <c r="Z88" s="10">
        <v>3.8704594035493902</v>
      </c>
      <c r="AA88" s="10">
        <v>3.8709251075640401</v>
      </c>
      <c r="AB88" s="8">
        <v>271.084051230851</v>
      </c>
      <c r="AC88" s="8">
        <v>270.99263121203899</v>
      </c>
      <c r="AD88" s="8">
        <v>271.044895696906</v>
      </c>
      <c r="AE88" s="9">
        <v>-2.19441308029715E-5</v>
      </c>
      <c r="AF88" s="9">
        <v>-3.5923965610347398E-4</v>
      </c>
      <c r="AG88" s="9">
        <v>-1.66395129904346E-4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6.0377561285577977E-4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6.0377561285577977E-4</v>
      </c>
    </row>
    <row r="89" spans="1:77" x14ac:dyDescent="0.3">
      <c r="A89" s="1">
        <v>46150</v>
      </c>
      <c r="B89" s="8">
        <v>69.48</v>
      </c>
      <c r="C89" s="8">
        <v>268.98</v>
      </c>
      <c r="D89" s="9">
        <v>-7.7419741536152798E-3</v>
      </c>
      <c r="E89" s="9">
        <v>-7.8138416712293293E-3</v>
      </c>
      <c r="F89" s="8">
        <v>0</v>
      </c>
      <c r="G89" s="8">
        <v>0.22900000000000001</v>
      </c>
      <c r="H89" s="8">
        <v>0</v>
      </c>
      <c r="I89" s="8">
        <v>0.99399999999999999</v>
      </c>
      <c r="J89" s="8">
        <v>0</v>
      </c>
      <c r="K89" s="8">
        <v>0</v>
      </c>
      <c r="L89" s="8">
        <v>69.48</v>
      </c>
      <c r="M89" s="8">
        <v>268.98</v>
      </c>
      <c r="N89" s="10">
        <v>3.8713298791019</v>
      </c>
      <c r="O89" s="10">
        <v>3.8715231538253501</v>
      </c>
      <c r="P89" s="10">
        <v>3.8705423412659798</v>
      </c>
      <c r="Q89" s="10">
        <v>3.87087066799721</v>
      </c>
      <c r="R89" s="8">
        <v>268.99342872778499</v>
      </c>
      <c r="S89" s="8">
        <v>268.91951935861198</v>
      </c>
      <c r="T89" s="8">
        <v>268.95187647354902</v>
      </c>
      <c r="U89" s="9">
        <v>4.9923386811114697E-5</v>
      </c>
      <c r="V89" s="9">
        <v>-2.2487709866305999E-4</v>
      </c>
      <c r="W89" s="9">
        <v>-1.04561665540701E-4</v>
      </c>
      <c r="X89" s="10">
        <v>3.8713298791019</v>
      </c>
      <c r="Y89" s="10">
        <v>3.8715231538253501</v>
      </c>
      <c r="Z89" s="10">
        <v>3.8705423412659798</v>
      </c>
      <c r="AA89" s="10">
        <v>3.87087066799721</v>
      </c>
      <c r="AB89" s="8">
        <v>268.99342872778499</v>
      </c>
      <c r="AC89" s="8">
        <v>268.91951935861198</v>
      </c>
      <c r="AD89" s="8">
        <v>268.95187647354902</v>
      </c>
      <c r="AE89" s="9">
        <v>4.9923386811114697E-5</v>
      </c>
      <c r="AF89" s="9">
        <v>-2.2487709866305999E-4</v>
      </c>
      <c r="AG89" s="9">
        <v>-1.04561665540701E-4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6.0377561285577977E-4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6.0377561285577977E-4</v>
      </c>
    </row>
    <row r="90" spans="1:77" x14ac:dyDescent="0.3">
      <c r="A90" s="1">
        <v>46153</v>
      </c>
      <c r="B90" s="8">
        <v>69.25</v>
      </c>
      <c r="C90" s="8">
        <v>267.95</v>
      </c>
      <c r="D90" s="9">
        <v>-3.3157963054564E-3</v>
      </c>
      <c r="E90" s="9">
        <v>-3.8366314545439199E-3</v>
      </c>
      <c r="F90" s="8">
        <v>0</v>
      </c>
      <c r="G90" s="8">
        <v>0.22900000000000001</v>
      </c>
      <c r="H90" s="8">
        <v>0</v>
      </c>
      <c r="I90" s="8">
        <v>0.99399999999999999</v>
      </c>
      <c r="J90" s="8">
        <v>0</v>
      </c>
      <c r="K90" s="8">
        <v>0</v>
      </c>
      <c r="L90" s="8">
        <v>69.25</v>
      </c>
      <c r="M90" s="8">
        <v>267.95</v>
      </c>
      <c r="N90" s="10">
        <v>3.8693140794223799</v>
      </c>
      <c r="O90" s="10">
        <v>3.8715231538253501</v>
      </c>
      <c r="P90" s="10">
        <v>3.8704057768579898</v>
      </c>
      <c r="Q90" s="10">
        <v>3.8706478013421002</v>
      </c>
      <c r="R90" s="8">
        <v>268.10297840240497</v>
      </c>
      <c r="S90" s="8">
        <v>268.03505713266901</v>
      </c>
      <c r="T90" s="8">
        <v>268.05779375880701</v>
      </c>
      <c r="U90" s="9">
        <v>5.7075853589860803E-4</v>
      </c>
      <c r="V90" s="9">
        <v>3.1738621161687698E-4</v>
      </c>
      <c r="W90" s="9">
        <v>4.0220967499196201E-4</v>
      </c>
      <c r="X90" s="10">
        <v>3.8693140794223799</v>
      </c>
      <c r="Y90" s="10">
        <v>3.8715231538253501</v>
      </c>
      <c r="Z90" s="10">
        <v>3.8704057768579898</v>
      </c>
      <c r="AA90" s="10">
        <v>3.8706478013421002</v>
      </c>
      <c r="AB90" s="8">
        <v>268.10297840240497</v>
      </c>
      <c r="AC90" s="8">
        <v>268.03505713266901</v>
      </c>
      <c r="AD90" s="8">
        <v>268.05779375880701</v>
      </c>
      <c r="AE90" s="9">
        <v>5.7075853589860803E-4</v>
      </c>
      <c r="AF90" s="9">
        <v>3.1738621161687698E-4</v>
      </c>
      <c r="AG90" s="9">
        <v>4.0220967499196201E-4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6.0377561285577977E-4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6.0377561285577977E-4</v>
      </c>
    </row>
    <row r="91" spans="1:77" x14ac:dyDescent="0.3">
      <c r="A91" s="1">
        <v>46154</v>
      </c>
      <c r="B91" s="8">
        <v>70.52</v>
      </c>
      <c r="C91" s="8">
        <v>272.93</v>
      </c>
      <c r="D91" s="9">
        <v>1.8173212462221498E-2</v>
      </c>
      <c r="E91" s="9">
        <v>1.8414956108960101E-2</v>
      </c>
      <c r="F91" s="8">
        <v>0</v>
      </c>
      <c r="G91" s="8">
        <v>0.22900000000000001</v>
      </c>
      <c r="H91" s="8">
        <v>0</v>
      </c>
      <c r="I91" s="8">
        <v>0.99399999999999999</v>
      </c>
      <c r="J91" s="8">
        <v>0</v>
      </c>
      <c r="K91" s="8">
        <v>0</v>
      </c>
      <c r="L91" s="8">
        <v>70.52</v>
      </c>
      <c r="M91" s="8">
        <v>272.93</v>
      </c>
      <c r="N91" s="10">
        <v>3.87024957458876</v>
      </c>
      <c r="O91" s="10">
        <v>3.8715231538253501</v>
      </c>
      <c r="P91" s="10">
        <v>3.8703051582799999</v>
      </c>
      <c r="Q91" s="10">
        <v>3.8706366031913202</v>
      </c>
      <c r="R91" s="8">
        <v>273.019812807763</v>
      </c>
      <c r="S91" s="8">
        <v>272.94101538402498</v>
      </c>
      <c r="T91" s="8">
        <v>272.95808295064501</v>
      </c>
      <c r="U91" s="9">
        <v>3.2901488916018898E-4</v>
      </c>
      <c r="V91" s="9">
        <v>4.03589262539702E-5</v>
      </c>
      <c r="W91" s="9">
        <v>1.02889040985792E-4</v>
      </c>
      <c r="X91" s="10">
        <v>3.87024957458876</v>
      </c>
      <c r="Y91" s="10">
        <v>3.8715231538253501</v>
      </c>
      <c r="Z91" s="10">
        <v>3.8703051582799999</v>
      </c>
      <c r="AA91" s="10">
        <v>3.8706366031913202</v>
      </c>
      <c r="AB91" s="8">
        <v>273.019812807763</v>
      </c>
      <c r="AC91" s="8">
        <v>272.94101538402498</v>
      </c>
      <c r="AD91" s="8">
        <v>272.95808295064501</v>
      </c>
      <c r="AE91" s="9">
        <v>3.2901488916018898E-4</v>
      </c>
      <c r="AF91" s="9">
        <v>4.03589262539702E-5</v>
      </c>
      <c r="AG91" s="9">
        <v>1.02889040985792E-4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6.0377561285577977E-4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6.0377561285577977E-4</v>
      </c>
    </row>
    <row r="92" spans="1:77" x14ac:dyDescent="0.3">
      <c r="A92" s="1">
        <v>46155</v>
      </c>
      <c r="B92" s="8">
        <v>70.94</v>
      </c>
      <c r="C92" s="8">
        <v>274.41000000000003</v>
      </c>
      <c r="D92" s="9">
        <v>5.9380918158064098E-3</v>
      </c>
      <c r="E92" s="9">
        <v>5.4079862865636904E-3</v>
      </c>
      <c r="F92" s="8">
        <v>0</v>
      </c>
      <c r="G92" s="8">
        <v>0.22900000000000001</v>
      </c>
      <c r="H92" s="8">
        <v>0</v>
      </c>
      <c r="I92" s="8">
        <v>0.99399999999999999</v>
      </c>
      <c r="J92" s="8">
        <v>0</v>
      </c>
      <c r="K92" s="8">
        <v>0</v>
      </c>
      <c r="L92" s="8">
        <v>70.94</v>
      </c>
      <c r="M92" s="8">
        <v>274.41000000000003</v>
      </c>
      <c r="N92" s="10">
        <v>3.8681984775866902</v>
      </c>
      <c r="O92" s="10">
        <v>3.8715231538253501</v>
      </c>
      <c r="P92" s="10">
        <v>3.8701218148579302</v>
      </c>
      <c r="Q92" s="10">
        <v>3.87050920736753</v>
      </c>
      <c r="R92" s="8">
        <v>274.64585253236999</v>
      </c>
      <c r="S92" s="8">
        <v>274.55944792838301</v>
      </c>
      <c r="T92" s="8">
        <v>274.58296063039199</v>
      </c>
      <c r="U92" s="9">
        <v>8.5912041840294597E-4</v>
      </c>
      <c r="V92" s="9">
        <v>5.4446721084082503E-4</v>
      </c>
      <c r="W92" s="9">
        <v>6.3010147130614297E-4</v>
      </c>
      <c r="X92" s="10">
        <v>3.8681984775866902</v>
      </c>
      <c r="Y92" s="10">
        <v>3.8715231538253501</v>
      </c>
      <c r="Z92" s="10">
        <v>3.8701218148579302</v>
      </c>
      <c r="AA92" s="10">
        <v>3.87050920736753</v>
      </c>
      <c r="AB92" s="8">
        <v>274.64585253236999</v>
      </c>
      <c r="AC92" s="8">
        <v>274.55944792838301</v>
      </c>
      <c r="AD92" s="8">
        <v>274.58296063039199</v>
      </c>
      <c r="AE92" s="9">
        <v>8.5912041840294597E-4</v>
      </c>
      <c r="AF92" s="9">
        <v>5.4446721084082503E-4</v>
      </c>
      <c r="AG92" s="9">
        <v>6.3010147130614297E-4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6.0377561285577977E-4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6.0377561285577977E-4</v>
      </c>
    </row>
    <row r="93" spans="1:77" x14ac:dyDescent="0.3">
      <c r="A93" s="1">
        <v>46156</v>
      </c>
      <c r="B93" s="8">
        <v>70.88</v>
      </c>
      <c r="C93" s="8">
        <v>274.10000000000002</v>
      </c>
      <c r="D93" s="9">
        <v>-8.4614304865024805E-4</v>
      </c>
      <c r="E93" s="9">
        <v>-1.1303350276426799E-3</v>
      </c>
      <c r="F93" s="8">
        <v>0</v>
      </c>
      <c r="G93" s="8">
        <v>0.22900000000000001</v>
      </c>
      <c r="H93" s="8">
        <v>0</v>
      </c>
      <c r="I93" s="8">
        <v>0.99399999999999999</v>
      </c>
      <c r="J93" s="8">
        <v>0</v>
      </c>
      <c r="K93" s="8">
        <v>0</v>
      </c>
      <c r="L93" s="8">
        <v>70.88</v>
      </c>
      <c r="M93" s="8">
        <v>274.10000000000002</v>
      </c>
      <c r="N93" s="10">
        <v>3.8670993227990902</v>
      </c>
      <c r="O93" s="10">
        <v>3.8715231538253501</v>
      </c>
      <c r="P93" s="10">
        <v>3.86981470168329</v>
      </c>
      <c r="Q93" s="10">
        <v>3.8701839023593401</v>
      </c>
      <c r="R93" s="8">
        <v>274.41356114313999</v>
      </c>
      <c r="S93" s="8">
        <v>274.31423423712999</v>
      </c>
      <c r="T93" s="8">
        <v>274.34169261821</v>
      </c>
      <c r="U93" s="9">
        <v>1.1433123973951501E-3</v>
      </c>
      <c r="V93" s="9">
        <v>7.8128624187099097E-4</v>
      </c>
      <c r="W93" s="9">
        <v>8.81379505278414E-4</v>
      </c>
      <c r="X93" s="10">
        <v>3.8670993227990902</v>
      </c>
      <c r="Y93" s="10">
        <v>3.8715231538253501</v>
      </c>
      <c r="Z93" s="10">
        <v>3.86981470168329</v>
      </c>
      <c r="AA93" s="10">
        <v>3.8701839023593401</v>
      </c>
      <c r="AB93" s="8">
        <v>274.41356114313999</v>
      </c>
      <c r="AC93" s="8">
        <v>274.31423423712999</v>
      </c>
      <c r="AD93" s="8">
        <v>274.34169261821</v>
      </c>
      <c r="AE93" s="9">
        <v>1.1433123973951501E-3</v>
      </c>
      <c r="AF93" s="9">
        <v>7.8128624187099097E-4</v>
      </c>
      <c r="AG93" s="9">
        <v>8.81379505278414E-4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6.0377561285577977E-4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6.0377561285577977E-4</v>
      </c>
    </row>
    <row r="94" spans="1:77" x14ac:dyDescent="0.3">
      <c r="A94" s="1">
        <v>46157</v>
      </c>
      <c r="B94" s="8">
        <v>69.959999999999994</v>
      </c>
      <c r="C94" s="8">
        <v>270.62</v>
      </c>
      <c r="D94" s="9">
        <v>-1.3064656146424099E-2</v>
      </c>
      <c r="E94" s="9">
        <v>-1.2777380473242001E-2</v>
      </c>
      <c r="F94" s="8">
        <v>0</v>
      </c>
      <c r="G94" s="8">
        <v>0.22900000000000001</v>
      </c>
      <c r="H94" s="8">
        <v>0</v>
      </c>
      <c r="I94" s="8">
        <v>0.99399999999999999</v>
      </c>
      <c r="J94" s="8">
        <v>0</v>
      </c>
      <c r="K94" s="8">
        <v>0</v>
      </c>
      <c r="L94" s="8">
        <v>69.959999999999994</v>
      </c>
      <c r="M94" s="8">
        <v>270.62</v>
      </c>
      <c r="N94" s="10">
        <v>3.8682104059462499</v>
      </c>
      <c r="O94" s="10">
        <v>3.8715231538253501</v>
      </c>
      <c r="P94" s="10">
        <v>3.8696581356597499</v>
      </c>
      <c r="Q94" s="10">
        <v>3.8700650926594302</v>
      </c>
      <c r="R94" s="8">
        <v>270.851759841621</v>
      </c>
      <c r="S94" s="8">
        <v>270.73223652976299</v>
      </c>
      <c r="T94" s="8">
        <v>270.75806580905902</v>
      </c>
      <c r="U94" s="9">
        <v>8.5603672421312004E-4</v>
      </c>
      <c r="V94" s="9">
        <v>4.1465250828603902E-4</v>
      </c>
      <c r="W94" s="9">
        <v>5.1005321705001002E-4</v>
      </c>
      <c r="X94" s="10">
        <v>3.8682104059462499</v>
      </c>
      <c r="Y94" s="10">
        <v>3.8715231538253501</v>
      </c>
      <c r="Z94" s="10">
        <v>3.8696581356597499</v>
      </c>
      <c r="AA94" s="10">
        <v>3.8700650926594302</v>
      </c>
      <c r="AB94" s="8">
        <v>270.851759841621</v>
      </c>
      <c r="AC94" s="8">
        <v>270.73223652976299</v>
      </c>
      <c r="AD94" s="8">
        <v>270.75806580905902</v>
      </c>
      <c r="AE94" s="9">
        <v>8.5603672421312004E-4</v>
      </c>
      <c r="AF94" s="9">
        <v>4.1465250828603902E-4</v>
      </c>
      <c r="AG94" s="9">
        <v>5.1005321705001002E-4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6.0377561285577977E-4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6.0377561285577977E-4</v>
      </c>
    </row>
    <row r="95" spans="1:77" x14ac:dyDescent="0.3">
      <c r="A95" s="1">
        <v>46160</v>
      </c>
      <c r="B95" s="8">
        <v>70.17</v>
      </c>
      <c r="C95" s="8">
        <v>271.42</v>
      </c>
      <c r="D95" s="9">
        <v>2.9972191137961602E-3</v>
      </c>
      <c r="E95" s="9">
        <v>2.9518138177265199E-3</v>
      </c>
      <c r="F95" s="8">
        <v>0</v>
      </c>
      <c r="G95" s="8">
        <v>0.22900000000000001</v>
      </c>
      <c r="H95" s="8">
        <v>0</v>
      </c>
      <c r="I95" s="8">
        <v>0.99399999999999999</v>
      </c>
      <c r="J95" s="8">
        <v>0</v>
      </c>
      <c r="K95" s="8">
        <v>0</v>
      </c>
      <c r="L95" s="8">
        <v>70.17</v>
      </c>
      <c r="M95" s="8">
        <v>271.42</v>
      </c>
      <c r="N95" s="10">
        <v>3.8680347726948798</v>
      </c>
      <c r="O95" s="10">
        <v>3.8715231538253501</v>
      </c>
      <c r="P95" s="10">
        <v>3.8693860066524901</v>
      </c>
      <c r="Q95" s="10">
        <v>3.8698849927291601</v>
      </c>
      <c r="R95" s="8">
        <v>271.66477970392401</v>
      </c>
      <c r="S95" s="8">
        <v>271.53391137924399</v>
      </c>
      <c r="T95" s="8">
        <v>271.56246755191199</v>
      </c>
      <c r="U95" s="9">
        <v>9.0144202028263399E-4</v>
      </c>
      <c r="V95" s="9">
        <v>4.1959871189344098E-4</v>
      </c>
      <c r="W95" s="9">
        <v>5.2475931985219103E-4</v>
      </c>
      <c r="X95" s="10">
        <v>3.8680347726948798</v>
      </c>
      <c r="Y95" s="10">
        <v>3.8715231538253501</v>
      </c>
      <c r="Z95" s="10">
        <v>3.8693860066524901</v>
      </c>
      <c r="AA95" s="10">
        <v>3.8698849927291601</v>
      </c>
      <c r="AB95" s="8">
        <v>271.66477970392401</v>
      </c>
      <c r="AC95" s="8">
        <v>271.53391137924399</v>
      </c>
      <c r="AD95" s="8">
        <v>271.56246755191199</v>
      </c>
      <c r="AE95" s="9">
        <v>9.0144202028263399E-4</v>
      </c>
      <c r="AF95" s="9">
        <v>4.1959871189344098E-4</v>
      </c>
      <c r="AG95" s="9">
        <v>5.2475931985219103E-4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6.0377561285577977E-4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6.0377561285577977E-4</v>
      </c>
    </row>
    <row r="96" spans="1:77" x14ac:dyDescent="0.3">
      <c r="A96" s="1">
        <v>46161</v>
      </c>
      <c r="B96" s="8">
        <v>70.83</v>
      </c>
      <c r="C96" s="8">
        <v>274.04000000000002</v>
      </c>
      <c r="D96" s="9">
        <v>9.3617705013337802E-3</v>
      </c>
      <c r="E96" s="9">
        <v>9.6066444814737698E-3</v>
      </c>
      <c r="F96" s="8">
        <v>0</v>
      </c>
      <c r="G96" s="8">
        <v>0.22900000000000001</v>
      </c>
      <c r="H96" s="8">
        <v>0</v>
      </c>
      <c r="I96" s="8">
        <v>0.99399999999999999</v>
      </c>
      <c r="J96" s="8">
        <v>0</v>
      </c>
      <c r="K96" s="8">
        <v>0</v>
      </c>
      <c r="L96" s="8">
        <v>70.83</v>
      </c>
      <c r="M96" s="8">
        <v>274.04000000000002</v>
      </c>
      <c r="N96" s="10">
        <v>3.8689820697444501</v>
      </c>
      <c r="O96" s="10">
        <v>3.8715231538253501</v>
      </c>
      <c r="P96" s="10">
        <v>3.8692943088921101</v>
      </c>
      <c r="Q96" s="10">
        <v>3.8697850238470299</v>
      </c>
      <c r="R96" s="8">
        <v>274.219984985449</v>
      </c>
      <c r="S96" s="8">
        <v>274.06861085119601</v>
      </c>
      <c r="T96" s="8">
        <v>274.10395403500598</v>
      </c>
      <c r="U96" s="9">
        <v>6.5656804014301701E-4</v>
      </c>
      <c r="V96" s="9">
        <v>1.04398473789996E-4</v>
      </c>
      <c r="W96" s="9">
        <v>2.33347589902035E-4</v>
      </c>
      <c r="X96" s="10">
        <v>3.8689820697444501</v>
      </c>
      <c r="Y96" s="10">
        <v>3.8715231538253501</v>
      </c>
      <c r="Z96" s="10">
        <v>3.8692943088921101</v>
      </c>
      <c r="AA96" s="10">
        <v>3.8697850238470299</v>
      </c>
      <c r="AB96" s="8">
        <v>274.219984985449</v>
      </c>
      <c r="AC96" s="8">
        <v>274.06861085119601</v>
      </c>
      <c r="AD96" s="8">
        <v>274.10395403500598</v>
      </c>
      <c r="AE96" s="9">
        <v>6.5656804014301701E-4</v>
      </c>
      <c r="AF96" s="9">
        <v>1.04398473789996E-4</v>
      </c>
      <c r="AG96" s="9">
        <v>2.33347589902035E-4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6.0377561285577977E-4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6.0377561285577977E-4</v>
      </c>
    </row>
    <row r="97" spans="1:77" x14ac:dyDescent="0.3">
      <c r="A97" s="1">
        <v>46162</v>
      </c>
      <c r="B97" s="8">
        <v>71.010000000000005</v>
      </c>
      <c r="C97" s="8">
        <v>274.77</v>
      </c>
      <c r="D97" s="9">
        <v>2.5380724284710899E-3</v>
      </c>
      <c r="E97" s="9">
        <v>2.6603029483074298E-3</v>
      </c>
      <c r="F97" s="8">
        <v>0</v>
      </c>
      <c r="G97" s="8">
        <v>0.22900000000000001</v>
      </c>
      <c r="H97" s="8">
        <v>0</v>
      </c>
      <c r="I97" s="8">
        <v>0.99399999999999999</v>
      </c>
      <c r="J97" s="8">
        <v>0</v>
      </c>
      <c r="K97" s="8">
        <v>0</v>
      </c>
      <c r="L97" s="8">
        <v>71.010000000000005</v>
      </c>
      <c r="M97" s="8">
        <v>274.77</v>
      </c>
      <c r="N97" s="10">
        <v>3.8694550063371298</v>
      </c>
      <c r="O97" s="10">
        <v>3.8715231538253501</v>
      </c>
      <c r="P97" s="10">
        <v>3.8692481700189498</v>
      </c>
      <c r="Q97" s="10">
        <v>3.8697328483059499</v>
      </c>
      <c r="R97" s="8">
        <v>274.91685915313798</v>
      </c>
      <c r="S97" s="8">
        <v>274.75858887442899</v>
      </c>
      <c r="T97" s="8">
        <v>274.79343454337697</v>
      </c>
      <c r="U97" s="9">
        <v>5.3433752030667802E-4</v>
      </c>
      <c r="V97" s="9">
        <v>-4.1530598419469601E-5</v>
      </c>
      <c r="W97" s="9">
        <v>8.5284216230256294E-5</v>
      </c>
      <c r="X97" s="10">
        <v>3.8694550063371298</v>
      </c>
      <c r="Y97" s="10">
        <v>3.8715231538253501</v>
      </c>
      <c r="Z97" s="10">
        <v>3.8692481700189498</v>
      </c>
      <c r="AA97" s="10">
        <v>3.8697328483059499</v>
      </c>
      <c r="AB97" s="8">
        <v>274.91685915313798</v>
      </c>
      <c r="AC97" s="8">
        <v>274.75858887442899</v>
      </c>
      <c r="AD97" s="8">
        <v>274.79343454337697</v>
      </c>
      <c r="AE97" s="9">
        <v>5.3433752030667802E-4</v>
      </c>
      <c r="AF97" s="9">
        <v>-4.1530598419469601E-5</v>
      </c>
      <c r="AG97" s="9">
        <v>8.5284216230256294E-5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6.0377561285577977E-4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6.0377561285577977E-4</v>
      </c>
    </row>
    <row r="98" spans="1:77" x14ac:dyDescent="0.3">
      <c r="A98" s="1">
        <v>46163</v>
      </c>
      <c r="B98" s="8">
        <v>71.47</v>
      </c>
      <c r="C98" s="8">
        <v>276.54000000000002</v>
      </c>
      <c r="D98" s="9">
        <v>6.4570690378850798E-3</v>
      </c>
      <c r="E98" s="9">
        <v>6.4210918774662701E-3</v>
      </c>
      <c r="F98" s="8">
        <v>0</v>
      </c>
      <c r="G98" s="8">
        <v>0.22900000000000001</v>
      </c>
      <c r="H98" s="8">
        <v>0</v>
      </c>
      <c r="I98" s="8">
        <v>0.99399999999999999</v>
      </c>
      <c r="J98" s="8">
        <v>0</v>
      </c>
      <c r="K98" s="8">
        <v>0</v>
      </c>
      <c r="L98" s="8">
        <v>71.47</v>
      </c>
      <c r="M98" s="8">
        <v>276.54000000000002</v>
      </c>
      <c r="N98" s="10">
        <v>3.8693157968378298</v>
      </c>
      <c r="O98" s="10">
        <v>3.8715231538253501</v>
      </c>
      <c r="P98" s="10">
        <v>3.8690189385059401</v>
      </c>
      <c r="Q98" s="10">
        <v>3.8697391710276601</v>
      </c>
      <c r="R98" s="8">
        <v>276.69775980389699</v>
      </c>
      <c r="S98" s="8">
        <v>276.53516671125499</v>
      </c>
      <c r="T98" s="8">
        <v>276.569806668426</v>
      </c>
      <c r="U98" s="9">
        <v>5.7031468072560798E-4</v>
      </c>
      <c r="V98" s="9">
        <v>-1.7477872940460801E-5</v>
      </c>
      <c r="W98" s="9">
        <v>1.07778484837385E-4</v>
      </c>
      <c r="X98" s="10">
        <v>3.8693157968378298</v>
      </c>
      <c r="Y98" s="10">
        <v>3.8715231538253501</v>
      </c>
      <c r="Z98" s="10">
        <v>3.8690189385059401</v>
      </c>
      <c r="AA98" s="10">
        <v>3.8697391710276601</v>
      </c>
      <c r="AB98" s="8">
        <v>276.69775980389699</v>
      </c>
      <c r="AC98" s="8">
        <v>276.53516671125499</v>
      </c>
      <c r="AD98" s="8">
        <v>276.569806668426</v>
      </c>
      <c r="AE98" s="9">
        <v>5.7031468072560798E-4</v>
      </c>
      <c r="AF98" s="9">
        <v>-1.7477872940460801E-5</v>
      </c>
      <c r="AG98" s="9">
        <v>1.07778484837385E-4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6.0377561285577977E-4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6.0377561285577977E-4</v>
      </c>
    </row>
    <row r="99" spans="1:77" x14ac:dyDescent="0.3">
      <c r="A99" s="1">
        <v>46164</v>
      </c>
      <c r="B99" s="8">
        <v>72.17</v>
      </c>
      <c r="C99" s="8">
        <v>279.27</v>
      </c>
      <c r="D99" s="9">
        <v>9.7466658522944692E-3</v>
      </c>
      <c r="E99" s="9">
        <v>9.8235798360361108E-3</v>
      </c>
      <c r="F99" s="8">
        <v>0</v>
      </c>
      <c r="G99" s="8">
        <v>0.22900000000000001</v>
      </c>
      <c r="H99" s="8">
        <v>0</v>
      </c>
      <c r="I99" s="8">
        <v>0.99399999999999999</v>
      </c>
      <c r="J99" s="8">
        <v>0</v>
      </c>
      <c r="K99" s="8">
        <v>0</v>
      </c>
      <c r="L99" s="8">
        <v>72.17</v>
      </c>
      <c r="M99" s="8">
        <v>279.27</v>
      </c>
      <c r="N99" s="10">
        <v>3.8696134127753901</v>
      </c>
      <c r="O99" s="10">
        <v>3.8715231538253501</v>
      </c>
      <c r="P99" s="10">
        <v>3.8688472918732901</v>
      </c>
      <c r="Q99" s="10">
        <v>3.8696948165696301</v>
      </c>
      <c r="R99" s="8">
        <v>279.40782601157503</v>
      </c>
      <c r="S99" s="8">
        <v>279.227096791973</v>
      </c>
      <c r="T99" s="8">
        <v>279.27907597306603</v>
      </c>
      <c r="U99" s="9">
        <v>4.9340069698374596E-4</v>
      </c>
      <c r="V99" s="9">
        <v>-1.53638070303427E-4</v>
      </c>
      <c r="W99" s="9">
        <v>3.2498390770289302E-5</v>
      </c>
      <c r="X99" s="10">
        <v>3.8696134127753901</v>
      </c>
      <c r="Y99" s="10">
        <v>3.8715231538253501</v>
      </c>
      <c r="Z99" s="10">
        <v>3.8688472918732901</v>
      </c>
      <c r="AA99" s="10">
        <v>3.8696948165696301</v>
      </c>
      <c r="AB99" s="8">
        <v>279.40782601157503</v>
      </c>
      <c r="AC99" s="8">
        <v>279.227096791973</v>
      </c>
      <c r="AD99" s="8">
        <v>279.27907597306603</v>
      </c>
      <c r="AE99" s="9">
        <v>4.9340069698374596E-4</v>
      </c>
      <c r="AF99" s="9">
        <v>-1.53638070303427E-4</v>
      </c>
      <c r="AG99" s="9">
        <v>3.2498390770289302E-5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6.0377561285577977E-4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6.0377561285577977E-4</v>
      </c>
    </row>
    <row r="100" spans="1:77" x14ac:dyDescent="0.3">
      <c r="A100" s="1">
        <v>46168</v>
      </c>
      <c r="B100" s="8">
        <v>71.680000000000007</v>
      </c>
      <c r="C100" s="8">
        <v>277.31</v>
      </c>
      <c r="D100" s="9">
        <v>-6.8126784175067002E-3</v>
      </c>
      <c r="E100" s="9">
        <v>-7.0430417983091903E-3</v>
      </c>
      <c r="F100" s="8">
        <v>0</v>
      </c>
      <c r="G100" s="8">
        <v>0.22900000000000001</v>
      </c>
      <c r="H100" s="8">
        <v>0</v>
      </c>
      <c r="I100" s="8">
        <v>0.99399999999999999</v>
      </c>
      <c r="J100" s="8">
        <v>0</v>
      </c>
      <c r="K100" s="8">
        <v>0</v>
      </c>
      <c r="L100" s="8">
        <v>71.680000000000007</v>
      </c>
      <c r="M100" s="8">
        <v>277.31</v>
      </c>
      <c r="N100" s="10">
        <v>3.8687220982142798</v>
      </c>
      <c r="O100" s="10">
        <v>3.8715231538253501</v>
      </c>
      <c r="P100" s="10">
        <v>3.8687880937524799</v>
      </c>
      <c r="Q100" s="10">
        <v>3.8695969353052302</v>
      </c>
      <c r="R100" s="8">
        <v>277.51077966620102</v>
      </c>
      <c r="S100" s="8">
        <v>277.31897388147701</v>
      </c>
      <c r="T100" s="8">
        <v>277.37972445171101</v>
      </c>
      <c r="U100" s="9">
        <v>7.2376407778608801E-4</v>
      </c>
      <c r="V100" s="9">
        <v>3.2359944758987303E-5</v>
      </c>
      <c r="W100" s="9">
        <v>2.5139983311466398E-4</v>
      </c>
      <c r="X100" s="10">
        <v>3.8687220982142798</v>
      </c>
      <c r="Y100" s="10">
        <v>3.8715231538253501</v>
      </c>
      <c r="Z100" s="10">
        <v>3.8687880937524799</v>
      </c>
      <c r="AA100" s="10">
        <v>3.8695969353052302</v>
      </c>
      <c r="AB100" s="8">
        <v>277.51077966620102</v>
      </c>
      <c r="AC100" s="8">
        <v>277.31897388147701</v>
      </c>
      <c r="AD100" s="8">
        <v>277.37972445171101</v>
      </c>
      <c r="AE100" s="9">
        <v>7.2376407778608801E-4</v>
      </c>
      <c r="AF100" s="9">
        <v>3.2359944758987303E-5</v>
      </c>
      <c r="AG100" s="9">
        <v>2.5139983311466398E-4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6.0377561285577977E-4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6.0377561285577977E-4</v>
      </c>
    </row>
    <row r="101" spans="1:77" x14ac:dyDescent="0.3">
      <c r="A101" s="1">
        <v>46169</v>
      </c>
      <c r="B101" s="8">
        <v>71.849999999999994</v>
      </c>
      <c r="C101" s="8">
        <v>277.88</v>
      </c>
      <c r="D101" s="9">
        <v>2.3688438583588001E-3</v>
      </c>
      <c r="E101" s="9">
        <v>2.0533518264811501E-3</v>
      </c>
      <c r="F101" s="8">
        <v>0</v>
      </c>
      <c r="G101" s="8">
        <v>0.22900000000000001</v>
      </c>
      <c r="H101" s="8">
        <v>0</v>
      </c>
      <c r="I101" s="8">
        <v>0.99399999999999999</v>
      </c>
      <c r="J101" s="8">
        <v>0</v>
      </c>
      <c r="K101" s="8">
        <v>0</v>
      </c>
      <c r="L101" s="8">
        <v>71.849999999999994</v>
      </c>
      <c r="M101" s="8">
        <v>277.88</v>
      </c>
      <c r="N101" s="10">
        <v>3.8675017397355602</v>
      </c>
      <c r="O101" s="10">
        <v>3.8715231538253501</v>
      </c>
      <c r="P101" s="10">
        <v>3.8685133102671498</v>
      </c>
      <c r="Q101" s="10">
        <v>3.8694092342735802</v>
      </c>
      <c r="R101" s="8">
        <v>278.16893860235098</v>
      </c>
      <c r="S101" s="8">
        <v>277.972424536115</v>
      </c>
      <c r="T101" s="8">
        <v>278.03053980168102</v>
      </c>
      <c r="U101" s="9">
        <v>1.03925610966365E-3</v>
      </c>
      <c r="V101" s="9">
        <v>3.3255062994308601E-4</v>
      </c>
      <c r="W101" s="9">
        <v>5.4159723402474804E-4</v>
      </c>
      <c r="X101" s="10">
        <v>3.8675017397355602</v>
      </c>
      <c r="Y101" s="10">
        <v>3.8715231538253501</v>
      </c>
      <c r="Z101" s="10">
        <v>3.8685133102671498</v>
      </c>
      <c r="AA101" s="10">
        <v>3.8694092342735802</v>
      </c>
      <c r="AB101" s="8">
        <v>278.16893860235098</v>
      </c>
      <c r="AC101" s="8">
        <v>277.972424536115</v>
      </c>
      <c r="AD101" s="8">
        <v>278.03053980168102</v>
      </c>
      <c r="AE101" s="9">
        <v>1.03925610966365E-3</v>
      </c>
      <c r="AF101" s="9">
        <v>3.3255062994308601E-4</v>
      </c>
      <c r="AG101" s="9">
        <v>5.4159723402474804E-4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6.0377561285577977E-4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6.0377561285577977E-4</v>
      </c>
    </row>
    <row r="102" spans="1:77" x14ac:dyDescent="0.3">
      <c r="A102" s="1">
        <v>46170</v>
      </c>
      <c r="B102" s="8">
        <v>72.819999999999993</v>
      </c>
      <c r="C102" s="8">
        <v>281.77</v>
      </c>
      <c r="D102" s="9">
        <v>1.34100302222534E-2</v>
      </c>
      <c r="E102" s="9">
        <v>1.3901769491601001E-2</v>
      </c>
      <c r="F102" s="8">
        <v>0</v>
      </c>
      <c r="G102" s="8">
        <v>0.22900000000000001</v>
      </c>
      <c r="H102" s="8">
        <v>0</v>
      </c>
      <c r="I102" s="8">
        <v>0.99399999999999999</v>
      </c>
      <c r="J102" s="8">
        <v>0</v>
      </c>
      <c r="K102" s="8">
        <v>0</v>
      </c>
      <c r="L102" s="8">
        <v>72.819999999999993</v>
      </c>
      <c r="M102" s="8">
        <v>281.77</v>
      </c>
      <c r="N102" s="10">
        <v>3.8694040098873899</v>
      </c>
      <c r="O102" s="10">
        <v>3.8715231538253501</v>
      </c>
      <c r="P102" s="10">
        <v>3.8686338634972199</v>
      </c>
      <c r="Q102" s="10">
        <v>3.8693778391775799</v>
      </c>
      <c r="R102" s="8">
        <v>281.92431606156202</v>
      </c>
      <c r="S102" s="8">
        <v>281.70513925365401</v>
      </c>
      <c r="T102" s="8">
        <v>281.77038043980201</v>
      </c>
      <c r="U102" s="9">
        <v>5.4751684031613998E-4</v>
      </c>
      <c r="V102" s="9">
        <v>-2.3021688842501001E-4</v>
      </c>
      <c r="W102" s="9">
        <v>1.35017761060686E-6</v>
      </c>
      <c r="X102" s="10">
        <v>3.8694040098873899</v>
      </c>
      <c r="Y102" s="10">
        <v>3.8715231538253501</v>
      </c>
      <c r="Z102" s="10">
        <v>3.8686338634972199</v>
      </c>
      <c r="AA102" s="10">
        <v>3.8693778391775799</v>
      </c>
      <c r="AB102" s="8">
        <v>281.92431606156202</v>
      </c>
      <c r="AC102" s="8">
        <v>281.70513925365401</v>
      </c>
      <c r="AD102" s="8">
        <v>281.77038043980201</v>
      </c>
      <c r="AE102" s="9">
        <v>5.4751684031613998E-4</v>
      </c>
      <c r="AF102" s="9">
        <v>-2.3021688842501001E-4</v>
      </c>
      <c r="AG102" s="9">
        <v>1.35017761060686E-6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6.0377561285577977E-4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6.0377561285577977E-4</v>
      </c>
    </row>
    <row r="103" spans="1:77" x14ac:dyDescent="0.3">
      <c r="A103" s="1">
        <v>46171</v>
      </c>
      <c r="B103" s="8">
        <v>72.25</v>
      </c>
      <c r="C103" s="8">
        <v>279.61</v>
      </c>
      <c r="D103" s="9">
        <v>-7.8583157547457306E-3</v>
      </c>
      <c r="E103" s="9">
        <v>-7.6953602170788098E-3</v>
      </c>
      <c r="F103" s="8">
        <v>0</v>
      </c>
      <c r="G103" s="8">
        <v>0.22900000000000001</v>
      </c>
      <c r="H103" s="8">
        <v>0</v>
      </c>
      <c r="I103" s="8">
        <v>0.99399999999999999</v>
      </c>
      <c r="J103" s="8">
        <v>0</v>
      </c>
      <c r="K103" s="8">
        <v>0</v>
      </c>
      <c r="L103" s="8">
        <v>72.25</v>
      </c>
      <c r="M103" s="8">
        <v>279.61</v>
      </c>
      <c r="N103" s="10">
        <v>3.87003460207612</v>
      </c>
      <c r="O103" s="10">
        <v>3.8715231538253501</v>
      </c>
      <c r="P103" s="10">
        <v>3.86892739142493</v>
      </c>
      <c r="Q103" s="10">
        <v>3.86937104655411</v>
      </c>
      <c r="R103" s="8">
        <v>279.71754786388101</v>
      </c>
      <c r="S103" s="8">
        <v>279.50879663767398</v>
      </c>
      <c r="T103" s="8">
        <v>279.56254888057998</v>
      </c>
      <c r="U103" s="9">
        <v>3.8456130264926102E-4</v>
      </c>
      <c r="V103" s="9">
        <v>-3.6201023481600498E-4</v>
      </c>
      <c r="W103" s="9">
        <v>-1.6971905945164901E-4</v>
      </c>
      <c r="X103" s="10">
        <v>3.87003460207612</v>
      </c>
      <c r="Y103" s="10">
        <v>3.8715231538253501</v>
      </c>
      <c r="Z103" s="10">
        <v>3.86892739142493</v>
      </c>
      <c r="AA103" s="10">
        <v>3.86937104655411</v>
      </c>
      <c r="AB103" s="8">
        <v>279.71754786388101</v>
      </c>
      <c r="AC103" s="8">
        <v>279.50879663767398</v>
      </c>
      <c r="AD103" s="8">
        <v>279.56254888057998</v>
      </c>
      <c r="AE103" s="9">
        <v>3.8456130264926102E-4</v>
      </c>
      <c r="AF103" s="9">
        <v>-3.6201023481600498E-4</v>
      </c>
      <c r="AG103" s="9">
        <v>-1.6971905945164901E-4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6.0377561285577977E-4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6.0377561285577977E-4</v>
      </c>
    </row>
    <row r="104" spans="1:77" x14ac:dyDescent="0.3">
      <c r="A104" s="1">
        <v>46174</v>
      </c>
      <c r="B104" s="8">
        <v>71.459999999999994</v>
      </c>
      <c r="C104" s="8">
        <v>276.33</v>
      </c>
      <c r="D104" s="9">
        <v>-1.09944743972778E-2</v>
      </c>
      <c r="E104" s="9">
        <v>-1.17999714309484E-2</v>
      </c>
      <c r="F104" s="8">
        <v>0</v>
      </c>
      <c r="G104" s="8">
        <v>0.22900000000000001</v>
      </c>
      <c r="H104" s="8">
        <v>0</v>
      </c>
      <c r="I104" s="8">
        <v>0.99399999999999999</v>
      </c>
      <c r="J104" s="8">
        <v>0</v>
      </c>
      <c r="K104" s="8">
        <v>0</v>
      </c>
      <c r="L104" s="8">
        <v>71.459999999999994</v>
      </c>
      <c r="M104" s="8">
        <v>276.33</v>
      </c>
      <c r="N104" s="10">
        <v>3.8669185558354302</v>
      </c>
      <c r="O104" s="10">
        <v>3.8715231538253501</v>
      </c>
      <c r="P104" s="10">
        <v>3.86879820641385</v>
      </c>
      <c r="Q104" s="10">
        <v>3.8692281710367999</v>
      </c>
      <c r="R104" s="8">
        <v>276.65904457235899</v>
      </c>
      <c r="S104" s="8">
        <v>276.47355139122499</v>
      </c>
      <c r="T104" s="8">
        <v>276.505254986757</v>
      </c>
      <c r="U104" s="9">
        <v>1.19005833631992E-3</v>
      </c>
      <c r="V104" s="9">
        <v>5.1935771429518997E-4</v>
      </c>
      <c r="W104" s="9">
        <v>6.3402249059569898E-4</v>
      </c>
      <c r="X104" s="10">
        <v>3.8669185558354302</v>
      </c>
      <c r="Y104" s="10">
        <v>3.8715231538253501</v>
      </c>
      <c r="Z104" s="10">
        <v>3.86879820641385</v>
      </c>
      <c r="AA104" s="10">
        <v>3.8692281710367999</v>
      </c>
      <c r="AB104" s="8">
        <v>276.65904457235899</v>
      </c>
      <c r="AC104" s="8">
        <v>276.47355139122499</v>
      </c>
      <c r="AD104" s="8">
        <v>276.505254986757</v>
      </c>
      <c r="AE104" s="9">
        <v>1.19005833631992E-3</v>
      </c>
      <c r="AF104" s="9">
        <v>5.1935771429518997E-4</v>
      </c>
      <c r="AG104" s="9">
        <v>6.3402249059569898E-4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6.0377561285577977E-4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6.0377561285577977E-4</v>
      </c>
    </row>
    <row r="105" spans="1:77" x14ac:dyDescent="0.3">
      <c r="A105" s="1">
        <v>46175</v>
      </c>
      <c r="B105" s="8">
        <v>70.569999999999993</v>
      </c>
      <c r="C105" s="8">
        <v>272.98</v>
      </c>
      <c r="D105" s="9">
        <v>-1.25327275825248E-2</v>
      </c>
      <c r="E105" s="9">
        <v>-1.21972712402043E-2</v>
      </c>
      <c r="F105" s="8">
        <v>0</v>
      </c>
      <c r="G105" s="8">
        <v>0.22900000000000001</v>
      </c>
      <c r="H105" s="8">
        <v>0</v>
      </c>
      <c r="I105" s="8">
        <v>0.99399999999999999</v>
      </c>
      <c r="J105" s="8">
        <v>0</v>
      </c>
      <c r="K105" s="8">
        <v>0</v>
      </c>
      <c r="L105" s="8">
        <v>70.569999999999993</v>
      </c>
      <c r="M105" s="8">
        <v>272.98</v>
      </c>
      <c r="N105" s="10">
        <v>3.8682159557885698</v>
      </c>
      <c r="O105" s="10">
        <v>3.8715231538253501</v>
      </c>
      <c r="P105" s="10">
        <v>3.8688163247232099</v>
      </c>
      <c r="Q105" s="10">
        <v>3.8691011656878498</v>
      </c>
      <c r="R105" s="8">
        <v>273.21338896545501</v>
      </c>
      <c r="S105" s="8">
        <v>273.021089426625</v>
      </c>
      <c r="T105" s="8">
        <v>273.05143203006702</v>
      </c>
      <c r="U105" s="9">
        <v>8.5460199399933995E-4</v>
      </c>
      <c r="V105" s="9">
        <v>1.50510420212184E-4</v>
      </c>
      <c r="W105" s="9">
        <v>2.6164072719750701E-4</v>
      </c>
      <c r="X105" s="10">
        <v>3.8682159557885698</v>
      </c>
      <c r="Y105" s="10">
        <v>3.8715231538253501</v>
      </c>
      <c r="Z105" s="10">
        <v>3.8688163247232099</v>
      </c>
      <c r="AA105" s="10">
        <v>3.8691011656878498</v>
      </c>
      <c r="AB105" s="8">
        <v>273.21338896545501</v>
      </c>
      <c r="AC105" s="8">
        <v>273.021089426625</v>
      </c>
      <c r="AD105" s="8">
        <v>273.05143203006702</v>
      </c>
      <c r="AE105" s="9">
        <v>8.5460199399933995E-4</v>
      </c>
      <c r="AF105" s="9">
        <v>1.50510420212184E-4</v>
      </c>
      <c r="AG105" s="9">
        <v>2.6164072719750701E-4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6.0377561285577977E-4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6.0377561285577977E-4</v>
      </c>
    </row>
    <row r="106" spans="1:77" x14ac:dyDescent="0.3">
      <c r="A106" s="1">
        <v>46176</v>
      </c>
      <c r="B106" s="8">
        <v>71.150000000000006</v>
      </c>
      <c r="C106" s="8">
        <v>275.27</v>
      </c>
      <c r="D106" s="9">
        <v>8.18519952312265E-3</v>
      </c>
      <c r="E106" s="9">
        <v>8.35390175211689E-3</v>
      </c>
      <c r="F106" s="8">
        <v>0</v>
      </c>
      <c r="G106" s="8">
        <v>0.22900000000000001</v>
      </c>
      <c r="H106" s="8">
        <v>0</v>
      </c>
      <c r="I106" s="8">
        <v>0.99399999999999999</v>
      </c>
      <c r="J106" s="8">
        <v>0</v>
      </c>
      <c r="K106" s="8">
        <v>0</v>
      </c>
      <c r="L106" s="8">
        <v>71.150000000000006</v>
      </c>
      <c r="M106" s="8">
        <v>275.27</v>
      </c>
      <c r="N106" s="10">
        <v>3.8688685874912099</v>
      </c>
      <c r="O106" s="10">
        <v>3.8715231538253501</v>
      </c>
      <c r="P106" s="10">
        <v>3.86880497649789</v>
      </c>
      <c r="Q106" s="10">
        <v>3.8690496426949998</v>
      </c>
      <c r="R106" s="8">
        <v>275.45887239467299</v>
      </c>
      <c r="S106" s="8">
        <v>275.26628150405702</v>
      </c>
      <c r="T106" s="8">
        <v>275.286547938691</v>
      </c>
      <c r="U106" s="9">
        <v>6.8589976500511396E-4</v>
      </c>
      <c r="V106" s="9">
        <v>-1.3508631739240999E-5</v>
      </c>
      <c r="W106" s="9">
        <v>6.0113493365741299E-5</v>
      </c>
      <c r="X106" s="10">
        <v>3.8688685874912099</v>
      </c>
      <c r="Y106" s="10">
        <v>3.8715231538253501</v>
      </c>
      <c r="Z106" s="10">
        <v>3.86880497649789</v>
      </c>
      <c r="AA106" s="10">
        <v>3.8690496426949998</v>
      </c>
      <c r="AB106" s="8">
        <v>275.45887239467299</v>
      </c>
      <c r="AC106" s="8">
        <v>275.26628150405702</v>
      </c>
      <c r="AD106" s="8">
        <v>275.286547938691</v>
      </c>
      <c r="AE106" s="9">
        <v>6.8589976500511396E-4</v>
      </c>
      <c r="AF106" s="9">
        <v>-1.3508631739240999E-5</v>
      </c>
      <c r="AG106" s="9">
        <v>6.0113493365741299E-5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6.0377561285577977E-4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6.0377561285577977E-4</v>
      </c>
    </row>
    <row r="107" spans="1:77" x14ac:dyDescent="0.3">
      <c r="A107" s="1">
        <v>46177</v>
      </c>
      <c r="B107" s="8">
        <v>73.260000000000005</v>
      </c>
      <c r="C107" s="8">
        <v>283.38</v>
      </c>
      <c r="D107" s="9">
        <v>2.9224432814806901E-2</v>
      </c>
      <c r="E107" s="9">
        <v>2.9036318955914301E-2</v>
      </c>
      <c r="F107" s="8">
        <v>0</v>
      </c>
      <c r="G107" s="8">
        <v>0.22900000000000001</v>
      </c>
      <c r="H107" s="8">
        <v>0</v>
      </c>
      <c r="I107" s="8">
        <v>0.99399999999999999</v>
      </c>
      <c r="J107" s="8">
        <v>0</v>
      </c>
      <c r="K107" s="8">
        <v>0</v>
      </c>
      <c r="L107" s="8">
        <v>73.260000000000005</v>
      </c>
      <c r="M107" s="8">
        <v>283.38</v>
      </c>
      <c r="N107" s="10">
        <v>3.86814086814086</v>
      </c>
      <c r="O107" s="10">
        <v>3.8715231538253501</v>
      </c>
      <c r="P107" s="10">
        <v>3.8686735626782598</v>
      </c>
      <c r="Q107" s="10">
        <v>3.8689608663486101</v>
      </c>
      <c r="R107" s="8">
        <v>283.62778624924499</v>
      </c>
      <c r="S107" s="8">
        <v>283.42865257823502</v>
      </c>
      <c r="T107" s="8">
        <v>283.44657682383598</v>
      </c>
      <c r="U107" s="9">
        <v>8.7401362389766095E-4</v>
      </c>
      <c r="V107" s="9">
        <v>1.7167196772324001E-4</v>
      </c>
      <c r="W107" s="9">
        <v>2.34910735891654E-4</v>
      </c>
      <c r="X107" s="10">
        <v>3.86814086814086</v>
      </c>
      <c r="Y107" s="10">
        <v>3.8715231538253501</v>
      </c>
      <c r="Z107" s="10">
        <v>3.8686735626782598</v>
      </c>
      <c r="AA107" s="10">
        <v>3.8689608663486101</v>
      </c>
      <c r="AB107" s="8">
        <v>283.62778624924499</v>
      </c>
      <c r="AC107" s="8">
        <v>283.42865257823502</v>
      </c>
      <c r="AD107" s="8">
        <v>283.44657682383598</v>
      </c>
      <c r="AE107" s="9">
        <v>8.7401362389766095E-4</v>
      </c>
      <c r="AF107" s="9">
        <v>1.7167196772324001E-4</v>
      </c>
      <c r="AG107" s="9">
        <v>2.34910735891654E-4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6.0377561285577977E-4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6.0377561285577977E-4</v>
      </c>
    </row>
    <row r="108" spans="1:77" x14ac:dyDescent="0.3">
      <c r="A108" s="1">
        <v>46178</v>
      </c>
      <c r="B108" s="8">
        <v>73.44</v>
      </c>
      <c r="C108" s="8">
        <v>284.13</v>
      </c>
      <c r="D108" s="9">
        <v>2.4539889615665601E-3</v>
      </c>
      <c r="E108" s="9">
        <v>2.6431267700389701E-3</v>
      </c>
      <c r="F108" s="8">
        <v>0</v>
      </c>
      <c r="G108" s="8">
        <v>0.22900000000000001</v>
      </c>
      <c r="H108" s="8">
        <v>0</v>
      </c>
      <c r="I108" s="8">
        <v>0.99399999999999999</v>
      </c>
      <c r="J108" s="8">
        <v>0</v>
      </c>
      <c r="K108" s="8">
        <v>0</v>
      </c>
      <c r="L108" s="8">
        <v>73.44</v>
      </c>
      <c r="M108" s="8">
        <v>284.13</v>
      </c>
      <c r="N108" s="10">
        <v>3.8688725490196001</v>
      </c>
      <c r="O108" s="10">
        <v>3.8715231538253501</v>
      </c>
      <c r="P108" s="10">
        <v>3.8686292378964402</v>
      </c>
      <c r="Q108" s="10">
        <v>3.8688240882011899</v>
      </c>
      <c r="R108" s="8">
        <v>284.324660416933</v>
      </c>
      <c r="S108" s="8">
        <v>284.11538644309201</v>
      </c>
      <c r="T108" s="8">
        <v>284.13648602464201</v>
      </c>
      <c r="U108" s="9">
        <v>6.8487581542555102E-4</v>
      </c>
      <c r="V108" s="9">
        <v>-5.14339658879365E-5</v>
      </c>
      <c r="W108" s="9">
        <v>2.28274051063408E-5</v>
      </c>
      <c r="X108" s="10">
        <v>3.8688725490196001</v>
      </c>
      <c r="Y108" s="10">
        <v>3.8715231538253501</v>
      </c>
      <c r="Z108" s="10">
        <v>3.8686292378964402</v>
      </c>
      <c r="AA108" s="10">
        <v>3.8688240882011899</v>
      </c>
      <c r="AB108" s="8">
        <v>284.324660416933</v>
      </c>
      <c r="AC108" s="8">
        <v>284.11538644309201</v>
      </c>
      <c r="AD108" s="8">
        <v>284.13648602464201</v>
      </c>
      <c r="AE108" s="9">
        <v>6.8487581542555102E-4</v>
      </c>
      <c r="AF108" s="9">
        <v>-5.14339658879365E-5</v>
      </c>
      <c r="AG108" s="9">
        <v>2.28274051063408E-5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6.0377561285577977E-4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6.0377561285577977E-4</v>
      </c>
    </row>
    <row r="109" spans="1:77" x14ac:dyDescent="0.3">
      <c r="A109" s="1">
        <v>46181</v>
      </c>
      <c r="B109" s="8">
        <v>73.27</v>
      </c>
      <c r="C109" s="8">
        <v>283.32</v>
      </c>
      <c r="D109" s="9">
        <v>-2.3174981403625899E-3</v>
      </c>
      <c r="E109" s="9">
        <v>-2.8548790206977801E-3</v>
      </c>
      <c r="F109" s="8">
        <v>0</v>
      </c>
      <c r="G109" s="8">
        <v>0.22900000000000001</v>
      </c>
      <c r="H109" s="8">
        <v>0</v>
      </c>
      <c r="I109" s="8">
        <v>0.99399999999999999</v>
      </c>
      <c r="J109" s="8">
        <v>0</v>
      </c>
      <c r="K109" s="8">
        <v>0</v>
      </c>
      <c r="L109" s="8">
        <v>73.27</v>
      </c>
      <c r="M109" s="8">
        <v>283.32</v>
      </c>
      <c r="N109" s="10">
        <v>3.8667940494063</v>
      </c>
      <c r="O109" s="10">
        <v>3.8715231538253501</v>
      </c>
      <c r="P109" s="10">
        <v>3.8683473015595302</v>
      </c>
      <c r="Q109" s="10">
        <v>3.86859729671641</v>
      </c>
      <c r="R109" s="8">
        <v>283.66650148078298</v>
      </c>
      <c r="S109" s="8">
        <v>283.45446426067201</v>
      </c>
      <c r="T109" s="8">
        <v>283.46874094250097</v>
      </c>
      <c r="U109" s="9">
        <v>1.22225669576064E-3</v>
      </c>
      <c r="V109" s="9">
        <v>4.7448948982119199E-4</v>
      </c>
      <c r="W109" s="9">
        <v>5.2485497742471099E-4</v>
      </c>
      <c r="X109" s="10">
        <v>3.8667940494063</v>
      </c>
      <c r="Y109" s="10">
        <v>3.8715231538253501</v>
      </c>
      <c r="Z109" s="10">
        <v>3.8683473015595302</v>
      </c>
      <c r="AA109" s="10">
        <v>3.86859729671641</v>
      </c>
      <c r="AB109" s="8">
        <v>283.66650148078298</v>
      </c>
      <c r="AC109" s="8">
        <v>283.45446426067201</v>
      </c>
      <c r="AD109" s="8">
        <v>283.46874094250097</v>
      </c>
      <c r="AE109" s="9">
        <v>1.22225669576064E-3</v>
      </c>
      <c r="AF109" s="9">
        <v>4.7448948982119199E-4</v>
      </c>
      <c r="AG109" s="9">
        <v>5.2485497742471099E-4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6.0377561285577977E-4</v>
      </c>
      <c r="BL109" s="9"/>
      <c r="BN109">
        <f t="shared" si="30"/>
        <v>0</v>
      </c>
      <c r="BO109">
        <f t="shared" si="31"/>
        <v>0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6.0377561285577977E-4</v>
      </c>
    </row>
    <row r="110" spans="1:77" x14ac:dyDescent="0.3">
      <c r="A110" s="1">
        <v>46182</v>
      </c>
      <c r="B110" s="8">
        <v>74.33</v>
      </c>
      <c r="C110" s="8">
        <v>287.39</v>
      </c>
      <c r="D110" s="9">
        <v>1.43633905653295E-2</v>
      </c>
      <c r="E110" s="9">
        <v>1.42631774429487E-2</v>
      </c>
      <c r="F110" s="8">
        <v>0</v>
      </c>
      <c r="G110" s="8">
        <v>0.22900000000000001</v>
      </c>
      <c r="H110" s="8">
        <v>0</v>
      </c>
      <c r="I110" s="8">
        <v>0.99399999999999999</v>
      </c>
      <c r="J110" s="8">
        <v>0</v>
      </c>
      <c r="K110" s="8">
        <v>0</v>
      </c>
      <c r="L110" s="8">
        <v>74.33</v>
      </c>
      <c r="M110" s="8">
        <v>287.39</v>
      </c>
      <c r="N110" s="10">
        <v>3.8664065653168298</v>
      </c>
      <c r="O110" s="10">
        <v>3.8715231538253501</v>
      </c>
      <c r="P110" s="10">
        <v>3.8681157482697901</v>
      </c>
      <c r="Q110" s="10">
        <v>3.8684519210111299</v>
      </c>
      <c r="R110" s="8">
        <v>287.77031602383801</v>
      </c>
      <c r="S110" s="8">
        <v>287.53425492491999</v>
      </c>
      <c r="T110" s="8">
        <v>287.552837064931</v>
      </c>
      <c r="U110" s="9">
        <v>1.3224698181415399E-3</v>
      </c>
      <c r="V110" s="9">
        <v>5.0182237646760695E-4</v>
      </c>
      <c r="W110" s="9">
        <v>5.6644611876999304E-4</v>
      </c>
      <c r="X110" s="10">
        <v>3.8664065653168298</v>
      </c>
      <c r="Y110" s="10">
        <v>3.8715231538253501</v>
      </c>
      <c r="Z110" s="10">
        <v>3.8681157482697901</v>
      </c>
      <c r="AA110" s="10">
        <v>3.8684519210111299</v>
      </c>
      <c r="AB110" s="8">
        <v>287.77031602383801</v>
      </c>
      <c r="AC110" s="8">
        <v>287.53425492491999</v>
      </c>
      <c r="AD110" s="8">
        <v>287.552837064931</v>
      </c>
      <c r="AE110" s="9">
        <v>1.3224698181415399E-3</v>
      </c>
      <c r="AF110" s="9">
        <v>5.0182237646760695E-4</v>
      </c>
      <c r="AG110" s="9">
        <v>5.6644611876999304E-4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6.0377561285577977E-4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6.0377561285577977E-4</v>
      </c>
    </row>
    <row r="111" spans="1:77" x14ac:dyDescent="0.3">
      <c r="A111" s="1">
        <v>46183</v>
      </c>
      <c r="B111" s="8">
        <v>73.47</v>
      </c>
      <c r="C111" s="8">
        <v>284.14</v>
      </c>
      <c r="D111" s="9">
        <v>-1.1637479105016E-2</v>
      </c>
      <c r="E111" s="9">
        <v>-1.13731038844396E-2</v>
      </c>
      <c r="F111" s="8">
        <v>0</v>
      </c>
      <c r="G111" s="8">
        <v>0.22900000000000001</v>
      </c>
      <c r="H111" s="8">
        <v>0</v>
      </c>
      <c r="I111" s="8">
        <v>0.99399999999999999</v>
      </c>
      <c r="J111" s="8">
        <v>0</v>
      </c>
      <c r="K111" s="8">
        <v>0</v>
      </c>
      <c r="L111" s="8">
        <v>73.47</v>
      </c>
      <c r="M111" s="8">
        <v>284.14</v>
      </c>
      <c r="N111" s="10">
        <v>3.8674288825370899</v>
      </c>
      <c r="O111" s="10">
        <v>3.8715231538253501</v>
      </c>
      <c r="P111" s="10">
        <v>3.86810846254994</v>
      </c>
      <c r="Q111" s="10">
        <v>3.8683108864085498</v>
      </c>
      <c r="R111" s="8">
        <v>284.440806111548</v>
      </c>
      <c r="S111" s="8">
        <v>284.190464025381</v>
      </c>
      <c r="T111" s="8">
        <v>284.21516263668798</v>
      </c>
      <c r="U111" s="9">
        <v>1.05809459756498E-3</v>
      </c>
      <c r="V111" s="9">
        <v>1.77586910111526E-4</v>
      </c>
      <c r="W111" s="9">
        <v>2.6449178987880798E-4</v>
      </c>
      <c r="X111" s="10">
        <v>3.8674288825370899</v>
      </c>
      <c r="Y111" s="10">
        <v>3.8715231538253501</v>
      </c>
      <c r="Z111" s="10">
        <v>3.86810846254994</v>
      </c>
      <c r="AA111" s="10">
        <v>3.8683108864085498</v>
      </c>
      <c r="AB111" s="8">
        <v>284.440806111548</v>
      </c>
      <c r="AC111" s="8">
        <v>284.190464025381</v>
      </c>
      <c r="AD111" s="8">
        <v>284.21516263668798</v>
      </c>
      <c r="AE111" s="9">
        <v>1.05809459756498E-3</v>
      </c>
      <c r="AF111" s="9">
        <v>1.77586910111526E-4</v>
      </c>
      <c r="AG111" s="9">
        <v>2.6449178987880798E-4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6.0377561285577977E-4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6.0377561285577977E-4</v>
      </c>
    </row>
    <row r="112" spans="1:77" x14ac:dyDescent="0.3">
      <c r="A112" s="1">
        <v>46184</v>
      </c>
      <c r="B112" s="8">
        <v>74.16</v>
      </c>
      <c r="C112" s="8">
        <v>286.8</v>
      </c>
      <c r="D112" s="9">
        <v>9.3477616254135799E-3</v>
      </c>
      <c r="E112" s="9">
        <v>9.3180342815344392E-3</v>
      </c>
      <c r="F112" s="8">
        <v>0</v>
      </c>
      <c r="G112" s="8">
        <v>0.22900000000000001</v>
      </c>
      <c r="H112" s="8">
        <v>0</v>
      </c>
      <c r="I112" s="8">
        <v>0.99399999999999999</v>
      </c>
      <c r="J112" s="8">
        <v>0</v>
      </c>
      <c r="K112" s="8">
        <v>0</v>
      </c>
      <c r="L112" s="8">
        <v>74.16</v>
      </c>
      <c r="M112" s="8">
        <v>286.8</v>
      </c>
      <c r="N112" s="10">
        <v>3.8673139158576002</v>
      </c>
      <c r="O112" s="10">
        <v>3.8715231538253501</v>
      </c>
      <c r="P112" s="10">
        <v>3.8678994531469599</v>
      </c>
      <c r="Q112" s="10">
        <v>3.8682666583220899</v>
      </c>
      <c r="R112" s="8">
        <v>287.11215708768799</v>
      </c>
      <c r="S112" s="8">
        <v>286.85892358270303</v>
      </c>
      <c r="T112" s="8">
        <v>286.87393533605803</v>
      </c>
      <c r="U112" s="9">
        <v>1.0878219414444999E-3</v>
      </c>
      <c r="V112" s="9">
        <v>2.0543072020266101E-4</v>
      </c>
      <c r="W112" s="9">
        <v>2.57760835601567E-4</v>
      </c>
      <c r="X112" s="10">
        <v>3.8673139158576002</v>
      </c>
      <c r="Y112" s="10">
        <v>3.8715231538253501</v>
      </c>
      <c r="Z112" s="10">
        <v>3.8678994531469599</v>
      </c>
      <c r="AA112" s="10">
        <v>3.8682666583220899</v>
      </c>
      <c r="AB112" s="8">
        <v>287.11215708768799</v>
      </c>
      <c r="AC112" s="8">
        <v>286.85892358270303</v>
      </c>
      <c r="AD112" s="8">
        <v>286.87393533605803</v>
      </c>
      <c r="AE112" s="9">
        <v>1.0878219414444999E-3</v>
      </c>
      <c r="AF112" s="9">
        <v>2.0543072020266101E-4</v>
      </c>
      <c r="AG112" s="9">
        <v>2.57760835601567E-4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6.0377561285577977E-4</v>
      </c>
      <c r="BL112" s="9"/>
      <c r="BN112">
        <f t="shared" si="30"/>
        <v>0</v>
      </c>
      <c r="BO112">
        <f t="shared" si="31"/>
        <v>0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6.0377561285577977E-4</v>
      </c>
    </row>
    <row r="113" spans="1:77" x14ac:dyDescent="0.3">
      <c r="A113" s="1">
        <v>46185</v>
      </c>
      <c r="B113" s="8">
        <v>74.06</v>
      </c>
      <c r="C113" s="8">
        <v>286.45999999999998</v>
      </c>
      <c r="D113" s="9">
        <v>-1.34934577213306E-3</v>
      </c>
      <c r="E113" s="9">
        <v>-1.18619837374632E-3</v>
      </c>
      <c r="F113" s="8">
        <v>0</v>
      </c>
      <c r="G113" s="8">
        <v>0.22900000000000001</v>
      </c>
      <c r="H113" s="8">
        <v>0</v>
      </c>
      <c r="I113" s="8">
        <v>0.99399999999999999</v>
      </c>
      <c r="J113" s="8">
        <v>0</v>
      </c>
      <c r="K113" s="8">
        <v>0</v>
      </c>
      <c r="L113" s="8">
        <v>74.06</v>
      </c>
      <c r="M113" s="8">
        <v>286.45999999999998</v>
      </c>
      <c r="N113" s="10">
        <v>3.86794490953281</v>
      </c>
      <c r="O113" s="10">
        <v>3.8715231538253501</v>
      </c>
      <c r="P113" s="10">
        <v>3.86769048389263</v>
      </c>
      <c r="Q113" s="10">
        <v>3.8683089376587798</v>
      </c>
      <c r="R113" s="8">
        <v>286.725004772305</v>
      </c>
      <c r="S113" s="8">
        <v>286.45663350006402</v>
      </c>
      <c r="T113" s="8">
        <v>286.48382871533403</v>
      </c>
      <c r="U113" s="9">
        <v>9.2467454305778798E-4</v>
      </c>
      <c r="V113" s="9">
        <v>-1.1752145910528401E-5</v>
      </c>
      <c r="W113" s="9">
        <v>8.3179935463369498E-5</v>
      </c>
      <c r="X113" s="10">
        <v>3.86794490953281</v>
      </c>
      <c r="Y113" s="10">
        <v>3.8715231538253501</v>
      </c>
      <c r="Z113" s="10">
        <v>3.86769048389263</v>
      </c>
      <c r="AA113" s="10">
        <v>3.8683089376587798</v>
      </c>
      <c r="AB113" s="8">
        <v>286.725004772305</v>
      </c>
      <c r="AC113" s="8">
        <v>286.45663350006402</v>
      </c>
      <c r="AD113" s="8">
        <v>286.48382871533403</v>
      </c>
      <c r="AE113" s="9">
        <v>9.2467454305778798E-4</v>
      </c>
      <c r="AF113" s="9">
        <v>-1.1752145910528401E-5</v>
      </c>
      <c r="AG113" s="9">
        <v>8.3179935463369498E-5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6.0377561285577977E-4</v>
      </c>
      <c r="BL113" s="9"/>
      <c r="BN113">
        <f t="shared" si="30"/>
        <v>0</v>
      </c>
      <c r="BO113">
        <f t="shared" si="31"/>
        <v>0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6.0377561285577977E-4</v>
      </c>
    </row>
    <row r="114" spans="1:77" x14ac:dyDescent="0.3">
      <c r="A114" s="1">
        <v>46188</v>
      </c>
      <c r="B114" s="8">
        <v>73.819999999999993</v>
      </c>
      <c r="C114" s="8">
        <v>285.62</v>
      </c>
      <c r="D114" s="9">
        <v>-3.2458778836141899E-3</v>
      </c>
      <c r="E114" s="9">
        <v>-2.9366543269319098E-3</v>
      </c>
      <c r="F114" s="8">
        <v>0</v>
      </c>
      <c r="G114" s="8">
        <v>0.22900000000000001</v>
      </c>
      <c r="H114" s="8">
        <v>0</v>
      </c>
      <c r="I114" s="8">
        <v>0.99399999999999999</v>
      </c>
      <c r="J114" s="8">
        <v>0</v>
      </c>
      <c r="K114" s="8">
        <v>0</v>
      </c>
      <c r="L114" s="8">
        <v>73.819999999999993</v>
      </c>
      <c r="M114" s="8">
        <v>285.62</v>
      </c>
      <c r="N114" s="10">
        <v>3.8691411541587599</v>
      </c>
      <c r="O114" s="10">
        <v>3.8715231538253501</v>
      </c>
      <c r="P114" s="10">
        <v>3.8679127437249599</v>
      </c>
      <c r="Q114" s="10">
        <v>3.8683554750694</v>
      </c>
      <c r="R114" s="8">
        <v>285.79583921538699</v>
      </c>
      <c r="S114" s="8">
        <v>285.51291152095399</v>
      </c>
      <c r="T114" s="8">
        <v>285.55856577797101</v>
      </c>
      <c r="U114" s="9">
        <v>6.1545098637542396E-4</v>
      </c>
      <c r="V114" s="9">
        <v>-3.7500370978642999E-4</v>
      </c>
      <c r="W114" s="9">
        <v>-2.1511389238446999E-4</v>
      </c>
      <c r="X114" s="10">
        <v>3.8691411541587599</v>
      </c>
      <c r="Y114" s="10">
        <v>3.8715231538253501</v>
      </c>
      <c r="Z114" s="10">
        <v>3.8679127437249599</v>
      </c>
      <c r="AA114" s="10">
        <v>3.8683554750694</v>
      </c>
      <c r="AB114" s="8">
        <v>285.79583921538699</v>
      </c>
      <c r="AC114" s="8">
        <v>285.51291152095399</v>
      </c>
      <c r="AD114" s="8">
        <v>285.55856577797101</v>
      </c>
      <c r="AE114" s="9">
        <v>6.1545098637542396E-4</v>
      </c>
      <c r="AF114" s="9">
        <v>-3.7500370978642999E-4</v>
      </c>
      <c r="AG114" s="9">
        <v>-2.1511389238446999E-4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6.0377561285577977E-4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6.0377561285577977E-4</v>
      </c>
    </row>
    <row r="115" spans="1:77" x14ac:dyDescent="0.3">
      <c r="A115" s="1">
        <v>46189</v>
      </c>
      <c r="B115" s="8">
        <v>73.77</v>
      </c>
      <c r="C115" s="8">
        <v>285.22000000000003</v>
      </c>
      <c r="D115" s="9">
        <v>-6.7755270564157902E-4</v>
      </c>
      <c r="E115" s="9">
        <v>-1.4014437161660499E-3</v>
      </c>
      <c r="F115" s="8">
        <v>0</v>
      </c>
      <c r="G115" s="8">
        <v>0.22900000000000001</v>
      </c>
      <c r="H115" s="8">
        <v>0</v>
      </c>
      <c r="I115" s="8">
        <v>0.99399999999999999</v>
      </c>
      <c r="J115" s="8">
        <v>0</v>
      </c>
      <c r="K115" s="8">
        <v>0</v>
      </c>
      <c r="L115" s="8">
        <v>73.77</v>
      </c>
      <c r="M115" s="8">
        <v>285.22000000000003</v>
      </c>
      <c r="N115" s="10">
        <v>3.8663413311644299</v>
      </c>
      <c r="O115" s="10">
        <v>3.8715231538253501</v>
      </c>
      <c r="P115" s="10">
        <v>3.8677252812625502</v>
      </c>
      <c r="Q115" s="10">
        <v>3.8682708029928801</v>
      </c>
      <c r="R115" s="8">
        <v>285.60226305769601</v>
      </c>
      <c r="S115" s="8">
        <v>285.33592310458999</v>
      </c>
      <c r="T115" s="8">
        <v>285.36858339587002</v>
      </c>
      <c r="U115" s="9">
        <v>1.3393419968998599E-3</v>
      </c>
      <c r="V115" s="9">
        <v>4.0635142495824898E-4</v>
      </c>
      <c r="W115" s="9">
        <v>5.2080747337922501E-4</v>
      </c>
      <c r="X115" s="10">
        <v>3.8663413311644299</v>
      </c>
      <c r="Y115" s="10">
        <v>3.8715231538253501</v>
      </c>
      <c r="Z115" s="10">
        <v>3.8677252812625502</v>
      </c>
      <c r="AA115" s="10">
        <v>3.8682708029928801</v>
      </c>
      <c r="AB115" s="8">
        <v>285.60226305769601</v>
      </c>
      <c r="AC115" s="8">
        <v>285.33592310458999</v>
      </c>
      <c r="AD115" s="8">
        <v>285.36858339587002</v>
      </c>
      <c r="AE115" s="9">
        <v>1.3393419968998599E-3</v>
      </c>
      <c r="AF115" s="9">
        <v>4.0635142495824898E-4</v>
      </c>
      <c r="AG115" s="9">
        <v>5.2080747337922501E-4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6.0377561285577977E-4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6.0377561285577977E-4</v>
      </c>
    </row>
    <row r="116" spans="1:77" x14ac:dyDescent="0.3">
      <c r="A116" s="1">
        <v>46190</v>
      </c>
      <c r="B116" s="8">
        <v>72.87</v>
      </c>
      <c r="C116" s="8">
        <v>281.99</v>
      </c>
      <c r="D116" s="9">
        <v>-1.22751132140199E-2</v>
      </c>
      <c r="E116" s="9">
        <v>-1.1389202992170999E-2</v>
      </c>
      <c r="F116" s="8">
        <v>0</v>
      </c>
      <c r="G116" s="8">
        <v>0.22900000000000001</v>
      </c>
      <c r="H116" s="8">
        <v>0</v>
      </c>
      <c r="I116" s="8">
        <v>0.99399999999999999</v>
      </c>
      <c r="J116" s="8">
        <v>0</v>
      </c>
      <c r="K116" s="8">
        <v>0</v>
      </c>
      <c r="L116" s="8">
        <v>72.87</v>
      </c>
      <c r="M116" s="8">
        <v>281.99</v>
      </c>
      <c r="N116" s="10">
        <v>3.8697680801427099</v>
      </c>
      <c r="O116" s="10">
        <v>3.8715231538253501</v>
      </c>
      <c r="P116" s="10">
        <v>3.8678152305276998</v>
      </c>
      <c r="Q116" s="10">
        <v>3.8683101035127998</v>
      </c>
      <c r="R116" s="8">
        <v>282.11789221925301</v>
      </c>
      <c r="S116" s="8">
        <v>281.84114124560199</v>
      </c>
      <c r="T116" s="8">
        <v>281.88089341409102</v>
      </c>
      <c r="U116" s="9">
        <v>4.5343177505098299E-4</v>
      </c>
      <c r="V116" s="9">
        <v>-5.2802602398854001E-4</v>
      </c>
      <c r="W116" s="9">
        <v>-3.8699137885769798E-4</v>
      </c>
      <c r="X116" s="10">
        <v>3.8697680801427099</v>
      </c>
      <c r="Y116" s="10">
        <v>3.8715231538253501</v>
      </c>
      <c r="Z116" s="10">
        <v>3.8678152305276998</v>
      </c>
      <c r="AA116" s="10">
        <v>3.8683101035127998</v>
      </c>
      <c r="AB116" s="8">
        <v>282.11789221925301</v>
      </c>
      <c r="AC116" s="8">
        <v>281.84114124560199</v>
      </c>
      <c r="AD116" s="8">
        <v>281.88089341409102</v>
      </c>
      <c r="AE116" s="9">
        <v>4.5343177505098299E-4</v>
      </c>
      <c r="AF116" s="9">
        <v>-5.2802602398854001E-4</v>
      </c>
      <c r="AG116" s="9">
        <v>-3.8699137885769798E-4</v>
      </c>
      <c r="AZ116" s="9"/>
      <c r="BB116">
        <f t="shared" si="22"/>
        <v>0</v>
      </c>
      <c r="BC116">
        <f t="shared" si="23"/>
        <v>0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6.0377561285577977E-4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6.0377561285577977E-4</v>
      </c>
    </row>
    <row r="117" spans="1:77" x14ac:dyDescent="0.3">
      <c r="A117" s="1">
        <v>46191</v>
      </c>
      <c r="B117" s="8">
        <v>72.22</v>
      </c>
      <c r="C117" s="8">
        <v>280.41000000000003</v>
      </c>
      <c r="D117" s="9">
        <v>-8.9600158328791493E-3</v>
      </c>
      <c r="E117" s="9">
        <v>-5.6187914538481498E-3</v>
      </c>
      <c r="F117" s="8">
        <v>0.26300000000000001</v>
      </c>
      <c r="G117" s="8">
        <v>0.49199999999999999</v>
      </c>
      <c r="H117" s="8">
        <v>0</v>
      </c>
      <c r="I117" s="8">
        <v>0.99399999999999999</v>
      </c>
      <c r="J117" s="8">
        <v>0</v>
      </c>
      <c r="K117" s="8">
        <v>0</v>
      </c>
      <c r="L117" s="8">
        <v>72.22</v>
      </c>
      <c r="M117" s="8">
        <v>280.41000000000003</v>
      </c>
      <c r="N117" s="10">
        <v>3.88271946829133</v>
      </c>
      <c r="O117" s="10">
        <v>3.8715231538253501</v>
      </c>
      <c r="P117" s="10">
        <v>3.8692730905427402</v>
      </c>
      <c r="Q117" s="10">
        <v>3.8689733266105</v>
      </c>
      <c r="R117" s="8">
        <v>279.60140216926601</v>
      </c>
      <c r="S117" s="8">
        <v>279.33361594871002</v>
      </c>
      <c r="T117" s="8">
        <v>279.36935567569401</v>
      </c>
      <c r="U117" s="9">
        <v>-2.8877926039800801E-3</v>
      </c>
      <c r="V117" s="9">
        <v>-3.8459942995793502E-3</v>
      </c>
      <c r="W117" s="9">
        <v>-3.7180560968218001E-3</v>
      </c>
      <c r="X117" s="10">
        <v>3.88271946829133</v>
      </c>
      <c r="Y117" s="10">
        <v>3.8715231538253501</v>
      </c>
      <c r="Z117" s="10">
        <v>3.8692730905427402</v>
      </c>
      <c r="AA117" s="10">
        <v>3.8689733266105</v>
      </c>
      <c r="AB117" s="8">
        <v>279.60140216926601</v>
      </c>
      <c r="AC117" s="8">
        <v>279.33361594871002</v>
      </c>
      <c r="AD117" s="8">
        <v>279.36935567569401</v>
      </c>
      <c r="AE117" s="9">
        <v>-2.8877926039800801E-3</v>
      </c>
      <c r="AF117" s="9">
        <v>-3.8459942995793502E-3</v>
      </c>
      <c r="AG117" s="9">
        <v>-3.7180560968218001E-3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6.0377561285577977E-4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6.0377561285577977E-4</v>
      </c>
    </row>
    <row r="118" spans="1:77" x14ac:dyDescent="0.3">
      <c r="A118" s="1">
        <v>46195</v>
      </c>
      <c r="B118" s="8">
        <v>72.87</v>
      </c>
      <c r="C118" s="8">
        <v>283.02</v>
      </c>
      <c r="D118" s="9">
        <v>8.9600158328792204E-3</v>
      </c>
      <c r="E118" s="9">
        <v>9.2647486616234901E-3</v>
      </c>
      <c r="F118" s="8">
        <v>0</v>
      </c>
      <c r="G118" s="8">
        <v>0.49199999999999999</v>
      </c>
      <c r="H118" s="8">
        <v>0</v>
      </c>
      <c r="I118" s="8">
        <v>0.99399999999999999</v>
      </c>
      <c r="J118" s="8">
        <v>0</v>
      </c>
      <c r="K118" s="8">
        <v>0</v>
      </c>
      <c r="L118" s="8">
        <v>72.87</v>
      </c>
      <c r="M118" s="8">
        <v>283.02</v>
      </c>
      <c r="N118" s="10">
        <v>3.8839028406751699</v>
      </c>
      <c r="O118" s="10">
        <v>3.8715231538253501</v>
      </c>
      <c r="P118" s="10">
        <v>3.8707761197082999</v>
      </c>
      <c r="Q118" s="10">
        <v>3.8697026788023701</v>
      </c>
      <c r="R118" s="8">
        <v>282.11789221925301</v>
      </c>
      <c r="S118" s="8">
        <v>281.95393010785</v>
      </c>
      <c r="T118" s="8">
        <v>281.93208631010702</v>
      </c>
      <c r="U118" s="9">
        <v>-3.1925254327243098E-3</v>
      </c>
      <c r="V118" s="9">
        <v>-3.7738773440630599E-3</v>
      </c>
      <c r="W118" s="9">
        <v>-3.8513532775576302E-3</v>
      </c>
      <c r="X118" s="10">
        <v>3.8839028406751699</v>
      </c>
      <c r="Y118" s="10">
        <v>3.8715231538253501</v>
      </c>
      <c r="Z118" s="10">
        <v>3.8707761197082999</v>
      </c>
      <c r="AA118" s="10">
        <v>3.8697026788023701</v>
      </c>
      <c r="AB118" s="8">
        <v>282.11789221925301</v>
      </c>
      <c r="AC118" s="8">
        <v>281.95393010785</v>
      </c>
      <c r="AD118" s="8">
        <v>281.93208631010702</v>
      </c>
      <c r="AE118" s="9">
        <v>-3.1925254327243098E-3</v>
      </c>
      <c r="AF118" s="9">
        <v>-3.7738773440630599E-3</v>
      </c>
      <c r="AG118" s="9">
        <v>-3.8513532775576302E-3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8.9600158328792204E-3</v>
      </c>
      <c r="BH118" s="9">
        <f t="shared" si="27"/>
        <v>-9.2647486616234901E-3</v>
      </c>
      <c r="BI118" s="9">
        <f t="shared" si="28"/>
        <v>-3.0473282874426966E-4</v>
      </c>
      <c r="BJ118" s="12">
        <f t="shared" si="29"/>
        <v>2.9904278411151011E-4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-3.0473282874426966E-4</v>
      </c>
      <c r="BY118" s="12">
        <f t="shared" si="39"/>
        <v>2.9904278411151011E-4</v>
      </c>
    </row>
    <row r="119" spans="1:77" x14ac:dyDescent="0.3">
      <c r="A119" s="1">
        <v>46196</v>
      </c>
      <c r="B119" s="8">
        <v>73.849999999999994</v>
      </c>
      <c r="C119" s="8">
        <v>286.69</v>
      </c>
      <c r="D119" s="9">
        <v>1.33589772951978E-2</v>
      </c>
      <c r="E119" s="9">
        <v>1.2883926091633901E-2</v>
      </c>
      <c r="F119" s="8">
        <v>0</v>
      </c>
      <c r="G119" s="8">
        <v>0.49199999999999999</v>
      </c>
      <c r="H119" s="8">
        <v>0</v>
      </c>
      <c r="I119" s="8">
        <v>0.99399999999999999</v>
      </c>
      <c r="J119" s="8">
        <v>0</v>
      </c>
      <c r="K119" s="8">
        <v>0</v>
      </c>
      <c r="L119" s="8">
        <v>73.849999999999994</v>
      </c>
      <c r="M119" s="8">
        <v>286.69</v>
      </c>
      <c r="N119" s="10">
        <v>3.8820582261340499</v>
      </c>
      <c r="O119" s="10">
        <v>3.8715231538253501</v>
      </c>
      <c r="P119" s="10">
        <v>3.87230253738108</v>
      </c>
      <c r="Q119" s="10">
        <v>3.8703249194703</v>
      </c>
      <c r="R119" s="8">
        <v>285.91198491000199</v>
      </c>
      <c r="S119" s="8">
        <v>285.85681644045798</v>
      </c>
      <c r="T119" s="8">
        <v>285.77754282955499</v>
      </c>
      <c r="U119" s="9">
        <v>-2.7174742291604299E-3</v>
      </c>
      <c r="V119" s="9">
        <v>-2.9104489755429098E-3</v>
      </c>
      <c r="W119" s="9">
        <v>-3.1878067309878402E-3</v>
      </c>
      <c r="X119" s="10">
        <v>3.8820582261340499</v>
      </c>
      <c r="Y119" s="10">
        <v>3.8715231538253501</v>
      </c>
      <c r="Z119" s="10">
        <v>3.87230253738108</v>
      </c>
      <c r="AA119" s="10">
        <v>3.8703249194703</v>
      </c>
      <c r="AB119" s="8">
        <v>285.91198491000199</v>
      </c>
      <c r="AC119" s="8">
        <v>285.85681644045798</v>
      </c>
      <c r="AD119" s="8">
        <v>285.77754282955499</v>
      </c>
      <c r="AE119" s="9">
        <v>-2.7174742291604299E-3</v>
      </c>
      <c r="AF119" s="9">
        <v>-2.9104489755429098E-3</v>
      </c>
      <c r="AG119" s="9">
        <v>-3.1878067309878402E-3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1.33589772951978E-2</v>
      </c>
      <c r="BH119" s="9">
        <f t="shared" si="27"/>
        <v>-1.2883926091633901E-2</v>
      </c>
      <c r="BI119" s="9">
        <f t="shared" si="28"/>
        <v>4.7505120356389902E-4</v>
      </c>
      <c r="BJ119" s="12">
        <f t="shared" si="29"/>
        <v>7.7409398767540913E-4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4.7505120356389902E-4</v>
      </c>
      <c r="BY119" s="12">
        <f t="shared" si="39"/>
        <v>7.7409398767540913E-4</v>
      </c>
    </row>
    <row r="120" spans="1:77" x14ac:dyDescent="0.3">
      <c r="A120" s="1">
        <v>46197</v>
      </c>
      <c r="B120" s="8">
        <v>74.58</v>
      </c>
      <c r="C120" s="8">
        <v>288.73</v>
      </c>
      <c r="D120" s="9">
        <v>9.8363657732859593E-3</v>
      </c>
      <c r="E120" s="9">
        <v>7.0905027520135801E-3</v>
      </c>
      <c r="F120" s="8">
        <v>0</v>
      </c>
      <c r="G120" s="8">
        <v>0.49199999999999999</v>
      </c>
      <c r="H120" s="8">
        <v>0.98680000000000001</v>
      </c>
      <c r="I120" s="8">
        <v>1.9807999999999999</v>
      </c>
      <c r="J120" s="8">
        <v>0</v>
      </c>
      <c r="K120" s="8">
        <v>0</v>
      </c>
      <c r="L120" s="8">
        <v>74.58</v>
      </c>
      <c r="M120" s="8">
        <v>288.73</v>
      </c>
      <c r="N120" s="10">
        <v>3.87141324751944</v>
      </c>
      <c r="O120" s="10">
        <v>3.8715231538253501</v>
      </c>
      <c r="P120" s="10">
        <v>3.8728032056013402</v>
      </c>
      <c r="Q120" s="10">
        <v>3.8704594769355598</v>
      </c>
      <c r="R120" s="8">
        <v>288.73819681229401</v>
      </c>
      <c r="S120" s="8">
        <v>288.79632323788098</v>
      </c>
      <c r="T120" s="8">
        <v>288.64883249409502</v>
      </c>
      <c r="U120" s="9">
        <v>2.8388792111844199E-5</v>
      </c>
      <c r="V120" s="9">
        <v>2.2968039898417701E-4</v>
      </c>
      <c r="W120" s="9">
        <v>-2.81158580367282E-4</v>
      </c>
      <c r="X120" s="10">
        <v>3.87141324751944</v>
      </c>
      <c r="Y120" s="10">
        <v>3.8715231538253501</v>
      </c>
      <c r="Z120" s="10">
        <v>3.8728032056013402</v>
      </c>
      <c r="AA120" s="10">
        <v>3.8704594769355598</v>
      </c>
      <c r="AB120" s="8">
        <v>288.73819681229401</v>
      </c>
      <c r="AC120" s="8">
        <v>288.79632323788098</v>
      </c>
      <c r="AD120" s="8">
        <v>288.64883249409502</v>
      </c>
      <c r="AE120" s="9">
        <v>2.8388792111844199E-5</v>
      </c>
      <c r="AF120" s="9">
        <v>2.2968039898417701E-4</v>
      </c>
      <c r="AG120" s="9">
        <v>-2.81158580367282E-4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7.7409398767540913E-4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7.7409398767540913E-4</v>
      </c>
    </row>
    <row r="121" spans="1:77" x14ac:dyDescent="0.3">
      <c r="A121" s="1">
        <v>46198</v>
      </c>
      <c r="B121" s="8">
        <v>75.69</v>
      </c>
      <c r="C121" s="8">
        <v>293.02999999999997</v>
      </c>
      <c r="D121" s="9">
        <v>1.47736765704012E-2</v>
      </c>
      <c r="E121" s="9">
        <v>1.4782997486288601E-2</v>
      </c>
      <c r="F121" s="8">
        <v>0</v>
      </c>
      <c r="G121" s="8">
        <v>0.49199999999999999</v>
      </c>
      <c r="H121" s="8">
        <v>0</v>
      </c>
      <c r="I121" s="8">
        <v>1.9807999999999999</v>
      </c>
      <c r="J121" s="8">
        <v>0</v>
      </c>
      <c r="K121" s="8">
        <v>0</v>
      </c>
      <c r="L121" s="8">
        <v>75.69</v>
      </c>
      <c r="M121" s="8">
        <v>293.02999999999997</v>
      </c>
      <c r="N121" s="10">
        <v>3.8714493328048598</v>
      </c>
      <c r="O121" s="10">
        <v>3.8715231538253501</v>
      </c>
      <c r="P121" s="10">
        <v>3.8732052506281098</v>
      </c>
      <c r="Q121" s="10">
        <v>3.8706568565890298</v>
      </c>
      <c r="R121" s="8">
        <v>293.03558751304001</v>
      </c>
      <c r="S121" s="8">
        <v>293.13247463196501</v>
      </c>
      <c r="T121" s="8">
        <v>292.955077809253</v>
      </c>
      <c r="U121" s="9">
        <v>1.9067876224549802E-5</v>
      </c>
      <c r="V121" s="9">
        <v>3.4964583181113803E-4</v>
      </c>
      <c r="W121" s="9">
        <v>-2.5571364866564601E-4</v>
      </c>
      <c r="X121" s="10">
        <v>3.8714493328048598</v>
      </c>
      <c r="Y121" s="10">
        <v>3.8715231538253501</v>
      </c>
      <c r="Z121" s="10">
        <v>3.8732052506281098</v>
      </c>
      <c r="AA121" s="10">
        <v>3.8706568565890298</v>
      </c>
      <c r="AB121" s="8">
        <v>293.03558751304001</v>
      </c>
      <c r="AC121" s="8">
        <v>293.13247463196501</v>
      </c>
      <c r="AD121" s="8">
        <v>292.955077809253</v>
      </c>
      <c r="AE121" s="9">
        <v>1.9067876224549802E-5</v>
      </c>
      <c r="AF121" s="9">
        <v>3.4964583181113803E-4</v>
      </c>
      <c r="AG121" s="9">
        <v>-2.5571364866564601E-4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7.7409398767540913E-4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7.7409398767540913E-4</v>
      </c>
    </row>
    <row r="122" spans="1:77" x14ac:dyDescent="0.3">
      <c r="A122" s="1">
        <v>46199</v>
      </c>
      <c r="B122" s="8">
        <v>77.87</v>
      </c>
      <c r="C122" s="8">
        <v>301.43</v>
      </c>
      <c r="D122" s="9">
        <v>2.83947182678186E-2</v>
      </c>
      <c r="E122" s="9">
        <v>2.82628238858996E-2</v>
      </c>
      <c r="F122" s="8">
        <v>0</v>
      </c>
      <c r="G122" s="8">
        <v>0.49199999999999999</v>
      </c>
      <c r="H122" s="8">
        <v>0</v>
      </c>
      <c r="I122" s="8">
        <v>1.9807999999999999</v>
      </c>
      <c r="J122" s="8">
        <v>0</v>
      </c>
      <c r="K122" s="8">
        <v>0</v>
      </c>
      <c r="L122" s="8">
        <v>77.87</v>
      </c>
      <c r="M122" s="8">
        <v>301.43</v>
      </c>
      <c r="N122" s="10">
        <v>3.8709387440606098</v>
      </c>
      <c r="O122" s="10">
        <v>3.8715231538253501</v>
      </c>
      <c r="P122" s="10">
        <v>3.8735677334484202</v>
      </c>
      <c r="Q122" s="10">
        <v>3.8707335932976901</v>
      </c>
      <c r="R122" s="8">
        <v>301.47550798838</v>
      </c>
      <c r="S122" s="8">
        <v>301.60649286641097</v>
      </c>
      <c r="T122" s="8">
        <v>301.408049422587</v>
      </c>
      <c r="U122" s="9">
        <v>1.5096225814368401E-4</v>
      </c>
      <c r="V122" s="9">
        <v>5.8534723367083296E-4</v>
      </c>
      <c r="W122" s="9">
        <v>-7.2824127285169498E-5</v>
      </c>
      <c r="X122" s="10">
        <v>3.8709387440606098</v>
      </c>
      <c r="Y122" s="10">
        <v>3.8715231538253501</v>
      </c>
      <c r="Z122" s="10">
        <v>3.8735677334484202</v>
      </c>
      <c r="AA122" s="10">
        <v>3.8707335932976901</v>
      </c>
      <c r="AB122" s="8">
        <v>301.47550798838</v>
      </c>
      <c r="AC122" s="8">
        <v>301.60649286641097</v>
      </c>
      <c r="AD122" s="8">
        <v>301.408049422587</v>
      </c>
      <c r="AE122" s="9">
        <v>1.5096225814368401E-4</v>
      </c>
      <c r="AF122" s="9">
        <v>5.8534723367083296E-4</v>
      </c>
      <c r="AG122" s="9">
        <v>-7.2824127285169498E-5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7.7409398767540913E-4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7.7409398767540913E-4</v>
      </c>
    </row>
    <row r="123" spans="1:77" x14ac:dyDescent="0.3">
      <c r="A123" s="1">
        <v>46202</v>
      </c>
      <c r="B123" s="8">
        <v>78.12</v>
      </c>
      <c r="C123" s="8">
        <v>302.43</v>
      </c>
      <c r="D123" s="9">
        <v>3.2053364195834201E-3</v>
      </c>
      <c r="E123" s="9">
        <v>3.3120289938986399E-3</v>
      </c>
      <c r="F123" s="8">
        <v>0</v>
      </c>
      <c r="G123" s="8">
        <v>0.49199999999999999</v>
      </c>
      <c r="H123" s="8">
        <v>0</v>
      </c>
      <c r="I123" s="8">
        <v>1.9807999999999999</v>
      </c>
      <c r="J123" s="8">
        <v>0</v>
      </c>
      <c r="K123" s="8">
        <v>0</v>
      </c>
      <c r="L123" s="8">
        <v>78.12</v>
      </c>
      <c r="M123" s="8">
        <v>302.43</v>
      </c>
      <c r="N123" s="10">
        <v>3.8713517665130501</v>
      </c>
      <c r="O123" s="10">
        <v>3.8715231538253501</v>
      </c>
      <c r="P123" s="10">
        <v>3.8739084191464399</v>
      </c>
      <c r="Q123" s="10">
        <v>3.8707994515195399</v>
      </c>
      <c r="R123" s="8">
        <v>302.443388776836</v>
      </c>
      <c r="S123" s="8">
        <v>302.60311133699003</v>
      </c>
      <c r="T123" s="8">
        <v>302.381708308415</v>
      </c>
      <c r="U123" s="9">
        <v>4.4269683828436001E-5</v>
      </c>
      <c r="V123" s="9">
        <v>5.7223757996309899E-4</v>
      </c>
      <c r="W123" s="9">
        <v>-1.5969165617481701E-4</v>
      </c>
      <c r="X123" s="10">
        <v>3.8713517665130501</v>
      </c>
      <c r="Y123" s="10">
        <v>3.8715231538253501</v>
      </c>
      <c r="Z123" s="10">
        <v>3.8739084191464399</v>
      </c>
      <c r="AA123" s="10">
        <v>3.8707994515195399</v>
      </c>
      <c r="AB123" s="8">
        <v>302.443388776836</v>
      </c>
      <c r="AC123" s="8">
        <v>302.60311133699003</v>
      </c>
      <c r="AD123" s="8">
        <v>302.381708308415</v>
      </c>
      <c r="AE123" s="9">
        <v>4.4269683828436001E-5</v>
      </c>
      <c r="AF123" s="9">
        <v>5.7223757996309899E-4</v>
      </c>
      <c r="AG123" s="9">
        <v>-1.5969165617481701E-4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7.7409398767540913E-4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7.7409398767540913E-4</v>
      </c>
    </row>
    <row r="124" spans="1:77" x14ac:dyDescent="0.3">
      <c r="A124" s="1">
        <v>46203</v>
      </c>
      <c r="B124" s="8">
        <v>77.25</v>
      </c>
      <c r="C124" s="8">
        <v>299.01</v>
      </c>
      <c r="D124" s="9">
        <v>-1.1199190230623299E-2</v>
      </c>
      <c r="E124" s="9">
        <v>-1.13728280864853E-2</v>
      </c>
      <c r="F124" s="8">
        <v>0</v>
      </c>
      <c r="G124" s="8">
        <v>0.49199999999999999</v>
      </c>
      <c r="H124" s="8">
        <v>0</v>
      </c>
      <c r="I124" s="8">
        <v>1.9807999999999999</v>
      </c>
      <c r="J124" s="8">
        <v>0</v>
      </c>
      <c r="K124" s="8">
        <v>0</v>
      </c>
      <c r="L124" s="8">
        <v>77.25</v>
      </c>
      <c r="M124" s="8">
        <v>299.01</v>
      </c>
      <c r="N124" s="10">
        <v>3.87067961165048</v>
      </c>
      <c r="O124" s="10">
        <v>3.8715231538253501</v>
      </c>
      <c r="P124" s="10">
        <v>3.8740622648956098</v>
      </c>
      <c r="Q124" s="10">
        <v>3.8709875043102899</v>
      </c>
      <c r="R124" s="8">
        <v>299.075163633008</v>
      </c>
      <c r="S124" s="8">
        <v>299.25942537906201</v>
      </c>
      <c r="T124" s="8">
        <v>299.01925762988401</v>
      </c>
      <c r="U124" s="9">
        <v>2.1790753969033199E-4</v>
      </c>
      <c r="V124" s="9">
        <v>8.3382296648763104E-4</v>
      </c>
      <c r="W124" s="9">
        <v>3.0960458095050698E-5</v>
      </c>
      <c r="X124" s="10">
        <v>3.87067961165048</v>
      </c>
      <c r="Y124" s="10">
        <v>3.8715231538253501</v>
      </c>
      <c r="Z124" s="10">
        <v>3.8740622648956098</v>
      </c>
      <c r="AA124" s="10">
        <v>3.8709875043102899</v>
      </c>
      <c r="AB124" s="8">
        <v>299.075163633008</v>
      </c>
      <c r="AC124" s="8">
        <v>299.25942537906201</v>
      </c>
      <c r="AD124" s="8">
        <v>299.01925762988401</v>
      </c>
      <c r="AE124" s="9">
        <v>2.1790753969033199E-4</v>
      </c>
      <c r="AF124" s="9">
        <v>8.3382296648763104E-4</v>
      </c>
      <c r="AG124" s="9">
        <v>3.0960458095050698E-5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7.7409398767540913E-4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7.7409398767540913E-4</v>
      </c>
    </row>
    <row r="125" spans="1:77" x14ac:dyDescent="0.3">
      <c r="A125" s="1">
        <v>46204</v>
      </c>
      <c r="B125" s="8">
        <v>77.7</v>
      </c>
      <c r="C125" s="8">
        <v>300.83999999999997</v>
      </c>
      <c r="D125" s="9">
        <v>5.8083415957469499E-3</v>
      </c>
      <c r="E125" s="9">
        <v>6.1015443107277504E-3</v>
      </c>
      <c r="F125" s="8">
        <v>0</v>
      </c>
      <c r="G125" s="8">
        <v>0.49199999999999999</v>
      </c>
      <c r="H125" s="8">
        <v>0</v>
      </c>
      <c r="I125" s="8">
        <v>1.9807999999999999</v>
      </c>
      <c r="J125" s="8">
        <v>0</v>
      </c>
      <c r="K125" s="8">
        <v>0</v>
      </c>
      <c r="L125" s="8">
        <v>77.7</v>
      </c>
      <c r="M125" s="8">
        <v>300.83999999999997</v>
      </c>
      <c r="N125" s="10">
        <v>3.8718146718146702</v>
      </c>
      <c r="O125" s="10">
        <v>3.8715231538253501</v>
      </c>
      <c r="P125" s="10">
        <v>3.8746095989606402</v>
      </c>
      <c r="Q125" s="10">
        <v>3.8711674401115901</v>
      </c>
      <c r="R125" s="8">
        <v>300.81734905222902</v>
      </c>
      <c r="S125" s="8">
        <v>301.01463798238899</v>
      </c>
      <c r="T125" s="8">
        <v>300.77572908490902</v>
      </c>
      <c r="U125" s="9">
        <v>-7.5295175290388599E-5</v>
      </c>
      <c r="V125" s="9">
        <v>5.8033277894573997E-4</v>
      </c>
      <c r="W125" s="9">
        <v>-2.13661020573598E-4</v>
      </c>
      <c r="X125" s="10">
        <v>3.8718146718146702</v>
      </c>
      <c r="Y125" s="10">
        <v>3.8715231538253501</v>
      </c>
      <c r="Z125" s="10">
        <v>3.8746095989606402</v>
      </c>
      <c r="AA125" s="10">
        <v>3.8711674401115901</v>
      </c>
      <c r="AB125" s="8">
        <v>300.81734905222902</v>
      </c>
      <c r="AC125" s="8">
        <v>301.01463798238899</v>
      </c>
      <c r="AD125" s="8">
        <v>300.77572908490902</v>
      </c>
      <c r="AE125" s="9">
        <v>-7.5295175290388599E-5</v>
      </c>
      <c r="AF125" s="9">
        <v>5.8033277894573997E-4</v>
      </c>
      <c r="AG125" s="9">
        <v>-2.13661020573598E-4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7.7409398767540913E-4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7.7409398767540913E-4</v>
      </c>
    </row>
    <row r="126" spans="1:77" x14ac:dyDescent="0.3">
      <c r="A126" s="1">
        <v>46205</v>
      </c>
      <c r="B126" s="8">
        <v>79.67</v>
      </c>
      <c r="C126" s="8">
        <v>308.41000000000003</v>
      </c>
      <c r="D126" s="9">
        <v>2.5037846018673E-2</v>
      </c>
      <c r="E126" s="9">
        <v>2.48515046268101E-2</v>
      </c>
      <c r="F126" s="8">
        <v>0</v>
      </c>
      <c r="G126" s="8">
        <v>0.49199999999999999</v>
      </c>
      <c r="H126" s="8">
        <v>0</v>
      </c>
      <c r="I126" s="8">
        <v>1.9807999999999999</v>
      </c>
      <c r="J126" s="8">
        <v>0</v>
      </c>
      <c r="K126" s="8">
        <v>0</v>
      </c>
      <c r="L126" s="8">
        <v>79.67</v>
      </c>
      <c r="M126" s="8">
        <v>308.41000000000003</v>
      </c>
      <c r="N126" s="10">
        <v>3.8710932596962402</v>
      </c>
      <c r="O126" s="10">
        <v>3.8715231538253501</v>
      </c>
      <c r="P126" s="10">
        <v>3.8747421169159901</v>
      </c>
      <c r="Q126" s="10">
        <v>3.8712786737218399</v>
      </c>
      <c r="R126" s="8">
        <v>308.44424966526498</v>
      </c>
      <c r="S126" s="8">
        <v>308.69014674919401</v>
      </c>
      <c r="T126" s="8">
        <v>308.41590995369</v>
      </c>
      <c r="U126" s="9">
        <v>1.1104621657236E-4</v>
      </c>
      <c r="V126" s="9">
        <v>9.0794588176770395E-4</v>
      </c>
      <c r="W126" s="9">
        <v>1.9162469006980199E-5</v>
      </c>
      <c r="X126" s="10">
        <v>3.8710932596962402</v>
      </c>
      <c r="Y126" s="10">
        <v>3.8715231538253501</v>
      </c>
      <c r="Z126" s="10">
        <v>3.8747421169159901</v>
      </c>
      <c r="AA126" s="10">
        <v>3.8712786737218399</v>
      </c>
      <c r="AB126" s="8">
        <v>308.44424966526498</v>
      </c>
      <c r="AC126" s="8">
        <v>308.69014674919401</v>
      </c>
      <c r="AD126" s="8">
        <v>308.41590995369</v>
      </c>
      <c r="AE126" s="9">
        <v>1.1104621657236E-4</v>
      </c>
      <c r="AF126" s="9">
        <v>9.0794588176770395E-4</v>
      </c>
      <c r="AG126" s="9">
        <v>1.9162469006980199E-5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7.7409398767540913E-4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7.7409398767540913E-4</v>
      </c>
    </row>
    <row r="127" spans="1:77" x14ac:dyDescent="0.3">
      <c r="A127" s="1">
        <v>46209</v>
      </c>
      <c r="B127" s="8">
        <v>79.03</v>
      </c>
      <c r="C127" s="8">
        <v>305.8</v>
      </c>
      <c r="D127" s="9">
        <v>-8.0655761753906704E-3</v>
      </c>
      <c r="E127" s="9">
        <v>-8.4987730900503693E-3</v>
      </c>
      <c r="F127" s="8">
        <v>0</v>
      </c>
      <c r="G127" s="8">
        <v>0.49199999999999999</v>
      </c>
      <c r="H127" s="8">
        <v>0</v>
      </c>
      <c r="I127" s="8">
        <v>1.9807999999999999</v>
      </c>
      <c r="J127" s="8">
        <v>0</v>
      </c>
      <c r="K127" s="8">
        <v>0</v>
      </c>
      <c r="L127" s="8">
        <v>79.03</v>
      </c>
      <c r="M127" s="8">
        <v>305.8</v>
      </c>
      <c r="N127" s="10">
        <v>3.8694166772111802</v>
      </c>
      <c r="O127" s="10">
        <v>3.8715231538253501</v>
      </c>
      <c r="P127" s="10">
        <v>3.87341183780797</v>
      </c>
      <c r="Q127" s="10">
        <v>3.8713424641753602</v>
      </c>
      <c r="R127" s="8">
        <v>305.96647484681699</v>
      </c>
      <c r="S127" s="8">
        <v>306.22086949987101</v>
      </c>
      <c r="T127" s="8">
        <v>305.94715358423701</v>
      </c>
      <c r="U127" s="9">
        <v>5.4424313123210095E-4</v>
      </c>
      <c r="V127" s="9">
        <v>1.3753438393594899E-3</v>
      </c>
      <c r="W127" s="9">
        <v>4.81092837829378E-4</v>
      </c>
      <c r="X127" s="10">
        <v>3.8694166772111802</v>
      </c>
      <c r="Y127" s="10">
        <v>3.8715231538253501</v>
      </c>
      <c r="Z127" s="10">
        <v>3.87341183780797</v>
      </c>
      <c r="AA127" s="10">
        <v>3.8713424641753602</v>
      </c>
      <c r="AB127" s="8">
        <v>305.96647484681699</v>
      </c>
      <c r="AC127" s="8">
        <v>306.22086949987101</v>
      </c>
      <c r="AD127" s="8">
        <v>305.94715358423701</v>
      </c>
      <c r="AE127" s="9">
        <v>5.4424313123210095E-4</v>
      </c>
      <c r="AF127" s="9">
        <v>1.3753438393594899E-3</v>
      </c>
      <c r="AG127" s="9">
        <v>4.81092837829378E-4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7.7409398767540913E-4</v>
      </c>
      <c r="BL127" s="9"/>
      <c r="BN127">
        <f t="shared" si="30"/>
        <v>0</v>
      </c>
      <c r="BO127">
        <f t="shared" si="31"/>
        <v>0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7.7409398767540913E-4</v>
      </c>
    </row>
    <row r="128" spans="1:77" x14ac:dyDescent="0.3">
      <c r="A128" s="1">
        <v>46210</v>
      </c>
      <c r="B128" s="8">
        <v>80.150000000000006</v>
      </c>
      <c r="C128" s="8">
        <v>310.29000000000002</v>
      </c>
      <c r="D128" s="9">
        <v>1.4072351838678001E-2</v>
      </c>
      <c r="E128" s="9">
        <v>1.4576050562859899E-2</v>
      </c>
      <c r="F128" s="8">
        <v>0</v>
      </c>
      <c r="G128" s="8">
        <v>0.49199999999999999</v>
      </c>
      <c r="H128" s="8">
        <v>0</v>
      </c>
      <c r="I128" s="8">
        <v>1.9807999999999999</v>
      </c>
      <c r="J128" s="8">
        <v>0</v>
      </c>
      <c r="K128" s="8">
        <v>0</v>
      </c>
      <c r="L128" s="8">
        <v>80.150000000000006</v>
      </c>
      <c r="M128" s="8">
        <v>310.29000000000002</v>
      </c>
      <c r="N128" s="10">
        <v>3.8713661883967498</v>
      </c>
      <c r="O128" s="10">
        <v>3.8715231538253501</v>
      </c>
      <c r="P128" s="10">
        <v>3.87215817258013</v>
      </c>
      <c r="Q128" s="10">
        <v>3.8714671461442198</v>
      </c>
      <c r="R128" s="8">
        <v>310.30258077910099</v>
      </c>
      <c r="S128" s="8">
        <v>310.45395880030901</v>
      </c>
      <c r="T128" s="8">
        <v>310.28809850365502</v>
      </c>
      <c r="U128" s="9">
        <v>4.0544407049975903E-5</v>
      </c>
      <c r="V128" s="9">
        <v>5.2826548465917703E-4</v>
      </c>
      <c r="W128" s="9">
        <v>-6.1281451895846096E-6</v>
      </c>
      <c r="X128" s="10">
        <v>3.8713661883967498</v>
      </c>
      <c r="Y128" s="10">
        <v>3.8715231538253501</v>
      </c>
      <c r="Z128" s="10">
        <v>3.87215817258013</v>
      </c>
      <c r="AA128" s="10">
        <v>3.8714671461442198</v>
      </c>
      <c r="AB128" s="8">
        <v>310.30258077910099</v>
      </c>
      <c r="AC128" s="8">
        <v>310.45395880030901</v>
      </c>
      <c r="AD128" s="8">
        <v>310.28809850365502</v>
      </c>
      <c r="AE128" s="9">
        <v>4.0544407049975903E-5</v>
      </c>
      <c r="AF128" s="9">
        <v>5.2826548465917703E-4</v>
      </c>
      <c r="AG128" s="9">
        <v>-6.1281451895846096E-6</v>
      </c>
      <c r="AZ128" s="9"/>
      <c r="BB128">
        <f t="shared" si="22"/>
        <v>0</v>
      </c>
      <c r="BC128">
        <f t="shared" si="23"/>
        <v>0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7.7409398767540913E-4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7.7409398767540913E-4</v>
      </c>
    </row>
    <row r="129" spans="1:77" x14ac:dyDescent="0.3">
      <c r="A129" s="1">
        <v>46211</v>
      </c>
      <c r="B129" s="8">
        <v>79.17</v>
      </c>
      <c r="C129" s="8">
        <v>306.41000000000003</v>
      </c>
      <c r="D129" s="9">
        <v>-1.23024398722196E-2</v>
      </c>
      <c r="E129" s="9">
        <v>-1.25832696482455E-2</v>
      </c>
      <c r="F129" s="8">
        <v>0</v>
      </c>
      <c r="G129" s="8">
        <v>0.49199999999999999</v>
      </c>
      <c r="H129" s="8">
        <v>0</v>
      </c>
      <c r="I129" s="8">
        <v>1.9807999999999999</v>
      </c>
      <c r="J129" s="8">
        <v>0</v>
      </c>
      <c r="K129" s="8">
        <v>0</v>
      </c>
      <c r="L129" s="8">
        <v>79.17</v>
      </c>
      <c r="M129" s="8">
        <v>306.41000000000003</v>
      </c>
      <c r="N129" s="10">
        <v>3.8702791461412098</v>
      </c>
      <c r="O129" s="10">
        <v>3.8715231538253501</v>
      </c>
      <c r="P129" s="10">
        <v>3.87098026458085</v>
      </c>
      <c r="Q129" s="10">
        <v>3.8716414009809599</v>
      </c>
      <c r="R129" s="8">
        <v>306.50848808835298</v>
      </c>
      <c r="S129" s="8">
        <v>306.55876252316898</v>
      </c>
      <c r="T129" s="8">
        <v>306.50405396023802</v>
      </c>
      <c r="U129" s="9">
        <v>3.2137418307574302E-4</v>
      </c>
      <c r="V129" s="9">
        <v>4.85383710183598E-4</v>
      </c>
      <c r="W129" s="9">
        <v>3.0690750315975099E-4</v>
      </c>
      <c r="X129" s="10">
        <v>3.8702791461412098</v>
      </c>
      <c r="Y129" s="10">
        <v>3.8715231538253501</v>
      </c>
      <c r="Z129" s="10">
        <v>3.87098026458085</v>
      </c>
      <c r="AA129" s="10">
        <v>3.8716414009809599</v>
      </c>
      <c r="AB129" s="8">
        <v>306.50848808835298</v>
      </c>
      <c r="AC129" s="8">
        <v>306.55876252316898</v>
      </c>
      <c r="AD129" s="8">
        <v>306.50405396023802</v>
      </c>
      <c r="AE129" s="9">
        <v>3.2137418307574302E-4</v>
      </c>
      <c r="AF129" s="9">
        <v>4.85383710183598E-4</v>
      </c>
      <c r="AG129" s="9">
        <v>3.0690750315975099E-4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7.7409398767540913E-4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7.7409398767540913E-4</v>
      </c>
    </row>
    <row r="130" spans="1:77" x14ac:dyDescent="0.3">
      <c r="A130" s="1">
        <v>46212</v>
      </c>
      <c r="B130" s="8">
        <v>79.209999999999994</v>
      </c>
      <c r="C130" s="8">
        <v>306.54000000000002</v>
      </c>
      <c r="D130" s="9">
        <v>5.0511429284583003E-4</v>
      </c>
      <c r="E130" s="9">
        <v>4.2417816118512502E-4</v>
      </c>
      <c r="F130" s="8">
        <v>0</v>
      </c>
      <c r="G130" s="8">
        <v>0.49199999999999999</v>
      </c>
      <c r="H130" s="8">
        <v>0</v>
      </c>
      <c r="I130" s="8">
        <v>1.9807999999999999</v>
      </c>
      <c r="J130" s="8">
        <v>0</v>
      </c>
      <c r="K130" s="8">
        <v>0</v>
      </c>
      <c r="L130" s="8">
        <v>79.209999999999994</v>
      </c>
      <c r="M130" s="8">
        <v>306.54000000000002</v>
      </c>
      <c r="N130" s="10">
        <v>3.8699659133947701</v>
      </c>
      <c r="O130" s="10">
        <v>3.8715231538253501</v>
      </c>
      <c r="P130" s="10">
        <v>3.87083553116838</v>
      </c>
      <c r="Q130" s="10">
        <v>3.8718193683848598</v>
      </c>
      <c r="R130" s="8">
        <v>306.66334901450603</v>
      </c>
      <c r="S130" s="8">
        <v>306.620346757449</v>
      </c>
      <c r="T130" s="8">
        <v>306.672715371702</v>
      </c>
      <c r="U130" s="9">
        <v>4.0231031473662301E-4</v>
      </c>
      <c r="V130" s="9">
        <v>2.62074213814281E-4</v>
      </c>
      <c r="W130" s="9">
        <v>4.3285264785830602E-4</v>
      </c>
      <c r="X130" s="10">
        <v>3.8699659133947701</v>
      </c>
      <c r="Y130" s="10">
        <v>3.8715231538253501</v>
      </c>
      <c r="Z130" s="10">
        <v>3.87083553116838</v>
      </c>
      <c r="AA130" s="10">
        <v>3.8718193683848598</v>
      </c>
      <c r="AB130" s="8">
        <v>306.66334901450603</v>
      </c>
      <c r="AC130" s="8">
        <v>306.620346757449</v>
      </c>
      <c r="AD130" s="8">
        <v>306.672715371702</v>
      </c>
      <c r="AE130" s="9">
        <v>4.0231031473662301E-4</v>
      </c>
      <c r="AF130" s="9">
        <v>2.62074213814281E-4</v>
      </c>
      <c r="AG130" s="9">
        <v>4.3285264785830602E-4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7.7409398767540913E-4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7.7409398767540913E-4</v>
      </c>
    </row>
    <row r="131" spans="1:77" x14ac:dyDescent="0.3">
      <c r="A131" s="1">
        <v>46213</v>
      </c>
      <c r="B131" s="8">
        <v>78.41</v>
      </c>
      <c r="C131" s="8">
        <v>303.45999999999998</v>
      </c>
      <c r="D131" s="9">
        <v>-1.0151083233357699E-2</v>
      </c>
      <c r="E131" s="9">
        <v>-1.0098446473666501E-2</v>
      </c>
      <c r="F131" s="8">
        <v>0</v>
      </c>
      <c r="G131" s="8">
        <v>0.49199999999999999</v>
      </c>
      <c r="H131" s="8">
        <v>0</v>
      </c>
      <c r="I131" s="8">
        <v>1.9807999999999999</v>
      </c>
      <c r="J131" s="8">
        <v>0</v>
      </c>
      <c r="K131" s="8">
        <v>0</v>
      </c>
      <c r="L131" s="8">
        <v>78.41</v>
      </c>
      <c r="M131" s="8">
        <v>303.45999999999998</v>
      </c>
      <c r="N131" s="10">
        <v>3.87016962122178</v>
      </c>
      <c r="O131" s="10">
        <v>3.8715231538253501</v>
      </c>
      <c r="P131" s="10">
        <v>3.8707075600100702</v>
      </c>
      <c r="Q131" s="10">
        <v>3.8719564053190898</v>
      </c>
      <c r="R131" s="8">
        <v>303.56613049144499</v>
      </c>
      <c r="S131" s="8">
        <v>303.51221399891301</v>
      </c>
      <c r="T131" s="8">
        <v>303.58935667505699</v>
      </c>
      <c r="U131" s="9">
        <v>3.4967355504569799E-4</v>
      </c>
      <c r="V131" s="9">
        <v>1.72047411191904E-4</v>
      </c>
      <c r="W131" s="9">
        <v>4.2618174483757902E-4</v>
      </c>
      <c r="X131" s="10">
        <v>3.87016962122178</v>
      </c>
      <c r="Y131" s="10">
        <v>3.8715231538253501</v>
      </c>
      <c r="Z131" s="10">
        <v>3.8707075600100702</v>
      </c>
      <c r="AA131" s="10">
        <v>3.8719564053190898</v>
      </c>
      <c r="AB131" s="8">
        <v>303.56613049144499</v>
      </c>
      <c r="AC131" s="8">
        <v>303.51221399891301</v>
      </c>
      <c r="AD131" s="8">
        <v>303.58935667505699</v>
      </c>
      <c r="AE131" s="9">
        <v>3.4967355504569799E-4</v>
      </c>
      <c r="AF131" s="9">
        <v>1.72047411191904E-4</v>
      </c>
      <c r="AG131" s="9">
        <v>4.2618174483757902E-4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7.7409398767540913E-4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7.7409398767540913E-4</v>
      </c>
    </row>
    <row r="132" spans="1:77" x14ac:dyDescent="0.3">
      <c r="A132" s="1">
        <v>46216</v>
      </c>
      <c r="B132" s="8">
        <v>78.45</v>
      </c>
      <c r="C132" s="8">
        <v>303.58999999999997</v>
      </c>
      <c r="D132" s="9">
        <v>5.1000893621100504E-4</v>
      </c>
      <c r="E132" s="9">
        <v>4.2830080549300498E-4</v>
      </c>
      <c r="F132" s="8">
        <v>0</v>
      </c>
      <c r="G132" s="8">
        <v>0.49199999999999999</v>
      </c>
      <c r="H132" s="8">
        <v>0</v>
      </c>
      <c r="I132" s="8">
        <v>1.9807999999999999</v>
      </c>
      <c r="J132" s="8">
        <v>0</v>
      </c>
      <c r="K132" s="8">
        <v>0</v>
      </c>
      <c r="L132" s="8">
        <v>78.45</v>
      </c>
      <c r="M132" s="8">
        <v>303.58999999999997</v>
      </c>
      <c r="N132" s="10">
        <v>3.86985340981516</v>
      </c>
      <c r="O132" s="10">
        <v>3.8715231538253501</v>
      </c>
      <c r="P132" s="10">
        <v>3.8705990265855301</v>
      </c>
      <c r="Q132" s="10">
        <v>3.8720833800169698</v>
      </c>
      <c r="R132" s="8">
        <v>303.72099141759799</v>
      </c>
      <c r="S132" s="8">
        <v>303.65700808279001</v>
      </c>
      <c r="T132" s="8">
        <v>303.75497999728299</v>
      </c>
      <c r="U132" s="9">
        <v>4.3138168576339501E-4</v>
      </c>
      <c r="V132" s="9">
        <v>2.2069465035106099E-4</v>
      </c>
      <c r="W132" s="9">
        <v>5.4328267055722397E-4</v>
      </c>
      <c r="X132" s="10">
        <v>3.86985340981516</v>
      </c>
      <c r="Y132" s="10">
        <v>3.8715231538253501</v>
      </c>
      <c r="Z132" s="10">
        <v>3.8705990265855301</v>
      </c>
      <c r="AA132" s="10">
        <v>3.8720833800169698</v>
      </c>
      <c r="AB132" s="8">
        <v>303.72099141759799</v>
      </c>
      <c r="AC132" s="8">
        <v>303.65700808279001</v>
      </c>
      <c r="AD132" s="8">
        <v>303.75497999728299</v>
      </c>
      <c r="AE132" s="9">
        <v>4.3138168576339501E-4</v>
      </c>
      <c r="AF132" s="9">
        <v>2.2069465035106099E-4</v>
      </c>
      <c r="AG132" s="9">
        <v>5.4328267055722397E-4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7.7409398767540913E-4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7.7409398767540913E-4</v>
      </c>
    </row>
    <row r="133" spans="1:77" x14ac:dyDescent="0.3">
      <c r="A133" s="1">
        <v>46217</v>
      </c>
      <c r="B133" s="8">
        <v>77.16</v>
      </c>
      <c r="C133" s="8">
        <v>298.58999999999997</v>
      </c>
      <c r="D133" s="9">
        <v>-1.6580291141513302E-2</v>
      </c>
      <c r="E133" s="9">
        <v>-1.6606711976506299E-2</v>
      </c>
      <c r="F133" s="8">
        <v>0</v>
      </c>
      <c r="G133" s="8">
        <v>0.49199999999999999</v>
      </c>
      <c r="H133" s="8">
        <v>0</v>
      </c>
      <c r="I133" s="8">
        <v>1.9807999999999999</v>
      </c>
      <c r="J133" s="8">
        <v>0</v>
      </c>
      <c r="K133" s="8">
        <v>0</v>
      </c>
      <c r="L133" s="8">
        <v>77.16</v>
      </c>
      <c r="M133" s="8">
        <v>298.58999999999997</v>
      </c>
      <c r="N133" s="10">
        <v>3.8697511664074602</v>
      </c>
      <c r="O133" s="10">
        <v>3.8715231538253501</v>
      </c>
      <c r="P133" s="10">
        <v>3.8704389665749699</v>
      </c>
      <c r="Q133" s="10">
        <v>3.8721736928607098</v>
      </c>
      <c r="R133" s="8">
        <v>298.72672654916403</v>
      </c>
      <c r="S133" s="8">
        <v>298.65542089133902</v>
      </c>
      <c r="T133" s="8">
        <v>298.76995360210998</v>
      </c>
      <c r="U133" s="9">
        <v>4.57802520756618E-4</v>
      </c>
      <c r="V133" s="9">
        <v>2.1907540623379701E-4</v>
      </c>
      <c r="W133" s="9">
        <v>6.0249638921549696E-4</v>
      </c>
      <c r="X133" s="10">
        <v>3.8697511664074602</v>
      </c>
      <c r="Y133" s="10">
        <v>3.8715231538253501</v>
      </c>
      <c r="Z133" s="10">
        <v>3.8704389665749699</v>
      </c>
      <c r="AA133" s="10">
        <v>3.8721736928607098</v>
      </c>
      <c r="AB133" s="8">
        <v>298.72672654916403</v>
      </c>
      <c r="AC133" s="8">
        <v>298.65542089133902</v>
      </c>
      <c r="AD133" s="8">
        <v>298.76995360210998</v>
      </c>
      <c r="AE133" s="9">
        <v>4.57802520756618E-4</v>
      </c>
      <c r="AF133" s="9">
        <v>2.1907540623379701E-4</v>
      </c>
      <c r="AG133" s="9">
        <v>6.0249638921549696E-4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7.7409398767540913E-4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7.7409398767540913E-4</v>
      </c>
    </row>
    <row r="134" spans="1:77" x14ac:dyDescent="0.3">
      <c r="A134" s="1">
        <v>46218</v>
      </c>
      <c r="B134" s="8">
        <v>77.22</v>
      </c>
      <c r="C134" s="8">
        <v>299.01</v>
      </c>
      <c r="D134" s="9">
        <v>7.7730279856201199E-4</v>
      </c>
      <c r="E134" s="9">
        <v>1.4056227213926299E-3</v>
      </c>
      <c r="F134" s="8">
        <v>0</v>
      </c>
      <c r="G134" s="8">
        <v>0.49199999999999999</v>
      </c>
      <c r="H134" s="8">
        <v>0</v>
      </c>
      <c r="I134" s="8">
        <v>1.9807999999999999</v>
      </c>
      <c r="J134" s="8">
        <v>0</v>
      </c>
      <c r="K134" s="8">
        <v>0</v>
      </c>
      <c r="L134" s="8">
        <v>77.22</v>
      </c>
      <c r="M134" s="8">
        <v>299.01</v>
      </c>
      <c r="N134" s="10">
        <v>3.8721833721833701</v>
      </c>
      <c r="O134" s="10">
        <v>3.8715231538253501</v>
      </c>
      <c r="P134" s="10">
        <v>3.8705893426282598</v>
      </c>
      <c r="Q134" s="10">
        <v>3.8723258037619401</v>
      </c>
      <c r="R134" s="8">
        <v>298.959017938393</v>
      </c>
      <c r="S134" s="8">
        <v>298.875296998919</v>
      </c>
      <c r="T134" s="8">
        <v>299.00925256270398</v>
      </c>
      <c r="U134" s="9">
        <v>-1.7051740207414901E-4</v>
      </c>
      <c r="V134" s="9">
        <v>-4.5059814662016802E-4</v>
      </c>
      <c r="W134" s="9">
        <v>-2.4997098094714601E-6</v>
      </c>
      <c r="X134" s="10">
        <v>3.8721833721833701</v>
      </c>
      <c r="Y134" s="10">
        <v>3.8715231538253501</v>
      </c>
      <c r="Z134" s="10">
        <v>3.8705893426282598</v>
      </c>
      <c r="AA134" s="10">
        <v>3.8723258037619401</v>
      </c>
      <c r="AB134" s="8">
        <v>298.959017938393</v>
      </c>
      <c r="AC134" s="8">
        <v>298.875296998919</v>
      </c>
      <c r="AD134" s="8">
        <v>299.00925256270398</v>
      </c>
      <c r="AE134" s="9">
        <v>-1.7051740207414901E-4</v>
      </c>
      <c r="AF134" s="9">
        <v>-4.5059814662016802E-4</v>
      </c>
      <c r="AG134" s="9">
        <v>-2.4997098094714601E-6</v>
      </c>
      <c r="AZ134" s="9"/>
      <c r="BB134">
        <f t="shared" si="22"/>
        <v>0</v>
      </c>
      <c r="BC134">
        <f t="shared" si="23"/>
        <v>0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7.7409398767540913E-4</v>
      </c>
      <c r="BL134" s="9"/>
      <c r="BN134">
        <f t="shared" si="30"/>
        <v>0</v>
      </c>
      <c r="BO134">
        <f t="shared" si="31"/>
        <v>1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7.7409398767540913E-4</v>
      </c>
    </row>
    <row r="135" spans="1:77" x14ac:dyDescent="0.3">
      <c r="A135" s="1">
        <v>46219</v>
      </c>
      <c r="B135" s="8">
        <v>78.61</v>
      </c>
      <c r="C135" s="8">
        <v>304.14999999999998</v>
      </c>
      <c r="D135" s="9">
        <v>1.7840426969574798E-2</v>
      </c>
      <c r="E135" s="9">
        <v>1.7043983119239801E-2</v>
      </c>
      <c r="F135" s="8">
        <v>0</v>
      </c>
      <c r="G135" s="8">
        <v>0.49199999999999999</v>
      </c>
      <c r="H135" s="8">
        <v>0</v>
      </c>
      <c r="I135" s="8">
        <v>1.9807999999999999</v>
      </c>
      <c r="J135" s="8">
        <v>0</v>
      </c>
      <c r="K135" s="8">
        <v>0</v>
      </c>
      <c r="L135" s="8">
        <v>78.61</v>
      </c>
      <c r="M135" s="8">
        <v>304.14999999999998</v>
      </c>
      <c r="N135" s="10">
        <v>3.8691006233303602</v>
      </c>
      <c r="O135" s="10">
        <v>3.8715231538253501</v>
      </c>
      <c r="P135" s="10">
        <v>3.8703179377798298</v>
      </c>
      <c r="Q135" s="10">
        <v>3.8724637683702299</v>
      </c>
      <c r="R135" s="8">
        <v>304.34043512221001</v>
      </c>
      <c r="S135" s="8">
        <v>304.26702822400699</v>
      </c>
      <c r="T135" s="8">
        <v>304.40353143372602</v>
      </c>
      <c r="U135" s="9">
        <v>6.2592644826090502E-4</v>
      </c>
      <c r="V135" s="9">
        <v>3.8469740333460202E-4</v>
      </c>
      <c r="W135" s="9">
        <v>8.3322644697188697E-4</v>
      </c>
      <c r="X135" s="10">
        <v>3.8691006233303602</v>
      </c>
      <c r="Y135" s="10">
        <v>3.8715231538253501</v>
      </c>
      <c r="Z135" s="10">
        <v>3.8703179377798298</v>
      </c>
      <c r="AA135" s="10">
        <v>3.8724637683702299</v>
      </c>
      <c r="AB135" s="8">
        <v>304.34043512221001</v>
      </c>
      <c r="AC135" s="8">
        <v>304.26702822400699</v>
      </c>
      <c r="AD135" s="8">
        <v>304.40353143372602</v>
      </c>
      <c r="AE135" s="9">
        <v>6.2592644826090502E-4</v>
      </c>
      <c r="AF135" s="9">
        <v>3.8469740333460202E-4</v>
      </c>
      <c r="AG135" s="9">
        <v>8.3322644697188697E-4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7.7409398767540913E-4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7.7409398767540913E-4</v>
      </c>
    </row>
    <row r="136" spans="1:77" x14ac:dyDescent="0.3">
      <c r="A136" s="1">
        <v>46220</v>
      </c>
      <c r="B136" s="8">
        <v>78.39</v>
      </c>
      <c r="C136" s="8">
        <v>303.25</v>
      </c>
      <c r="D136" s="9">
        <v>-2.8025496050342602E-3</v>
      </c>
      <c r="E136" s="9">
        <v>-2.9634529425547102E-3</v>
      </c>
      <c r="F136" s="8">
        <v>0</v>
      </c>
      <c r="G136" s="8">
        <v>0.49199999999999999</v>
      </c>
      <c r="H136" s="8">
        <v>0</v>
      </c>
      <c r="I136" s="8">
        <v>1.9807999999999999</v>
      </c>
      <c r="J136" s="8">
        <v>0</v>
      </c>
      <c r="K136" s="8">
        <v>0</v>
      </c>
      <c r="L136" s="8">
        <v>78.39</v>
      </c>
      <c r="M136" s="8">
        <v>303.25</v>
      </c>
      <c r="N136" s="10">
        <v>3.86847812220946</v>
      </c>
      <c r="O136" s="10">
        <v>3.8715231538253501</v>
      </c>
      <c r="P136" s="10">
        <v>3.8700564240311501</v>
      </c>
      <c r="Q136" s="10">
        <v>3.8723992704735699</v>
      </c>
      <c r="R136" s="8">
        <v>303.48870002836901</v>
      </c>
      <c r="S136" s="8">
        <v>303.39422314256097</v>
      </c>
      <c r="T136" s="8">
        <v>303.56243480254199</v>
      </c>
      <c r="U136" s="9">
        <v>7.8682978578142502E-4</v>
      </c>
      <c r="V136" s="9">
        <v>4.7547850874145298E-4</v>
      </c>
      <c r="W136" s="9">
        <v>1.0297575073701E-3</v>
      </c>
      <c r="X136" s="10">
        <v>3.86847812220946</v>
      </c>
      <c r="Y136" s="10">
        <v>3.8715231538253501</v>
      </c>
      <c r="Z136" s="10">
        <v>3.8700564240311501</v>
      </c>
      <c r="AA136" s="10">
        <v>3.8723992704735699</v>
      </c>
      <c r="AB136" s="8">
        <v>303.48870002836901</v>
      </c>
      <c r="AC136" s="8">
        <v>303.39422314256097</v>
      </c>
      <c r="AD136" s="8">
        <v>303.56243480254199</v>
      </c>
      <c r="AE136" s="9">
        <v>7.8682978578142502E-4</v>
      </c>
      <c r="AF136" s="9">
        <v>4.7547850874145298E-4</v>
      </c>
      <c r="AG136" s="9">
        <v>1.0297575073701E-3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7.7409398767540913E-4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7.7409398767540913E-4</v>
      </c>
    </row>
    <row r="137" spans="1:77" x14ac:dyDescent="0.3">
      <c r="A137" s="1">
        <v>46223</v>
      </c>
      <c r="B137" s="8">
        <v>77.430000000000007</v>
      </c>
      <c r="C137" s="8">
        <v>299.49</v>
      </c>
      <c r="D137" s="9">
        <v>-1.2322065801998501E-2</v>
      </c>
      <c r="E137" s="9">
        <v>-1.24765198077159E-2</v>
      </c>
      <c r="F137" s="8">
        <v>0</v>
      </c>
      <c r="G137" s="8">
        <v>0.49199999999999999</v>
      </c>
      <c r="H137" s="8">
        <v>0</v>
      </c>
      <c r="I137" s="8">
        <v>1.9807999999999999</v>
      </c>
      <c r="J137" s="8">
        <v>0</v>
      </c>
      <c r="K137" s="8">
        <v>0</v>
      </c>
      <c r="L137" s="8">
        <v>77.430000000000007</v>
      </c>
      <c r="M137" s="8">
        <v>299.49</v>
      </c>
      <c r="N137" s="10">
        <v>3.86788066640836</v>
      </c>
      <c r="O137" s="10">
        <v>3.8715231538253501</v>
      </c>
      <c r="P137" s="10">
        <v>3.8699028229508698</v>
      </c>
      <c r="Q137" s="10">
        <v>3.8716573303794202</v>
      </c>
      <c r="R137" s="8">
        <v>299.77203780069698</v>
      </c>
      <c r="S137" s="8">
        <v>299.65846891273202</v>
      </c>
      <c r="T137" s="8">
        <v>299.839875512768</v>
      </c>
      <c r="U137" s="9">
        <v>9.4128379149882005E-4</v>
      </c>
      <c r="V137" s="9">
        <v>5.6236117060587604E-4</v>
      </c>
      <c r="W137" s="9">
        <v>1.1675558546619801E-3</v>
      </c>
      <c r="X137" s="10">
        <v>3.86788066640836</v>
      </c>
      <c r="Y137" s="10">
        <v>3.8715231538253501</v>
      </c>
      <c r="Z137" s="10">
        <v>3.8699028229508698</v>
      </c>
      <c r="AA137" s="10">
        <v>3.8716573303794202</v>
      </c>
      <c r="AB137" s="8">
        <v>299.77203780069698</v>
      </c>
      <c r="AC137" s="8">
        <v>299.65846891273202</v>
      </c>
      <c r="AD137" s="8">
        <v>299.839875512768</v>
      </c>
      <c r="AE137" s="9">
        <v>9.4128379149882005E-4</v>
      </c>
      <c r="AF137" s="9">
        <v>5.6236117060587604E-4</v>
      </c>
      <c r="AG137" s="9">
        <v>1.1675558546619801E-3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7.7409398767540913E-4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7.7409398767540913E-4</v>
      </c>
    </row>
    <row r="138" spans="1:77" x14ac:dyDescent="0.3">
      <c r="A138" s="1">
        <v>46224</v>
      </c>
      <c r="B138" s="8">
        <v>78.03</v>
      </c>
      <c r="C138" s="8">
        <v>301.92</v>
      </c>
      <c r="D138" s="9">
        <v>7.7190657300375397E-3</v>
      </c>
      <c r="E138" s="9">
        <v>8.0810536037965799E-3</v>
      </c>
      <c r="F138" s="8">
        <v>0</v>
      </c>
      <c r="G138" s="8">
        <v>0.49199999999999999</v>
      </c>
      <c r="H138" s="8">
        <v>0</v>
      </c>
      <c r="I138" s="8">
        <v>1.9807999999999999</v>
      </c>
      <c r="J138" s="8">
        <v>0</v>
      </c>
      <c r="K138" s="8">
        <v>0</v>
      </c>
      <c r="L138" s="8">
        <v>78.03</v>
      </c>
      <c r="M138" s="8">
        <v>301.92</v>
      </c>
      <c r="N138" s="10">
        <v>3.86928104575163</v>
      </c>
      <c r="O138" s="10">
        <v>3.8715231538253501</v>
      </c>
      <c r="P138" s="10">
        <v>3.86969430868636</v>
      </c>
      <c r="Q138" s="10">
        <v>3.8709262406332399</v>
      </c>
      <c r="R138" s="8">
        <v>302.09495169299203</v>
      </c>
      <c r="S138" s="8">
        <v>301.96851727485603</v>
      </c>
      <c r="T138" s="8">
        <v>302.105421489506</v>
      </c>
      <c r="U138" s="9">
        <v>5.7929591773965604E-4</v>
      </c>
      <c r="V138" s="9">
        <v>1.6068288623864301E-4</v>
      </c>
      <c r="W138" s="9">
        <v>6.1395262097993096E-4</v>
      </c>
      <c r="X138" s="10">
        <v>3.86928104575163</v>
      </c>
      <c r="Y138" s="10">
        <v>3.8715231538253501</v>
      </c>
      <c r="Z138" s="10">
        <v>3.86969430868636</v>
      </c>
      <c r="AA138" s="10">
        <v>3.8709262406332399</v>
      </c>
      <c r="AB138" s="8">
        <v>302.09495169299203</v>
      </c>
      <c r="AC138" s="8">
        <v>301.96851727485603</v>
      </c>
      <c r="AD138" s="8">
        <v>302.105421489506</v>
      </c>
      <c r="AE138" s="9">
        <v>5.7929591773965604E-4</v>
      </c>
      <c r="AF138" s="9">
        <v>1.6068288623864301E-4</v>
      </c>
      <c r="AG138" s="9">
        <v>6.1395262097993096E-4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7.7409398767540913E-4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7.7409398767540913E-4</v>
      </c>
    </row>
    <row r="139" spans="1:77" x14ac:dyDescent="0.3">
      <c r="A139" s="1">
        <v>46225</v>
      </c>
      <c r="B139" s="8">
        <v>77.5</v>
      </c>
      <c r="C139" s="8">
        <v>299.8</v>
      </c>
      <c r="D139" s="9">
        <v>-6.8154317693685804E-3</v>
      </c>
      <c r="E139" s="9">
        <v>-7.04649595174274E-3</v>
      </c>
      <c r="F139" s="8">
        <v>0</v>
      </c>
      <c r="G139" s="8">
        <v>0.49199999999999999</v>
      </c>
      <c r="H139" s="8">
        <v>0</v>
      </c>
      <c r="I139" s="8">
        <v>1.9807999999999999</v>
      </c>
      <c r="J139" s="8">
        <v>0</v>
      </c>
      <c r="K139" s="8">
        <v>0</v>
      </c>
      <c r="L139" s="8">
        <v>77.5</v>
      </c>
      <c r="M139" s="8">
        <v>299.8</v>
      </c>
      <c r="N139" s="10">
        <v>3.8683870967741898</v>
      </c>
      <c r="O139" s="10">
        <v>3.8715231538253501</v>
      </c>
      <c r="P139" s="10">
        <v>3.86950510374965</v>
      </c>
      <c r="Q139" s="10">
        <v>3.87024268416525</v>
      </c>
      <c r="R139" s="8">
        <v>300.043044421464</v>
      </c>
      <c r="S139" s="8">
        <v>299.90130892319303</v>
      </c>
      <c r="T139" s="8">
        <v>299.99678364907601</v>
      </c>
      <c r="U139" s="9">
        <v>8.1036010011384298E-4</v>
      </c>
      <c r="V139" s="9">
        <v>3.3786460909556099E-4</v>
      </c>
      <c r="W139" s="9">
        <v>6.5616776048745397E-4</v>
      </c>
      <c r="X139" s="10">
        <v>3.8683870967741898</v>
      </c>
      <c r="Y139" s="10">
        <v>3.8715231538253501</v>
      </c>
      <c r="Z139" s="10">
        <v>3.86950510374965</v>
      </c>
      <c r="AA139" s="10">
        <v>3.87024268416525</v>
      </c>
      <c r="AB139" s="8">
        <v>300.043044421464</v>
      </c>
      <c r="AC139" s="8">
        <v>299.90130892319303</v>
      </c>
      <c r="AD139" s="8">
        <v>299.99678364907601</v>
      </c>
      <c r="AE139" s="9">
        <v>8.1036010011384298E-4</v>
      </c>
      <c r="AF139" s="9">
        <v>3.3786460909556099E-4</v>
      </c>
      <c r="AG139" s="9">
        <v>6.5616776048745397E-4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7.7409398767540913E-4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7.7409398767540913E-4</v>
      </c>
    </row>
    <row r="140" spans="1:77" x14ac:dyDescent="0.3">
      <c r="A140" s="1">
        <v>46226</v>
      </c>
      <c r="B140" s="8">
        <v>78.400000000000006</v>
      </c>
      <c r="C140" s="8">
        <v>303.31</v>
      </c>
      <c r="D140" s="9">
        <v>1.15459909970609E-2</v>
      </c>
      <c r="E140" s="9">
        <v>1.1639799138633901E-2</v>
      </c>
      <c r="F140" s="8">
        <v>0</v>
      </c>
      <c r="G140" s="8">
        <v>0.49199999999999999</v>
      </c>
      <c r="H140" s="8">
        <v>0</v>
      </c>
      <c r="I140" s="8">
        <v>1.9807999999999999</v>
      </c>
      <c r="J140" s="8">
        <v>0</v>
      </c>
      <c r="K140" s="8">
        <v>0</v>
      </c>
      <c r="L140" s="8">
        <v>78.400000000000006</v>
      </c>
      <c r="M140" s="8">
        <v>303.31</v>
      </c>
      <c r="N140" s="10">
        <v>3.8687499999999999</v>
      </c>
      <c r="O140" s="10">
        <v>3.8715231538253501</v>
      </c>
      <c r="P140" s="10">
        <v>3.8693835124101801</v>
      </c>
      <c r="Q140" s="10">
        <v>3.87010952178928</v>
      </c>
      <c r="R140" s="8">
        <v>303.527415259907</v>
      </c>
      <c r="S140" s="8">
        <v>303.36920013397298</v>
      </c>
      <c r="T140" s="8">
        <v>303.42702643855603</v>
      </c>
      <c r="U140" s="9">
        <v>7.1655195854104499E-4</v>
      </c>
      <c r="V140" s="9">
        <v>1.95161245508607E-4</v>
      </c>
      <c r="W140" s="9">
        <v>3.8575671141839502E-4</v>
      </c>
      <c r="X140" s="10">
        <v>3.8687499999999999</v>
      </c>
      <c r="Y140" s="10">
        <v>3.8715231538253501</v>
      </c>
      <c r="Z140" s="10">
        <v>3.8693835124101801</v>
      </c>
      <c r="AA140" s="10">
        <v>3.87010952178928</v>
      </c>
      <c r="AB140" s="8">
        <v>303.527415259907</v>
      </c>
      <c r="AC140" s="8">
        <v>303.36920013397298</v>
      </c>
      <c r="AD140" s="8">
        <v>303.42702643855603</v>
      </c>
      <c r="AE140" s="9">
        <v>7.1655195854104499E-4</v>
      </c>
      <c r="AF140" s="9">
        <v>1.95161245508607E-4</v>
      </c>
      <c r="AG140" s="9">
        <v>3.8575671141839502E-4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7.7409398767540913E-4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7.7409398767540913E-4</v>
      </c>
    </row>
    <row r="141" spans="1:77" x14ac:dyDescent="0.3">
      <c r="A141" s="1">
        <v>46227</v>
      </c>
      <c r="B141" s="8">
        <v>78.84</v>
      </c>
      <c r="C141" s="8">
        <v>305.07</v>
      </c>
      <c r="D141" s="9">
        <v>5.5965549281573003E-3</v>
      </c>
      <c r="E141" s="9">
        <v>5.7858736640243403E-3</v>
      </c>
      <c r="F141" s="8">
        <v>0</v>
      </c>
      <c r="G141" s="8">
        <v>0.49199999999999999</v>
      </c>
      <c r="H141" s="8">
        <v>0</v>
      </c>
      <c r="I141" s="8">
        <v>1.9807999999999999</v>
      </c>
      <c r="J141" s="8">
        <v>0</v>
      </c>
      <c r="K141" s="8">
        <v>0</v>
      </c>
      <c r="L141" s="8">
        <v>78.84</v>
      </c>
      <c r="M141" s="8">
        <v>305.07</v>
      </c>
      <c r="N141" s="10">
        <v>3.86948249619482</v>
      </c>
      <c r="O141" s="10">
        <v>3.8715231538253501</v>
      </c>
      <c r="P141" s="10">
        <v>3.86931479990748</v>
      </c>
      <c r="Q141" s="10">
        <v>3.8700111799587802</v>
      </c>
      <c r="R141" s="8">
        <v>305.23088544759003</v>
      </c>
      <c r="S141" s="8">
        <v>305.062196118418</v>
      </c>
      <c r="T141" s="8">
        <v>305.11943469786701</v>
      </c>
      <c r="U141" s="9">
        <v>5.27233222673884E-4</v>
      </c>
      <c r="V141" s="9">
        <v>-2.55809532143287E-5</v>
      </c>
      <c r="W141" s="9">
        <v>1.62030658560456E-4</v>
      </c>
      <c r="X141" s="10">
        <v>3.86948249619482</v>
      </c>
      <c r="Y141" s="10">
        <v>3.8715231538253501</v>
      </c>
      <c r="Z141" s="10">
        <v>3.86931479990748</v>
      </c>
      <c r="AA141" s="10">
        <v>3.8700111799587802</v>
      </c>
      <c r="AB141" s="8">
        <v>305.23088544759003</v>
      </c>
      <c r="AC141" s="8">
        <v>305.062196118418</v>
      </c>
      <c r="AD141" s="8">
        <v>305.11943469786701</v>
      </c>
      <c r="AE141" s="9">
        <v>5.27233222673884E-4</v>
      </c>
      <c r="AF141" s="9">
        <v>-2.55809532143287E-5</v>
      </c>
      <c r="AG141" s="9">
        <v>1.62030658560456E-4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7.7409398767540913E-4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7.7409398767540913E-4</v>
      </c>
    </row>
    <row r="142" spans="1:77" x14ac:dyDescent="0.3">
      <c r="A142" s="1">
        <v>46230</v>
      </c>
      <c r="B142" s="8">
        <v>79.260000000000005</v>
      </c>
      <c r="C142" s="8">
        <v>306.67</v>
      </c>
      <c r="D142" s="9">
        <v>5.3131054777694597E-3</v>
      </c>
      <c r="E142" s="9">
        <v>5.2309924099646701E-3</v>
      </c>
      <c r="F142" s="8">
        <v>0</v>
      </c>
      <c r="G142" s="8">
        <v>0.49199999999999999</v>
      </c>
      <c r="H142" s="8">
        <v>0</v>
      </c>
      <c r="I142" s="8">
        <v>1.9807999999999999</v>
      </c>
      <c r="J142" s="8">
        <v>0</v>
      </c>
      <c r="K142" s="8">
        <v>0</v>
      </c>
      <c r="L142" s="8">
        <v>79.260000000000005</v>
      </c>
      <c r="M142" s="8">
        <v>306.67</v>
      </c>
      <c r="N142" s="10">
        <v>3.8691647741609798</v>
      </c>
      <c r="O142" s="10">
        <v>3.8715231538253501</v>
      </c>
      <c r="P142" s="10">
        <v>3.8692459363420602</v>
      </c>
      <c r="Q142" s="10">
        <v>3.8699224814637998</v>
      </c>
      <c r="R142" s="8">
        <v>306.85692517219701</v>
      </c>
      <c r="S142" s="8">
        <v>306.68189104066698</v>
      </c>
      <c r="T142" s="8">
        <v>306.737086123533</v>
      </c>
      <c r="U142" s="9">
        <v>6.0934629047869403E-4</v>
      </c>
      <c r="V142" s="9">
        <v>3.8773959426869199E-5</v>
      </c>
      <c r="W142" s="9">
        <v>2.1873279692455401E-4</v>
      </c>
      <c r="X142" s="10">
        <v>3.8691647741609798</v>
      </c>
      <c r="Y142" s="10">
        <v>3.8715231538253501</v>
      </c>
      <c r="Z142" s="10">
        <v>3.8692459363420602</v>
      </c>
      <c r="AA142" s="10">
        <v>3.8699224814637998</v>
      </c>
      <c r="AB142" s="8">
        <v>306.85692517219701</v>
      </c>
      <c r="AC142" s="8">
        <v>306.68189104066698</v>
      </c>
      <c r="AD142" s="8">
        <v>306.737086123533</v>
      </c>
      <c r="AE142" s="9">
        <v>6.0934629047869403E-4</v>
      </c>
      <c r="AF142" s="9">
        <v>3.8773959426869199E-5</v>
      </c>
      <c r="AG142" s="9">
        <v>2.1873279692455401E-4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7.7409398767540913E-4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7.7409398767540913E-4</v>
      </c>
    </row>
    <row r="143" spans="1:77" x14ac:dyDescent="0.3">
      <c r="A143" s="1">
        <v>46231</v>
      </c>
      <c r="B143" s="8">
        <v>81</v>
      </c>
      <c r="C143" s="8">
        <v>313.23</v>
      </c>
      <c r="D143" s="9">
        <v>2.1715566910149701E-2</v>
      </c>
      <c r="E143" s="9">
        <v>2.1165494089008099E-2</v>
      </c>
      <c r="F143" s="8">
        <v>0</v>
      </c>
      <c r="G143" s="8">
        <v>0.49199999999999999</v>
      </c>
      <c r="H143" s="8">
        <v>0</v>
      </c>
      <c r="I143" s="8">
        <v>1.9807999999999999</v>
      </c>
      <c r="J143" s="8">
        <v>0</v>
      </c>
      <c r="K143" s="8">
        <v>0</v>
      </c>
      <c r="L143" s="8">
        <v>81</v>
      </c>
      <c r="M143" s="8">
        <v>313.23</v>
      </c>
      <c r="N143" s="10">
        <v>3.8670370370370302</v>
      </c>
      <c r="O143" s="10">
        <v>3.8715231538253501</v>
      </c>
      <c r="P143" s="10">
        <v>3.8689745234050199</v>
      </c>
      <c r="Q143" s="10">
        <v>3.8697067449899998</v>
      </c>
      <c r="R143" s="8">
        <v>313.59337545985301</v>
      </c>
      <c r="S143" s="8">
        <v>313.40892084370699</v>
      </c>
      <c r="T143" s="8">
        <v>313.463720998567</v>
      </c>
      <c r="U143" s="9">
        <v>1.1594191116200601E-3</v>
      </c>
      <c r="V143" s="9">
        <v>5.7104926814540303E-4</v>
      </c>
      <c r="W143" s="9">
        <v>7.4588591387583997E-4</v>
      </c>
      <c r="X143" s="10">
        <v>3.8670370370370302</v>
      </c>
      <c r="Y143" s="10">
        <v>3.8715231538253501</v>
      </c>
      <c r="Z143" s="10">
        <v>3.8689745234050199</v>
      </c>
      <c r="AA143" s="10">
        <v>3.8697067449899998</v>
      </c>
      <c r="AB143" s="8">
        <v>313.59337545985301</v>
      </c>
      <c r="AC143" s="8">
        <v>313.40892084370699</v>
      </c>
      <c r="AD143" s="8">
        <v>313.463720998567</v>
      </c>
      <c r="AE143" s="9">
        <v>1.1594191116200601E-3</v>
      </c>
      <c r="AF143" s="9">
        <v>5.7104926814540303E-4</v>
      </c>
      <c r="AG143" s="9">
        <v>7.4588591387583997E-4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7.7409398767540913E-4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7.7409398767540913E-4</v>
      </c>
    </row>
    <row r="144" spans="1:77" x14ac:dyDescent="0.3">
      <c r="A144" s="1">
        <v>46232</v>
      </c>
      <c r="B144" s="8">
        <v>80.5</v>
      </c>
      <c r="C144" s="8">
        <v>311.32</v>
      </c>
      <c r="D144" s="9">
        <v>-6.1919702479211001E-3</v>
      </c>
      <c r="E144" s="9">
        <v>-6.1164228789413102E-3</v>
      </c>
      <c r="F144" s="8">
        <v>0</v>
      </c>
      <c r="G144" s="8">
        <v>0.49199999999999999</v>
      </c>
      <c r="H144" s="8">
        <v>0</v>
      </c>
      <c r="I144" s="8">
        <v>1.9807999999999999</v>
      </c>
      <c r="J144" s="8">
        <v>0</v>
      </c>
      <c r="K144" s="8">
        <v>0</v>
      </c>
      <c r="L144" s="8">
        <v>80.5</v>
      </c>
      <c r="M144" s="8">
        <v>311.32</v>
      </c>
      <c r="N144" s="10">
        <v>3.8673291925465798</v>
      </c>
      <c r="O144" s="10">
        <v>3.8715231538253501</v>
      </c>
      <c r="P144" s="10">
        <v>3.8684891054413399</v>
      </c>
      <c r="Q144" s="10">
        <v>3.8695392240348001</v>
      </c>
      <c r="R144" s="8">
        <v>311.65761388293998</v>
      </c>
      <c r="S144" s="8">
        <v>311.45244913410397</v>
      </c>
      <c r="T144" s="8">
        <v>311.51139297169499</v>
      </c>
      <c r="U144" s="9">
        <v>1.0838717426403599E-3</v>
      </c>
      <c r="V144" s="9">
        <v>4.2535322905047201E-4</v>
      </c>
      <c r="W144" s="9">
        <v>6.14590015465514E-4</v>
      </c>
      <c r="X144" s="10">
        <v>3.8673291925465798</v>
      </c>
      <c r="Y144" s="10">
        <v>3.8715231538253501</v>
      </c>
      <c r="Z144" s="10">
        <v>3.8684891054413399</v>
      </c>
      <c r="AA144" s="10">
        <v>3.8695392240348001</v>
      </c>
      <c r="AB144" s="8">
        <v>311.65761388293998</v>
      </c>
      <c r="AC144" s="8">
        <v>311.45244913410397</v>
      </c>
      <c r="AD144" s="8">
        <v>311.51139297169499</v>
      </c>
      <c r="AE144" s="9">
        <v>1.0838717426403599E-3</v>
      </c>
      <c r="AF144" s="9">
        <v>4.2535322905047201E-4</v>
      </c>
      <c r="AG144" s="9">
        <v>6.14590015465514E-4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7.7409398767540913E-4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7.7409398767540913E-4</v>
      </c>
    </row>
    <row r="145" spans="1:77" x14ac:dyDescent="0.3">
      <c r="A145" s="1">
        <v>46233</v>
      </c>
      <c r="B145" s="8">
        <v>79.44</v>
      </c>
      <c r="C145" s="8">
        <v>307.14999999999998</v>
      </c>
      <c r="D145" s="9">
        <v>-1.3255164687600501E-2</v>
      </c>
      <c r="E145" s="9">
        <v>-1.3485094481251E-2</v>
      </c>
      <c r="F145" s="8">
        <v>0</v>
      </c>
      <c r="G145" s="8">
        <v>0.49199999999999999</v>
      </c>
      <c r="H145" s="8">
        <v>0</v>
      </c>
      <c r="I145" s="8">
        <v>1.9807999999999999</v>
      </c>
      <c r="J145" s="8">
        <v>0</v>
      </c>
      <c r="K145" s="8">
        <v>0</v>
      </c>
      <c r="L145" s="8">
        <v>79.44</v>
      </c>
      <c r="M145" s="8">
        <v>307.14999999999998</v>
      </c>
      <c r="N145" s="10">
        <v>3.8664400805639398</v>
      </c>
      <c r="O145" s="10">
        <v>3.8715231538253501</v>
      </c>
      <c r="P145" s="10">
        <v>3.8682230511647</v>
      </c>
      <c r="Q145" s="10">
        <v>3.8692704944722598</v>
      </c>
      <c r="R145" s="8">
        <v>307.55379933988502</v>
      </c>
      <c r="S145" s="8">
        <v>307.31277453626001</v>
      </c>
      <c r="T145" s="8">
        <v>307.39619595732398</v>
      </c>
      <c r="U145" s="9">
        <v>1.31380153629071E-3</v>
      </c>
      <c r="V145" s="9">
        <v>5.2981090739282399E-4</v>
      </c>
      <c r="W145" s="9">
        <v>8.0122852314531198E-4</v>
      </c>
      <c r="X145" s="10">
        <v>3.8664400805639398</v>
      </c>
      <c r="Y145" s="10">
        <v>3.8715231538253501</v>
      </c>
      <c r="Z145" s="10">
        <v>3.8682230511647</v>
      </c>
      <c r="AA145" s="10">
        <v>3.8692704944722598</v>
      </c>
      <c r="AB145" s="8">
        <v>307.55379933988502</v>
      </c>
      <c r="AC145" s="8">
        <v>307.31277453626001</v>
      </c>
      <c r="AD145" s="8">
        <v>307.39619595732398</v>
      </c>
      <c r="AE145" s="9">
        <v>1.31380153629071E-3</v>
      </c>
      <c r="AF145" s="9">
        <v>5.2981090739282399E-4</v>
      </c>
      <c r="AG145" s="9">
        <v>8.0122852314531198E-4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7.7409398767540913E-4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7.7409398767540913E-4</v>
      </c>
    </row>
    <row r="146" spans="1:77" x14ac:dyDescent="0.3">
      <c r="A146" s="1">
        <v>46234</v>
      </c>
      <c r="B146" s="8">
        <v>78.75</v>
      </c>
      <c r="C146" s="8">
        <v>304.81</v>
      </c>
      <c r="D146" s="9">
        <v>-8.7237420311747308E-3</v>
      </c>
      <c r="E146" s="9">
        <v>-7.6475959366787503E-3</v>
      </c>
      <c r="F146" s="8">
        <v>0</v>
      </c>
      <c r="G146" s="8">
        <v>0.49199999999999999</v>
      </c>
      <c r="H146" s="8">
        <v>0</v>
      </c>
      <c r="I146" s="8">
        <v>1.9807999999999999</v>
      </c>
      <c r="J146" s="8">
        <v>0</v>
      </c>
      <c r="K146" s="8">
        <v>0</v>
      </c>
      <c r="L146" s="8">
        <v>78.75</v>
      </c>
      <c r="M146" s="8">
        <v>304.81</v>
      </c>
      <c r="N146" s="10">
        <v>3.8706031746031702</v>
      </c>
      <c r="O146" s="10">
        <v>3.8715231538253501</v>
      </c>
      <c r="P146" s="10">
        <v>3.8684355564040702</v>
      </c>
      <c r="Q146" s="10">
        <v>3.86924599021761</v>
      </c>
      <c r="R146" s="8">
        <v>304.88244836374599</v>
      </c>
      <c r="S146" s="8">
        <v>304.62256527922</v>
      </c>
      <c r="T146" s="8">
        <v>304.70505143969098</v>
      </c>
      <c r="U146" s="9">
        <v>2.37655441794945E-4</v>
      </c>
      <c r="V146" s="9">
        <v>-6.1511227777424297E-4</v>
      </c>
      <c r="W146" s="9">
        <v>-3.4436741503933498E-4</v>
      </c>
      <c r="X146" s="10">
        <v>3.8706031746031702</v>
      </c>
      <c r="Y146" s="10">
        <v>3.8715231538253501</v>
      </c>
      <c r="Z146" s="10">
        <v>3.8684355564040702</v>
      </c>
      <c r="AA146" s="10">
        <v>3.86924599021761</v>
      </c>
      <c r="AB146" s="8">
        <v>304.88244836374599</v>
      </c>
      <c r="AC146" s="8">
        <v>304.62256527922</v>
      </c>
      <c r="AD146" s="8">
        <v>304.70505143969098</v>
      </c>
      <c r="AE146" s="9">
        <v>2.37655441794945E-4</v>
      </c>
      <c r="AF146" s="9">
        <v>-6.1511227777424297E-4</v>
      </c>
      <c r="AG146" s="9">
        <v>-3.4436741503933498E-4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7.7409398767540913E-4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7.7409398767540913E-4</v>
      </c>
    </row>
    <row r="147" spans="1:77" x14ac:dyDescent="0.3">
      <c r="A147" s="1">
        <v>46237</v>
      </c>
      <c r="B147" s="8">
        <v>78.72</v>
      </c>
      <c r="C147" s="8">
        <v>304.52</v>
      </c>
      <c r="D147" s="9">
        <v>-3.8102496174444899E-4</v>
      </c>
      <c r="E147" s="9">
        <v>-9.5186523524582703E-4</v>
      </c>
      <c r="F147" s="8">
        <v>0</v>
      </c>
      <c r="G147" s="8">
        <v>0.49199999999999999</v>
      </c>
      <c r="H147" s="8">
        <v>0</v>
      </c>
      <c r="I147" s="8">
        <v>1.9807999999999999</v>
      </c>
      <c r="J147" s="8">
        <v>0</v>
      </c>
      <c r="K147" s="8">
        <v>0</v>
      </c>
      <c r="L147" s="8">
        <v>78.72</v>
      </c>
      <c r="M147" s="8">
        <v>304.52</v>
      </c>
      <c r="N147" s="10">
        <v>3.8683943089430799</v>
      </c>
      <c r="O147" s="10">
        <v>3.8715231538253501</v>
      </c>
      <c r="P147" s="10">
        <v>3.8684869206575399</v>
      </c>
      <c r="Q147" s="10">
        <v>3.86919487180421</v>
      </c>
      <c r="R147" s="8">
        <v>304.76630266913099</v>
      </c>
      <c r="S147" s="8">
        <v>304.52324700012798</v>
      </c>
      <c r="T147" s="8">
        <v>304.58704434993001</v>
      </c>
      <c r="U147" s="9">
        <v>8.0849571529607097E-4</v>
      </c>
      <c r="V147" s="9">
        <v>1.06626258312458E-5</v>
      </c>
      <c r="W147" s="9">
        <v>2.2013979586462E-4</v>
      </c>
      <c r="X147" s="10">
        <v>3.8683943089430799</v>
      </c>
      <c r="Y147" s="10">
        <v>3.8715231538253501</v>
      </c>
      <c r="Z147" s="10">
        <v>3.8684869206575399</v>
      </c>
      <c r="AA147" s="10">
        <v>3.86919487180421</v>
      </c>
      <c r="AB147" s="8">
        <v>304.76630266913099</v>
      </c>
      <c r="AC147" s="8">
        <v>304.52324700012798</v>
      </c>
      <c r="AD147" s="8">
        <v>304.58704434993001</v>
      </c>
      <c r="AE147" s="9">
        <v>8.0849571529607097E-4</v>
      </c>
      <c r="AF147" s="9">
        <v>1.06626258312458E-5</v>
      </c>
      <c r="AG147" s="9">
        <v>2.2013979586462E-4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7.7409398767540913E-4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7.7409398767540913E-4</v>
      </c>
    </row>
    <row r="148" spans="1:77" x14ac:dyDescent="0.3">
      <c r="A148" s="1">
        <v>46238</v>
      </c>
      <c r="B148" s="8">
        <v>78.86</v>
      </c>
      <c r="C148" s="8">
        <v>304.99</v>
      </c>
      <c r="D148" s="9">
        <v>1.77687570548307E-3</v>
      </c>
      <c r="E148" s="9">
        <v>1.5422227466522201E-3</v>
      </c>
      <c r="F148" s="8">
        <v>0</v>
      </c>
      <c r="G148" s="8">
        <v>0.49199999999999999</v>
      </c>
      <c r="H148" s="8">
        <v>0</v>
      </c>
      <c r="I148" s="8">
        <v>1.9807999999999999</v>
      </c>
      <c r="J148" s="8">
        <v>0</v>
      </c>
      <c r="K148" s="8">
        <v>0</v>
      </c>
      <c r="L148" s="8">
        <v>78.86</v>
      </c>
      <c r="M148" s="8">
        <v>304.99</v>
      </c>
      <c r="N148" s="10">
        <v>3.8674866852650198</v>
      </c>
      <c r="O148" s="10">
        <v>3.8715231538253501</v>
      </c>
      <c r="P148" s="10">
        <v>3.8683074846088799</v>
      </c>
      <c r="Q148" s="10">
        <v>3.8690008966476199</v>
      </c>
      <c r="R148" s="8">
        <v>305.30831591066698</v>
      </c>
      <c r="S148" s="8">
        <v>305.068878563054</v>
      </c>
      <c r="T148" s="8">
        <v>305.12470759048</v>
      </c>
      <c r="U148" s="9">
        <v>1.04314867412723E-3</v>
      </c>
      <c r="V148" s="9">
        <v>2.5859328096178698E-4</v>
      </c>
      <c r="W148" s="9">
        <v>4.4158120102004699E-4</v>
      </c>
      <c r="X148" s="10">
        <v>3.8674866852650198</v>
      </c>
      <c r="Y148" s="10">
        <v>3.8715231538253501</v>
      </c>
      <c r="Z148" s="10">
        <v>3.8683074846088799</v>
      </c>
      <c r="AA148" s="10">
        <v>3.8690008966476199</v>
      </c>
      <c r="AB148" s="8">
        <v>305.30831591066698</v>
      </c>
      <c r="AC148" s="8">
        <v>305.068878563054</v>
      </c>
      <c r="AD148" s="8">
        <v>305.12470759048</v>
      </c>
      <c r="AE148" s="9">
        <v>1.04314867412723E-3</v>
      </c>
      <c r="AF148" s="9">
        <v>2.5859328096178698E-4</v>
      </c>
      <c r="AG148" s="9">
        <v>4.4158120102004699E-4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7.7409398767540913E-4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7.7409398767540913E-4</v>
      </c>
    </row>
    <row r="149" spans="1:77" x14ac:dyDescent="0.3">
      <c r="A149" s="1">
        <v>46239</v>
      </c>
      <c r="B149" s="8">
        <v>79.72</v>
      </c>
      <c r="C149" s="8">
        <v>308.54000000000002</v>
      </c>
      <c r="D149" s="9">
        <v>1.0846366895112701E-2</v>
      </c>
      <c r="E149" s="9">
        <v>1.1572505399129299E-2</v>
      </c>
      <c r="F149" s="8">
        <v>0</v>
      </c>
      <c r="G149" s="8">
        <v>0.49199999999999999</v>
      </c>
      <c r="H149" s="8">
        <v>0</v>
      </c>
      <c r="I149" s="8">
        <v>1.9807999999999999</v>
      </c>
      <c r="J149" s="8">
        <v>0</v>
      </c>
      <c r="K149" s="8">
        <v>0</v>
      </c>
      <c r="L149" s="8">
        <v>79.72</v>
      </c>
      <c r="M149" s="8">
        <v>308.54000000000002</v>
      </c>
      <c r="N149" s="10">
        <v>3.8702960361264398</v>
      </c>
      <c r="O149" s="10">
        <v>3.8715231538253501</v>
      </c>
      <c r="P149" s="10">
        <v>3.8684983785441101</v>
      </c>
      <c r="Q149" s="10">
        <v>3.8690017411468798</v>
      </c>
      <c r="R149" s="8">
        <v>308.63782582295698</v>
      </c>
      <c r="S149" s="8">
        <v>308.38147267302003</v>
      </c>
      <c r="T149" s="8">
        <v>308.436751480748</v>
      </c>
      <c r="U149" s="9">
        <v>3.1701017011053298E-4</v>
      </c>
      <c r="V149" s="9">
        <v>-5.1393033794706205E-4</v>
      </c>
      <c r="W149" s="9">
        <v>-3.34691769073704E-4</v>
      </c>
      <c r="X149" s="10">
        <v>3.8702960361264398</v>
      </c>
      <c r="Y149" s="10">
        <v>3.8715231538253501</v>
      </c>
      <c r="Z149" s="10">
        <v>3.8684983785441101</v>
      </c>
      <c r="AA149" s="10">
        <v>3.8690017411468798</v>
      </c>
      <c r="AB149" s="8">
        <v>308.63782582295698</v>
      </c>
      <c r="AC149" s="8">
        <v>308.38147267302003</v>
      </c>
      <c r="AD149" s="8">
        <v>308.436751480748</v>
      </c>
      <c r="AE149" s="9">
        <v>3.1701017011053298E-4</v>
      </c>
      <c r="AF149" s="9">
        <v>-5.1393033794706205E-4</v>
      </c>
      <c r="AG149" s="9">
        <v>-3.34691769073704E-4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7.7409398767540913E-4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7.7409398767540913E-4</v>
      </c>
    </row>
    <row r="150" spans="1:77" x14ac:dyDescent="0.3">
      <c r="A150" s="1">
        <v>46240</v>
      </c>
      <c r="B150" s="8">
        <v>79.84</v>
      </c>
      <c r="C150" s="8">
        <v>309.02</v>
      </c>
      <c r="D150" s="9">
        <v>1.5041366586146399E-3</v>
      </c>
      <c r="E150" s="9">
        <v>1.5545051384785601E-3</v>
      </c>
      <c r="F150" s="8">
        <v>0</v>
      </c>
      <c r="G150" s="8">
        <v>0.49199999999999999</v>
      </c>
      <c r="H150" s="8">
        <v>0</v>
      </c>
      <c r="I150" s="8">
        <v>1.9807999999999999</v>
      </c>
      <c r="J150" s="8">
        <v>0</v>
      </c>
      <c r="K150" s="8">
        <v>0</v>
      </c>
      <c r="L150" s="8">
        <v>79.84</v>
      </c>
      <c r="M150" s="8">
        <v>309.02</v>
      </c>
      <c r="N150" s="10">
        <v>3.8704909819639202</v>
      </c>
      <c r="O150" s="10">
        <v>3.8715231538253501</v>
      </c>
      <c r="P150" s="10">
        <v>3.8686724767405001</v>
      </c>
      <c r="Q150" s="10">
        <v>3.8690279945753399</v>
      </c>
      <c r="R150" s="8">
        <v>309.10240860141602</v>
      </c>
      <c r="S150" s="8">
        <v>308.86091054296099</v>
      </c>
      <c r="T150" s="8">
        <v>308.90109901316703</v>
      </c>
      <c r="U150" s="9">
        <v>2.6664169024658799E-4</v>
      </c>
      <c r="V150" s="9">
        <v>-5.1495185508755505E-4</v>
      </c>
      <c r="W150" s="9">
        <v>-3.84841975747447E-4</v>
      </c>
      <c r="X150" s="10">
        <v>3.8704909819639202</v>
      </c>
      <c r="Y150" s="10">
        <v>3.8715231538253501</v>
      </c>
      <c r="Z150" s="10">
        <v>3.8686724767405001</v>
      </c>
      <c r="AA150" s="10">
        <v>3.8690279945753399</v>
      </c>
      <c r="AB150" s="8">
        <v>309.10240860141602</v>
      </c>
      <c r="AC150" s="8">
        <v>308.86091054296099</v>
      </c>
      <c r="AD150" s="8">
        <v>308.90109901316703</v>
      </c>
      <c r="AE150" s="9">
        <v>2.6664169024658799E-4</v>
      </c>
      <c r="AF150" s="9">
        <v>-5.1495185508755505E-4</v>
      </c>
      <c r="AG150" s="9">
        <v>-3.84841975747447E-4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7.7409398767540913E-4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7.7409398767540913E-4</v>
      </c>
    </row>
    <row r="151" spans="1:77" x14ac:dyDescent="0.3">
      <c r="A151" s="1">
        <v>46241</v>
      </c>
      <c r="B151" s="8">
        <v>80.67</v>
      </c>
      <c r="C151" s="8">
        <v>312.12</v>
      </c>
      <c r="D151" s="9">
        <v>1.03421269456744E-2</v>
      </c>
      <c r="E151" s="9">
        <v>9.9817295262885006E-3</v>
      </c>
      <c r="F151" s="8">
        <v>0</v>
      </c>
      <c r="G151" s="8">
        <v>0.49199999999999999</v>
      </c>
      <c r="H151" s="8">
        <v>0</v>
      </c>
      <c r="I151" s="8">
        <v>1.9807999999999999</v>
      </c>
      <c r="J151" s="8">
        <v>0</v>
      </c>
      <c r="K151" s="8">
        <v>0</v>
      </c>
      <c r="L151" s="8">
        <v>80.67</v>
      </c>
      <c r="M151" s="8">
        <v>312.12</v>
      </c>
      <c r="N151" s="10">
        <v>3.8690963183339502</v>
      </c>
      <c r="O151" s="10">
        <v>3.8715231538253501</v>
      </c>
      <c r="P151" s="10">
        <v>3.8686338589544098</v>
      </c>
      <c r="Q151" s="10">
        <v>3.8689743294309502</v>
      </c>
      <c r="R151" s="8">
        <v>312.31577281909102</v>
      </c>
      <c r="S151" s="8">
        <v>312.08580869865602</v>
      </c>
      <c r="T151" s="8">
        <v>312.11448832239199</v>
      </c>
      <c r="U151" s="9">
        <v>6.2703910963259296E-4</v>
      </c>
      <c r="V151" s="9">
        <v>-1.0955137200343899E-4</v>
      </c>
      <c r="W151" s="9">
        <v>-1.7658997413138599E-5</v>
      </c>
      <c r="X151" s="10">
        <v>3.8690963183339502</v>
      </c>
      <c r="Y151" s="10">
        <v>3.8715231538253501</v>
      </c>
      <c r="Z151" s="10">
        <v>3.8686338589544098</v>
      </c>
      <c r="AA151" s="10">
        <v>3.8689743294309502</v>
      </c>
      <c r="AB151" s="8">
        <v>312.31577281909102</v>
      </c>
      <c r="AC151" s="8">
        <v>312.08580869865602</v>
      </c>
      <c r="AD151" s="8">
        <v>312.11448832239199</v>
      </c>
      <c r="AE151" s="9">
        <v>6.2703910963259296E-4</v>
      </c>
      <c r="AF151" s="9">
        <v>-1.0955137200343899E-4</v>
      </c>
      <c r="AG151" s="9">
        <v>-1.7658997413138599E-5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7.7409398767540913E-4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7.7409398767540913E-4</v>
      </c>
    </row>
    <row r="152" spans="1:77" x14ac:dyDescent="0.3">
      <c r="A152" s="1">
        <v>46244</v>
      </c>
      <c r="B152" s="8">
        <v>81.900000000000006</v>
      </c>
      <c r="C152" s="8">
        <v>316.72000000000003</v>
      </c>
      <c r="D152" s="9">
        <v>1.51322319101409E-2</v>
      </c>
      <c r="E152" s="9">
        <v>1.4630373549314599E-2</v>
      </c>
      <c r="F152" s="8">
        <v>0</v>
      </c>
      <c r="G152" s="8">
        <v>0.49199999999999999</v>
      </c>
      <c r="H152" s="8">
        <v>0</v>
      </c>
      <c r="I152" s="8">
        <v>1.9807999999999999</v>
      </c>
      <c r="J152" s="8">
        <v>0</v>
      </c>
      <c r="K152" s="8">
        <v>0</v>
      </c>
      <c r="L152" s="8">
        <v>81.900000000000006</v>
      </c>
      <c r="M152" s="8">
        <v>316.72000000000003</v>
      </c>
      <c r="N152" s="10">
        <v>3.8671550671550601</v>
      </c>
      <c r="O152" s="10">
        <v>3.8715231538253501</v>
      </c>
      <c r="P152" s="10">
        <v>3.8684328882538201</v>
      </c>
      <c r="Q152" s="10">
        <v>3.8688394122979402</v>
      </c>
      <c r="R152" s="8">
        <v>317.07774629829601</v>
      </c>
      <c r="S152" s="8">
        <v>316.84111304836603</v>
      </c>
      <c r="T152" s="8">
        <v>316.86899758039402</v>
      </c>
      <c r="U152" s="9">
        <v>1.1288974704585901E-3</v>
      </c>
      <c r="V152" s="9">
        <v>3.82324758725394E-4</v>
      </c>
      <c r="W152" s="9">
        <v>4.70328821082863E-4</v>
      </c>
      <c r="X152" s="10">
        <v>3.8671550671550601</v>
      </c>
      <c r="Y152" s="10">
        <v>3.8715231538253501</v>
      </c>
      <c r="Z152" s="10">
        <v>3.8684328882538201</v>
      </c>
      <c r="AA152" s="10">
        <v>3.8688394122979402</v>
      </c>
      <c r="AB152" s="8">
        <v>317.07774629829601</v>
      </c>
      <c r="AC152" s="8">
        <v>316.84111304836603</v>
      </c>
      <c r="AD152" s="8">
        <v>316.86899758039402</v>
      </c>
      <c r="AE152" s="9">
        <v>1.1288974704585901E-3</v>
      </c>
      <c r="AF152" s="9">
        <v>3.82324758725394E-4</v>
      </c>
      <c r="AG152" s="9">
        <v>4.70328821082863E-4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7.7409398767540913E-4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7.7409398767540913E-4</v>
      </c>
    </row>
    <row r="153" spans="1:77" x14ac:dyDescent="0.3">
      <c r="A153" s="1">
        <v>46245</v>
      </c>
      <c r="B153" s="8">
        <v>81.61</v>
      </c>
      <c r="C153" s="8">
        <v>315.70999999999998</v>
      </c>
      <c r="D153" s="9">
        <v>-3.54718737787233E-3</v>
      </c>
      <c r="E153" s="9">
        <v>-3.1940320941601899E-3</v>
      </c>
      <c r="F153" s="8">
        <v>0</v>
      </c>
      <c r="G153" s="8">
        <v>0.49199999999999999</v>
      </c>
      <c r="H153" s="8">
        <v>0</v>
      </c>
      <c r="I153" s="8">
        <v>1.9807999999999999</v>
      </c>
      <c r="J153" s="8">
        <v>0</v>
      </c>
      <c r="K153" s="8">
        <v>0</v>
      </c>
      <c r="L153" s="8">
        <v>81.61</v>
      </c>
      <c r="M153" s="8">
        <v>315.70999999999998</v>
      </c>
      <c r="N153" s="10">
        <v>3.8685210145815399</v>
      </c>
      <c r="O153" s="10">
        <v>3.8715231538253501</v>
      </c>
      <c r="P153" s="10">
        <v>3.8685812860082698</v>
      </c>
      <c r="Q153" s="10">
        <v>3.8687779047066502</v>
      </c>
      <c r="R153" s="8">
        <v>315.95500458368599</v>
      </c>
      <c r="S153" s="8">
        <v>315.70280801039399</v>
      </c>
      <c r="T153" s="8">
        <v>315.73598443763501</v>
      </c>
      <c r="U153" s="9">
        <v>7.7574218674636105E-4</v>
      </c>
      <c r="V153" s="9">
        <v>-2.27806262857462E-5</v>
      </c>
      <c r="W153" s="9">
        <v>8.2301379026596794E-5</v>
      </c>
      <c r="X153" s="10">
        <v>3.8685210145815399</v>
      </c>
      <c r="Y153" s="10">
        <v>3.8715231538253501</v>
      </c>
      <c r="Z153" s="10">
        <v>3.8685812860082698</v>
      </c>
      <c r="AA153" s="10">
        <v>3.8687779047066502</v>
      </c>
      <c r="AB153" s="8">
        <v>315.95500458368599</v>
      </c>
      <c r="AC153" s="8">
        <v>315.70280801039399</v>
      </c>
      <c r="AD153" s="8">
        <v>315.73598443763501</v>
      </c>
      <c r="AE153" s="9">
        <v>7.7574218674636105E-4</v>
      </c>
      <c r="AF153" s="9">
        <v>-2.27806262857462E-5</v>
      </c>
      <c r="AG153" s="9">
        <v>8.2301379026596794E-5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7.7409398767540913E-4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7.7409398767540913E-4</v>
      </c>
    </row>
    <row r="154" spans="1:77" x14ac:dyDescent="0.3">
      <c r="A154" s="1">
        <v>46246</v>
      </c>
      <c r="B154" s="8">
        <v>81.89</v>
      </c>
      <c r="C154" s="8">
        <v>316.68</v>
      </c>
      <c r="D154" s="9">
        <v>3.4250798009454698E-3</v>
      </c>
      <c r="E154" s="9">
        <v>3.06772959951793E-3</v>
      </c>
      <c r="F154" s="8">
        <v>0</v>
      </c>
      <c r="G154" s="8">
        <v>0.49199999999999999</v>
      </c>
      <c r="H154" s="8">
        <v>0</v>
      </c>
      <c r="I154" s="8">
        <v>1.9807999999999999</v>
      </c>
      <c r="J154" s="8">
        <v>0</v>
      </c>
      <c r="K154" s="8">
        <v>0</v>
      </c>
      <c r="L154" s="8">
        <v>81.89</v>
      </c>
      <c r="M154" s="8">
        <v>316.68</v>
      </c>
      <c r="N154" s="10">
        <v>3.86713884479179</v>
      </c>
      <c r="O154" s="10">
        <v>3.8715231538253501</v>
      </c>
      <c r="P154" s="10">
        <v>3.86856225123279</v>
      </c>
      <c r="Q154" s="10">
        <v>3.8685256783370701</v>
      </c>
      <c r="R154" s="8">
        <v>317.03903106675801</v>
      </c>
      <c r="S154" s="8">
        <v>316.798121511217</v>
      </c>
      <c r="T154" s="8">
        <v>316.814222616427</v>
      </c>
      <c r="U154" s="9">
        <v>1.1330923881738399E-3</v>
      </c>
      <c r="V154" s="9">
        <v>3.7293004628130599E-4</v>
      </c>
      <c r="W154" s="9">
        <v>4.2375325186625698E-4</v>
      </c>
      <c r="X154" s="10">
        <v>3.86713884479179</v>
      </c>
      <c r="Y154" s="10">
        <v>3.8715231538253501</v>
      </c>
      <c r="Z154" s="10">
        <v>3.86856225123279</v>
      </c>
      <c r="AA154" s="10">
        <v>3.8685256783370701</v>
      </c>
      <c r="AB154" s="8">
        <v>317.03903106675801</v>
      </c>
      <c r="AC154" s="8">
        <v>316.798121511217</v>
      </c>
      <c r="AD154" s="8">
        <v>316.814222616427</v>
      </c>
      <c r="AE154" s="9">
        <v>1.1330923881738399E-3</v>
      </c>
      <c r="AF154" s="9">
        <v>3.7293004628130599E-4</v>
      </c>
      <c r="AG154" s="9">
        <v>4.2375325186625698E-4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7.7409398767540913E-4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7.7409398767540913E-4</v>
      </c>
    </row>
    <row r="155" spans="1:77" x14ac:dyDescent="0.3">
      <c r="A155" s="1">
        <v>46247</v>
      </c>
      <c r="B155" s="8">
        <v>81.73</v>
      </c>
      <c r="C155" s="8">
        <v>316.22000000000003</v>
      </c>
      <c r="D155" s="9">
        <v>-1.9557517540585E-3</v>
      </c>
      <c r="E155" s="9">
        <v>-1.4536264212338E-3</v>
      </c>
      <c r="F155" s="8">
        <v>0</v>
      </c>
      <c r="G155" s="8">
        <v>0.49199999999999999</v>
      </c>
      <c r="H155" s="8">
        <v>0</v>
      </c>
      <c r="I155" s="8">
        <v>1.9807999999999999</v>
      </c>
      <c r="J155" s="8">
        <v>0</v>
      </c>
      <c r="K155" s="8">
        <v>0</v>
      </c>
      <c r="L155" s="8">
        <v>81.73</v>
      </c>
      <c r="M155" s="8">
        <v>316.22000000000003</v>
      </c>
      <c r="N155" s="10">
        <v>3.8690811207634899</v>
      </c>
      <c r="O155" s="10">
        <v>3.8715231538253501</v>
      </c>
      <c r="P155" s="10">
        <v>3.8688263552527502</v>
      </c>
      <c r="Q155" s="10">
        <v>3.86852470320872</v>
      </c>
      <c r="R155" s="8">
        <v>316.41958736214599</v>
      </c>
      <c r="S155" s="8">
        <v>316.177592793256</v>
      </c>
      <c r="T155" s="8">
        <v>316.17460369048803</v>
      </c>
      <c r="U155" s="9">
        <v>6.3096705534936796E-4</v>
      </c>
      <c r="V155" s="9">
        <v>-1.3411564904843601E-4</v>
      </c>
      <c r="W155" s="9">
        <v>-1.4356956660988501E-4</v>
      </c>
      <c r="X155" s="10">
        <v>3.8690811207634899</v>
      </c>
      <c r="Y155" s="10">
        <v>3.8715231538253501</v>
      </c>
      <c r="Z155" s="10">
        <v>3.8688263552527502</v>
      </c>
      <c r="AA155" s="10">
        <v>3.86852470320872</v>
      </c>
      <c r="AB155" s="8">
        <v>316.41958736214599</v>
      </c>
      <c r="AC155" s="8">
        <v>316.177592793256</v>
      </c>
      <c r="AD155" s="8">
        <v>316.17460369048803</v>
      </c>
      <c r="AE155" s="9">
        <v>6.3096705534936796E-4</v>
      </c>
      <c r="AF155" s="9">
        <v>-1.3411564904843601E-4</v>
      </c>
      <c r="AG155" s="9">
        <v>-1.4356956660988501E-4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7.7409398767540913E-4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7.7409398767540913E-4</v>
      </c>
    </row>
    <row r="156" spans="1:77" x14ac:dyDescent="0.3">
      <c r="A156" s="1">
        <v>46248</v>
      </c>
      <c r="B156" s="8">
        <v>81.34</v>
      </c>
      <c r="C156" s="8">
        <v>314.7</v>
      </c>
      <c r="D156" s="9">
        <v>-4.7832310489598897E-3</v>
      </c>
      <c r="E156" s="9">
        <v>-4.81836981163808E-3</v>
      </c>
      <c r="F156" s="8">
        <v>0</v>
      </c>
      <c r="G156" s="8">
        <v>0.49199999999999999</v>
      </c>
      <c r="H156" s="8">
        <v>0</v>
      </c>
      <c r="I156" s="8">
        <v>1.9807999999999999</v>
      </c>
      <c r="J156" s="8">
        <v>0</v>
      </c>
      <c r="K156" s="8">
        <v>0</v>
      </c>
      <c r="L156" s="8">
        <v>81.34</v>
      </c>
      <c r="M156" s="8">
        <v>314.7</v>
      </c>
      <c r="N156" s="10">
        <v>3.8689451684288101</v>
      </c>
      <c r="O156" s="10">
        <v>3.8715231538253501</v>
      </c>
      <c r="P156" s="10">
        <v>3.8686605546353099</v>
      </c>
      <c r="Q156" s="10">
        <v>3.8685480555196898</v>
      </c>
      <c r="R156" s="8">
        <v>314.90969333215401</v>
      </c>
      <c r="S156" s="8">
        <v>314.69033573625802</v>
      </c>
      <c r="T156" s="8">
        <v>314.66579935899699</v>
      </c>
      <c r="U156" s="9">
        <v>6.6610581802733202E-4</v>
      </c>
      <c r="V156" s="9">
        <v>-3.0709920992626503E-5</v>
      </c>
      <c r="W156" s="9">
        <v>-1.0868287113971E-4</v>
      </c>
      <c r="X156" s="10">
        <v>3.8689451684288101</v>
      </c>
      <c r="Y156" s="10">
        <v>3.8715231538253501</v>
      </c>
      <c r="Z156" s="10">
        <v>3.8686605546353099</v>
      </c>
      <c r="AA156" s="10">
        <v>3.8685480555196898</v>
      </c>
      <c r="AB156" s="8">
        <v>314.90969333215401</v>
      </c>
      <c r="AC156" s="8">
        <v>314.69033573625802</v>
      </c>
      <c r="AD156" s="8">
        <v>314.66579935899699</v>
      </c>
      <c r="AE156" s="9">
        <v>6.6610581802733202E-4</v>
      </c>
      <c r="AF156" s="9">
        <v>-3.0709920992626503E-5</v>
      </c>
      <c r="AG156" s="9">
        <v>-1.0868287113971E-4</v>
      </c>
      <c r="AZ156" s="9"/>
      <c r="BB156">
        <f t="shared" si="42"/>
        <v>0</v>
      </c>
      <c r="BC156">
        <f t="shared" si="43"/>
        <v>0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7.7409398767540913E-4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7.7409398767540913E-4</v>
      </c>
    </row>
    <row r="157" spans="1:77" x14ac:dyDescent="0.3">
      <c r="A157" s="1">
        <v>46251</v>
      </c>
      <c r="B157" s="8">
        <v>81.290000000000006</v>
      </c>
      <c r="C157" s="8">
        <v>314.33999999999997</v>
      </c>
      <c r="D157" s="9">
        <v>-6.14892720597459E-4</v>
      </c>
      <c r="E157" s="9">
        <v>-1.1446014221778501E-3</v>
      </c>
      <c r="F157" s="8">
        <v>0</v>
      </c>
      <c r="G157" s="8">
        <v>0.49199999999999999</v>
      </c>
      <c r="H157" s="8">
        <v>0</v>
      </c>
      <c r="I157" s="8">
        <v>1.9807999999999999</v>
      </c>
      <c r="J157" s="8">
        <v>0</v>
      </c>
      <c r="K157" s="8">
        <v>0</v>
      </c>
      <c r="L157" s="8">
        <v>81.290000000000006</v>
      </c>
      <c r="M157" s="8">
        <v>314.33999999999997</v>
      </c>
      <c r="N157" s="10">
        <v>3.86689629720752</v>
      </c>
      <c r="O157" s="10">
        <v>3.8715231538253501</v>
      </c>
      <c r="P157" s="10">
        <v>3.86851075346175</v>
      </c>
      <c r="Q157" s="10">
        <v>3.8684988370596498</v>
      </c>
      <c r="R157" s="8">
        <v>314.716117174462</v>
      </c>
      <c r="S157" s="8">
        <v>314.48341648630401</v>
      </c>
      <c r="T157" s="8">
        <v>314.47427143319601</v>
      </c>
      <c r="U157" s="9">
        <v>1.19581451960765E-3</v>
      </c>
      <c r="V157" s="9">
        <v>4.5614232877306198E-4</v>
      </c>
      <c r="W157" s="9">
        <v>4.27062302294171E-4</v>
      </c>
      <c r="X157" s="10">
        <v>3.86689629720752</v>
      </c>
      <c r="Y157" s="10">
        <v>3.8715231538253501</v>
      </c>
      <c r="Z157" s="10">
        <v>3.86851075346175</v>
      </c>
      <c r="AA157" s="10">
        <v>3.8684988370596498</v>
      </c>
      <c r="AB157" s="8">
        <v>314.716117174462</v>
      </c>
      <c r="AC157" s="8">
        <v>314.48341648630401</v>
      </c>
      <c r="AD157" s="8">
        <v>314.47427143319601</v>
      </c>
      <c r="AE157" s="9">
        <v>1.19581451960765E-3</v>
      </c>
      <c r="AF157" s="9">
        <v>4.5614232877306198E-4</v>
      </c>
      <c r="AG157" s="9">
        <v>4.27062302294171E-4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7.7409398767540913E-4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7.7409398767540913E-4</v>
      </c>
    </row>
    <row r="158" spans="1:77" x14ac:dyDescent="0.3">
      <c r="A158" s="1">
        <v>46252</v>
      </c>
      <c r="B158" s="8">
        <v>82.37</v>
      </c>
      <c r="C158" s="8">
        <v>318.83999999999997</v>
      </c>
      <c r="D158" s="9">
        <v>1.31982851946763E-2</v>
      </c>
      <c r="E158" s="9">
        <v>1.4214206911539001E-2</v>
      </c>
      <c r="F158" s="8">
        <v>0</v>
      </c>
      <c r="G158" s="8">
        <v>0.49199999999999999</v>
      </c>
      <c r="H158" s="8">
        <v>0</v>
      </c>
      <c r="I158" s="8">
        <v>1.9807999999999999</v>
      </c>
      <c r="J158" s="8">
        <v>0</v>
      </c>
      <c r="K158" s="8">
        <v>0</v>
      </c>
      <c r="L158" s="8">
        <v>82.37</v>
      </c>
      <c r="M158" s="8">
        <v>318.83999999999997</v>
      </c>
      <c r="N158" s="10">
        <v>3.8708267573145498</v>
      </c>
      <c r="O158" s="10">
        <v>3.8715231538253501</v>
      </c>
      <c r="P158" s="10">
        <v>3.8688447606667098</v>
      </c>
      <c r="Q158" s="10">
        <v>3.8685761226377902</v>
      </c>
      <c r="R158" s="8">
        <v>318.89736218059397</v>
      </c>
      <c r="S158" s="8">
        <v>318.649230762645</v>
      </c>
      <c r="T158" s="8">
        <v>318.64824920860298</v>
      </c>
      <c r="U158" s="9">
        <v>1.7989280274511001E-4</v>
      </c>
      <c r="V158" s="9">
        <v>-5.9850185334481504E-4</v>
      </c>
      <c r="W158" s="9">
        <v>-6.0158221713815102E-4</v>
      </c>
      <c r="X158" s="10">
        <v>3.8708267573145498</v>
      </c>
      <c r="Y158" s="10">
        <v>3.8715231538253501</v>
      </c>
      <c r="Z158" s="10">
        <v>3.8688447606667098</v>
      </c>
      <c r="AA158" s="10">
        <v>3.8685761226377902</v>
      </c>
      <c r="AB158" s="8">
        <v>318.89736218059397</v>
      </c>
      <c r="AC158" s="8">
        <v>318.649230762645</v>
      </c>
      <c r="AD158" s="8">
        <v>318.64824920860298</v>
      </c>
      <c r="AE158" s="9">
        <v>1.7989280274511001E-4</v>
      </c>
      <c r="AF158" s="9">
        <v>-5.9850185334481504E-4</v>
      </c>
      <c r="AG158" s="9">
        <v>-6.0158221713815102E-4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7.7409398767540913E-4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7.7409398767540913E-4</v>
      </c>
    </row>
    <row r="159" spans="1:77" x14ac:dyDescent="0.3">
      <c r="A159" s="1">
        <v>46253</v>
      </c>
      <c r="B159" s="8">
        <v>85.19</v>
      </c>
      <c r="C159" s="8">
        <v>329.48</v>
      </c>
      <c r="D159" s="9">
        <v>3.3662763101591699E-2</v>
      </c>
      <c r="E159" s="9">
        <v>3.2826244513325602E-2</v>
      </c>
      <c r="F159" s="8">
        <v>0</v>
      </c>
      <c r="G159" s="8">
        <v>0.49199999999999999</v>
      </c>
      <c r="H159" s="8">
        <v>0</v>
      </c>
      <c r="I159" s="8">
        <v>1.9807999999999999</v>
      </c>
      <c r="J159" s="8">
        <v>0</v>
      </c>
      <c r="K159" s="8">
        <v>0</v>
      </c>
      <c r="L159" s="8">
        <v>85.19</v>
      </c>
      <c r="M159" s="8">
        <v>329.48</v>
      </c>
      <c r="N159" s="10">
        <v>3.86759009273388</v>
      </c>
      <c r="O159" s="10">
        <v>3.8715231538253501</v>
      </c>
      <c r="P159" s="10">
        <v>3.8685741663274502</v>
      </c>
      <c r="Q159" s="10">
        <v>3.8685362724357799</v>
      </c>
      <c r="R159" s="8">
        <v>329.81505747438098</v>
      </c>
      <c r="S159" s="8">
        <v>329.58688516119702</v>
      </c>
      <c r="T159" s="8">
        <v>329.563999887514</v>
      </c>
      <c r="U159" s="9">
        <v>1.0164113910111499E-3</v>
      </c>
      <c r="V159" s="9">
        <v>3.2435300434839398E-4</v>
      </c>
      <c r="W159" s="9">
        <v>2.5491435468127401E-4</v>
      </c>
      <c r="X159" s="10">
        <v>3.86759009273388</v>
      </c>
      <c r="Y159" s="10">
        <v>3.8715231538253501</v>
      </c>
      <c r="Z159" s="10">
        <v>3.8685741663274502</v>
      </c>
      <c r="AA159" s="10">
        <v>3.8685362724357799</v>
      </c>
      <c r="AB159" s="8">
        <v>329.81505747438098</v>
      </c>
      <c r="AC159" s="8">
        <v>329.58688516119702</v>
      </c>
      <c r="AD159" s="8">
        <v>329.563999887514</v>
      </c>
      <c r="AE159" s="9">
        <v>1.0164113910111499E-3</v>
      </c>
      <c r="AF159" s="9">
        <v>3.2435300434839398E-4</v>
      </c>
      <c r="AG159" s="9">
        <v>2.5491435468127401E-4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7.7409398767540913E-4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7.7409398767540913E-4</v>
      </c>
    </row>
    <row r="160" spans="1:77" x14ac:dyDescent="0.3">
      <c r="A160" s="1">
        <v>46254</v>
      </c>
      <c r="B160" s="8">
        <v>83.64</v>
      </c>
      <c r="C160" s="8">
        <v>323.69</v>
      </c>
      <c r="D160" s="9">
        <v>-1.8362181494316201E-2</v>
      </c>
      <c r="E160" s="9">
        <v>-1.7729386420018901E-2</v>
      </c>
      <c r="F160" s="8">
        <v>0</v>
      </c>
      <c r="G160" s="8">
        <v>0.49199999999999999</v>
      </c>
      <c r="H160" s="8">
        <v>0</v>
      </c>
      <c r="I160" s="8">
        <v>1.9807999999999999</v>
      </c>
      <c r="J160" s="8">
        <v>0</v>
      </c>
      <c r="K160" s="8">
        <v>0</v>
      </c>
      <c r="L160" s="8">
        <v>83.64</v>
      </c>
      <c r="M160" s="8">
        <v>323.69</v>
      </c>
      <c r="N160" s="10">
        <v>3.8700382592061202</v>
      </c>
      <c r="O160" s="10">
        <v>3.8715231538253501</v>
      </c>
      <c r="P160" s="10">
        <v>3.86852889405167</v>
      </c>
      <c r="Q160" s="10">
        <v>3.8686006853960899</v>
      </c>
      <c r="R160" s="8">
        <v>323.814196585952</v>
      </c>
      <c r="S160" s="8">
        <v>323.56754327162798</v>
      </c>
      <c r="T160" s="8">
        <v>323.56437382652899</v>
      </c>
      <c r="U160" s="9">
        <v>3.8361631671372001E-4</v>
      </c>
      <c r="V160" s="9">
        <v>-3.7838641235018701E-4</v>
      </c>
      <c r="W160" s="9">
        <v>-3.8818177251031898E-4</v>
      </c>
      <c r="X160" s="10">
        <v>3.8700382592061202</v>
      </c>
      <c r="Y160" s="10">
        <v>3.8715231538253501</v>
      </c>
      <c r="Z160" s="10">
        <v>3.86852889405167</v>
      </c>
      <c r="AA160" s="10">
        <v>3.8686006853960899</v>
      </c>
      <c r="AB160" s="8">
        <v>323.814196585952</v>
      </c>
      <c r="AC160" s="8">
        <v>323.56754327162798</v>
      </c>
      <c r="AD160" s="8">
        <v>323.56437382652899</v>
      </c>
      <c r="AE160" s="9">
        <v>3.8361631671372001E-4</v>
      </c>
      <c r="AF160" s="9">
        <v>-3.7838641235018701E-4</v>
      </c>
      <c r="AG160" s="9">
        <v>-3.8818177251031898E-4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7.7409398767540913E-4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7.7409398767540913E-4</v>
      </c>
    </row>
    <row r="161" spans="1:77" x14ac:dyDescent="0.3">
      <c r="A161" s="1">
        <v>46255</v>
      </c>
      <c r="B161" s="8">
        <v>84.66</v>
      </c>
      <c r="C161" s="8">
        <v>327.7</v>
      </c>
      <c r="D161" s="9">
        <v>1.21213605323448E-2</v>
      </c>
      <c r="E161" s="9">
        <v>1.2312288051739799E-2</v>
      </c>
      <c r="F161" s="8">
        <v>0</v>
      </c>
      <c r="G161" s="8">
        <v>0.49199999999999999</v>
      </c>
      <c r="H161" s="8">
        <v>0</v>
      </c>
      <c r="I161" s="8">
        <v>1.9807999999999999</v>
      </c>
      <c r="J161" s="8">
        <v>0</v>
      </c>
      <c r="K161" s="8">
        <v>0</v>
      </c>
      <c r="L161" s="8">
        <v>84.66</v>
      </c>
      <c r="M161" s="8">
        <v>327.7</v>
      </c>
      <c r="N161" s="10">
        <v>3.8707772265532698</v>
      </c>
      <c r="O161" s="10">
        <v>3.8715231538253501</v>
      </c>
      <c r="P161" s="10">
        <v>3.8686969848735999</v>
      </c>
      <c r="Q161" s="10">
        <v>3.86866542191401</v>
      </c>
      <c r="R161" s="8">
        <v>327.76315020285398</v>
      </c>
      <c r="S161" s="8">
        <v>327.50965617041402</v>
      </c>
      <c r="T161" s="8">
        <v>327.51573402563298</v>
      </c>
      <c r="U161" s="9">
        <v>1.9268879731872601E-4</v>
      </c>
      <c r="V161" s="9">
        <v>-5.8101657430489895E-4</v>
      </c>
      <c r="W161" s="9">
        <v>-5.6245895712160501E-4</v>
      </c>
      <c r="X161" s="10">
        <v>3.8707772265532698</v>
      </c>
      <c r="Y161" s="10">
        <v>3.8715231538253501</v>
      </c>
      <c r="Z161" s="10">
        <v>3.8686969848735999</v>
      </c>
      <c r="AA161" s="10">
        <v>3.86866542191401</v>
      </c>
      <c r="AB161" s="8">
        <v>327.76315020285398</v>
      </c>
      <c r="AC161" s="8">
        <v>327.50965617041402</v>
      </c>
      <c r="AD161" s="8">
        <v>327.51573402563298</v>
      </c>
      <c r="AE161" s="9">
        <v>1.9268879731872601E-4</v>
      </c>
      <c r="AF161" s="9">
        <v>-5.8101657430489895E-4</v>
      </c>
      <c r="AG161" s="9">
        <v>-5.6245895712160501E-4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7.7409398767540913E-4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7.7409398767540913E-4</v>
      </c>
    </row>
    <row r="162" spans="1:77" x14ac:dyDescent="0.3">
      <c r="A162" s="1">
        <v>46258</v>
      </c>
      <c r="B162" s="8">
        <v>84.61</v>
      </c>
      <c r="C162" s="8">
        <v>327.49</v>
      </c>
      <c r="D162" s="9">
        <v>-5.9077215636807196E-4</v>
      </c>
      <c r="E162" s="9">
        <v>-6.4103544679005296E-4</v>
      </c>
      <c r="F162" s="8">
        <v>0</v>
      </c>
      <c r="G162" s="8">
        <v>0.49199999999999999</v>
      </c>
      <c r="H162" s="8">
        <v>0</v>
      </c>
      <c r="I162" s="8">
        <v>1.9807999999999999</v>
      </c>
      <c r="J162" s="8">
        <v>0</v>
      </c>
      <c r="K162" s="8">
        <v>0</v>
      </c>
      <c r="L162" s="8">
        <v>84.61</v>
      </c>
      <c r="M162" s="8">
        <v>327.49</v>
      </c>
      <c r="N162" s="10">
        <v>3.8705826734428501</v>
      </c>
      <c r="O162" s="10">
        <v>3.8715231538253501</v>
      </c>
      <c r="P162" s="10">
        <v>3.8690397455023802</v>
      </c>
      <c r="Q162" s="10">
        <v>3.8687363168780999</v>
      </c>
      <c r="R162" s="8">
        <v>327.56957404516299</v>
      </c>
      <c r="S162" s="8">
        <v>327.33045189015598</v>
      </c>
      <c r="T162" s="8">
        <v>327.32778134814401</v>
      </c>
      <c r="U162" s="9">
        <v>2.4295208774072701E-4</v>
      </c>
      <c r="V162" s="9">
        <v>-4.8730338993149098E-4</v>
      </c>
      <c r="W162" s="9">
        <v>-4.9546197368051804E-4</v>
      </c>
      <c r="X162" s="10">
        <v>3.8705826734428501</v>
      </c>
      <c r="Y162" s="10">
        <v>3.8715231538253501</v>
      </c>
      <c r="Z162" s="10">
        <v>3.8690397455023802</v>
      </c>
      <c r="AA162" s="10">
        <v>3.8687363168780999</v>
      </c>
      <c r="AB162" s="8">
        <v>327.56957404516299</v>
      </c>
      <c r="AC162" s="8">
        <v>327.33045189015598</v>
      </c>
      <c r="AD162" s="8">
        <v>327.32778134814401</v>
      </c>
      <c r="AE162" s="9">
        <v>2.4295208774072701E-4</v>
      </c>
      <c r="AF162" s="9">
        <v>-4.8730338993149098E-4</v>
      </c>
      <c r="AG162" s="9">
        <v>-4.9546197368051804E-4</v>
      </c>
      <c r="BB162">
        <f t="shared" si="42"/>
        <v>0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7.7409398767540913E-4</v>
      </c>
      <c r="BL162" s="9"/>
      <c r="BN162">
        <f t="shared" si="50"/>
        <v>0</v>
      </c>
      <c r="BO162">
        <f t="shared" si="51"/>
        <v>1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7.7409398767540913E-4</v>
      </c>
    </row>
    <row r="163" spans="1:77" x14ac:dyDescent="0.3">
      <c r="A163" s="1">
        <v>46259</v>
      </c>
      <c r="B163" s="8">
        <v>85.01</v>
      </c>
      <c r="C163" s="8">
        <v>329.01</v>
      </c>
      <c r="D163" s="9">
        <v>4.7164336928580304E-3</v>
      </c>
      <c r="E163" s="9">
        <v>4.6306251822484396E-3</v>
      </c>
      <c r="F163" s="8">
        <v>0</v>
      </c>
      <c r="G163" s="8">
        <v>0.49199999999999999</v>
      </c>
      <c r="H163" s="8">
        <v>0</v>
      </c>
      <c r="I163" s="8">
        <v>1.9807999999999999</v>
      </c>
      <c r="J163" s="8">
        <v>0</v>
      </c>
      <c r="K163" s="8">
        <v>0</v>
      </c>
      <c r="L163" s="8">
        <v>85.01</v>
      </c>
      <c r="M163" s="8">
        <v>329.01</v>
      </c>
      <c r="N163" s="10">
        <v>3.8702505587577898</v>
      </c>
      <c r="O163" s="10">
        <v>3.8715231538253501</v>
      </c>
      <c r="P163" s="10">
        <v>3.86921269992001</v>
      </c>
      <c r="Q163" s="10">
        <v>3.8688969929641401</v>
      </c>
      <c r="R163" s="8">
        <v>329.11818330669303</v>
      </c>
      <c r="S163" s="8">
        <v>328.90706876515702</v>
      </c>
      <c r="T163" s="8">
        <v>328.88127429780701</v>
      </c>
      <c r="U163" s="9">
        <v>3.28760598350464E-4</v>
      </c>
      <c r="V163" s="9">
        <v>-3.1290033522020898E-4</v>
      </c>
      <c r="W163" s="9">
        <v>-3.9132819924480401E-4</v>
      </c>
      <c r="X163" s="10">
        <v>3.8702505587577898</v>
      </c>
      <c r="Y163" s="10">
        <v>3.8715231538253501</v>
      </c>
      <c r="Z163" s="10">
        <v>3.86921269992001</v>
      </c>
      <c r="AA163" s="10">
        <v>3.8688969929641401</v>
      </c>
      <c r="AB163" s="8">
        <v>329.11818330669303</v>
      </c>
      <c r="AC163" s="8">
        <v>328.90706876515702</v>
      </c>
      <c r="AD163" s="8">
        <v>328.88127429780701</v>
      </c>
      <c r="AE163" s="9">
        <v>3.28760598350464E-4</v>
      </c>
      <c r="AF163" s="9">
        <v>-3.1290033522020898E-4</v>
      </c>
      <c r="AG163" s="9">
        <v>-3.9132819924480401E-4</v>
      </c>
      <c r="BB163">
        <f t="shared" si="42"/>
        <v>0</v>
      </c>
      <c r="BC163">
        <f t="shared" si="43"/>
        <v>0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7.7409398767540913E-4</v>
      </c>
      <c r="BL163" s="9"/>
      <c r="BN163">
        <f t="shared" si="50"/>
        <v>0</v>
      </c>
      <c r="BO163">
        <f t="shared" si="51"/>
        <v>1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7.7409398767540913E-4</v>
      </c>
    </row>
    <row r="164" spans="1:77" x14ac:dyDescent="0.3">
      <c r="A164" s="1">
        <v>46260</v>
      </c>
      <c r="B164" s="8">
        <v>84.32</v>
      </c>
      <c r="C164" s="8">
        <v>326.27</v>
      </c>
      <c r="D164" s="9">
        <v>-8.1498118362153902E-3</v>
      </c>
      <c r="E164" s="9">
        <v>-8.3628860002643596E-3</v>
      </c>
      <c r="F164" s="8">
        <v>0</v>
      </c>
      <c r="G164" s="8">
        <v>0.49199999999999999</v>
      </c>
      <c r="H164" s="8">
        <v>0</v>
      </c>
      <c r="I164" s="8">
        <v>1.9807999999999999</v>
      </c>
      <c r="J164" s="8">
        <v>0</v>
      </c>
      <c r="K164" s="8">
        <v>0</v>
      </c>
      <c r="L164" s="8">
        <v>84.32</v>
      </c>
      <c r="M164" s="8">
        <v>326.27</v>
      </c>
      <c r="N164" s="10">
        <v>3.8694259962049302</v>
      </c>
      <c r="O164" s="10">
        <v>3.8715231538253501</v>
      </c>
      <c r="P164" s="10">
        <v>3.8694414150613201</v>
      </c>
      <c r="Q164" s="10">
        <v>3.8690018331470601</v>
      </c>
      <c r="R164" s="8">
        <v>326.44683233055298</v>
      </c>
      <c r="S164" s="8">
        <v>326.25201485725501</v>
      </c>
      <c r="T164" s="8">
        <v>326.225394446736</v>
      </c>
      <c r="U164" s="9">
        <v>5.4183476239942705E-4</v>
      </c>
      <c r="V164" s="9">
        <v>-5.5125014450646E-5</v>
      </c>
      <c r="W164" s="9">
        <v>-1.3672296758729101E-4</v>
      </c>
      <c r="X164" s="10">
        <v>3.8694259962049302</v>
      </c>
      <c r="Y164" s="10">
        <v>3.8715231538253501</v>
      </c>
      <c r="Z164" s="10">
        <v>3.8694414150613201</v>
      </c>
      <c r="AA164" s="10">
        <v>3.8690018331470601</v>
      </c>
      <c r="AB164" s="8">
        <v>326.44683233055298</v>
      </c>
      <c r="AC164" s="8">
        <v>326.25201485725501</v>
      </c>
      <c r="AD164" s="8">
        <v>326.225394446736</v>
      </c>
      <c r="AE164" s="9">
        <v>5.4183476239942705E-4</v>
      </c>
      <c r="AF164" s="9">
        <v>-5.5125014450646E-5</v>
      </c>
      <c r="AG164" s="9">
        <v>-1.3672296758729101E-4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7.7409398767540913E-4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7.7409398767540913E-4</v>
      </c>
    </row>
    <row r="165" spans="1:77" x14ac:dyDescent="0.3">
      <c r="A165" s="1">
        <v>46261</v>
      </c>
      <c r="B165" s="8">
        <v>83.48</v>
      </c>
      <c r="C165" s="8">
        <v>322.93</v>
      </c>
      <c r="D165" s="9">
        <v>-1.0012002584052E-2</v>
      </c>
      <c r="E165" s="9">
        <v>-1.0289677970357E-2</v>
      </c>
      <c r="F165" s="8">
        <v>0</v>
      </c>
      <c r="G165" s="8">
        <v>0.49199999999999999</v>
      </c>
      <c r="H165" s="8">
        <v>0</v>
      </c>
      <c r="I165" s="8">
        <v>1.9807999999999999</v>
      </c>
      <c r="J165" s="8">
        <v>0</v>
      </c>
      <c r="K165" s="8">
        <v>0</v>
      </c>
      <c r="L165" s="8">
        <v>83.48</v>
      </c>
      <c r="M165" s="8">
        <v>322.93</v>
      </c>
      <c r="N165" s="10">
        <v>3.8683517010062198</v>
      </c>
      <c r="O165" s="10">
        <v>3.8715231538253501</v>
      </c>
      <c r="P165" s="10">
        <v>3.86936847308559</v>
      </c>
      <c r="Q165" s="10">
        <v>3.8690974141691701</v>
      </c>
      <c r="R165" s="8">
        <v>323.19475288133998</v>
      </c>
      <c r="S165" s="8">
        <v>323.02096932931897</v>
      </c>
      <c r="T165" s="8">
        <v>322.984273031116</v>
      </c>
      <c r="U165" s="9">
        <v>8.1951014870427802E-4</v>
      </c>
      <c r="V165" s="9">
        <v>2.8166017001365299E-4</v>
      </c>
      <c r="W165" s="9">
        <v>1.6805026149910101E-4</v>
      </c>
      <c r="X165" s="10">
        <v>3.8683517010062198</v>
      </c>
      <c r="Y165" s="10">
        <v>3.8715231538253501</v>
      </c>
      <c r="Z165" s="10">
        <v>3.86936847308559</v>
      </c>
      <c r="AA165" s="10">
        <v>3.8690974141691701</v>
      </c>
      <c r="AB165" s="8">
        <v>323.19475288133998</v>
      </c>
      <c r="AC165" s="8">
        <v>323.02096932931897</v>
      </c>
      <c r="AD165" s="8">
        <v>322.984273031116</v>
      </c>
      <c r="AE165" s="9">
        <v>8.1951014870427802E-4</v>
      </c>
      <c r="AF165" s="9">
        <v>2.8166017001365299E-4</v>
      </c>
      <c r="AG165" s="9">
        <v>1.6805026149910101E-4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7.7409398767540913E-4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7.7409398767540913E-4</v>
      </c>
    </row>
    <row r="166" spans="1:77" x14ac:dyDescent="0.3">
      <c r="A166" s="1">
        <v>46262</v>
      </c>
      <c r="B166" s="8">
        <v>83</v>
      </c>
      <c r="C166" s="8">
        <v>320.95999999999998</v>
      </c>
      <c r="D166" s="9">
        <v>-5.7664744124021399E-3</v>
      </c>
      <c r="E166" s="9">
        <v>-6.1190766960352097E-3</v>
      </c>
      <c r="F166" s="8">
        <v>0</v>
      </c>
      <c r="G166" s="8">
        <v>0.49199999999999999</v>
      </c>
      <c r="H166" s="8">
        <v>0</v>
      </c>
      <c r="I166" s="8">
        <v>1.9807999999999999</v>
      </c>
      <c r="J166" s="8">
        <v>0</v>
      </c>
      <c r="K166" s="8">
        <v>0</v>
      </c>
      <c r="L166" s="8">
        <v>83</v>
      </c>
      <c r="M166" s="8">
        <v>320.95999999999998</v>
      </c>
      <c r="N166" s="10">
        <v>3.8669879518072201</v>
      </c>
      <c r="O166" s="10">
        <v>3.8715231538253501</v>
      </c>
      <c r="P166" s="10">
        <v>3.8691727514234402</v>
      </c>
      <c r="Q166" s="10">
        <v>3.8689166530293702</v>
      </c>
      <c r="R166" s="8">
        <v>321.33642176750402</v>
      </c>
      <c r="S166" s="8">
        <v>321.15758326610398</v>
      </c>
      <c r="T166" s="8">
        <v>321.13508537604099</v>
      </c>
      <c r="U166" s="9">
        <v>1.17211243233729E-3</v>
      </c>
      <c r="V166" s="9">
        <v>6.15411499357127E-4</v>
      </c>
      <c r="W166" s="9">
        <v>5.4535655035715101E-4</v>
      </c>
      <c r="X166" s="10">
        <v>3.8669879518072201</v>
      </c>
      <c r="Y166" s="10">
        <v>3.8715231538253501</v>
      </c>
      <c r="Z166" s="10">
        <v>3.8691727514234402</v>
      </c>
      <c r="AA166" s="10">
        <v>3.8689166530293702</v>
      </c>
      <c r="AB166" s="8">
        <v>321.33642176750402</v>
      </c>
      <c r="AC166" s="8">
        <v>321.15758326610398</v>
      </c>
      <c r="AD166" s="8">
        <v>321.13508537604099</v>
      </c>
      <c r="AE166" s="9">
        <v>1.17211243233729E-3</v>
      </c>
      <c r="AF166" s="9">
        <v>6.15411499357127E-4</v>
      </c>
      <c r="AG166" s="9">
        <v>5.4535655035715101E-4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7.7409398767540913E-4</v>
      </c>
      <c r="BL166" s="9"/>
      <c r="BN166">
        <f t="shared" si="50"/>
        <v>0</v>
      </c>
      <c r="BO166">
        <f t="shared" si="51"/>
        <v>0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7.7409398767540913E-4</v>
      </c>
    </row>
    <row r="167" spans="1:77" x14ac:dyDescent="0.3">
      <c r="A167" s="1">
        <v>46265</v>
      </c>
      <c r="B167" s="8">
        <v>82.73</v>
      </c>
      <c r="C167" s="8">
        <v>319.95999999999998</v>
      </c>
      <c r="D167" s="9">
        <v>-3.25831459450635E-3</v>
      </c>
      <c r="E167" s="9">
        <v>-3.12051679294956E-3</v>
      </c>
      <c r="F167" s="8">
        <v>0</v>
      </c>
      <c r="G167" s="8">
        <v>0.49199999999999999</v>
      </c>
      <c r="H167" s="8">
        <v>0</v>
      </c>
      <c r="I167" s="8">
        <v>1.9807999999999999</v>
      </c>
      <c r="J167" s="8">
        <v>0</v>
      </c>
      <c r="K167" s="8">
        <v>0</v>
      </c>
      <c r="L167" s="8">
        <v>82.73</v>
      </c>
      <c r="M167" s="8">
        <v>319.95999999999998</v>
      </c>
      <c r="N167" s="10">
        <v>3.86752085096095</v>
      </c>
      <c r="O167" s="10">
        <v>3.8715231538253501</v>
      </c>
      <c r="P167" s="10">
        <v>3.8692352067987801</v>
      </c>
      <c r="Q167" s="10">
        <v>3.8688729801302699</v>
      </c>
      <c r="R167" s="8">
        <v>320.29111051597101</v>
      </c>
      <c r="S167" s="8">
        <v>320.09666172526101</v>
      </c>
      <c r="T167" s="8">
        <v>320.07547470511997</v>
      </c>
      <c r="U167" s="9">
        <v>1.0343146307805499E-3</v>
      </c>
      <c r="V167" s="9">
        <v>4.2703009127230298E-4</v>
      </c>
      <c r="W167" s="9">
        <v>3.6083845642015399E-4</v>
      </c>
      <c r="X167" s="10">
        <v>3.86752085096095</v>
      </c>
      <c r="Y167" s="10">
        <v>3.8715231538253501</v>
      </c>
      <c r="Z167" s="10">
        <v>3.8692352067987801</v>
      </c>
      <c r="AA167" s="10">
        <v>3.8688729801302699</v>
      </c>
      <c r="AB167" s="8">
        <v>320.29111051597101</v>
      </c>
      <c r="AC167" s="8">
        <v>320.09666172526101</v>
      </c>
      <c r="AD167" s="8">
        <v>320.07547470511997</v>
      </c>
      <c r="AE167" s="9">
        <v>1.0343146307805499E-3</v>
      </c>
      <c r="AF167" s="9">
        <v>4.2703009127230298E-4</v>
      </c>
      <c r="AG167" s="9">
        <v>3.6083845642015399E-4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7.7409398767540913E-4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7.7409398767540913E-4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2026-09-04T02:30:50Z</dcterms:modified>
</cp:coreProperties>
</file>