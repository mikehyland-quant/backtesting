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My Trading Data/"/>
    </mc:Choice>
  </mc:AlternateContent>
  <xr:revisionPtr revIDLastSave="192" documentId="8_{56A4BCB3-E760-4589-8105-85B9C6E810E2}" xr6:coauthVersionLast="47" xr6:coauthVersionMax="47" xr10:uidLastSave="{D0619978-E915-4ECD-912E-2E4173335FE7}"/>
  <bookViews>
    <workbookView xWindow="-108" yWindow="-108" windowWidth="23256" windowHeight="12456" activeTab="5" xr2:uid="{9B195DD8-2D7C-41BC-9CD1-9A9431F57F94}"/>
  </bookViews>
  <sheets>
    <sheet name="Sheet1" sheetId="1" r:id="rId1"/>
    <sheet name="Financials" sheetId="9" r:id="rId2"/>
    <sheet name="Utilities" sheetId="2" r:id="rId3"/>
    <sheet name="Tech" sheetId="3" r:id="rId4"/>
    <sheet name="Healthcare" sheetId="8" r:id="rId5"/>
    <sheet name="RE" sheetId="4" r:id="rId6"/>
    <sheet name="Energy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5" i="6" l="1"/>
  <c r="D54" i="6"/>
  <c r="D53" i="6"/>
  <c r="D52" i="6"/>
  <c r="D117" i="6"/>
  <c r="D55" i="4"/>
  <c r="D54" i="4"/>
  <c r="D53" i="4"/>
  <c r="D52" i="4"/>
  <c r="D117" i="4"/>
  <c r="D55" i="8"/>
  <c r="D54" i="8"/>
  <c r="D53" i="8"/>
  <c r="D52" i="8"/>
  <c r="D117" i="8"/>
  <c r="D55" i="3"/>
  <c r="D54" i="3"/>
  <c r="D53" i="3"/>
  <c r="D52" i="3"/>
  <c r="D117" i="3"/>
  <c r="D117" i="2"/>
  <c r="D55" i="2"/>
  <c r="D54" i="2"/>
  <c r="D53" i="2"/>
  <c r="D52" i="2"/>
  <c r="C117" i="9"/>
  <c r="C55" i="9"/>
  <c r="C54" i="9"/>
  <c r="C53" i="9"/>
  <c r="C52" i="9"/>
  <c r="E163" i="6" l="1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F146" i="6" s="1"/>
  <c r="H146" i="6" s="1"/>
  <c r="J146" i="6" s="1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F132" i="6" s="1"/>
  <c r="H132" i="6" s="1"/>
  <c r="J132" i="6" s="1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F53" i="6" s="1"/>
  <c r="H53" i="6" s="1"/>
  <c r="J53" i="6" s="1"/>
  <c r="E33" i="6"/>
  <c r="E32" i="6"/>
  <c r="E31" i="6"/>
  <c r="E30" i="6"/>
  <c r="E29" i="6"/>
  <c r="E28" i="6"/>
  <c r="E27" i="6"/>
  <c r="E26" i="6"/>
  <c r="E25" i="6"/>
  <c r="E24" i="6"/>
  <c r="E23" i="6"/>
  <c r="E22" i="6"/>
  <c r="F41" i="6" s="1"/>
  <c r="H41" i="6" s="1"/>
  <c r="J41" i="6" s="1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" i="6"/>
  <c r="E163" i="4"/>
  <c r="E162" i="4"/>
  <c r="E161" i="4"/>
  <c r="E160" i="4"/>
  <c r="E159" i="4"/>
  <c r="E158" i="4"/>
  <c r="E157" i="4"/>
  <c r="E156" i="4"/>
  <c r="E155" i="4"/>
  <c r="E154" i="4"/>
  <c r="E153" i="4"/>
  <c r="E152" i="4"/>
  <c r="F162" i="4" s="1"/>
  <c r="H162" i="4" s="1"/>
  <c r="J162" i="4" s="1"/>
  <c r="E151" i="4"/>
  <c r="E150" i="4"/>
  <c r="E149" i="4"/>
  <c r="E148" i="4"/>
  <c r="E147" i="4"/>
  <c r="E146" i="4"/>
  <c r="E145" i="4"/>
  <c r="E144" i="4"/>
  <c r="E143" i="4"/>
  <c r="E142" i="4"/>
  <c r="E141" i="4"/>
  <c r="E140" i="4"/>
  <c r="F159" i="4" s="1"/>
  <c r="H159" i="4" s="1"/>
  <c r="J159" i="4" s="1"/>
  <c r="E139" i="4"/>
  <c r="E138" i="4"/>
  <c r="E137" i="4"/>
  <c r="E136" i="4"/>
  <c r="E135" i="4"/>
  <c r="F154" i="4" s="1"/>
  <c r="H154" i="4" s="1"/>
  <c r="J154" i="4" s="1"/>
  <c r="E134" i="4"/>
  <c r="E133" i="4"/>
  <c r="E132" i="4"/>
  <c r="F151" i="4" s="1"/>
  <c r="H151" i="4" s="1"/>
  <c r="J151" i="4" s="1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F120" i="4" s="1"/>
  <c r="H120" i="4" s="1"/>
  <c r="J120" i="4" s="1"/>
  <c r="E100" i="4"/>
  <c r="E99" i="4"/>
  <c r="E98" i="4"/>
  <c r="E97" i="4"/>
  <c r="E96" i="4"/>
  <c r="E95" i="4"/>
  <c r="F114" i="4" s="1"/>
  <c r="H114" i="4" s="1"/>
  <c r="J114" i="4" s="1"/>
  <c r="E94" i="4"/>
  <c r="E93" i="4"/>
  <c r="E92" i="4"/>
  <c r="E91" i="4"/>
  <c r="E90" i="4"/>
  <c r="E89" i="4"/>
  <c r="E88" i="4"/>
  <c r="F104" i="4" s="1"/>
  <c r="H104" i="4" s="1"/>
  <c r="J104" i="4" s="1"/>
  <c r="E87" i="4"/>
  <c r="E86" i="4"/>
  <c r="E85" i="4"/>
  <c r="E84" i="4"/>
  <c r="E83" i="4"/>
  <c r="E82" i="4"/>
  <c r="E81" i="4"/>
  <c r="E80" i="4"/>
  <c r="E79" i="4"/>
  <c r="E78" i="4"/>
  <c r="E77" i="4"/>
  <c r="F96" i="4" s="1"/>
  <c r="H96" i="4" s="1"/>
  <c r="J96" i="4" s="1"/>
  <c r="E76" i="4"/>
  <c r="E75" i="4"/>
  <c r="E74" i="4"/>
  <c r="E73" i="4"/>
  <c r="E72" i="4"/>
  <c r="E71" i="4"/>
  <c r="F90" i="4" s="1"/>
  <c r="H90" i="4" s="1"/>
  <c r="J90" i="4" s="1"/>
  <c r="E70" i="4"/>
  <c r="E69" i="4"/>
  <c r="E68" i="4"/>
  <c r="E67" i="4"/>
  <c r="E66" i="4"/>
  <c r="E65" i="4"/>
  <c r="E64" i="4"/>
  <c r="E63" i="4"/>
  <c r="E62" i="4"/>
  <c r="E61" i="4"/>
  <c r="E60" i="4"/>
  <c r="F79" i="4" s="1"/>
  <c r="H79" i="4" s="1"/>
  <c r="J79" i="4" s="1"/>
  <c r="F59" i="4"/>
  <c r="H59" i="4" s="1"/>
  <c r="J59" i="4" s="1"/>
  <c r="E59" i="4"/>
  <c r="E58" i="4"/>
  <c r="E57" i="4"/>
  <c r="E56" i="4"/>
  <c r="E55" i="4"/>
  <c r="E54" i="4"/>
  <c r="E53" i="4"/>
  <c r="E52" i="4"/>
  <c r="E51" i="4"/>
  <c r="E50" i="4"/>
  <c r="E49" i="4"/>
  <c r="E48" i="4"/>
  <c r="F66" i="4" s="1"/>
  <c r="H66" i="4" s="1"/>
  <c r="J66" i="4" s="1"/>
  <c r="E47" i="4"/>
  <c r="E46" i="4"/>
  <c r="E45" i="4"/>
  <c r="E44" i="4"/>
  <c r="E43" i="4"/>
  <c r="E42" i="4"/>
  <c r="E41" i="4"/>
  <c r="E40" i="4"/>
  <c r="E39" i="4"/>
  <c r="E38" i="4"/>
  <c r="E37" i="4"/>
  <c r="E36" i="4"/>
  <c r="F52" i="4" s="1"/>
  <c r="H52" i="4" s="1"/>
  <c r="J52" i="4" s="1"/>
  <c r="E35" i="4"/>
  <c r="E34" i="4"/>
  <c r="E33" i="4"/>
  <c r="H32" i="4"/>
  <c r="J32" i="4" s="1"/>
  <c r="E32" i="4"/>
  <c r="E31" i="4"/>
  <c r="E30" i="4"/>
  <c r="E29" i="4"/>
  <c r="E28" i="4"/>
  <c r="E27" i="4"/>
  <c r="E26" i="4"/>
  <c r="E25" i="4"/>
  <c r="F44" i="4" s="1"/>
  <c r="H44" i="4" s="1"/>
  <c r="J44" i="4" s="1"/>
  <c r="E24" i="4"/>
  <c r="F23" i="4"/>
  <c r="H23" i="4" s="1"/>
  <c r="J23" i="4" s="1"/>
  <c r="E23" i="4"/>
  <c r="E22" i="4"/>
  <c r="E21" i="4"/>
  <c r="E20" i="4"/>
  <c r="E19" i="4"/>
  <c r="E18" i="4"/>
  <c r="E17" i="4"/>
  <c r="E16" i="4"/>
  <c r="E15" i="4"/>
  <c r="E14" i="4"/>
  <c r="F32" i="4" s="1"/>
  <c r="E13" i="4"/>
  <c r="E12" i="4"/>
  <c r="E11" i="4"/>
  <c r="E10" i="4"/>
  <c r="E9" i="4"/>
  <c r="E8" i="4"/>
  <c r="E7" i="4"/>
  <c r="E6" i="4"/>
  <c r="E5" i="4"/>
  <c r="E4" i="4"/>
  <c r="E3" i="4"/>
  <c r="F22" i="4" s="1"/>
  <c r="H22" i="4" s="1"/>
  <c r="J22" i="4" s="1"/>
  <c r="E2" i="4"/>
  <c r="F21" i="4" s="1"/>
  <c r="H21" i="4" s="1"/>
  <c r="J21" i="4" s="1"/>
  <c r="E1" i="4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F135" i="8" s="1"/>
  <c r="H135" i="8" s="1"/>
  <c r="J135" i="8" s="1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F90" i="8"/>
  <c r="H90" i="8" s="1"/>
  <c r="J90" i="8" s="1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F50" i="8"/>
  <c r="H50" i="8" s="1"/>
  <c r="J50" i="8" s="1"/>
  <c r="E50" i="8"/>
  <c r="E49" i="8"/>
  <c r="E48" i="8"/>
  <c r="E47" i="8"/>
  <c r="E46" i="8"/>
  <c r="E45" i="8"/>
  <c r="F64" i="8" s="1"/>
  <c r="H64" i="8" s="1"/>
  <c r="J64" i="8" s="1"/>
  <c r="F44" i="8"/>
  <c r="H44" i="8" s="1"/>
  <c r="J44" i="8" s="1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F27" i="8" s="1"/>
  <c r="H27" i="8" s="1"/>
  <c r="J27" i="8" s="1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F30" i="8" s="1"/>
  <c r="H30" i="8" s="1"/>
  <c r="J30" i="8" s="1"/>
  <c r="E10" i="8"/>
  <c r="E9" i="8"/>
  <c r="E8" i="8"/>
  <c r="E7" i="8"/>
  <c r="E6" i="8"/>
  <c r="E5" i="8"/>
  <c r="E4" i="8"/>
  <c r="E3" i="8"/>
  <c r="E2" i="8"/>
  <c r="E1" i="8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F163" i="3" s="1"/>
  <c r="H163" i="3" s="1"/>
  <c r="J163" i="3" s="1"/>
  <c r="E143" i="3"/>
  <c r="E142" i="3"/>
  <c r="E141" i="3"/>
  <c r="E140" i="3"/>
  <c r="E139" i="3"/>
  <c r="E138" i="3"/>
  <c r="F155" i="3" s="1"/>
  <c r="H155" i="3" s="1"/>
  <c r="J155" i="3" s="1"/>
  <c r="E137" i="3"/>
  <c r="E136" i="3"/>
  <c r="E135" i="3"/>
  <c r="E134" i="3"/>
  <c r="E133" i="3"/>
  <c r="E132" i="3"/>
  <c r="E131" i="3"/>
  <c r="E130" i="3"/>
  <c r="E129" i="3"/>
  <c r="F128" i="3"/>
  <c r="H128" i="3" s="1"/>
  <c r="J128" i="3" s="1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F119" i="3" s="1"/>
  <c r="H119" i="3" s="1"/>
  <c r="J119" i="3" s="1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F97" i="3" s="1"/>
  <c r="H97" i="3" s="1"/>
  <c r="J97" i="3" s="1"/>
  <c r="E81" i="3"/>
  <c r="E80" i="3"/>
  <c r="E79" i="3"/>
  <c r="E78" i="3"/>
  <c r="E77" i="3"/>
  <c r="F96" i="3" s="1"/>
  <c r="H96" i="3" s="1"/>
  <c r="J96" i="3" s="1"/>
  <c r="E76" i="3"/>
  <c r="E75" i="3"/>
  <c r="E74" i="3"/>
  <c r="E73" i="3"/>
  <c r="E72" i="3"/>
  <c r="E71" i="3"/>
  <c r="E70" i="3"/>
  <c r="E69" i="3"/>
  <c r="E68" i="3"/>
  <c r="F83" i="3" s="1"/>
  <c r="H83" i="3" s="1"/>
  <c r="J83" i="3" s="1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F49" i="3" s="1"/>
  <c r="H49" i="3" s="1"/>
  <c r="J49" i="3" s="1"/>
  <c r="E29" i="3"/>
  <c r="E28" i="3"/>
  <c r="E27" i="3"/>
  <c r="E26" i="3"/>
  <c r="E25" i="3"/>
  <c r="E24" i="3"/>
  <c r="E23" i="3"/>
  <c r="E22" i="3"/>
  <c r="F41" i="3" s="1"/>
  <c r="H41" i="3" s="1"/>
  <c r="J41" i="3" s="1"/>
  <c r="E21" i="3"/>
  <c r="E20" i="3"/>
  <c r="E19" i="3"/>
  <c r="E18" i="3"/>
  <c r="F36" i="3" s="1"/>
  <c r="H36" i="3" s="1"/>
  <c r="J36" i="3" s="1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F156" i="2" s="1"/>
  <c r="H156" i="2" s="1"/>
  <c r="J156" i="2" s="1"/>
  <c r="F147" i="2"/>
  <c r="H147" i="2" s="1"/>
  <c r="J147" i="2" s="1"/>
  <c r="E147" i="2"/>
  <c r="E146" i="2"/>
  <c r="E145" i="2"/>
  <c r="E144" i="2"/>
  <c r="F163" i="2" s="1"/>
  <c r="H163" i="2" s="1"/>
  <c r="J163" i="2" s="1"/>
  <c r="E143" i="2"/>
  <c r="E142" i="2"/>
  <c r="E141" i="2"/>
  <c r="E140" i="2"/>
  <c r="E139" i="2"/>
  <c r="E138" i="2"/>
  <c r="E137" i="2"/>
  <c r="F154" i="2" s="1"/>
  <c r="H154" i="2" s="1"/>
  <c r="J154" i="2" s="1"/>
  <c r="E136" i="2"/>
  <c r="E135" i="2"/>
  <c r="E134" i="2"/>
  <c r="E133" i="2"/>
  <c r="E132" i="2"/>
  <c r="E131" i="2"/>
  <c r="E130" i="2"/>
  <c r="E129" i="2"/>
  <c r="E128" i="2"/>
  <c r="E127" i="2"/>
  <c r="F146" i="2" s="1"/>
  <c r="H146" i="2" s="1"/>
  <c r="J146" i="2" s="1"/>
  <c r="E126" i="2"/>
  <c r="E125" i="2"/>
  <c r="E124" i="2"/>
  <c r="E123" i="2"/>
  <c r="E122" i="2"/>
  <c r="E121" i="2"/>
  <c r="E120" i="2"/>
  <c r="E119" i="2"/>
  <c r="E118" i="2"/>
  <c r="E117" i="2"/>
  <c r="E116" i="2"/>
  <c r="F116" i="2" s="1"/>
  <c r="H116" i="2" s="1"/>
  <c r="J116" i="2" s="1"/>
  <c r="E115" i="2"/>
  <c r="E114" i="2"/>
  <c r="E113" i="2"/>
  <c r="E112" i="2"/>
  <c r="F111" i="2"/>
  <c r="H111" i="2" s="1"/>
  <c r="J111" i="2" s="1"/>
  <c r="E111" i="2"/>
  <c r="E110" i="2"/>
  <c r="E109" i="2"/>
  <c r="F108" i="2"/>
  <c r="H108" i="2" s="1"/>
  <c r="J108" i="2" s="1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F104" i="2" s="1"/>
  <c r="H104" i="2" s="1"/>
  <c r="J104" i="2" s="1"/>
  <c r="E84" i="2"/>
  <c r="F103" i="2" s="1"/>
  <c r="H103" i="2" s="1"/>
  <c r="J103" i="2" s="1"/>
  <c r="E83" i="2"/>
  <c r="E82" i="2"/>
  <c r="E81" i="2"/>
  <c r="E80" i="2"/>
  <c r="E79" i="2"/>
  <c r="E78" i="2"/>
  <c r="E77" i="2"/>
  <c r="E76" i="2"/>
  <c r="E75" i="2"/>
  <c r="F94" i="2" s="1"/>
  <c r="H94" i="2" s="1"/>
  <c r="J94" i="2" s="1"/>
  <c r="E74" i="2"/>
  <c r="E73" i="2"/>
  <c r="F91" i="2" s="1"/>
  <c r="H91" i="2" s="1"/>
  <c r="J91" i="2" s="1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F75" i="2" s="1"/>
  <c r="H75" i="2" s="1"/>
  <c r="J75" i="2" s="1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F45" i="2" s="1"/>
  <c r="H45" i="2" s="1"/>
  <c r="J45" i="2" s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F34" i="2" s="1"/>
  <c r="H34" i="2" s="1"/>
  <c r="J34" i="2" s="1"/>
  <c r="E14" i="2"/>
  <c r="E13" i="2"/>
  <c r="E12" i="2"/>
  <c r="E11" i="2"/>
  <c r="E10" i="2"/>
  <c r="E9" i="2"/>
  <c r="E8" i="2"/>
  <c r="F24" i="2" s="1"/>
  <c r="H24" i="2" s="1"/>
  <c r="J24" i="2" s="1"/>
  <c r="E7" i="2"/>
  <c r="E6" i="2"/>
  <c r="E5" i="2"/>
  <c r="E4" i="2"/>
  <c r="E3" i="2"/>
  <c r="E2" i="2"/>
  <c r="F21" i="2" s="1"/>
  <c r="H21" i="2" s="1"/>
  <c r="J21" i="2" s="1"/>
  <c r="E1" i="2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1" i="9"/>
  <c r="F60" i="6" l="1"/>
  <c r="H60" i="6" s="1"/>
  <c r="J60" i="6" s="1"/>
  <c r="F65" i="6"/>
  <c r="H65" i="6" s="1"/>
  <c r="J65" i="6" s="1"/>
  <c r="F53" i="4"/>
  <c r="H53" i="4" s="1"/>
  <c r="J53" i="4" s="1"/>
  <c r="F125" i="4"/>
  <c r="H125" i="4" s="1"/>
  <c r="J125" i="4" s="1"/>
  <c r="F73" i="8"/>
  <c r="H73" i="8" s="1"/>
  <c r="J73" i="8" s="1"/>
  <c r="F59" i="8"/>
  <c r="H59" i="8" s="1"/>
  <c r="J59" i="8" s="1"/>
  <c r="F122" i="8"/>
  <c r="H122" i="8" s="1"/>
  <c r="J122" i="8" s="1"/>
  <c r="G21" i="3"/>
  <c r="I21" i="3" s="1"/>
  <c r="K21" i="3" s="1"/>
  <c r="F60" i="3"/>
  <c r="H60" i="3" s="1"/>
  <c r="J60" i="3" s="1"/>
  <c r="F55" i="3"/>
  <c r="H55" i="3" s="1"/>
  <c r="J55" i="3" s="1"/>
  <c r="F56" i="3"/>
  <c r="H56" i="3" s="1"/>
  <c r="J56" i="3" s="1"/>
  <c r="F71" i="3"/>
  <c r="H71" i="3" s="1"/>
  <c r="J71" i="3" s="1"/>
  <c r="F64" i="3"/>
  <c r="H64" i="3" s="1"/>
  <c r="J64" i="3" s="1"/>
  <c r="F59" i="3"/>
  <c r="H59" i="3" s="1"/>
  <c r="J59" i="3" s="1"/>
  <c r="F61" i="3"/>
  <c r="H61" i="3" s="1"/>
  <c r="J61" i="3" s="1"/>
  <c r="F52" i="3"/>
  <c r="H52" i="3" s="1"/>
  <c r="J52" i="3" s="1"/>
  <c r="F67" i="3"/>
  <c r="H67" i="3" s="1"/>
  <c r="J67" i="3" s="1"/>
  <c r="F58" i="3"/>
  <c r="H58" i="3" s="1"/>
  <c r="J58" i="3" s="1"/>
  <c r="F127" i="3"/>
  <c r="H127" i="3" s="1"/>
  <c r="J127" i="3" s="1"/>
  <c r="F58" i="2"/>
  <c r="H58" i="2" s="1"/>
  <c r="J58" i="2" s="1"/>
  <c r="F73" i="2"/>
  <c r="H73" i="2" s="1"/>
  <c r="J73" i="2" s="1"/>
  <c r="F54" i="6"/>
  <c r="H54" i="6" s="1"/>
  <c r="J54" i="6" s="1"/>
  <c r="F123" i="6"/>
  <c r="H123" i="6" s="1"/>
  <c r="J123" i="6" s="1"/>
  <c r="F58" i="6"/>
  <c r="H58" i="6" s="1"/>
  <c r="J58" i="6" s="1"/>
  <c r="F122" i="6"/>
  <c r="H122" i="6" s="1"/>
  <c r="J122" i="6" s="1"/>
  <c r="F46" i="6"/>
  <c r="H46" i="6" s="1"/>
  <c r="J46" i="6" s="1"/>
  <c r="F141" i="6"/>
  <c r="H141" i="6" s="1"/>
  <c r="J141" i="6" s="1"/>
  <c r="F149" i="6"/>
  <c r="H149" i="6" s="1"/>
  <c r="J149" i="6" s="1"/>
  <c r="F87" i="6"/>
  <c r="H87" i="6" s="1"/>
  <c r="J87" i="6" s="1"/>
  <c r="F85" i="6"/>
  <c r="H85" i="6" s="1"/>
  <c r="J85" i="6" s="1"/>
  <c r="F88" i="6"/>
  <c r="H88" i="6" s="1"/>
  <c r="J88" i="6" s="1"/>
  <c r="F69" i="6"/>
  <c r="H69" i="6" s="1"/>
  <c r="J69" i="6" s="1"/>
  <c r="F107" i="6"/>
  <c r="H107" i="6" s="1"/>
  <c r="J107" i="6" s="1"/>
  <c r="F106" i="6"/>
  <c r="H106" i="6" s="1"/>
  <c r="J106" i="6" s="1"/>
  <c r="F143" i="6"/>
  <c r="H143" i="6" s="1"/>
  <c r="J143" i="6" s="1"/>
  <c r="F144" i="6"/>
  <c r="H144" i="6" s="1"/>
  <c r="J144" i="6" s="1"/>
  <c r="F139" i="6"/>
  <c r="H139" i="6" s="1"/>
  <c r="J139" i="6" s="1"/>
  <c r="F136" i="6"/>
  <c r="H136" i="6" s="1"/>
  <c r="J136" i="6" s="1"/>
  <c r="F142" i="6"/>
  <c r="H142" i="6" s="1"/>
  <c r="J142" i="6" s="1"/>
  <c r="F99" i="6"/>
  <c r="H99" i="6" s="1"/>
  <c r="J99" i="6" s="1"/>
  <c r="F97" i="6"/>
  <c r="H97" i="6" s="1"/>
  <c r="J97" i="6" s="1"/>
  <c r="F100" i="6"/>
  <c r="H100" i="6" s="1"/>
  <c r="J100" i="6" s="1"/>
  <c r="F93" i="6"/>
  <c r="H93" i="6" s="1"/>
  <c r="J93" i="6" s="1"/>
  <c r="F135" i="6"/>
  <c r="H135" i="6" s="1"/>
  <c r="J135" i="6" s="1"/>
  <c r="F134" i="6"/>
  <c r="H134" i="6" s="1"/>
  <c r="J134" i="6" s="1"/>
  <c r="F129" i="6"/>
  <c r="H129" i="6" s="1"/>
  <c r="J129" i="6" s="1"/>
  <c r="F125" i="6"/>
  <c r="H125" i="6" s="1"/>
  <c r="J125" i="6" s="1"/>
  <c r="F81" i="6"/>
  <c r="H81" i="6" s="1"/>
  <c r="J81" i="6" s="1"/>
  <c r="F71" i="6"/>
  <c r="H71" i="6" s="1"/>
  <c r="J71" i="6" s="1"/>
  <c r="F102" i="6"/>
  <c r="H102" i="6" s="1"/>
  <c r="J102" i="6" s="1"/>
  <c r="F120" i="6"/>
  <c r="H120" i="6" s="1"/>
  <c r="J120" i="6" s="1"/>
  <c r="F127" i="6"/>
  <c r="H127" i="6" s="1"/>
  <c r="J127" i="6" s="1"/>
  <c r="F128" i="6"/>
  <c r="H128" i="6" s="1"/>
  <c r="J128" i="6" s="1"/>
  <c r="F24" i="6"/>
  <c r="H24" i="6" s="1"/>
  <c r="J24" i="6" s="1"/>
  <c r="F22" i="6"/>
  <c r="H22" i="6" s="1"/>
  <c r="J22" i="6" s="1"/>
  <c r="G21" i="6"/>
  <c r="F23" i="6"/>
  <c r="H23" i="6" s="1"/>
  <c r="J23" i="6" s="1"/>
  <c r="F38" i="6"/>
  <c r="H38" i="6" s="1"/>
  <c r="J38" i="6" s="1"/>
  <c r="F37" i="6"/>
  <c r="H37" i="6" s="1"/>
  <c r="J37" i="6" s="1"/>
  <c r="F34" i="6"/>
  <c r="H34" i="6" s="1"/>
  <c r="J34" i="6" s="1"/>
  <c r="F30" i="6"/>
  <c r="H30" i="6" s="1"/>
  <c r="J30" i="6" s="1"/>
  <c r="F36" i="6"/>
  <c r="H36" i="6" s="1"/>
  <c r="J36" i="6" s="1"/>
  <c r="F32" i="6"/>
  <c r="H32" i="6" s="1"/>
  <c r="J32" i="6" s="1"/>
  <c r="F29" i="6"/>
  <c r="H29" i="6" s="1"/>
  <c r="J29" i="6" s="1"/>
  <c r="F45" i="6"/>
  <c r="H45" i="6" s="1"/>
  <c r="J45" i="6" s="1"/>
  <c r="F44" i="6"/>
  <c r="H44" i="6" s="1"/>
  <c r="J44" i="6" s="1"/>
  <c r="F25" i="6"/>
  <c r="H25" i="6" s="1"/>
  <c r="J25" i="6" s="1"/>
  <c r="F39" i="6"/>
  <c r="H39" i="6" s="1"/>
  <c r="J39" i="6" s="1"/>
  <c r="F67" i="6"/>
  <c r="H67" i="6" s="1"/>
  <c r="J67" i="6" s="1"/>
  <c r="F66" i="6"/>
  <c r="H66" i="6" s="1"/>
  <c r="J66" i="6" s="1"/>
  <c r="F86" i="6"/>
  <c r="H86" i="6" s="1"/>
  <c r="J86" i="6" s="1"/>
  <c r="F94" i="6"/>
  <c r="H94" i="6" s="1"/>
  <c r="J94" i="6" s="1"/>
  <c r="F26" i="6"/>
  <c r="H26" i="6" s="1"/>
  <c r="J26" i="6" s="1"/>
  <c r="F40" i="6"/>
  <c r="H40" i="6" s="1"/>
  <c r="J40" i="6" s="1"/>
  <c r="F48" i="6"/>
  <c r="H48" i="6" s="1"/>
  <c r="J48" i="6" s="1"/>
  <c r="F95" i="6"/>
  <c r="H95" i="6" s="1"/>
  <c r="J95" i="6" s="1"/>
  <c r="F114" i="6"/>
  <c r="H114" i="6" s="1"/>
  <c r="J114" i="6" s="1"/>
  <c r="F159" i="6"/>
  <c r="H159" i="6" s="1"/>
  <c r="J159" i="6" s="1"/>
  <c r="F161" i="6"/>
  <c r="H161" i="6" s="1"/>
  <c r="J161" i="6" s="1"/>
  <c r="F160" i="6"/>
  <c r="H160" i="6" s="1"/>
  <c r="J160" i="6" s="1"/>
  <c r="F27" i="6"/>
  <c r="H27" i="6" s="1"/>
  <c r="J27" i="6" s="1"/>
  <c r="F21" i="6"/>
  <c r="H21" i="6" s="1"/>
  <c r="J21" i="6" s="1"/>
  <c r="F59" i="6"/>
  <c r="H59" i="6" s="1"/>
  <c r="J59" i="6" s="1"/>
  <c r="F57" i="6"/>
  <c r="H57" i="6" s="1"/>
  <c r="J57" i="6" s="1"/>
  <c r="F79" i="6"/>
  <c r="H79" i="6" s="1"/>
  <c r="J79" i="6" s="1"/>
  <c r="F78" i="6"/>
  <c r="H78" i="6" s="1"/>
  <c r="J78" i="6" s="1"/>
  <c r="F151" i="6"/>
  <c r="H151" i="6" s="1"/>
  <c r="J151" i="6" s="1"/>
  <c r="F150" i="6"/>
  <c r="H150" i="6" s="1"/>
  <c r="J150" i="6" s="1"/>
  <c r="F103" i="6"/>
  <c r="H103" i="6" s="1"/>
  <c r="J103" i="6" s="1"/>
  <c r="F101" i="6"/>
  <c r="H101" i="6" s="1"/>
  <c r="J101" i="6" s="1"/>
  <c r="F115" i="6"/>
  <c r="H115" i="6" s="1"/>
  <c r="J115" i="6" s="1"/>
  <c r="F55" i="6"/>
  <c r="H55" i="6" s="1"/>
  <c r="J55" i="6" s="1"/>
  <c r="F52" i="6"/>
  <c r="H52" i="6" s="1"/>
  <c r="J52" i="6" s="1"/>
  <c r="F51" i="6"/>
  <c r="H51" i="6" s="1"/>
  <c r="J51" i="6" s="1"/>
  <c r="F62" i="6"/>
  <c r="H62" i="6" s="1"/>
  <c r="J62" i="6" s="1"/>
  <c r="F82" i="6"/>
  <c r="H82" i="6" s="1"/>
  <c r="J82" i="6" s="1"/>
  <c r="F90" i="6"/>
  <c r="H90" i="6" s="1"/>
  <c r="J90" i="6" s="1"/>
  <c r="F131" i="6"/>
  <c r="H131" i="6" s="1"/>
  <c r="J131" i="6" s="1"/>
  <c r="F138" i="6"/>
  <c r="H138" i="6" s="1"/>
  <c r="J138" i="6" s="1"/>
  <c r="F76" i="6"/>
  <c r="H76" i="6" s="1"/>
  <c r="J76" i="6" s="1"/>
  <c r="F73" i="6"/>
  <c r="H73" i="6" s="1"/>
  <c r="J73" i="6" s="1"/>
  <c r="F83" i="6"/>
  <c r="H83" i="6" s="1"/>
  <c r="J83" i="6" s="1"/>
  <c r="F118" i="6"/>
  <c r="H118" i="6" s="1"/>
  <c r="J118" i="6" s="1"/>
  <c r="F137" i="6"/>
  <c r="H137" i="6" s="1"/>
  <c r="J137" i="6" s="1"/>
  <c r="F91" i="6"/>
  <c r="H91" i="6" s="1"/>
  <c r="J91" i="6" s="1"/>
  <c r="F104" i="6"/>
  <c r="H104" i="6" s="1"/>
  <c r="J104" i="6" s="1"/>
  <c r="F111" i="6"/>
  <c r="H111" i="6" s="1"/>
  <c r="J111" i="6" s="1"/>
  <c r="F130" i="6"/>
  <c r="H130" i="6" s="1"/>
  <c r="J130" i="6" s="1"/>
  <c r="F154" i="6"/>
  <c r="H154" i="6" s="1"/>
  <c r="J154" i="6" s="1"/>
  <c r="F50" i="6"/>
  <c r="H50" i="6" s="1"/>
  <c r="J50" i="6" s="1"/>
  <c r="F72" i="6"/>
  <c r="H72" i="6" s="1"/>
  <c r="J72" i="6" s="1"/>
  <c r="F112" i="6"/>
  <c r="H112" i="6" s="1"/>
  <c r="J112" i="6" s="1"/>
  <c r="F109" i="6"/>
  <c r="H109" i="6" s="1"/>
  <c r="J109" i="6" s="1"/>
  <c r="F64" i="6"/>
  <c r="H64" i="6" s="1"/>
  <c r="J64" i="6" s="1"/>
  <c r="F148" i="6"/>
  <c r="H148" i="6" s="1"/>
  <c r="J148" i="6" s="1"/>
  <c r="F147" i="6"/>
  <c r="H147" i="6" s="1"/>
  <c r="J147" i="6" s="1"/>
  <c r="F43" i="6"/>
  <c r="H43" i="6" s="1"/>
  <c r="J43" i="6" s="1"/>
  <c r="F92" i="6"/>
  <c r="H92" i="6" s="1"/>
  <c r="J92" i="6" s="1"/>
  <c r="F119" i="6"/>
  <c r="H119" i="6" s="1"/>
  <c r="J119" i="6" s="1"/>
  <c r="F158" i="6"/>
  <c r="H158" i="6" s="1"/>
  <c r="J158" i="6" s="1"/>
  <c r="F28" i="6"/>
  <c r="H28" i="6" s="1"/>
  <c r="J28" i="6" s="1"/>
  <c r="F70" i="6"/>
  <c r="H70" i="6" s="1"/>
  <c r="J70" i="6" s="1"/>
  <c r="F116" i="6"/>
  <c r="H116" i="6" s="1"/>
  <c r="J116" i="6" s="1"/>
  <c r="F157" i="6"/>
  <c r="H157" i="6" s="1"/>
  <c r="J157" i="6" s="1"/>
  <c r="F49" i="6"/>
  <c r="H49" i="6" s="1"/>
  <c r="J49" i="6" s="1"/>
  <c r="F61" i="6"/>
  <c r="H61" i="6" s="1"/>
  <c r="J61" i="6" s="1"/>
  <c r="F110" i="6"/>
  <c r="H110" i="6" s="1"/>
  <c r="J110" i="6" s="1"/>
  <c r="F145" i="6"/>
  <c r="H145" i="6" s="1"/>
  <c r="J145" i="6" s="1"/>
  <c r="F98" i="6"/>
  <c r="H98" i="6" s="1"/>
  <c r="J98" i="6" s="1"/>
  <c r="F113" i="6"/>
  <c r="H113" i="6" s="1"/>
  <c r="J113" i="6" s="1"/>
  <c r="F163" i="6"/>
  <c r="H163" i="6" s="1"/>
  <c r="J163" i="6" s="1"/>
  <c r="F77" i="6"/>
  <c r="H77" i="6" s="1"/>
  <c r="J77" i="6" s="1"/>
  <c r="F89" i="6"/>
  <c r="H89" i="6" s="1"/>
  <c r="J89" i="6" s="1"/>
  <c r="F126" i="6"/>
  <c r="H126" i="6" s="1"/>
  <c r="J126" i="6" s="1"/>
  <c r="F153" i="6"/>
  <c r="H153" i="6" s="1"/>
  <c r="J153" i="6" s="1"/>
  <c r="F162" i="6"/>
  <c r="H162" i="6" s="1"/>
  <c r="J162" i="6" s="1"/>
  <c r="F33" i="6"/>
  <c r="H33" i="6" s="1"/>
  <c r="J33" i="6" s="1"/>
  <c r="F31" i="6"/>
  <c r="H31" i="6" s="1"/>
  <c r="J31" i="6" s="1"/>
  <c r="F68" i="6"/>
  <c r="H68" i="6" s="1"/>
  <c r="J68" i="6" s="1"/>
  <c r="F80" i="6"/>
  <c r="H80" i="6" s="1"/>
  <c r="J80" i="6" s="1"/>
  <c r="F105" i="6"/>
  <c r="H105" i="6" s="1"/>
  <c r="J105" i="6" s="1"/>
  <c r="F117" i="6"/>
  <c r="H117" i="6" s="1"/>
  <c r="J117" i="6" s="1"/>
  <c r="F156" i="6"/>
  <c r="H156" i="6" s="1"/>
  <c r="J156" i="6" s="1"/>
  <c r="F155" i="6"/>
  <c r="H155" i="6" s="1"/>
  <c r="J155" i="6" s="1"/>
  <c r="F56" i="6"/>
  <c r="H56" i="6" s="1"/>
  <c r="J56" i="6" s="1"/>
  <c r="F74" i="6"/>
  <c r="H74" i="6" s="1"/>
  <c r="J74" i="6" s="1"/>
  <c r="F133" i="6"/>
  <c r="H133" i="6" s="1"/>
  <c r="J133" i="6" s="1"/>
  <c r="F35" i="6"/>
  <c r="H35" i="6" s="1"/>
  <c r="J35" i="6" s="1"/>
  <c r="F47" i="6"/>
  <c r="H47" i="6" s="1"/>
  <c r="J47" i="6" s="1"/>
  <c r="F96" i="6"/>
  <c r="H96" i="6" s="1"/>
  <c r="J96" i="6" s="1"/>
  <c r="F121" i="6"/>
  <c r="H121" i="6" s="1"/>
  <c r="J121" i="6" s="1"/>
  <c r="F108" i="6"/>
  <c r="H108" i="6" s="1"/>
  <c r="J108" i="6" s="1"/>
  <c r="F152" i="6"/>
  <c r="H152" i="6" s="1"/>
  <c r="J152" i="6" s="1"/>
  <c r="F84" i="6"/>
  <c r="H84" i="6" s="1"/>
  <c r="J84" i="6" s="1"/>
  <c r="F140" i="6"/>
  <c r="H140" i="6" s="1"/>
  <c r="J140" i="6" s="1"/>
  <c r="F42" i="6"/>
  <c r="H42" i="6" s="1"/>
  <c r="J42" i="6" s="1"/>
  <c r="F63" i="6"/>
  <c r="H63" i="6" s="1"/>
  <c r="J63" i="6" s="1"/>
  <c r="F75" i="6"/>
  <c r="H75" i="6" s="1"/>
  <c r="J75" i="6" s="1"/>
  <c r="F124" i="6"/>
  <c r="H124" i="6" s="1"/>
  <c r="J124" i="6" s="1"/>
  <c r="F102" i="4"/>
  <c r="H102" i="4" s="1"/>
  <c r="J102" i="4" s="1"/>
  <c r="F101" i="4"/>
  <c r="H101" i="4" s="1"/>
  <c r="J101" i="4" s="1"/>
  <c r="F94" i="4"/>
  <c r="H94" i="4" s="1"/>
  <c r="J94" i="4" s="1"/>
  <c r="F34" i="4"/>
  <c r="H34" i="4" s="1"/>
  <c r="J34" i="4" s="1"/>
  <c r="F48" i="4"/>
  <c r="H48" i="4" s="1"/>
  <c r="J48" i="4" s="1"/>
  <c r="F46" i="4"/>
  <c r="H46" i="4" s="1"/>
  <c r="J46" i="4" s="1"/>
  <c r="F43" i="4"/>
  <c r="H43" i="4" s="1"/>
  <c r="J43" i="4" s="1"/>
  <c r="F91" i="4"/>
  <c r="H91" i="4" s="1"/>
  <c r="J91" i="4" s="1"/>
  <c r="F83" i="4"/>
  <c r="H83" i="4" s="1"/>
  <c r="J83" i="4" s="1"/>
  <c r="F142" i="4"/>
  <c r="H142" i="4" s="1"/>
  <c r="J142" i="4" s="1"/>
  <c r="F139" i="4"/>
  <c r="H139" i="4" s="1"/>
  <c r="J139" i="4" s="1"/>
  <c r="F141" i="4"/>
  <c r="H141" i="4" s="1"/>
  <c r="J141" i="4" s="1"/>
  <c r="F149" i="4"/>
  <c r="H149" i="4" s="1"/>
  <c r="J149" i="4" s="1"/>
  <c r="F35" i="4"/>
  <c r="H35" i="4" s="1"/>
  <c r="J35" i="4" s="1"/>
  <c r="F29" i="4"/>
  <c r="H29" i="4" s="1"/>
  <c r="J29" i="4" s="1"/>
  <c r="F68" i="4"/>
  <c r="H68" i="4" s="1"/>
  <c r="J68" i="4" s="1"/>
  <c r="F73" i="4"/>
  <c r="H73" i="4" s="1"/>
  <c r="J73" i="4" s="1"/>
  <c r="F72" i="4"/>
  <c r="H72" i="4" s="1"/>
  <c r="J72" i="4" s="1"/>
  <c r="F74" i="4"/>
  <c r="H74" i="4" s="1"/>
  <c r="J74" i="4" s="1"/>
  <c r="F106" i="4"/>
  <c r="H106" i="4" s="1"/>
  <c r="J106" i="4" s="1"/>
  <c r="F123" i="4"/>
  <c r="H123" i="4" s="1"/>
  <c r="J123" i="4" s="1"/>
  <c r="F130" i="4"/>
  <c r="H130" i="4" s="1"/>
  <c r="J130" i="4" s="1"/>
  <c r="F156" i="4"/>
  <c r="H156" i="4" s="1"/>
  <c r="J156" i="4" s="1"/>
  <c r="F36" i="4"/>
  <c r="H36" i="4" s="1"/>
  <c r="J36" i="4" s="1"/>
  <c r="F55" i="4"/>
  <c r="H55" i="4" s="1"/>
  <c r="J55" i="4" s="1"/>
  <c r="F85" i="4"/>
  <c r="H85" i="4" s="1"/>
  <c r="J85" i="4" s="1"/>
  <c r="F80" i="4"/>
  <c r="H80" i="4" s="1"/>
  <c r="J80" i="4" s="1"/>
  <c r="F119" i="4"/>
  <c r="H119" i="4" s="1"/>
  <c r="J119" i="4" s="1"/>
  <c r="F129" i="4"/>
  <c r="H129" i="4" s="1"/>
  <c r="J129" i="4" s="1"/>
  <c r="F128" i="4"/>
  <c r="H128" i="4" s="1"/>
  <c r="J128" i="4" s="1"/>
  <c r="F137" i="4"/>
  <c r="H137" i="4" s="1"/>
  <c r="J137" i="4" s="1"/>
  <c r="F117" i="4"/>
  <c r="H117" i="4" s="1"/>
  <c r="J117" i="4" s="1"/>
  <c r="F115" i="4"/>
  <c r="H115" i="4" s="1"/>
  <c r="J115" i="4" s="1"/>
  <c r="F71" i="4"/>
  <c r="H71" i="4" s="1"/>
  <c r="J71" i="4" s="1"/>
  <c r="F67" i="4"/>
  <c r="H67" i="4" s="1"/>
  <c r="J67" i="4" s="1"/>
  <c r="F98" i="4"/>
  <c r="H98" i="4" s="1"/>
  <c r="J98" i="4" s="1"/>
  <c r="F95" i="4"/>
  <c r="H95" i="4" s="1"/>
  <c r="J95" i="4" s="1"/>
  <c r="F144" i="4"/>
  <c r="H144" i="4" s="1"/>
  <c r="J144" i="4" s="1"/>
  <c r="F150" i="4"/>
  <c r="H150" i="4" s="1"/>
  <c r="J150" i="4" s="1"/>
  <c r="F25" i="4"/>
  <c r="H25" i="4" s="1"/>
  <c r="J25" i="4" s="1"/>
  <c r="F30" i="4"/>
  <c r="H30" i="4" s="1"/>
  <c r="J30" i="4" s="1"/>
  <c r="F92" i="4"/>
  <c r="H92" i="4" s="1"/>
  <c r="J92" i="4" s="1"/>
  <c r="F121" i="4"/>
  <c r="H121" i="4" s="1"/>
  <c r="J121" i="4" s="1"/>
  <c r="F138" i="4"/>
  <c r="H138" i="4" s="1"/>
  <c r="J138" i="4" s="1"/>
  <c r="F132" i="4"/>
  <c r="H132" i="4" s="1"/>
  <c r="J132" i="4" s="1"/>
  <c r="F45" i="4"/>
  <c r="H45" i="4" s="1"/>
  <c r="J45" i="4" s="1"/>
  <c r="F76" i="4"/>
  <c r="H76" i="4" s="1"/>
  <c r="J76" i="4" s="1"/>
  <c r="F86" i="4"/>
  <c r="H86" i="4" s="1"/>
  <c r="J86" i="4" s="1"/>
  <c r="F113" i="4"/>
  <c r="H113" i="4" s="1"/>
  <c r="J113" i="4" s="1"/>
  <c r="F31" i="4"/>
  <c r="H31" i="4" s="1"/>
  <c r="J31" i="4" s="1"/>
  <c r="F57" i="4"/>
  <c r="H57" i="4" s="1"/>
  <c r="J57" i="4" s="1"/>
  <c r="F82" i="4"/>
  <c r="H82" i="4" s="1"/>
  <c r="J82" i="4" s="1"/>
  <c r="F87" i="4"/>
  <c r="H87" i="4" s="1"/>
  <c r="J87" i="4" s="1"/>
  <c r="F88" i="4"/>
  <c r="H88" i="4" s="1"/>
  <c r="J88" i="4" s="1"/>
  <c r="F99" i="4"/>
  <c r="H99" i="4" s="1"/>
  <c r="J99" i="4" s="1"/>
  <c r="F100" i="4"/>
  <c r="H100" i="4" s="1"/>
  <c r="J100" i="4" s="1"/>
  <c r="F108" i="4"/>
  <c r="H108" i="4" s="1"/>
  <c r="J108" i="4" s="1"/>
  <c r="F133" i="4"/>
  <c r="H133" i="4" s="1"/>
  <c r="J133" i="4" s="1"/>
  <c r="F140" i="4"/>
  <c r="H140" i="4" s="1"/>
  <c r="J140" i="4" s="1"/>
  <c r="F41" i="4"/>
  <c r="H41" i="4" s="1"/>
  <c r="J41" i="4" s="1"/>
  <c r="F37" i="4"/>
  <c r="H37" i="4" s="1"/>
  <c r="J37" i="4" s="1"/>
  <c r="F65" i="4"/>
  <c r="H65" i="4" s="1"/>
  <c r="J65" i="4" s="1"/>
  <c r="F60" i="4"/>
  <c r="H60" i="4" s="1"/>
  <c r="J60" i="4" s="1"/>
  <c r="F62" i="4"/>
  <c r="H62" i="4" s="1"/>
  <c r="J62" i="4" s="1"/>
  <c r="F69" i="4"/>
  <c r="H69" i="4" s="1"/>
  <c r="J69" i="4" s="1"/>
  <c r="F81" i="4"/>
  <c r="H81" i="4" s="1"/>
  <c r="J81" i="4" s="1"/>
  <c r="F146" i="4"/>
  <c r="H146" i="4" s="1"/>
  <c r="J146" i="4" s="1"/>
  <c r="F160" i="4"/>
  <c r="H160" i="4" s="1"/>
  <c r="J160" i="4" s="1"/>
  <c r="F58" i="4"/>
  <c r="H58" i="4" s="1"/>
  <c r="J58" i="4" s="1"/>
  <c r="F64" i="4"/>
  <c r="H64" i="4" s="1"/>
  <c r="J64" i="4" s="1"/>
  <c r="F122" i="4"/>
  <c r="H122" i="4" s="1"/>
  <c r="J122" i="4" s="1"/>
  <c r="F127" i="4"/>
  <c r="H127" i="4" s="1"/>
  <c r="J127" i="4" s="1"/>
  <c r="F147" i="4"/>
  <c r="H147" i="4" s="1"/>
  <c r="J147" i="4" s="1"/>
  <c r="F155" i="4"/>
  <c r="H155" i="4" s="1"/>
  <c r="J155" i="4" s="1"/>
  <c r="F28" i="4"/>
  <c r="H28" i="4" s="1"/>
  <c r="J28" i="4" s="1"/>
  <c r="F27" i="4"/>
  <c r="H27" i="4" s="1"/>
  <c r="J27" i="4" s="1"/>
  <c r="F78" i="4"/>
  <c r="H78" i="4" s="1"/>
  <c r="J78" i="4" s="1"/>
  <c r="F24" i="4"/>
  <c r="H24" i="4" s="1"/>
  <c r="J24" i="4" s="1"/>
  <c r="F97" i="4"/>
  <c r="H97" i="4" s="1"/>
  <c r="J97" i="4" s="1"/>
  <c r="F112" i="4"/>
  <c r="H112" i="4" s="1"/>
  <c r="J112" i="4" s="1"/>
  <c r="F38" i="4"/>
  <c r="H38" i="4" s="1"/>
  <c r="J38" i="4" s="1"/>
  <c r="F47" i="4"/>
  <c r="H47" i="4" s="1"/>
  <c r="J47" i="4" s="1"/>
  <c r="F51" i="4"/>
  <c r="H51" i="4" s="1"/>
  <c r="J51" i="4" s="1"/>
  <c r="F54" i="4"/>
  <c r="H54" i="4" s="1"/>
  <c r="J54" i="4" s="1"/>
  <c r="F77" i="4"/>
  <c r="H77" i="4" s="1"/>
  <c r="J77" i="4" s="1"/>
  <c r="F89" i="4"/>
  <c r="H89" i="4" s="1"/>
  <c r="J89" i="4" s="1"/>
  <c r="F93" i="4"/>
  <c r="H93" i="4" s="1"/>
  <c r="J93" i="4" s="1"/>
  <c r="F116" i="4"/>
  <c r="H116" i="4" s="1"/>
  <c r="J116" i="4" s="1"/>
  <c r="F136" i="4"/>
  <c r="H136" i="4" s="1"/>
  <c r="J136" i="4" s="1"/>
  <c r="F26" i="4"/>
  <c r="H26" i="4" s="1"/>
  <c r="J26" i="4" s="1"/>
  <c r="F40" i="4"/>
  <c r="H40" i="4" s="1"/>
  <c r="J40" i="4" s="1"/>
  <c r="F39" i="4"/>
  <c r="H39" i="4" s="1"/>
  <c r="J39" i="4" s="1"/>
  <c r="F105" i="4"/>
  <c r="H105" i="4" s="1"/>
  <c r="J105" i="4" s="1"/>
  <c r="F109" i="4"/>
  <c r="H109" i="4" s="1"/>
  <c r="J109" i="4" s="1"/>
  <c r="F56" i="4"/>
  <c r="H56" i="4" s="1"/>
  <c r="J56" i="4" s="1"/>
  <c r="F118" i="4"/>
  <c r="H118" i="4" s="1"/>
  <c r="J118" i="4" s="1"/>
  <c r="F126" i="4"/>
  <c r="H126" i="4" s="1"/>
  <c r="J126" i="4" s="1"/>
  <c r="F143" i="4"/>
  <c r="H143" i="4" s="1"/>
  <c r="J143" i="4" s="1"/>
  <c r="F153" i="4"/>
  <c r="H153" i="4" s="1"/>
  <c r="J153" i="4" s="1"/>
  <c r="F152" i="4"/>
  <c r="H152" i="4" s="1"/>
  <c r="J152" i="4" s="1"/>
  <c r="F33" i="4"/>
  <c r="H33" i="4" s="1"/>
  <c r="J33" i="4" s="1"/>
  <c r="F103" i="4"/>
  <c r="H103" i="4" s="1"/>
  <c r="J103" i="4" s="1"/>
  <c r="F111" i="4"/>
  <c r="H111" i="4" s="1"/>
  <c r="J111" i="4" s="1"/>
  <c r="F107" i="4"/>
  <c r="H107" i="4" s="1"/>
  <c r="J107" i="4" s="1"/>
  <c r="F135" i="4"/>
  <c r="H135" i="4" s="1"/>
  <c r="J135" i="4" s="1"/>
  <c r="F148" i="4"/>
  <c r="H148" i="4" s="1"/>
  <c r="J148" i="4" s="1"/>
  <c r="F134" i="4"/>
  <c r="H134" i="4" s="1"/>
  <c r="J134" i="4" s="1"/>
  <c r="G21" i="4"/>
  <c r="F42" i="4"/>
  <c r="H42" i="4" s="1"/>
  <c r="J42" i="4" s="1"/>
  <c r="F50" i="4"/>
  <c r="H50" i="4" s="1"/>
  <c r="J50" i="4" s="1"/>
  <c r="F131" i="4"/>
  <c r="H131" i="4" s="1"/>
  <c r="J131" i="4" s="1"/>
  <c r="F158" i="4"/>
  <c r="H158" i="4" s="1"/>
  <c r="J158" i="4" s="1"/>
  <c r="F157" i="4"/>
  <c r="H157" i="4" s="1"/>
  <c r="J157" i="4" s="1"/>
  <c r="F70" i="4"/>
  <c r="H70" i="4" s="1"/>
  <c r="J70" i="4" s="1"/>
  <c r="F49" i="4"/>
  <c r="H49" i="4" s="1"/>
  <c r="J49" i="4" s="1"/>
  <c r="F61" i="4"/>
  <c r="H61" i="4" s="1"/>
  <c r="J61" i="4" s="1"/>
  <c r="F110" i="4"/>
  <c r="H110" i="4" s="1"/>
  <c r="J110" i="4" s="1"/>
  <c r="F145" i="4"/>
  <c r="H145" i="4" s="1"/>
  <c r="J145" i="4" s="1"/>
  <c r="F163" i="4"/>
  <c r="H163" i="4" s="1"/>
  <c r="J163" i="4" s="1"/>
  <c r="F84" i="4"/>
  <c r="H84" i="4" s="1"/>
  <c r="J84" i="4" s="1"/>
  <c r="F161" i="4"/>
  <c r="H161" i="4" s="1"/>
  <c r="J161" i="4" s="1"/>
  <c r="F63" i="4"/>
  <c r="H63" i="4" s="1"/>
  <c r="J63" i="4" s="1"/>
  <c r="F75" i="4"/>
  <c r="H75" i="4" s="1"/>
  <c r="J75" i="4" s="1"/>
  <c r="F124" i="4"/>
  <c r="H124" i="4" s="1"/>
  <c r="J124" i="4" s="1"/>
  <c r="F156" i="8"/>
  <c r="H156" i="8" s="1"/>
  <c r="J156" i="8" s="1"/>
  <c r="F154" i="8"/>
  <c r="H154" i="8" s="1"/>
  <c r="J154" i="8" s="1"/>
  <c r="F137" i="8"/>
  <c r="H137" i="8" s="1"/>
  <c r="J137" i="8" s="1"/>
  <c r="F121" i="8"/>
  <c r="H121" i="8" s="1"/>
  <c r="J121" i="8" s="1"/>
  <c r="F120" i="8"/>
  <c r="H120" i="8" s="1"/>
  <c r="J120" i="8" s="1"/>
  <c r="F104" i="8"/>
  <c r="H104" i="8" s="1"/>
  <c r="J104" i="8" s="1"/>
  <c r="F33" i="8"/>
  <c r="H33" i="8" s="1"/>
  <c r="J33" i="8" s="1"/>
  <c r="F92" i="8"/>
  <c r="H92" i="8" s="1"/>
  <c r="J92" i="8" s="1"/>
  <c r="F87" i="8"/>
  <c r="H87" i="8" s="1"/>
  <c r="J87" i="8" s="1"/>
  <c r="F41" i="8"/>
  <c r="H41" i="8" s="1"/>
  <c r="J41" i="8" s="1"/>
  <c r="F80" i="8"/>
  <c r="H80" i="8" s="1"/>
  <c r="J80" i="8" s="1"/>
  <c r="F79" i="8"/>
  <c r="H79" i="8" s="1"/>
  <c r="J79" i="8" s="1"/>
  <c r="F81" i="8"/>
  <c r="H81" i="8" s="1"/>
  <c r="J81" i="8" s="1"/>
  <c r="F149" i="8"/>
  <c r="H149" i="8" s="1"/>
  <c r="J149" i="8" s="1"/>
  <c r="F144" i="8"/>
  <c r="H144" i="8" s="1"/>
  <c r="J144" i="8" s="1"/>
  <c r="F142" i="8"/>
  <c r="H142" i="8" s="1"/>
  <c r="J142" i="8" s="1"/>
  <c r="F163" i="8"/>
  <c r="H163" i="8" s="1"/>
  <c r="J163" i="8" s="1"/>
  <c r="F162" i="8"/>
  <c r="H162" i="8" s="1"/>
  <c r="J162" i="8" s="1"/>
  <c r="F161" i="8"/>
  <c r="H161" i="8" s="1"/>
  <c r="J161" i="8" s="1"/>
  <c r="F160" i="8"/>
  <c r="H160" i="8" s="1"/>
  <c r="J160" i="8" s="1"/>
  <c r="F46" i="8"/>
  <c r="H46" i="8" s="1"/>
  <c r="J46" i="8" s="1"/>
  <c r="F45" i="8"/>
  <c r="H45" i="8" s="1"/>
  <c r="J45" i="8" s="1"/>
  <c r="F86" i="8"/>
  <c r="H86" i="8" s="1"/>
  <c r="J86" i="8" s="1"/>
  <c r="F85" i="8"/>
  <c r="H85" i="8" s="1"/>
  <c r="J85" i="8" s="1"/>
  <c r="F75" i="8"/>
  <c r="H75" i="8" s="1"/>
  <c r="J75" i="8" s="1"/>
  <c r="F74" i="8"/>
  <c r="H74" i="8" s="1"/>
  <c r="J74" i="8" s="1"/>
  <c r="F67" i="8"/>
  <c r="H67" i="8" s="1"/>
  <c r="J67" i="8" s="1"/>
  <c r="F58" i="8"/>
  <c r="H58" i="8" s="1"/>
  <c r="J58" i="8" s="1"/>
  <c r="F57" i="8"/>
  <c r="H57" i="8" s="1"/>
  <c r="J57" i="8" s="1"/>
  <c r="F115" i="8"/>
  <c r="H115" i="8" s="1"/>
  <c r="J115" i="8" s="1"/>
  <c r="F22" i="8"/>
  <c r="H22" i="8" s="1"/>
  <c r="J22" i="8" s="1"/>
  <c r="F52" i="8"/>
  <c r="H52" i="8" s="1"/>
  <c r="J52" i="8" s="1"/>
  <c r="F83" i="8"/>
  <c r="H83" i="8" s="1"/>
  <c r="J83" i="8" s="1"/>
  <c r="F130" i="8"/>
  <c r="H130" i="8" s="1"/>
  <c r="J130" i="8" s="1"/>
  <c r="F100" i="8"/>
  <c r="H100" i="8" s="1"/>
  <c r="J100" i="8" s="1"/>
  <c r="F99" i="8"/>
  <c r="H99" i="8" s="1"/>
  <c r="J99" i="8" s="1"/>
  <c r="F143" i="8"/>
  <c r="H143" i="8" s="1"/>
  <c r="J143" i="8" s="1"/>
  <c r="F32" i="8"/>
  <c r="H32" i="8" s="1"/>
  <c r="J32" i="8" s="1"/>
  <c r="F47" i="8"/>
  <c r="H47" i="8" s="1"/>
  <c r="J47" i="8" s="1"/>
  <c r="F49" i="8"/>
  <c r="H49" i="8" s="1"/>
  <c r="J49" i="8" s="1"/>
  <c r="F48" i="8"/>
  <c r="H48" i="8" s="1"/>
  <c r="J48" i="8" s="1"/>
  <c r="F55" i="8"/>
  <c r="H55" i="8" s="1"/>
  <c r="J55" i="8" s="1"/>
  <c r="F72" i="8"/>
  <c r="H72" i="8" s="1"/>
  <c r="J72" i="8" s="1"/>
  <c r="F71" i="8"/>
  <c r="H71" i="8" s="1"/>
  <c r="J71" i="8" s="1"/>
  <c r="F78" i="8"/>
  <c r="H78" i="8" s="1"/>
  <c r="J78" i="8" s="1"/>
  <c r="F89" i="8"/>
  <c r="H89" i="8" s="1"/>
  <c r="J89" i="8" s="1"/>
  <c r="F88" i="8"/>
  <c r="H88" i="8" s="1"/>
  <c r="J88" i="8" s="1"/>
  <c r="F94" i="8"/>
  <c r="H94" i="8" s="1"/>
  <c r="J94" i="8" s="1"/>
  <c r="F93" i="8"/>
  <c r="H93" i="8" s="1"/>
  <c r="J93" i="8" s="1"/>
  <c r="F118" i="8"/>
  <c r="H118" i="8" s="1"/>
  <c r="J118" i="8" s="1"/>
  <c r="F153" i="8"/>
  <c r="H153" i="8" s="1"/>
  <c r="J153" i="8" s="1"/>
  <c r="F152" i="8"/>
  <c r="H152" i="8" s="1"/>
  <c r="J152" i="8" s="1"/>
  <c r="F151" i="8"/>
  <c r="H151" i="8" s="1"/>
  <c r="J151" i="8" s="1"/>
  <c r="F36" i="8"/>
  <c r="H36" i="8" s="1"/>
  <c r="J36" i="8" s="1"/>
  <c r="F53" i="8"/>
  <c r="H53" i="8" s="1"/>
  <c r="J53" i="8" s="1"/>
  <c r="F76" i="8"/>
  <c r="H76" i="8" s="1"/>
  <c r="J76" i="8" s="1"/>
  <c r="F112" i="8"/>
  <c r="H112" i="8" s="1"/>
  <c r="J112" i="8" s="1"/>
  <c r="F111" i="8"/>
  <c r="H111" i="8" s="1"/>
  <c r="J111" i="8" s="1"/>
  <c r="F134" i="8"/>
  <c r="H134" i="8" s="1"/>
  <c r="J134" i="8" s="1"/>
  <c r="F132" i="8"/>
  <c r="H132" i="8" s="1"/>
  <c r="J132" i="8" s="1"/>
  <c r="F129" i="8"/>
  <c r="H129" i="8" s="1"/>
  <c r="J129" i="8" s="1"/>
  <c r="F128" i="8"/>
  <c r="H128" i="8" s="1"/>
  <c r="J128" i="8" s="1"/>
  <c r="F139" i="8"/>
  <c r="H139" i="8" s="1"/>
  <c r="J139" i="8" s="1"/>
  <c r="F62" i="8"/>
  <c r="H62" i="8" s="1"/>
  <c r="J62" i="8" s="1"/>
  <c r="F131" i="8"/>
  <c r="H131" i="8" s="1"/>
  <c r="J131" i="8" s="1"/>
  <c r="F39" i="8"/>
  <c r="H39" i="8" s="1"/>
  <c r="J39" i="8" s="1"/>
  <c r="F117" i="8"/>
  <c r="H117" i="8" s="1"/>
  <c r="J117" i="8" s="1"/>
  <c r="F116" i="8"/>
  <c r="H116" i="8" s="1"/>
  <c r="J116" i="8" s="1"/>
  <c r="F113" i="8"/>
  <c r="H113" i="8" s="1"/>
  <c r="J113" i="8" s="1"/>
  <c r="F28" i="8"/>
  <c r="H28" i="8" s="1"/>
  <c r="J28" i="8" s="1"/>
  <c r="F29" i="8"/>
  <c r="H29" i="8" s="1"/>
  <c r="J29" i="8" s="1"/>
  <c r="F25" i="8"/>
  <c r="H25" i="8" s="1"/>
  <c r="J25" i="8" s="1"/>
  <c r="F106" i="8"/>
  <c r="H106" i="8" s="1"/>
  <c r="J106" i="8" s="1"/>
  <c r="F159" i="8"/>
  <c r="H159" i="8" s="1"/>
  <c r="J159" i="8" s="1"/>
  <c r="F61" i="8"/>
  <c r="H61" i="8" s="1"/>
  <c r="J61" i="8" s="1"/>
  <c r="F60" i="8"/>
  <c r="H60" i="8" s="1"/>
  <c r="J60" i="8" s="1"/>
  <c r="F66" i="8"/>
  <c r="H66" i="8" s="1"/>
  <c r="J66" i="8" s="1"/>
  <c r="F65" i="8"/>
  <c r="H65" i="8" s="1"/>
  <c r="J65" i="8" s="1"/>
  <c r="F101" i="8"/>
  <c r="H101" i="8" s="1"/>
  <c r="J101" i="8" s="1"/>
  <c r="F140" i="8"/>
  <c r="H140" i="8" s="1"/>
  <c r="J140" i="8" s="1"/>
  <c r="F23" i="8"/>
  <c r="H23" i="8" s="1"/>
  <c r="J23" i="8" s="1"/>
  <c r="F95" i="8"/>
  <c r="H95" i="8" s="1"/>
  <c r="J95" i="8" s="1"/>
  <c r="F126" i="8"/>
  <c r="H126" i="8" s="1"/>
  <c r="J126" i="8" s="1"/>
  <c r="F125" i="8"/>
  <c r="H125" i="8" s="1"/>
  <c r="J125" i="8" s="1"/>
  <c r="F141" i="8"/>
  <c r="H141" i="8" s="1"/>
  <c r="J141" i="8" s="1"/>
  <c r="F146" i="8"/>
  <c r="H146" i="8" s="1"/>
  <c r="J146" i="8" s="1"/>
  <c r="F147" i="8"/>
  <c r="H147" i="8" s="1"/>
  <c r="J147" i="8" s="1"/>
  <c r="F150" i="8"/>
  <c r="H150" i="8" s="1"/>
  <c r="J150" i="8" s="1"/>
  <c r="F24" i="8"/>
  <c r="H24" i="8" s="1"/>
  <c r="J24" i="8" s="1"/>
  <c r="F38" i="8"/>
  <c r="H38" i="8" s="1"/>
  <c r="J38" i="8" s="1"/>
  <c r="F43" i="8"/>
  <c r="H43" i="8" s="1"/>
  <c r="J43" i="8" s="1"/>
  <c r="F69" i="8"/>
  <c r="H69" i="8" s="1"/>
  <c r="J69" i="8" s="1"/>
  <c r="F103" i="8"/>
  <c r="H103" i="8" s="1"/>
  <c r="J103" i="8" s="1"/>
  <c r="F102" i="8"/>
  <c r="H102" i="8" s="1"/>
  <c r="J102" i="8" s="1"/>
  <c r="F109" i="8"/>
  <c r="H109" i="8" s="1"/>
  <c r="J109" i="8" s="1"/>
  <c r="F108" i="8"/>
  <c r="H108" i="8" s="1"/>
  <c r="J108" i="8" s="1"/>
  <c r="F107" i="8"/>
  <c r="H107" i="8" s="1"/>
  <c r="J107" i="8" s="1"/>
  <c r="F127" i="8"/>
  <c r="H127" i="8" s="1"/>
  <c r="J127" i="8" s="1"/>
  <c r="F157" i="8"/>
  <c r="H157" i="8" s="1"/>
  <c r="J157" i="8" s="1"/>
  <c r="F123" i="8"/>
  <c r="H123" i="8" s="1"/>
  <c r="J123" i="8" s="1"/>
  <c r="F37" i="8"/>
  <c r="H37" i="8" s="1"/>
  <c r="J37" i="8" s="1"/>
  <c r="F34" i="8"/>
  <c r="H34" i="8" s="1"/>
  <c r="J34" i="8" s="1"/>
  <c r="F138" i="8"/>
  <c r="H138" i="8" s="1"/>
  <c r="J138" i="8" s="1"/>
  <c r="F31" i="8"/>
  <c r="H31" i="8" s="1"/>
  <c r="J31" i="8" s="1"/>
  <c r="F98" i="8"/>
  <c r="H98" i="8" s="1"/>
  <c r="J98" i="8" s="1"/>
  <c r="F84" i="8"/>
  <c r="H84" i="8" s="1"/>
  <c r="J84" i="8" s="1"/>
  <c r="F148" i="8"/>
  <c r="H148" i="8" s="1"/>
  <c r="J148" i="8" s="1"/>
  <c r="G21" i="8"/>
  <c r="F70" i="8"/>
  <c r="H70" i="8" s="1"/>
  <c r="J70" i="8" s="1"/>
  <c r="F124" i="8"/>
  <c r="H124" i="8" s="1"/>
  <c r="J124" i="8" s="1"/>
  <c r="F21" i="8"/>
  <c r="H21" i="8" s="1"/>
  <c r="J21" i="8" s="1"/>
  <c r="F35" i="8"/>
  <c r="H35" i="8" s="1"/>
  <c r="J35" i="8" s="1"/>
  <c r="F56" i="8"/>
  <c r="H56" i="8" s="1"/>
  <c r="J56" i="8" s="1"/>
  <c r="F51" i="8"/>
  <c r="H51" i="8" s="1"/>
  <c r="J51" i="8" s="1"/>
  <c r="F110" i="8"/>
  <c r="H110" i="8" s="1"/>
  <c r="J110" i="8" s="1"/>
  <c r="F133" i="8"/>
  <c r="H133" i="8" s="1"/>
  <c r="J133" i="8" s="1"/>
  <c r="F145" i="8"/>
  <c r="H145" i="8" s="1"/>
  <c r="J145" i="8" s="1"/>
  <c r="F42" i="8"/>
  <c r="H42" i="8" s="1"/>
  <c r="J42" i="8" s="1"/>
  <c r="F96" i="8"/>
  <c r="H96" i="8" s="1"/>
  <c r="J96" i="8" s="1"/>
  <c r="F119" i="8"/>
  <c r="H119" i="8" s="1"/>
  <c r="J119" i="8" s="1"/>
  <c r="F114" i="8"/>
  <c r="H114" i="8" s="1"/>
  <c r="J114" i="8" s="1"/>
  <c r="F155" i="8"/>
  <c r="H155" i="8" s="1"/>
  <c r="J155" i="8" s="1"/>
  <c r="F82" i="8"/>
  <c r="H82" i="8" s="1"/>
  <c r="J82" i="8" s="1"/>
  <c r="F105" i="8"/>
  <c r="H105" i="8" s="1"/>
  <c r="J105" i="8" s="1"/>
  <c r="F97" i="8"/>
  <c r="H97" i="8" s="1"/>
  <c r="J97" i="8" s="1"/>
  <c r="F136" i="8"/>
  <c r="H136" i="8" s="1"/>
  <c r="J136" i="8" s="1"/>
  <c r="F68" i="8"/>
  <c r="H68" i="8" s="1"/>
  <c r="J68" i="8" s="1"/>
  <c r="F91" i="8"/>
  <c r="H91" i="8" s="1"/>
  <c r="J91" i="8" s="1"/>
  <c r="F158" i="8"/>
  <c r="H158" i="8" s="1"/>
  <c r="J158" i="8" s="1"/>
  <c r="F54" i="8"/>
  <c r="H54" i="8" s="1"/>
  <c r="J54" i="8" s="1"/>
  <c r="F77" i="8"/>
  <c r="H77" i="8" s="1"/>
  <c r="J77" i="8" s="1"/>
  <c r="F26" i="8"/>
  <c r="H26" i="8" s="1"/>
  <c r="J26" i="8" s="1"/>
  <c r="F40" i="8"/>
  <c r="H40" i="8" s="1"/>
  <c r="J40" i="8" s="1"/>
  <c r="F63" i="8"/>
  <c r="H63" i="8" s="1"/>
  <c r="J63" i="8" s="1"/>
  <c r="F25" i="3"/>
  <c r="H25" i="3" s="1"/>
  <c r="J25" i="3" s="1"/>
  <c r="F45" i="3"/>
  <c r="H45" i="3" s="1"/>
  <c r="J45" i="3" s="1"/>
  <c r="F143" i="3"/>
  <c r="H143" i="3" s="1"/>
  <c r="J143" i="3" s="1"/>
  <c r="F138" i="3"/>
  <c r="H138" i="3" s="1"/>
  <c r="J138" i="3" s="1"/>
  <c r="F153" i="3"/>
  <c r="H153" i="3" s="1"/>
  <c r="J153" i="3" s="1"/>
  <c r="F22" i="3"/>
  <c r="H22" i="3" s="1"/>
  <c r="J22" i="3" s="1"/>
  <c r="F30" i="3"/>
  <c r="H30" i="3" s="1"/>
  <c r="J30" i="3" s="1"/>
  <c r="F115" i="3"/>
  <c r="H115" i="3" s="1"/>
  <c r="J115" i="3" s="1"/>
  <c r="F112" i="3"/>
  <c r="H112" i="3" s="1"/>
  <c r="J112" i="3" s="1"/>
  <c r="F100" i="3"/>
  <c r="H100" i="3" s="1"/>
  <c r="J100" i="3" s="1"/>
  <c r="F124" i="3"/>
  <c r="H124" i="3" s="1"/>
  <c r="J124" i="3" s="1"/>
  <c r="F148" i="3"/>
  <c r="H148" i="3" s="1"/>
  <c r="J148" i="3" s="1"/>
  <c r="F152" i="3"/>
  <c r="H152" i="3" s="1"/>
  <c r="J152" i="3" s="1"/>
  <c r="F161" i="3"/>
  <c r="H161" i="3" s="1"/>
  <c r="J161" i="3" s="1"/>
  <c r="F162" i="3"/>
  <c r="H162" i="3" s="1"/>
  <c r="J162" i="3" s="1"/>
  <c r="F159" i="3"/>
  <c r="H159" i="3" s="1"/>
  <c r="J159" i="3" s="1"/>
  <c r="G22" i="3"/>
  <c r="F37" i="3"/>
  <c r="H37" i="3" s="1"/>
  <c r="J37" i="3" s="1"/>
  <c r="F82" i="3"/>
  <c r="H82" i="3" s="1"/>
  <c r="J82" i="3" s="1"/>
  <c r="F120" i="3"/>
  <c r="H120" i="3" s="1"/>
  <c r="J120" i="3" s="1"/>
  <c r="F129" i="3"/>
  <c r="H129" i="3" s="1"/>
  <c r="J129" i="3" s="1"/>
  <c r="F134" i="3"/>
  <c r="H134" i="3" s="1"/>
  <c r="J134" i="3" s="1"/>
  <c r="F149" i="3"/>
  <c r="H149" i="3" s="1"/>
  <c r="J149" i="3" s="1"/>
  <c r="F29" i="3"/>
  <c r="H29" i="3" s="1"/>
  <c r="J29" i="3" s="1"/>
  <c r="F75" i="3"/>
  <c r="H75" i="3" s="1"/>
  <c r="J75" i="3" s="1"/>
  <c r="F80" i="3"/>
  <c r="H80" i="3" s="1"/>
  <c r="J80" i="3" s="1"/>
  <c r="F69" i="3"/>
  <c r="H69" i="3" s="1"/>
  <c r="J69" i="3" s="1"/>
  <c r="F92" i="3"/>
  <c r="H92" i="3" s="1"/>
  <c r="J92" i="3" s="1"/>
  <c r="F89" i="3"/>
  <c r="H89" i="3" s="1"/>
  <c r="J89" i="3" s="1"/>
  <c r="F91" i="3"/>
  <c r="H91" i="3" s="1"/>
  <c r="J91" i="3" s="1"/>
  <c r="F101" i="3"/>
  <c r="H101" i="3" s="1"/>
  <c r="J101" i="3" s="1"/>
  <c r="F125" i="3"/>
  <c r="H125" i="3" s="1"/>
  <c r="J125" i="3" s="1"/>
  <c r="F123" i="3"/>
  <c r="H123" i="3" s="1"/>
  <c r="J123" i="3" s="1"/>
  <c r="F154" i="3"/>
  <c r="H154" i="3" s="1"/>
  <c r="J154" i="3" s="1"/>
  <c r="F65" i="3"/>
  <c r="H65" i="3" s="1"/>
  <c r="J65" i="3" s="1"/>
  <c r="F116" i="3"/>
  <c r="H116" i="3" s="1"/>
  <c r="J116" i="3" s="1"/>
  <c r="F106" i="3"/>
  <c r="H106" i="3" s="1"/>
  <c r="J106" i="3" s="1"/>
  <c r="F158" i="3"/>
  <c r="H158" i="3" s="1"/>
  <c r="J158" i="3" s="1"/>
  <c r="F160" i="3"/>
  <c r="H160" i="3" s="1"/>
  <c r="J160" i="3" s="1"/>
  <c r="F44" i="3"/>
  <c r="H44" i="3" s="1"/>
  <c r="J44" i="3" s="1"/>
  <c r="F51" i="3"/>
  <c r="H51" i="3" s="1"/>
  <c r="J51" i="3" s="1"/>
  <c r="F53" i="3"/>
  <c r="H53" i="3" s="1"/>
  <c r="J53" i="3" s="1"/>
  <c r="F50" i="3"/>
  <c r="H50" i="3" s="1"/>
  <c r="J50" i="3" s="1"/>
  <c r="F46" i="3"/>
  <c r="H46" i="3" s="1"/>
  <c r="J46" i="3" s="1"/>
  <c r="F54" i="3"/>
  <c r="H54" i="3" s="1"/>
  <c r="J54" i="3" s="1"/>
  <c r="F98" i="3"/>
  <c r="H98" i="3" s="1"/>
  <c r="J98" i="3" s="1"/>
  <c r="F87" i="3"/>
  <c r="H87" i="3" s="1"/>
  <c r="J87" i="3" s="1"/>
  <c r="F130" i="3"/>
  <c r="H130" i="3" s="1"/>
  <c r="J130" i="3" s="1"/>
  <c r="F139" i="3"/>
  <c r="H139" i="3" s="1"/>
  <c r="J139" i="3" s="1"/>
  <c r="F27" i="3"/>
  <c r="H27" i="3" s="1"/>
  <c r="J27" i="3" s="1"/>
  <c r="F31" i="3"/>
  <c r="H31" i="3" s="1"/>
  <c r="J31" i="3" s="1"/>
  <c r="F79" i="3"/>
  <c r="H79" i="3" s="1"/>
  <c r="J79" i="3" s="1"/>
  <c r="F102" i="3"/>
  <c r="H102" i="3" s="1"/>
  <c r="J102" i="3" s="1"/>
  <c r="F140" i="3"/>
  <c r="H140" i="3" s="1"/>
  <c r="J140" i="3" s="1"/>
  <c r="F39" i="3"/>
  <c r="H39" i="3" s="1"/>
  <c r="J39" i="3" s="1"/>
  <c r="F62" i="3"/>
  <c r="H62" i="3" s="1"/>
  <c r="J62" i="3" s="1"/>
  <c r="F77" i="3"/>
  <c r="H77" i="3" s="1"/>
  <c r="J77" i="3" s="1"/>
  <c r="F70" i="3"/>
  <c r="H70" i="3" s="1"/>
  <c r="J70" i="3" s="1"/>
  <c r="F93" i="3"/>
  <c r="H93" i="3" s="1"/>
  <c r="J93" i="3" s="1"/>
  <c r="F131" i="3"/>
  <c r="H131" i="3" s="1"/>
  <c r="J131" i="3" s="1"/>
  <c r="F135" i="3"/>
  <c r="H135" i="3" s="1"/>
  <c r="J135" i="3" s="1"/>
  <c r="F43" i="3"/>
  <c r="H43" i="3" s="1"/>
  <c r="J43" i="3" s="1"/>
  <c r="F85" i="3"/>
  <c r="H85" i="3" s="1"/>
  <c r="J85" i="3" s="1"/>
  <c r="F103" i="3"/>
  <c r="H103" i="3" s="1"/>
  <c r="J103" i="3" s="1"/>
  <c r="F126" i="3"/>
  <c r="H126" i="3" s="1"/>
  <c r="J126" i="3" s="1"/>
  <c r="F117" i="3"/>
  <c r="H117" i="3" s="1"/>
  <c r="J117" i="3" s="1"/>
  <c r="F141" i="3"/>
  <c r="H141" i="3" s="1"/>
  <c r="J141" i="3" s="1"/>
  <c r="F23" i="3"/>
  <c r="H23" i="3" s="1"/>
  <c r="J23" i="3" s="1"/>
  <c r="F47" i="3"/>
  <c r="H47" i="3" s="1"/>
  <c r="J47" i="3" s="1"/>
  <c r="F84" i="3"/>
  <c r="H84" i="3" s="1"/>
  <c r="J84" i="3" s="1"/>
  <c r="F107" i="3"/>
  <c r="H107" i="3" s="1"/>
  <c r="J107" i="3" s="1"/>
  <c r="F146" i="3"/>
  <c r="H146" i="3" s="1"/>
  <c r="J146" i="3" s="1"/>
  <c r="F144" i="3"/>
  <c r="H144" i="3" s="1"/>
  <c r="J144" i="3" s="1"/>
  <c r="F136" i="3"/>
  <c r="H136" i="3" s="1"/>
  <c r="J136" i="3" s="1"/>
  <c r="F24" i="3"/>
  <c r="H24" i="3" s="1"/>
  <c r="J24" i="3" s="1"/>
  <c r="F38" i="3"/>
  <c r="H38" i="3" s="1"/>
  <c r="J38" i="3" s="1"/>
  <c r="F28" i="3"/>
  <c r="H28" i="3" s="1"/>
  <c r="J28" i="3" s="1"/>
  <c r="F68" i="3"/>
  <c r="H68" i="3" s="1"/>
  <c r="J68" i="3" s="1"/>
  <c r="F73" i="3"/>
  <c r="H73" i="3" s="1"/>
  <c r="J73" i="3" s="1"/>
  <c r="F74" i="3"/>
  <c r="H74" i="3" s="1"/>
  <c r="J74" i="3" s="1"/>
  <c r="F63" i="3"/>
  <c r="H63" i="3" s="1"/>
  <c r="J63" i="3" s="1"/>
  <c r="F99" i="3"/>
  <c r="H99" i="3" s="1"/>
  <c r="J99" i="3" s="1"/>
  <c r="F78" i="3"/>
  <c r="H78" i="3" s="1"/>
  <c r="J78" i="3" s="1"/>
  <c r="F94" i="3"/>
  <c r="H94" i="3" s="1"/>
  <c r="J94" i="3" s="1"/>
  <c r="F95" i="3"/>
  <c r="H95" i="3" s="1"/>
  <c r="J95" i="3" s="1"/>
  <c r="F108" i="3"/>
  <c r="H108" i="3" s="1"/>
  <c r="J108" i="3" s="1"/>
  <c r="F157" i="3"/>
  <c r="H157" i="3" s="1"/>
  <c r="J157" i="3" s="1"/>
  <c r="F26" i="3"/>
  <c r="H26" i="3" s="1"/>
  <c r="J26" i="3" s="1"/>
  <c r="F40" i="3"/>
  <c r="H40" i="3" s="1"/>
  <c r="J40" i="3" s="1"/>
  <c r="F48" i="3"/>
  <c r="H48" i="3" s="1"/>
  <c r="J48" i="3" s="1"/>
  <c r="F86" i="3"/>
  <c r="H86" i="3" s="1"/>
  <c r="J86" i="3" s="1"/>
  <c r="F76" i="3"/>
  <c r="H76" i="3" s="1"/>
  <c r="J76" i="3" s="1"/>
  <c r="F122" i="3"/>
  <c r="H122" i="3" s="1"/>
  <c r="J122" i="3" s="1"/>
  <c r="F147" i="3"/>
  <c r="H147" i="3" s="1"/>
  <c r="J147" i="3" s="1"/>
  <c r="F151" i="3"/>
  <c r="H151" i="3" s="1"/>
  <c r="J151" i="3" s="1"/>
  <c r="F150" i="3"/>
  <c r="H150" i="3" s="1"/>
  <c r="J150" i="3" s="1"/>
  <c r="F110" i="3"/>
  <c r="H110" i="3" s="1"/>
  <c r="J110" i="3" s="1"/>
  <c r="F121" i="3"/>
  <c r="H121" i="3" s="1"/>
  <c r="J121" i="3" s="1"/>
  <c r="F137" i="3"/>
  <c r="H137" i="3" s="1"/>
  <c r="J137" i="3" s="1"/>
  <c r="F33" i="3"/>
  <c r="H33" i="3" s="1"/>
  <c r="J33" i="3" s="1"/>
  <c r="F57" i="3"/>
  <c r="H57" i="3" s="1"/>
  <c r="J57" i="3" s="1"/>
  <c r="F81" i="3"/>
  <c r="H81" i="3" s="1"/>
  <c r="J81" i="3" s="1"/>
  <c r="F145" i="3"/>
  <c r="H145" i="3" s="1"/>
  <c r="J145" i="3" s="1"/>
  <c r="F34" i="3"/>
  <c r="H34" i="3" s="1"/>
  <c r="J34" i="3" s="1"/>
  <c r="F42" i="3"/>
  <c r="H42" i="3" s="1"/>
  <c r="J42" i="3" s="1"/>
  <c r="F66" i="3"/>
  <c r="H66" i="3" s="1"/>
  <c r="J66" i="3" s="1"/>
  <c r="F72" i="3"/>
  <c r="H72" i="3" s="1"/>
  <c r="J72" i="3" s="1"/>
  <c r="F142" i="3"/>
  <c r="H142" i="3" s="1"/>
  <c r="J142" i="3" s="1"/>
  <c r="F21" i="3"/>
  <c r="H21" i="3" s="1"/>
  <c r="J21" i="3" s="1"/>
  <c r="F35" i="3"/>
  <c r="H35" i="3" s="1"/>
  <c r="J35" i="3" s="1"/>
  <c r="F32" i="3"/>
  <c r="H32" i="3" s="1"/>
  <c r="J32" i="3" s="1"/>
  <c r="F104" i="3"/>
  <c r="H104" i="3" s="1"/>
  <c r="J104" i="3" s="1"/>
  <c r="F114" i="3"/>
  <c r="H114" i="3" s="1"/>
  <c r="J114" i="3" s="1"/>
  <c r="F132" i="3"/>
  <c r="H132" i="3" s="1"/>
  <c r="J132" i="3" s="1"/>
  <c r="F88" i="3"/>
  <c r="H88" i="3" s="1"/>
  <c r="J88" i="3" s="1"/>
  <c r="F111" i="3"/>
  <c r="H111" i="3" s="1"/>
  <c r="J111" i="3" s="1"/>
  <c r="F118" i="3"/>
  <c r="H118" i="3" s="1"/>
  <c r="J118" i="3" s="1"/>
  <c r="F109" i="3"/>
  <c r="H109" i="3" s="1"/>
  <c r="J109" i="3" s="1"/>
  <c r="F113" i="3"/>
  <c r="H113" i="3" s="1"/>
  <c r="J113" i="3" s="1"/>
  <c r="F133" i="3"/>
  <c r="H133" i="3" s="1"/>
  <c r="J133" i="3" s="1"/>
  <c r="F90" i="3"/>
  <c r="H90" i="3" s="1"/>
  <c r="J90" i="3" s="1"/>
  <c r="F105" i="3"/>
  <c r="H105" i="3" s="1"/>
  <c r="J105" i="3" s="1"/>
  <c r="F156" i="3"/>
  <c r="H156" i="3" s="1"/>
  <c r="J156" i="3" s="1"/>
  <c r="F143" i="2"/>
  <c r="H143" i="2" s="1"/>
  <c r="J143" i="2" s="1"/>
  <c r="F142" i="2"/>
  <c r="H142" i="2" s="1"/>
  <c r="J142" i="2" s="1"/>
  <c r="F141" i="2"/>
  <c r="H141" i="2" s="1"/>
  <c r="J141" i="2" s="1"/>
  <c r="F140" i="2"/>
  <c r="H140" i="2" s="1"/>
  <c r="J140" i="2" s="1"/>
  <c r="F44" i="2"/>
  <c r="H44" i="2" s="1"/>
  <c r="J44" i="2" s="1"/>
  <c r="F40" i="2"/>
  <c r="H40" i="2" s="1"/>
  <c r="J40" i="2" s="1"/>
  <c r="F25" i="2"/>
  <c r="H25" i="2" s="1"/>
  <c r="J25" i="2" s="1"/>
  <c r="F39" i="2"/>
  <c r="H39" i="2" s="1"/>
  <c r="J39" i="2" s="1"/>
  <c r="F66" i="2"/>
  <c r="H66" i="2" s="1"/>
  <c r="J66" i="2" s="1"/>
  <c r="F145" i="2"/>
  <c r="H145" i="2" s="1"/>
  <c r="J145" i="2" s="1"/>
  <c r="F135" i="2"/>
  <c r="H135" i="2" s="1"/>
  <c r="J135" i="2" s="1"/>
  <c r="F134" i="2"/>
  <c r="H134" i="2" s="1"/>
  <c r="J134" i="2" s="1"/>
  <c r="F32" i="2"/>
  <c r="H32" i="2" s="1"/>
  <c r="J32" i="2" s="1"/>
  <c r="F48" i="2"/>
  <c r="H48" i="2" s="1"/>
  <c r="J48" i="2" s="1"/>
  <c r="F57" i="2"/>
  <c r="H57" i="2" s="1"/>
  <c r="J57" i="2" s="1"/>
  <c r="F84" i="2"/>
  <c r="H84" i="2" s="1"/>
  <c r="J84" i="2" s="1"/>
  <c r="F81" i="2"/>
  <c r="H81" i="2" s="1"/>
  <c r="J81" i="2" s="1"/>
  <c r="F78" i="2"/>
  <c r="H78" i="2" s="1"/>
  <c r="J78" i="2" s="1"/>
  <c r="F80" i="2"/>
  <c r="H80" i="2" s="1"/>
  <c r="J80" i="2" s="1"/>
  <c r="F83" i="2"/>
  <c r="H83" i="2" s="1"/>
  <c r="J83" i="2" s="1"/>
  <c r="F138" i="2"/>
  <c r="H138" i="2" s="1"/>
  <c r="J138" i="2" s="1"/>
  <c r="F137" i="2"/>
  <c r="H137" i="2" s="1"/>
  <c r="J137" i="2" s="1"/>
  <c r="F136" i="2"/>
  <c r="H136" i="2" s="1"/>
  <c r="J136" i="2" s="1"/>
  <c r="F42" i="2"/>
  <c r="H42" i="2" s="1"/>
  <c r="J42" i="2" s="1"/>
  <c r="F119" i="2"/>
  <c r="H119" i="2" s="1"/>
  <c r="J119" i="2" s="1"/>
  <c r="G21" i="2"/>
  <c r="F47" i="2"/>
  <c r="H47" i="2" s="1"/>
  <c r="J47" i="2" s="1"/>
  <c r="F54" i="2"/>
  <c r="H54" i="2" s="1"/>
  <c r="J54" i="2" s="1"/>
  <c r="F53" i="2"/>
  <c r="H53" i="2" s="1"/>
  <c r="J53" i="2" s="1"/>
  <c r="F50" i="2"/>
  <c r="H50" i="2" s="1"/>
  <c r="J50" i="2" s="1"/>
  <c r="F52" i="2"/>
  <c r="H52" i="2" s="1"/>
  <c r="J52" i="2" s="1"/>
  <c r="F158" i="2"/>
  <c r="H158" i="2" s="1"/>
  <c r="J158" i="2" s="1"/>
  <c r="F153" i="2"/>
  <c r="H153" i="2" s="1"/>
  <c r="J153" i="2" s="1"/>
  <c r="F155" i="2"/>
  <c r="H155" i="2" s="1"/>
  <c r="J155" i="2" s="1"/>
  <c r="F27" i="2"/>
  <c r="H27" i="2" s="1"/>
  <c r="J27" i="2" s="1"/>
  <c r="F28" i="2"/>
  <c r="H28" i="2" s="1"/>
  <c r="J28" i="2" s="1"/>
  <c r="F35" i="2"/>
  <c r="H35" i="2" s="1"/>
  <c r="J35" i="2" s="1"/>
  <c r="F68" i="2"/>
  <c r="H68" i="2" s="1"/>
  <c r="J68" i="2" s="1"/>
  <c r="F121" i="2"/>
  <c r="H121" i="2" s="1"/>
  <c r="J121" i="2" s="1"/>
  <c r="F150" i="2"/>
  <c r="H150" i="2" s="1"/>
  <c r="J150" i="2" s="1"/>
  <c r="F139" i="2"/>
  <c r="H139" i="2" s="1"/>
  <c r="J139" i="2" s="1"/>
  <c r="F22" i="2"/>
  <c r="H22" i="2" s="1"/>
  <c r="J22" i="2" s="1"/>
  <c r="F76" i="2"/>
  <c r="H76" i="2" s="1"/>
  <c r="J76" i="2" s="1"/>
  <c r="F131" i="2"/>
  <c r="H131" i="2" s="1"/>
  <c r="J131" i="2" s="1"/>
  <c r="F159" i="2"/>
  <c r="H159" i="2" s="1"/>
  <c r="J159" i="2" s="1"/>
  <c r="F29" i="2"/>
  <c r="H29" i="2" s="1"/>
  <c r="J29" i="2" s="1"/>
  <c r="F123" i="2"/>
  <c r="H123" i="2" s="1"/>
  <c r="J123" i="2" s="1"/>
  <c r="F124" i="2"/>
  <c r="H124" i="2" s="1"/>
  <c r="J124" i="2" s="1"/>
  <c r="F115" i="2"/>
  <c r="H115" i="2" s="1"/>
  <c r="J115" i="2" s="1"/>
  <c r="F114" i="2"/>
  <c r="H114" i="2" s="1"/>
  <c r="J114" i="2" s="1"/>
  <c r="F113" i="2"/>
  <c r="H113" i="2" s="1"/>
  <c r="J113" i="2" s="1"/>
  <c r="F132" i="2"/>
  <c r="H132" i="2" s="1"/>
  <c r="J132" i="2" s="1"/>
  <c r="F64" i="2"/>
  <c r="H64" i="2" s="1"/>
  <c r="J64" i="2" s="1"/>
  <c r="F63" i="2"/>
  <c r="H63" i="2" s="1"/>
  <c r="J63" i="2" s="1"/>
  <c r="F60" i="2"/>
  <c r="H60" i="2" s="1"/>
  <c r="J60" i="2" s="1"/>
  <c r="F96" i="2"/>
  <c r="H96" i="2" s="1"/>
  <c r="J96" i="2" s="1"/>
  <c r="F162" i="2"/>
  <c r="H162" i="2" s="1"/>
  <c r="J162" i="2" s="1"/>
  <c r="F161" i="2"/>
  <c r="H161" i="2" s="1"/>
  <c r="J161" i="2" s="1"/>
  <c r="F31" i="2"/>
  <c r="H31" i="2" s="1"/>
  <c r="J31" i="2" s="1"/>
  <c r="F33" i="2"/>
  <c r="H33" i="2" s="1"/>
  <c r="J33" i="2" s="1"/>
  <c r="F30" i="2"/>
  <c r="H30" i="2" s="1"/>
  <c r="J30" i="2" s="1"/>
  <c r="F43" i="2"/>
  <c r="H43" i="2" s="1"/>
  <c r="J43" i="2" s="1"/>
  <c r="F88" i="2"/>
  <c r="H88" i="2" s="1"/>
  <c r="J88" i="2" s="1"/>
  <c r="F90" i="2"/>
  <c r="H90" i="2" s="1"/>
  <c r="J90" i="2" s="1"/>
  <c r="F102" i="2"/>
  <c r="H102" i="2" s="1"/>
  <c r="J102" i="2" s="1"/>
  <c r="F95" i="2"/>
  <c r="H95" i="2" s="1"/>
  <c r="J95" i="2" s="1"/>
  <c r="F122" i="2"/>
  <c r="H122" i="2" s="1"/>
  <c r="J122" i="2" s="1"/>
  <c r="F149" i="2"/>
  <c r="H149" i="2" s="1"/>
  <c r="J149" i="2" s="1"/>
  <c r="F157" i="2"/>
  <c r="H157" i="2" s="1"/>
  <c r="J157" i="2" s="1"/>
  <c r="F87" i="2"/>
  <c r="H87" i="2" s="1"/>
  <c r="J87" i="2" s="1"/>
  <c r="F107" i="2"/>
  <c r="H107" i="2" s="1"/>
  <c r="J107" i="2" s="1"/>
  <c r="F110" i="2"/>
  <c r="H110" i="2" s="1"/>
  <c r="J110" i="2" s="1"/>
  <c r="F41" i="2"/>
  <c r="H41" i="2" s="1"/>
  <c r="J41" i="2" s="1"/>
  <c r="F51" i="2"/>
  <c r="H51" i="2" s="1"/>
  <c r="J51" i="2" s="1"/>
  <c r="F38" i="2"/>
  <c r="H38" i="2" s="1"/>
  <c r="J38" i="2" s="1"/>
  <c r="F61" i="2"/>
  <c r="H61" i="2" s="1"/>
  <c r="J61" i="2" s="1"/>
  <c r="F118" i="2"/>
  <c r="H118" i="2" s="1"/>
  <c r="J118" i="2" s="1"/>
  <c r="F130" i="2"/>
  <c r="H130" i="2" s="1"/>
  <c r="J130" i="2" s="1"/>
  <c r="F69" i="2"/>
  <c r="H69" i="2" s="1"/>
  <c r="J69" i="2" s="1"/>
  <c r="F72" i="2"/>
  <c r="H72" i="2" s="1"/>
  <c r="J72" i="2" s="1"/>
  <c r="F65" i="2"/>
  <c r="H65" i="2" s="1"/>
  <c r="J65" i="2" s="1"/>
  <c r="F92" i="2"/>
  <c r="H92" i="2" s="1"/>
  <c r="J92" i="2" s="1"/>
  <c r="F85" i="2"/>
  <c r="H85" i="2" s="1"/>
  <c r="J85" i="2" s="1"/>
  <c r="F151" i="2"/>
  <c r="H151" i="2" s="1"/>
  <c r="J151" i="2" s="1"/>
  <c r="F148" i="2"/>
  <c r="H148" i="2" s="1"/>
  <c r="J148" i="2" s="1"/>
  <c r="F77" i="2"/>
  <c r="H77" i="2" s="1"/>
  <c r="J77" i="2" s="1"/>
  <c r="F89" i="2"/>
  <c r="H89" i="2" s="1"/>
  <c r="J89" i="2" s="1"/>
  <c r="F112" i="2"/>
  <c r="H112" i="2" s="1"/>
  <c r="J112" i="2" s="1"/>
  <c r="F36" i="2"/>
  <c r="H36" i="2" s="1"/>
  <c r="J36" i="2" s="1"/>
  <c r="F49" i="2"/>
  <c r="H49" i="2" s="1"/>
  <c r="J49" i="2" s="1"/>
  <c r="F59" i="2"/>
  <c r="H59" i="2" s="1"/>
  <c r="J59" i="2" s="1"/>
  <c r="F70" i="2"/>
  <c r="H70" i="2" s="1"/>
  <c r="J70" i="2" s="1"/>
  <c r="F97" i="2"/>
  <c r="H97" i="2" s="1"/>
  <c r="J97" i="2" s="1"/>
  <c r="F100" i="2"/>
  <c r="H100" i="2" s="1"/>
  <c r="J100" i="2" s="1"/>
  <c r="F99" i="2"/>
  <c r="H99" i="2" s="1"/>
  <c r="J99" i="2" s="1"/>
  <c r="F93" i="2"/>
  <c r="H93" i="2" s="1"/>
  <c r="J93" i="2" s="1"/>
  <c r="F120" i="2"/>
  <c r="H120" i="2" s="1"/>
  <c r="J120" i="2" s="1"/>
  <c r="F23" i="2"/>
  <c r="H23" i="2" s="1"/>
  <c r="J23" i="2" s="1"/>
  <c r="F62" i="2"/>
  <c r="H62" i="2" s="1"/>
  <c r="J62" i="2" s="1"/>
  <c r="F105" i="2"/>
  <c r="H105" i="2" s="1"/>
  <c r="J105" i="2" s="1"/>
  <c r="F117" i="2"/>
  <c r="H117" i="2" s="1"/>
  <c r="J117" i="2" s="1"/>
  <c r="F101" i="2"/>
  <c r="H101" i="2" s="1"/>
  <c r="J101" i="2" s="1"/>
  <c r="F152" i="2"/>
  <c r="H152" i="2" s="1"/>
  <c r="J152" i="2" s="1"/>
  <c r="F86" i="2"/>
  <c r="H86" i="2" s="1"/>
  <c r="J86" i="2" s="1"/>
  <c r="F98" i="2"/>
  <c r="H98" i="2" s="1"/>
  <c r="J98" i="2" s="1"/>
  <c r="F125" i="2"/>
  <c r="H125" i="2" s="1"/>
  <c r="J125" i="2" s="1"/>
  <c r="F128" i="2"/>
  <c r="H128" i="2" s="1"/>
  <c r="J128" i="2" s="1"/>
  <c r="F127" i="2"/>
  <c r="H127" i="2" s="1"/>
  <c r="J127" i="2" s="1"/>
  <c r="F144" i="2"/>
  <c r="H144" i="2" s="1"/>
  <c r="J144" i="2" s="1"/>
  <c r="F46" i="2"/>
  <c r="H46" i="2" s="1"/>
  <c r="J46" i="2" s="1"/>
  <c r="F56" i="2"/>
  <c r="H56" i="2" s="1"/>
  <c r="J56" i="2" s="1"/>
  <c r="F106" i="2"/>
  <c r="H106" i="2" s="1"/>
  <c r="J106" i="2" s="1"/>
  <c r="F109" i="2"/>
  <c r="H109" i="2" s="1"/>
  <c r="J109" i="2" s="1"/>
  <c r="F133" i="2"/>
  <c r="H133" i="2" s="1"/>
  <c r="J133" i="2" s="1"/>
  <c r="F129" i="2"/>
  <c r="H129" i="2" s="1"/>
  <c r="J129" i="2" s="1"/>
  <c r="F26" i="2"/>
  <c r="H26" i="2" s="1"/>
  <c r="J26" i="2" s="1"/>
  <c r="F37" i="2"/>
  <c r="H37" i="2" s="1"/>
  <c r="J37" i="2" s="1"/>
  <c r="F74" i="2"/>
  <c r="H74" i="2" s="1"/>
  <c r="J74" i="2" s="1"/>
  <c r="F67" i="2"/>
  <c r="H67" i="2" s="1"/>
  <c r="J67" i="2" s="1"/>
  <c r="F126" i="2"/>
  <c r="H126" i="2" s="1"/>
  <c r="J126" i="2" s="1"/>
  <c r="F160" i="2"/>
  <c r="H160" i="2" s="1"/>
  <c r="J160" i="2" s="1"/>
  <c r="F71" i="2"/>
  <c r="H71" i="2" s="1"/>
  <c r="J71" i="2" s="1"/>
  <c r="F55" i="2"/>
  <c r="H55" i="2" s="1"/>
  <c r="J55" i="2" s="1"/>
  <c r="F79" i="2"/>
  <c r="H79" i="2" s="1"/>
  <c r="J79" i="2" s="1"/>
  <c r="F82" i="2"/>
  <c r="H82" i="2" s="1"/>
  <c r="J82" i="2" s="1"/>
  <c r="F130" i="9"/>
  <c r="H130" i="9" s="1"/>
  <c r="J130" i="9" s="1"/>
  <c r="F146" i="9"/>
  <c r="H146" i="9" s="1"/>
  <c r="J146" i="9" s="1"/>
  <c r="F38" i="9"/>
  <c r="H38" i="9" s="1"/>
  <c r="J38" i="9" s="1"/>
  <c r="F33" i="9"/>
  <c r="H33" i="9" s="1"/>
  <c r="J33" i="9" s="1"/>
  <c r="F60" i="9"/>
  <c r="H60" i="9" s="1"/>
  <c r="J60" i="9" s="1"/>
  <c r="F74" i="9"/>
  <c r="H74" i="9" s="1"/>
  <c r="J74" i="9" s="1"/>
  <c r="F88" i="9"/>
  <c r="H88" i="9" s="1"/>
  <c r="J88" i="9" s="1"/>
  <c r="F102" i="9"/>
  <c r="H102" i="9" s="1"/>
  <c r="J102" i="9" s="1"/>
  <c r="F114" i="9"/>
  <c r="H114" i="9" s="1"/>
  <c r="J114" i="9" s="1"/>
  <c r="F157" i="9"/>
  <c r="H157" i="9" s="1"/>
  <c r="J157" i="9" s="1"/>
  <c r="G21" i="9"/>
  <c r="G22" i="9" s="1"/>
  <c r="F34" i="9"/>
  <c r="H34" i="9" s="1"/>
  <c r="J34" i="9" s="1"/>
  <c r="F158" i="9"/>
  <c r="H158" i="9" s="1"/>
  <c r="J158" i="9" s="1"/>
  <c r="F49" i="9"/>
  <c r="H49" i="9" s="1"/>
  <c r="J49" i="9" s="1"/>
  <c r="F62" i="9"/>
  <c r="H62" i="9" s="1"/>
  <c r="J62" i="9" s="1"/>
  <c r="F118" i="9"/>
  <c r="H118" i="9" s="1"/>
  <c r="J118" i="9" s="1"/>
  <c r="F122" i="9"/>
  <c r="H122" i="9" s="1"/>
  <c r="J122" i="9" s="1"/>
  <c r="F22" i="9"/>
  <c r="H22" i="9" s="1"/>
  <c r="J22" i="9" s="1"/>
  <c r="F50" i="9"/>
  <c r="H50" i="9" s="1"/>
  <c r="J50" i="9" s="1"/>
  <c r="F160" i="9"/>
  <c r="H160" i="9" s="1"/>
  <c r="J160" i="9" s="1"/>
  <c r="F78" i="9"/>
  <c r="H78" i="9" s="1"/>
  <c r="J78" i="9" s="1"/>
  <c r="F120" i="9"/>
  <c r="H120" i="9" s="1"/>
  <c r="J120" i="9" s="1"/>
  <c r="F134" i="9"/>
  <c r="H134" i="9" s="1"/>
  <c r="J134" i="9" s="1"/>
  <c r="F65" i="9"/>
  <c r="H65" i="9" s="1"/>
  <c r="J65" i="9" s="1"/>
  <c r="F162" i="9"/>
  <c r="H162" i="9" s="1"/>
  <c r="J162" i="9" s="1"/>
  <c r="F66" i="9"/>
  <c r="H66" i="9" s="1"/>
  <c r="J66" i="9" s="1"/>
  <c r="F80" i="9"/>
  <c r="H80" i="9" s="1"/>
  <c r="J80" i="9" s="1"/>
  <c r="F94" i="9"/>
  <c r="H94" i="9" s="1"/>
  <c r="J94" i="9" s="1"/>
  <c r="F136" i="9"/>
  <c r="H136" i="9" s="1"/>
  <c r="J136" i="9" s="1"/>
  <c r="F26" i="9"/>
  <c r="H26" i="9" s="1"/>
  <c r="J26" i="9" s="1"/>
  <c r="F40" i="9"/>
  <c r="H40" i="9" s="1"/>
  <c r="J40" i="9" s="1"/>
  <c r="F109" i="9"/>
  <c r="H109" i="9" s="1"/>
  <c r="J109" i="9" s="1"/>
  <c r="F150" i="9"/>
  <c r="H150" i="9" s="1"/>
  <c r="J150" i="9" s="1"/>
  <c r="F68" i="9"/>
  <c r="H68" i="9" s="1"/>
  <c r="J68" i="9" s="1"/>
  <c r="F96" i="9"/>
  <c r="H96" i="9" s="1"/>
  <c r="J96" i="9" s="1"/>
  <c r="F110" i="9"/>
  <c r="H110" i="9" s="1"/>
  <c r="J110" i="9" s="1"/>
  <c r="F124" i="9"/>
  <c r="H124" i="9" s="1"/>
  <c r="J124" i="9" s="1"/>
  <c r="F42" i="9"/>
  <c r="H42" i="9" s="1"/>
  <c r="J42" i="9" s="1"/>
  <c r="F56" i="9"/>
  <c r="H56" i="9" s="1"/>
  <c r="J56" i="9" s="1"/>
  <c r="F83" i="9"/>
  <c r="H83" i="9" s="1"/>
  <c r="J83" i="9" s="1"/>
  <c r="F152" i="9"/>
  <c r="H152" i="9" s="1"/>
  <c r="J152" i="9" s="1"/>
  <c r="F70" i="9"/>
  <c r="H70" i="9" s="1"/>
  <c r="J70" i="9" s="1"/>
  <c r="F84" i="9"/>
  <c r="H84" i="9" s="1"/>
  <c r="J84" i="9" s="1"/>
  <c r="F112" i="9"/>
  <c r="H112" i="9" s="1"/>
  <c r="J112" i="9" s="1"/>
  <c r="F44" i="9"/>
  <c r="H44" i="9" s="1"/>
  <c r="J44" i="9" s="1"/>
  <c r="F141" i="9"/>
  <c r="H141" i="9" s="1"/>
  <c r="J141" i="9" s="1"/>
  <c r="F154" i="9"/>
  <c r="H154" i="9" s="1"/>
  <c r="J154" i="9" s="1"/>
  <c r="F54" i="9"/>
  <c r="H54" i="9" s="1"/>
  <c r="J54" i="9" s="1"/>
  <c r="F86" i="9"/>
  <c r="H86" i="9" s="1"/>
  <c r="J86" i="9" s="1"/>
  <c r="F128" i="9"/>
  <c r="H128" i="9" s="1"/>
  <c r="J128" i="9" s="1"/>
  <c r="F142" i="9"/>
  <c r="H142" i="9" s="1"/>
  <c r="J142" i="9" s="1"/>
  <c r="F21" i="9"/>
  <c r="H21" i="9" s="1"/>
  <c r="J21" i="9" s="1"/>
  <c r="F36" i="9"/>
  <c r="H36" i="9" s="1"/>
  <c r="J36" i="9" s="1"/>
  <c r="F32" i="9"/>
  <c r="H32" i="9" s="1"/>
  <c r="J32" i="9" s="1"/>
  <c r="F52" i="9"/>
  <c r="H52" i="9" s="1"/>
  <c r="J52" i="9" s="1"/>
  <c r="F97" i="9"/>
  <c r="H97" i="9" s="1"/>
  <c r="J97" i="9" s="1"/>
  <c r="F103" i="9"/>
  <c r="H103" i="9" s="1"/>
  <c r="J103" i="9" s="1"/>
  <c r="F111" i="9"/>
  <c r="H111" i="9" s="1"/>
  <c r="J111" i="9" s="1"/>
  <c r="F98" i="9"/>
  <c r="H98" i="9" s="1"/>
  <c r="J98" i="9" s="1"/>
  <c r="F125" i="9"/>
  <c r="H125" i="9" s="1"/>
  <c r="J125" i="9" s="1"/>
  <c r="F143" i="9"/>
  <c r="H143" i="9" s="1"/>
  <c r="J143" i="9" s="1"/>
  <c r="F151" i="9"/>
  <c r="H151" i="9" s="1"/>
  <c r="J151" i="9" s="1"/>
  <c r="F159" i="9"/>
  <c r="H159" i="9" s="1"/>
  <c r="J159" i="9" s="1"/>
  <c r="F148" i="9"/>
  <c r="H148" i="9" s="1"/>
  <c r="J148" i="9" s="1"/>
  <c r="F23" i="9"/>
  <c r="H23" i="9" s="1"/>
  <c r="J23" i="9" s="1"/>
  <c r="F37" i="9"/>
  <c r="H37" i="9" s="1"/>
  <c r="J37" i="9" s="1"/>
  <c r="F59" i="9"/>
  <c r="H59" i="9" s="1"/>
  <c r="J59" i="9" s="1"/>
  <c r="F85" i="9"/>
  <c r="H85" i="9" s="1"/>
  <c r="J85" i="9" s="1"/>
  <c r="F92" i="9"/>
  <c r="H92" i="9" s="1"/>
  <c r="J92" i="9" s="1"/>
  <c r="F106" i="9"/>
  <c r="H106" i="9" s="1"/>
  <c r="J106" i="9" s="1"/>
  <c r="F135" i="9"/>
  <c r="H135" i="9" s="1"/>
  <c r="J135" i="9" s="1"/>
  <c r="F132" i="9"/>
  <c r="H132" i="9" s="1"/>
  <c r="J132" i="9" s="1"/>
  <c r="F140" i="9"/>
  <c r="H140" i="9" s="1"/>
  <c r="J140" i="9" s="1"/>
  <c r="F73" i="9"/>
  <c r="H73" i="9" s="1"/>
  <c r="J73" i="9" s="1"/>
  <c r="F116" i="9"/>
  <c r="H116" i="9" s="1"/>
  <c r="J116" i="9" s="1"/>
  <c r="F133" i="9"/>
  <c r="H133" i="9" s="1"/>
  <c r="J133" i="9" s="1"/>
  <c r="F77" i="9"/>
  <c r="H77" i="9" s="1"/>
  <c r="J77" i="9" s="1"/>
  <c r="F76" i="9"/>
  <c r="H76" i="9" s="1"/>
  <c r="J76" i="9" s="1"/>
  <c r="F82" i="9"/>
  <c r="H82" i="9" s="1"/>
  <c r="J82" i="9" s="1"/>
  <c r="F43" i="9"/>
  <c r="H43" i="9" s="1"/>
  <c r="J43" i="9" s="1"/>
  <c r="F46" i="9"/>
  <c r="H46" i="9" s="1"/>
  <c r="J46" i="9" s="1"/>
  <c r="F58" i="9"/>
  <c r="H58" i="9" s="1"/>
  <c r="J58" i="9" s="1"/>
  <c r="F64" i="9"/>
  <c r="H64" i="9" s="1"/>
  <c r="J64" i="9" s="1"/>
  <c r="F91" i="9"/>
  <c r="H91" i="9" s="1"/>
  <c r="J91" i="9" s="1"/>
  <c r="F90" i="9"/>
  <c r="H90" i="9" s="1"/>
  <c r="J90" i="9" s="1"/>
  <c r="F35" i="9"/>
  <c r="H35" i="9" s="1"/>
  <c r="J35" i="9" s="1"/>
  <c r="F24" i="9"/>
  <c r="H24" i="9" s="1"/>
  <c r="J24" i="9" s="1"/>
  <c r="F51" i="9"/>
  <c r="H51" i="9" s="1"/>
  <c r="J51" i="9" s="1"/>
  <c r="F71" i="9"/>
  <c r="H71" i="9" s="1"/>
  <c r="J71" i="9" s="1"/>
  <c r="F72" i="9"/>
  <c r="H72" i="9" s="1"/>
  <c r="J72" i="9" s="1"/>
  <c r="F117" i="9"/>
  <c r="H117" i="9" s="1"/>
  <c r="J117" i="9" s="1"/>
  <c r="F156" i="9"/>
  <c r="H156" i="9" s="1"/>
  <c r="J156" i="9" s="1"/>
  <c r="F25" i="9"/>
  <c r="H25" i="9" s="1"/>
  <c r="J25" i="9" s="1"/>
  <c r="F53" i="9"/>
  <c r="H53" i="9" s="1"/>
  <c r="J53" i="9" s="1"/>
  <c r="F67" i="9"/>
  <c r="H67" i="9" s="1"/>
  <c r="J67" i="9" s="1"/>
  <c r="F79" i="9"/>
  <c r="H79" i="9" s="1"/>
  <c r="J79" i="9" s="1"/>
  <c r="F119" i="9"/>
  <c r="H119" i="9" s="1"/>
  <c r="J119" i="9" s="1"/>
  <c r="F127" i="9"/>
  <c r="H127" i="9" s="1"/>
  <c r="J127" i="9" s="1"/>
  <c r="F145" i="9"/>
  <c r="H145" i="9" s="1"/>
  <c r="J145" i="9" s="1"/>
  <c r="F161" i="9"/>
  <c r="H161" i="9" s="1"/>
  <c r="J161" i="9" s="1"/>
  <c r="F45" i="9"/>
  <c r="H45" i="9" s="1"/>
  <c r="J45" i="9" s="1"/>
  <c r="F61" i="9"/>
  <c r="H61" i="9" s="1"/>
  <c r="J61" i="9" s="1"/>
  <c r="F48" i="9"/>
  <c r="H48" i="9" s="1"/>
  <c r="J48" i="9" s="1"/>
  <c r="F87" i="9"/>
  <c r="H87" i="9" s="1"/>
  <c r="J87" i="9" s="1"/>
  <c r="F99" i="9"/>
  <c r="H99" i="9" s="1"/>
  <c r="J99" i="9" s="1"/>
  <c r="F105" i="9"/>
  <c r="H105" i="9" s="1"/>
  <c r="J105" i="9" s="1"/>
  <c r="F113" i="9"/>
  <c r="H113" i="9" s="1"/>
  <c r="J113" i="9" s="1"/>
  <c r="F100" i="9"/>
  <c r="H100" i="9" s="1"/>
  <c r="J100" i="9" s="1"/>
  <c r="F108" i="9"/>
  <c r="H108" i="9" s="1"/>
  <c r="J108" i="9" s="1"/>
  <c r="F137" i="9"/>
  <c r="H137" i="9" s="1"/>
  <c r="J137" i="9" s="1"/>
  <c r="F126" i="9"/>
  <c r="H126" i="9" s="1"/>
  <c r="J126" i="9" s="1"/>
  <c r="F27" i="9"/>
  <c r="H27" i="9" s="1"/>
  <c r="J27" i="9" s="1"/>
  <c r="F93" i="9"/>
  <c r="H93" i="9" s="1"/>
  <c r="J93" i="9" s="1"/>
  <c r="F153" i="9"/>
  <c r="H153" i="9" s="1"/>
  <c r="J153" i="9" s="1"/>
  <c r="F29" i="9"/>
  <c r="H29" i="9" s="1"/>
  <c r="J29" i="9" s="1"/>
  <c r="F41" i="9"/>
  <c r="H41" i="9" s="1"/>
  <c r="J41" i="9" s="1"/>
  <c r="F55" i="9"/>
  <c r="H55" i="9" s="1"/>
  <c r="J55" i="9" s="1"/>
  <c r="F63" i="9"/>
  <c r="H63" i="9" s="1"/>
  <c r="J63" i="9" s="1"/>
  <c r="F69" i="9"/>
  <c r="H69" i="9" s="1"/>
  <c r="J69" i="9" s="1"/>
  <c r="F75" i="9"/>
  <c r="H75" i="9" s="1"/>
  <c r="J75" i="9" s="1"/>
  <c r="F81" i="9"/>
  <c r="H81" i="9" s="1"/>
  <c r="J81" i="9" s="1"/>
  <c r="F89" i="9"/>
  <c r="H89" i="9" s="1"/>
  <c r="J89" i="9" s="1"/>
  <c r="F147" i="9"/>
  <c r="H147" i="9" s="1"/>
  <c r="J147" i="9" s="1"/>
  <c r="F144" i="9"/>
  <c r="H144" i="9" s="1"/>
  <c r="J144" i="9" s="1"/>
  <c r="F30" i="9"/>
  <c r="H30" i="9" s="1"/>
  <c r="J30" i="9" s="1"/>
  <c r="F47" i="9"/>
  <c r="H47" i="9" s="1"/>
  <c r="J47" i="9" s="1"/>
  <c r="F107" i="9"/>
  <c r="H107" i="9" s="1"/>
  <c r="J107" i="9" s="1"/>
  <c r="F139" i="9"/>
  <c r="H139" i="9" s="1"/>
  <c r="J139" i="9" s="1"/>
  <c r="F155" i="9"/>
  <c r="H155" i="9" s="1"/>
  <c r="J155" i="9" s="1"/>
  <c r="F138" i="9"/>
  <c r="H138" i="9" s="1"/>
  <c r="J138" i="9" s="1"/>
  <c r="F39" i="9"/>
  <c r="H39" i="9" s="1"/>
  <c r="J39" i="9" s="1"/>
  <c r="F28" i="9"/>
  <c r="H28" i="9" s="1"/>
  <c r="J28" i="9" s="1"/>
  <c r="F129" i="9"/>
  <c r="H129" i="9" s="1"/>
  <c r="J129" i="9" s="1"/>
  <c r="F31" i="9"/>
  <c r="H31" i="9" s="1"/>
  <c r="J31" i="9" s="1"/>
  <c r="F115" i="9"/>
  <c r="H115" i="9" s="1"/>
  <c r="J115" i="9" s="1"/>
  <c r="F123" i="9"/>
  <c r="H123" i="9" s="1"/>
  <c r="J123" i="9" s="1"/>
  <c r="F131" i="9"/>
  <c r="H131" i="9" s="1"/>
  <c r="J131" i="9" s="1"/>
  <c r="F121" i="9"/>
  <c r="H121" i="9" s="1"/>
  <c r="J121" i="9" s="1"/>
  <c r="F163" i="9"/>
  <c r="H163" i="9" s="1"/>
  <c r="J163" i="9" s="1"/>
  <c r="F57" i="9"/>
  <c r="H57" i="9" s="1"/>
  <c r="J57" i="9" s="1"/>
  <c r="F95" i="9"/>
  <c r="H95" i="9" s="1"/>
  <c r="J95" i="9" s="1"/>
  <c r="F101" i="9"/>
  <c r="H101" i="9" s="1"/>
  <c r="J101" i="9" s="1"/>
  <c r="F104" i="9"/>
  <c r="H104" i="9" s="1"/>
  <c r="J104" i="9" s="1"/>
  <c r="F149" i="9"/>
  <c r="H149" i="9" s="1"/>
  <c r="J149" i="9" s="1"/>
  <c r="I21" i="6" l="1"/>
  <c r="K21" i="6" s="1"/>
  <c r="G22" i="6"/>
  <c r="G22" i="4"/>
  <c r="I21" i="4"/>
  <c r="K21" i="4" s="1"/>
  <c r="G22" i="8"/>
  <c r="I21" i="8"/>
  <c r="K21" i="8" s="1"/>
  <c r="G23" i="3"/>
  <c r="I22" i="3"/>
  <c r="K22" i="3" s="1"/>
  <c r="I21" i="2"/>
  <c r="K21" i="2" s="1"/>
  <c r="G22" i="2"/>
  <c r="I21" i="9"/>
  <c r="K21" i="9" s="1"/>
  <c r="G23" i="9"/>
  <c r="I22" i="9"/>
  <c r="K22" i="9" s="1"/>
  <c r="I22" i="6" l="1"/>
  <c r="K22" i="6" s="1"/>
  <c r="G23" i="6"/>
  <c r="G23" i="4"/>
  <c r="I22" i="4"/>
  <c r="K22" i="4" s="1"/>
  <c r="G23" i="8"/>
  <c r="I22" i="8"/>
  <c r="K22" i="8" s="1"/>
  <c r="G24" i="3"/>
  <c r="I23" i="3"/>
  <c r="K23" i="3" s="1"/>
  <c r="G23" i="2"/>
  <c r="I22" i="2"/>
  <c r="K22" i="2" s="1"/>
  <c r="G24" i="9"/>
  <c r="I23" i="9"/>
  <c r="K23" i="9" s="1"/>
  <c r="G24" i="6" l="1"/>
  <c r="I23" i="6"/>
  <c r="K23" i="6" s="1"/>
  <c r="I23" i="4"/>
  <c r="K23" i="4" s="1"/>
  <c r="G24" i="4"/>
  <c r="I23" i="8"/>
  <c r="K23" i="8" s="1"/>
  <c r="G24" i="8"/>
  <c r="I24" i="3"/>
  <c r="K24" i="3" s="1"/>
  <c r="G25" i="3"/>
  <c r="I23" i="2"/>
  <c r="K23" i="2" s="1"/>
  <c r="G24" i="2"/>
  <c r="G25" i="9"/>
  <c r="I24" i="9"/>
  <c r="K24" i="9" s="1"/>
  <c r="G25" i="6" l="1"/>
  <c r="I24" i="6"/>
  <c r="K24" i="6" s="1"/>
  <c r="G25" i="4"/>
  <c r="I24" i="4"/>
  <c r="K24" i="4" s="1"/>
  <c r="G25" i="8"/>
  <c r="I24" i="8"/>
  <c r="K24" i="8" s="1"/>
  <c r="G26" i="3"/>
  <c r="I25" i="3"/>
  <c r="K25" i="3" s="1"/>
  <c r="G25" i="2"/>
  <c r="I24" i="2"/>
  <c r="K24" i="2" s="1"/>
  <c r="I25" i="9"/>
  <c r="K25" i="9" s="1"/>
  <c r="G26" i="9"/>
  <c r="G26" i="6" l="1"/>
  <c r="I25" i="6"/>
  <c r="K25" i="6" s="1"/>
  <c r="G26" i="4"/>
  <c r="I25" i="4"/>
  <c r="K25" i="4" s="1"/>
  <c r="I25" i="8"/>
  <c r="K25" i="8" s="1"/>
  <c r="G26" i="8"/>
  <c r="G27" i="3"/>
  <c r="I26" i="3"/>
  <c r="K26" i="3" s="1"/>
  <c r="I25" i="2"/>
  <c r="K25" i="2" s="1"/>
  <c r="G26" i="2"/>
  <c r="G27" i="9"/>
  <c r="I26" i="9"/>
  <c r="K26" i="9" s="1"/>
  <c r="G27" i="6" l="1"/>
  <c r="I26" i="6"/>
  <c r="K26" i="6" s="1"/>
  <c r="I26" i="4"/>
  <c r="K26" i="4" s="1"/>
  <c r="G27" i="4"/>
  <c r="I26" i="8"/>
  <c r="K26" i="8" s="1"/>
  <c r="G27" i="8"/>
  <c r="I27" i="3"/>
  <c r="K27" i="3" s="1"/>
  <c r="G28" i="3"/>
  <c r="G27" i="2"/>
  <c r="I26" i="2"/>
  <c r="K26" i="2" s="1"/>
  <c r="G28" i="9"/>
  <c r="I27" i="9"/>
  <c r="K27" i="9" s="1"/>
  <c r="G28" i="6" l="1"/>
  <c r="I27" i="6"/>
  <c r="K27" i="6" s="1"/>
  <c r="G28" i="4"/>
  <c r="I27" i="4"/>
  <c r="K27" i="4" s="1"/>
  <c r="G28" i="8"/>
  <c r="I27" i="8"/>
  <c r="K27" i="8" s="1"/>
  <c r="I28" i="3"/>
  <c r="K28" i="3" s="1"/>
  <c r="G29" i="3"/>
  <c r="I27" i="2"/>
  <c r="K27" i="2" s="1"/>
  <c r="G28" i="2"/>
  <c r="G29" i="9"/>
  <c r="I28" i="9"/>
  <c r="K28" i="9" s="1"/>
  <c r="I28" i="6" l="1"/>
  <c r="K28" i="6" s="1"/>
  <c r="G29" i="6"/>
  <c r="I28" i="4"/>
  <c r="K28" i="4" s="1"/>
  <c r="G29" i="4"/>
  <c r="G29" i="8"/>
  <c r="I28" i="8"/>
  <c r="K28" i="8" s="1"/>
  <c r="I29" i="3"/>
  <c r="K29" i="3" s="1"/>
  <c r="G30" i="3"/>
  <c r="I28" i="2"/>
  <c r="K28" i="2" s="1"/>
  <c r="G29" i="2"/>
  <c r="G30" i="9"/>
  <c r="I29" i="9"/>
  <c r="K29" i="9" s="1"/>
  <c r="G30" i="6" l="1"/>
  <c r="I29" i="6"/>
  <c r="K29" i="6" s="1"/>
  <c r="I29" i="4"/>
  <c r="K29" i="4" s="1"/>
  <c r="G30" i="4"/>
  <c r="I29" i="8"/>
  <c r="K29" i="8" s="1"/>
  <c r="G30" i="8"/>
  <c r="G31" i="3"/>
  <c r="I30" i="3"/>
  <c r="K30" i="3" s="1"/>
  <c r="I29" i="2"/>
  <c r="K29" i="2" s="1"/>
  <c r="G30" i="2"/>
  <c r="I30" i="9"/>
  <c r="K30" i="9" s="1"/>
  <c r="G31" i="9"/>
  <c r="I30" i="6" l="1"/>
  <c r="K30" i="6" s="1"/>
  <c r="G31" i="6"/>
  <c r="I30" i="4"/>
  <c r="K30" i="4" s="1"/>
  <c r="G31" i="4"/>
  <c r="I30" i="8"/>
  <c r="K30" i="8" s="1"/>
  <c r="G31" i="8"/>
  <c r="G32" i="3"/>
  <c r="I31" i="3"/>
  <c r="K31" i="3" s="1"/>
  <c r="I30" i="2"/>
  <c r="K30" i="2" s="1"/>
  <c r="G31" i="2"/>
  <c r="G32" i="9"/>
  <c r="I31" i="9"/>
  <c r="K31" i="9" s="1"/>
  <c r="I31" i="6" l="1"/>
  <c r="K31" i="6" s="1"/>
  <c r="G32" i="6"/>
  <c r="I31" i="4"/>
  <c r="K31" i="4" s="1"/>
  <c r="G32" i="4"/>
  <c r="G32" i="8"/>
  <c r="I31" i="8"/>
  <c r="K31" i="8" s="1"/>
  <c r="I32" i="3"/>
  <c r="K32" i="3" s="1"/>
  <c r="G33" i="3"/>
  <c r="I31" i="2"/>
  <c r="K31" i="2" s="1"/>
  <c r="G32" i="2"/>
  <c r="I32" i="9"/>
  <c r="K32" i="9" s="1"/>
  <c r="G33" i="9"/>
  <c r="G33" i="6" l="1"/>
  <c r="I32" i="6"/>
  <c r="K32" i="6" s="1"/>
  <c r="G33" i="4"/>
  <c r="I32" i="4"/>
  <c r="K32" i="4" s="1"/>
  <c r="I32" i="8"/>
  <c r="K32" i="8" s="1"/>
  <c r="G33" i="8"/>
  <c r="G34" i="3"/>
  <c r="I33" i="3"/>
  <c r="K33" i="3" s="1"/>
  <c r="G33" i="2"/>
  <c r="I32" i="2"/>
  <c r="K32" i="2" s="1"/>
  <c r="I33" i="9"/>
  <c r="K33" i="9" s="1"/>
  <c r="G34" i="9"/>
  <c r="G34" i="6" l="1"/>
  <c r="I33" i="6"/>
  <c r="K33" i="6" s="1"/>
  <c r="I33" i="4"/>
  <c r="K33" i="4" s="1"/>
  <c r="G34" i="4"/>
  <c r="G34" i="8"/>
  <c r="I33" i="8"/>
  <c r="K33" i="8" s="1"/>
  <c r="G35" i="3"/>
  <c r="I34" i="3"/>
  <c r="K34" i="3" s="1"/>
  <c r="I33" i="2"/>
  <c r="K33" i="2" s="1"/>
  <c r="G34" i="2"/>
  <c r="I34" i="9"/>
  <c r="K34" i="9" s="1"/>
  <c r="G35" i="9"/>
  <c r="G35" i="6" l="1"/>
  <c r="I34" i="6"/>
  <c r="K34" i="6" s="1"/>
  <c r="G35" i="4"/>
  <c r="I34" i="4"/>
  <c r="K34" i="4" s="1"/>
  <c r="G35" i="8"/>
  <c r="I34" i="8"/>
  <c r="K34" i="8" s="1"/>
  <c r="G36" i="3"/>
  <c r="I35" i="3"/>
  <c r="K35" i="3" s="1"/>
  <c r="G35" i="2"/>
  <c r="I34" i="2"/>
  <c r="K34" i="2" s="1"/>
  <c r="G36" i="9"/>
  <c r="I35" i="9"/>
  <c r="K35" i="9" s="1"/>
  <c r="G36" i="6" l="1"/>
  <c r="I35" i="6"/>
  <c r="K35" i="6" s="1"/>
  <c r="G36" i="4"/>
  <c r="I35" i="4"/>
  <c r="K35" i="4" s="1"/>
  <c r="I35" i="8"/>
  <c r="K35" i="8" s="1"/>
  <c r="G36" i="8"/>
  <c r="I36" i="3"/>
  <c r="K36" i="3" s="1"/>
  <c r="G37" i="3"/>
  <c r="I35" i="2"/>
  <c r="K35" i="2" s="1"/>
  <c r="G36" i="2"/>
  <c r="G37" i="9"/>
  <c r="I36" i="9"/>
  <c r="K36" i="9" s="1"/>
  <c r="G37" i="6" l="1"/>
  <c r="I36" i="6"/>
  <c r="K36" i="6" s="1"/>
  <c r="G37" i="4"/>
  <c r="I36" i="4"/>
  <c r="K36" i="4" s="1"/>
  <c r="G37" i="8"/>
  <c r="I36" i="8"/>
  <c r="K36" i="8" s="1"/>
  <c r="I37" i="3"/>
  <c r="K37" i="3" s="1"/>
  <c r="G38" i="3"/>
  <c r="G37" i="2"/>
  <c r="I36" i="2"/>
  <c r="K36" i="2" s="1"/>
  <c r="G38" i="9"/>
  <c r="I37" i="9"/>
  <c r="K37" i="9" s="1"/>
  <c r="I37" i="6" l="1"/>
  <c r="K37" i="6" s="1"/>
  <c r="G38" i="6"/>
  <c r="I37" i="4"/>
  <c r="K37" i="4" s="1"/>
  <c r="G38" i="4"/>
  <c r="I37" i="8"/>
  <c r="K37" i="8" s="1"/>
  <c r="G38" i="8"/>
  <c r="I38" i="3"/>
  <c r="K38" i="3" s="1"/>
  <c r="G39" i="3"/>
  <c r="I37" i="2"/>
  <c r="K37" i="2" s="1"/>
  <c r="G38" i="2"/>
  <c r="I38" i="9"/>
  <c r="K38" i="9" s="1"/>
  <c r="G39" i="9"/>
  <c r="G39" i="6" l="1"/>
  <c r="I38" i="6"/>
  <c r="K38" i="6" s="1"/>
  <c r="G39" i="4"/>
  <c r="I38" i="4"/>
  <c r="K38" i="4" s="1"/>
  <c r="G39" i="8"/>
  <c r="I38" i="8"/>
  <c r="K38" i="8" s="1"/>
  <c r="G40" i="3"/>
  <c r="I39" i="3"/>
  <c r="K39" i="3" s="1"/>
  <c r="I38" i="2"/>
  <c r="K38" i="2" s="1"/>
  <c r="G39" i="2"/>
  <c r="I39" i="9"/>
  <c r="K39" i="9" s="1"/>
  <c r="G40" i="9"/>
  <c r="G40" i="6" l="1"/>
  <c r="I39" i="6"/>
  <c r="K39" i="6" s="1"/>
  <c r="G40" i="4"/>
  <c r="I39" i="4"/>
  <c r="K39" i="4" s="1"/>
  <c r="I39" i="8"/>
  <c r="K39" i="8" s="1"/>
  <c r="G40" i="8"/>
  <c r="I40" i="3"/>
  <c r="K40" i="3" s="1"/>
  <c r="G41" i="3"/>
  <c r="I39" i="2"/>
  <c r="K39" i="2" s="1"/>
  <c r="G40" i="2"/>
  <c r="G41" i="9"/>
  <c r="I40" i="9"/>
  <c r="K40" i="9" s="1"/>
  <c r="I40" i="6" l="1"/>
  <c r="K40" i="6" s="1"/>
  <c r="G41" i="6"/>
  <c r="G41" i="4"/>
  <c r="I40" i="4"/>
  <c r="K40" i="4" s="1"/>
  <c r="I40" i="8"/>
  <c r="K40" i="8" s="1"/>
  <c r="G41" i="8"/>
  <c r="G42" i="3"/>
  <c r="I41" i="3"/>
  <c r="K41" i="3" s="1"/>
  <c r="G41" i="2"/>
  <c r="I40" i="2"/>
  <c r="K40" i="2" s="1"/>
  <c r="G42" i="9"/>
  <c r="I41" i="9"/>
  <c r="K41" i="9" s="1"/>
  <c r="G42" i="6" l="1"/>
  <c r="I41" i="6"/>
  <c r="K41" i="6" s="1"/>
  <c r="G42" i="4"/>
  <c r="I41" i="4"/>
  <c r="K41" i="4" s="1"/>
  <c r="G42" i="8"/>
  <c r="I41" i="8"/>
  <c r="K41" i="8" s="1"/>
  <c r="G43" i="3"/>
  <c r="I42" i="3"/>
  <c r="K42" i="3" s="1"/>
  <c r="I41" i="2"/>
  <c r="K41" i="2" s="1"/>
  <c r="G42" i="2"/>
  <c r="G43" i="9"/>
  <c r="I42" i="9"/>
  <c r="K42" i="9" s="1"/>
  <c r="I42" i="6" l="1"/>
  <c r="K42" i="6" s="1"/>
  <c r="G43" i="6"/>
  <c r="I42" i="4"/>
  <c r="K42" i="4" s="1"/>
  <c r="G43" i="4"/>
  <c r="G43" i="8"/>
  <c r="I42" i="8"/>
  <c r="K42" i="8" s="1"/>
  <c r="G44" i="3"/>
  <c r="I43" i="3"/>
  <c r="K43" i="3" s="1"/>
  <c r="G43" i="2"/>
  <c r="I42" i="2"/>
  <c r="K42" i="2" s="1"/>
  <c r="G44" i="9"/>
  <c r="I43" i="9"/>
  <c r="K43" i="9" s="1"/>
  <c r="I43" i="6" l="1"/>
  <c r="K43" i="6" s="1"/>
  <c r="G44" i="6"/>
  <c r="G44" i="4"/>
  <c r="I43" i="4"/>
  <c r="K43" i="4" s="1"/>
  <c r="I43" i="8"/>
  <c r="K43" i="8" s="1"/>
  <c r="G44" i="8"/>
  <c r="I44" i="3"/>
  <c r="K44" i="3" s="1"/>
  <c r="G45" i="3"/>
  <c r="I43" i="2"/>
  <c r="K43" i="2" s="1"/>
  <c r="G44" i="2"/>
  <c r="G45" i="9"/>
  <c r="I44" i="9"/>
  <c r="K44" i="9" s="1"/>
  <c r="I44" i="6" l="1"/>
  <c r="K44" i="6" s="1"/>
  <c r="G45" i="6"/>
  <c r="I44" i="4"/>
  <c r="K44" i="4" s="1"/>
  <c r="G45" i="4"/>
  <c r="I44" i="8"/>
  <c r="K44" i="8" s="1"/>
  <c r="G45" i="8"/>
  <c r="G46" i="3"/>
  <c r="I45" i="3"/>
  <c r="K45" i="3" s="1"/>
  <c r="I44" i="2"/>
  <c r="K44" i="2" s="1"/>
  <c r="G45" i="2"/>
  <c r="G46" i="9"/>
  <c r="I45" i="9"/>
  <c r="K45" i="9" s="1"/>
  <c r="G46" i="6" l="1"/>
  <c r="I45" i="6"/>
  <c r="K45" i="6" s="1"/>
  <c r="G46" i="4"/>
  <c r="I45" i="4"/>
  <c r="K45" i="4" s="1"/>
  <c r="G46" i="8"/>
  <c r="I45" i="8"/>
  <c r="K45" i="8" s="1"/>
  <c r="G47" i="3"/>
  <c r="I46" i="3"/>
  <c r="K46" i="3" s="1"/>
  <c r="I45" i="2"/>
  <c r="K45" i="2" s="1"/>
  <c r="G46" i="2"/>
  <c r="I46" i="9"/>
  <c r="K46" i="9" s="1"/>
  <c r="G47" i="9"/>
  <c r="G47" i="6" l="1"/>
  <c r="I46" i="6"/>
  <c r="K46" i="6" s="1"/>
  <c r="G47" i="4"/>
  <c r="I46" i="4"/>
  <c r="K46" i="4" s="1"/>
  <c r="I46" i="8"/>
  <c r="K46" i="8" s="1"/>
  <c r="G47" i="8"/>
  <c r="I47" i="3"/>
  <c r="K47" i="3" s="1"/>
  <c r="G48" i="3"/>
  <c r="I46" i="2"/>
  <c r="K46" i="2" s="1"/>
  <c r="G47" i="2"/>
  <c r="G48" i="9"/>
  <c r="I47" i="9"/>
  <c r="K47" i="9" s="1"/>
  <c r="G48" i="6" l="1"/>
  <c r="I47" i="6"/>
  <c r="K47" i="6" s="1"/>
  <c r="G48" i="4"/>
  <c r="I47" i="4"/>
  <c r="K47" i="4" s="1"/>
  <c r="G48" i="8"/>
  <c r="I47" i="8"/>
  <c r="K47" i="8" s="1"/>
  <c r="G49" i="3"/>
  <c r="I48" i="3"/>
  <c r="K48" i="3" s="1"/>
  <c r="I47" i="2"/>
  <c r="K47" i="2" s="1"/>
  <c r="G48" i="2"/>
  <c r="G49" i="9"/>
  <c r="I48" i="9"/>
  <c r="K48" i="9" s="1"/>
  <c r="G49" i="6" l="1"/>
  <c r="I48" i="6"/>
  <c r="K48" i="6" s="1"/>
  <c r="G49" i="4"/>
  <c r="I48" i="4"/>
  <c r="K48" i="4" s="1"/>
  <c r="G49" i="8"/>
  <c r="I48" i="8"/>
  <c r="K48" i="8" s="1"/>
  <c r="G50" i="3"/>
  <c r="I49" i="3"/>
  <c r="K49" i="3" s="1"/>
  <c r="I48" i="2"/>
  <c r="K48" i="2" s="1"/>
  <c r="G49" i="2"/>
  <c r="G50" i="9"/>
  <c r="I49" i="9"/>
  <c r="K49" i="9" s="1"/>
  <c r="G50" i="6" l="1"/>
  <c r="I49" i="6"/>
  <c r="K49" i="6" s="1"/>
  <c r="G50" i="4"/>
  <c r="I49" i="4"/>
  <c r="K49" i="4" s="1"/>
  <c r="I49" i="8"/>
  <c r="K49" i="8" s="1"/>
  <c r="G50" i="8"/>
  <c r="G51" i="3"/>
  <c r="I50" i="3"/>
  <c r="K50" i="3" s="1"/>
  <c r="I49" i="2"/>
  <c r="K49" i="2" s="1"/>
  <c r="G50" i="2"/>
  <c r="G51" i="9"/>
  <c r="I50" i="9"/>
  <c r="K50" i="9" s="1"/>
  <c r="G51" i="6" l="1"/>
  <c r="I50" i="6"/>
  <c r="K50" i="6" s="1"/>
  <c r="G51" i="4"/>
  <c r="I50" i="4"/>
  <c r="K50" i="4" s="1"/>
  <c r="G51" i="8"/>
  <c r="I50" i="8"/>
  <c r="K50" i="8" s="1"/>
  <c r="I51" i="3"/>
  <c r="K51" i="3" s="1"/>
  <c r="G52" i="3"/>
  <c r="G51" i="2"/>
  <c r="I50" i="2"/>
  <c r="K50" i="2" s="1"/>
  <c r="I51" i="9"/>
  <c r="K51" i="9" s="1"/>
  <c r="G52" i="9"/>
  <c r="I51" i="6" l="1"/>
  <c r="K51" i="6" s="1"/>
  <c r="G52" i="6"/>
  <c r="I51" i="4"/>
  <c r="K51" i="4" s="1"/>
  <c r="G52" i="4"/>
  <c r="I51" i="8"/>
  <c r="K51" i="8" s="1"/>
  <c r="G52" i="8"/>
  <c r="I52" i="3"/>
  <c r="K52" i="3" s="1"/>
  <c r="G53" i="3"/>
  <c r="I51" i="2"/>
  <c r="K51" i="2" s="1"/>
  <c r="G52" i="2"/>
  <c r="G53" i="9"/>
  <c r="I52" i="9"/>
  <c r="K52" i="9" s="1"/>
  <c r="I52" i="6" l="1"/>
  <c r="K52" i="6" s="1"/>
  <c r="G53" i="6"/>
  <c r="I52" i="4"/>
  <c r="K52" i="4" s="1"/>
  <c r="G53" i="4"/>
  <c r="I52" i="8"/>
  <c r="K52" i="8" s="1"/>
  <c r="G53" i="8"/>
  <c r="I53" i="3"/>
  <c r="K53" i="3" s="1"/>
  <c r="G54" i="3"/>
  <c r="G53" i="2"/>
  <c r="I52" i="2"/>
  <c r="K52" i="2" s="1"/>
  <c r="I53" i="9"/>
  <c r="K53" i="9" s="1"/>
  <c r="G54" i="9"/>
  <c r="G54" i="6" l="1"/>
  <c r="I53" i="6"/>
  <c r="K53" i="6" s="1"/>
  <c r="G54" i="4"/>
  <c r="I53" i="4"/>
  <c r="K53" i="4" s="1"/>
  <c r="I53" i="8"/>
  <c r="K53" i="8" s="1"/>
  <c r="G54" i="8"/>
  <c r="G55" i="3"/>
  <c r="I54" i="3"/>
  <c r="K54" i="3" s="1"/>
  <c r="I53" i="2"/>
  <c r="K53" i="2" s="1"/>
  <c r="G54" i="2"/>
  <c r="G55" i="9"/>
  <c r="I54" i="9"/>
  <c r="K54" i="9" s="1"/>
  <c r="G55" i="6" l="1"/>
  <c r="I54" i="6"/>
  <c r="K54" i="6" s="1"/>
  <c r="I54" i="4"/>
  <c r="K54" i="4" s="1"/>
  <c r="G55" i="4"/>
  <c r="I54" i="8"/>
  <c r="K54" i="8" s="1"/>
  <c r="G55" i="8"/>
  <c r="I55" i="3"/>
  <c r="K55" i="3" s="1"/>
  <c r="G56" i="3"/>
  <c r="I54" i="2"/>
  <c r="K54" i="2" s="1"/>
  <c r="G55" i="2"/>
  <c r="G56" i="9"/>
  <c r="I55" i="9"/>
  <c r="K55" i="9" s="1"/>
  <c r="G56" i="6" l="1"/>
  <c r="I55" i="6"/>
  <c r="K55" i="6" s="1"/>
  <c r="G56" i="4"/>
  <c r="I55" i="4"/>
  <c r="K55" i="4" s="1"/>
  <c r="G56" i="8"/>
  <c r="I55" i="8"/>
  <c r="K55" i="8" s="1"/>
  <c r="I56" i="3"/>
  <c r="K56" i="3" s="1"/>
  <c r="G57" i="3"/>
  <c r="I55" i="2"/>
  <c r="K55" i="2" s="1"/>
  <c r="G56" i="2"/>
  <c r="I56" i="9"/>
  <c r="K56" i="9" s="1"/>
  <c r="G57" i="9"/>
  <c r="I56" i="6" l="1"/>
  <c r="K56" i="6" s="1"/>
  <c r="G57" i="6"/>
  <c r="I56" i="4"/>
  <c r="K56" i="4" s="1"/>
  <c r="G57" i="4"/>
  <c r="G57" i="8"/>
  <c r="I56" i="8"/>
  <c r="K56" i="8" s="1"/>
  <c r="G58" i="3"/>
  <c r="I57" i="3"/>
  <c r="K57" i="3" s="1"/>
  <c r="I56" i="2"/>
  <c r="K56" i="2" s="1"/>
  <c r="G57" i="2"/>
  <c r="G58" i="9"/>
  <c r="I57" i="9"/>
  <c r="K57" i="9" s="1"/>
  <c r="G58" i="6" l="1"/>
  <c r="I57" i="6"/>
  <c r="K57" i="6" s="1"/>
  <c r="I57" i="4"/>
  <c r="K57" i="4" s="1"/>
  <c r="G58" i="4"/>
  <c r="I57" i="8"/>
  <c r="K57" i="8" s="1"/>
  <c r="G58" i="8"/>
  <c r="I58" i="3"/>
  <c r="K58" i="3" s="1"/>
  <c r="G59" i="3"/>
  <c r="I57" i="2"/>
  <c r="K57" i="2" s="1"/>
  <c r="G58" i="2"/>
  <c r="G59" i="9"/>
  <c r="I58" i="9"/>
  <c r="K58" i="9" s="1"/>
  <c r="I58" i="6" l="1"/>
  <c r="K58" i="6" s="1"/>
  <c r="G59" i="6"/>
  <c r="I58" i="4"/>
  <c r="K58" i="4" s="1"/>
  <c r="G59" i="4"/>
  <c r="I58" i="8"/>
  <c r="K58" i="8" s="1"/>
  <c r="G59" i="8"/>
  <c r="I59" i="3"/>
  <c r="K59" i="3" s="1"/>
  <c r="G60" i="3"/>
  <c r="G59" i="2"/>
  <c r="I58" i="2"/>
  <c r="K58" i="2" s="1"/>
  <c r="G60" i="9"/>
  <c r="I59" i="9"/>
  <c r="K59" i="9" s="1"/>
  <c r="I59" i="6" l="1"/>
  <c r="K59" i="6" s="1"/>
  <c r="G60" i="6"/>
  <c r="G60" i="4"/>
  <c r="I59" i="4"/>
  <c r="K59" i="4" s="1"/>
  <c r="G60" i="8"/>
  <c r="I59" i="8"/>
  <c r="K59" i="8" s="1"/>
  <c r="I60" i="3"/>
  <c r="K60" i="3" s="1"/>
  <c r="G61" i="3"/>
  <c r="I59" i="2"/>
  <c r="K59" i="2" s="1"/>
  <c r="G60" i="2"/>
  <c r="I60" i="9"/>
  <c r="K60" i="9" s="1"/>
  <c r="G61" i="9"/>
  <c r="G61" i="6" l="1"/>
  <c r="I60" i="6"/>
  <c r="K60" i="6" s="1"/>
  <c r="I60" i="4"/>
  <c r="K60" i="4" s="1"/>
  <c r="G61" i="4"/>
  <c r="I60" i="8"/>
  <c r="K60" i="8" s="1"/>
  <c r="G61" i="8"/>
  <c r="I61" i="3"/>
  <c r="K61" i="3" s="1"/>
  <c r="G62" i="3"/>
  <c r="G61" i="2"/>
  <c r="I60" i="2"/>
  <c r="K60" i="2" s="1"/>
  <c r="I61" i="9"/>
  <c r="K61" i="9" s="1"/>
  <c r="G62" i="9"/>
  <c r="G62" i="6" l="1"/>
  <c r="I61" i="6"/>
  <c r="K61" i="6" s="1"/>
  <c r="G62" i="4"/>
  <c r="I61" i="4"/>
  <c r="K61" i="4" s="1"/>
  <c r="G62" i="8"/>
  <c r="I61" i="8"/>
  <c r="K61" i="8" s="1"/>
  <c r="I62" i="3"/>
  <c r="K62" i="3" s="1"/>
  <c r="G63" i="3"/>
  <c r="I61" i="2"/>
  <c r="K61" i="2" s="1"/>
  <c r="G62" i="2"/>
  <c r="G63" i="9"/>
  <c r="I62" i="9"/>
  <c r="K62" i="9" s="1"/>
  <c r="G63" i="6" l="1"/>
  <c r="I62" i="6"/>
  <c r="K62" i="6" s="1"/>
  <c r="G63" i="4"/>
  <c r="I62" i="4"/>
  <c r="K62" i="4" s="1"/>
  <c r="G63" i="8"/>
  <c r="I62" i="8"/>
  <c r="K62" i="8" s="1"/>
  <c r="G64" i="3"/>
  <c r="I63" i="3"/>
  <c r="K63" i="3" s="1"/>
  <c r="I62" i="2"/>
  <c r="K62" i="2" s="1"/>
  <c r="G63" i="2"/>
  <c r="G64" i="9"/>
  <c r="I63" i="9"/>
  <c r="K63" i="9" s="1"/>
  <c r="G64" i="6" l="1"/>
  <c r="I63" i="6"/>
  <c r="K63" i="6" s="1"/>
  <c r="I63" i="4"/>
  <c r="K63" i="4" s="1"/>
  <c r="G64" i="4"/>
  <c r="I63" i="8"/>
  <c r="K63" i="8" s="1"/>
  <c r="G64" i="8"/>
  <c r="G65" i="3"/>
  <c r="I64" i="3"/>
  <c r="K64" i="3" s="1"/>
  <c r="I63" i="2"/>
  <c r="K63" i="2" s="1"/>
  <c r="G64" i="2"/>
  <c r="G65" i="9"/>
  <c r="I64" i="9"/>
  <c r="K64" i="9" s="1"/>
  <c r="G65" i="6" l="1"/>
  <c r="I64" i="6"/>
  <c r="K64" i="6" s="1"/>
  <c r="G65" i="4"/>
  <c r="I64" i="4"/>
  <c r="K64" i="4" s="1"/>
  <c r="G65" i="8"/>
  <c r="I64" i="8"/>
  <c r="K64" i="8" s="1"/>
  <c r="G66" i="3"/>
  <c r="I65" i="3"/>
  <c r="K65" i="3" s="1"/>
  <c r="I64" i="2"/>
  <c r="K64" i="2" s="1"/>
  <c r="G65" i="2"/>
  <c r="I65" i="9"/>
  <c r="K65" i="9" s="1"/>
  <c r="G66" i="9"/>
  <c r="I65" i="6" l="1"/>
  <c r="K65" i="6" s="1"/>
  <c r="G66" i="6"/>
  <c r="I65" i="4"/>
  <c r="K65" i="4" s="1"/>
  <c r="G66" i="4"/>
  <c r="I65" i="8"/>
  <c r="K65" i="8" s="1"/>
  <c r="G66" i="8"/>
  <c r="G67" i="3"/>
  <c r="I66" i="3"/>
  <c r="K66" i="3" s="1"/>
  <c r="I65" i="2"/>
  <c r="K65" i="2" s="1"/>
  <c r="G66" i="2"/>
  <c r="G67" i="9"/>
  <c r="I66" i="9"/>
  <c r="K66" i="9" s="1"/>
  <c r="G67" i="6" l="1"/>
  <c r="I66" i="6"/>
  <c r="K66" i="6" s="1"/>
  <c r="I66" i="4"/>
  <c r="K66" i="4" s="1"/>
  <c r="G67" i="4"/>
  <c r="I66" i="8"/>
  <c r="K66" i="8" s="1"/>
  <c r="G67" i="8"/>
  <c r="I67" i="3"/>
  <c r="K67" i="3" s="1"/>
  <c r="G68" i="3"/>
  <c r="I66" i="2"/>
  <c r="K66" i="2" s="1"/>
  <c r="G67" i="2"/>
  <c r="I67" i="9"/>
  <c r="K67" i="9" s="1"/>
  <c r="G68" i="9"/>
  <c r="G68" i="6" l="1"/>
  <c r="I67" i="6"/>
  <c r="K67" i="6" s="1"/>
  <c r="G68" i="4"/>
  <c r="I67" i="4"/>
  <c r="K67" i="4" s="1"/>
  <c r="I67" i="8"/>
  <c r="K67" i="8" s="1"/>
  <c r="G68" i="8"/>
  <c r="I68" i="3"/>
  <c r="K68" i="3" s="1"/>
  <c r="G69" i="3"/>
  <c r="I67" i="2"/>
  <c r="K67" i="2" s="1"/>
  <c r="G68" i="2"/>
  <c r="G69" i="9"/>
  <c r="I68" i="9"/>
  <c r="K68" i="9" s="1"/>
  <c r="I68" i="6" l="1"/>
  <c r="K68" i="6" s="1"/>
  <c r="G69" i="6"/>
  <c r="I68" i="4"/>
  <c r="K68" i="4" s="1"/>
  <c r="G69" i="4"/>
  <c r="G69" i="8"/>
  <c r="I68" i="8"/>
  <c r="K68" i="8" s="1"/>
  <c r="I69" i="3"/>
  <c r="K69" i="3" s="1"/>
  <c r="G70" i="3"/>
  <c r="G69" i="2"/>
  <c r="I68" i="2"/>
  <c r="K68" i="2" s="1"/>
  <c r="I69" i="9"/>
  <c r="K69" i="9" s="1"/>
  <c r="G70" i="9"/>
  <c r="G70" i="6" l="1"/>
  <c r="I69" i="6"/>
  <c r="K69" i="6" s="1"/>
  <c r="G70" i="4"/>
  <c r="I69" i="4"/>
  <c r="K69" i="4" s="1"/>
  <c r="G70" i="8"/>
  <c r="I69" i="8"/>
  <c r="K69" i="8" s="1"/>
  <c r="G71" i="3"/>
  <c r="I70" i="3"/>
  <c r="K70" i="3" s="1"/>
  <c r="I69" i="2"/>
  <c r="K69" i="2" s="1"/>
  <c r="G70" i="2"/>
  <c r="I70" i="9"/>
  <c r="K70" i="9" s="1"/>
  <c r="G71" i="9"/>
  <c r="I70" i="6" l="1"/>
  <c r="K70" i="6" s="1"/>
  <c r="G71" i="6"/>
  <c r="I70" i="4"/>
  <c r="K70" i="4" s="1"/>
  <c r="G71" i="4"/>
  <c r="G71" i="8"/>
  <c r="I70" i="8"/>
  <c r="K70" i="8" s="1"/>
  <c r="G72" i="3"/>
  <c r="I71" i="3"/>
  <c r="K71" i="3" s="1"/>
  <c r="G71" i="2"/>
  <c r="I70" i="2"/>
  <c r="K70" i="2" s="1"/>
  <c r="G72" i="9"/>
  <c r="I71" i="9"/>
  <c r="K71" i="9" s="1"/>
  <c r="G72" i="6" l="1"/>
  <c r="I71" i="6"/>
  <c r="K71" i="6" s="1"/>
  <c r="G72" i="4"/>
  <c r="I71" i="4"/>
  <c r="K71" i="4" s="1"/>
  <c r="G72" i="8"/>
  <c r="I71" i="8"/>
  <c r="K71" i="8" s="1"/>
  <c r="G73" i="3"/>
  <c r="I72" i="3"/>
  <c r="K72" i="3" s="1"/>
  <c r="I71" i="2"/>
  <c r="K71" i="2" s="1"/>
  <c r="G72" i="2"/>
  <c r="I72" i="9"/>
  <c r="K72" i="9" s="1"/>
  <c r="G73" i="9"/>
  <c r="I72" i="6" l="1"/>
  <c r="K72" i="6" s="1"/>
  <c r="G73" i="6"/>
  <c r="I72" i="4"/>
  <c r="K72" i="4" s="1"/>
  <c r="G73" i="4"/>
  <c r="I72" i="8"/>
  <c r="K72" i="8" s="1"/>
  <c r="G73" i="8"/>
  <c r="G74" i="3"/>
  <c r="I73" i="3"/>
  <c r="K73" i="3" s="1"/>
  <c r="G73" i="2"/>
  <c r="I72" i="2"/>
  <c r="K72" i="2" s="1"/>
  <c r="G74" i="9"/>
  <c r="I73" i="9"/>
  <c r="K73" i="9" s="1"/>
  <c r="G74" i="6" l="1"/>
  <c r="I73" i="6"/>
  <c r="K73" i="6" s="1"/>
  <c r="G74" i="4"/>
  <c r="I73" i="4"/>
  <c r="K73" i="4" s="1"/>
  <c r="G74" i="8"/>
  <c r="I73" i="8"/>
  <c r="K73" i="8" s="1"/>
  <c r="I74" i="3"/>
  <c r="K74" i="3" s="1"/>
  <c r="G75" i="3"/>
  <c r="I73" i="2"/>
  <c r="K73" i="2" s="1"/>
  <c r="G74" i="2"/>
  <c r="I74" i="9"/>
  <c r="K74" i="9" s="1"/>
  <c r="G75" i="9"/>
  <c r="I74" i="6" l="1"/>
  <c r="K74" i="6" s="1"/>
  <c r="G75" i="6"/>
  <c r="I74" i="4"/>
  <c r="K74" i="4" s="1"/>
  <c r="G75" i="4"/>
  <c r="G75" i="8"/>
  <c r="I74" i="8"/>
  <c r="K74" i="8" s="1"/>
  <c r="I75" i="3"/>
  <c r="K75" i="3" s="1"/>
  <c r="G76" i="3"/>
  <c r="I74" i="2"/>
  <c r="K74" i="2" s="1"/>
  <c r="G75" i="2"/>
  <c r="G76" i="9"/>
  <c r="I75" i="9"/>
  <c r="K75" i="9" s="1"/>
  <c r="G76" i="6" l="1"/>
  <c r="I75" i="6"/>
  <c r="K75" i="6" s="1"/>
  <c r="G76" i="4"/>
  <c r="I75" i="4"/>
  <c r="K75" i="4" s="1"/>
  <c r="G76" i="8"/>
  <c r="I75" i="8"/>
  <c r="K75" i="8" s="1"/>
  <c r="I76" i="3"/>
  <c r="K76" i="3" s="1"/>
  <c r="G77" i="3"/>
  <c r="I75" i="2"/>
  <c r="K75" i="2" s="1"/>
  <c r="G76" i="2"/>
  <c r="G77" i="9"/>
  <c r="I76" i="9"/>
  <c r="K76" i="9" s="1"/>
  <c r="G77" i="6" l="1"/>
  <c r="I76" i="6"/>
  <c r="K76" i="6" s="1"/>
  <c r="G77" i="4"/>
  <c r="I76" i="4"/>
  <c r="K76" i="4" s="1"/>
  <c r="G77" i="8"/>
  <c r="I76" i="8"/>
  <c r="K76" i="8" s="1"/>
  <c r="I77" i="3"/>
  <c r="K77" i="3" s="1"/>
  <c r="G78" i="3"/>
  <c r="I76" i="2"/>
  <c r="K76" i="2" s="1"/>
  <c r="G77" i="2"/>
  <c r="I77" i="9"/>
  <c r="K77" i="9" s="1"/>
  <c r="G78" i="9"/>
  <c r="I77" i="6" l="1"/>
  <c r="K77" i="6" s="1"/>
  <c r="G78" i="6"/>
  <c r="I77" i="4"/>
  <c r="K77" i="4" s="1"/>
  <c r="G78" i="4"/>
  <c r="I77" i="8"/>
  <c r="K77" i="8" s="1"/>
  <c r="G78" i="8"/>
  <c r="G79" i="3"/>
  <c r="I78" i="3"/>
  <c r="K78" i="3" s="1"/>
  <c r="I77" i="2"/>
  <c r="K77" i="2" s="1"/>
  <c r="G78" i="2"/>
  <c r="G79" i="9"/>
  <c r="I78" i="9"/>
  <c r="K78" i="9" s="1"/>
  <c r="G79" i="6" l="1"/>
  <c r="I78" i="6"/>
  <c r="K78" i="6" s="1"/>
  <c r="G79" i="4"/>
  <c r="I78" i="4"/>
  <c r="K78" i="4" s="1"/>
  <c r="G79" i="8"/>
  <c r="I78" i="8"/>
  <c r="K78" i="8" s="1"/>
  <c r="G80" i="3"/>
  <c r="I79" i="3"/>
  <c r="K79" i="3" s="1"/>
  <c r="G79" i="2"/>
  <c r="I78" i="2"/>
  <c r="K78" i="2" s="1"/>
  <c r="G80" i="9"/>
  <c r="I79" i="9"/>
  <c r="K79" i="9" s="1"/>
  <c r="I79" i="6" l="1"/>
  <c r="K79" i="6" s="1"/>
  <c r="G80" i="6"/>
  <c r="I79" i="4"/>
  <c r="K79" i="4" s="1"/>
  <c r="G80" i="4"/>
  <c r="I79" i="8"/>
  <c r="K79" i="8" s="1"/>
  <c r="G80" i="8"/>
  <c r="G81" i="3"/>
  <c r="I80" i="3"/>
  <c r="K80" i="3" s="1"/>
  <c r="I79" i="2"/>
  <c r="K79" i="2" s="1"/>
  <c r="G80" i="2"/>
  <c r="I80" i="9"/>
  <c r="K80" i="9" s="1"/>
  <c r="G81" i="9"/>
  <c r="I80" i="6" l="1"/>
  <c r="K80" i="6" s="1"/>
  <c r="G81" i="6"/>
  <c r="I80" i="4"/>
  <c r="K80" i="4" s="1"/>
  <c r="G81" i="4"/>
  <c r="I80" i="8"/>
  <c r="K80" i="8" s="1"/>
  <c r="G81" i="8"/>
  <c r="G82" i="3"/>
  <c r="I81" i="3"/>
  <c r="K81" i="3" s="1"/>
  <c r="G81" i="2"/>
  <c r="I80" i="2"/>
  <c r="K80" i="2" s="1"/>
  <c r="I81" i="9"/>
  <c r="K81" i="9" s="1"/>
  <c r="G82" i="9"/>
  <c r="G82" i="6" l="1"/>
  <c r="I81" i="6"/>
  <c r="K81" i="6" s="1"/>
  <c r="G82" i="4"/>
  <c r="I81" i="4"/>
  <c r="K81" i="4" s="1"/>
  <c r="I81" i="8"/>
  <c r="K81" i="8" s="1"/>
  <c r="G82" i="8"/>
  <c r="G83" i="3"/>
  <c r="I82" i="3"/>
  <c r="K82" i="3" s="1"/>
  <c r="I81" i="2"/>
  <c r="K81" i="2" s="1"/>
  <c r="G82" i="2"/>
  <c r="G83" i="9"/>
  <c r="I82" i="9"/>
  <c r="K82" i="9" s="1"/>
  <c r="G83" i="6" l="1"/>
  <c r="I82" i="6"/>
  <c r="K82" i="6" s="1"/>
  <c r="G83" i="4"/>
  <c r="I82" i="4"/>
  <c r="K82" i="4" s="1"/>
  <c r="G83" i="8"/>
  <c r="I82" i="8"/>
  <c r="K82" i="8" s="1"/>
  <c r="I83" i="3"/>
  <c r="K83" i="3" s="1"/>
  <c r="G84" i="3"/>
  <c r="I82" i="2"/>
  <c r="K82" i="2" s="1"/>
  <c r="G83" i="2"/>
  <c r="G84" i="9"/>
  <c r="I83" i="9"/>
  <c r="K83" i="9" s="1"/>
  <c r="G84" i="6" l="1"/>
  <c r="I83" i="6"/>
  <c r="K83" i="6" s="1"/>
  <c r="G84" i="4"/>
  <c r="I83" i="4"/>
  <c r="K83" i="4" s="1"/>
  <c r="G84" i="8"/>
  <c r="I83" i="8"/>
  <c r="K83" i="8" s="1"/>
  <c r="I84" i="3"/>
  <c r="K84" i="3" s="1"/>
  <c r="G85" i="3"/>
  <c r="I83" i="2"/>
  <c r="K83" i="2" s="1"/>
  <c r="G84" i="2"/>
  <c r="G85" i="9"/>
  <c r="I84" i="9"/>
  <c r="K84" i="9" s="1"/>
  <c r="I84" i="6" l="1"/>
  <c r="K84" i="6" s="1"/>
  <c r="G85" i="6"/>
  <c r="I84" i="4"/>
  <c r="K84" i="4" s="1"/>
  <c r="G85" i="4"/>
  <c r="G85" i="8"/>
  <c r="I84" i="8"/>
  <c r="K84" i="8" s="1"/>
  <c r="I85" i="3"/>
  <c r="K85" i="3" s="1"/>
  <c r="G86" i="3"/>
  <c r="I84" i="2"/>
  <c r="K84" i="2" s="1"/>
  <c r="G85" i="2"/>
  <c r="G86" i="9"/>
  <c r="I85" i="9"/>
  <c r="K85" i="9" s="1"/>
  <c r="G86" i="6" l="1"/>
  <c r="I85" i="6"/>
  <c r="K85" i="6" s="1"/>
  <c r="I85" i="4"/>
  <c r="K85" i="4" s="1"/>
  <c r="G86" i="4"/>
  <c r="G86" i="8"/>
  <c r="I85" i="8"/>
  <c r="K85" i="8" s="1"/>
  <c r="G87" i="3"/>
  <c r="I86" i="3"/>
  <c r="K86" i="3" s="1"/>
  <c r="I85" i="2"/>
  <c r="K85" i="2" s="1"/>
  <c r="G86" i="2"/>
  <c r="G87" i="9"/>
  <c r="I86" i="9"/>
  <c r="K86" i="9" s="1"/>
  <c r="I86" i="6" l="1"/>
  <c r="K86" i="6" s="1"/>
  <c r="G87" i="6"/>
  <c r="I86" i="4"/>
  <c r="K86" i="4" s="1"/>
  <c r="G87" i="4"/>
  <c r="I86" i="8"/>
  <c r="K86" i="8" s="1"/>
  <c r="G87" i="8"/>
  <c r="G88" i="3"/>
  <c r="I87" i="3"/>
  <c r="K87" i="3" s="1"/>
  <c r="G87" i="2"/>
  <c r="I86" i="2"/>
  <c r="K86" i="2" s="1"/>
  <c r="G88" i="9"/>
  <c r="I87" i="9"/>
  <c r="K87" i="9" s="1"/>
  <c r="G88" i="6" l="1"/>
  <c r="I87" i="6"/>
  <c r="K87" i="6" s="1"/>
  <c r="G88" i="4"/>
  <c r="I87" i="4"/>
  <c r="K87" i="4" s="1"/>
  <c r="G88" i="8"/>
  <c r="I87" i="8"/>
  <c r="K87" i="8" s="1"/>
  <c r="G89" i="3"/>
  <c r="I88" i="3"/>
  <c r="K88" i="3" s="1"/>
  <c r="I87" i="2"/>
  <c r="K87" i="2" s="1"/>
  <c r="G88" i="2"/>
  <c r="G89" i="9"/>
  <c r="I88" i="9"/>
  <c r="K88" i="9" s="1"/>
  <c r="G89" i="6" l="1"/>
  <c r="I88" i="6"/>
  <c r="K88" i="6" s="1"/>
  <c r="I88" i="4"/>
  <c r="K88" i="4" s="1"/>
  <c r="G89" i="4"/>
  <c r="G89" i="8"/>
  <c r="I88" i="8"/>
  <c r="K88" i="8" s="1"/>
  <c r="I89" i="3"/>
  <c r="K89" i="3" s="1"/>
  <c r="G90" i="3"/>
  <c r="G89" i="2"/>
  <c r="I88" i="2"/>
  <c r="K88" i="2" s="1"/>
  <c r="G90" i="9"/>
  <c r="I89" i="9"/>
  <c r="K89" i="9" s="1"/>
  <c r="I89" i="6" l="1"/>
  <c r="K89" i="6" s="1"/>
  <c r="G90" i="6"/>
  <c r="I89" i="4"/>
  <c r="K89" i="4" s="1"/>
  <c r="G90" i="4"/>
  <c r="I89" i="8"/>
  <c r="K89" i="8" s="1"/>
  <c r="G90" i="8"/>
  <c r="I90" i="3"/>
  <c r="K90" i="3" s="1"/>
  <c r="G91" i="3"/>
  <c r="I89" i="2"/>
  <c r="K89" i="2" s="1"/>
  <c r="G90" i="2"/>
  <c r="G91" i="9"/>
  <c r="I90" i="9"/>
  <c r="K90" i="9" s="1"/>
  <c r="G91" i="6" l="1"/>
  <c r="I90" i="6"/>
  <c r="K90" i="6" s="1"/>
  <c r="G91" i="4"/>
  <c r="I90" i="4"/>
  <c r="K90" i="4" s="1"/>
  <c r="G91" i="8"/>
  <c r="I90" i="8"/>
  <c r="K90" i="8" s="1"/>
  <c r="G92" i="3"/>
  <c r="I91" i="3"/>
  <c r="K91" i="3" s="1"/>
  <c r="I90" i="2"/>
  <c r="K90" i="2" s="1"/>
  <c r="G91" i="2"/>
  <c r="I91" i="9"/>
  <c r="K91" i="9" s="1"/>
  <c r="G92" i="9"/>
  <c r="G92" i="6" l="1"/>
  <c r="I91" i="6"/>
  <c r="K91" i="6" s="1"/>
  <c r="I91" i="4"/>
  <c r="K91" i="4" s="1"/>
  <c r="G92" i="4"/>
  <c r="G92" i="8"/>
  <c r="I91" i="8"/>
  <c r="K91" i="8" s="1"/>
  <c r="G93" i="3"/>
  <c r="I92" i="3"/>
  <c r="K92" i="3" s="1"/>
  <c r="I91" i="2"/>
  <c r="K91" i="2" s="1"/>
  <c r="G92" i="2"/>
  <c r="G93" i="9"/>
  <c r="I92" i="9"/>
  <c r="K92" i="9" s="1"/>
  <c r="G93" i="6" l="1"/>
  <c r="I92" i="6"/>
  <c r="K92" i="6" s="1"/>
  <c r="G93" i="4"/>
  <c r="I92" i="4"/>
  <c r="K92" i="4" s="1"/>
  <c r="G93" i="8"/>
  <c r="I92" i="8"/>
  <c r="K92" i="8" s="1"/>
  <c r="G94" i="3"/>
  <c r="I93" i="3"/>
  <c r="K93" i="3" s="1"/>
  <c r="I92" i="2"/>
  <c r="K92" i="2" s="1"/>
  <c r="G93" i="2"/>
  <c r="G94" i="9"/>
  <c r="I93" i="9"/>
  <c r="K93" i="9" s="1"/>
  <c r="I93" i="6" l="1"/>
  <c r="K93" i="6" s="1"/>
  <c r="G94" i="6"/>
  <c r="I93" i="4"/>
  <c r="K93" i="4" s="1"/>
  <c r="G94" i="4"/>
  <c r="I93" i="8"/>
  <c r="K93" i="8" s="1"/>
  <c r="G94" i="8"/>
  <c r="G95" i="3"/>
  <c r="I94" i="3"/>
  <c r="K94" i="3" s="1"/>
  <c r="I93" i="2"/>
  <c r="K93" i="2" s="1"/>
  <c r="G94" i="2"/>
  <c r="I94" i="9"/>
  <c r="K94" i="9" s="1"/>
  <c r="G95" i="9"/>
  <c r="G95" i="6" l="1"/>
  <c r="I94" i="6"/>
  <c r="K94" i="6" s="1"/>
  <c r="G95" i="4"/>
  <c r="I94" i="4"/>
  <c r="K94" i="4" s="1"/>
  <c r="I94" i="8"/>
  <c r="K94" i="8" s="1"/>
  <c r="G95" i="8"/>
  <c r="I95" i="3"/>
  <c r="K95" i="3" s="1"/>
  <c r="G96" i="3"/>
  <c r="I94" i="2"/>
  <c r="K94" i="2" s="1"/>
  <c r="G95" i="2"/>
  <c r="I95" i="9"/>
  <c r="K95" i="9" s="1"/>
  <c r="G96" i="9"/>
  <c r="G96" i="6" l="1"/>
  <c r="I95" i="6"/>
  <c r="K95" i="6" s="1"/>
  <c r="G96" i="4"/>
  <c r="I95" i="4"/>
  <c r="K95" i="4" s="1"/>
  <c r="I95" i="8"/>
  <c r="K95" i="8" s="1"/>
  <c r="G96" i="8"/>
  <c r="I96" i="3"/>
  <c r="K96" i="3" s="1"/>
  <c r="G97" i="3"/>
  <c r="I95" i="2"/>
  <c r="K95" i="2" s="1"/>
  <c r="G96" i="2"/>
  <c r="G97" i="9"/>
  <c r="I96" i="9"/>
  <c r="K96" i="9" s="1"/>
  <c r="G97" i="6" l="1"/>
  <c r="I96" i="6"/>
  <c r="K96" i="6" s="1"/>
  <c r="G97" i="4"/>
  <c r="I96" i="4"/>
  <c r="K96" i="4" s="1"/>
  <c r="G97" i="8"/>
  <c r="I96" i="8"/>
  <c r="K96" i="8" s="1"/>
  <c r="G98" i="3"/>
  <c r="I97" i="3"/>
  <c r="K97" i="3" s="1"/>
  <c r="G97" i="2"/>
  <c r="I96" i="2"/>
  <c r="K96" i="2" s="1"/>
  <c r="I97" i="9"/>
  <c r="K97" i="9" s="1"/>
  <c r="G98" i="9"/>
  <c r="G98" i="6" l="1"/>
  <c r="I97" i="6"/>
  <c r="K97" i="6" s="1"/>
  <c r="G98" i="4"/>
  <c r="I97" i="4"/>
  <c r="K97" i="4" s="1"/>
  <c r="G98" i="8"/>
  <c r="I97" i="8"/>
  <c r="K97" i="8" s="1"/>
  <c r="I98" i="3"/>
  <c r="K98" i="3" s="1"/>
  <c r="G99" i="3"/>
  <c r="I97" i="2"/>
  <c r="K97" i="2" s="1"/>
  <c r="G98" i="2"/>
  <c r="G99" i="9"/>
  <c r="I98" i="9"/>
  <c r="K98" i="9" s="1"/>
  <c r="I98" i="6" l="1"/>
  <c r="K98" i="6" s="1"/>
  <c r="G99" i="6"/>
  <c r="I98" i="4"/>
  <c r="K98" i="4" s="1"/>
  <c r="G99" i="4"/>
  <c r="G99" i="8"/>
  <c r="I98" i="8"/>
  <c r="K98" i="8" s="1"/>
  <c r="G100" i="3"/>
  <c r="I99" i="3"/>
  <c r="K99" i="3" s="1"/>
  <c r="G99" i="2"/>
  <c r="I98" i="2"/>
  <c r="K98" i="2" s="1"/>
  <c r="I99" i="9"/>
  <c r="K99" i="9" s="1"/>
  <c r="G100" i="9"/>
  <c r="G100" i="6" l="1"/>
  <c r="I99" i="6"/>
  <c r="K99" i="6" s="1"/>
  <c r="G100" i="4"/>
  <c r="I99" i="4"/>
  <c r="K99" i="4" s="1"/>
  <c r="G100" i="8"/>
  <c r="I99" i="8"/>
  <c r="K99" i="8" s="1"/>
  <c r="I100" i="3"/>
  <c r="K100" i="3" s="1"/>
  <c r="G101" i="3"/>
  <c r="I99" i="2"/>
  <c r="K99" i="2" s="1"/>
  <c r="G100" i="2"/>
  <c r="G101" i="9"/>
  <c r="I100" i="9"/>
  <c r="K100" i="9" s="1"/>
  <c r="I100" i="6" l="1"/>
  <c r="K100" i="6" s="1"/>
  <c r="G101" i="6"/>
  <c r="I100" i="4"/>
  <c r="K100" i="4" s="1"/>
  <c r="G101" i="4"/>
  <c r="I100" i="8"/>
  <c r="K100" i="8" s="1"/>
  <c r="G101" i="8"/>
  <c r="I101" i="3"/>
  <c r="K101" i="3" s="1"/>
  <c r="G102" i="3"/>
  <c r="G101" i="2"/>
  <c r="I100" i="2"/>
  <c r="K100" i="2" s="1"/>
  <c r="I101" i="9"/>
  <c r="K101" i="9" s="1"/>
  <c r="G102" i="9"/>
  <c r="G102" i="6" l="1"/>
  <c r="I101" i="6"/>
  <c r="K101" i="6" s="1"/>
  <c r="G102" i="4"/>
  <c r="I101" i="4"/>
  <c r="K101" i="4" s="1"/>
  <c r="G102" i="8"/>
  <c r="I101" i="8"/>
  <c r="K101" i="8" s="1"/>
  <c r="I102" i="3"/>
  <c r="K102" i="3" s="1"/>
  <c r="G103" i="3"/>
  <c r="I101" i="2"/>
  <c r="K101" i="2" s="1"/>
  <c r="G102" i="2"/>
  <c r="G103" i="9"/>
  <c r="I102" i="9"/>
  <c r="K102" i="9" s="1"/>
  <c r="G103" i="6" l="1"/>
  <c r="I102" i="6"/>
  <c r="K102" i="6" s="1"/>
  <c r="G103" i="4"/>
  <c r="I102" i="4"/>
  <c r="K102" i="4" s="1"/>
  <c r="G103" i="8"/>
  <c r="I102" i="8"/>
  <c r="K102" i="8" s="1"/>
  <c r="I103" i="3"/>
  <c r="K103" i="3" s="1"/>
  <c r="G104" i="3"/>
  <c r="I102" i="2"/>
  <c r="K102" i="2" s="1"/>
  <c r="G103" i="2"/>
  <c r="I103" i="9"/>
  <c r="K103" i="9" s="1"/>
  <c r="G104" i="9"/>
  <c r="G104" i="6" l="1"/>
  <c r="I103" i="6"/>
  <c r="K103" i="6" s="1"/>
  <c r="I103" i="4"/>
  <c r="K103" i="4" s="1"/>
  <c r="G104" i="4"/>
  <c r="I103" i="8"/>
  <c r="K103" i="8" s="1"/>
  <c r="G104" i="8"/>
  <c r="G105" i="3"/>
  <c r="I104" i="3"/>
  <c r="K104" i="3" s="1"/>
  <c r="I103" i="2"/>
  <c r="K103" i="2" s="1"/>
  <c r="G104" i="2"/>
  <c r="G105" i="9"/>
  <c r="I104" i="9"/>
  <c r="K104" i="9" s="1"/>
  <c r="G105" i="6" l="1"/>
  <c r="I104" i="6"/>
  <c r="K104" i="6" s="1"/>
  <c r="G105" i="4"/>
  <c r="I104" i="4"/>
  <c r="K104" i="4" s="1"/>
  <c r="G105" i="8"/>
  <c r="I104" i="8"/>
  <c r="K104" i="8" s="1"/>
  <c r="G106" i="3"/>
  <c r="I105" i="3"/>
  <c r="K105" i="3" s="1"/>
  <c r="I104" i="2"/>
  <c r="K104" i="2" s="1"/>
  <c r="G105" i="2"/>
  <c r="I105" i="9"/>
  <c r="K105" i="9" s="1"/>
  <c r="G106" i="9"/>
  <c r="G106" i="6" l="1"/>
  <c r="I105" i="6"/>
  <c r="K105" i="6" s="1"/>
  <c r="I105" i="4"/>
  <c r="K105" i="4" s="1"/>
  <c r="G106" i="4"/>
  <c r="G106" i="8"/>
  <c r="I105" i="8"/>
  <c r="K105" i="8" s="1"/>
  <c r="G107" i="3"/>
  <c r="I106" i="3"/>
  <c r="K106" i="3" s="1"/>
  <c r="I105" i="2"/>
  <c r="K105" i="2" s="1"/>
  <c r="G106" i="2"/>
  <c r="G107" i="9"/>
  <c r="I106" i="9"/>
  <c r="K106" i="9" s="1"/>
  <c r="G107" i="6" l="1"/>
  <c r="I106" i="6"/>
  <c r="K106" i="6" s="1"/>
  <c r="G107" i="4"/>
  <c r="I106" i="4"/>
  <c r="K106" i="4" s="1"/>
  <c r="G107" i="8"/>
  <c r="I106" i="8"/>
  <c r="K106" i="8" s="1"/>
  <c r="I107" i="3"/>
  <c r="K107" i="3" s="1"/>
  <c r="G108" i="3"/>
  <c r="G107" i="2"/>
  <c r="I106" i="2"/>
  <c r="K106" i="2" s="1"/>
  <c r="I107" i="9"/>
  <c r="K107" i="9" s="1"/>
  <c r="G108" i="9"/>
  <c r="I107" i="6" l="1"/>
  <c r="K107" i="6" s="1"/>
  <c r="G108" i="6"/>
  <c r="I107" i="4"/>
  <c r="K107" i="4" s="1"/>
  <c r="G108" i="4"/>
  <c r="I107" i="8"/>
  <c r="K107" i="8" s="1"/>
  <c r="G108" i="8"/>
  <c r="G109" i="3"/>
  <c r="I108" i="3"/>
  <c r="K108" i="3" s="1"/>
  <c r="I107" i="2"/>
  <c r="K107" i="2" s="1"/>
  <c r="G108" i="2"/>
  <c r="G109" i="9"/>
  <c r="I108" i="9"/>
  <c r="K108" i="9" s="1"/>
  <c r="G109" i="6" l="1"/>
  <c r="I108" i="6"/>
  <c r="K108" i="6" s="1"/>
  <c r="G109" i="4"/>
  <c r="I108" i="4"/>
  <c r="K108" i="4" s="1"/>
  <c r="I108" i="8"/>
  <c r="K108" i="8" s="1"/>
  <c r="G109" i="8"/>
  <c r="G110" i="3"/>
  <c r="I109" i="3"/>
  <c r="K109" i="3" s="1"/>
  <c r="G109" i="2"/>
  <c r="I108" i="2"/>
  <c r="K108" i="2" s="1"/>
  <c r="I109" i="9"/>
  <c r="K109" i="9" s="1"/>
  <c r="G110" i="9"/>
  <c r="G110" i="6" l="1"/>
  <c r="I109" i="6"/>
  <c r="K109" i="6" s="1"/>
  <c r="G110" i="4"/>
  <c r="I109" i="4"/>
  <c r="K109" i="4" s="1"/>
  <c r="I109" i="8"/>
  <c r="K109" i="8" s="1"/>
  <c r="G110" i="8"/>
  <c r="G111" i="3"/>
  <c r="I110" i="3"/>
  <c r="K110" i="3" s="1"/>
  <c r="I109" i="2"/>
  <c r="K109" i="2" s="1"/>
  <c r="G110" i="2"/>
  <c r="G111" i="9"/>
  <c r="I110" i="9"/>
  <c r="K110" i="9" s="1"/>
  <c r="G111" i="6" l="1"/>
  <c r="I110" i="6"/>
  <c r="K110" i="6" s="1"/>
  <c r="G111" i="4"/>
  <c r="I110" i="4"/>
  <c r="K110" i="4" s="1"/>
  <c r="G111" i="8"/>
  <c r="I110" i="8"/>
  <c r="K110" i="8" s="1"/>
  <c r="I111" i="3"/>
  <c r="K111" i="3" s="1"/>
  <c r="G112" i="3"/>
  <c r="I110" i="2"/>
  <c r="K110" i="2" s="1"/>
  <c r="G111" i="2"/>
  <c r="I111" i="9"/>
  <c r="K111" i="9" s="1"/>
  <c r="G112" i="9"/>
  <c r="G112" i="6" l="1"/>
  <c r="I111" i="6"/>
  <c r="K111" i="6" s="1"/>
  <c r="G112" i="4"/>
  <c r="I111" i="4"/>
  <c r="K111" i="4" s="1"/>
  <c r="G112" i="8"/>
  <c r="I111" i="8"/>
  <c r="K111" i="8" s="1"/>
  <c r="I112" i="3"/>
  <c r="K112" i="3" s="1"/>
  <c r="G113" i="3"/>
  <c r="I111" i="2"/>
  <c r="K111" i="2" s="1"/>
  <c r="G112" i="2"/>
  <c r="G113" i="9"/>
  <c r="I112" i="9"/>
  <c r="K112" i="9" s="1"/>
  <c r="I112" i="6" l="1"/>
  <c r="K112" i="6" s="1"/>
  <c r="G113" i="6"/>
  <c r="I112" i="4"/>
  <c r="K112" i="4" s="1"/>
  <c r="G113" i="4"/>
  <c r="G113" i="8"/>
  <c r="I112" i="8"/>
  <c r="K112" i="8" s="1"/>
  <c r="I113" i="3"/>
  <c r="K113" i="3" s="1"/>
  <c r="G114" i="3"/>
  <c r="I112" i="2"/>
  <c r="K112" i="2" s="1"/>
  <c r="G113" i="2"/>
  <c r="I113" i="9"/>
  <c r="K113" i="9" s="1"/>
  <c r="G114" i="9"/>
  <c r="G114" i="6" l="1"/>
  <c r="I113" i="6"/>
  <c r="K113" i="6" s="1"/>
  <c r="G114" i="4"/>
  <c r="I113" i="4"/>
  <c r="K113" i="4" s="1"/>
  <c r="G114" i="8"/>
  <c r="I113" i="8"/>
  <c r="K113" i="8" s="1"/>
  <c r="G115" i="3"/>
  <c r="I114" i="3"/>
  <c r="K114" i="3" s="1"/>
  <c r="I113" i="2"/>
  <c r="K113" i="2" s="1"/>
  <c r="G114" i="2"/>
  <c r="G115" i="9"/>
  <c r="I114" i="9"/>
  <c r="K114" i="9" s="1"/>
  <c r="I114" i="6" l="1"/>
  <c r="K114" i="6" s="1"/>
  <c r="G115" i="6"/>
  <c r="I114" i="4"/>
  <c r="K114" i="4" s="1"/>
  <c r="G115" i="4"/>
  <c r="I114" i="8"/>
  <c r="K114" i="8" s="1"/>
  <c r="G115" i="8"/>
  <c r="G116" i="3"/>
  <c r="I115" i="3"/>
  <c r="K115" i="3" s="1"/>
  <c r="G115" i="2"/>
  <c r="I114" i="2"/>
  <c r="K114" i="2" s="1"/>
  <c r="I115" i="9"/>
  <c r="K115" i="9" s="1"/>
  <c r="G116" i="9"/>
  <c r="G116" i="6" l="1"/>
  <c r="I115" i="6"/>
  <c r="K115" i="6" s="1"/>
  <c r="G116" i="4"/>
  <c r="I115" i="4"/>
  <c r="K115" i="4" s="1"/>
  <c r="G116" i="8"/>
  <c r="I115" i="8"/>
  <c r="K115" i="8" s="1"/>
  <c r="G117" i="3"/>
  <c r="I116" i="3"/>
  <c r="K116" i="3" s="1"/>
  <c r="I115" i="2"/>
  <c r="K115" i="2" s="1"/>
  <c r="G116" i="2"/>
  <c r="G117" i="9"/>
  <c r="I116" i="9"/>
  <c r="K116" i="9" s="1"/>
  <c r="I116" i="6" l="1"/>
  <c r="K116" i="6" s="1"/>
  <c r="G117" i="6"/>
  <c r="I116" i="4"/>
  <c r="K116" i="4" s="1"/>
  <c r="G117" i="4"/>
  <c r="I116" i="8"/>
  <c r="K116" i="8" s="1"/>
  <c r="G117" i="8"/>
  <c r="I117" i="3"/>
  <c r="K117" i="3" s="1"/>
  <c r="G118" i="3"/>
  <c r="G117" i="2"/>
  <c r="I116" i="2"/>
  <c r="K116" i="2" s="1"/>
  <c r="I117" i="9"/>
  <c r="K117" i="9" s="1"/>
  <c r="G118" i="9"/>
  <c r="G118" i="6" l="1"/>
  <c r="I117" i="6"/>
  <c r="K117" i="6" s="1"/>
  <c r="G118" i="4"/>
  <c r="I117" i="4"/>
  <c r="K117" i="4" s="1"/>
  <c r="I117" i="8"/>
  <c r="K117" i="8" s="1"/>
  <c r="G118" i="8"/>
  <c r="I118" i="3"/>
  <c r="K118" i="3" s="1"/>
  <c r="G119" i="3"/>
  <c r="I117" i="2"/>
  <c r="K117" i="2" s="1"/>
  <c r="G118" i="2"/>
  <c r="G119" i="9"/>
  <c r="I118" i="9"/>
  <c r="K118" i="9" s="1"/>
  <c r="G119" i="6" l="1"/>
  <c r="I118" i="6"/>
  <c r="K118" i="6" s="1"/>
  <c r="G119" i="4"/>
  <c r="I118" i="4"/>
  <c r="K118" i="4" s="1"/>
  <c r="G119" i="8"/>
  <c r="I118" i="8"/>
  <c r="K118" i="8" s="1"/>
  <c r="G120" i="3"/>
  <c r="I119" i="3"/>
  <c r="K119" i="3" s="1"/>
  <c r="I118" i="2"/>
  <c r="K118" i="2" s="1"/>
  <c r="G119" i="2"/>
  <c r="I119" i="9"/>
  <c r="K119" i="9" s="1"/>
  <c r="G120" i="9"/>
  <c r="I119" i="6" l="1"/>
  <c r="K119" i="6" s="1"/>
  <c r="G120" i="6"/>
  <c r="I119" i="4"/>
  <c r="K119" i="4" s="1"/>
  <c r="G120" i="4"/>
  <c r="G120" i="8"/>
  <c r="I119" i="8"/>
  <c r="K119" i="8" s="1"/>
  <c r="G121" i="3"/>
  <c r="I120" i="3"/>
  <c r="K120" i="3" s="1"/>
  <c r="I119" i="2"/>
  <c r="K119" i="2" s="1"/>
  <c r="G120" i="2"/>
  <c r="G121" i="9"/>
  <c r="I120" i="9"/>
  <c r="K120" i="9" s="1"/>
  <c r="G121" i="6" l="1"/>
  <c r="I120" i="6"/>
  <c r="K120" i="6" s="1"/>
  <c r="G121" i="4"/>
  <c r="I120" i="4"/>
  <c r="K120" i="4" s="1"/>
  <c r="G121" i="8"/>
  <c r="I120" i="8"/>
  <c r="K120" i="8" s="1"/>
  <c r="G122" i="3"/>
  <c r="I121" i="3"/>
  <c r="K121" i="3" s="1"/>
  <c r="I120" i="2"/>
  <c r="K120" i="2" s="1"/>
  <c r="G121" i="2"/>
  <c r="I121" i="9"/>
  <c r="K121" i="9" s="1"/>
  <c r="G122" i="9"/>
  <c r="I121" i="6" l="1"/>
  <c r="K121" i="6" s="1"/>
  <c r="G122" i="6"/>
  <c r="I121" i="4"/>
  <c r="K121" i="4" s="1"/>
  <c r="G122" i="4"/>
  <c r="I121" i="8"/>
  <c r="K121" i="8" s="1"/>
  <c r="G122" i="8"/>
  <c r="I122" i="3"/>
  <c r="K122" i="3" s="1"/>
  <c r="G123" i="3"/>
  <c r="I121" i="2"/>
  <c r="K121" i="2" s="1"/>
  <c r="G122" i="2"/>
  <c r="G123" i="9"/>
  <c r="I122" i="9"/>
  <c r="K122" i="9" s="1"/>
  <c r="G123" i="6" l="1"/>
  <c r="I122" i="6"/>
  <c r="K122" i="6" s="1"/>
  <c r="G123" i="4"/>
  <c r="I122" i="4"/>
  <c r="K122" i="4" s="1"/>
  <c r="G123" i="8"/>
  <c r="I122" i="8"/>
  <c r="K122" i="8" s="1"/>
  <c r="I123" i="3"/>
  <c r="K123" i="3" s="1"/>
  <c r="G124" i="3"/>
  <c r="I122" i="2"/>
  <c r="K122" i="2" s="1"/>
  <c r="G123" i="2"/>
  <c r="I123" i="9"/>
  <c r="K123" i="9" s="1"/>
  <c r="G124" i="9"/>
  <c r="G124" i="6" l="1"/>
  <c r="I123" i="6"/>
  <c r="K123" i="6" s="1"/>
  <c r="G124" i="4"/>
  <c r="I123" i="4"/>
  <c r="K123" i="4" s="1"/>
  <c r="I123" i="8"/>
  <c r="K123" i="8" s="1"/>
  <c r="G124" i="8"/>
  <c r="I124" i="3"/>
  <c r="K124" i="3" s="1"/>
  <c r="G125" i="3"/>
  <c r="I123" i="2"/>
  <c r="K123" i="2" s="1"/>
  <c r="G124" i="2"/>
  <c r="G125" i="9"/>
  <c r="I124" i="9"/>
  <c r="K124" i="9" s="1"/>
  <c r="I124" i="6" l="1"/>
  <c r="K124" i="6" s="1"/>
  <c r="G125" i="6"/>
  <c r="I124" i="4"/>
  <c r="K124" i="4" s="1"/>
  <c r="G125" i="4"/>
  <c r="G125" i="8"/>
  <c r="I124" i="8"/>
  <c r="K124" i="8" s="1"/>
  <c r="G126" i="3"/>
  <c r="I125" i="3"/>
  <c r="K125" i="3" s="1"/>
  <c r="G125" i="2"/>
  <c r="I124" i="2"/>
  <c r="K124" i="2" s="1"/>
  <c r="I125" i="9"/>
  <c r="K125" i="9" s="1"/>
  <c r="G126" i="9"/>
  <c r="G126" i="6" l="1"/>
  <c r="I125" i="6"/>
  <c r="K125" i="6" s="1"/>
  <c r="G126" i="4"/>
  <c r="I125" i="4"/>
  <c r="K125" i="4" s="1"/>
  <c r="G126" i="8"/>
  <c r="I125" i="8"/>
  <c r="K125" i="8" s="1"/>
  <c r="I126" i="3"/>
  <c r="K126" i="3" s="1"/>
  <c r="G127" i="3"/>
  <c r="I125" i="2"/>
  <c r="K125" i="2" s="1"/>
  <c r="G126" i="2"/>
  <c r="G127" i="9"/>
  <c r="I126" i="9"/>
  <c r="K126" i="9" s="1"/>
  <c r="I126" i="6" l="1"/>
  <c r="K126" i="6" s="1"/>
  <c r="G127" i="6"/>
  <c r="I126" i="4"/>
  <c r="K126" i="4" s="1"/>
  <c r="G127" i="4"/>
  <c r="I126" i="8"/>
  <c r="K126" i="8" s="1"/>
  <c r="G127" i="8"/>
  <c r="I127" i="3"/>
  <c r="K127" i="3" s="1"/>
  <c r="G128" i="3"/>
  <c r="G127" i="2"/>
  <c r="I126" i="2"/>
  <c r="K126" i="2" s="1"/>
  <c r="I127" i="9"/>
  <c r="K127" i="9" s="1"/>
  <c r="G128" i="9"/>
  <c r="G128" i="6" l="1"/>
  <c r="I127" i="6"/>
  <c r="K127" i="6" s="1"/>
  <c r="G128" i="4"/>
  <c r="I127" i="4"/>
  <c r="K127" i="4" s="1"/>
  <c r="G128" i="8"/>
  <c r="I127" i="8"/>
  <c r="K127" i="8" s="1"/>
  <c r="I128" i="3"/>
  <c r="K128" i="3" s="1"/>
  <c r="G129" i="3"/>
  <c r="I127" i="2"/>
  <c r="K127" i="2" s="1"/>
  <c r="G128" i="2"/>
  <c r="G129" i="9"/>
  <c r="I128" i="9"/>
  <c r="K128" i="9" s="1"/>
  <c r="I128" i="6" l="1"/>
  <c r="K128" i="6" s="1"/>
  <c r="G129" i="6"/>
  <c r="I128" i="4"/>
  <c r="K128" i="4" s="1"/>
  <c r="G129" i="4"/>
  <c r="I128" i="8"/>
  <c r="K128" i="8" s="1"/>
  <c r="G129" i="8"/>
  <c r="G130" i="3"/>
  <c r="I129" i="3"/>
  <c r="K129" i="3" s="1"/>
  <c r="G129" i="2"/>
  <c r="I128" i="2"/>
  <c r="K128" i="2" s="1"/>
  <c r="I129" i="9"/>
  <c r="K129" i="9" s="1"/>
  <c r="G130" i="9"/>
  <c r="G130" i="6" l="1"/>
  <c r="I129" i="6"/>
  <c r="K129" i="6" s="1"/>
  <c r="I129" i="4"/>
  <c r="K129" i="4" s="1"/>
  <c r="G130" i="4"/>
  <c r="G130" i="8"/>
  <c r="I129" i="8"/>
  <c r="K129" i="8" s="1"/>
  <c r="G131" i="3"/>
  <c r="I130" i="3"/>
  <c r="K130" i="3" s="1"/>
  <c r="I129" i="2"/>
  <c r="K129" i="2" s="1"/>
  <c r="G130" i="2"/>
  <c r="G131" i="9"/>
  <c r="I130" i="9"/>
  <c r="K130" i="9" s="1"/>
  <c r="I130" i="6" l="1"/>
  <c r="K130" i="6" s="1"/>
  <c r="G131" i="6"/>
  <c r="I130" i="4"/>
  <c r="K130" i="4" s="1"/>
  <c r="G131" i="4"/>
  <c r="I130" i="8"/>
  <c r="K130" i="8" s="1"/>
  <c r="G131" i="8"/>
  <c r="G132" i="3"/>
  <c r="I131" i="3"/>
  <c r="K131" i="3" s="1"/>
  <c r="I130" i="2"/>
  <c r="K130" i="2" s="1"/>
  <c r="G131" i="2"/>
  <c r="I131" i="9"/>
  <c r="K131" i="9" s="1"/>
  <c r="G132" i="9"/>
  <c r="I131" i="6" l="1"/>
  <c r="K131" i="6" s="1"/>
  <c r="G132" i="6"/>
  <c r="I131" i="4"/>
  <c r="K131" i="4" s="1"/>
  <c r="G132" i="4"/>
  <c r="G132" i="8"/>
  <c r="I131" i="8"/>
  <c r="K131" i="8" s="1"/>
  <c r="G133" i="3"/>
  <c r="I132" i="3"/>
  <c r="K132" i="3" s="1"/>
  <c r="I131" i="2"/>
  <c r="K131" i="2" s="1"/>
  <c r="G132" i="2"/>
  <c r="G133" i="9"/>
  <c r="I132" i="9"/>
  <c r="K132" i="9" s="1"/>
  <c r="G133" i="6" l="1"/>
  <c r="I132" i="6"/>
  <c r="K132" i="6" s="1"/>
  <c r="G133" i="4"/>
  <c r="I132" i="4"/>
  <c r="K132" i="4" s="1"/>
  <c r="G133" i="8"/>
  <c r="I132" i="8"/>
  <c r="K132" i="8" s="1"/>
  <c r="I133" i="3"/>
  <c r="K133" i="3" s="1"/>
  <c r="G134" i="3"/>
  <c r="I132" i="2"/>
  <c r="K132" i="2" s="1"/>
  <c r="G133" i="2"/>
  <c r="I133" i="9"/>
  <c r="K133" i="9" s="1"/>
  <c r="G134" i="9"/>
  <c r="G134" i="6" l="1"/>
  <c r="I133" i="6"/>
  <c r="K133" i="6" s="1"/>
  <c r="G134" i="4"/>
  <c r="I133" i="4"/>
  <c r="K133" i="4" s="1"/>
  <c r="G134" i="8"/>
  <c r="I133" i="8"/>
  <c r="K133" i="8" s="1"/>
  <c r="G135" i="3"/>
  <c r="I134" i="3"/>
  <c r="K134" i="3" s="1"/>
  <c r="I133" i="2"/>
  <c r="K133" i="2" s="1"/>
  <c r="G134" i="2"/>
  <c r="G135" i="9"/>
  <c r="I134" i="9"/>
  <c r="K134" i="9" s="1"/>
  <c r="G135" i="6" l="1"/>
  <c r="I134" i="6"/>
  <c r="K134" i="6" s="1"/>
  <c r="G135" i="4"/>
  <c r="I134" i="4"/>
  <c r="K134" i="4" s="1"/>
  <c r="G135" i="8"/>
  <c r="I134" i="8"/>
  <c r="K134" i="8" s="1"/>
  <c r="G136" i="3"/>
  <c r="I135" i="3"/>
  <c r="K135" i="3" s="1"/>
  <c r="G135" i="2"/>
  <c r="I134" i="2"/>
  <c r="K134" i="2" s="1"/>
  <c r="I135" i="9"/>
  <c r="K135" i="9" s="1"/>
  <c r="G136" i="9"/>
  <c r="I135" i="6" l="1"/>
  <c r="K135" i="6" s="1"/>
  <c r="G136" i="6"/>
  <c r="I135" i="4"/>
  <c r="K135" i="4" s="1"/>
  <c r="G136" i="4"/>
  <c r="I135" i="8"/>
  <c r="K135" i="8" s="1"/>
  <c r="G136" i="8"/>
  <c r="G137" i="3"/>
  <c r="I136" i="3"/>
  <c r="K136" i="3" s="1"/>
  <c r="I135" i="2"/>
  <c r="K135" i="2" s="1"/>
  <c r="G136" i="2"/>
  <c r="G137" i="9"/>
  <c r="I136" i="9"/>
  <c r="K136" i="9" s="1"/>
  <c r="G137" i="6" l="1"/>
  <c r="I136" i="6"/>
  <c r="K136" i="6" s="1"/>
  <c r="I136" i="4"/>
  <c r="K136" i="4" s="1"/>
  <c r="G137" i="4"/>
  <c r="I136" i="8"/>
  <c r="K136" i="8" s="1"/>
  <c r="G137" i="8"/>
  <c r="G138" i="3"/>
  <c r="I137" i="3"/>
  <c r="K137" i="3" s="1"/>
  <c r="G137" i="2"/>
  <c r="I136" i="2"/>
  <c r="K136" i="2" s="1"/>
  <c r="I137" i="9"/>
  <c r="K137" i="9" s="1"/>
  <c r="G138" i="9"/>
  <c r="G138" i="6" l="1"/>
  <c r="I137" i="6"/>
  <c r="K137" i="6" s="1"/>
  <c r="I137" i="4"/>
  <c r="K137" i="4" s="1"/>
  <c r="G138" i="4"/>
  <c r="I137" i="8"/>
  <c r="K137" i="8" s="1"/>
  <c r="G138" i="8"/>
  <c r="G139" i="3"/>
  <c r="I138" i="3"/>
  <c r="K138" i="3" s="1"/>
  <c r="I137" i="2"/>
  <c r="K137" i="2" s="1"/>
  <c r="G138" i="2"/>
  <c r="G139" i="9"/>
  <c r="I138" i="9"/>
  <c r="K138" i="9" s="1"/>
  <c r="G139" i="6" l="1"/>
  <c r="I138" i="6"/>
  <c r="K138" i="6" s="1"/>
  <c r="I138" i="4"/>
  <c r="K138" i="4" s="1"/>
  <c r="G139" i="4"/>
  <c r="G139" i="8"/>
  <c r="I138" i="8"/>
  <c r="K138" i="8" s="1"/>
  <c r="I139" i="3"/>
  <c r="K139" i="3" s="1"/>
  <c r="G140" i="3"/>
  <c r="G139" i="2"/>
  <c r="I138" i="2"/>
  <c r="K138" i="2" s="1"/>
  <c r="I139" i="9"/>
  <c r="K139" i="9" s="1"/>
  <c r="G140" i="9"/>
  <c r="I139" i="6" l="1"/>
  <c r="K139" i="6" s="1"/>
  <c r="G140" i="6"/>
  <c r="I139" i="4"/>
  <c r="K139" i="4" s="1"/>
  <c r="G140" i="4"/>
  <c r="I139" i="8"/>
  <c r="K139" i="8" s="1"/>
  <c r="G140" i="8"/>
  <c r="I140" i="3"/>
  <c r="K140" i="3" s="1"/>
  <c r="G141" i="3"/>
  <c r="I139" i="2"/>
  <c r="K139" i="2" s="1"/>
  <c r="G140" i="2"/>
  <c r="G141" i="9"/>
  <c r="I140" i="9"/>
  <c r="K140" i="9" s="1"/>
  <c r="I140" i="6" l="1"/>
  <c r="K140" i="6" s="1"/>
  <c r="G141" i="6"/>
  <c r="I140" i="4"/>
  <c r="K140" i="4" s="1"/>
  <c r="G141" i="4"/>
  <c r="I140" i="8"/>
  <c r="K140" i="8" s="1"/>
  <c r="G141" i="8"/>
  <c r="G142" i="3"/>
  <c r="I141" i="3"/>
  <c r="K141" i="3" s="1"/>
  <c r="I140" i="2"/>
  <c r="K140" i="2" s="1"/>
  <c r="G141" i="2"/>
  <c r="I141" i="9"/>
  <c r="K141" i="9" s="1"/>
  <c r="G142" i="9"/>
  <c r="I141" i="6" l="1"/>
  <c r="K141" i="6" s="1"/>
  <c r="G142" i="6"/>
  <c r="I141" i="4"/>
  <c r="K141" i="4" s="1"/>
  <c r="G142" i="4"/>
  <c r="I141" i="8"/>
  <c r="K141" i="8" s="1"/>
  <c r="G142" i="8"/>
  <c r="I142" i="3"/>
  <c r="K142" i="3" s="1"/>
  <c r="G143" i="3"/>
  <c r="I141" i="2"/>
  <c r="K141" i="2" s="1"/>
  <c r="G142" i="2"/>
  <c r="G143" i="9"/>
  <c r="I142" i="9"/>
  <c r="K142" i="9" s="1"/>
  <c r="I142" i="6" l="1"/>
  <c r="K142" i="6" s="1"/>
  <c r="G143" i="6"/>
  <c r="G143" i="4"/>
  <c r="I142" i="4"/>
  <c r="K142" i="4" s="1"/>
  <c r="I142" i="8"/>
  <c r="K142" i="8" s="1"/>
  <c r="G143" i="8"/>
  <c r="G144" i="3"/>
  <c r="I143" i="3"/>
  <c r="K143" i="3" s="1"/>
  <c r="G143" i="2"/>
  <c r="I142" i="2"/>
  <c r="K142" i="2" s="1"/>
  <c r="I143" i="9"/>
  <c r="K143" i="9" s="1"/>
  <c r="G144" i="9"/>
  <c r="I143" i="6" l="1"/>
  <c r="K143" i="6" s="1"/>
  <c r="G144" i="6"/>
  <c r="I143" i="4"/>
  <c r="K143" i="4" s="1"/>
  <c r="G144" i="4"/>
  <c r="I143" i="8"/>
  <c r="K143" i="8" s="1"/>
  <c r="G144" i="8"/>
  <c r="I144" i="3"/>
  <c r="K144" i="3" s="1"/>
  <c r="G145" i="3"/>
  <c r="I143" i="2"/>
  <c r="K143" i="2" s="1"/>
  <c r="G144" i="2"/>
  <c r="G145" i="9"/>
  <c r="I144" i="9"/>
  <c r="K144" i="9" s="1"/>
  <c r="G145" i="6" l="1"/>
  <c r="I144" i="6"/>
  <c r="K144" i="6" s="1"/>
  <c r="G145" i="4"/>
  <c r="I144" i="4"/>
  <c r="K144" i="4" s="1"/>
  <c r="G145" i="8"/>
  <c r="I144" i="8"/>
  <c r="K144" i="8" s="1"/>
  <c r="G146" i="3"/>
  <c r="I145" i="3"/>
  <c r="K145" i="3" s="1"/>
  <c r="G145" i="2"/>
  <c r="I144" i="2"/>
  <c r="K144" i="2" s="1"/>
  <c r="I145" i="9"/>
  <c r="K145" i="9" s="1"/>
  <c r="G146" i="9"/>
  <c r="I145" i="6" l="1"/>
  <c r="K145" i="6" s="1"/>
  <c r="G146" i="6"/>
  <c r="I145" i="4"/>
  <c r="K145" i="4" s="1"/>
  <c r="G146" i="4"/>
  <c r="I145" i="8"/>
  <c r="K145" i="8" s="1"/>
  <c r="G146" i="8"/>
  <c r="I146" i="3"/>
  <c r="K146" i="3" s="1"/>
  <c r="G147" i="3"/>
  <c r="I145" i="2"/>
  <c r="K145" i="2" s="1"/>
  <c r="G146" i="2"/>
  <c r="G147" i="9"/>
  <c r="I146" i="9"/>
  <c r="K146" i="9" s="1"/>
  <c r="G147" i="6" l="1"/>
  <c r="I146" i="6"/>
  <c r="K146" i="6" s="1"/>
  <c r="G147" i="4"/>
  <c r="I146" i="4"/>
  <c r="K146" i="4" s="1"/>
  <c r="G147" i="8"/>
  <c r="I146" i="8"/>
  <c r="K146" i="8" s="1"/>
  <c r="I147" i="3"/>
  <c r="K147" i="3" s="1"/>
  <c r="G148" i="3"/>
  <c r="I146" i="2"/>
  <c r="K146" i="2" s="1"/>
  <c r="G147" i="2"/>
  <c r="I147" i="9"/>
  <c r="K147" i="9" s="1"/>
  <c r="G148" i="9"/>
  <c r="I147" i="6" l="1"/>
  <c r="K147" i="6" s="1"/>
  <c r="G148" i="6"/>
  <c r="I147" i="4"/>
  <c r="K147" i="4" s="1"/>
  <c r="G148" i="4"/>
  <c r="I147" i="8"/>
  <c r="K147" i="8" s="1"/>
  <c r="G148" i="8"/>
  <c r="G149" i="3"/>
  <c r="I148" i="3"/>
  <c r="K148" i="3" s="1"/>
  <c r="I147" i="2"/>
  <c r="K147" i="2" s="1"/>
  <c r="G148" i="2"/>
  <c r="G149" i="9"/>
  <c r="I148" i="9"/>
  <c r="K148" i="9" s="1"/>
  <c r="I148" i="6" l="1"/>
  <c r="K148" i="6" s="1"/>
  <c r="G149" i="6"/>
  <c r="I148" i="4"/>
  <c r="K148" i="4" s="1"/>
  <c r="G149" i="4"/>
  <c r="G149" i="8"/>
  <c r="I148" i="8"/>
  <c r="K148" i="8" s="1"/>
  <c r="G150" i="3"/>
  <c r="I149" i="3"/>
  <c r="K149" i="3" s="1"/>
  <c r="G149" i="2"/>
  <c r="I148" i="2"/>
  <c r="K148" i="2" s="1"/>
  <c r="I149" i="9"/>
  <c r="K149" i="9" s="1"/>
  <c r="G150" i="9"/>
  <c r="I149" i="6" l="1"/>
  <c r="K149" i="6" s="1"/>
  <c r="G150" i="6"/>
  <c r="I149" i="4"/>
  <c r="K149" i="4" s="1"/>
  <c r="G150" i="4"/>
  <c r="I149" i="8"/>
  <c r="K149" i="8" s="1"/>
  <c r="G150" i="8"/>
  <c r="G151" i="3"/>
  <c r="I150" i="3"/>
  <c r="K150" i="3" s="1"/>
  <c r="I149" i="2"/>
  <c r="K149" i="2" s="1"/>
  <c r="G150" i="2"/>
  <c r="G151" i="9"/>
  <c r="I150" i="9"/>
  <c r="K150" i="9" s="1"/>
  <c r="I150" i="6" l="1"/>
  <c r="K150" i="6" s="1"/>
  <c r="G151" i="6"/>
  <c r="I150" i="4"/>
  <c r="K150" i="4" s="1"/>
  <c r="G151" i="4"/>
  <c r="I150" i="8"/>
  <c r="K150" i="8" s="1"/>
  <c r="G151" i="8"/>
  <c r="I151" i="3"/>
  <c r="K151" i="3" s="1"/>
  <c r="G152" i="3"/>
  <c r="G151" i="2"/>
  <c r="I150" i="2"/>
  <c r="K150" i="2" s="1"/>
  <c r="I151" i="9"/>
  <c r="K151" i="9" s="1"/>
  <c r="G152" i="9"/>
  <c r="I151" i="6" l="1"/>
  <c r="K151" i="6" s="1"/>
  <c r="G152" i="6"/>
  <c r="I151" i="4"/>
  <c r="K151" i="4" s="1"/>
  <c r="G152" i="4"/>
  <c r="I151" i="8"/>
  <c r="K151" i="8" s="1"/>
  <c r="G152" i="8"/>
  <c r="I152" i="3"/>
  <c r="K152" i="3" s="1"/>
  <c r="G153" i="3"/>
  <c r="I151" i="2"/>
  <c r="K151" i="2" s="1"/>
  <c r="G152" i="2"/>
  <c r="G153" i="9"/>
  <c r="I152" i="9"/>
  <c r="K152" i="9" s="1"/>
  <c r="G153" i="6" l="1"/>
  <c r="I152" i="6"/>
  <c r="K152" i="6" s="1"/>
  <c r="G153" i="4"/>
  <c r="I152" i="4"/>
  <c r="K152" i="4" s="1"/>
  <c r="I152" i="8"/>
  <c r="K152" i="8" s="1"/>
  <c r="G153" i="8"/>
  <c r="I153" i="3"/>
  <c r="K153" i="3" s="1"/>
  <c r="G154" i="3"/>
  <c r="G153" i="2"/>
  <c r="I152" i="2"/>
  <c r="K152" i="2" s="1"/>
  <c r="I153" i="9"/>
  <c r="K153" i="9" s="1"/>
  <c r="G154" i="9"/>
  <c r="I153" i="6" l="1"/>
  <c r="K153" i="6" s="1"/>
  <c r="G154" i="6"/>
  <c r="I153" i="4"/>
  <c r="K153" i="4" s="1"/>
  <c r="G154" i="4"/>
  <c r="I153" i="8"/>
  <c r="K153" i="8" s="1"/>
  <c r="G154" i="8"/>
  <c r="G155" i="3"/>
  <c r="I154" i="3"/>
  <c r="K154" i="3" s="1"/>
  <c r="I153" i="2"/>
  <c r="K153" i="2" s="1"/>
  <c r="G154" i="2"/>
  <c r="G155" i="9"/>
  <c r="I154" i="9"/>
  <c r="K154" i="9" s="1"/>
  <c r="G155" i="6" l="1"/>
  <c r="I154" i="6"/>
  <c r="K154" i="6" s="1"/>
  <c r="G155" i="4"/>
  <c r="I154" i="4"/>
  <c r="K154" i="4" s="1"/>
  <c r="G155" i="8"/>
  <c r="I154" i="8"/>
  <c r="K154" i="8" s="1"/>
  <c r="I155" i="3"/>
  <c r="K155" i="3" s="1"/>
  <c r="G156" i="3"/>
  <c r="I154" i="2"/>
  <c r="K154" i="2" s="1"/>
  <c r="G155" i="2"/>
  <c r="I155" i="9"/>
  <c r="K155" i="9" s="1"/>
  <c r="G156" i="9"/>
  <c r="I155" i="6" l="1"/>
  <c r="K155" i="6" s="1"/>
  <c r="G156" i="6"/>
  <c r="I155" i="4"/>
  <c r="K155" i="4" s="1"/>
  <c r="G156" i="4"/>
  <c r="I155" i="8"/>
  <c r="K155" i="8" s="1"/>
  <c r="G156" i="8"/>
  <c r="G157" i="3"/>
  <c r="I156" i="3"/>
  <c r="K156" i="3" s="1"/>
  <c r="I155" i="2"/>
  <c r="K155" i="2" s="1"/>
  <c r="G156" i="2"/>
  <c r="G157" i="9"/>
  <c r="I156" i="9"/>
  <c r="K156" i="9" s="1"/>
  <c r="G157" i="6" l="1"/>
  <c r="I156" i="6"/>
  <c r="K156" i="6" s="1"/>
  <c r="I156" i="4"/>
  <c r="K156" i="4" s="1"/>
  <c r="G157" i="4"/>
  <c r="G157" i="8"/>
  <c r="I156" i="8"/>
  <c r="K156" i="8" s="1"/>
  <c r="G158" i="3"/>
  <c r="I157" i="3"/>
  <c r="K157" i="3" s="1"/>
  <c r="G157" i="2"/>
  <c r="I156" i="2"/>
  <c r="K156" i="2" s="1"/>
  <c r="I157" i="9"/>
  <c r="K157" i="9" s="1"/>
  <c r="G158" i="9"/>
  <c r="I157" i="6" l="1"/>
  <c r="K157" i="6" s="1"/>
  <c r="G158" i="6"/>
  <c r="I157" i="4"/>
  <c r="K157" i="4" s="1"/>
  <c r="G158" i="4"/>
  <c r="I157" i="8"/>
  <c r="K157" i="8" s="1"/>
  <c r="G158" i="8"/>
  <c r="I158" i="3"/>
  <c r="K158" i="3" s="1"/>
  <c r="G159" i="3"/>
  <c r="I157" i="2"/>
  <c r="K157" i="2" s="1"/>
  <c r="G158" i="2"/>
  <c r="G159" i="9"/>
  <c r="I158" i="9"/>
  <c r="K158" i="9" s="1"/>
  <c r="I158" i="6" l="1"/>
  <c r="K158" i="6" s="1"/>
  <c r="G159" i="6"/>
  <c r="I158" i="4"/>
  <c r="K158" i="4" s="1"/>
  <c r="G159" i="4"/>
  <c r="I158" i="8"/>
  <c r="K158" i="8" s="1"/>
  <c r="G159" i="8"/>
  <c r="I159" i="3"/>
  <c r="K159" i="3" s="1"/>
  <c r="G160" i="3"/>
  <c r="I158" i="2"/>
  <c r="K158" i="2" s="1"/>
  <c r="G159" i="2"/>
  <c r="I159" i="9"/>
  <c r="K159" i="9" s="1"/>
  <c r="G160" i="9"/>
  <c r="I159" i="6" l="1"/>
  <c r="K159" i="6" s="1"/>
  <c r="G160" i="6"/>
  <c r="I159" i="4"/>
  <c r="K159" i="4" s="1"/>
  <c r="G160" i="4"/>
  <c r="I159" i="8"/>
  <c r="K159" i="8" s="1"/>
  <c r="G160" i="8"/>
  <c r="I160" i="3"/>
  <c r="K160" i="3" s="1"/>
  <c r="G161" i="3"/>
  <c r="I159" i="2"/>
  <c r="K159" i="2" s="1"/>
  <c r="G160" i="2"/>
  <c r="G161" i="9"/>
  <c r="I160" i="9"/>
  <c r="K160" i="9" s="1"/>
  <c r="I160" i="6" l="1"/>
  <c r="K160" i="6" s="1"/>
  <c r="G161" i="6"/>
  <c r="I160" i="4"/>
  <c r="K160" i="4" s="1"/>
  <c r="G161" i="4"/>
  <c r="I160" i="8"/>
  <c r="K160" i="8" s="1"/>
  <c r="G161" i="8"/>
  <c r="G162" i="3"/>
  <c r="I161" i="3"/>
  <c r="K161" i="3" s="1"/>
  <c r="I160" i="2"/>
  <c r="K160" i="2" s="1"/>
  <c r="G161" i="2"/>
  <c r="I161" i="9"/>
  <c r="K161" i="9" s="1"/>
  <c r="G162" i="9"/>
  <c r="I161" i="6" l="1"/>
  <c r="K161" i="6" s="1"/>
  <c r="G162" i="6"/>
  <c r="I161" i="4"/>
  <c r="K161" i="4" s="1"/>
  <c r="G162" i="4"/>
  <c r="I161" i="8"/>
  <c r="K161" i="8" s="1"/>
  <c r="G162" i="8"/>
  <c r="G163" i="3"/>
  <c r="I163" i="3" s="1"/>
  <c r="K163" i="3" s="1"/>
  <c r="I162" i="3"/>
  <c r="K162" i="3" s="1"/>
  <c r="I161" i="2"/>
  <c r="K161" i="2" s="1"/>
  <c r="G162" i="2"/>
  <c r="G163" i="9"/>
  <c r="I163" i="9" s="1"/>
  <c r="K163" i="9" s="1"/>
  <c r="I162" i="9"/>
  <c r="K162" i="9" s="1"/>
  <c r="G163" i="6" l="1"/>
  <c r="I163" i="6" s="1"/>
  <c r="K163" i="6" s="1"/>
  <c r="I162" i="6"/>
  <c r="K162" i="6" s="1"/>
  <c r="G163" i="4"/>
  <c r="I163" i="4" s="1"/>
  <c r="K163" i="4" s="1"/>
  <c r="I162" i="4"/>
  <c r="K162" i="4" s="1"/>
  <c r="G163" i="8"/>
  <c r="I163" i="8" s="1"/>
  <c r="K163" i="8" s="1"/>
  <c r="I162" i="8"/>
  <c r="K162" i="8" s="1"/>
  <c r="G163" i="2"/>
  <c r="I163" i="2" s="1"/>
  <c r="K163" i="2" s="1"/>
  <c r="I162" i="2"/>
  <c r="K162" i="2" s="1"/>
</calcChain>
</file>

<file path=xl/sharedStrings.xml><?xml version="1.0" encoding="utf-8"?>
<sst xmlns="http://schemas.openxmlformats.org/spreadsheetml/2006/main" count="64" uniqueCount="21">
  <si>
    <t>date</t>
  </si>
  <si>
    <t>FIDU</t>
  </si>
  <si>
    <t>VFH</t>
  </si>
  <si>
    <t>IDU</t>
  </si>
  <si>
    <t>IYE</t>
  </si>
  <si>
    <t>IYF</t>
  </si>
  <si>
    <t>IYH</t>
  </si>
  <si>
    <t>IYR</t>
  </si>
  <si>
    <t>IYW</t>
  </si>
  <si>
    <t>* moving avg</t>
  </si>
  <si>
    <t>* avg</t>
  </si>
  <si>
    <t>from ma</t>
  </si>
  <si>
    <t>from avg</t>
  </si>
  <si>
    <t>20 dma</t>
  </si>
  <si>
    <t>XLU</t>
  </si>
  <si>
    <t>XLK</t>
  </si>
  <si>
    <t>XLRE</t>
  </si>
  <si>
    <t>XLV</t>
  </si>
  <si>
    <t>XLF</t>
  </si>
  <si>
    <t>XLE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</si>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</sst>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.0000_);_(* \(#,##0.0000\);_(* &quot;-&quot;??_);_(@_)"/>
    <numFmt numFmtId="167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4" fontId="0" fillId="0" borderId="0" xfId="2" applyFont="1"/>
    <xf numFmtId="44" fontId="3" fillId="0" borderId="0" xfId="2" applyFont="1" applyAlignment="1">
      <alignment horizontal="right"/>
    </xf>
    <xf numFmtId="0" fontId="2" fillId="0" borderId="0" xfId="0" applyFont="1"/>
    <xf numFmtId="165" fontId="3" fillId="0" borderId="0" xfId="1" applyNumberFormat="1" applyFont="1" applyAlignment="1">
      <alignment horizontal="right"/>
    </xf>
    <xf numFmtId="165" fontId="0" fillId="0" borderId="0" xfId="1" applyNumberFormat="1" applyFont="1"/>
    <xf numFmtId="165" fontId="0" fillId="0" borderId="0" xfId="0" applyNumberFormat="1"/>
    <xf numFmtId="44" fontId="3" fillId="0" borderId="0" xfId="2" quotePrefix="1" applyFont="1" applyAlignment="1">
      <alignment horizontal="right"/>
    </xf>
    <xf numFmtId="167" fontId="0" fillId="0" borderId="0" xfId="3" applyNumberFormat="1" applyFont="1"/>
    <xf numFmtId="14" fontId="0" fillId="0" borderId="0" xfId="0" applyNumberFormat="1" applyFont="1"/>
    <xf numFmtId="44" fontId="1" fillId="0" borderId="0" xfId="2" applyFont="1"/>
    <xf numFmtId="0" fontId="0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Financials!$J$1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Financials!$J$2:$J$164</c:f>
              <c:numCache>
                <c:formatCode>0.000%</c:formatCode>
                <c:ptCount val="163"/>
                <c:pt idx="19">
                  <c:v>-4.8908710854209721E-3</c:v>
                </c:pt>
                <c:pt idx="20">
                  <c:v>-2.9438905325749909E-4</c:v>
                </c:pt>
                <c:pt idx="21">
                  <c:v>-2.2328354648683624E-3</c:v>
                </c:pt>
                <c:pt idx="22">
                  <c:v>-1.6969165470985142E-3</c:v>
                </c:pt>
                <c:pt idx="23">
                  <c:v>1.9509658239293633E-4</c:v>
                </c:pt>
                <c:pt idx="24">
                  <c:v>-2.0707566559381232E-3</c:v>
                </c:pt>
                <c:pt idx="25">
                  <c:v>-3.6403539377923059E-3</c:v>
                </c:pt>
                <c:pt idx="26">
                  <c:v>8.4407050176584539E-4</c:v>
                </c:pt>
                <c:pt idx="27">
                  <c:v>1.7257326299505295E-3</c:v>
                </c:pt>
                <c:pt idx="28">
                  <c:v>4.9010849887864798E-4</c:v>
                </c:pt>
                <c:pt idx="29">
                  <c:v>-4.1833584547356891E-3</c:v>
                </c:pt>
                <c:pt idx="30">
                  <c:v>-1.576948009312947E-3</c:v>
                </c:pt>
                <c:pt idx="31">
                  <c:v>-1.6721970146831879E-3</c:v>
                </c:pt>
                <c:pt idx="32">
                  <c:v>-1.7435882922127405E-3</c:v>
                </c:pt>
                <c:pt idx="33">
                  <c:v>1.4865920588192033E-4</c:v>
                </c:pt>
                <c:pt idx="34">
                  <c:v>-4.0211572470642692E-3</c:v>
                </c:pt>
                <c:pt idx="35">
                  <c:v>-4.4074173566494282E-3</c:v>
                </c:pt>
                <c:pt idx="36">
                  <c:v>-1.8442888252346845E-3</c:v>
                </c:pt>
                <c:pt idx="37">
                  <c:v>-1.6593556940957253E-3</c:v>
                </c:pt>
                <c:pt idx="38">
                  <c:v>2.2985587011029058E-3</c:v>
                </c:pt>
                <c:pt idx="39">
                  <c:v>3.198587558515779E-4</c:v>
                </c:pt>
                <c:pt idx="40">
                  <c:v>2.7263251255667592E-3</c:v>
                </c:pt>
                <c:pt idx="41">
                  <c:v>2.3818390632574307E-3</c:v>
                </c:pt>
                <c:pt idx="42">
                  <c:v>3.3360270042041397E-3</c:v>
                </c:pt>
                <c:pt idx="43">
                  <c:v>5.437695918415082E-3</c:v>
                </c:pt>
                <c:pt idx="44">
                  <c:v>5.0019495455917041E-3</c:v>
                </c:pt>
                <c:pt idx="45">
                  <c:v>4.3684002021049974E-3</c:v>
                </c:pt>
                <c:pt idx="46">
                  <c:v>3.8208166203241053E-3</c:v>
                </c:pt>
                <c:pt idx="47">
                  <c:v>3.9204827146879489E-3</c:v>
                </c:pt>
                <c:pt idx="48">
                  <c:v>5.0808560205287704E-3</c:v>
                </c:pt>
                <c:pt idx="49">
                  <c:v>4.6233536822501923E-3</c:v>
                </c:pt>
                <c:pt idx="50">
                  <c:v>1.7895958218659157E-2</c:v>
                </c:pt>
                <c:pt idx="51">
                  <c:v>1.3693665627543119E-2</c:v>
                </c:pt>
                <c:pt idx="52">
                  <c:v>1.3311538507059531E-2</c:v>
                </c:pt>
                <c:pt idx="53">
                  <c:v>1.4825244154671416E-2</c:v>
                </c:pt>
                <c:pt idx="54">
                  <c:v>-2.1890260578683878E-3</c:v>
                </c:pt>
                <c:pt idx="55">
                  <c:v>-2.8183233475019193E-3</c:v>
                </c:pt>
                <c:pt idx="56">
                  <c:v>-2.668721232621735E-3</c:v>
                </c:pt>
                <c:pt idx="57">
                  <c:v>-2.8812088920283771E-3</c:v>
                </c:pt>
                <c:pt idx="58">
                  <c:v>-4.8172786817737862E-3</c:v>
                </c:pt>
                <c:pt idx="59">
                  <c:v>-2.9265314808560395E-3</c:v>
                </c:pt>
                <c:pt idx="60">
                  <c:v>-4.6867819201779088E-3</c:v>
                </c:pt>
                <c:pt idx="61">
                  <c:v>-6.5781749873893465E-3</c:v>
                </c:pt>
                <c:pt idx="62">
                  <c:v>-7.4443990616828827E-3</c:v>
                </c:pt>
                <c:pt idx="63">
                  <c:v>-6.3716828703158004E-3</c:v>
                </c:pt>
                <c:pt idx="64">
                  <c:v>-7.1542081733394361E-3</c:v>
                </c:pt>
                <c:pt idx="65">
                  <c:v>-6.6555298524456014E-3</c:v>
                </c:pt>
                <c:pt idx="66">
                  <c:v>-7.237195160813629E-3</c:v>
                </c:pt>
                <c:pt idx="67">
                  <c:v>-7.1531128289400612E-3</c:v>
                </c:pt>
                <c:pt idx="68">
                  <c:v>-5.8299699563189077E-3</c:v>
                </c:pt>
                <c:pt idx="69">
                  <c:v>-5.7308132901011059E-3</c:v>
                </c:pt>
                <c:pt idx="70">
                  <c:v>-3.6431169394186154E-3</c:v>
                </c:pt>
                <c:pt idx="71">
                  <c:v>-2.587182147181055E-3</c:v>
                </c:pt>
                <c:pt idx="72">
                  <c:v>-2.501674768514062E-3</c:v>
                </c:pt>
                <c:pt idx="73">
                  <c:v>-1.8512659520847218E-3</c:v>
                </c:pt>
                <c:pt idx="74">
                  <c:v>-3.199020738516559E-3</c:v>
                </c:pt>
                <c:pt idx="75">
                  <c:v>-1.6373205581767323E-3</c:v>
                </c:pt>
                <c:pt idx="76">
                  <c:v>-3.3661852280906556E-3</c:v>
                </c:pt>
                <c:pt idx="77">
                  <c:v>-3.2270682056002556E-3</c:v>
                </c:pt>
                <c:pt idx="78">
                  <c:v>-1.8980936599580184E-3</c:v>
                </c:pt>
                <c:pt idx="79">
                  <c:v>-2.5797479409055148E-3</c:v>
                </c:pt>
                <c:pt idx="80">
                  <c:v>7.9952191024212724E-3</c:v>
                </c:pt>
                <c:pt idx="81">
                  <c:v>2.5199249220366755E-3</c:v>
                </c:pt>
                <c:pt idx="82">
                  <c:v>2.0958606126539295E-3</c:v>
                </c:pt>
                <c:pt idx="83">
                  <c:v>3.6555887362872655E-3</c:v>
                </c:pt>
                <c:pt idx="84">
                  <c:v>-3.6550913310580597E-4</c:v>
                </c:pt>
                <c:pt idx="85">
                  <c:v>-2.2759485650677542E-3</c:v>
                </c:pt>
                <c:pt idx="86">
                  <c:v>1.2290805892018514E-3</c:v>
                </c:pt>
                <c:pt idx="87">
                  <c:v>-9.8306985370277366E-4</c:v>
                </c:pt>
                <c:pt idx="88">
                  <c:v>1.6725614203142566E-3</c:v>
                </c:pt>
                <c:pt idx="89">
                  <c:v>2.2946315354679218E-3</c:v>
                </c:pt>
                <c:pt idx="90">
                  <c:v>8.9766359613482915E-4</c:v>
                </c:pt>
                <c:pt idx="91">
                  <c:v>6.9972832864546104E-4</c:v>
                </c:pt>
                <c:pt idx="92">
                  <c:v>2.883592061786313E-3</c:v>
                </c:pt>
                <c:pt idx="93">
                  <c:v>4.9751745618979246E-3</c:v>
                </c:pt>
                <c:pt idx="94">
                  <c:v>4.1859277627717389E-3</c:v>
                </c:pt>
                <c:pt idx="95">
                  <c:v>2.9706564776878315E-3</c:v>
                </c:pt>
                <c:pt idx="96">
                  <c:v>5.8214587392201218E-4</c:v>
                </c:pt>
                <c:pt idx="97">
                  <c:v>1.1686052466332326E-3</c:v>
                </c:pt>
                <c:pt idx="98">
                  <c:v>-8.8719578802098572E-4</c:v>
                </c:pt>
                <c:pt idx="99">
                  <c:v>1.0149020773528219E-3</c:v>
                </c:pt>
                <c:pt idx="100">
                  <c:v>1.0942308345420646E-3</c:v>
                </c:pt>
                <c:pt idx="101">
                  <c:v>1.4221372316228079E-3</c:v>
                </c:pt>
                <c:pt idx="102">
                  <c:v>9.7061348405199884E-4</c:v>
                </c:pt>
                <c:pt idx="103">
                  <c:v>-2.0924742660293908E-3</c:v>
                </c:pt>
                <c:pt idx="104">
                  <c:v>-2.2721995501743604E-3</c:v>
                </c:pt>
                <c:pt idx="105">
                  <c:v>-2.5675003480185327E-3</c:v>
                </c:pt>
                <c:pt idx="106">
                  <c:v>-1.9354314762882662E-3</c:v>
                </c:pt>
                <c:pt idx="107">
                  <c:v>-2.7528425526254707E-3</c:v>
                </c:pt>
                <c:pt idx="108">
                  <c:v>-2.0923965195877854E-3</c:v>
                </c:pt>
                <c:pt idx="109">
                  <c:v>-3.4869532915958049E-3</c:v>
                </c:pt>
                <c:pt idx="110">
                  <c:v>-5.7314218050245553E-3</c:v>
                </c:pt>
                <c:pt idx="111">
                  <c:v>-5.5660313368356123E-3</c:v>
                </c:pt>
                <c:pt idx="112">
                  <c:v>-9.1153637910335397E-4</c:v>
                </c:pt>
                <c:pt idx="113">
                  <c:v>1.6843396926371794E-3</c:v>
                </c:pt>
                <c:pt idx="114">
                  <c:v>1.548596455391556E-3</c:v>
                </c:pt>
                <c:pt idx="115">
                  <c:v>9.3693070927222556E-3</c:v>
                </c:pt>
                <c:pt idx="116">
                  <c:v>-2.5198448864272006E-3</c:v>
                </c:pt>
                <c:pt idx="117">
                  <c:v>-3.0248140594898209E-3</c:v>
                </c:pt>
                <c:pt idx="118">
                  <c:v>9.6427324535697397E-4</c:v>
                </c:pt>
                <c:pt idx="119">
                  <c:v>4.8906752668226945E-4</c:v>
                </c:pt>
                <c:pt idx="120">
                  <c:v>1.008938194862829E-3</c:v>
                </c:pt>
                <c:pt idx="121">
                  <c:v>4.7299653793008564E-3</c:v>
                </c:pt>
                <c:pt idx="122">
                  <c:v>4.2341811349002239E-3</c:v>
                </c:pt>
                <c:pt idx="123">
                  <c:v>4.4386415573943573E-3</c:v>
                </c:pt>
                <c:pt idx="124">
                  <c:v>6.5770492537717846E-3</c:v>
                </c:pt>
                <c:pt idx="125">
                  <c:v>2.6136325389775231E-3</c:v>
                </c:pt>
                <c:pt idx="126">
                  <c:v>1.0233018797876615E-3</c:v>
                </c:pt>
                <c:pt idx="127">
                  <c:v>-6.3205985815068769E-4</c:v>
                </c:pt>
                <c:pt idx="128">
                  <c:v>-5.0313820143468503E-5</c:v>
                </c:pt>
                <c:pt idx="129">
                  <c:v>-5.5111450088437338E-4</c:v>
                </c:pt>
                <c:pt idx="130">
                  <c:v>2.7780705999158198E-3</c:v>
                </c:pt>
                <c:pt idx="131">
                  <c:v>1.7321196536795238E-3</c:v>
                </c:pt>
                <c:pt idx="132">
                  <c:v>1.8103233194093058E-3</c:v>
                </c:pt>
                <c:pt idx="133">
                  <c:v>4.4473613963677801E-3</c:v>
                </c:pt>
                <c:pt idx="134">
                  <c:v>2.513102598636983E-3</c:v>
                </c:pt>
                <c:pt idx="135">
                  <c:v>4.060011257521195E-3</c:v>
                </c:pt>
                <c:pt idx="136">
                  <c:v>2.4246649944157867E-3</c:v>
                </c:pt>
                <c:pt idx="137">
                  <c:v>7.5145670504625647E-4</c:v>
                </c:pt>
                <c:pt idx="138">
                  <c:v>-1.945997715805194E-5</c:v>
                </c:pt>
                <c:pt idx="139">
                  <c:v>-7.4580880305412064E-4</c:v>
                </c:pt>
                <c:pt idx="140">
                  <c:v>8.6585137047116834E-4</c:v>
                </c:pt>
                <c:pt idx="141">
                  <c:v>2.0303058114700678E-3</c:v>
                </c:pt>
                <c:pt idx="142">
                  <c:v>4.3744469058697288E-3</c:v>
                </c:pt>
                <c:pt idx="143">
                  <c:v>5.3446798511818704E-3</c:v>
                </c:pt>
                <c:pt idx="144">
                  <c:v>5.0455760778854815E-3</c:v>
                </c:pt>
                <c:pt idx="145">
                  <c:v>3.1168129190151167E-3</c:v>
                </c:pt>
                <c:pt idx="146">
                  <c:v>2.9739949301723608E-3</c:v>
                </c:pt>
                <c:pt idx="147">
                  <c:v>1.9816948764857819E-3</c:v>
                </c:pt>
                <c:pt idx="148">
                  <c:v>3.0342829506101714E-3</c:v>
                </c:pt>
                <c:pt idx="149">
                  <c:v>-1.2630294472637427E-3</c:v>
                </c:pt>
                <c:pt idx="150">
                  <c:v>-1.2293150999540562E-3</c:v>
                </c:pt>
                <c:pt idx="151">
                  <c:v>-1.5929820782099031E-3</c:v>
                </c:pt>
                <c:pt idx="152">
                  <c:v>-2.2066935317945698E-3</c:v>
                </c:pt>
                <c:pt idx="153">
                  <c:v>-1.794683200117522E-3</c:v>
                </c:pt>
                <c:pt idx="154">
                  <c:v>-1.8697275286638929E-3</c:v>
                </c:pt>
                <c:pt idx="155">
                  <c:v>-2.4332701618343996E-3</c:v>
                </c:pt>
                <c:pt idx="156">
                  <c:v>7.6703306738564662E-4</c:v>
                </c:pt>
                <c:pt idx="157">
                  <c:v>1.5169925283201246E-3</c:v>
                </c:pt>
                <c:pt idx="158">
                  <c:v>2.1840441844678633E-3</c:v>
                </c:pt>
                <c:pt idx="159">
                  <c:v>1.3059488103191483E-3</c:v>
                </c:pt>
                <c:pt idx="160">
                  <c:v>4.9631680617104566E-3</c:v>
                </c:pt>
                <c:pt idx="161">
                  <c:v>4.2673784043844656E-3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8-4484-A276-AFC222F20FE8}"/>
            </c:ext>
          </c:extLst>
        </c:ser>
        <c:ser>
          <c:idx val="1"/>
          <c:order val="1"/>
          <c:tx>
            <c:strRef>
              <c:f>Financials!$K$1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Financials!$K$2:$K$164</c:f>
              <c:numCache>
                <c:formatCode>0.000%</c:formatCode>
                <c:ptCount val="163"/>
                <c:pt idx="19">
                  <c:v>-3.2967721843197742E-3</c:v>
                </c:pt>
                <c:pt idx="20">
                  <c:v>8.9340638560060377E-4</c:v>
                </c:pt>
                <c:pt idx="21">
                  <c:v>-1.4574276704250589E-3</c:v>
                </c:pt>
                <c:pt idx="22">
                  <c:v>-1.4913186959477698E-3</c:v>
                </c:pt>
                <c:pt idx="23">
                  <c:v>-2.1715021621289572E-4</c:v>
                </c:pt>
                <c:pt idx="24">
                  <c:v>-3.1466094167771487E-3</c:v>
                </c:pt>
                <c:pt idx="25">
                  <c:v>-5.429586906556514E-3</c:v>
                </c:pt>
                <c:pt idx="26">
                  <c:v>-1.240504518952245E-3</c:v>
                </c:pt>
                <c:pt idx="27">
                  <c:v>-3.7820442387667328E-4</c:v>
                </c:pt>
                <c:pt idx="28">
                  <c:v>-1.6908021842179863E-3</c:v>
                </c:pt>
                <c:pt idx="29">
                  <c:v>-6.5920000355760055E-3</c:v>
                </c:pt>
                <c:pt idx="30">
                  <c:v>-4.122960888202006E-3</c:v>
                </c:pt>
                <c:pt idx="31">
                  <c:v>-4.3398950393035299E-3</c:v>
                </c:pt>
                <c:pt idx="32">
                  <c:v>-4.4402486670375085E-3</c:v>
                </c:pt>
                <c:pt idx="33">
                  <c:v>-2.579907906537322E-3</c:v>
                </c:pt>
                <c:pt idx="34">
                  <c:v>-6.9675485949754279E-3</c:v>
                </c:pt>
                <c:pt idx="35">
                  <c:v>-7.6249293149276177E-3</c:v>
                </c:pt>
                <c:pt idx="36">
                  <c:v>-5.083544439658352E-3</c:v>
                </c:pt>
                <c:pt idx="37">
                  <c:v>-4.9392157514392011E-3</c:v>
                </c:pt>
                <c:pt idx="38">
                  <c:v>-9.5946483168717544E-4</c:v>
                </c:pt>
                <c:pt idx="39">
                  <c:v>-2.9192934950011584E-3</c:v>
                </c:pt>
                <c:pt idx="40">
                  <c:v>-5.8657274822623232E-4</c:v>
                </c:pt>
                <c:pt idx="41">
                  <c:v>-9.034168972744637E-4</c:v>
                </c:pt>
                <c:pt idx="42">
                  <c:v>1.31714843637957E-4</c:v>
                </c:pt>
                <c:pt idx="43">
                  <c:v>2.3617887018507516E-3</c:v>
                </c:pt>
                <c:pt idx="44">
                  <c:v>2.1923323526788466E-3</c:v>
                </c:pt>
                <c:pt idx="45">
                  <c:v>1.9262545178825061E-3</c:v>
                </c:pt>
                <c:pt idx="46">
                  <c:v>1.5161584306682288E-3</c:v>
                </c:pt>
                <c:pt idx="47">
                  <c:v>1.7204509955066865E-3</c:v>
                </c:pt>
                <c:pt idx="48">
                  <c:v>3.1207296404053494E-3</c:v>
                </c:pt>
                <c:pt idx="49">
                  <c:v>3.1503487375083203E-3</c:v>
                </c:pt>
                <c:pt idx="50">
                  <c:v>1.7495698453173236E-2</c:v>
                </c:pt>
                <c:pt idx="51">
                  <c:v>1.421673662804681E-2</c:v>
                </c:pt>
                <c:pt idx="52">
                  <c:v>1.479224326589325E-2</c:v>
                </c:pt>
                <c:pt idx="53">
                  <c:v>1.7294343608546411E-2</c:v>
                </c:pt>
                <c:pt idx="54">
                  <c:v>6.6386970868226888E-4</c:v>
                </c:pt>
                <c:pt idx="55">
                  <c:v>4.4053674179767564E-4</c:v>
                </c:pt>
                <c:pt idx="56">
                  <c:v>8.9049008487394508E-4</c:v>
                </c:pt>
                <c:pt idx="57">
                  <c:v>9.7542221289351444E-4</c:v>
                </c:pt>
                <c:pt idx="58">
                  <c:v>-9.6071014305789825E-4</c:v>
                </c:pt>
                <c:pt idx="59">
                  <c:v>1.1336708910007567E-3</c:v>
                </c:pt>
                <c:pt idx="60">
                  <c:v>-6.2869553975480484E-4</c:v>
                </c:pt>
                <c:pt idx="61">
                  <c:v>-2.6056950373244542E-3</c:v>
                </c:pt>
                <c:pt idx="62">
                  <c:v>-3.6627142239752958E-3</c:v>
                </c:pt>
                <c:pt idx="63">
                  <c:v>-2.8516897629219601E-3</c:v>
                </c:pt>
                <c:pt idx="64">
                  <c:v>-3.9422481529582326E-3</c:v>
                </c:pt>
                <c:pt idx="65">
                  <c:v>-3.7273764069798709E-3</c:v>
                </c:pt>
                <c:pt idx="66">
                  <c:v>-4.6170307032577362E-3</c:v>
                </c:pt>
                <c:pt idx="67">
                  <c:v>-4.8634733354337824E-3</c:v>
                </c:pt>
                <c:pt idx="68">
                  <c:v>-3.8918369829879533E-3</c:v>
                </c:pt>
                <c:pt idx="69">
                  <c:v>-4.1589738922418445E-3</c:v>
                </c:pt>
                <c:pt idx="70">
                  <c:v>-3.0945034623530965E-3</c:v>
                </c:pt>
                <c:pt idx="71">
                  <c:v>-2.8891475968507592E-3</c:v>
                </c:pt>
                <c:pt idx="72">
                  <c:v>-3.72363658630447E-3</c:v>
                </c:pt>
                <c:pt idx="73">
                  <c:v>-4.1358673119423778E-3</c:v>
                </c:pt>
                <c:pt idx="74">
                  <c:v>-5.8072175608005509E-3</c:v>
                </c:pt>
                <c:pt idx="75">
                  <c:v>-4.4919689295731587E-3</c:v>
                </c:pt>
                <c:pt idx="76">
                  <c:v>-6.5950400687201805E-3</c:v>
                </c:pt>
                <c:pt idx="77">
                  <c:v>-6.846846418912019E-3</c:v>
                </c:pt>
                <c:pt idx="78">
                  <c:v>-5.7576266889491981E-3</c:v>
                </c:pt>
                <c:pt idx="79">
                  <c:v>-6.8373525398714944E-3</c:v>
                </c:pt>
                <c:pt idx="80">
                  <c:v>3.9660190682252357E-3</c:v>
                </c:pt>
                <c:pt idx="81">
                  <c:v>-1.4516884353931708E-3</c:v>
                </c:pt>
                <c:pt idx="82">
                  <c:v>-1.7818210833837474E-3</c:v>
                </c:pt>
                <c:pt idx="83">
                  <c:v>-8.4033656799114851E-5</c:v>
                </c:pt>
                <c:pt idx="84">
                  <c:v>-4.1137068991503609E-3</c:v>
                </c:pt>
                <c:pt idx="85">
                  <c:v>-6.1451725557826456E-3</c:v>
                </c:pt>
                <c:pt idx="86">
                  <c:v>-2.5361230334518307E-3</c:v>
                </c:pt>
                <c:pt idx="87">
                  <c:v>-4.7422036802246999E-3</c:v>
                </c:pt>
                <c:pt idx="88">
                  <c:v>-1.9916354375622727E-3</c:v>
                </c:pt>
                <c:pt idx="89">
                  <c:v>-1.222893293435251E-3</c:v>
                </c:pt>
                <c:pt idx="90">
                  <c:v>-2.5948974205276874E-3</c:v>
                </c:pt>
                <c:pt idx="91">
                  <c:v>-2.7877669578209655E-3</c:v>
                </c:pt>
                <c:pt idx="92">
                  <c:v>-4.3993527793324453E-4</c:v>
                </c:pt>
                <c:pt idx="93">
                  <c:v>1.955587129347638E-3</c:v>
                </c:pt>
                <c:pt idx="94">
                  <c:v>1.5331005479250757E-3</c:v>
                </c:pt>
                <c:pt idx="95">
                  <c:v>5.7082610912214315E-4</c:v>
                </c:pt>
                <c:pt idx="96">
                  <c:v>-1.5657658300801142E-3</c:v>
                </c:pt>
                <c:pt idx="97">
                  <c:v>-6.6991368333292449E-4</c:v>
                </c:pt>
                <c:pt idx="98">
                  <c:v>-2.5657361312801511E-3</c:v>
                </c:pt>
                <c:pt idx="99">
                  <c:v>-3.3799584255221122E-4</c:v>
                </c:pt>
                <c:pt idx="100">
                  <c:v>-4.8026999457550769E-4</c:v>
                </c:pt>
                <c:pt idx="101">
                  <c:v>-8.4033656799114851E-5</c:v>
                </c:pt>
                <c:pt idx="102">
                  <c:v>-4.6998856151307791E-4</c:v>
                </c:pt>
                <c:pt idx="103">
                  <c:v>-3.7146753008404036E-3</c:v>
                </c:pt>
                <c:pt idx="104">
                  <c:v>-3.8828291698877414E-3</c:v>
                </c:pt>
                <c:pt idx="105">
                  <c:v>-4.0742136492568793E-3</c:v>
                </c:pt>
                <c:pt idx="106">
                  <c:v>-3.4899046056403003E-3</c:v>
                </c:pt>
                <c:pt idx="107">
                  <c:v>-4.2843551574899968E-3</c:v>
                </c:pt>
                <c:pt idx="108">
                  <c:v>-3.7099337714471127E-3</c:v>
                </c:pt>
                <c:pt idx="109">
                  <c:v>-5.3091180651609511E-3</c:v>
                </c:pt>
                <c:pt idx="110">
                  <c:v>-7.8154655479536345E-3</c:v>
                </c:pt>
                <c:pt idx="111">
                  <c:v>-7.9068322658823725E-3</c:v>
                </c:pt>
                <c:pt idx="112">
                  <c:v>-3.4002814708617443E-3</c:v>
                </c:pt>
                <c:pt idx="113">
                  <c:v>-9.4920044771726786E-4</c:v>
                </c:pt>
                <c:pt idx="114">
                  <c:v>-1.2223217056872323E-3</c:v>
                </c:pt>
                <c:pt idx="115">
                  <c:v>6.9135147247376709E-3</c:v>
                </c:pt>
                <c:pt idx="116">
                  <c:v>-5.1552582886544235E-3</c:v>
                </c:pt>
                <c:pt idx="117">
                  <c:v>-5.9230223506709949E-3</c:v>
                </c:pt>
                <c:pt idx="118">
                  <c:v>-1.9007050432228328E-3</c:v>
                </c:pt>
                <c:pt idx="119">
                  <c:v>-2.482999343362928E-3</c:v>
                </c:pt>
                <c:pt idx="120">
                  <c:v>-2.0410302185429972E-3</c:v>
                </c:pt>
                <c:pt idx="121">
                  <c:v>1.7724654342390963E-3</c:v>
                </c:pt>
                <c:pt idx="122">
                  <c:v>1.3682865697795207E-3</c:v>
                </c:pt>
                <c:pt idx="123">
                  <c:v>1.8505074811040146E-3</c:v>
                </c:pt>
                <c:pt idx="124">
                  <c:v>4.4020685938092868E-3</c:v>
                </c:pt>
                <c:pt idx="125">
                  <c:v>6.760820621888289E-4</c:v>
                </c:pt>
                <c:pt idx="126">
                  <c:v>-7.7864995859279354E-4</c:v>
                </c:pt>
                <c:pt idx="127">
                  <c:v>-2.3364654098426362E-3</c:v>
                </c:pt>
                <c:pt idx="128">
                  <c:v>-1.6517019218397597E-3</c:v>
                </c:pt>
                <c:pt idx="129">
                  <c:v>-1.9859920305208109E-3</c:v>
                </c:pt>
                <c:pt idx="130">
                  <c:v>1.8261445767019339E-3</c:v>
                </c:pt>
                <c:pt idx="131">
                  <c:v>1.2386658133256034E-3</c:v>
                </c:pt>
                <c:pt idx="132">
                  <c:v>1.5652841722071508E-3</c:v>
                </c:pt>
                <c:pt idx="133">
                  <c:v>4.4729217626576882E-3</c:v>
                </c:pt>
                <c:pt idx="134">
                  <c:v>2.7364778945249304E-3</c:v>
                </c:pt>
                <c:pt idx="135">
                  <c:v>4.1457396081963395E-3</c:v>
                </c:pt>
                <c:pt idx="136">
                  <c:v>2.9144483427102721E-3</c:v>
                </c:pt>
                <c:pt idx="137">
                  <c:v>1.6194327254198749E-3</c:v>
                </c:pt>
                <c:pt idx="138">
                  <c:v>9.9342443950684034E-4</c:v>
                </c:pt>
                <c:pt idx="139">
                  <c:v>4.1213996249911113E-4</c:v>
                </c:pt>
                <c:pt idx="140">
                  <c:v>2.2380016250328223E-3</c:v>
                </c:pt>
                <c:pt idx="141">
                  <c:v>3.4881353837282235E-3</c:v>
                </c:pt>
                <c:pt idx="142">
                  <c:v>6.0666943135212351E-3</c:v>
                </c:pt>
                <c:pt idx="143">
                  <c:v>7.3091076792659625E-3</c:v>
                </c:pt>
                <c:pt idx="144">
                  <c:v>7.1467242180671495E-3</c:v>
                </c:pt>
                <c:pt idx="145">
                  <c:v>5.4567948153260168E-3</c:v>
                </c:pt>
                <c:pt idx="146">
                  <c:v>5.6346663826586417E-3</c:v>
                </c:pt>
                <c:pt idx="147">
                  <c:v>5.0102575609483994E-3</c:v>
                </c:pt>
                <c:pt idx="148">
                  <c:v>6.4692275317182711E-3</c:v>
                </c:pt>
                <c:pt idx="149">
                  <c:v>2.391523803277389E-3</c:v>
                </c:pt>
                <c:pt idx="150">
                  <c:v>2.4568201788855914E-3</c:v>
                </c:pt>
                <c:pt idx="151">
                  <c:v>2.1382219670015162E-3</c:v>
                </c:pt>
                <c:pt idx="152">
                  <c:v>1.5223595866924243E-3</c:v>
                </c:pt>
                <c:pt idx="153">
                  <c:v>1.800687970064962E-3</c:v>
                </c:pt>
                <c:pt idx="154">
                  <c:v>1.6723653744805584E-3</c:v>
                </c:pt>
                <c:pt idx="155">
                  <c:v>9.4883094479614974E-4</c:v>
                </c:pt>
                <c:pt idx="156">
                  <c:v>4.214107405117541E-3</c:v>
                </c:pt>
                <c:pt idx="157">
                  <c:v>5.1401291211959606E-3</c:v>
                </c:pt>
                <c:pt idx="158">
                  <c:v>6.0605960936819117E-3</c:v>
                </c:pt>
                <c:pt idx="159">
                  <c:v>5.4338580115440051E-3</c:v>
                </c:pt>
                <c:pt idx="160">
                  <c:v>9.4511833540405765E-3</c:v>
                </c:pt>
                <c:pt idx="161">
                  <c:v>9.0321418684070828E-3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C8-4484-A276-AFC222F20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253152"/>
        <c:axId val="1630434736"/>
      </c:lineChart>
      <c:catAx>
        <c:axId val="268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34736"/>
        <c:crosses val="autoZero"/>
        <c:auto val="1"/>
        <c:lblAlgn val="ctr"/>
        <c:lblOffset val="100"/>
        <c:noMultiLvlLbl val="0"/>
      </c:catAx>
      <c:valAx>
        <c:axId val="16304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2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Financials!$F$1:$F$168</c:f>
              <c:numCache>
                <c:formatCode>General</c:formatCode>
                <c:ptCount val="168"/>
                <c:pt idx="0">
                  <c:v>0</c:v>
                </c:pt>
                <c:pt idx="20" formatCode="_(* #,##0.0000_);_(* \(#,##0.0000\);_(* &quot;-&quot;??_);_(@_)">
                  <c:v>2.3779371371074984</c:v>
                </c:pt>
                <c:pt idx="21" formatCode="_(* #,##0.0000_);_(* \(#,##0.0000\);_(* &quot;-&quot;??_);_(@_)">
                  <c:v>2.3789034975037948</c:v>
                </c:pt>
                <c:pt idx="22" formatCode="_(* #,##0.0000_);_(* \(#,##0.0000\);_(* &quot;-&quot;??_);_(@_)">
                  <c:v>2.3798847302236399</c:v>
                </c:pt>
                <c:pt idx="23" formatCode="_(* #,##0.0000_);_(* \(#,##0.0000\);_(* &quot;-&quot;??_);_(@_)">
                  <c:v>2.3812411986347035</c:v>
                </c:pt>
                <c:pt idx="24" formatCode="_(* #,##0.0000_);_(* \(#,##0.0000\);_(* &quot;-&quot;??_);_(@_)">
                  <c:v>2.3827128903606738</c:v>
                </c:pt>
                <c:pt idx="25" formatCode="_(* #,##0.0000_);_(* \(#,##0.0000\);_(* &quot;-&quot;??_);_(@_)">
                  <c:v>2.3842945975981387</c:v>
                </c:pt>
                <c:pt idx="26" formatCode="_(* #,##0.0000_);_(* \(#,##0.0000\);_(* &quot;-&quot;??_);_(@_)">
                  <c:v>2.3859961130154788</c:v>
                </c:pt>
                <c:pt idx="27" formatCode="_(* #,##0.0000_);_(* \(#,##0.0000\);_(* &quot;-&quot;??_);_(@_)">
                  <c:v>2.3867009020752517</c:v>
                </c:pt>
                <c:pt idx="28" formatCode="_(* #,##0.0000_);_(* \(#,##0.0000\);_(* &quot;-&quot;??_);_(@_)">
                  <c:v>2.3867471139045149</c:v>
                </c:pt>
                <c:pt idx="29" formatCode="_(* #,##0.0000_);_(* \(#,##0.0000\);_(* &quot;-&quot;??_);_(@_)">
                  <c:v>2.3869308375628684</c:v>
                </c:pt>
                <c:pt idx="30" formatCode="_(* #,##0.0000_);_(* \(#,##0.0000\);_(* &quot;-&quot;??_);_(@_)">
                  <c:v>2.3874744773647993</c:v>
                </c:pt>
                <c:pt idx="31" formatCode="_(* #,##0.0000_);_(* \(#,##0.0000\);_(* &quot;-&quot;??_);_(@_)">
                  <c:v>2.3878024703607088</c:v>
                </c:pt>
                <c:pt idx="32" formatCode="_(* #,##0.0000_);_(* \(#,##0.0000\);_(* &quot;-&quot;??_);_(@_)">
                  <c:v>2.3880930481314331</c:v>
                </c:pt>
                <c:pt idx="33" formatCode="_(* #,##0.0000_);_(* \(#,##0.0000\);_(* &quot;-&quot;??_);_(@_)">
                  <c:v>2.3881622139202108</c:v>
                </c:pt>
                <c:pt idx="34" formatCode="_(* #,##0.0000_);_(* \(#,##0.0000\);_(* &quot;-&quot;??_);_(@_)">
                  <c:v>2.3882384136009387</c:v>
                </c:pt>
                <c:pt idx="35" formatCode="_(* #,##0.0000_);_(* \(#,##0.0000\);_(* &quot;-&quot;??_);_(@_)">
                  <c:v>2.3887586864695165</c:v>
                </c:pt>
                <c:pt idx="36" formatCode="_(* #,##0.0000_);_(* \(#,##0.0000\);_(* &quot;-&quot;??_);_(@_)">
                  <c:v>2.3894064159850545</c:v>
                </c:pt>
                <c:pt idx="37" formatCode="_(* #,##0.0000_);_(* \(#,##0.0000\);_(* &quot;-&quot;??_);_(@_)">
                  <c:v>2.3894583709813992</c:v>
                </c:pt>
                <c:pt idx="38" formatCode="_(* #,##0.0000_);_(* \(#,##0.0000\);_(* &quot;-&quot;??_);_(@_)">
                  <c:v>2.3895553955772346</c:v>
                </c:pt>
                <c:pt idx="39" formatCode="_(* #,##0.0000_);_(* \(#,##0.0000\);_(* &quot;-&quot;??_);_(@_)">
                  <c:v>2.3895032165618737</c:v>
                </c:pt>
                <c:pt idx="40" formatCode="_(* #,##0.0000_);_(* \(#,##0.0000\);_(* &quot;-&quot;??_);_(@_)">
                  <c:v>2.3894581239984625</c:v>
                </c:pt>
                <c:pt idx="41" formatCode="_(* #,##0.0000_);_(* \(#,##0.0000\);_(* &quot;-&quot;??_);_(@_)">
                  <c:v>2.3896343425739008</c:v>
                </c:pt>
                <c:pt idx="42" formatCode="_(* #,##0.0000_);_(* \(#,##0.0000\);_(* &quot;-&quot;??_);_(@_)">
                  <c:v>2.3895682894215993</c:v>
                </c:pt>
                <c:pt idx="43" formatCode="_(* #,##0.0000_);_(* \(#,##0.0000\);_(* &quot;-&quot;??_);_(@_)">
                  <c:v>2.3893748765118694</c:v>
                </c:pt>
                <c:pt idx="44" formatCode="_(* #,##0.0000_);_(* \(#,##0.0000\);_(* &quot;-&quot;??_);_(@_)">
                  <c:v>2.3890680886616114</c:v>
                </c:pt>
                <c:pt idx="45" formatCode="_(* #,##0.0000_);_(* \(#,##0.0000\);_(* &quot;-&quot;??_);_(@_)">
                  <c:v>2.3884319883611176</c:v>
                </c:pt>
                <c:pt idx="46" formatCode="_(* #,##0.0000_);_(* \(#,##0.0000\);_(* &quot;-&quot;??_);_(@_)">
                  <c:v>2.3875544688965258</c:v>
                </c:pt>
                <c:pt idx="47" formatCode="_(* #,##0.0000_);_(* \(#,##0.0000\);_(* &quot;-&quot;??_);_(@_)">
                  <c:v>2.3872262325791676</c:v>
                </c:pt>
                <c:pt idx="48" formatCode="_(* #,##0.0000_);_(* \(#,##0.0000\);_(* &quot;-&quot;??_);_(@_)">
                  <c:v>2.3869764785898955</c:v>
                </c:pt>
                <c:pt idx="49" formatCode="_(* #,##0.0000_);_(* \(#,##0.0000\);_(* &quot;-&quot;??_);_(@_)">
                  <c:v>2.3864038988736875</c:v>
                </c:pt>
                <c:pt idx="50" formatCode="_(* #,##0.0000_);_(* \(#,##0.0000\);_(* &quot;-&quot;??_);_(@_)">
                  <c:v>2.3852417134667614</c:v>
                </c:pt>
                <c:pt idx="51" formatCode="_(* #,##0.0000_);_(* \(#,##0.0000\);_(* &quot;-&quot;??_);_(@_)">
                  <c:v>2.382684328873526</c:v>
                </c:pt>
                <c:pt idx="52" formatCode="_(* #,##0.0000_);_(* \(#,##0.0000\);_(* &quot;-&quot;??_);_(@_)">
                  <c:v>2.3804853384810043</c:v>
                </c:pt>
                <c:pt idx="53" formatCode="_(* #,##0.0000_);_(* \(#,##0.0000\);_(* &quot;-&quot;??_);_(@_)">
                  <c:v>2.3782067965381377</c:v>
                </c:pt>
                <c:pt idx="54" formatCode="_(* #,##0.0000_);_(* \(#,##0.0000\);_(* &quot;-&quot;??_);_(@_)">
                  <c:v>2.3758573508378307</c:v>
                </c:pt>
                <c:pt idx="55" formatCode="_(* #,##0.0000_);_(* \(#,##0.0000\);_(* &quot;-&quot;??_);_(@_)">
                  <c:v>2.3749456805061824</c:v>
                </c:pt>
                <c:pt idx="56" formatCode="_(* #,##0.0000_);_(* \(#,##0.0000\);_(* &quot;-&quot;??_);_(@_)">
                  <c:v>2.3739817329688235</c:v>
                </c:pt>
                <c:pt idx="57" formatCode="_(* #,##0.0000_);_(* \(#,##0.0000\);_(* &quot;-&quot;??_);_(@_)">
                  <c:v>2.3732688117083591</c:v>
                </c:pt>
                <c:pt idx="58" formatCode="_(* #,##0.0000_);_(* \(#,##0.0000\);_(* &quot;-&quot;??_);_(@_)">
                  <c:v>2.372563059560405</c:v>
                </c:pt>
                <c:pt idx="59" formatCode="_(* #,##0.0000_);_(* \(#,##0.0000\);_(* &quot;-&quot;??_);_(@_)">
                  <c:v>2.3725632080026786</c:v>
                </c:pt>
                <c:pt idx="60" formatCode="_(* #,##0.0000_);_(* \(#,##0.0000\);_(* &quot;-&quot;??_);_(@_)">
                  <c:v>2.3720801230501536</c:v>
                </c:pt>
                <c:pt idx="61" formatCode="_(* #,##0.0000_);_(* \(#,##0.0000\);_(* &quot;-&quot;??_);_(@_)">
                  <c:v>2.3720851423566844</c:v>
                </c:pt>
                <c:pt idx="62" formatCode="_(* #,##0.0000_);_(* \(#,##0.0000\);_(* &quot;-&quot;??_);_(@_)">
                  <c:v>2.3722882167903419</c:v>
                </c:pt>
                <c:pt idx="63" formatCode="_(* #,##0.0000_);_(* \(#,##0.0000\);_(* &quot;-&quot;??_);_(@_)">
                  <c:v>2.3727408809688919</c:v>
                </c:pt>
                <c:pt idx="64" formatCode="_(* #,##0.0000_);_(* \(#,##0.0000\);_(* &quot;-&quot;??_);_(@_)">
                  <c:v>2.3733618888883932</c:v>
                </c:pt>
                <c:pt idx="65" formatCode="_(* #,##0.0000_);_(* \(#,##0.0000\);_(* &quot;-&quot;??_);_(@_)">
                  <c:v>2.3740930754866763</c:v>
                </c:pt>
                <c:pt idx="66" formatCode="_(* #,##0.0000_);_(* \(#,##0.0000\);_(* &quot;-&quot;??_);_(@_)">
                  <c:v>2.3747669543320615</c:v>
                </c:pt>
                <c:pt idx="67" formatCode="_(* #,##0.0000_);_(* \(#,##0.0000\);_(* &quot;-&quot;??_);_(@_)">
                  <c:v>2.3754984690463035</c:v>
                </c:pt>
                <c:pt idx="68" formatCode="_(* #,##0.0000_);_(* \(#,##0.0000\);_(* &quot;-&quot;??_);_(@_)">
                  <c:v>2.3762837603644278</c:v>
                </c:pt>
                <c:pt idx="69" formatCode="_(* #,##0.0000_);_(* \(#,##0.0000\);_(* &quot;-&quot;??_);_(@_)">
                  <c:v>2.3771191864202339</c:v>
                </c:pt>
                <c:pt idx="70" formatCode="_(* #,##0.0000_);_(* \(#,##0.0000\);_(* &quot;-&quot;??_);_(@_)">
                  <c:v>2.3779900693960321</c:v>
                </c:pt>
                <c:pt idx="71" formatCode="_(* #,##0.0000_);_(* \(#,##0.0000\);_(* &quot;-&quot;??_);_(@_)">
                  <c:v>2.3804245357665699</c:v>
                </c:pt>
                <c:pt idx="72" formatCode="_(* #,##0.0000_);_(* \(#,##0.0000\);_(* &quot;-&quot;??_);_(@_)">
                  <c:v>2.3824501360577131</c:v>
                </c:pt>
                <c:pt idx="73" formatCode="_(* #,##0.0000_);_(* \(#,##0.0000\);_(* &quot;-&quot;??_);_(@_)">
                  <c:v>2.3846429900843167</c:v>
                </c:pt>
                <c:pt idx="74" formatCode="_(* #,##0.0000_);_(* \(#,##0.0000\);_(* &quot;-&quot;??_);_(@_)">
                  <c:v>2.38717835286909</c:v>
                </c:pt>
                <c:pt idx="75" formatCode="_(* #,##0.0000_);_(* \(#,##0.0000\);_(* &quot;-&quot;??_);_(@_)">
                  <c:v>2.3879509579510882</c:v>
                </c:pt>
                <c:pt idx="76" formatCode="_(* #,##0.0000_);_(* \(#,##0.0000\);_(* &quot;-&quot;??_);_(@_)">
                  <c:v>2.3885395446899578</c:v>
                </c:pt>
                <c:pt idx="77" formatCode="_(* #,##0.0000_);_(* \(#,##0.0000\);_(* &quot;-&quot;??_);_(@_)">
                  <c:v>2.389433518894633</c:v>
                </c:pt>
                <c:pt idx="78" formatCode="_(* #,##0.0000_);_(* \(#,##0.0000\);_(* &quot;-&quot;??_);_(@_)">
                  <c:v>2.3903677869063422</c:v>
                </c:pt>
                <c:pt idx="79" formatCode="_(* #,##0.0000_);_(* \(#,##0.0000\);_(* &quot;-&quot;??_);_(@_)">
                  <c:v>2.3909409578019938</c:v>
                </c:pt>
                <c:pt idx="80" formatCode="_(* #,##0.0000_);_(* \(#,##0.0000\);_(* &quot;-&quot;??_);_(@_)">
                  <c:v>2.3918929128833391</c:v>
                </c:pt>
                <c:pt idx="81" formatCode="_(* #,##0.0000_);_(* \(#,##0.0000\);_(* &quot;-&quot;??_);_(@_)">
                  <c:v>2.3913466560097523</c:v>
                </c:pt>
                <c:pt idx="82" formatCode="_(* #,##0.0000_);_(* \(#,##0.0000\);_(* &quot;-&quot;??_);_(@_)">
                  <c:v>2.3912089502678828</c:v>
                </c:pt>
                <c:pt idx="83" formatCode="_(* #,##0.0000_);_(* \(#,##0.0000\);_(* &quot;-&quot;??_);_(@_)">
                  <c:v>2.3909843505871242</c:v>
                </c:pt>
                <c:pt idx="84" formatCode="_(* #,##0.0000_);_(* \(#,##0.0000\);_(* &quot;-&quot;??_);_(@_)">
                  <c:v>2.3906542757397902</c:v>
                </c:pt>
                <c:pt idx="85" formatCode="_(* #,##0.0000_);_(* \(#,##0.0000\);_(* &quot;-&quot;??_);_(@_)">
                  <c:v>2.3906747765797198</c:v>
                </c:pt>
                <c:pt idx="86" formatCode="_(* #,##0.0000_);_(* \(#,##0.0000\);_(* &quot;-&quot;??_);_(@_)">
                  <c:v>2.3909641284315719</c:v>
                </c:pt>
                <c:pt idx="87" formatCode="_(* #,##0.0000_);_(* \(#,##0.0000\);_(* &quot;-&quot;??_);_(@_)">
                  <c:v>2.3907154323978625</c:v>
                </c:pt>
                <c:pt idx="88" formatCode="_(* #,##0.0000_);_(* \(#,##0.0000\);_(* &quot;-&quot;??_);_(@_)">
                  <c:v>2.3907009212866184</c:v>
                </c:pt>
                <c:pt idx="89" formatCode="_(* #,##0.0000_);_(* \(#,##0.0000\);_(* &quot;-&quot;??_);_(@_)">
                  <c:v>2.3904739661615997</c:v>
                </c:pt>
                <c:pt idx="90" formatCode="_(* #,##0.0000_);_(* \(#,##0.0000\);_(* &quot;-&quot;??_);_(@_)">
                  <c:v>2.3901233762062732</c:v>
                </c:pt>
                <c:pt idx="91" formatCode="_(* #,##0.0000_);_(* \(#,##0.0000\);_(* &quot;-&quot;??_);_(@_)">
                  <c:v>2.3900637103598243</c:v>
                </c:pt>
                <c:pt idx="92" formatCode="_(* #,##0.0000_);_(* \(#,##0.0000\);_(* &quot;-&quot;??_);_(@_)">
                  <c:v>2.3900516029725827</c:v>
                </c:pt>
                <c:pt idx="93" formatCode="_(* #,##0.0000_);_(* \(#,##0.0000\);_(* &quot;-&quot;??_);_(@_)">
                  <c:v>2.3896597432457196</c:v>
                </c:pt>
                <c:pt idx="94" formatCode="_(* #,##0.0000_);_(* \(#,##0.0000\);_(* &quot;-&quot;??_);_(@_)">
                  <c:v>2.388933540651756</c:v>
                </c:pt>
                <c:pt idx="95" formatCode="_(* #,##0.0000_);_(* \(#,##0.0000\);_(* &quot;-&quot;??_);_(@_)">
                  <c:v>2.3880575355180436</c:v>
                </c:pt>
                <c:pt idx="96" formatCode="_(* #,##0.0000_);_(* \(#,##0.0000\);_(* &quot;-&quot;??_);_(@_)">
                  <c:v>2.387453440913057</c:v>
                </c:pt>
                <c:pt idx="97" formatCode="_(* #,##0.0000_);_(* \(#,##0.0000\);_(* &quot;-&quot;??_);_(@_)">
                  <c:v>2.3868520725816489</c:v>
                </c:pt>
                <c:pt idx="98" formatCode="_(* #,##0.0000_);_(* \(#,##0.0000\);_(* &quot;-&quot;??_);_(@_)">
                  <c:v>2.3861137120252995</c:v>
                </c:pt>
                <c:pt idx="99" formatCode="_(* #,##0.0000_);_(* \(#,##0.0000\);_(* &quot;-&quot;??_);_(@_)">
                  <c:v>2.3857320154583799</c:v>
                </c:pt>
                <c:pt idx="100" formatCode="_(* #,##0.0000_);_(* \(#,##0.0000\);_(* &quot;-&quot;??_);_(@_)">
                  <c:v>2.3849552463847385</c:v>
                </c:pt>
                <c:pt idx="101" formatCode="_(* #,##0.0000_);_(* \(#,##0.0000\);_(* &quot;-&quot;??_);_(@_)">
                  <c:v>2.3854838179700169</c:v>
                </c:pt>
                <c:pt idx="102" formatCode="_(* #,##0.0000_);_(* \(#,##0.0000\);_(* &quot;-&quot;??_);_(@_)">
                  <c:v>2.3853208235709662</c:v>
                </c:pt>
                <c:pt idx="103" formatCode="_(* #,##0.0000_);_(* \(#,##0.0000\);_(* &quot;-&quot;??_);_(@_)">
                  <c:v>2.3851644259721838</c:v>
                </c:pt>
                <c:pt idx="104" formatCode="_(* #,##0.0000_);_(* \(#,##0.0000\);_(* &quot;-&quot;??_);_(@_)">
                  <c:v>2.3855976087527124</c:v>
                </c:pt>
                <c:pt idx="105" formatCode="_(* #,##0.0000_);_(* \(#,##0.0000\);_(* &quot;-&quot;??_);_(@_)">
                  <c:v>2.3855700041722381</c:v>
                </c:pt>
                <c:pt idx="106" formatCode="_(* #,##0.0000_);_(* \(#,##0.0000\);_(* &quot;-&quot;??_);_(@_)">
                  <c:v>2.3853221173999035</c:v>
                </c:pt>
                <c:pt idx="107" formatCode="_(* #,##0.0000_);_(* \(#,##0.0000\);_(* &quot;-&quot;??_);_(@_)">
                  <c:v>2.3854360426947308</c:v>
                </c:pt>
                <c:pt idx="108" formatCode="_(* #,##0.0000_);_(* \(#,##0.0000\);_(* &quot;-&quot;??_);_(@_)">
                  <c:v>2.3853812724608381</c:v>
                </c:pt>
                <c:pt idx="109" formatCode="_(* #,##0.0000_);_(* \(#,##0.0000\);_(* &quot;-&quot;??_);_(@_)">
                  <c:v>2.3855864828691997</c:v>
                </c:pt>
                <c:pt idx="110" formatCode="_(* #,##0.0000_);_(* \(#,##0.0000\);_(* &quot;-&quot;??_);_(@_)">
                  <c:v>2.3860746894675535</c:v>
                </c:pt>
                <c:pt idx="111" formatCode="_(* #,##0.0000_);_(* \(#,##0.0000\);_(* &quot;-&quot;??_);_(@_)">
                  <c:v>2.38669963407441</c:v>
                </c:pt>
                <c:pt idx="112" formatCode="_(* #,##0.0000_);_(* \(#,##0.0000\);_(* &quot;-&quot;??_);_(@_)">
                  <c:v>2.3873125150339916</c:v>
                </c:pt>
                <c:pt idx="113" formatCode="_(* #,##0.0000_);_(* \(#,##0.0000\);_(* &quot;-&quot;??_);_(@_)">
                  <c:v>2.3876657301125692</c:v>
                </c:pt>
                <c:pt idx="114" formatCode="_(* #,##0.0000_);_(* \(#,##0.0000\);_(* &quot;-&quot;??_);_(@_)">
                  <c:v>2.3880114773186301</c:v>
                </c:pt>
                <c:pt idx="115" formatCode="_(* #,##0.0000_);_(* \(#,##0.0000\);_(* &quot;-&quot;??_);_(@_)">
                  <c:v>2.3883395601440194</c:v>
                </c:pt>
                <c:pt idx="116" formatCode="_(* #,##0.0000_);_(* \(#,##0.0000\);_(* &quot;-&quot;??_);_(@_)">
                  <c:v>2.387587051319648</c:v>
                </c:pt>
                <c:pt idx="117" formatCode="_(* #,##0.0000_);_(* \(#,##0.0000\);_(* &quot;-&quot;??_);_(@_)">
                  <c:v>2.388015950693672</c:v>
                </c:pt>
                <c:pt idx="118" formatCode="_(* #,##0.0000_);_(* \(#,##0.0000\);_(* &quot;-&quot;??_);_(@_)">
                  <c:v>2.388643591547047</c:v>
                </c:pt>
                <c:pt idx="119" formatCode="_(* #,##0.0000_);_(* \(#,##0.0000\);_(* &quot;-&quot;??_);_(@_)">
                  <c:v>2.3885642182330811</c:v>
                </c:pt>
                <c:pt idx="120" formatCode="_(* #,##0.0000_);_(* \(#,##0.0000\);_(* &quot;-&quot;??_);_(@_)">
                  <c:v>2.3888200198834242</c:v>
                </c:pt>
                <c:pt idx="121" formatCode="_(* #,##0.0000_);_(* \(#,##0.0000\);_(* &quot;-&quot;??_);_(@_)">
                  <c:v>2.3890061198984287</c:v>
                </c:pt>
                <c:pt idx="122" formatCode="_(* #,##0.0000_);_(* \(#,##0.0000\);_(* &quot;-&quot;??_);_(@_)">
                  <c:v>2.3887852223748425</c:v>
                </c:pt>
                <c:pt idx="123" formatCode="_(* #,##0.0000_);_(* \(#,##0.0000\);_(* &quot;-&quot;??_);_(@_)">
                  <c:v>2.3885664068194439</c:v>
                </c:pt>
                <c:pt idx="124" formatCode="_(* #,##0.0000_);_(* \(#,##0.0000\);_(* &quot;-&quot;??_);_(@_)">
                  <c:v>2.3879030495781617</c:v>
                </c:pt>
                <c:pt idx="125" formatCode="_(* #,##0.0000_);_(* \(#,##0.0000\);_(* &quot;-&quot;??_);_(@_)">
                  <c:v>2.3869166830497508</c:v>
                </c:pt>
                <c:pt idx="126" formatCode="_(* #,##0.0000_);_(* \(#,##0.0000\);_(* &quot;-&quot;??_);_(@_)">
                  <c:v>2.3863500242580855</c:v>
                </c:pt>
                <c:pt idx="127" formatCode="_(* #,##0.0000_);_(* \(#,##0.0000\);_(* &quot;-&quot;??_);_(@_)">
                  <c:v>2.3860264603819368</c:v>
                </c:pt>
                <c:pt idx="128" formatCode="_(* #,##0.0000_);_(* \(#,##0.0000\);_(* &quot;-&quot;??_);_(@_)">
                  <c:v>2.3857937237122697</c:v>
                </c:pt>
                <c:pt idx="129" formatCode="_(* #,##0.0000_);_(* \(#,##0.0000\);_(* &quot;-&quot;??_);_(@_)">
                  <c:v>2.385547957985934</c:v>
                </c:pt>
                <c:pt idx="130" formatCode="_(* #,##0.0000_);_(* \(#,##0.0000\);_(* &quot;-&quot;??_);_(@_)">
                  <c:v>2.3851507720995158</c:v>
                </c:pt>
                <c:pt idx="131" formatCode="_(* #,##0.0000_);_(* \(#,##0.0000\);_(* &quot;-&quot;??_);_(@_)">
                  <c:v>2.3839991380551679</c:v>
                </c:pt>
                <c:pt idx="132" formatCode="_(* #,##0.0000_);_(* \(#,##0.0000\);_(* &quot;-&quot;??_);_(@_)">
                  <c:v>2.3829063912825474</c:v>
                </c:pt>
                <c:pt idx="133" formatCode="_(* #,##0.0000_);_(* \(#,##0.0000\);_(* &quot;-&quot;??_);_(@_)">
                  <c:v>2.3823145158408692</c:v>
                </c:pt>
                <c:pt idx="134" formatCode="_(* #,##0.0000_);_(* \(#,##0.0000\);_(* &quot;-&quot;??_);_(@_)">
                  <c:v>2.381669949905445</c:v>
                </c:pt>
                <c:pt idx="135" formatCode="_(* #,##0.0000_);_(* \(#,##0.0000\);_(* &quot;-&quot;??_);_(@_)">
                  <c:v>2.3811988666271677</c:v>
                </c:pt>
                <c:pt idx="136" formatCode="_(* #,##0.0000_);_(* \(#,##0.0000\);_(* &quot;-&quot;??_);_(@_)">
                  <c:v>2.3815266539360462</c:v>
                </c:pt>
                <c:pt idx="137" formatCode="_(* #,##0.0000_);_(* \(#,##0.0000\);_(* &quot;-&quot;??_);_(@_)">
                  <c:v>2.380564580567925</c:v>
                </c:pt>
                <c:pt idx="138" formatCode="_(* #,##0.0000_);_(* \(#,##0.0000\);_(* &quot;-&quot;??_);_(@_)">
                  <c:v>2.3796644387123989</c:v>
                </c:pt>
                <c:pt idx="139" formatCode="_(* #,##0.0000_);_(* \(#,##0.0000\);_(* &quot;-&quot;??_);_(@_)">
                  <c:v>2.3793196303382915</c:v>
                </c:pt>
                <c:pt idx="140" formatCode="_(* #,##0.0000_);_(* \(#,##0.0000\);_(* &quot;-&quot;??_);_(@_)">
                  <c:v>2.3789745009189116</c:v>
                </c:pt>
                <c:pt idx="141" formatCode="_(* #,##0.0000_);_(* \(#,##0.0000\);_(* &quot;-&quot;??_);_(@_)">
                  <c:v>2.3784649756109895</c:v>
                </c:pt>
                <c:pt idx="142" formatCode="_(* #,##0.0000_);_(* \(#,##0.0000\);_(* &quot;-&quot;??_);_(@_)">
                  <c:v>2.3782611990845557</c:v>
                </c:pt>
                <c:pt idx="143" formatCode="_(* #,##0.0000_);_(* \(#,##0.0000\);_(* &quot;-&quot;??_);_(@_)">
                  <c:v>2.3777037575819344</c:v>
                </c:pt>
                <c:pt idx="144" formatCode="_(* #,##0.0000_);_(* \(#,##0.0000\);_(* &quot;-&quot;??_);_(@_)">
                  <c:v>2.3770566812382823</c:v>
                </c:pt>
                <c:pt idx="145" formatCode="_(* #,##0.0000_);_(* \(#,##0.0000\);_(* &quot;-&quot;??_);_(@_)">
                  <c:v>2.376731711522436</c:v>
                </c:pt>
                <c:pt idx="146" formatCode="_(* #,##0.0000_);_(* \(#,##0.0000\);_(* &quot;-&quot;??_);_(@_)">
                  <c:v>2.3761641355413117</c:v>
                </c:pt>
                <c:pt idx="147" formatCode="_(* #,##0.0000_);_(* \(#,##0.0000\);_(* &quot;-&quot;??_);_(@_)">
                  <c:v>2.375402246690713</c:v>
                </c:pt>
                <c:pt idx="148" formatCode="_(* #,##0.0000_);_(* \(#,##0.0000\);_(* &quot;-&quot;??_);_(@_)">
                  <c:v>2.3745285177601994</c:v>
                </c:pt>
                <c:pt idx="149" formatCode="_(* #,##0.0000_);_(* \(#,##0.0000\);_(* &quot;-&quot;??_);_(@_)">
                  <c:v>2.3735637484031913</c:v>
                </c:pt>
                <c:pt idx="150" formatCode="_(* #,##0.0000_);_(* \(#,##0.0000\);_(* &quot;-&quot;??_);_(@_)">
                  <c:v>2.3730425504584778</c:v>
                </c:pt>
                <c:pt idx="151" formatCode="_(* #,##0.0000_);_(* \(#,##0.0000\);_(* &quot;-&quot;??_);_(@_)">
                  <c:v>2.3729676061449489</c:v>
                </c:pt>
                <c:pt idx="152" formatCode="_(* #,##0.0000_);_(* \(#,##0.0000\);_(* &quot;-&quot;??_);_(@_)">
                  <c:v>2.3728606618322416</c:v>
                </c:pt>
                <c:pt idx="153" formatCode="_(* #,##0.0000_);_(* \(#,##0.0000\);_(* &quot;-&quot;??_);_(@_)">
                  <c:v>2.3728657656871421</c:v>
                </c:pt>
                <c:pt idx="154" formatCode="_(* #,##0.0000_);_(* \(#,##0.0000\);_(* &quot;-&quot;??_);_(@_)">
                  <c:v>2.3731829962092887</c:v>
                </c:pt>
                <c:pt idx="155" formatCode="_(* #,##0.0000_);_(* \(#,##0.0000\);_(* &quot;-&quot;??_);_(@_)">
                  <c:v>2.373309438654978</c:v>
                </c:pt>
                <c:pt idx="156" formatCode="_(* #,##0.0000_);_(* \(#,##0.0000\);_(* &quot;-&quot;??_);_(@_)">
                  <c:v>2.3736891790726178</c:v>
                </c:pt>
                <c:pt idx="157" formatCode="_(* #,##0.0000_);_(* \(#,##0.0000\);_(* &quot;-&quot;??_);_(@_)">
                  <c:v>2.3735349578272031</c:v>
                </c:pt>
                <c:pt idx="158" formatCode="_(* #,##0.0000_);_(* \(#,##0.0000\);_(* &quot;-&quot;??_);_(@_)">
                  <c:v>2.3731171046950275</c:v>
                </c:pt>
                <c:pt idx="159" formatCode="_(* #,##0.0000_);_(* \(#,##0.0000\);_(* &quot;-&quot;??_);_(@_)">
                  <c:v>2.3725157966667831</c:v>
                </c:pt>
                <c:pt idx="160" formatCode="_(* #,##0.0000_);_(* \(#,##0.0000\);_(* &quot;-&quot;??_);_(@_)">
                  <c:v>2.3719195224629552</c:v>
                </c:pt>
                <c:pt idx="161" formatCode="_(* #,##0.0000_);_(* \(#,##0.0000\);_(* &quot;-&quot;??_);_(@_)">
                  <c:v>2.3710655335678341</c:v>
                </c:pt>
                <c:pt idx="162" formatCode="_(* #,##0.0000_);_(* \(#,##0.0000\);_(* &quot;-&quot;??_);_(@_)">
                  <c:v>2.3704094363075017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5-4198-B3A1-40B7EF1D205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Financials!$G$1:$G$168</c:f>
              <c:numCache>
                <c:formatCode>m/d/yyyy</c:formatCode>
                <c:ptCount val="168"/>
                <c:pt idx="20" formatCode="_(* #,##0.0000_);_(* \(#,##0.0000\);_(* &quot;-&quot;??_);_(@_)">
                  <c:v>2.3817308270397639</c:v>
                </c:pt>
                <c:pt idx="21" formatCode="_(* #,##0.0000_);_(* \(#,##0.0000\);_(* &quot;-&quot;??_);_(@_)">
                  <c:v>2.3817308270397639</c:v>
                </c:pt>
                <c:pt idx="22" formatCode="_(* #,##0.0000_);_(* \(#,##0.0000\);_(* &quot;-&quot;??_);_(@_)">
                  <c:v>2.3817308270397639</c:v>
                </c:pt>
                <c:pt idx="23" formatCode="_(* #,##0.0000_);_(* \(#,##0.0000\);_(* &quot;-&quot;??_);_(@_)">
                  <c:v>2.3817308270397639</c:v>
                </c:pt>
                <c:pt idx="24" formatCode="_(* #,##0.0000_);_(* \(#,##0.0000\);_(* &quot;-&quot;??_);_(@_)">
                  <c:v>2.3817308270397639</c:v>
                </c:pt>
                <c:pt idx="25" formatCode="_(* #,##0.0000_);_(* \(#,##0.0000\);_(* &quot;-&quot;??_);_(@_)">
                  <c:v>2.3817308270397639</c:v>
                </c:pt>
                <c:pt idx="26" formatCode="_(* #,##0.0000_);_(* \(#,##0.0000\);_(* &quot;-&quot;??_);_(@_)">
                  <c:v>2.3817308270397639</c:v>
                </c:pt>
                <c:pt idx="27" formatCode="_(* #,##0.0000_);_(* \(#,##0.0000\);_(* &quot;-&quot;??_);_(@_)">
                  <c:v>2.3817308270397639</c:v>
                </c:pt>
                <c:pt idx="28" formatCode="_(* #,##0.0000_);_(* \(#,##0.0000\);_(* &quot;-&quot;??_);_(@_)">
                  <c:v>2.3817308270397639</c:v>
                </c:pt>
                <c:pt idx="29" formatCode="_(* #,##0.0000_);_(* \(#,##0.0000\);_(* &quot;-&quot;??_);_(@_)">
                  <c:v>2.3817308270397639</c:v>
                </c:pt>
                <c:pt idx="30" formatCode="_(* #,##0.0000_);_(* \(#,##0.0000\);_(* &quot;-&quot;??_);_(@_)">
                  <c:v>2.3817308270397639</c:v>
                </c:pt>
                <c:pt idx="31" formatCode="_(* #,##0.0000_);_(* \(#,##0.0000\);_(* &quot;-&quot;??_);_(@_)">
                  <c:v>2.3817308270397639</c:v>
                </c:pt>
                <c:pt idx="32" formatCode="_(* #,##0.0000_);_(* \(#,##0.0000\);_(* &quot;-&quot;??_);_(@_)">
                  <c:v>2.3817308270397639</c:v>
                </c:pt>
                <c:pt idx="33" formatCode="_(* #,##0.0000_);_(* \(#,##0.0000\);_(* &quot;-&quot;??_);_(@_)">
                  <c:v>2.3817308270397639</c:v>
                </c:pt>
                <c:pt idx="34" formatCode="_(* #,##0.0000_);_(* \(#,##0.0000\);_(* &quot;-&quot;??_);_(@_)">
                  <c:v>2.3817308270397639</c:v>
                </c:pt>
                <c:pt idx="35" formatCode="_(* #,##0.0000_);_(* \(#,##0.0000\);_(* &quot;-&quot;??_);_(@_)">
                  <c:v>2.3817308270397639</c:v>
                </c:pt>
                <c:pt idx="36" formatCode="_(* #,##0.0000_);_(* \(#,##0.0000\);_(* &quot;-&quot;??_);_(@_)">
                  <c:v>2.3817308270397639</c:v>
                </c:pt>
                <c:pt idx="37" formatCode="_(* #,##0.0000_);_(* \(#,##0.0000\);_(* &quot;-&quot;??_);_(@_)">
                  <c:v>2.3817308270397639</c:v>
                </c:pt>
                <c:pt idx="38" formatCode="_(* #,##0.0000_);_(* \(#,##0.0000\);_(* &quot;-&quot;??_);_(@_)">
                  <c:v>2.3817308270397639</c:v>
                </c:pt>
                <c:pt idx="39" formatCode="_(* #,##0.0000_);_(* \(#,##0.0000\);_(* &quot;-&quot;??_);_(@_)">
                  <c:v>2.3817308270397639</c:v>
                </c:pt>
                <c:pt idx="40" formatCode="_(* #,##0.0000_);_(* \(#,##0.0000\);_(* &quot;-&quot;??_);_(@_)">
                  <c:v>2.3817308270397639</c:v>
                </c:pt>
                <c:pt idx="41" formatCode="_(* #,##0.0000_);_(* \(#,##0.0000\);_(* &quot;-&quot;??_);_(@_)">
                  <c:v>2.3817308270397639</c:v>
                </c:pt>
                <c:pt idx="42" formatCode="_(* #,##0.0000_);_(* \(#,##0.0000\);_(* &quot;-&quot;??_);_(@_)">
                  <c:v>2.3817308270397639</c:v>
                </c:pt>
                <c:pt idx="43" formatCode="_(* #,##0.0000_);_(* \(#,##0.0000\);_(* &quot;-&quot;??_);_(@_)">
                  <c:v>2.3817308270397639</c:v>
                </c:pt>
                <c:pt idx="44" formatCode="_(* #,##0.0000_);_(* \(#,##0.0000\);_(* &quot;-&quot;??_);_(@_)">
                  <c:v>2.3817308270397639</c:v>
                </c:pt>
                <c:pt idx="45" formatCode="_(* #,##0.0000_);_(* \(#,##0.0000\);_(* &quot;-&quot;??_);_(@_)">
                  <c:v>2.3817308270397639</c:v>
                </c:pt>
                <c:pt idx="46" formatCode="_(* #,##0.0000_);_(* \(#,##0.0000\);_(* &quot;-&quot;??_);_(@_)">
                  <c:v>2.3817308270397639</c:v>
                </c:pt>
                <c:pt idx="47" formatCode="_(* #,##0.0000_);_(* \(#,##0.0000\);_(* &quot;-&quot;??_);_(@_)">
                  <c:v>2.3817308270397639</c:v>
                </c:pt>
                <c:pt idx="48" formatCode="_(* #,##0.0000_);_(* \(#,##0.0000\);_(* &quot;-&quot;??_);_(@_)">
                  <c:v>2.3817308270397639</c:v>
                </c:pt>
                <c:pt idx="49" formatCode="_(* #,##0.0000_);_(* \(#,##0.0000\);_(* &quot;-&quot;??_);_(@_)">
                  <c:v>2.3817308270397639</c:v>
                </c:pt>
                <c:pt idx="50" formatCode="_(* #,##0.0000_);_(* \(#,##0.0000\);_(* &quot;-&quot;??_);_(@_)">
                  <c:v>2.3817308270397639</c:v>
                </c:pt>
                <c:pt idx="51" formatCode="_(* #,##0.0000_);_(* \(#,##0.0000\);_(* &quot;-&quot;??_);_(@_)">
                  <c:v>2.3817308270397639</c:v>
                </c:pt>
                <c:pt idx="52" formatCode="_(* #,##0.0000_);_(* \(#,##0.0000\);_(* &quot;-&quot;??_);_(@_)">
                  <c:v>2.3817308270397639</c:v>
                </c:pt>
                <c:pt idx="53" formatCode="_(* #,##0.0000_);_(* \(#,##0.0000\);_(* &quot;-&quot;??_);_(@_)">
                  <c:v>2.3817308270397639</c:v>
                </c:pt>
                <c:pt idx="54" formatCode="_(* #,##0.0000_);_(* \(#,##0.0000\);_(* &quot;-&quot;??_);_(@_)">
                  <c:v>2.3817308270397639</c:v>
                </c:pt>
                <c:pt idx="55" formatCode="_(* #,##0.0000_);_(* \(#,##0.0000\);_(* &quot;-&quot;??_);_(@_)">
                  <c:v>2.3817308270397639</c:v>
                </c:pt>
                <c:pt idx="56" formatCode="_(* #,##0.0000_);_(* \(#,##0.0000\);_(* &quot;-&quot;??_);_(@_)">
                  <c:v>2.3817308270397639</c:v>
                </c:pt>
                <c:pt idx="57" formatCode="_(* #,##0.0000_);_(* \(#,##0.0000\);_(* &quot;-&quot;??_);_(@_)">
                  <c:v>2.3817308270397639</c:v>
                </c:pt>
                <c:pt idx="58" formatCode="_(* #,##0.0000_);_(* \(#,##0.0000\);_(* &quot;-&quot;??_);_(@_)">
                  <c:v>2.3817308270397639</c:v>
                </c:pt>
                <c:pt idx="59" formatCode="_(* #,##0.0000_);_(* \(#,##0.0000\);_(* &quot;-&quot;??_);_(@_)">
                  <c:v>2.3817308270397639</c:v>
                </c:pt>
                <c:pt idx="60" formatCode="_(* #,##0.0000_);_(* \(#,##0.0000\);_(* &quot;-&quot;??_);_(@_)">
                  <c:v>2.3817308270397639</c:v>
                </c:pt>
                <c:pt idx="61" formatCode="_(* #,##0.0000_);_(* \(#,##0.0000\);_(* &quot;-&quot;??_);_(@_)">
                  <c:v>2.3817308270397639</c:v>
                </c:pt>
                <c:pt idx="62" formatCode="_(* #,##0.0000_);_(* \(#,##0.0000\);_(* &quot;-&quot;??_);_(@_)">
                  <c:v>2.3817308270397639</c:v>
                </c:pt>
                <c:pt idx="63" formatCode="_(* #,##0.0000_);_(* \(#,##0.0000\);_(* &quot;-&quot;??_);_(@_)">
                  <c:v>2.3817308270397639</c:v>
                </c:pt>
                <c:pt idx="64" formatCode="_(* #,##0.0000_);_(* \(#,##0.0000\);_(* &quot;-&quot;??_);_(@_)">
                  <c:v>2.3817308270397639</c:v>
                </c:pt>
                <c:pt idx="65" formatCode="_(* #,##0.0000_);_(* \(#,##0.0000\);_(* &quot;-&quot;??_);_(@_)">
                  <c:v>2.3817308270397639</c:v>
                </c:pt>
                <c:pt idx="66" formatCode="_(* #,##0.0000_);_(* \(#,##0.0000\);_(* &quot;-&quot;??_);_(@_)">
                  <c:v>2.3817308270397639</c:v>
                </c:pt>
                <c:pt idx="67" formatCode="_(* #,##0.0000_);_(* \(#,##0.0000\);_(* &quot;-&quot;??_);_(@_)">
                  <c:v>2.3817308270397639</c:v>
                </c:pt>
                <c:pt idx="68" formatCode="_(* #,##0.0000_);_(* \(#,##0.0000\);_(* &quot;-&quot;??_);_(@_)">
                  <c:v>2.3817308270397639</c:v>
                </c:pt>
                <c:pt idx="69" formatCode="_(* #,##0.0000_);_(* \(#,##0.0000\);_(* &quot;-&quot;??_);_(@_)">
                  <c:v>2.3817308270397639</c:v>
                </c:pt>
                <c:pt idx="70" formatCode="_(* #,##0.0000_);_(* \(#,##0.0000\);_(* &quot;-&quot;??_);_(@_)">
                  <c:v>2.3817308270397639</c:v>
                </c:pt>
                <c:pt idx="71" formatCode="_(* #,##0.0000_);_(* \(#,##0.0000\);_(* &quot;-&quot;??_);_(@_)">
                  <c:v>2.3817308270397639</c:v>
                </c:pt>
                <c:pt idx="72" formatCode="_(* #,##0.0000_);_(* \(#,##0.0000\);_(* &quot;-&quot;??_);_(@_)">
                  <c:v>2.3817308270397639</c:v>
                </c:pt>
                <c:pt idx="73" formatCode="_(* #,##0.0000_);_(* \(#,##0.0000\);_(* &quot;-&quot;??_);_(@_)">
                  <c:v>2.3817308270397639</c:v>
                </c:pt>
                <c:pt idx="74" formatCode="_(* #,##0.0000_);_(* \(#,##0.0000\);_(* &quot;-&quot;??_);_(@_)">
                  <c:v>2.3817308270397639</c:v>
                </c:pt>
                <c:pt idx="75" formatCode="_(* #,##0.0000_);_(* \(#,##0.0000\);_(* &quot;-&quot;??_);_(@_)">
                  <c:v>2.3817308270397639</c:v>
                </c:pt>
                <c:pt idx="76" formatCode="_(* #,##0.0000_);_(* \(#,##0.0000\);_(* &quot;-&quot;??_);_(@_)">
                  <c:v>2.3817308270397639</c:v>
                </c:pt>
                <c:pt idx="77" formatCode="_(* #,##0.0000_);_(* \(#,##0.0000\);_(* &quot;-&quot;??_);_(@_)">
                  <c:v>2.3817308270397639</c:v>
                </c:pt>
                <c:pt idx="78" formatCode="_(* #,##0.0000_);_(* \(#,##0.0000\);_(* &quot;-&quot;??_);_(@_)">
                  <c:v>2.3817308270397639</c:v>
                </c:pt>
                <c:pt idx="79" formatCode="_(* #,##0.0000_);_(* \(#,##0.0000\);_(* &quot;-&quot;??_);_(@_)">
                  <c:v>2.3817308270397639</c:v>
                </c:pt>
                <c:pt idx="80" formatCode="_(* #,##0.0000_);_(* \(#,##0.0000\);_(* &quot;-&quot;??_);_(@_)">
                  <c:v>2.3817308270397639</c:v>
                </c:pt>
                <c:pt idx="81" formatCode="_(* #,##0.0000_);_(* \(#,##0.0000\);_(* &quot;-&quot;??_);_(@_)">
                  <c:v>2.3817308270397639</c:v>
                </c:pt>
                <c:pt idx="82" formatCode="_(* #,##0.0000_);_(* \(#,##0.0000\);_(* &quot;-&quot;??_);_(@_)">
                  <c:v>2.3817308270397639</c:v>
                </c:pt>
                <c:pt idx="83" formatCode="_(* #,##0.0000_);_(* \(#,##0.0000\);_(* &quot;-&quot;??_);_(@_)">
                  <c:v>2.3817308270397639</c:v>
                </c:pt>
                <c:pt idx="84" formatCode="_(* #,##0.0000_);_(* \(#,##0.0000\);_(* &quot;-&quot;??_);_(@_)">
                  <c:v>2.3817308270397639</c:v>
                </c:pt>
                <c:pt idx="85" formatCode="_(* #,##0.0000_);_(* \(#,##0.0000\);_(* &quot;-&quot;??_);_(@_)">
                  <c:v>2.3817308270397639</c:v>
                </c:pt>
                <c:pt idx="86" formatCode="_(* #,##0.0000_);_(* \(#,##0.0000\);_(* &quot;-&quot;??_);_(@_)">
                  <c:v>2.3817308270397639</c:v>
                </c:pt>
                <c:pt idx="87" formatCode="_(* #,##0.0000_);_(* \(#,##0.0000\);_(* &quot;-&quot;??_);_(@_)">
                  <c:v>2.3817308270397639</c:v>
                </c:pt>
                <c:pt idx="88" formatCode="_(* #,##0.0000_);_(* \(#,##0.0000\);_(* &quot;-&quot;??_);_(@_)">
                  <c:v>2.3817308270397639</c:v>
                </c:pt>
                <c:pt idx="89" formatCode="_(* #,##0.0000_);_(* \(#,##0.0000\);_(* &quot;-&quot;??_);_(@_)">
                  <c:v>2.3817308270397639</c:v>
                </c:pt>
                <c:pt idx="90" formatCode="_(* #,##0.0000_);_(* \(#,##0.0000\);_(* &quot;-&quot;??_);_(@_)">
                  <c:v>2.3817308270397639</c:v>
                </c:pt>
                <c:pt idx="91" formatCode="_(* #,##0.0000_);_(* \(#,##0.0000\);_(* &quot;-&quot;??_);_(@_)">
                  <c:v>2.3817308270397639</c:v>
                </c:pt>
                <c:pt idx="92" formatCode="_(* #,##0.0000_);_(* \(#,##0.0000\);_(* &quot;-&quot;??_);_(@_)">
                  <c:v>2.3817308270397639</c:v>
                </c:pt>
                <c:pt idx="93" formatCode="_(* #,##0.0000_);_(* \(#,##0.0000\);_(* &quot;-&quot;??_);_(@_)">
                  <c:v>2.3817308270397639</c:v>
                </c:pt>
                <c:pt idx="94" formatCode="_(* #,##0.0000_);_(* \(#,##0.0000\);_(* &quot;-&quot;??_);_(@_)">
                  <c:v>2.3817308270397639</c:v>
                </c:pt>
                <c:pt idx="95" formatCode="_(* #,##0.0000_);_(* \(#,##0.0000\);_(* &quot;-&quot;??_);_(@_)">
                  <c:v>2.3817308270397639</c:v>
                </c:pt>
                <c:pt idx="96" formatCode="_(* #,##0.0000_);_(* \(#,##0.0000\);_(* &quot;-&quot;??_);_(@_)">
                  <c:v>2.3817308270397639</c:v>
                </c:pt>
                <c:pt idx="97" formatCode="_(* #,##0.0000_);_(* \(#,##0.0000\);_(* &quot;-&quot;??_);_(@_)">
                  <c:v>2.3817308270397639</c:v>
                </c:pt>
                <c:pt idx="98" formatCode="_(* #,##0.0000_);_(* \(#,##0.0000\);_(* &quot;-&quot;??_);_(@_)">
                  <c:v>2.3817308270397639</c:v>
                </c:pt>
                <c:pt idx="99" formatCode="_(* #,##0.0000_);_(* \(#,##0.0000\);_(* &quot;-&quot;??_);_(@_)">
                  <c:v>2.3817308270397639</c:v>
                </c:pt>
                <c:pt idx="100" formatCode="_(* #,##0.0000_);_(* \(#,##0.0000\);_(* &quot;-&quot;??_);_(@_)">
                  <c:v>2.3817308270397639</c:v>
                </c:pt>
                <c:pt idx="101" formatCode="_(* #,##0.0000_);_(* \(#,##0.0000\);_(* &quot;-&quot;??_);_(@_)">
                  <c:v>2.3817308270397639</c:v>
                </c:pt>
                <c:pt idx="102" formatCode="_(* #,##0.0000_);_(* \(#,##0.0000\);_(* &quot;-&quot;??_);_(@_)">
                  <c:v>2.3817308270397639</c:v>
                </c:pt>
                <c:pt idx="103" formatCode="_(* #,##0.0000_);_(* \(#,##0.0000\);_(* &quot;-&quot;??_);_(@_)">
                  <c:v>2.3817308270397639</c:v>
                </c:pt>
                <c:pt idx="104" formatCode="_(* #,##0.0000_);_(* \(#,##0.0000\);_(* &quot;-&quot;??_);_(@_)">
                  <c:v>2.3817308270397639</c:v>
                </c:pt>
                <c:pt idx="105" formatCode="_(* #,##0.0000_);_(* \(#,##0.0000\);_(* &quot;-&quot;??_);_(@_)">
                  <c:v>2.3817308270397639</c:v>
                </c:pt>
                <c:pt idx="106" formatCode="_(* #,##0.0000_);_(* \(#,##0.0000\);_(* &quot;-&quot;??_);_(@_)">
                  <c:v>2.3817308270397639</c:v>
                </c:pt>
                <c:pt idx="107" formatCode="_(* #,##0.0000_);_(* \(#,##0.0000\);_(* &quot;-&quot;??_);_(@_)">
                  <c:v>2.3817308270397639</c:v>
                </c:pt>
                <c:pt idx="108" formatCode="_(* #,##0.0000_);_(* \(#,##0.0000\);_(* &quot;-&quot;??_);_(@_)">
                  <c:v>2.3817308270397639</c:v>
                </c:pt>
                <c:pt idx="109" formatCode="_(* #,##0.0000_);_(* \(#,##0.0000\);_(* &quot;-&quot;??_);_(@_)">
                  <c:v>2.3817308270397639</c:v>
                </c:pt>
                <c:pt idx="110" formatCode="_(* #,##0.0000_);_(* \(#,##0.0000\);_(* &quot;-&quot;??_);_(@_)">
                  <c:v>2.3817308270397639</c:v>
                </c:pt>
                <c:pt idx="111" formatCode="_(* #,##0.0000_);_(* \(#,##0.0000\);_(* &quot;-&quot;??_);_(@_)">
                  <c:v>2.3817308270397639</c:v>
                </c:pt>
                <c:pt idx="112" formatCode="_(* #,##0.0000_);_(* \(#,##0.0000\);_(* &quot;-&quot;??_);_(@_)">
                  <c:v>2.3817308270397639</c:v>
                </c:pt>
                <c:pt idx="113" formatCode="_(* #,##0.0000_);_(* \(#,##0.0000\);_(* &quot;-&quot;??_);_(@_)">
                  <c:v>2.3817308270397639</c:v>
                </c:pt>
                <c:pt idx="114" formatCode="_(* #,##0.0000_);_(* \(#,##0.0000\);_(* &quot;-&quot;??_);_(@_)">
                  <c:v>2.3817308270397639</c:v>
                </c:pt>
                <c:pt idx="115" formatCode="_(* #,##0.0000_);_(* \(#,##0.0000\);_(* &quot;-&quot;??_);_(@_)">
                  <c:v>2.3817308270397639</c:v>
                </c:pt>
                <c:pt idx="116" formatCode="_(* #,##0.0000_);_(* \(#,##0.0000\);_(* &quot;-&quot;??_);_(@_)">
                  <c:v>2.3817308270397639</c:v>
                </c:pt>
                <c:pt idx="117" formatCode="_(* #,##0.0000_);_(* \(#,##0.0000\);_(* &quot;-&quot;??_);_(@_)">
                  <c:v>2.3817308270397639</c:v>
                </c:pt>
                <c:pt idx="118" formatCode="_(* #,##0.0000_);_(* \(#,##0.0000\);_(* &quot;-&quot;??_);_(@_)">
                  <c:v>2.3817308270397639</c:v>
                </c:pt>
                <c:pt idx="119" formatCode="_(* #,##0.0000_);_(* \(#,##0.0000\);_(* &quot;-&quot;??_);_(@_)">
                  <c:v>2.3817308270397639</c:v>
                </c:pt>
                <c:pt idx="120" formatCode="_(* #,##0.0000_);_(* \(#,##0.0000\);_(* &quot;-&quot;??_);_(@_)">
                  <c:v>2.3817308270397639</c:v>
                </c:pt>
                <c:pt idx="121" formatCode="_(* #,##0.0000_);_(* \(#,##0.0000\);_(* &quot;-&quot;??_);_(@_)">
                  <c:v>2.3817308270397639</c:v>
                </c:pt>
                <c:pt idx="122" formatCode="_(* #,##0.0000_);_(* \(#,##0.0000\);_(* &quot;-&quot;??_);_(@_)">
                  <c:v>2.3817308270397639</c:v>
                </c:pt>
                <c:pt idx="123" formatCode="_(* #,##0.0000_);_(* \(#,##0.0000\);_(* &quot;-&quot;??_);_(@_)">
                  <c:v>2.3817308270397639</c:v>
                </c:pt>
                <c:pt idx="124" formatCode="_(* #,##0.0000_);_(* \(#,##0.0000\);_(* &quot;-&quot;??_);_(@_)">
                  <c:v>2.3817308270397639</c:v>
                </c:pt>
                <c:pt idx="125" formatCode="_(* #,##0.0000_);_(* \(#,##0.0000\);_(* &quot;-&quot;??_);_(@_)">
                  <c:v>2.3817308270397639</c:v>
                </c:pt>
                <c:pt idx="126" formatCode="_(* #,##0.0000_);_(* \(#,##0.0000\);_(* &quot;-&quot;??_);_(@_)">
                  <c:v>2.3817308270397639</c:v>
                </c:pt>
                <c:pt idx="127" formatCode="_(* #,##0.0000_);_(* \(#,##0.0000\);_(* &quot;-&quot;??_);_(@_)">
                  <c:v>2.3817308270397639</c:v>
                </c:pt>
                <c:pt idx="128" formatCode="_(* #,##0.0000_);_(* \(#,##0.0000\);_(* &quot;-&quot;??_);_(@_)">
                  <c:v>2.3817308270397639</c:v>
                </c:pt>
                <c:pt idx="129" formatCode="_(* #,##0.0000_);_(* \(#,##0.0000\);_(* &quot;-&quot;??_);_(@_)">
                  <c:v>2.3817308270397639</c:v>
                </c:pt>
                <c:pt idx="130" formatCode="_(* #,##0.0000_);_(* \(#,##0.0000\);_(* &quot;-&quot;??_);_(@_)">
                  <c:v>2.3817308270397639</c:v>
                </c:pt>
                <c:pt idx="131" formatCode="_(* #,##0.0000_);_(* \(#,##0.0000\);_(* &quot;-&quot;??_);_(@_)">
                  <c:v>2.3817308270397639</c:v>
                </c:pt>
                <c:pt idx="132" formatCode="_(* #,##0.0000_);_(* \(#,##0.0000\);_(* &quot;-&quot;??_);_(@_)">
                  <c:v>2.3817308270397639</c:v>
                </c:pt>
                <c:pt idx="133" formatCode="_(* #,##0.0000_);_(* \(#,##0.0000\);_(* &quot;-&quot;??_);_(@_)">
                  <c:v>2.3817308270397639</c:v>
                </c:pt>
                <c:pt idx="134" formatCode="_(* #,##0.0000_);_(* \(#,##0.0000\);_(* &quot;-&quot;??_);_(@_)">
                  <c:v>2.3817308270397639</c:v>
                </c:pt>
                <c:pt idx="135" formatCode="_(* #,##0.0000_);_(* \(#,##0.0000\);_(* &quot;-&quot;??_);_(@_)">
                  <c:v>2.3817308270397639</c:v>
                </c:pt>
                <c:pt idx="136" formatCode="_(* #,##0.0000_);_(* \(#,##0.0000\);_(* &quot;-&quot;??_);_(@_)">
                  <c:v>2.3817308270397639</c:v>
                </c:pt>
                <c:pt idx="137" formatCode="_(* #,##0.0000_);_(* \(#,##0.0000\);_(* &quot;-&quot;??_);_(@_)">
                  <c:v>2.3817308270397639</c:v>
                </c:pt>
                <c:pt idx="138" formatCode="_(* #,##0.0000_);_(* \(#,##0.0000\);_(* &quot;-&quot;??_);_(@_)">
                  <c:v>2.3817308270397639</c:v>
                </c:pt>
                <c:pt idx="139" formatCode="_(* #,##0.0000_);_(* \(#,##0.0000\);_(* &quot;-&quot;??_);_(@_)">
                  <c:v>2.3817308270397639</c:v>
                </c:pt>
                <c:pt idx="140" formatCode="_(* #,##0.0000_);_(* \(#,##0.0000\);_(* &quot;-&quot;??_);_(@_)">
                  <c:v>2.3817308270397639</c:v>
                </c:pt>
                <c:pt idx="141" formatCode="_(* #,##0.0000_);_(* \(#,##0.0000\);_(* &quot;-&quot;??_);_(@_)">
                  <c:v>2.3817308270397639</c:v>
                </c:pt>
                <c:pt idx="142" formatCode="_(* #,##0.0000_);_(* \(#,##0.0000\);_(* &quot;-&quot;??_);_(@_)">
                  <c:v>2.3817308270397639</c:v>
                </c:pt>
                <c:pt idx="143" formatCode="_(* #,##0.0000_);_(* \(#,##0.0000\);_(* &quot;-&quot;??_);_(@_)">
                  <c:v>2.3817308270397639</c:v>
                </c:pt>
                <c:pt idx="144" formatCode="_(* #,##0.0000_);_(* \(#,##0.0000\);_(* &quot;-&quot;??_);_(@_)">
                  <c:v>2.3817308270397639</c:v>
                </c:pt>
                <c:pt idx="145" formatCode="_(* #,##0.0000_);_(* \(#,##0.0000\);_(* &quot;-&quot;??_);_(@_)">
                  <c:v>2.3817308270397639</c:v>
                </c:pt>
                <c:pt idx="146" formatCode="_(* #,##0.0000_);_(* \(#,##0.0000\);_(* &quot;-&quot;??_);_(@_)">
                  <c:v>2.3817308270397639</c:v>
                </c:pt>
                <c:pt idx="147" formatCode="_(* #,##0.0000_);_(* \(#,##0.0000\);_(* &quot;-&quot;??_);_(@_)">
                  <c:v>2.3817308270397639</c:v>
                </c:pt>
                <c:pt idx="148" formatCode="_(* #,##0.0000_);_(* \(#,##0.0000\);_(* &quot;-&quot;??_);_(@_)">
                  <c:v>2.3817308270397639</c:v>
                </c:pt>
                <c:pt idx="149" formatCode="_(* #,##0.0000_);_(* \(#,##0.0000\);_(* &quot;-&quot;??_);_(@_)">
                  <c:v>2.3817308270397639</c:v>
                </c:pt>
                <c:pt idx="150" formatCode="_(* #,##0.0000_);_(* \(#,##0.0000\);_(* &quot;-&quot;??_);_(@_)">
                  <c:v>2.3817308270397639</c:v>
                </c:pt>
                <c:pt idx="151" formatCode="_(* #,##0.0000_);_(* \(#,##0.0000\);_(* &quot;-&quot;??_);_(@_)">
                  <c:v>2.3817308270397639</c:v>
                </c:pt>
                <c:pt idx="152" formatCode="_(* #,##0.0000_);_(* \(#,##0.0000\);_(* &quot;-&quot;??_);_(@_)">
                  <c:v>2.3817308270397639</c:v>
                </c:pt>
                <c:pt idx="153" formatCode="_(* #,##0.0000_);_(* \(#,##0.0000\);_(* &quot;-&quot;??_);_(@_)">
                  <c:v>2.3817308270397639</c:v>
                </c:pt>
                <c:pt idx="154" formatCode="_(* #,##0.0000_);_(* \(#,##0.0000\);_(* &quot;-&quot;??_);_(@_)">
                  <c:v>2.3817308270397639</c:v>
                </c:pt>
                <c:pt idx="155" formatCode="_(* #,##0.0000_);_(* \(#,##0.0000\);_(* &quot;-&quot;??_);_(@_)">
                  <c:v>2.3817308270397639</c:v>
                </c:pt>
                <c:pt idx="156" formatCode="_(* #,##0.0000_);_(* \(#,##0.0000\);_(* &quot;-&quot;??_);_(@_)">
                  <c:v>2.3817308270397639</c:v>
                </c:pt>
                <c:pt idx="157" formatCode="_(* #,##0.0000_);_(* \(#,##0.0000\);_(* &quot;-&quot;??_);_(@_)">
                  <c:v>2.3817308270397639</c:v>
                </c:pt>
                <c:pt idx="158" formatCode="_(* #,##0.0000_);_(* \(#,##0.0000\);_(* &quot;-&quot;??_);_(@_)">
                  <c:v>2.3817308270397639</c:v>
                </c:pt>
                <c:pt idx="159" formatCode="_(* #,##0.0000_);_(* \(#,##0.0000\);_(* &quot;-&quot;??_);_(@_)">
                  <c:v>2.3817308270397639</c:v>
                </c:pt>
                <c:pt idx="160" formatCode="_(* #,##0.0000_);_(* \(#,##0.0000\);_(* &quot;-&quot;??_);_(@_)">
                  <c:v>2.3817308270397639</c:v>
                </c:pt>
                <c:pt idx="161" formatCode="_(* #,##0.0000_);_(* \(#,##0.0000\);_(* &quot;-&quot;??_);_(@_)">
                  <c:v>2.3817308270397639</c:v>
                </c:pt>
                <c:pt idx="162" formatCode="_(* #,##0.0000_);_(* \(#,##0.0000\);_(* &quot;-&quot;??_);_(@_)">
                  <c:v>2.3817308270397639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5-4198-B3A1-40B7EF1D2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768559"/>
        <c:axId val="1402789967"/>
      </c:lineChart>
      <c:catAx>
        <c:axId val="1234768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789967"/>
        <c:crosses val="autoZero"/>
        <c:auto val="1"/>
        <c:lblAlgn val="ctr"/>
        <c:lblOffset val="100"/>
        <c:noMultiLvlLbl val="0"/>
      </c:catAx>
      <c:valAx>
        <c:axId val="1402789967"/>
        <c:scaling>
          <c:orientation val="minMax"/>
          <c:min val="2.29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6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Utilities!$J$1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Utilities!$J$2:$J$163</c:f>
              <c:numCache>
                <c:formatCode>0.000%</c:formatCode>
                <c:ptCount val="162"/>
                <c:pt idx="19">
                  <c:v>7.0087351824998391E-4</c:v>
                </c:pt>
                <c:pt idx="20">
                  <c:v>-7.352584085901072E-4</c:v>
                </c:pt>
                <c:pt idx="21">
                  <c:v>-7.958420497496444E-5</c:v>
                </c:pt>
                <c:pt idx="22">
                  <c:v>5.582405298594045E-4</c:v>
                </c:pt>
                <c:pt idx="23">
                  <c:v>-6.2705761874814493E-4</c:v>
                </c:pt>
                <c:pt idx="24">
                  <c:v>-5.1762917373665541E-4</c:v>
                </c:pt>
                <c:pt idx="25">
                  <c:v>-1.7476747985083433E-3</c:v>
                </c:pt>
                <c:pt idx="26">
                  <c:v>-2.862233834829965E-4</c:v>
                </c:pt>
                <c:pt idx="27">
                  <c:v>9.3287690716654747E-5</c:v>
                </c:pt>
                <c:pt idx="28">
                  <c:v>2.4359169175354215E-3</c:v>
                </c:pt>
                <c:pt idx="29">
                  <c:v>3.7605942646502209E-3</c:v>
                </c:pt>
                <c:pt idx="30">
                  <c:v>4.1251723961850135E-3</c:v>
                </c:pt>
                <c:pt idx="31">
                  <c:v>3.1177998392260676E-3</c:v>
                </c:pt>
                <c:pt idx="32">
                  <c:v>3.622605133684655E-3</c:v>
                </c:pt>
                <c:pt idx="33">
                  <c:v>4.6361929217984179E-3</c:v>
                </c:pt>
                <c:pt idx="34">
                  <c:v>5.5524038746661295E-3</c:v>
                </c:pt>
                <c:pt idx="35">
                  <c:v>6.2242174435443807E-3</c:v>
                </c:pt>
                <c:pt idx="36">
                  <c:v>5.7289544086641967E-3</c:v>
                </c:pt>
                <c:pt idx="37">
                  <c:v>3.1531002976179475E-3</c:v>
                </c:pt>
                <c:pt idx="38">
                  <c:v>2.4629220100328745E-3</c:v>
                </c:pt>
                <c:pt idx="39">
                  <c:v>9.1238485944888155E-4</c:v>
                </c:pt>
                <c:pt idx="40">
                  <c:v>3.0839019998509079E-4</c:v>
                </c:pt>
                <c:pt idx="41">
                  <c:v>6.8101277290272418E-4</c:v>
                </c:pt>
                <c:pt idx="42">
                  <c:v>-4.8871575994058076E-4</c:v>
                </c:pt>
                <c:pt idx="43">
                  <c:v>-2.1790280885086968E-4</c:v>
                </c:pt>
                <c:pt idx="44">
                  <c:v>-4.9456999493551704E-4</c:v>
                </c:pt>
                <c:pt idx="45">
                  <c:v>1.7169053566382687E-3</c:v>
                </c:pt>
                <c:pt idx="46">
                  <c:v>5.8928809679055982E-5</c:v>
                </c:pt>
                <c:pt idx="47">
                  <c:v>-2.053633798254445E-4</c:v>
                </c:pt>
                <c:pt idx="48">
                  <c:v>7.6184858310056629E-4</c:v>
                </c:pt>
                <c:pt idx="49">
                  <c:v>2.2505651335334421E-3</c:v>
                </c:pt>
                <c:pt idx="50">
                  <c:v>1.6260819548510642E-3</c:v>
                </c:pt>
                <c:pt idx="51">
                  <c:v>3.2699607239667131E-4</c:v>
                </c:pt>
                <c:pt idx="52">
                  <c:v>-7.426681806057975E-5</c:v>
                </c:pt>
                <c:pt idx="53">
                  <c:v>-2.328972706009071E-3</c:v>
                </c:pt>
                <c:pt idx="54">
                  <c:v>-1.2818847829493398E-3</c:v>
                </c:pt>
                <c:pt idx="55">
                  <c:v>-2.7236591690097561E-4</c:v>
                </c:pt>
                <c:pt idx="56">
                  <c:v>1.0738898968282037E-4</c:v>
                </c:pt>
                <c:pt idx="57">
                  <c:v>-8.1446473779529262E-4</c:v>
                </c:pt>
                <c:pt idx="58">
                  <c:v>3.2154733478353422E-4</c:v>
                </c:pt>
                <c:pt idx="59">
                  <c:v>-1.4271590116363948E-5</c:v>
                </c:pt>
                <c:pt idx="60">
                  <c:v>1.2828058392719947E-4</c:v>
                </c:pt>
                <c:pt idx="61">
                  <c:v>5.5267900157906331E-4</c:v>
                </c:pt>
                <c:pt idx="62">
                  <c:v>-1.8964218485864528E-3</c:v>
                </c:pt>
                <c:pt idx="63">
                  <c:v>-8.1744291052683745E-4</c:v>
                </c:pt>
                <c:pt idx="64">
                  <c:v>-1.6302541404276103E-3</c:v>
                </c:pt>
                <c:pt idx="65">
                  <c:v>9.3944352466390432E-4</c:v>
                </c:pt>
                <c:pt idx="66">
                  <c:v>1.4040239262052123E-3</c:v>
                </c:pt>
                <c:pt idx="67">
                  <c:v>2.1988195395611751E-3</c:v>
                </c:pt>
                <c:pt idx="68">
                  <c:v>8.352421847081492E-4</c:v>
                </c:pt>
                <c:pt idx="69">
                  <c:v>1.3325657291995401E-3</c:v>
                </c:pt>
                <c:pt idx="70">
                  <c:v>1.0583725061004347E-3</c:v>
                </c:pt>
                <c:pt idx="71">
                  <c:v>2.2116557429821856E-3</c:v>
                </c:pt>
                <c:pt idx="72">
                  <c:v>1.713040057954981E-3</c:v>
                </c:pt>
                <c:pt idx="73">
                  <c:v>8.1868801085937203E-4</c:v>
                </c:pt>
                <c:pt idx="74">
                  <c:v>9.4381849357934821E-4</c:v>
                </c:pt>
                <c:pt idx="75">
                  <c:v>-5.7916823961229194E-4</c:v>
                </c:pt>
                <c:pt idx="76">
                  <c:v>-1.330393150969565E-3</c:v>
                </c:pt>
                <c:pt idx="77">
                  <c:v>-4.5976214909538074E-4</c:v>
                </c:pt>
                <c:pt idx="78">
                  <c:v>1.1323395524097609E-3</c:v>
                </c:pt>
                <c:pt idx="79">
                  <c:v>6.428345666360984E-4</c:v>
                </c:pt>
                <c:pt idx="80">
                  <c:v>-2.4715991632747928E-4</c:v>
                </c:pt>
                <c:pt idx="81">
                  <c:v>1.2731694388696448E-3</c:v>
                </c:pt>
                <c:pt idx="82">
                  <c:v>2.144903961734283E-3</c:v>
                </c:pt>
                <c:pt idx="83">
                  <c:v>7.7512785128815392E-4</c:v>
                </c:pt>
                <c:pt idx="84">
                  <c:v>1.730976207720296E-3</c:v>
                </c:pt>
                <c:pt idx="85">
                  <c:v>1.7443388788649006E-3</c:v>
                </c:pt>
                <c:pt idx="86">
                  <c:v>5.8484232508276151E-4</c:v>
                </c:pt>
                <c:pt idx="87">
                  <c:v>1.1854344023927059E-3</c:v>
                </c:pt>
                <c:pt idx="88">
                  <c:v>2.1805289892559633E-3</c:v>
                </c:pt>
                <c:pt idx="89">
                  <c:v>3.5790678884232399E-4</c:v>
                </c:pt>
                <c:pt idx="90">
                  <c:v>6.2089141901693122E-4</c:v>
                </c:pt>
                <c:pt idx="91">
                  <c:v>-1.3285532916744829E-4</c:v>
                </c:pt>
                <c:pt idx="92">
                  <c:v>-2.360627633875228E-3</c:v>
                </c:pt>
                <c:pt idx="93">
                  <c:v>-2.8010134249851475E-3</c:v>
                </c:pt>
                <c:pt idx="94">
                  <c:v>-2.0443502099945395E-3</c:v>
                </c:pt>
                <c:pt idx="95">
                  <c:v>-8.3277484595234983E-4</c:v>
                </c:pt>
                <c:pt idx="96">
                  <c:v>7.5535125614489493E-4</c:v>
                </c:pt>
                <c:pt idx="97">
                  <c:v>5.8488536597837352E-4</c:v>
                </c:pt>
                <c:pt idx="98">
                  <c:v>7.1710033680448928E-4</c:v>
                </c:pt>
                <c:pt idx="99">
                  <c:v>1.32915672945809E-3</c:v>
                </c:pt>
                <c:pt idx="100">
                  <c:v>8.0062658873931807E-4</c:v>
                </c:pt>
                <c:pt idx="101">
                  <c:v>5.100603008581496E-4</c:v>
                </c:pt>
                <c:pt idx="102">
                  <c:v>-2.087033191328665E-3</c:v>
                </c:pt>
                <c:pt idx="103">
                  <c:v>-6.5430273973074405E-4</c:v>
                </c:pt>
                <c:pt idx="104">
                  <c:v>-2.0174173433900561E-3</c:v>
                </c:pt>
                <c:pt idx="105">
                  <c:v>-2.4988698913402689E-3</c:v>
                </c:pt>
                <c:pt idx="106">
                  <c:v>-1.4189286306541091E-3</c:v>
                </c:pt>
                <c:pt idx="107">
                  <c:v>-1.5363870783921749E-3</c:v>
                </c:pt>
                <c:pt idx="108">
                  <c:v>-2.9891196112479049E-3</c:v>
                </c:pt>
                <c:pt idx="109">
                  <c:v>-2.5991171888333996E-3</c:v>
                </c:pt>
                <c:pt idx="110">
                  <c:v>1.4923724361839104E-4</c:v>
                </c:pt>
                <c:pt idx="111">
                  <c:v>3.127230265394237E-4</c:v>
                </c:pt>
                <c:pt idx="112">
                  <c:v>6.0584053710375403E-3</c:v>
                </c:pt>
                <c:pt idx="113">
                  <c:v>5.6828406391018901E-3</c:v>
                </c:pt>
                <c:pt idx="114">
                  <c:v>4.4741049102148276E-3</c:v>
                </c:pt>
                <c:pt idx="115">
                  <c:v>-4.8912157885012215E-4</c:v>
                </c:pt>
                <c:pt idx="116">
                  <c:v>-4.688671835936722E-6</c:v>
                </c:pt>
                <c:pt idx="117">
                  <c:v>-6.8511898478859634E-4</c:v>
                </c:pt>
                <c:pt idx="118">
                  <c:v>-1.6078786508300572E-3</c:v>
                </c:pt>
                <c:pt idx="119">
                  <c:v>-6.6371764378830161E-4</c:v>
                </c:pt>
                <c:pt idx="120">
                  <c:v>-5.1413157089869445E-4</c:v>
                </c:pt>
                <c:pt idx="121">
                  <c:v>5.1717052709968818E-4</c:v>
                </c:pt>
                <c:pt idx="122">
                  <c:v>-2.2199075412272995E-4</c:v>
                </c:pt>
                <c:pt idx="123">
                  <c:v>-1.394486118840577E-3</c:v>
                </c:pt>
                <c:pt idx="124">
                  <c:v>-8.6184099547349682E-4</c:v>
                </c:pt>
                <c:pt idx="125">
                  <c:v>-2.2860752367500035E-3</c:v>
                </c:pt>
                <c:pt idx="126">
                  <c:v>-3.9303529987656924E-3</c:v>
                </c:pt>
                <c:pt idx="127">
                  <c:v>-3.5795265677529744E-3</c:v>
                </c:pt>
                <c:pt idx="128">
                  <c:v>-3.8310583443136961E-3</c:v>
                </c:pt>
                <c:pt idx="129">
                  <c:v>-3.3636153547137878E-3</c:v>
                </c:pt>
                <c:pt idx="130">
                  <c:v>-3.8047909086689814E-3</c:v>
                </c:pt>
                <c:pt idx="131">
                  <c:v>-3.3279465067037896E-3</c:v>
                </c:pt>
                <c:pt idx="132">
                  <c:v>-3.8525043529381358E-3</c:v>
                </c:pt>
                <c:pt idx="133">
                  <c:v>-4.662665435301569E-3</c:v>
                </c:pt>
                <c:pt idx="134">
                  <c:v>-3.5369383911522884E-3</c:v>
                </c:pt>
                <c:pt idx="135">
                  <c:v>-3.1120766774616576E-3</c:v>
                </c:pt>
                <c:pt idx="136">
                  <c:v>-1.3070179591632815E-3</c:v>
                </c:pt>
                <c:pt idx="137">
                  <c:v>-2.1664703076892524E-5</c:v>
                </c:pt>
                <c:pt idx="138">
                  <c:v>6.266186429692666E-4</c:v>
                </c:pt>
                <c:pt idx="139">
                  <c:v>1.7247880162673812E-3</c:v>
                </c:pt>
                <c:pt idx="140">
                  <c:v>1.1655236714279416E-3</c:v>
                </c:pt>
                <c:pt idx="141">
                  <c:v>5.9251275486001272E-4</c:v>
                </c:pt>
                <c:pt idx="142">
                  <c:v>-3.2677111334045351E-4</c:v>
                </c:pt>
                <c:pt idx="143">
                  <c:v>1.6085526510742994E-3</c:v>
                </c:pt>
                <c:pt idx="144">
                  <c:v>1.0322529395666287E-3</c:v>
                </c:pt>
                <c:pt idx="145">
                  <c:v>1.6883458766205707E-4</c:v>
                </c:pt>
                <c:pt idx="146">
                  <c:v>2.8157361385335847E-4</c:v>
                </c:pt>
                <c:pt idx="147">
                  <c:v>1.675767633029678E-4</c:v>
                </c:pt>
                <c:pt idx="148">
                  <c:v>-2.1030464242097436E-3</c:v>
                </c:pt>
                <c:pt idx="149">
                  <c:v>-2.6341482514143284E-3</c:v>
                </c:pt>
                <c:pt idx="150">
                  <c:v>-3.1346218398504663E-3</c:v>
                </c:pt>
                <c:pt idx="151">
                  <c:v>-2.1772138117124168E-3</c:v>
                </c:pt>
                <c:pt idx="152">
                  <c:v>-1.9040434760602173E-3</c:v>
                </c:pt>
                <c:pt idx="153">
                  <c:v>-7.4261452919520865E-4</c:v>
                </c:pt>
                <c:pt idx="154">
                  <c:v>-6.5723113192979812E-4</c:v>
                </c:pt>
                <c:pt idx="155">
                  <c:v>-3.6800482772618209E-4</c:v>
                </c:pt>
                <c:pt idx="156">
                  <c:v>4.4233296207252178E-4</c:v>
                </c:pt>
                <c:pt idx="157">
                  <c:v>-1.2298833505164015E-3</c:v>
                </c:pt>
                <c:pt idx="158">
                  <c:v>-1.0427594907828168E-3</c:v>
                </c:pt>
                <c:pt idx="159">
                  <c:v>-3.38574507756153E-3</c:v>
                </c:pt>
                <c:pt idx="160">
                  <c:v>-2.339986628770187E-3</c:v>
                </c:pt>
                <c:pt idx="161">
                  <c:v>-3.1371546444322948E-4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E-4B8E-8007-CB66C4323CB9}"/>
            </c:ext>
          </c:extLst>
        </c:ser>
        <c:ser>
          <c:idx val="1"/>
          <c:order val="1"/>
          <c:tx>
            <c:strRef>
              <c:f>Utilities!$K$1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Utilities!$K$2:$K$163</c:f>
              <c:numCache>
                <c:formatCode>0.000%</c:formatCode>
                <c:ptCount val="162"/>
                <c:pt idx="19">
                  <c:v>-2.4089225143248813E-3</c:v>
                </c:pt>
                <c:pt idx="20">
                  <c:v>-3.9744997500883606E-3</c:v>
                </c:pt>
                <c:pt idx="21">
                  <c:v>-3.3684289704164231E-3</c:v>
                </c:pt>
                <c:pt idx="22">
                  <c:v>-2.789392630083379E-3</c:v>
                </c:pt>
                <c:pt idx="23">
                  <c:v>-4.060170400521184E-3</c:v>
                </c:pt>
                <c:pt idx="24">
                  <c:v>-4.0076603213887859E-3</c:v>
                </c:pt>
                <c:pt idx="25">
                  <c:v>-5.3579858989421091E-3</c:v>
                </c:pt>
                <c:pt idx="26">
                  <c:v>-3.9937046585294695E-3</c:v>
                </c:pt>
                <c:pt idx="27">
                  <c:v>-3.7135330256309025E-3</c:v>
                </c:pt>
                <c:pt idx="28">
                  <c:v>-1.3820118292330796E-3</c:v>
                </c:pt>
                <c:pt idx="29">
                  <c:v>6.418645726225776E-5</c:v>
                </c:pt>
                <c:pt idx="30">
                  <c:v>5.416929026740235E-4</c:v>
                </c:pt>
                <c:pt idx="31">
                  <c:v>-4.0397254633205956E-4</c:v>
                </c:pt>
                <c:pt idx="32">
                  <c:v>3.4039338701626987E-4</c:v>
                </c:pt>
                <c:pt idx="33">
                  <c:v>1.7653424843295186E-3</c:v>
                </c:pt>
                <c:pt idx="34">
                  <c:v>3.1637717259965451E-3</c:v>
                </c:pt>
                <c:pt idx="35">
                  <c:v>4.3637741291301865E-3</c:v>
                </c:pt>
                <c:pt idx="36">
                  <c:v>4.3092810622239941E-3</c:v>
                </c:pt>
                <c:pt idx="37">
                  <c:v>2.093387928487235E-3</c:v>
                </c:pt>
                <c:pt idx="38">
                  <c:v>1.5974466317281982E-3</c:v>
                </c:pt>
                <c:pt idx="39">
                  <c:v>1.7620677226067748E-4</c:v>
                </c:pt>
                <c:pt idx="40">
                  <c:v>-2.4083063799091277E-4</c:v>
                </c:pt>
                <c:pt idx="41">
                  <c:v>3.1622163727481066E-4</c:v>
                </c:pt>
                <c:pt idx="42">
                  <c:v>-7.5146179980657929E-4</c:v>
                </c:pt>
                <c:pt idx="43">
                  <c:v>-2.9185427550938568E-4</c:v>
                </c:pt>
                <c:pt idx="44">
                  <c:v>-3.8709166360254325E-4</c:v>
                </c:pt>
                <c:pt idx="45">
                  <c:v>2.2031506647536467E-3</c:v>
                </c:pt>
                <c:pt idx="46">
                  <c:v>7.8461925143931356E-4</c:v>
                </c:pt>
                <c:pt idx="47">
                  <c:v>7.4370742114850867E-4</c:v>
                </c:pt>
                <c:pt idx="48">
                  <c:v>1.873839818179392E-3</c:v>
                </c:pt>
                <c:pt idx="49">
                  <c:v>3.5360450196875357E-3</c:v>
                </c:pt>
                <c:pt idx="50">
                  <c:v>3.0362339128694399E-3</c:v>
                </c:pt>
                <c:pt idx="51">
                  <c:v>1.8499268512124961E-3</c:v>
                </c:pt>
                <c:pt idx="52">
                  <c:v>1.5070325917398023E-3</c:v>
                </c:pt>
                <c:pt idx="53">
                  <c:v>-8.8008672791859517E-4</c:v>
                </c:pt>
                <c:pt idx="54">
                  <c:v>9.312302135551446E-6</c:v>
                </c:pt>
                <c:pt idx="55">
                  <c:v>8.4304070381332758E-4</c:v>
                </c:pt>
                <c:pt idx="56">
                  <c:v>1.0606309276229872E-3</c:v>
                </c:pt>
                <c:pt idx="57">
                  <c:v>3.5920564446078522E-5</c:v>
                </c:pt>
                <c:pt idx="58">
                  <c:v>1.1495497554922906E-3</c:v>
                </c:pt>
                <c:pt idx="59">
                  <c:v>8.4729649393753333E-4</c:v>
                </c:pt>
                <c:pt idx="60">
                  <c:v>1.0546544852361157E-3</c:v>
                </c:pt>
                <c:pt idx="61">
                  <c:v>1.540256403781448E-3</c:v>
                </c:pt>
                <c:pt idx="62">
                  <c:v>-9.1714360878034475E-4</c:v>
                </c:pt>
                <c:pt idx="63">
                  <c:v>1.8573999326102272E-4</c:v>
                </c:pt>
                <c:pt idx="64">
                  <c:v>-6.3972183665600825E-4</c:v>
                </c:pt>
                <c:pt idx="65">
                  <c:v>1.9156144807578157E-3</c:v>
                </c:pt>
                <c:pt idx="66">
                  <c:v>2.4641189856054921E-3</c:v>
                </c:pt>
                <c:pt idx="67">
                  <c:v>3.391162877557636E-3</c:v>
                </c:pt>
                <c:pt idx="68">
                  <c:v>2.0356709449920727E-3</c:v>
                </c:pt>
                <c:pt idx="69">
                  <c:v>2.4803041721753552E-3</c:v>
                </c:pt>
                <c:pt idx="70">
                  <c:v>2.162487973681198E-3</c:v>
                </c:pt>
                <c:pt idx="71">
                  <c:v>3.3928009315168459E-3</c:v>
                </c:pt>
                <c:pt idx="72">
                  <c:v>2.9671149855118296E-3</c:v>
                </c:pt>
                <c:pt idx="73">
                  <c:v>2.2282837846089544E-3</c:v>
                </c:pt>
                <c:pt idx="74">
                  <c:v>2.4768177314831636E-3</c:v>
                </c:pt>
                <c:pt idx="75">
                  <c:v>9.5966596272041473E-4</c:v>
                </c:pt>
                <c:pt idx="76">
                  <c:v>1.635462352953986E-4</c:v>
                </c:pt>
                <c:pt idx="77">
                  <c:v>1.0867701242178302E-3</c:v>
                </c:pt>
                <c:pt idx="78">
                  <c:v>2.7593313241571949E-3</c:v>
                </c:pt>
                <c:pt idx="79">
                  <c:v>2.3447017307774115E-3</c:v>
                </c:pt>
                <c:pt idx="80">
                  <c:v>1.4757725702363182E-3</c:v>
                </c:pt>
                <c:pt idx="81">
                  <c:v>3.0726814174988383E-3</c:v>
                </c:pt>
                <c:pt idx="82">
                  <c:v>4.2003647983642565E-3</c:v>
                </c:pt>
                <c:pt idx="83">
                  <c:v>2.9698715171066711E-3</c:v>
                </c:pt>
                <c:pt idx="84">
                  <c:v>4.1661461193098293E-3</c:v>
                </c:pt>
                <c:pt idx="85">
                  <c:v>4.2985843697951791E-3</c:v>
                </c:pt>
                <c:pt idx="86">
                  <c:v>3.1746032435466336E-3</c:v>
                </c:pt>
                <c:pt idx="87">
                  <c:v>3.7953864304568507E-3</c:v>
                </c:pt>
                <c:pt idx="88">
                  <c:v>4.9353485551733352E-3</c:v>
                </c:pt>
                <c:pt idx="89">
                  <c:v>3.1460102725671597E-3</c:v>
                </c:pt>
                <c:pt idx="90">
                  <c:v>3.4746006986484776E-3</c:v>
                </c:pt>
                <c:pt idx="91">
                  <c:v>2.6854958797354459E-3</c:v>
                </c:pt>
                <c:pt idx="92">
                  <c:v>3.2549645693248706E-4</c:v>
                </c:pt>
                <c:pt idx="93">
                  <c:v>-2.3842598381718289E-4</c:v>
                </c:pt>
                <c:pt idx="94">
                  <c:v>4.1503839152087958E-4</c:v>
                </c:pt>
                <c:pt idx="95">
                  <c:v>1.6617593924304363E-3</c:v>
                </c:pt>
                <c:pt idx="96">
                  <c:v>3.4124592443981784E-3</c:v>
                </c:pt>
                <c:pt idx="97">
                  <c:v>3.355485030358965E-3</c:v>
                </c:pt>
                <c:pt idx="98">
                  <c:v>3.5260209573140617E-3</c:v>
                </c:pt>
                <c:pt idx="99">
                  <c:v>4.2324225970497157E-3</c:v>
                </c:pt>
                <c:pt idx="100">
                  <c:v>3.821200649653135E-3</c:v>
                </c:pt>
                <c:pt idx="101">
                  <c:v>3.5547300181879983E-3</c:v>
                </c:pt>
                <c:pt idx="102">
                  <c:v>7.8688284972312436E-4</c:v>
                </c:pt>
                <c:pt idx="103">
                  <c:v>2.1801144199315265E-3</c:v>
                </c:pt>
                <c:pt idx="104">
                  <c:v>6.4066523612906997E-4</c:v>
                </c:pt>
                <c:pt idx="105">
                  <c:v>-5.874760762628212E-5</c:v>
                </c:pt>
                <c:pt idx="106">
                  <c:v>9.0781544483283134E-4</c:v>
                </c:pt>
                <c:pt idx="107">
                  <c:v>6.3219184469666867E-4</c:v>
                </c:pt>
                <c:pt idx="108">
                  <c:v>-1.123518168189921E-3</c:v>
                </c:pt>
                <c:pt idx="109">
                  <c:v>-9.3784324287155333E-4</c:v>
                </c:pt>
                <c:pt idx="110">
                  <c:v>1.7230179380746981E-3</c:v>
                </c:pt>
                <c:pt idx="111">
                  <c:v>1.8444830151394225E-3</c:v>
                </c:pt>
                <c:pt idx="112">
                  <c:v>7.9715422054635453E-3</c:v>
                </c:pt>
                <c:pt idx="113">
                  <c:v>8.0075501129932437E-3</c:v>
                </c:pt>
                <c:pt idx="114">
                  <c:v>7.1343500941825917E-3</c:v>
                </c:pt>
                <c:pt idx="115">
                  <c:v>2.1979532467191858E-3</c:v>
                </c:pt>
                <c:pt idx="116">
                  <c:v>2.6439758254150261E-3</c:v>
                </c:pt>
                <c:pt idx="117">
                  <c:v>1.890286367716058E-3</c:v>
                </c:pt>
                <c:pt idx="118">
                  <c:v>8.3282247624423924E-4</c:v>
                </c:pt>
                <c:pt idx="119">
                  <c:v>1.6478265082957686E-3</c:v>
                </c:pt>
                <c:pt idx="120">
                  <c:v>1.6909531929386061E-3</c:v>
                </c:pt>
                <c:pt idx="121">
                  <c:v>2.6784838571630456E-3</c:v>
                </c:pt>
                <c:pt idx="122">
                  <c:v>2.0000282881840353E-3</c:v>
                </c:pt>
                <c:pt idx="123">
                  <c:v>7.5629057780789426E-4</c:v>
                </c:pt>
                <c:pt idx="124">
                  <c:v>1.3230978226076637E-3</c:v>
                </c:pt>
                <c:pt idx="125">
                  <c:v>-1.0337273425752873E-4</c:v>
                </c:pt>
                <c:pt idx="126">
                  <c:v>-1.8877953510440066E-3</c:v>
                </c:pt>
                <c:pt idx="127">
                  <c:v>-1.6514355464417676E-3</c:v>
                </c:pt>
                <c:pt idx="128">
                  <c:v>-1.9441398533062801E-3</c:v>
                </c:pt>
                <c:pt idx="129">
                  <c:v>-1.5051501111466511E-3</c:v>
                </c:pt>
                <c:pt idx="130">
                  <c:v>-2.13985007642738E-3</c:v>
                </c:pt>
                <c:pt idx="131">
                  <c:v>-1.8479166189978816E-3</c:v>
                </c:pt>
                <c:pt idx="132">
                  <c:v>-2.916143590080317E-3</c:v>
                </c:pt>
                <c:pt idx="133">
                  <c:v>-4.3430977529822822E-3</c:v>
                </c:pt>
                <c:pt idx="134">
                  <c:v>-3.7612618689417047E-3</c:v>
                </c:pt>
                <c:pt idx="135">
                  <c:v>-3.627788116682427E-3</c:v>
                </c:pt>
                <c:pt idx="136">
                  <c:v>-2.0575902579772118E-3</c:v>
                </c:pt>
                <c:pt idx="137">
                  <c:v>-9.1217682231160867E-4</c:v>
                </c:pt>
                <c:pt idx="138">
                  <c:v>-3.2154402675208747E-4</c:v>
                </c:pt>
                <c:pt idx="139">
                  <c:v>7.3087680105512174E-4</c:v>
                </c:pt>
                <c:pt idx="140">
                  <c:v>9.1809024366128E-5</c:v>
                </c:pt>
                <c:pt idx="141">
                  <c:v>-6.4712140371414443E-4</c:v>
                </c:pt>
                <c:pt idx="142">
                  <c:v>-1.7538248746379664E-3</c:v>
                </c:pt>
                <c:pt idx="143">
                  <c:v>1.5130700734570742E-4</c:v>
                </c:pt>
                <c:pt idx="144">
                  <c:v>-5.1681305717851504E-4</c:v>
                </c:pt>
                <c:pt idx="145">
                  <c:v>-1.4473774220810224E-3</c:v>
                </c:pt>
                <c:pt idx="146">
                  <c:v>-1.3055250245820977E-3</c:v>
                </c:pt>
                <c:pt idx="147">
                  <c:v>-1.407316555614521E-3</c:v>
                </c:pt>
                <c:pt idx="148">
                  <c:v>-3.7693112019184559E-3</c:v>
                </c:pt>
                <c:pt idx="149">
                  <c:v>-4.4477238065190449E-3</c:v>
                </c:pt>
                <c:pt idx="150">
                  <c:v>-5.096274698269722E-3</c:v>
                </c:pt>
                <c:pt idx="151">
                  <c:v>-4.2595740448281979E-3</c:v>
                </c:pt>
                <c:pt idx="152">
                  <c:v>-4.0428144223110868E-3</c:v>
                </c:pt>
                <c:pt idx="153">
                  <c:v>-2.8043338215540062E-3</c:v>
                </c:pt>
                <c:pt idx="154">
                  <c:v>-2.664023833098703E-3</c:v>
                </c:pt>
                <c:pt idx="155">
                  <c:v>-2.3087815769000613E-3</c:v>
                </c:pt>
                <c:pt idx="156">
                  <c:v>-1.4690200664899797E-3</c:v>
                </c:pt>
                <c:pt idx="157">
                  <c:v>-3.2585695777175099E-3</c:v>
                </c:pt>
                <c:pt idx="158">
                  <c:v>-3.2161268392051556E-3</c:v>
                </c:pt>
                <c:pt idx="159">
                  <c:v>-5.8902490325687456E-3</c:v>
                </c:pt>
                <c:pt idx="160">
                  <c:v>-5.1042610856726874E-3</c:v>
                </c:pt>
                <c:pt idx="161">
                  <c:v>-3.2058090285265201E-3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4E-4B8E-8007-CB66C432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012767"/>
        <c:axId val="160713808"/>
      </c:lineChart>
      <c:catAx>
        <c:axId val="11540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3808"/>
        <c:crosses val="autoZero"/>
        <c:auto val="1"/>
        <c:lblAlgn val="ctr"/>
        <c:lblOffset val="100"/>
        <c:noMultiLvlLbl val="0"/>
      </c:catAx>
      <c:valAx>
        <c:axId val="1607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1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Utilities!$F$1:$F$164</c:f>
              <c:numCache>
                <c:formatCode>General</c:formatCode>
                <c:ptCount val="164"/>
                <c:pt idx="0">
                  <c:v>0</c:v>
                </c:pt>
                <c:pt idx="20" formatCode="_(* #,##0.0000_);_(* \(#,##0.0000\);_(* &quot;-&quot;??_);_(@_)">
                  <c:v>2.5407396508202948</c:v>
                </c:pt>
                <c:pt idx="21" formatCode="_(* #,##0.0000_);_(* \(#,##0.0000\);_(* &quot;-&quot;??_);_(@_)">
                  <c:v>2.5410685589366366</c:v>
                </c:pt>
                <c:pt idx="22" formatCode="_(* #,##0.0000_);_(* \(#,##0.0000\);_(* &quot;-&quot;??_);_(@_)">
                  <c:v>2.5411946077638352</c:v>
                </c:pt>
                <c:pt idx="23" formatCode="_(* #,##0.0000_);_(* \(#,##0.0000\);_(* &quot;-&quot;??_);_(@_)">
                  <c:v>2.541344004906307</c:v>
                </c:pt>
                <c:pt idx="24" formatCode="_(* #,##0.0000_);_(* \(#,##0.0000\);_(* &quot;-&quot;??_);_(@_)">
                  <c:v>2.541561247315554</c:v>
                </c:pt>
                <c:pt idx="25" formatCode="_(* #,##0.0000_);_(* \(#,##0.0000\);_(* &quot;-&quot;??_);_(@_)">
                  <c:v>2.5417059129455595</c:v>
                </c:pt>
                <c:pt idx="26" formatCode="_(* #,##0.0000_);_(* \(#,##0.0000\);_(* &quot;-&quot;??_);_(@_)">
                  <c:v>2.5420116475992596</c:v>
                </c:pt>
                <c:pt idx="27" formatCode="_(* #,##0.0000_);_(* \(#,##0.0000\);_(* &quot;-&quot;??_);_(@_)">
                  <c:v>2.5422586673162049</c:v>
                </c:pt>
                <c:pt idx="28" formatCode="_(* #,##0.0000_);_(* \(#,##0.0000\);_(* &quot;-&quot;??_);_(@_)">
                  <c:v>2.5425112264161909</c:v>
                </c:pt>
                <c:pt idx="29" formatCode="_(* #,##0.0000_);_(* \(#,##0.0000\);_(* &quot;-&quot;??_);_(@_)">
                  <c:v>2.542539468865098</c:v>
                </c:pt>
                <c:pt idx="30" formatCode="_(* #,##0.0000_);_(* \(#,##0.0000\);_(* &quot;-&quot;??_);_(@_)">
                  <c:v>2.5422305158529399</c:v>
                </c:pt>
                <c:pt idx="31" formatCode="_(* #,##0.0000_);_(* \(#,##0.0000\);_(* &quot;-&quot;??_);_(@_)">
                  <c:v>2.5419434422569722</c:v>
                </c:pt>
                <c:pt idx="32" formatCode="_(* #,##0.0000_);_(* \(#,##0.0000\);_(* &quot;-&quot;??_);_(@_)">
                  <c:v>2.5417865911180355</c:v>
                </c:pt>
                <c:pt idx="33" formatCode="_(* #,##0.0000_);_(* \(#,##0.0000\);_(* &quot;-&quot;??_);_(@_)">
                  <c:v>2.5411777520281982</c:v>
                </c:pt>
                <c:pt idx="34" formatCode="_(* #,##0.0000_);_(* \(#,##0.0000\);_(* &quot;-&quot;??_);_(@_)">
                  <c:v>2.5401326247984057</c:v>
                </c:pt>
                <c:pt idx="35" formatCode="_(* #,##0.0000_);_(* \(#,##0.0000\);_(* &quot;-&quot;??_);_(@_)">
                  <c:v>2.5389080216774929</c:v>
                </c:pt>
                <c:pt idx="36" formatCode="_(* #,##0.0000_);_(* \(#,##0.0000\);_(* &quot;-&quot;??_);_(@_)">
                  <c:v>2.5375673529035487</c:v>
                </c:pt>
                <c:pt idx="37" formatCode="_(* #,##0.0000_);_(* \(#,##0.0000\);_(* &quot;-&quot;??_);_(@_)">
                  <c:v>2.5364491158834293</c:v>
                </c:pt>
                <c:pt idx="38" formatCode="_(* #,##0.0000_);_(* \(#,##0.0000\);_(* &quot;-&quot;??_);_(@_)">
                  <c:v>2.5355362574873377</c:v>
                </c:pt>
                <c:pt idx="39" formatCode="_(* #,##0.0000_);_(* \(#,##0.0000\);_(* &quot;-&quot;??_);_(@_)">
                  <c:v>2.5350438103818234</c:v>
                </c:pt>
                <c:pt idx="40" formatCode="_(* #,##0.0000_);_(* \(#,##0.0000\);_(* &quot;-&quot;??_);_(@_)">
                  <c:v>2.5347160572735294</c:v>
                </c:pt>
                <c:pt idx="41" formatCode="_(* #,##0.0000_);_(* \(#,##0.0000\);_(* &quot;-&quot;??_);_(@_)">
                  <c:v>2.5342422180271496</c:v>
                </c:pt>
                <c:pt idx="42" formatCode="_(* #,##0.0000_);_(* \(#,##0.0000\);_(* &quot;-&quot;??_);_(@_)">
                  <c:v>2.5337748715868078</c:v>
                </c:pt>
                <c:pt idx="43" formatCode="_(* #,##0.0000_);_(* \(#,##0.0000\);_(* &quot;-&quot;??_);_(@_)">
                  <c:v>2.5335163254793032</c:v>
                </c:pt>
                <c:pt idx="44" formatCode="_(* #,##0.0000_);_(* \(#,##0.0000\);_(* &quot;-&quot;??_);_(@_)">
                  <c:v>2.5330380564946351</c:v>
                </c:pt>
                <c:pt idx="45" formatCode="_(* #,##0.0000_);_(* \(#,##0.0000\);_(* &quot;-&quot;??_);_(@_)">
                  <c:v>2.5325785295989371</c:v>
                </c:pt>
                <c:pt idx="46" formatCode="_(* #,##0.0000_);_(* \(#,##0.0000\);_(* &quot;-&quot;??_);_(@_)">
                  <c:v>2.5316194541303405</c:v>
                </c:pt>
                <c:pt idx="47" formatCode="_(* #,##0.0000_);_(* \(#,##0.0000\);_(* &quot;-&quot;??_);_(@_)">
                  <c:v>2.5310133427399157</c:v>
                </c:pt>
                <c:pt idx="48" formatCode="_(* #,##0.0000_);_(* \(#,##0.0000\);_(* &quot;-&quot;??_);_(@_)">
                  <c:v>2.5304480272127834</c:v>
                </c:pt>
                <c:pt idx="49" formatCode="_(* #,##0.0000_);_(* \(#,##0.0000\);_(* &quot;-&quot;??_);_(@_)">
                  <c:v>2.5300357991028131</c:v>
                </c:pt>
                <c:pt idx="50" formatCode="_(* #,##0.0000_);_(* \(#,##0.0000\);_(* &quot;-&quot;??_);_(@_)">
                  <c:v>2.5295969046775566</c:v>
                </c:pt>
                <c:pt idx="51" formatCode="_(* #,##0.0000_);_(* \(#,##0.0000\);_(* &quot;-&quot;??_);_(@_)">
                  <c:v>2.5292815542485734</c:v>
                </c:pt>
                <c:pt idx="52" formatCode="_(* #,##0.0000_);_(* \(#,##0.0000\);_(* &quot;-&quot;??_);_(@_)">
                  <c:v>2.52899632094186</c:v>
                </c:pt>
                <c:pt idx="53" formatCode="_(* #,##0.0000_);_(* \(#,##0.0000\);_(* &quot;-&quot;??_);_(@_)">
                  <c:v>2.5288487111967735</c:v>
                </c:pt>
                <c:pt idx="54" formatCode="_(* #,##0.0000_);_(* \(#,##0.0000\);_(* &quot;-&quot;??_);_(@_)">
                  <c:v>2.5291835869034296</c:v>
                </c:pt>
                <c:pt idx="55" formatCode="_(* #,##0.0000_);_(* \(#,##0.0000\);_(* &quot;-&quot;??_);_(@_)">
                  <c:v>2.5295824425101792</c:v>
                </c:pt>
                <c:pt idx="56" formatCode="_(* #,##0.0000_);_(* \(#,##0.0000\);_(* &quot;-&quot;??_);_(@_)">
                  <c:v>2.5300271580696441</c:v>
                </c:pt>
                <c:pt idx="57" formatCode="_(* #,##0.0000_);_(* \(#,##0.0000\);_(* &quot;-&quot;??_);_(@_)">
                  <c:v>2.5304374723894889</c:v>
                </c:pt>
                <c:pt idx="58" formatCode="_(* #,##0.0000_);_(* \(#,##0.0000\);_(* &quot;-&quot;??_);_(@_)">
                  <c:v>2.5306977580605698</c:v>
                </c:pt>
                <c:pt idx="59" formatCode="_(* #,##0.0000_);_(* \(#,##0.0000\);_(* &quot;-&quot;??_);_(@_)">
                  <c:v>2.5307544030026192</c:v>
                </c:pt>
                <c:pt idx="60" formatCode="_(* #,##0.0000_);_(* \(#,##0.0000\);_(* &quot;-&quot;??_);_(@_)">
                  <c:v>2.530669457977945</c:v>
                </c:pt>
                <c:pt idx="61" formatCode="_(* #,##0.0000_);_(* \(#,##0.0000\);_(* &quot;-&quot;??_);_(@_)">
                  <c:v>2.530505461189549</c:v>
                </c:pt>
                <c:pt idx="62" formatCode="_(* #,##0.0000_);_(* \(#,##0.0000\);_(* &quot;-&quot;??_);_(@_)">
                  <c:v>2.5303505901356673</c:v>
                </c:pt>
                <c:pt idx="63" formatCode="_(* #,##0.0000_);_(* \(#,##0.0000\);_(* &quot;-&quot;??_);_(@_)">
                  <c:v>2.5303715900132753</c:v>
                </c:pt>
                <c:pt idx="64" formatCode="_(* #,##0.0000_);_(* \(#,##0.0000\);_(* &quot;-&quot;??_);_(@_)">
                  <c:v>2.5303111030536298</c:v>
                </c:pt>
                <c:pt idx="65" formatCode="_(* #,##0.0000_);_(* \(#,##0.0000\);_(* &quot;-&quot;??_);_(@_)">
                  <c:v>2.5303431132097849</c:v>
                </c:pt>
                <c:pt idx="66" formatCode="_(* #,##0.0000_);_(* \(#,##0.0000\);_(* &quot;-&quot;??_);_(@_)">
                  <c:v>2.5303794526079182</c:v>
                </c:pt>
                <c:pt idx="67" formatCode="_(* #,##0.0000_);_(* \(#,##0.0000\);_(* &quot;-&quot;??_);_(@_)">
                  <c:v>2.5301671016921383</c:v>
                </c:pt>
                <c:pt idx="68" formatCode="_(* #,##0.0000_);_(* \(#,##0.0000\);_(* &quot;-&quot;??_);_(@_)">
                  <c:v>2.5298325135732176</c:v>
                </c:pt>
                <c:pt idx="69" formatCode="_(* #,##0.0000_);_(* \(#,##0.0000\);_(* &quot;-&quot;??_);_(@_)">
                  <c:v>2.5298120588917214</c:v>
                </c:pt>
                <c:pt idx="70" formatCode="_(* #,##0.0000_);_(* \(#,##0.0000\);_(* &quot;-&quot;??_);_(@_)">
                  <c:v>2.5299453590036163</c:v>
                </c:pt>
                <c:pt idx="71" formatCode="_(* #,##0.0000_);_(* \(#,##0.0000\);_(* &quot;-&quot;??_);_(@_)">
                  <c:v>2.5300557251549951</c:v>
                </c:pt>
                <c:pt idx="72" formatCode="_(* #,##0.0000_);_(* \(#,##0.0000\);_(* &quot;-&quot;??_);_(@_)">
                  <c:v>2.5298608431744372</c:v>
                </c:pt>
                <c:pt idx="73" formatCode="_(* #,##0.0000_);_(* \(#,##0.0000\);_(* &quot;-&quot;??_);_(@_)">
                  <c:v>2.5296763478110629</c:v>
                </c:pt>
                <c:pt idx="74" formatCode="_(* #,##0.0000_);_(* \(#,##0.0000\);_(* &quot;-&quot;??_);_(@_)">
                  <c:v>2.5292829609955758</c:v>
                </c:pt>
                <c:pt idx="75" formatCode="_(* #,##0.0000_);_(* \(#,##0.0000\);_(* &quot;-&quot;??_);_(@_)">
                  <c:v>2.528970857974056</c:v>
                </c:pt>
                <c:pt idx="76" formatCode="_(* #,##0.0000_);_(* \(#,##0.0000\);_(* &quot;-&quot;??_);_(@_)">
                  <c:v>2.5289561015621094</c:v>
                </c:pt>
                <c:pt idx="77" formatCode="_(* #,##0.0000_);_(* \(#,##0.0000\);_(* &quot;-&quot;??_);_(@_)">
                  <c:v>2.5290696411297819</c:v>
                </c:pt>
                <c:pt idx="78" formatCode="_(* #,##0.0000_);_(* \(#,##0.0000\);_(* &quot;-&quot;??_);_(@_)">
                  <c:v>2.5289366335534664</c:v>
                </c:pt>
                <c:pt idx="79" formatCode="_(* #,##0.0000_);_(* \(#,##0.0000\);_(* &quot;-&quot;??_);_(@_)">
                  <c:v>2.528733164765967</c:v>
                </c:pt>
                <c:pt idx="80" formatCode="_(* #,##0.0000_);_(* \(#,##0.0000\);_(* &quot;-&quot;??_);_(@_)">
                  <c:v>2.5285438319662683</c:v>
                </c:pt>
                <c:pt idx="81" formatCode="_(* #,##0.0000_);_(* \(#,##0.0000\);_(* &quot;-&quot;??_);_(@_)">
                  <c:v>2.5284905679362017</c:v>
                </c:pt>
                <c:pt idx="82" formatCode="_(* #,##0.0000_);_(* \(#,##0.0000\);_(* &quot;-&quot;??_);_(@_)">
                  <c:v>2.5282969448266917</c:v>
                </c:pt>
                <c:pt idx="83" formatCode="_(* #,##0.0000_);_(* \(#,##0.0000\);_(* &quot;-&quot;??_);_(@_)">
                  <c:v>2.5276499129180472</c:v>
                </c:pt>
                <c:pt idx="84" formatCode="_(* #,##0.0000_);_(* \(#,##0.0000\);_(* &quot;-&quot;??_);_(@_)">
                  <c:v>2.5272978792036733</c:v>
                </c:pt>
                <c:pt idx="85" formatCode="_(* #,##0.0000_);_(* \(#,##0.0000\);_(* &quot;-&quot;??_);_(@_)">
                  <c:v>2.5266903235017262</c:v>
                </c:pt>
                <c:pt idx="86" formatCode="_(* #,##0.0000_);_(* \(#,##0.0000\);_(* &quot;-&quot;??_);_(@_)">
                  <c:v>2.5263894742998927</c:v>
                </c:pt>
                <c:pt idx="87" formatCode="_(* #,##0.0000_);_(* \(#,##0.0000\);_(* &quot;-&quot;??_);_(@_)">
                  <c:v>2.5262997500909026</c:v>
                </c:pt>
                <c:pt idx="88" formatCode="_(* #,##0.0000_);_(* \(#,##0.0000\);_(* &quot;-&quot;??_);_(@_)">
                  <c:v>2.5262487418107238</c:v>
                </c:pt>
                <c:pt idx="89" formatCode="_(* #,##0.0000_);_(* \(#,##0.0000\);_(* &quot;-&quot;??_);_(@_)">
                  <c:v>2.5258827968829034</c:v>
                </c:pt>
                <c:pt idx="90" formatCode="_(* #,##0.0000_);_(* \(#,##0.0000\);_(* &quot;-&quot;??_);_(@_)">
                  <c:v>2.5257987270065958</c:v>
                </c:pt>
                <c:pt idx="91" formatCode="_(* #,##0.0000_);_(* \(#,##0.0000\);_(* &quot;-&quot;??_);_(@_)">
                  <c:v>2.5256330254063628</c:v>
                </c:pt>
                <c:pt idx="92" formatCode="_(* #,##0.0000_);_(* \(#,##0.0000\);_(* &quot;-&quot;??_);_(@_)">
                  <c:v>2.5257223284962929</c:v>
                </c:pt>
                <c:pt idx="93" formatCode="_(* #,##0.0000_);_(* \(#,##0.0000\);_(* &quot;-&quot;??_);_(@_)">
                  <c:v>2.5260563195617496</c:v>
                </c:pt>
                <c:pt idx="94" formatCode="_(* #,##0.0000_);_(* \(#,##0.0000\);_(* &quot;-&quot;??_);_(@_)">
                  <c:v>2.5263683993725197</c:v>
                </c:pt>
                <c:pt idx="95" formatCode="_(* #,##0.0000_);_(* \(#,##0.0000\);_(* &quot;-&quot;??_);_(@_)">
                  <c:v>2.5266291311132449</c:v>
                </c:pt>
                <c:pt idx="96" formatCode="_(* #,##0.0000_);_(* \(#,##0.0000\);_(* &quot;-&quot;??_);_(@_)">
                  <c:v>2.5265403326837523</c:v>
                </c:pt>
                <c:pt idx="97" formatCode="_(* #,##0.0000_);_(* \(#,##0.0000\);_(* &quot;-&quot;??_);_(@_)">
                  <c:v>2.526129616934373</c:v>
                </c:pt>
                <c:pt idx="98" formatCode="_(* #,##0.0000_);_(* \(#,##0.0000\);_(* &quot;-&quot;??_);_(@_)">
                  <c:v>2.5258429385181471</c:v>
                </c:pt>
                <c:pt idx="99" formatCode="_(* #,##0.0000_);_(* \(#,##0.0000\);_(* &quot;-&quot;??_);_(@_)">
                  <c:v>2.5257461476562826</c:v>
                </c:pt>
                <c:pt idx="100" formatCode="_(* #,##0.0000_);_(* \(#,##0.0000\);_(* &quot;-&quot;??_);_(@_)">
                  <c:v>2.5255078667524273</c:v>
                </c:pt>
                <c:pt idx="101" formatCode="_(* #,##0.0000_);_(* \(#,##0.0000\);_(* &quot;-&quot;??_);_(@_)">
                  <c:v>2.5252116213637033</c:v>
                </c:pt>
                <c:pt idx="102" formatCode="_(* #,##0.0000_);_(* \(#,##0.0000\);_(* &quot;-&quot;??_);_(@_)">
                  <c:v>2.525150775465161</c:v>
                </c:pt>
                <c:pt idx="103" formatCode="_(* #,##0.0000_);_(* \(#,##0.0000\);_(* &quot;-&quot;??_);_(@_)">
                  <c:v>2.525581991058004</c:v>
                </c:pt>
                <c:pt idx="104" formatCode="_(* #,##0.0000_);_(* \(#,##0.0000\);_(* &quot;-&quot;??_);_(@_)">
                  <c:v>2.5256817506916929</c:v>
                </c:pt>
                <c:pt idx="105" formatCode="_(* #,##0.0000_);_(* \(#,##0.0000\);_(* &quot;-&quot;??_);_(@_)">
                  <c:v>2.5261271549917117</c:v>
                </c:pt>
                <c:pt idx="106" formatCode="_(* #,##0.0000_);_(* \(#,##0.0000\);_(* &quot;-&quot;??_);_(@_)">
                  <c:v>2.5266778104219854</c:v>
                </c:pt>
                <c:pt idx="107" formatCode="_(* #,##0.0000_);_(* \(#,##0.0000\);_(* &quot;-&quot;??_);_(@_)">
                  <c:v>2.5269642968652515</c:v>
                </c:pt>
                <c:pt idx="108" formatCode="_(* #,##0.0000_);_(* \(#,##0.0000\);_(* &quot;-&quot;??_);_(@_)">
                  <c:v>2.5273640061675775</c:v>
                </c:pt>
                <c:pt idx="109" formatCode="_(* #,##0.0000_);_(* \(#,##0.0000\);_(* &quot;-&quot;??_);_(@_)">
                  <c:v>2.5281298565571388</c:v>
                </c:pt>
                <c:pt idx="110" formatCode="_(* #,##0.0000_);_(* \(#,##0.0000\);_(* &quot;-&quot;??_);_(@_)">
                  <c:v>2.5286464757810223</c:v>
                </c:pt>
                <c:pt idx="111" formatCode="_(* #,##0.0000_);_(* \(#,##0.0000\);_(* &quot;-&quot;??_);_(@_)">
                  <c:v>2.5288677249618607</c:v>
                </c:pt>
                <c:pt idx="112" formatCode="_(* #,##0.0000_);_(* \(#,##0.0000\);_(* &quot;-&quot;??_);_(@_)">
                  <c:v>2.5289739920013732</c:v>
                </c:pt>
                <c:pt idx="113" formatCode="_(* #,##0.0000_);_(* \(#,##0.0000\);_(* &quot;-&quot;??_);_(@_)">
                  <c:v>2.5280096837712316</c:v>
                </c:pt>
                <c:pt idx="114" formatCode="_(* #,##0.0000_);_(* \(#,##0.0000\);_(* &quot;-&quot;??_);_(@_)">
                  <c:v>2.5269694382360717</c:v>
                </c:pt>
                <c:pt idx="115" formatCode="_(* #,##0.0000_);_(* \(#,##0.0000\);_(* &quot;-&quot;??_);_(@_)">
                  <c:v>2.5261216919837959</c:v>
                </c:pt>
                <c:pt idx="116" formatCode="_(* #,##0.0000_);_(* \(#,##0.0000\);_(* &quot;-&quot;??_);_(@_)">
                  <c:v>2.5260539179533388</c:v>
                </c:pt>
                <c:pt idx="117" formatCode="_(* #,##0.0000_);_(* \(#,##0.0000\);_(* &quot;-&quot;??_);_(@_)">
                  <c:v>2.5261509463771117</c:v>
                </c:pt>
                <c:pt idx="118" formatCode="_(* #,##0.0000_);_(* \(#,##0.0000\);_(* &quot;-&quot;??_);_(@_)">
                  <c:v>2.5263360168139113</c:v>
                </c:pt>
                <c:pt idx="119" formatCode="_(* #,##0.0000_);_(* \(#,##0.0000\);_(* &quot;-&quot;??_);_(@_)">
                  <c:v>2.5266763478717342</c:v>
                </c:pt>
                <c:pt idx="120" formatCode="_(* #,##0.0000_);_(* \(#,##0.0000\);_(* &quot;-&quot;??_);_(@_)">
                  <c:v>2.5270027068209187</c:v>
                </c:pt>
                <c:pt idx="121" formatCode="_(* #,##0.0000_);_(* \(#,##0.0000\);_(* &quot;-&quot;??_);_(@_)">
                  <c:v>2.5272717443037136</c:v>
                </c:pt>
                <c:pt idx="122" formatCode="_(* #,##0.0000_);_(* \(#,##0.0000\);_(* &quot;-&quot;??_);_(@_)">
                  <c:v>2.5273823690325825</c:v>
                </c:pt>
                <c:pt idx="123" formatCode="_(* #,##0.0000_);_(* \(#,##0.0000\);_(* &quot;-&quot;??_);_(@_)">
                  <c:v>2.5272289471425982</c:v>
                </c:pt>
                <c:pt idx="124" formatCode="_(* #,##0.0000_);_(* \(#,##0.0000\);_(* &quot;-&quot;??_);_(@_)">
                  <c:v>2.5274089992744004</c:v>
                </c:pt>
                <c:pt idx="125" formatCode="_(* #,##0.0000_);_(* \(#,##0.0000\);_(* &quot;-&quot;??_);_(@_)">
                  <c:v>2.5273226590960469</c:v>
                </c:pt>
                <c:pt idx="126" formatCode="_(* #,##0.0000_);_(* \(#,##0.0000\);_(* &quot;-&quot;??_);_(@_)">
                  <c:v>2.5273283109934268</c:v>
                </c:pt>
                <c:pt idx="127" formatCode="_(* #,##0.0000_);_(* \(#,##0.0000\);_(* &quot;-&quot;??_);_(@_)">
                  <c:v>2.5276825278727859</c:v>
                </c:pt>
                <c:pt idx="128" formatCode="_(* #,##0.0000_);_(* \(#,##0.0000\);_(* &quot;-&quot;??_);_(@_)">
                  <c:v>2.5279718797246375</c:v>
                </c:pt>
                <c:pt idx="129" formatCode="_(* #,##0.0000_);_(* \(#,##0.0000\);_(* &quot;-&quot;??_);_(@_)">
                  <c:v>2.5280759648661721</c:v>
                </c:pt>
                <c:pt idx="130" formatCode="_(* #,##0.0000_);_(* \(#,##0.0000\);_(* &quot;-&quot;??_);_(@_)">
                  <c:v>2.528147897860507</c:v>
                </c:pt>
                <c:pt idx="131" formatCode="_(* #,##0.0000_);_(* \(#,##0.0000\);_(* &quot;-&quot;??_);_(@_)">
                  <c:v>2.5286372035389539</c:v>
                </c:pt>
                <c:pt idx="132" formatCode="_(* #,##0.0000_);_(* \(#,##0.0000\);_(* &quot;-&quot;??_);_(@_)">
                  <c:v>2.5291048194649677</c:v>
                </c:pt>
                <c:pt idx="133" formatCode="_(* #,##0.0000_);_(* \(#,##0.0000\);_(* &quot;-&quot;??_);_(@_)">
                  <c:v>2.5304801895080518</c:v>
                </c:pt>
                <c:pt idx="134" formatCode="_(* #,##0.0000_);_(* \(#,##0.0000\);_(* &quot;-&quot;??_);_(@_)">
                  <c:v>2.5320414536183335</c:v>
                </c:pt>
                <c:pt idx="135" formatCode="_(* #,##0.0000_);_(* \(#,##0.0000\);_(* &quot;-&quot;??_);_(@_)">
                  <c:v>2.5334189831610976</c:v>
                </c:pt>
                <c:pt idx="136" formatCode="_(* #,##0.0000_);_(* \(#,##0.0000\);_(* &quot;-&quot;??_);_(@_)">
                  <c:v>2.5341572985169316</c:v>
                </c:pt>
                <c:pt idx="137" formatCode="_(* #,##0.0000_);_(* \(#,##0.0000\);_(* &quot;-&quot;??_);_(@_)">
                  <c:v>2.5347525427754589</c:v>
                </c:pt>
                <c:pt idx="138" formatCode="_(* #,##0.0000_);_(* \(#,##0.0000\);_(* &quot;-&quot;??_);_(@_)">
                  <c:v>2.5351072804114878</c:v>
                </c:pt>
                <c:pt idx="139" formatCode="_(* #,##0.0000_);_(* \(#,##0.0000\);_(* &quot;-&quot;??_);_(@_)">
                  <c:v>2.5352534349546505</c:v>
                </c:pt>
                <c:pt idx="140" formatCode="_(* #,##0.0000_);_(* \(#,##0.0000\);_(* &quot;-&quot;??_);_(@_)">
                  <c:v>2.5353694217648437</c:v>
                </c:pt>
                <c:pt idx="141" formatCode="_(* #,##0.0000_);_(* \(#,##0.0000\);_(* &quot;-&quot;??_);_(@_)">
                  <c:v>2.5355717610192841</c:v>
                </c:pt>
                <c:pt idx="142" formatCode="_(* #,##0.0000_);_(* \(#,##0.0000\);_(* &quot;-&quot;??_);_(@_)">
                  <c:v>2.5359924967504446</c:v>
                </c:pt>
                <c:pt idx="143" formatCode="_(* #,##0.0000_);_(* \(#,##0.0000\);_(* &quot;-&quot;??_);_(@_)">
                  <c:v>2.5364678359992503</c:v>
                </c:pt>
                <c:pt idx="144" formatCode="_(* #,##0.0000_);_(* \(#,##0.0000\);_(* &quot;-&quot;??_);_(@_)">
                  <c:v>2.5365444178940146</c:v>
                </c:pt>
                <c:pt idx="145" formatCode="_(* #,##0.0000_);_(* \(#,##0.0000\);_(* &quot;-&quot;??_);_(@_)">
                  <c:v>2.536777334991009</c:v>
                </c:pt>
                <c:pt idx="146" formatCode="_(* #,##0.0000_);_(* \(#,##0.0000\);_(* &quot;-&quot;??_);_(@_)">
                  <c:v>2.5369476751936864</c:v>
                </c:pt>
                <c:pt idx="147" formatCode="_(* #,##0.0000_);_(* \(#,##0.0000\);_(* &quot;-&quot;??_);_(@_)">
                  <c:v>2.5368738171691634</c:v>
                </c:pt>
                <c:pt idx="148" formatCode="_(* #,##0.0000_);_(* \(#,##0.0000\);_(* &quot;-&quot;??_);_(@_)">
                  <c:v>2.5368428540026065</c:v>
                </c:pt>
                <c:pt idx="149" formatCode="_(* #,##0.0000_);_(* \(#,##0.0000\);_(* &quot;-&quot;??_);_(@_)">
                  <c:v>2.5370746596249485</c:v>
                </c:pt>
                <c:pt idx="150" formatCode="_(* #,##0.0000_);_(* \(#,##0.0000\);_(* &quot;-&quot;??_);_(@_)">
                  <c:v>2.5374484255945715</c:v>
                </c:pt>
                <c:pt idx="151" formatCode="_(* #,##0.0000_);_(* \(#,##0.0000\);_(* &quot;-&quot;??_);_(@_)">
                  <c:v>2.5378241919352793</c:v>
                </c:pt>
                <c:pt idx="152" formatCode="_(* #,##0.0000_);_(* \(#,##0.0000\);_(* &quot;-&quot;??_);_(@_)">
                  <c:v>2.5381305445200657</c:v>
                </c:pt>
                <c:pt idx="153" formatCode="_(* #,##0.0000_);_(* \(#,##0.0000\);_(* &quot;-&quot;??_);_(@_)">
                  <c:v>2.5382737263125676</c:v>
                </c:pt>
                <c:pt idx="154" formatCode="_(* #,##0.0000_);_(* \(#,##0.0000\);_(* &quot;-&quot;??_);_(@_)">
                  <c:v>2.5380781556585421</c:v>
                </c:pt>
                <c:pt idx="155" formatCode="_(* #,##0.0000_);_(* \(#,##0.0000\);_(* &quot;-&quot;??_);_(@_)">
                  <c:v>2.5379387515058109</c:v>
                </c:pt>
                <c:pt idx="156" formatCode="_(* #,##0.0000_);_(* \(#,##0.0000\);_(* &quot;-&quot;??_);_(@_)">
                  <c:v>2.5377712125932064</c:v>
                </c:pt>
                <c:pt idx="157" formatCode="_(* #,##0.0000_);_(* \(#,##0.0000\);_(* &quot;-&quot;??_);_(@_)">
                  <c:v>2.5376965430206049</c:v>
                </c:pt>
                <c:pt idx="158" formatCode="_(* #,##0.0000_);_(* \(#,##0.0000\);_(* &quot;-&quot;??_);_(@_)">
                  <c:v>2.5379943165421901</c:v>
                </c:pt>
                <c:pt idx="159" formatCode="_(* #,##0.0000_);_(* \(#,##0.0000\);_(* &quot;-&quot;??_);_(@_)">
                  <c:v>2.5383615429702857</c:v>
                </c:pt>
                <c:pt idx="160" formatCode="_(* #,##0.0000_);_(* \(#,##0.0000\);_(* &quot;-&quot;??_);_(@_)">
                  <c:v>2.5392022265807874</c:v>
                </c:pt>
                <c:pt idx="161" formatCode="_(* #,##0.0000_);_(* \(#,##0.0000\);_(* &quot;-&quot;??_);_(@_)">
                  <c:v>2.5398619220986083</c:v>
                </c:pt>
                <c:pt idx="162" formatCode="_(* #,##0.0000_);_(* \(#,##0.0000\);_(* &quot;-&quot;??_);_(@_)">
                  <c:v>2.5401865857305195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0-4DD9-B478-FCE636DE05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Utilities!$G$1:$G$164</c:f>
              <c:numCache>
                <c:formatCode>m/d/yyyy</c:formatCode>
                <c:ptCount val="164"/>
                <c:pt idx="20" formatCode="_(* #,##0.0000_);_(* \(#,##0.0000\);_(* &quot;-&quot;??_);_(@_)">
                  <c:v>2.5328507415414485</c:v>
                </c:pt>
                <c:pt idx="21" formatCode="_(* #,##0.0000_);_(* \(#,##0.0000\);_(* &quot;-&quot;??_);_(@_)">
                  <c:v>2.5328507415414485</c:v>
                </c:pt>
                <c:pt idx="22" formatCode="_(* #,##0.0000_);_(* \(#,##0.0000\);_(* &quot;-&quot;??_);_(@_)">
                  <c:v>2.5328507415414485</c:v>
                </c:pt>
                <c:pt idx="23" formatCode="_(* #,##0.0000_);_(* \(#,##0.0000\);_(* &quot;-&quot;??_);_(@_)">
                  <c:v>2.5328507415414485</c:v>
                </c:pt>
                <c:pt idx="24" formatCode="_(* #,##0.0000_);_(* \(#,##0.0000\);_(* &quot;-&quot;??_);_(@_)">
                  <c:v>2.5328507415414485</c:v>
                </c:pt>
                <c:pt idx="25" formatCode="_(* #,##0.0000_);_(* \(#,##0.0000\);_(* &quot;-&quot;??_);_(@_)">
                  <c:v>2.5328507415414485</c:v>
                </c:pt>
                <c:pt idx="26" formatCode="_(* #,##0.0000_);_(* \(#,##0.0000\);_(* &quot;-&quot;??_);_(@_)">
                  <c:v>2.5328507415414485</c:v>
                </c:pt>
                <c:pt idx="27" formatCode="_(* #,##0.0000_);_(* \(#,##0.0000\);_(* &quot;-&quot;??_);_(@_)">
                  <c:v>2.5328507415414485</c:v>
                </c:pt>
                <c:pt idx="28" formatCode="_(* #,##0.0000_);_(* \(#,##0.0000\);_(* &quot;-&quot;??_);_(@_)">
                  <c:v>2.5328507415414485</c:v>
                </c:pt>
                <c:pt idx="29" formatCode="_(* #,##0.0000_);_(* \(#,##0.0000\);_(* &quot;-&quot;??_);_(@_)">
                  <c:v>2.5328507415414485</c:v>
                </c:pt>
                <c:pt idx="30" formatCode="_(* #,##0.0000_);_(* \(#,##0.0000\);_(* &quot;-&quot;??_);_(@_)">
                  <c:v>2.5328507415414485</c:v>
                </c:pt>
                <c:pt idx="31" formatCode="_(* #,##0.0000_);_(* \(#,##0.0000\);_(* &quot;-&quot;??_);_(@_)">
                  <c:v>2.5328507415414485</c:v>
                </c:pt>
                <c:pt idx="32" formatCode="_(* #,##0.0000_);_(* \(#,##0.0000\);_(* &quot;-&quot;??_);_(@_)">
                  <c:v>2.5328507415414485</c:v>
                </c:pt>
                <c:pt idx="33" formatCode="_(* #,##0.0000_);_(* \(#,##0.0000\);_(* &quot;-&quot;??_);_(@_)">
                  <c:v>2.5328507415414485</c:v>
                </c:pt>
                <c:pt idx="34" formatCode="_(* #,##0.0000_);_(* \(#,##0.0000\);_(* &quot;-&quot;??_);_(@_)">
                  <c:v>2.5328507415414485</c:v>
                </c:pt>
                <c:pt idx="35" formatCode="_(* #,##0.0000_);_(* \(#,##0.0000\);_(* &quot;-&quot;??_);_(@_)">
                  <c:v>2.5328507415414485</c:v>
                </c:pt>
                <c:pt idx="36" formatCode="_(* #,##0.0000_);_(* \(#,##0.0000\);_(* &quot;-&quot;??_);_(@_)">
                  <c:v>2.5328507415414485</c:v>
                </c:pt>
                <c:pt idx="37" formatCode="_(* #,##0.0000_);_(* \(#,##0.0000\);_(* &quot;-&quot;??_);_(@_)">
                  <c:v>2.5328507415414485</c:v>
                </c:pt>
                <c:pt idx="38" formatCode="_(* #,##0.0000_);_(* \(#,##0.0000\);_(* &quot;-&quot;??_);_(@_)">
                  <c:v>2.5328507415414485</c:v>
                </c:pt>
                <c:pt idx="39" formatCode="_(* #,##0.0000_);_(* \(#,##0.0000\);_(* &quot;-&quot;??_);_(@_)">
                  <c:v>2.5328507415414485</c:v>
                </c:pt>
                <c:pt idx="40" formatCode="_(* #,##0.0000_);_(* \(#,##0.0000\);_(* &quot;-&quot;??_);_(@_)">
                  <c:v>2.5328507415414485</c:v>
                </c:pt>
                <c:pt idx="41" formatCode="_(* #,##0.0000_);_(* \(#,##0.0000\);_(* &quot;-&quot;??_);_(@_)">
                  <c:v>2.5328507415414485</c:v>
                </c:pt>
                <c:pt idx="42" formatCode="_(* #,##0.0000_);_(* \(#,##0.0000\);_(* &quot;-&quot;??_);_(@_)">
                  <c:v>2.5328507415414485</c:v>
                </c:pt>
                <c:pt idx="43" formatCode="_(* #,##0.0000_);_(* \(#,##0.0000\);_(* &quot;-&quot;??_);_(@_)">
                  <c:v>2.5328507415414485</c:v>
                </c:pt>
                <c:pt idx="44" formatCode="_(* #,##0.0000_);_(* \(#,##0.0000\);_(* &quot;-&quot;??_);_(@_)">
                  <c:v>2.5328507415414485</c:v>
                </c:pt>
                <c:pt idx="45" formatCode="_(* #,##0.0000_);_(* \(#,##0.0000\);_(* &quot;-&quot;??_);_(@_)">
                  <c:v>2.5328507415414485</c:v>
                </c:pt>
                <c:pt idx="46" formatCode="_(* #,##0.0000_);_(* \(#,##0.0000\);_(* &quot;-&quot;??_);_(@_)">
                  <c:v>2.5328507415414485</c:v>
                </c:pt>
                <c:pt idx="47" formatCode="_(* #,##0.0000_);_(* \(#,##0.0000\);_(* &quot;-&quot;??_);_(@_)">
                  <c:v>2.5328507415414485</c:v>
                </c:pt>
                <c:pt idx="48" formatCode="_(* #,##0.0000_);_(* \(#,##0.0000\);_(* &quot;-&quot;??_);_(@_)">
                  <c:v>2.5328507415414485</c:v>
                </c:pt>
                <c:pt idx="49" formatCode="_(* #,##0.0000_);_(* \(#,##0.0000\);_(* &quot;-&quot;??_);_(@_)">
                  <c:v>2.5328507415414485</c:v>
                </c:pt>
                <c:pt idx="50" formatCode="_(* #,##0.0000_);_(* \(#,##0.0000\);_(* &quot;-&quot;??_);_(@_)">
                  <c:v>2.5328507415414485</c:v>
                </c:pt>
                <c:pt idx="51" formatCode="_(* #,##0.0000_);_(* \(#,##0.0000\);_(* &quot;-&quot;??_);_(@_)">
                  <c:v>2.5328507415414485</c:v>
                </c:pt>
                <c:pt idx="52" formatCode="_(* #,##0.0000_);_(* \(#,##0.0000\);_(* &quot;-&quot;??_);_(@_)">
                  <c:v>2.5328507415414485</c:v>
                </c:pt>
                <c:pt idx="53" formatCode="_(* #,##0.0000_);_(* \(#,##0.0000\);_(* &quot;-&quot;??_);_(@_)">
                  <c:v>2.5328507415414485</c:v>
                </c:pt>
                <c:pt idx="54" formatCode="_(* #,##0.0000_);_(* \(#,##0.0000\);_(* &quot;-&quot;??_);_(@_)">
                  <c:v>2.5328507415414485</c:v>
                </c:pt>
                <c:pt idx="55" formatCode="_(* #,##0.0000_);_(* \(#,##0.0000\);_(* &quot;-&quot;??_);_(@_)">
                  <c:v>2.5328507415414485</c:v>
                </c:pt>
                <c:pt idx="56" formatCode="_(* #,##0.0000_);_(* \(#,##0.0000\);_(* &quot;-&quot;??_);_(@_)">
                  <c:v>2.5328507415414485</c:v>
                </c:pt>
                <c:pt idx="57" formatCode="_(* #,##0.0000_);_(* \(#,##0.0000\);_(* &quot;-&quot;??_);_(@_)">
                  <c:v>2.5328507415414485</c:v>
                </c:pt>
                <c:pt idx="58" formatCode="_(* #,##0.0000_);_(* \(#,##0.0000\);_(* &quot;-&quot;??_);_(@_)">
                  <c:v>2.5328507415414485</c:v>
                </c:pt>
                <c:pt idx="59" formatCode="_(* #,##0.0000_);_(* \(#,##0.0000\);_(* &quot;-&quot;??_);_(@_)">
                  <c:v>2.5328507415414485</c:v>
                </c:pt>
                <c:pt idx="60" formatCode="_(* #,##0.0000_);_(* \(#,##0.0000\);_(* &quot;-&quot;??_);_(@_)">
                  <c:v>2.5328507415414485</c:v>
                </c:pt>
                <c:pt idx="61" formatCode="_(* #,##0.0000_);_(* \(#,##0.0000\);_(* &quot;-&quot;??_);_(@_)">
                  <c:v>2.5328507415414485</c:v>
                </c:pt>
                <c:pt idx="62" formatCode="_(* #,##0.0000_);_(* \(#,##0.0000\);_(* &quot;-&quot;??_);_(@_)">
                  <c:v>2.5328507415414485</c:v>
                </c:pt>
                <c:pt idx="63" formatCode="_(* #,##0.0000_);_(* \(#,##0.0000\);_(* &quot;-&quot;??_);_(@_)">
                  <c:v>2.5328507415414485</c:v>
                </c:pt>
                <c:pt idx="64" formatCode="_(* #,##0.0000_);_(* \(#,##0.0000\);_(* &quot;-&quot;??_);_(@_)">
                  <c:v>2.5328507415414485</c:v>
                </c:pt>
                <c:pt idx="65" formatCode="_(* #,##0.0000_);_(* \(#,##0.0000\);_(* &quot;-&quot;??_);_(@_)">
                  <c:v>2.5328507415414485</c:v>
                </c:pt>
                <c:pt idx="66" formatCode="_(* #,##0.0000_);_(* \(#,##0.0000\);_(* &quot;-&quot;??_);_(@_)">
                  <c:v>2.5328507415414485</c:v>
                </c:pt>
                <c:pt idx="67" formatCode="_(* #,##0.0000_);_(* \(#,##0.0000\);_(* &quot;-&quot;??_);_(@_)">
                  <c:v>2.5328507415414485</c:v>
                </c:pt>
                <c:pt idx="68" formatCode="_(* #,##0.0000_);_(* \(#,##0.0000\);_(* &quot;-&quot;??_);_(@_)">
                  <c:v>2.5328507415414485</c:v>
                </c:pt>
                <c:pt idx="69" formatCode="_(* #,##0.0000_);_(* \(#,##0.0000\);_(* &quot;-&quot;??_);_(@_)">
                  <c:v>2.5328507415414485</c:v>
                </c:pt>
                <c:pt idx="70" formatCode="_(* #,##0.0000_);_(* \(#,##0.0000\);_(* &quot;-&quot;??_);_(@_)">
                  <c:v>2.5328507415414485</c:v>
                </c:pt>
                <c:pt idx="71" formatCode="_(* #,##0.0000_);_(* \(#,##0.0000\);_(* &quot;-&quot;??_);_(@_)">
                  <c:v>2.5328507415414485</c:v>
                </c:pt>
                <c:pt idx="72" formatCode="_(* #,##0.0000_);_(* \(#,##0.0000\);_(* &quot;-&quot;??_);_(@_)">
                  <c:v>2.5328507415414485</c:v>
                </c:pt>
                <c:pt idx="73" formatCode="_(* #,##0.0000_);_(* \(#,##0.0000\);_(* &quot;-&quot;??_);_(@_)">
                  <c:v>2.5328507415414485</c:v>
                </c:pt>
                <c:pt idx="74" formatCode="_(* #,##0.0000_);_(* \(#,##0.0000\);_(* &quot;-&quot;??_);_(@_)">
                  <c:v>2.5328507415414485</c:v>
                </c:pt>
                <c:pt idx="75" formatCode="_(* #,##0.0000_);_(* \(#,##0.0000\);_(* &quot;-&quot;??_);_(@_)">
                  <c:v>2.5328507415414485</c:v>
                </c:pt>
                <c:pt idx="76" formatCode="_(* #,##0.0000_);_(* \(#,##0.0000\);_(* &quot;-&quot;??_);_(@_)">
                  <c:v>2.5328507415414485</c:v>
                </c:pt>
                <c:pt idx="77" formatCode="_(* #,##0.0000_);_(* \(#,##0.0000\);_(* &quot;-&quot;??_);_(@_)">
                  <c:v>2.5328507415414485</c:v>
                </c:pt>
                <c:pt idx="78" formatCode="_(* #,##0.0000_);_(* \(#,##0.0000\);_(* &quot;-&quot;??_);_(@_)">
                  <c:v>2.5328507415414485</c:v>
                </c:pt>
                <c:pt idx="79" formatCode="_(* #,##0.0000_);_(* \(#,##0.0000\);_(* &quot;-&quot;??_);_(@_)">
                  <c:v>2.5328507415414485</c:v>
                </c:pt>
                <c:pt idx="80" formatCode="_(* #,##0.0000_);_(* \(#,##0.0000\);_(* &quot;-&quot;??_);_(@_)">
                  <c:v>2.5328507415414485</c:v>
                </c:pt>
                <c:pt idx="81" formatCode="_(* #,##0.0000_);_(* \(#,##0.0000\);_(* &quot;-&quot;??_);_(@_)">
                  <c:v>2.5328507415414485</c:v>
                </c:pt>
                <c:pt idx="82" formatCode="_(* #,##0.0000_);_(* \(#,##0.0000\);_(* &quot;-&quot;??_);_(@_)">
                  <c:v>2.5328507415414485</c:v>
                </c:pt>
                <c:pt idx="83" formatCode="_(* #,##0.0000_);_(* \(#,##0.0000\);_(* &quot;-&quot;??_);_(@_)">
                  <c:v>2.5328507415414485</c:v>
                </c:pt>
                <c:pt idx="84" formatCode="_(* #,##0.0000_);_(* \(#,##0.0000\);_(* &quot;-&quot;??_);_(@_)">
                  <c:v>2.5328507415414485</c:v>
                </c:pt>
                <c:pt idx="85" formatCode="_(* #,##0.0000_);_(* \(#,##0.0000\);_(* &quot;-&quot;??_);_(@_)">
                  <c:v>2.5328507415414485</c:v>
                </c:pt>
                <c:pt idx="86" formatCode="_(* #,##0.0000_);_(* \(#,##0.0000\);_(* &quot;-&quot;??_);_(@_)">
                  <c:v>2.5328507415414485</c:v>
                </c:pt>
                <c:pt idx="87" formatCode="_(* #,##0.0000_);_(* \(#,##0.0000\);_(* &quot;-&quot;??_);_(@_)">
                  <c:v>2.5328507415414485</c:v>
                </c:pt>
                <c:pt idx="88" formatCode="_(* #,##0.0000_);_(* \(#,##0.0000\);_(* &quot;-&quot;??_);_(@_)">
                  <c:v>2.5328507415414485</c:v>
                </c:pt>
                <c:pt idx="89" formatCode="_(* #,##0.0000_);_(* \(#,##0.0000\);_(* &quot;-&quot;??_);_(@_)">
                  <c:v>2.5328507415414485</c:v>
                </c:pt>
                <c:pt idx="90" formatCode="_(* #,##0.0000_);_(* \(#,##0.0000\);_(* &quot;-&quot;??_);_(@_)">
                  <c:v>2.5328507415414485</c:v>
                </c:pt>
                <c:pt idx="91" formatCode="_(* #,##0.0000_);_(* \(#,##0.0000\);_(* &quot;-&quot;??_);_(@_)">
                  <c:v>2.5328507415414485</c:v>
                </c:pt>
                <c:pt idx="92" formatCode="_(* #,##0.0000_);_(* \(#,##0.0000\);_(* &quot;-&quot;??_);_(@_)">
                  <c:v>2.5328507415414485</c:v>
                </c:pt>
                <c:pt idx="93" formatCode="_(* #,##0.0000_);_(* \(#,##0.0000\);_(* &quot;-&quot;??_);_(@_)">
                  <c:v>2.5328507415414485</c:v>
                </c:pt>
                <c:pt idx="94" formatCode="_(* #,##0.0000_);_(* \(#,##0.0000\);_(* &quot;-&quot;??_);_(@_)">
                  <c:v>2.5328507415414485</c:v>
                </c:pt>
                <c:pt idx="95" formatCode="_(* #,##0.0000_);_(* \(#,##0.0000\);_(* &quot;-&quot;??_);_(@_)">
                  <c:v>2.5328507415414485</c:v>
                </c:pt>
                <c:pt idx="96" formatCode="_(* #,##0.0000_);_(* \(#,##0.0000\);_(* &quot;-&quot;??_);_(@_)">
                  <c:v>2.5328507415414485</c:v>
                </c:pt>
                <c:pt idx="97" formatCode="_(* #,##0.0000_);_(* \(#,##0.0000\);_(* &quot;-&quot;??_);_(@_)">
                  <c:v>2.5328507415414485</c:v>
                </c:pt>
                <c:pt idx="98" formatCode="_(* #,##0.0000_);_(* \(#,##0.0000\);_(* &quot;-&quot;??_);_(@_)">
                  <c:v>2.5328507415414485</c:v>
                </c:pt>
                <c:pt idx="99" formatCode="_(* #,##0.0000_);_(* \(#,##0.0000\);_(* &quot;-&quot;??_);_(@_)">
                  <c:v>2.5328507415414485</c:v>
                </c:pt>
                <c:pt idx="100" formatCode="_(* #,##0.0000_);_(* \(#,##0.0000\);_(* &quot;-&quot;??_);_(@_)">
                  <c:v>2.5328507415414485</c:v>
                </c:pt>
                <c:pt idx="101" formatCode="_(* #,##0.0000_);_(* \(#,##0.0000\);_(* &quot;-&quot;??_);_(@_)">
                  <c:v>2.5328507415414485</c:v>
                </c:pt>
                <c:pt idx="102" formatCode="_(* #,##0.0000_);_(* \(#,##0.0000\);_(* &quot;-&quot;??_);_(@_)">
                  <c:v>2.5328507415414485</c:v>
                </c:pt>
                <c:pt idx="103" formatCode="_(* #,##0.0000_);_(* \(#,##0.0000\);_(* &quot;-&quot;??_);_(@_)">
                  <c:v>2.5328507415414485</c:v>
                </c:pt>
                <c:pt idx="104" formatCode="_(* #,##0.0000_);_(* \(#,##0.0000\);_(* &quot;-&quot;??_);_(@_)">
                  <c:v>2.5328507415414485</c:v>
                </c:pt>
                <c:pt idx="105" formatCode="_(* #,##0.0000_);_(* \(#,##0.0000\);_(* &quot;-&quot;??_);_(@_)">
                  <c:v>2.5328507415414485</c:v>
                </c:pt>
                <c:pt idx="106" formatCode="_(* #,##0.0000_);_(* \(#,##0.0000\);_(* &quot;-&quot;??_);_(@_)">
                  <c:v>2.5328507415414485</c:v>
                </c:pt>
                <c:pt idx="107" formatCode="_(* #,##0.0000_);_(* \(#,##0.0000\);_(* &quot;-&quot;??_);_(@_)">
                  <c:v>2.5328507415414485</c:v>
                </c:pt>
                <c:pt idx="108" formatCode="_(* #,##0.0000_);_(* \(#,##0.0000\);_(* &quot;-&quot;??_);_(@_)">
                  <c:v>2.5328507415414485</c:v>
                </c:pt>
                <c:pt idx="109" formatCode="_(* #,##0.0000_);_(* \(#,##0.0000\);_(* &quot;-&quot;??_);_(@_)">
                  <c:v>2.5328507415414485</c:v>
                </c:pt>
                <c:pt idx="110" formatCode="_(* #,##0.0000_);_(* \(#,##0.0000\);_(* &quot;-&quot;??_);_(@_)">
                  <c:v>2.5328507415414485</c:v>
                </c:pt>
                <c:pt idx="111" formatCode="_(* #,##0.0000_);_(* \(#,##0.0000\);_(* &quot;-&quot;??_);_(@_)">
                  <c:v>2.5328507415414485</c:v>
                </c:pt>
                <c:pt idx="112" formatCode="_(* #,##0.0000_);_(* \(#,##0.0000\);_(* &quot;-&quot;??_);_(@_)">
                  <c:v>2.5328507415414485</c:v>
                </c:pt>
                <c:pt idx="113" formatCode="_(* #,##0.0000_);_(* \(#,##0.0000\);_(* &quot;-&quot;??_);_(@_)">
                  <c:v>2.5328507415414485</c:v>
                </c:pt>
                <c:pt idx="114" formatCode="_(* #,##0.0000_);_(* \(#,##0.0000\);_(* &quot;-&quot;??_);_(@_)">
                  <c:v>2.5328507415414485</c:v>
                </c:pt>
                <c:pt idx="115" formatCode="_(* #,##0.0000_);_(* \(#,##0.0000\);_(* &quot;-&quot;??_);_(@_)">
                  <c:v>2.5328507415414485</c:v>
                </c:pt>
                <c:pt idx="116" formatCode="_(* #,##0.0000_);_(* \(#,##0.0000\);_(* &quot;-&quot;??_);_(@_)">
                  <c:v>2.5328507415414485</c:v>
                </c:pt>
                <c:pt idx="117" formatCode="_(* #,##0.0000_);_(* \(#,##0.0000\);_(* &quot;-&quot;??_);_(@_)">
                  <c:v>2.5328507415414485</c:v>
                </c:pt>
                <c:pt idx="118" formatCode="_(* #,##0.0000_);_(* \(#,##0.0000\);_(* &quot;-&quot;??_);_(@_)">
                  <c:v>2.5328507415414485</c:v>
                </c:pt>
                <c:pt idx="119" formatCode="_(* #,##0.0000_);_(* \(#,##0.0000\);_(* &quot;-&quot;??_);_(@_)">
                  <c:v>2.5328507415414485</c:v>
                </c:pt>
                <c:pt idx="120" formatCode="_(* #,##0.0000_);_(* \(#,##0.0000\);_(* &quot;-&quot;??_);_(@_)">
                  <c:v>2.5328507415414485</c:v>
                </c:pt>
                <c:pt idx="121" formatCode="_(* #,##0.0000_);_(* \(#,##0.0000\);_(* &quot;-&quot;??_);_(@_)">
                  <c:v>2.5328507415414485</c:v>
                </c:pt>
                <c:pt idx="122" formatCode="_(* #,##0.0000_);_(* \(#,##0.0000\);_(* &quot;-&quot;??_);_(@_)">
                  <c:v>2.5328507415414485</c:v>
                </c:pt>
                <c:pt idx="123" formatCode="_(* #,##0.0000_);_(* \(#,##0.0000\);_(* &quot;-&quot;??_);_(@_)">
                  <c:v>2.5328507415414485</c:v>
                </c:pt>
                <c:pt idx="124" formatCode="_(* #,##0.0000_);_(* \(#,##0.0000\);_(* &quot;-&quot;??_);_(@_)">
                  <c:v>2.5328507415414485</c:v>
                </c:pt>
                <c:pt idx="125" formatCode="_(* #,##0.0000_);_(* \(#,##0.0000\);_(* &quot;-&quot;??_);_(@_)">
                  <c:v>2.5328507415414485</c:v>
                </c:pt>
                <c:pt idx="126" formatCode="_(* #,##0.0000_);_(* \(#,##0.0000\);_(* &quot;-&quot;??_);_(@_)">
                  <c:v>2.5328507415414485</c:v>
                </c:pt>
                <c:pt idx="127" formatCode="_(* #,##0.0000_);_(* \(#,##0.0000\);_(* &quot;-&quot;??_);_(@_)">
                  <c:v>2.5328507415414485</c:v>
                </c:pt>
                <c:pt idx="128" formatCode="_(* #,##0.0000_);_(* \(#,##0.0000\);_(* &quot;-&quot;??_);_(@_)">
                  <c:v>2.5328507415414485</c:v>
                </c:pt>
                <c:pt idx="129" formatCode="_(* #,##0.0000_);_(* \(#,##0.0000\);_(* &quot;-&quot;??_);_(@_)">
                  <c:v>2.5328507415414485</c:v>
                </c:pt>
                <c:pt idx="130" formatCode="_(* #,##0.0000_);_(* \(#,##0.0000\);_(* &quot;-&quot;??_);_(@_)">
                  <c:v>2.5328507415414485</c:v>
                </c:pt>
                <c:pt idx="131" formatCode="_(* #,##0.0000_);_(* \(#,##0.0000\);_(* &quot;-&quot;??_);_(@_)">
                  <c:v>2.5328507415414485</c:v>
                </c:pt>
                <c:pt idx="132" formatCode="_(* #,##0.0000_);_(* \(#,##0.0000\);_(* &quot;-&quot;??_);_(@_)">
                  <c:v>2.5328507415414485</c:v>
                </c:pt>
                <c:pt idx="133" formatCode="_(* #,##0.0000_);_(* \(#,##0.0000\);_(* &quot;-&quot;??_);_(@_)">
                  <c:v>2.5328507415414485</c:v>
                </c:pt>
                <c:pt idx="134" formatCode="_(* #,##0.0000_);_(* \(#,##0.0000\);_(* &quot;-&quot;??_);_(@_)">
                  <c:v>2.5328507415414485</c:v>
                </c:pt>
                <c:pt idx="135" formatCode="_(* #,##0.0000_);_(* \(#,##0.0000\);_(* &quot;-&quot;??_);_(@_)">
                  <c:v>2.5328507415414485</c:v>
                </c:pt>
                <c:pt idx="136" formatCode="_(* #,##0.0000_);_(* \(#,##0.0000\);_(* &quot;-&quot;??_);_(@_)">
                  <c:v>2.5328507415414485</c:v>
                </c:pt>
                <c:pt idx="137" formatCode="_(* #,##0.0000_);_(* \(#,##0.0000\);_(* &quot;-&quot;??_);_(@_)">
                  <c:v>2.5328507415414485</c:v>
                </c:pt>
                <c:pt idx="138" formatCode="_(* #,##0.0000_);_(* \(#,##0.0000\);_(* &quot;-&quot;??_);_(@_)">
                  <c:v>2.5328507415414485</c:v>
                </c:pt>
                <c:pt idx="139" formatCode="_(* #,##0.0000_);_(* \(#,##0.0000\);_(* &quot;-&quot;??_);_(@_)">
                  <c:v>2.5328507415414485</c:v>
                </c:pt>
                <c:pt idx="140" formatCode="_(* #,##0.0000_);_(* \(#,##0.0000\);_(* &quot;-&quot;??_);_(@_)">
                  <c:v>2.5328507415414485</c:v>
                </c:pt>
                <c:pt idx="141" formatCode="_(* #,##0.0000_);_(* \(#,##0.0000\);_(* &quot;-&quot;??_);_(@_)">
                  <c:v>2.5328507415414485</c:v>
                </c:pt>
                <c:pt idx="142" formatCode="_(* #,##0.0000_);_(* \(#,##0.0000\);_(* &quot;-&quot;??_);_(@_)">
                  <c:v>2.5328507415414485</c:v>
                </c:pt>
                <c:pt idx="143" formatCode="_(* #,##0.0000_);_(* \(#,##0.0000\);_(* &quot;-&quot;??_);_(@_)">
                  <c:v>2.5328507415414485</c:v>
                </c:pt>
                <c:pt idx="144" formatCode="_(* #,##0.0000_);_(* \(#,##0.0000\);_(* &quot;-&quot;??_);_(@_)">
                  <c:v>2.5328507415414485</c:v>
                </c:pt>
                <c:pt idx="145" formatCode="_(* #,##0.0000_);_(* \(#,##0.0000\);_(* &quot;-&quot;??_);_(@_)">
                  <c:v>2.5328507415414485</c:v>
                </c:pt>
                <c:pt idx="146" formatCode="_(* #,##0.0000_);_(* \(#,##0.0000\);_(* &quot;-&quot;??_);_(@_)">
                  <c:v>2.5328507415414485</c:v>
                </c:pt>
                <c:pt idx="147" formatCode="_(* #,##0.0000_);_(* \(#,##0.0000\);_(* &quot;-&quot;??_);_(@_)">
                  <c:v>2.5328507415414485</c:v>
                </c:pt>
                <c:pt idx="148" formatCode="_(* #,##0.0000_);_(* \(#,##0.0000\);_(* &quot;-&quot;??_);_(@_)">
                  <c:v>2.5328507415414485</c:v>
                </c:pt>
                <c:pt idx="149" formatCode="_(* #,##0.0000_);_(* \(#,##0.0000\);_(* &quot;-&quot;??_);_(@_)">
                  <c:v>2.5328507415414485</c:v>
                </c:pt>
                <c:pt idx="150" formatCode="_(* #,##0.0000_);_(* \(#,##0.0000\);_(* &quot;-&quot;??_);_(@_)">
                  <c:v>2.5328507415414485</c:v>
                </c:pt>
                <c:pt idx="151" formatCode="_(* #,##0.0000_);_(* \(#,##0.0000\);_(* &quot;-&quot;??_);_(@_)">
                  <c:v>2.5328507415414485</c:v>
                </c:pt>
                <c:pt idx="152" formatCode="_(* #,##0.0000_);_(* \(#,##0.0000\);_(* &quot;-&quot;??_);_(@_)">
                  <c:v>2.5328507415414485</c:v>
                </c:pt>
                <c:pt idx="153" formatCode="_(* #,##0.0000_);_(* \(#,##0.0000\);_(* &quot;-&quot;??_);_(@_)">
                  <c:v>2.5328507415414485</c:v>
                </c:pt>
                <c:pt idx="154" formatCode="_(* #,##0.0000_);_(* \(#,##0.0000\);_(* &quot;-&quot;??_);_(@_)">
                  <c:v>2.5328507415414485</c:v>
                </c:pt>
                <c:pt idx="155" formatCode="_(* #,##0.0000_);_(* \(#,##0.0000\);_(* &quot;-&quot;??_);_(@_)">
                  <c:v>2.5328507415414485</c:v>
                </c:pt>
                <c:pt idx="156" formatCode="_(* #,##0.0000_);_(* \(#,##0.0000\);_(* &quot;-&quot;??_);_(@_)">
                  <c:v>2.5328507415414485</c:v>
                </c:pt>
                <c:pt idx="157" formatCode="_(* #,##0.0000_);_(* \(#,##0.0000\);_(* &quot;-&quot;??_);_(@_)">
                  <c:v>2.5328507415414485</c:v>
                </c:pt>
                <c:pt idx="158" formatCode="_(* #,##0.0000_);_(* \(#,##0.0000\);_(* &quot;-&quot;??_);_(@_)">
                  <c:v>2.5328507415414485</c:v>
                </c:pt>
                <c:pt idx="159" formatCode="_(* #,##0.0000_);_(* \(#,##0.0000\);_(* &quot;-&quot;??_);_(@_)">
                  <c:v>2.5328507415414485</c:v>
                </c:pt>
                <c:pt idx="160" formatCode="_(* #,##0.0000_);_(* \(#,##0.0000\);_(* &quot;-&quot;??_);_(@_)">
                  <c:v>2.5328507415414485</c:v>
                </c:pt>
                <c:pt idx="161" formatCode="_(* #,##0.0000_);_(* \(#,##0.0000\);_(* &quot;-&quot;??_);_(@_)">
                  <c:v>2.5328507415414485</c:v>
                </c:pt>
                <c:pt idx="162" formatCode="_(* #,##0.0000_);_(* \(#,##0.0000\);_(* &quot;-&quot;??_);_(@_)">
                  <c:v>2.5328507415414485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0-4DD9-B478-FCE636DE0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829343"/>
        <c:axId val="1402837007"/>
      </c:lineChart>
      <c:catAx>
        <c:axId val="1234829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37007"/>
        <c:crosses val="autoZero"/>
        <c:auto val="1"/>
        <c:lblAlgn val="ctr"/>
        <c:lblOffset val="100"/>
        <c:noMultiLvlLbl val="0"/>
      </c:catAx>
      <c:valAx>
        <c:axId val="1402837007"/>
        <c:scaling>
          <c:orientation val="minMax"/>
          <c:max val="2.5499999999999998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Tech!$J$1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Tech!$J$2:$J$163</c:f>
              <c:numCache>
                <c:formatCode>0.000%</c:formatCode>
                <c:ptCount val="162"/>
                <c:pt idx="19">
                  <c:v>-7.9466145598625234E-4</c:v>
                </c:pt>
                <c:pt idx="20">
                  <c:v>2.0695640204599231E-3</c:v>
                </c:pt>
                <c:pt idx="21">
                  <c:v>3.2598538255748841E-3</c:v>
                </c:pt>
                <c:pt idx="22">
                  <c:v>-1.537998611404379E-3</c:v>
                </c:pt>
                <c:pt idx="23">
                  <c:v>-6.4760748655800268E-4</c:v>
                </c:pt>
                <c:pt idx="24">
                  <c:v>3.1376849010920868E-3</c:v>
                </c:pt>
                <c:pt idx="25">
                  <c:v>3.8283467459159066E-3</c:v>
                </c:pt>
                <c:pt idx="26">
                  <c:v>3.0675856848885173E-3</c:v>
                </c:pt>
                <c:pt idx="27">
                  <c:v>4.6396863911196476E-3</c:v>
                </c:pt>
                <c:pt idx="28">
                  <c:v>2.1375506269760763E-3</c:v>
                </c:pt>
                <c:pt idx="29">
                  <c:v>5.6331783804404309E-3</c:v>
                </c:pt>
                <c:pt idx="30">
                  <c:v>5.1183773508984912E-3</c:v>
                </c:pt>
                <c:pt idx="31">
                  <c:v>4.6270191852752522E-3</c:v>
                </c:pt>
                <c:pt idx="32">
                  <c:v>3.8661395386066226E-3</c:v>
                </c:pt>
                <c:pt idx="33">
                  <c:v>1.7931484244568376E-3</c:v>
                </c:pt>
                <c:pt idx="34">
                  <c:v>1.0253793950169817E-3</c:v>
                </c:pt>
                <c:pt idx="35">
                  <c:v>9.8460978997729365E-4</c:v>
                </c:pt>
                <c:pt idx="36">
                  <c:v>4.0126445899267034E-4</c:v>
                </c:pt>
                <c:pt idx="37">
                  <c:v>5.4123726353649544E-4</c:v>
                </c:pt>
                <c:pt idx="38">
                  <c:v>3.065627916217486E-3</c:v>
                </c:pt>
                <c:pt idx="39">
                  <c:v>1.0334547533324484E-6</c:v>
                </c:pt>
                <c:pt idx="40">
                  <c:v>-2.8461869460971638E-3</c:v>
                </c:pt>
                <c:pt idx="41">
                  <c:v>6.1886366505609915E-4</c:v>
                </c:pt>
                <c:pt idx="42">
                  <c:v>1.2421394794473026E-3</c:v>
                </c:pt>
                <c:pt idx="43">
                  <c:v>-2.0397649942407955E-3</c:v>
                </c:pt>
                <c:pt idx="44">
                  <c:v>-2.1160425044112943E-3</c:v>
                </c:pt>
                <c:pt idx="45">
                  <c:v>-2.0254876526496633E-3</c:v>
                </c:pt>
                <c:pt idx="46">
                  <c:v>-1.9606345799260036E-3</c:v>
                </c:pt>
                <c:pt idx="47">
                  <c:v>-1.4089624416499422E-3</c:v>
                </c:pt>
                <c:pt idx="48">
                  <c:v>5.1893233496768309E-4</c:v>
                </c:pt>
                <c:pt idx="49">
                  <c:v>1.0443577281650769E-3</c:v>
                </c:pt>
                <c:pt idx="50">
                  <c:v>1.2844569935212106E-3</c:v>
                </c:pt>
                <c:pt idx="51">
                  <c:v>1.3487786078127154E-3</c:v>
                </c:pt>
                <c:pt idx="52">
                  <c:v>4.4702396265899952E-3</c:v>
                </c:pt>
                <c:pt idx="53">
                  <c:v>3.8334400044313863E-3</c:v>
                </c:pt>
                <c:pt idx="54">
                  <c:v>3.1239862067011363E-3</c:v>
                </c:pt>
                <c:pt idx="55">
                  <c:v>7.7488643157349471E-3</c:v>
                </c:pt>
                <c:pt idx="56">
                  <c:v>6.1079839578223371E-3</c:v>
                </c:pt>
                <c:pt idx="57">
                  <c:v>6.4524595311338442E-3</c:v>
                </c:pt>
                <c:pt idx="58">
                  <c:v>8.4082583683606979E-3</c:v>
                </c:pt>
                <c:pt idx="59">
                  <c:v>3.9218581837353163E-3</c:v>
                </c:pt>
                <c:pt idx="60">
                  <c:v>6.1593547077705793E-4</c:v>
                </c:pt>
                <c:pt idx="61">
                  <c:v>-8.4761697188260471E-4</c:v>
                </c:pt>
                <c:pt idx="62">
                  <c:v>1.7723740538415605E-3</c:v>
                </c:pt>
                <c:pt idx="63">
                  <c:v>9.8137444522866245E-4</c:v>
                </c:pt>
                <c:pt idx="64">
                  <c:v>1.3252009531096059E-3</c:v>
                </c:pt>
                <c:pt idx="65">
                  <c:v>1.0732203191442719E-3</c:v>
                </c:pt>
                <c:pt idx="66">
                  <c:v>6.2869727064900711E-4</c:v>
                </c:pt>
                <c:pt idx="67">
                  <c:v>9.0359026975145079E-4</c:v>
                </c:pt>
                <c:pt idx="68">
                  <c:v>2.5944660302813197E-3</c:v>
                </c:pt>
                <c:pt idx="69">
                  <c:v>-1.1342537392581345E-3</c:v>
                </c:pt>
                <c:pt idx="70">
                  <c:v>-2.1032884853607156E-3</c:v>
                </c:pt>
                <c:pt idx="71">
                  <c:v>2.4795955650213342E-3</c:v>
                </c:pt>
                <c:pt idx="72">
                  <c:v>7.4838111389071923E-4</c:v>
                </c:pt>
                <c:pt idx="73">
                  <c:v>2.9928449886521018E-4</c:v>
                </c:pt>
                <c:pt idx="74">
                  <c:v>5.4565868737465181E-3</c:v>
                </c:pt>
                <c:pt idx="75">
                  <c:v>4.9258824205690903E-3</c:v>
                </c:pt>
                <c:pt idx="76">
                  <c:v>2.5901504300575623E-3</c:v>
                </c:pt>
                <c:pt idx="77">
                  <c:v>4.0218479609911949E-3</c:v>
                </c:pt>
                <c:pt idx="78">
                  <c:v>6.4485181724900393E-4</c:v>
                </c:pt>
                <c:pt idx="79">
                  <c:v>-1.9888739452298123E-3</c:v>
                </c:pt>
                <c:pt idx="80">
                  <c:v>2.7493021476111632E-3</c:v>
                </c:pt>
                <c:pt idx="81">
                  <c:v>-4.7840271809861902E-3</c:v>
                </c:pt>
                <c:pt idx="82">
                  <c:v>-3.163241294223974E-3</c:v>
                </c:pt>
                <c:pt idx="83">
                  <c:v>-2.1389377640425753E-3</c:v>
                </c:pt>
                <c:pt idx="84">
                  <c:v>9.8551819097358407E-4</c:v>
                </c:pt>
                <c:pt idx="85">
                  <c:v>-3.0645301118895772E-3</c:v>
                </c:pt>
                <c:pt idx="86">
                  <c:v>-5.4582386935099272E-3</c:v>
                </c:pt>
                <c:pt idx="87">
                  <c:v>1.1297287878355286E-3</c:v>
                </c:pt>
                <c:pt idx="88">
                  <c:v>8.2714259836942985E-3</c:v>
                </c:pt>
                <c:pt idx="89">
                  <c:v>5.1314805355098083E-3</c:v>
                </c:pt>
                <c:pt idx="90">
                  <c:v>-6.956099324803446E-4</c:v>
                </c:pt>
                <c:pt idx="91">
                  <c:v>4.0826398016701269E-3</c:v>
                </c:pt>
                <c:pt idx="92">
                  <c:v>3.3222254337288764E-3</c:v>
                </c:pt>
                <c:pt idx="93">
                  <c:v>2.417169410584005E-3</c:v>
                </c:pt>
                <c:pt idx="94">
                  <c:v>3.7454852441031689E-3</c:v>
                </c:pt>
                <c:pt idx="95">
                  <c:v>5.7507947896182614E-3</c:v>
                </c:pt>
                <c:pt idx="96">
                  <c:v>1.0340248756964595E-2</c:v>
                </c:pt>
                <c:pt idx="97">
                  <c:v>1.2738891268624413E-2</c:v>
                </c:pt>
                <c:pt idx="98">
                  <c:v>1.4749414724469728E-2</c:v>
                </c:pt>
                <c:pt idx="99">
                  <c:v>1.4275202716061365E-2</c:v>
                </c:pt>
                <c:pt idx="100">
                  <c:v>1.3602498576206481E-2</c:v>
                </c:pt>
                <c:pt idx="101">
                  <c:v>2.057574068738444E-2</c:v>
                </c:pt>
                <c:pt idx="102">
                  <c:v>2.3555691239775928E-2</c:v>
                </c:pt>
                <c:pt idx="103">
                  <c:v>2.6437408730726857E-2</c:v>
                </c:pt>
                <c:pt idx="104">
                  <c:v>2.3849398053637273E-2</c:v>
                </c:pt>
                <c:pt idx="105">
                  <c:v>1.1163827062268622E-2</c:v>
                </c:pt>
                <c:pt idx="106">
                  <c:v>2.0547417221005869E-3</c:v>
                </c:pt>
                <c:pt idx="107">
                  <c:v>6.3207209956754919E-3</c:v>
                </c:pt>
                <c:pt idx="108">
                  <c:v>3.701760331623605E-3</c:v>
                </c:pt>
                <c:pt idx="109">
                  <c:v>3.6133754039545441E-3</c:v>
                </c:pt>
                <c:pt idx="110">
                  <c:v>5.7569421604271361E-3</c:v>
                </c:pt>
                <c:pt idx="111">
                  <c:v>7.2390996402777533E-3</c:v>
                </c:pt>
                <c:pt idx="112">
                  <c:v>6.5664206665773765E-3</c:v>
                </c:pt>
                <c:pt idx="113">
                  <c:v>8.3446982406587284E-4</c:v>
                </c:pt>
                <c:pt idx="114">
                  <c:v>3.1446745190156456E-3</c:v>
                </c:pt>
                <c:pt idx="115">
                  <c:v>3.0569884073684199E-3</c:v>
                </c:pt>
                <c:pt idx="116">
                  <c:v>7.204080318626003E-3</c:v>
                </c:pt>
                <c:pt idx="117">
                  <c:v>4.0938297661972994E-3</c:v>
                </c:pt>
                <c:pt idx="118">
                  <c:v>2.2438621081773144E-3</c:v>
                </c:pt>
                <c:pt idx="119">
                  <c:v>2.5922464438139156E-3</c:v>
                </c:pt>
                <c:pt idx="120">
                  <c:v>1.1147206288984403E-3</c:v>
                </c:pt>
                <c:pt idx="121">
                  <c:v>-2.2377183475673339E-3</c:v>
                </c:pt>
                <c:pt idx="122">
                  <c:v>1.0240998364882872E-3</c:v>
                </c:pt>
                <c:pt idx="123">
                  <c:v>-1.0057566955639124E-2</c:v>
                </c:pt>
                <c:pt idx="124">
                  <c:v>-1.4771526639975009E-2</c:v>
                </c:pt>
                <c:pt idx="125">
                  <c:v>-1.3574912771041569E-2</c:v>
                </c:pt>
                <c:pt idx="126">
                  <c:v>-2.0286743318473167E-2</c:v>
                </c:pt>
                <c:pt idx="127">
                  <c:v>-1.4666321181494321E-2</c:v>
                </c:pt>
                <c:pt idx="128">
                  <c:v>-9.6116542269568082E-3</c:v>
                </c:pt>
                <c:pt idx="129">
                  <c:v>-9.9964451223001956E-3</c:v>
                </c:pt>
                <c:pt idx="130">
                  <c:v>-1.2230869510286879E-2</c:v>
                </c:pt>
                <c:pt idx="131">
                  <c:v>-1.2276251612062387E-2</c:v>
                </c:pt>
                <c:pt idx="132">
                  <c:v>-2.2846782879404039E-2</c:v>
                </c:pt>
                <c:pt idx="133">
                  <c:v>-2.0676605393158576E-2</c:v>
                </c:pt>
                <c:pt idx="134">
                  <c:v>-1.5891581797565994E-2</c:v>
                </c:pt>
                <c:pt idx="135">
                  <c:v>-1.6734975839610242E-2</c:v>
                </c:pt>
                <c:pt idx="136">
                  <c:v>-5.5187616844080342E-3</c:v>
                </c:pt>
                <c:pt idx="137">
                  <c:v>-2.4969310642919277E-3</c:v>
                </c:pt>
                <c:pt idx="138">
                  <c:v>7.5387598968670319E-3</c:v>
                </c:pt>
                <c:pt idx="139">
                  <c:v>4.1533960702283077E-3</c:v>
                </c:pt>
                <c:pt idx="140">
                  <c:v>4.3820951446121382E-4</c:v>
                </c:pt>
                <c:pt idx="141">
                  <c:v>-4.8670588975582661E-3</c:v>
                </c:pt>
                <c:pt idx="142">
                  <c:v>-8.9747122673823933E-3</c:v>
                </c:pt>
                <c:pt idx="143">
                  <c:v>3.4215420283274663E-3</c:v>
                </c:pt>
                <c:pt idx="144">
                  <c:v>-2.9482269342360513E-3</c:v>
                </c:pt>
                <c:pt idx="145">
                  <c:v>-1.0364894258731048E-2</c:v>
                </c:pt>
                <c:pt idx="146">
                  <c:v>-1.5463996396119797E-3</c:v>
                </c:pt>
                <c:pt idx="147">
                  <c:v>2.1907011665115821E-3</c:v>
                </c:pt>
                <c:pt idx="148">
                  <c:v>2.0421974612631275E-3</c:v>
                </c:pt>
                <c:pt idx="149">
                  <c:v>2.6742216103447132E-3</c:v>
                </c:pt>
                <c:pt idx="150">
                  <c:v>6.1204502170565092E-4</c:v>
                </c:pt>
                <c:pt idx="151">
                  <c:v>4.6792942269699989E-3</c:v>
                </c:pt>
                <c:pt idx="152">
                  <c:v>1.0239890537071295E-2</c:v>
                </c:pt>
                <c:pt idx="153">
                  <c:v>5.7102933345891341E-3</c:v>
                </c:pt>
                <c:pt idx="154">
                  <c:v>5.3164394148888568E-3</c:v>
                </c:pt>
                <c:pt idx="155">
                  <c:v>8.7312688481916041E-3</c:v>
                </c:pt>
                <c:pt idx="156">
                  <c:v>4.1039460250301071E-3</c:v>
                </c:pt>
                <c:pt idx="157">
                  <c:v>5.3159748894536041E-4</c:v>
                </c:pt>
                <c:pt idx="158">
                  <c:v>2.0437861470425193E-3</c:v>
                </c:pt>
                <c:pt idx="159">
                  <c:v>1.6100406137053306E-3</c:v>
                </c:pt>
                <c:pt idx="160">
                  <c:v>-3.284650467208927E-3</c:v>
                </c:pt>
                <c:pt idx="161">
                  <c:v>-1.9423327130263369E-3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B-406E-84A5-1B16FB07F5B5}"/>
            </c:ext>
          </c:extLst>
        </c:ser>
        <c:ser>
          <c:idx val="1"/>
          <c:order val="1"/>
          <c:tx>
            <c:strRef>
              <c:f>Tech!$K$1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Tech!$K$2:$K$163</c:f>
              <c:numCache>
                <c:formatCode>0.000%</c:formatCode>
                <c:ptCount val="162"/>
                <c:pt idx="19">
                  <c:v>-1.6048376853236439E-2</c:v>
                </c:pt>
                <c:pt idx="20">
                  <c:v>-1.2784341021060706E-2</c:v>
                </c:pt>
                <c:pt idx="21">
                  <c:v>-1.1092960672087617E-2</c:v>
                </c:pt>
                <c:pt idx="22">
                  <c:v>-1.5845749388435793E-2</c:v>
                </c:pt>
                <c:pt idx="23">
                  <c:v>-1.4734255978945567E-2</c:v>
                </c:pt>
                <c:pt idx="24">
                  <c:v>-1.0438402062564148E-2</c:v>
                </c:pt>
                <c:pt idx="25">
                  <c:v>-9.3508105738647172E-3</c:v>
                </c:pt>
                <c:pt idx="26">
                  <c:v>-9.789246430761284E-3</c:v>
                </c:pt>
                <c:pt idx="27">
                  <c:v>-7.8195833249899392E-3</c:v>
                </c:pt>
                <c:pt idx="28">
                  <c:v>-1.0083784279385695E-2</c:v>
                </c:pt>
                <c:pt idx="29">
                  <c:v>-6.2615519007022625E-3</c:v>
                </c:pt>
                <c:pt idx="30">
                  <c:v>-6.5200023117992388E-3</c:v>
                </c:pt>
                <c:pt idx="31">
                  <c:v>-6.7648854599976242E-3</c:v>
                </c:pt>
                <c:pt idx="32">
                  <c:v>-7.371335222523338E-3</c:v>
                </c:pt>
                <c:pt idx="33">
                  <c:v>-9.312986567573206E-3</c:v>
                </c:pt>
                <c:pt idx="34">
                  <c:v>-9.850188582248608E-3</c:v>
                </c:pt>
                <c:pt idx="35">
                  <c:v>-9.6090427119076942E-3</c:v>
                </c:pt>
                <c:pt idx="36">
                  <c:v>-9.9920772634706188E-3</c:v>
                </c:pt>
                <c:pt idx="37">
                  <c:v>-9.7891338699211995E-3</c:v>
                </c:pt>
                <c:pt idx="38">
                  <c:v>-6.959298863989034E-3</c:v>
                </c:pt>
                <c:pt idx="39">
                  <c:v>-9.7058079704787463E-3</c:v>
                </c:pt>
                <c:pt idx="40">
                  <c:v>-1.2540816002777407E-2</c:v>
                </c:pt>
                <c:pt idx="41">
                  <c:v>-8.9695536335348096E-3</c:v>
                </c:pt>
                <c:pt idx="42">
                  <c:v>-7.9505244004216182E-3</c:v>
                </c:pt>
                <c:pt idx="43">
                  <c:v>-1.1047385113045994E-2</c:v>
                </c:pt>
                <c:pt idx="44">
                  <c:v>-1.1159796362206844E-2</c:v>
                </c:pt>
                <c:pt idx="45">
                  <c:v>-1.1159796362206844E-2</c:v>
                </c:pt>
                <c:pt idx="46">
                  <c:v>-1.1163758853222135E-2</c:v>
                </c:pt>
                <c:pt idx="47">
                  <c:v>-1.0759062599620551E-2</c:v>
                </c:pt>
                <c:pt idx="48">
                  <c:v>-8.7652331840620563E-3</c:v>
                </c:pt>
                <c:pt idx="49">
                  <c:v>-8.3437039245630989E-3</c:v>
                </c:pt>
                <c:pt idx="50">
                  <c:v>-8.1867702112654941E-3</c:v>
                </c:pt>
                <c:pt idx="51">
                  <c:v>-8.1937469701488901E-3</c:v>
                </c:pt>
                <c:pt idx="52">
                  <c:v>-4.9517055154031948E-3</c:v>
                </c:pt>
                <c:pt idx="53">
                  <c:v>-5.3928859670162371E-3</c:v>
                </c:pt>
                <c:pt idx="54">
                  <c:v>-5.9053438096417265E-3</c:v>
                </c:pt>
                <c:pt idx="55">
                  <c:v>-8.437687869988843E-4</c:v>
                </c:pt>
                <c:pt idx="56">
                  <c:v>-2.0904981972537876E-3</c:v>
                </c:pt>
                <c:pt idx="57">
                  <c:v>-1.3237814169785509E-3</c:v>
                </c:pt>
                <c:pt idx="58">
                  <c:v>1.0296265000386455E-3</c:v>
                </c:pt>
                <c:pt idx="59">
                  <c:v>-3.1281524445738594E-3</c:v>
                </c:pt>
                <c:pt idx="60">
                  <c:v>-6.1118414082406121E-3</c:v>
                </c:pt>
                <c:pt idx="61">
                  <c:v>-7.5018976009116672E-3</c:v>
                </c:pt>
                <c:pt idx="62">
                  <c:v>-4.7204407674611981E-3</c:v>
                </c:pt>
                <c:pt idx="63">
                  <c:v>-5.2195259378591766E-3</c:v>
                </c:pt>
                <c:pt idx="64">
                  <c:v>-4.5443236816827088E-3</c:v>
                </c:pt>
                <c:pt idx="65">
                  <c:v>-4.4606387989755249E-3</c:v>
                </c:pt>
                <c:pt idx="66">
                  <c:v>-4.5748931281501919E-3</c:v>
                </c:pt>
                <c:pt idx="67">
                  <c:v>-3.9592153911740119E-3</c:v>
                </c:pt>
                <c:pt idx="68">
                  <c:v>-1.9261616863741132E-3</c:v>
                </c:pt>
                <c:pt idx="69">
                  <c:v>-5.5129946929485026E-3</c:v>
                </c:pt>
                <c:pt idx="70">
                  <c:v>-6.3920266227297301E-3</c:v>
                </c:pt>
                <c:pt idx="71">
                  <c:v>-1.4728579010802633E-3</c:v>
                </c:pt>
                <c:pt idx="72">
                  <c:v>-3.1120795000629939E-3</c:v>
                </c:pt>
                <c:pt idx="73">
                  <c:v>-3.4647077269665061E-3</c:v>
                </c:pt>
                <c:pt idx="74">
                  <c:v>2.0917901463414338E-3</c:v>
                </c:pt>
                <c:pt idx="75">
                  <c:v>1.6871619493287425E-3</c:v>
                </c:pt>
                <c:pt idx="76">
                  <c:v>-5.7282824419652113E-4</c:v>
                </c:pt>
                <c:pt idx="77">
                  <c:v>9.7339187316865835E-4</c:v>
                </c:pt>
                <c:pt idx="78">
                  <c:v>-2.5838521486313574E-3</c:v>
                </c:pt>
                <c:pt idx="79">
                  <c:v>-5.3276570467318514E-3</c:v>
                </c:pt>
                <c:pt idx="80">
                  <c:v>-2.9882633987136442E-4</c:v>
                </c:pt>
                <c:pt idx="81">
                  <c:v>-7.8496223995041508E-3</c:v>
                </c:pt>
                <c:pt idx="82">
                  <c:v>-6.3084273576050455E-3</c:v>
                </c:pt>
                <c:pt idx="83">
                  <c:v>-5.2875312644365758E-3</c:v>
                </c:pt>
                <c:pt idx="84">
                  <c:v>-2.0377193515639671E-3</c:v>
                </c:pt>
                <c:pt idx="85">
                  <c:v>-6.17360919365536E-3</c:v>
                </c:pt>
                <c:pt idx="86">
                  <c:v>-8.77821277351927E-3</c:v>
                </c:pt>
                <c:pt idx="87">
                  <c:v>-2.097165620215198E-3</c:v>
                </c:pt>
                <c:pt idx="88">
                  <c:v>5.4095675805413525E-3</c:v>
                </c:pt>
                <c:pt idx="89">
                  <c:v>2.678700386507657E-3</c:v>
                </c:pt>
                <c:pt idx="90">
                  <c:v>-2.9772552991691303E-3</c:v>
                </c:pt>
                <c:pt idx="91">
                  <c:v>1.9728595450370845E-3</c:v>
                </c:pt>
                <c:pt idx="92">
                  <c:v>1.4397742124249188E-3</c:v>
                </c:pt>
                <c:pt idx="93">
                  <c:v>7.4512197676004292E-4</c:v>
                </c:pt>
                <c:pt idx="94">
                  <c:v>2.0724757074971406E-3</c:v>
                </c:pt>
                <c:pt idx="95">
                  <c:v>4.2030057342714311E-3</c:v>
                </c:pt>
                <c:pt idx="96">
                  <c:v>9.2824453696446485E-3</c:v>
                </c:pt>
                <c:pt idx="97">
                  <c:v>1.224029077441491E-2</c:v>
                </c:pt>
                <c:pt idx="98">
                  <c:v>1.5130976263737432E-2</c:v>
                </c:pt>
                <c:pt idx="99">
                  <c:v>1.5703865365265041E-2</c:v>
                </c:pt>
                <c:pt idx="100">
                  <c:v>1.5832985546622658E-2</c:v>
                </c:pt>
                <c:pt idx="101">
                  <c:v>2.4410879475536825E-2</c:v>
                </c:pt>
                <c:pt idx="102">
                  <c:v>2.9152098102858869E-2</c:v>
                </c:pt>
                <c:pt idx="103">
                  <c:v>3.39822176158193E-2</c:v>
                </c:pt>
                <c:pt idx="104">
                  <c:v>3.3140716030606095E-2</c:v>
                </c:pt>
                <c:pt idx="105">
                  <c:v>2.1859883153004824E-2</c:v>
                </c:pt>
                <c:pt idx="106">
                  <c:v>1.3894368049533926E-2</c:v>
                </c:pt>
                <c:pt idx="107">
                  <c:v>1.9230836287852868E-2</c:v>
                </c:pt>
                <c:pt idx="108">
                  <c:v>1.7202654431277425E-2</c:v>
                </c:pt>
                <c:pt idx="109">
                  <c:v>1.7876932400533389E-2</c:v>
                </c:pt>
                <c:pt idx="110">
                  <c:v>2.123827768304767E-2</c:v>
                </c:pt>
                <c:pt idx="111">
                  <c:v>2.3816045117680221E-2</c:v>
                </c:pt>
                <c:pt idx="112">
                  <c:v>2.429085169935E-2</c:v>
                </c:pt>
                <c:pt idx="113">
                  <c:v>1.950448516171286E-2</c:v>
                </c:pt>
                <c:pt idx="114">
                  <c:v>2.2861158018885379E-2</c:v>
                </c:pt>
                <c:pt idx="115">
                  <c:v>2.375731127159102E-2</c:v>
                </c:pt>
                <c:pt idx="116">
                  <c:v>2.8886698937508552E-2</c:v>
                </c:pt>
                <c:pt idx="117">
                  <c:v>2.6490892536369198E-2</c:v>
                </c:pt>
                <c:pt idx="118">
                  <c:v>2.5142775550569148E-2</c:v>
                </c:pt>
                <c:pt idx="119">
                  <c:v>2.6007532531764008E-2</c:v>
                </c:pt>
                <c:pt idx="120">
                  <c:v>2.4989307281431745E-2</c:v>
                </c:pt>
                <c:pt idx="121">
                  <c:v>2.1490736859389608E-2</c:v>
                </c:pt>
                <c:pt idx="122">
                  <c:v>2.4521784323833812E-2</c:v>
                </c:pt>
                <c:pt idx="123">
                  <c:v>1.2359175187902281E-2</c:v>
                </c:pt>
                <c:pt idx="124">
                  <c:v>6.3004428978858471E-3</c:v>
                </c:pt>
                <c:pt idx="125">
                  <c:v>6.7360054323218248E-3</c:v>
                </c:pt>
                <c:pt idx="126">
                  <c:v>-7.1617814031913602E-4</c:v>
                </c:pt>
                <c:pt idx="127">
                  <c:v>4.1442252063272119E-3</c:v>
                </c:pt>
                <c:pt idx="128">
                  <c:v>8.7751449737154992E-3</c:v>
                </c:pt>
                <c:pt idx="129">
                  <c:v>7.8882893455660321E-3</c:v>
                </c:pt>
                <c:pt idx="130">
                  <c:v>4.8297812302352016E-3</c:v>
                </c:pt>
                <c:pt idx="131">
                  <c:v>3.7798009047103702E-3</c:v>
                </c:pt>
                <c:pt idx="132">
                  <c:v>-8.4393120453606484E-3</c:v>
                </c:pt>
                <c:pt idx="133">
                  <c:v>-7.6368560488593402E-3</c:v>
                </c:pt>
                <c:pt idx="134">
                  <c:v>-4.2095221457593823E-3</c:v>
                </c:pt>
                <c:pt idx="135">
                  <c:v>-6.5730286996818288E-3</c:v>
                </c:pt>
                <c:pt idx="136">
                  <c:v>3.3760114049681484E-3</c:v>
                </c:pt>
                <c:pt idx="137">
                  <c:v>5.3486617041949448E-3</c:v>
                </c:pt>
                <c:pt idx="138">
                  <c:v>1.4877416845004014E-2</c:v>
                </c:pt>
                <c:pt idx="139">
                  <c:v>1.0737191737283047E-2</c:v>
                </c:pt>
                <c:pt idx="140">
                  <c:v>6.0856731151934448E-3</c:v>
                </c:pt>
                <c:pt idx="141">
                  <c:v>-3.0335736787609778E-4</c:v>
                </c:pt>
                <c:pt idx="142">
                  <c:v>-5.9250747101904843E-3</c:v>
                </c:pt>
                <c:pt idx="143">
                  <c:v>6.1633537466237714E-3</c:v>
                </c:pt>
                <c:pt idx="144">
                  <c:v>-5.4877213110651757E-4</c:v>
                </c:pt>
                <c:pt idx="145">
                  <c:v>-8.7416669398404836E-3</c:v>
                </c:pt>
                <c:pt idx="146">
                  <c:v>1.1865027984682854E-4</c:v>
                </c:pt>
                <c:pt idx="147">
                  <c:v>3.8406055062184365E-3</c:v>
                </c:pt>
                <c:pt idx="148">
                  <c:v>3.4258604326519167E-3</c:v>
                </c:pt>
                <c:pt idx="149">
                  <c:v>3.8572556481206461E-3</c:v>
                </c:pt>
                <c:pt idx="150">
                  <c:v>1.6357154106786613E-3</c:v>
                </c:pt>
                <c:pt idx="151">
                  <c:v>5.803788480193443E-3</c:v>
                </c:pt>
                <c:pt idx="152">
                  <c:v>1.2406333615597284E-2</c:v>
                </c:pt>
                <c:pt idx="153">
                  <c:v>8.6950117459837842E-3</c:v>
                </c:pt>
                <c:pt idx="154">
                  <c:v>8.9602707700391221E-3</c:v>
                </c:pt>
                <c:pt idx="155">
                  <c:v>1.3373167594032296E-2</c:v>
                </c:pt>
                <c:pt idx="156">
                  <c:v>9.0280461468962361E-3</c:v>
                </c:pt>
                <c:pt idx="157">
                  <c:v>5.4613282453368408E-3</c:v>
                </c:pt>
                <c:pt idx="158">
                  <c:v>6.5601377085898584E-3</c:v>
                </c:pt>
                <c:pt idx="159">
                  <c:v>5.8847162878097135E-3</c:v>
                </c:pt>
                <c:pt idx="160">
                  <c:v>7.2162477756631952E-4</c:v>
                </c:pt>
                <c:pt idx="161">
                  <c:v>2.1889479863912895E-3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B-406E-84A5-1B16FB07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073343"/>
        <c:axId val="160721968"/>
      </c:lineChart>
      <c:catAx>
        <c:axId val="116207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1968"/>
        <c:crosses val="autoZero"/>
        <c:auto val="1"/>
        <c:lblAlgn val="ctr"/>
        <c:lblOffset val="100"/>
        <c:noMultiLvlLbl val="0"/>
      </c:catAx>
      <c:valAx>
        <c:axId val="1607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7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Tech!$F$1:$F$164</c:f>
              <c:numCache>
                <c:formatCode>General</c:formatCode>
                <c:ptCount val="164"/>
                <c:pt idx="0">
                  <c:v>0</c:v>
                </c:pt>
                <c:pt idx="20" formatCode="_(* #,##0.0000_);_(* \(#,##0.0000\);_(* &quot;-&quot;??_);_(@_)">
                  <c:v>1.3776231972783539</c:v>
                </c:pt>
                <c:pt idx="21" formatCode="_(* #,##0.0000_);_(* \(#,##0.0000\);_(* &quot;-&quot;??_);_(@_)">
                  <c:v>1.3770725193484936</c:v>
                </c:pt>
                <c:pt idx="22" formatCode="_(* #,##0.0000_);_(* \(#,##0.0000\);_(* &quot;-&quot;??_);_(@_)">
                  <c:v>1.3763826541877306</c:v>
                </c:pt>
                <c:pt idx="23" formatCode="_(* #,##0.0000_);_(* \(#,##0.0000\);_(* &quot;-&quot;??_);_(@_)">
                  <c:v>1.3763206306618367</c:v>
                </c:pt>
                <c:pt idx="24" formatCode="_(* #,##0.0000_);_(* \(#,##0.0000\);_(* &quot;-&quot;??_);_(@_)">
                  <c:v>1.3760163566650725</c:v>
                </c:pt>
                <c:pt idx="25" formatCode="_(* #,##0.0000_);_(* \(#,##0.0000\);_(* &quot;-&quot;??_);_(@_)">
                  <c:v>1.3753139949651429</c:v>
                </c:pt>
                <c:pt idx="26" formatCode="_(* #,##0.0000_);_(* \(#,##0.0000\);_(* &quot;-&quot;??_);_(@_)">
                  <c:v>1.374768200399092</c:v>
                </c:pt>
                <c:pt idx="27" formatCode="_(* #,##0.0000_);_(* \(#,##0.0000\);_(* &quot;-&quot;??_);_(@_)">
                  <c:v>1.3743251493653588</c:v>
                </c:pt>
                <c:pt idx="28" formatCode="_(* #,##0.0000_);_(* \(#,##0.0000\);_(* &quot;-&quot;??_);_(@_)">
                  <c:v>1.3737788779569098</c:v>
                </c:pt>
                <c:pt idx="29" formatCode="_(* #,##0.0000_);_(* \(#,##0.0000\);_(* &quot;-&quot;??_);_(@_)">
                  <c:v>1.3734520470247173</c:v>
                </c:pt>
                <c:pt idx="30" formatCode="_(* #,##0.0000_);_(* \(#,##0.0000\);_(* &quot;-&quot;??_);_(@_)">
                  <c:v>1.373003544479132</c:v>
                </c:pt>
                <c:pt idx="31" formatCode="_(* #,##0.0000_);_(* \(#,##0.0000\);_(* &quot;-&quot;??_);_(@_)">
                  <c:v>1.372651619281426</c:v>
                </c:pt>
                <c:pt idx="32" formatCode="_(* #,##0.0000_);_(* \(#,##0.0000\);_(* &quot;-&quot;??_);_(@_)">
                  <c:v>1.3723133366404678</c:v>
                </c:pt>
                <c:pt idx="33" formatCode="_(* #,##0.0000_);_(* \(#,##0.0000\);_(* &quot;-&quot;??_);_(@_)">
                  <c:v>1.3721014268139087</c:v>
                </c:pt>
                <c:pt idx="34" formatCode="_(* #,##0.0000_);_(* \(#,##0.0000\);_(* &quot;-&quot;??_);_(@_)">
                  <c:v>1.3719212271632786</c:v>
                </c:pt>
                <c:pt idx="35" formatCode="_(* #,##0.0000_);_(* \(#,##0.0000\);_(* &quot;-&quot;??_);_(@_)">
                  <c:v>1.3716049438450908</c:v>
                </c:pt>
                <c:pt idx="36" formatCode="_(* #,##0.0000_);_(* \(#,##0.0000\);_(* &quot;-&quot;??_);_(@_)">
                  <c:v>1.3712183216852583</c:v>
                </c:pt>
                <c:pt idx="37" formatCode="_(* #,##0.0000_);_(* \(#,##0.0000\);_(* &quot;-&quot;??_);_(@_)">
                  <c:v>1.3709436793823095</c:v>
                </c:pt>
                <c:pt idx="38" formatCode="_(* #,##0.0000_);_(* \(#,##0.0000\);_(* &quot;-&quot;??_);_(@_)">
                  <c:v>1.3708573529693662</c:v>
                </c:pt>
                <c:pt idx="39" formatCode="_(* #,##0.0000_);_(* \(#,##0.0000\);_(* &quot;-&quot;??_);_(@_)">
                  <c:v>1.3704386962732058</c:v>
                </c:pt>
                <c:pt idx="40" formatCode="_(* #,##0.0000_);_(* \(#,##0.0000\);_(* &quot;-&quot;??_);_(@_)">
                  <c:v>1.3700028491160046</c:v>
                </c:pt>
                <c:pt idx="41" formatCode="_(* #,##0.0000_);_(* \(#,##0.0000\);_(* &quot;-&quot;??_);_(@_)">
                  <c:v>1.3699861182384561</c:v>
                </c:pt>
                <c:pt idx="42" formatCode="_(* #,##0.0000_);_(* \(#,##0.0000\);_(* &quot;-&quot;??_);_(@_)">
                  <c:v>1.3698406173313704</c:v>
                </c:pt>
                <c:pt idx="43" formatCode="_(* #,##0.0000_);_(* \(#,##0.0000\);_(* &quot;-&quot;??_);_(@_)">
                  <c:v>1.3692986054825527</c:v>
                </c:pt>
                <c:pt idx="44" formatCode="_(* #,##0.0000_);_(* \(#,##0.0000\);_(* &quot;-&quot;??_);_(@_)">
                  <c:v>1.3690452487603382</c:v>
                </c:pt>
                <c:pt idx="45" formatCode="_(* #,##0.0000_);_(* \(#,##0.0000\);_(* &quot;-&quot;??_);_(@_)">
                  <c:v>1.3690947183777784</c:v>
                </c:pt>
                <c:pt idx="46" formatCode="_(* #,##0.0000_);_(* \(#,##0.0000\);_(* &quot;-&quot;??_);_(@_)">
                  <c:v>1.3692187021606306</c:v>
                </c:pt>
                <c:pt idx="47" formatCode="_(* #,##0.0000_);_(* \(#,##0.0000\);_(* &quot;-&quot;??_);_(@_)">
                  <c:v>1.3693129289595996</c:v>
                </c:pt>
                <c:pt idx="48" formatCode="_(* #,##0.0000_);_(* \(#,##0.0000\);_(* &quot;-&quot;??_);_(@_)">
                  <c:v>1.3695141997293421</c:v>
                </c:pt>
                <c:pt idx="49" formatCode="_(* #,##0.0000_);_(* \(#,##0.0000\);_(* &quot;-&quot;??_);_(@_)">
                  <c:v>1.3694239042818901</c:v>
                </c:pt>
                <c:pt idx="50" formatCode="_(* #,##0.0000_);_(* \(#,##0.0000\);_(* &quot;-&quot;??_);_(@_)">
                  <c:v>1.3695661895222546</c:v>
                </c:pt>
                <c:pt idx="51" formatCode="_(* #,##0.0000_);_(* \(#,##0.0000\);_(* &quot;-&quot;??_);_(@_)">
                  <c:v>1.3696800949869266</c:v>
                </c:pt>
                <c:pt idx="52" formatCode="_(* #,##0.0000_);_(* \(#,##0.0000\);_(* &quot;-&quot;??_);_(@_)">
                  <c:v>1.3697777544309075</c:v>
                </c:pt>
                <c:pt idx="53" formatCode="_(* #,##0.0000_);_(* \(#,##0.0000\);_(* &quot;-&quot;??_);_(@_)">
                  <c:v>1.3696125959897372</c:v>
                </c:pt>
                <c:pt idx="54" formatCode="_(* #,##0.0000_);_(* \(#,##0.0000\);_(* &quot;-&quot;??_);_(@_)">
                  <c:v>1.3693446997134187</c:v>
                </c:pt>
                <c:pt idx="55" formatCode="_(* #,##0.0000_);_(* \(#,##0.0000\);_(* &quot;-&quot;??_);_(@_)">
                  <c:v>1.3690749709150443</c:v>
                </c:pt>
                <c:pt idx="56" formatCode="_(* #,##0.0000_);_(* \(#,##0.0000\);_(* &quot;-&quot;??_);_(@_)">
                  <c:v>1.3684772306259156</c:v>
                </c:pt>
                <c:pt idx="57" formatCode="_(* #,##0.0000_);_(* \(#,##0.0000\);_(* &quot;-&quot;??_);_(@_)">
                  <c:v>1.3679379503145206</c:v>
                </c:pt>
                <c:pt idx="58" formatCode="_(* #,##0.0000_);_(* \(#,##0.0000\);_(* &quot;-&quot;??_);_(@_)">
                  <c:v>1.3673604724693793</c:v>
                </c:pt>
                <c:pt idx="59" formatCode="_(* #,##0.0000_);_(* \(#,##0.0000\);_(* &quot;-&quot;??_);_(@_)">
                  <c:v>1.3668169056009014</c:v>
                </c:pt>
                <c:pt idx="60" formatCode="_(* #,##0.0000_);_(* \(#,##0.0000\);_(* &quot;-&quot;??_);_(@_)">
                  <c:v>1.3663678143290194</c:v>
                </c:pt>
                <c:pt idx="61" formatCode="_(* #,##0.0000_);_(* \(#,##0.0000\);_(* &quot;-&quot;??_);_(@_)">
                  <c:v>1.3659275954357981</c:v>
                </c:pt>
                <c:pt idx="62" formatCode="_(* #,##0.0000_);_(* \(#,##0.0000\);_(* &quot;-&quot;??_);_(@_)">
                  <c:v>1.3658272085688521</c:v>
                </c:pt>
                <c:pt idx="63" formatCode="_(* #,##0.0000_);_(* \(#,##0.0000\);_(* &quot;-&quot;??_);_(@_)">
                  <c:v>1.3656066919788297</c:v>
                </c:pt>
                <c:pt idx="64" formatCode="_(* #,##0.0000_);_(* \(#,##0.0000\);_(* &quot;-&quot;??_);_(@_)">
                  <c:v>1.3652081098472881</c:v>
                </c:pt>
                <c:pt idx="65" formatCode="_(* #,##0.0000_);_(* \(#,##0.0000\);_(* &quot;-&quot;??_);_(@_)">
                  <c:v>1.3647557879367032</c:v>
                </c:pt>
                <c:pt idx="66" formatCode="_(* #,##0.0000_);_(* \(#,##0.0000\);_(* &quot;-&quot;??_);_(@_)">
                  <c:v>1.3642977633558431</c:v>
                </c:pt>
                <c:pt idx="67" formatCode="_(* #,##0.0000_);_(* \(#,##0.0000\);_(* &quot;-&quot;??_);_(@_)">
                  <c:v>1.3638472528796215</c:v>
                </c:pt>
                <c:pt idx="68" formatCode="_(* #,##0.0000_);_(* \(#,##0.0000\);_(* &quot;-&quot;??_);_(@_)">
                  <c:v>1.3633825537367343</c:v>
                </c:pt>
                <c:pt idx="69" formatCode="_(* #,##0.0000_);_(* \(#,##0.0000\);_(* &quot;-&quot;??_);_(@_)">
                  <c:v>1.3629161141044714</c:v>
                </c:pt>
                <c:pt idx="70" formatCode="_(* #,##0.0000_);_(* \(#,##0.0000\);_(* &quot;-&quot;??_);_(@_)">
                  <c:v>1.3627227480672128</c:v>
                </c:pt>
                <c:pt idx="71" formatCode="_(* #,##0.0000_);_(* \(#,##0.0000\);_(* &quot;-&quot;??_);_(@_)">
                  <c:v>1.3626001047012286</c:v>
                </c:pt>
                <c:pt idx="72" formatCode="_(* #,##0.0000_);_(* \(#,##0.0000\);_(* &quot;-&quot;??_);_(@_)">
                  <c:v>1.3621419602107525</c:v>
                </c:pt>
                <c:pt idx="73" formatCode="_(* #,##0.0000_);_(* \(#,##0.0000\);_(* &quot;-&quot;??_);_(@_)">
                  <c:v>1.3620166586503148</c:v>
                </c:pt>
                <c:pt idx="74" formatCode="_(* #,##0.0000_);_(* \(#,##0.0000\);_(* &quot;-&quot;??_);_(@_)">
                  <c:v>1.3618852734360214</c:v>
                </c:pt>
                <c:pt idx="75" formatCode="_(* #,##0.0000_);_(* \(#,##0.0000\);_(* &quot;-&quot;??_);_(@_)">
                  <c:v>1.3613417234640615</c:v>
                </c:pt>
                <c:pt idx="76" formatCode="_(* #,##0.0000_);_(* \(#,##0.0000\);_(* &quot;-&quot;??_);_(@_)">
                  <c:v>1.3611701014151663</c:v>
                </c:pt>
                <c:pt idx="77" formatCode="_(* #,##0.0000_);_(* \(#,##0.0000\);_(* &quot;-&quot;??_);_(@_)">
                  <c:v>1.3610670078499763</c:v>
                </c:pt>
                <c:pt idx="78" formatCode="_(* #,##0.0000_);_(* \(#,##0.0000\);_(* &quot;-&quot;??_);_(@_)">
                  <c:v>1.3609111438610744</c:v>
                </c:pt>
                <c:pt idx="79" formatCode="_(* #,##0.0000_);_(* \(#,##0.0000\);_(* &quot;-&quot;??_);_(@_)">
                  <c:v>1.3611564673158325</c:v>
                </c:pt>
                <c:pt idx="80" formatCode="_(* #,##0.0000_);_(* \(#,##0.0000\);_(* &quot;-&quot;??_);_(@_)">
                  <c:v>1.3613063104903529</c:v>
                </c:pt>
                <c:pt idx="81" formatCode="_(* #,##0.0000_);_(* \(#,##0.0000\);_(* &quot;-&quot;??_);_(@_)">
                  <c:v>1.3609106980261942</c:v>
                </c:pt>
                <c:pt idx="82" formatCode="_(* #,##0.0000_);_(* \(#,##0.0000\);_(* &quot;-&quot;??_);_(@_)">
                  <c:v>1.360934468894919</c:v>
                </c:pt>
                <c:pt idx="83" formatCode="_(* #,##0.0000_);_(* \(#,##0.0000\);_(* &quot;-&quot;??_);_(@_)">
                  <c:v>1.3610427911297733</c:v>
                </c:pt>
                <c:pt idx="84" formatCode="_(* #,##0.0000_);_(* \(#,##0.0000\);_(* &quot;-&quot;??_);_(@_)">
                  <c:v>1.3610474288052574</c:v>
                </c:pt>
                <c:pt idx="85" formatCode="_(* #,##0.0000_);_(* \(#,##0.0000\);_(* &quot;-&quot;??_);_(@_)">
                  <c:v>1.3608768240945133</c:v>
                </c:pt>
                <c:pt idx="86" formatCode="_(* #,##0.0000_);_(* \(#,##0.0000\);_(* &quot;-&quot;??_);_(@_)">
                  <c:v>1.3609936488699312</c:v>
                </c:pt>
                <c:pt idx="87" formatCode="_(* #,##0.0000_);_(* \(#,##0.0000\);_(* &quot;-&quot;??_);_(@_)">
                  <c:v>1.3612807058915002</c:v>
                </c:pt>
                <c:pt idx="88" formatCode="_(* #,##0.0000_);_(* \(#,##0.0000\);_(* &quot;-&quot;??_);_(@_)">
                  <c:v>1.3611540042267183</c:v>
                </c:pt>
                <c:pt idx="89" formatCode="_(* #,##0.0000_);_(* \(#,##0.0000\);_(* &quot;-&quot;??_);_(@_)">
                  <c:v>1.3606572246836912</c:v>
                </c:pt>
                <c:pt idx="90" formatCode="_(* #,##0.0000_);_(* \(#,##0.0000\);_(* &quot;-&quot;??_);_(@_)">
                  <c:v>1.3601007232358007</c:v>
                </c:pt>
                <c:pt idx="91" formatCode="_(* #,##0.0000_);_(* \(#,##0.0000\);_(* &quot;-&quot;??_);_(@_)">
                  <c:v>1.3598679826101818</c:v>
                </c:pt>
                <c:pt idx="92" formatCode="_(* #,##0.0000_);_(* \(#,##0.0000\);_(* &quot;-&quot;??_);_(@_)">
                  <c:v>1.3596342888321677</c:v>
                </c:pt>
                <c:pt idx="93" formatCode="_(* #,##0.0000_);_(* \(#,##0.0000\);_(* &quot;-&quot;??_);_(@_)">
                  <c:v>1.3593252396101489</c:v>
                </c:pt>
                <c:pt idx="94" formatCode="_(* #,##0.0000_);_(* \(#,##0.0000\);_(* &quot;-&quot;??_);_(@_)">
                  <c:v>1.3590392625177046</c:v>
                </c:pt>
                <c:pt idx="95" formatCode="_(* #,##0.0000_);_(* \(#,##0.0000\);_(* &quot;-&quot;??_);_(@_)">
                  <c:v>1.3590405700537891</c:v>
                </c:pt>
                <c:pt idx="96" formatCode="_(* #,##0.0000_);_(* \(#,##0.0000\);_(* &quot;-&quot;??_);_(@_)">
                  <c:v>1.3588704009941042</c:v>
                </c:pt>
                <c:pt idx="97" formatCode="_(* #,##0.0000_);_(* \(#,##0.0000\);_(* &quot;-&quot;??_);_(@_)">
                  <c:v>1.3582047370691206</c:v>
                </c:pt>
                <c:pt idx="98" formatCode="_(* #,##0.0000_);_(* \(#,##0.0000\);_(* &quot;-&quot;??_);_(@_)">
                  <c:v>1.3574454373717957</c:v>
                </c:pt>
                <c:pt idx="99" formatCode="_(* #,##0.0000_);_(* \(#,##0.0000\);_(* &quot;-&quot;??_);_(@_)">
                  <c:v>1.3562511910775248</c:v>
                </c:pt>
                <c:pt idx="100" formatCode="_(* #,##0.0000_);_(* \(#,##0.0000\);_(* &quot;-&quot;??_);_(@_)">
                  <c:v>1.354831802201516</c:v>
                </c:pt>
                <c:pt idx="101" formatCode="_(* #,##0.0000_);_(* \(#,##0.0000\);_(* &quot;-&quot;??_);_(@_)">
                  <c:v>1.3537459005207273</c:v>
                </c:pt>
                <c:pt idx="102" formatCode="_(* #,##0.0000_);_(* \(#,##0.0000\);_(* &quot;-&quot;??_);_(@_)">
                  <c:v>1.3515753516540427</c:v>
                </c:pt>
                <c:pt idx="103" formatCode="_(* #,##0.0000_);_(* \(#,##0.0000\);_(* &quot;-&quot;??_);_(@_)">
                  <c:v>1.3491969602435689</c:v>
                </c:pt>
                <c:pt idx="104" formatCode="_(* #,##0.0000_);_(* \(#,##0.0000\);_(* &quot;-&quot;??_);_(@_)">
                  <c:v>1.3465707414539609</c:v>
                </c:pt>
                <c:pt idx="105" formatCode="_(* #,##0.0000_);_(* \(#,##0.0000\);_(* &quot;-&quot;??_);_(@_)">
                  <c:v>1.3442209959343985</c:v>
                </c:pt>
                <c:pt idx="106" formatCode="_(* #,##0.0000_);_(* \(#,##0.0000\);_(* &quot;-&quot;??_);_(@_)">
                  <c:v>1.3423340431156465</c:v>
                </c:pt>
                <c:pt idx="107" formatCode="_(* #,##0.0000_);_(* \(#,##0.0000\);_(* &quot;-&quot;??_);_(@_)">
                  <c:v>1.3407998672423607</c:v>
                </c:pt>
                <c:pt idx="108" formatCode="_(* #,##0.0000_);_(* \(#,##0.0000\);_(* &quot;-&quot;??_);_(@_)">
                  <c:v>1.3393653237490297</c:v>
                </c:pt>
                <c:pt idx="109" formatCode="_(* #,##0.0000_);_(* \(#,##0.0000\);_(* &quot;-&quot;??_);_(@_)">
                  <c:v>1.3385742887866432</c:v>
                </c:pt>
                <c:pt idx="110" formatCode="_(* #,##0.0000_);_(* \(#,##0.0000\);_(* &quot;-&quot;??_);_(@_)">
                  <c:v>1.3375537970368692</c:v>
                </c:pt>
                <c:pt idx="111" formatCode="_(* #,##0.0000_);_(* \(#,##0.0000\);_(* &quot;-&quot;??_);_(@_)">
                  <c:v>1.3359259441287434</c:v>
                </c:pt>
                <c:pt idx="112" formatCode="_(* #,##0.0000_);_(* \(#,##0.0000\);_(* &quot;-&quot;??_);_(@_)">
                  <c:v>1.3344630918695821</c:v>
                </c:pt>
                <c:pt idx="113" formatCode="_(* #,##0.0000_);_(* \(#,##0.0000\);_(* &quot;-&quot;??_);_(@_)">
                  <c:v>1.3329326929707286</c:v>
                </c:pt>
                <c:pt idx="114" formatCode="_(* #,##0.0000_);_(* \(#,##0.0000\);_(* &quot;-&quot;??_);_(@_)">
                  <c:v>1.3316728884563585</c:v>
                </c:pt>
                <c:pt idx="115" formatCode="_(* #,##0.0000_);_(* \(#,##0.0000\);_(* &quot;-&quot;??_);_(@_)">
                  <c:v>1.3302800640763848</c:v>
                </c:pt>
                <c:pt idx="116" formatCode="_(* #,##0.0000_);_(* \(#,##0.0000\);_(* &quot;-&quot;??_);_(@_)">
                  <c:v>1.3289719257882202</c:v>
                </c:pt>
                <c:pt idx="117" formatCode="_(* #,##0.0000_);_(* \(#,##0.0000\);_(* &quot;-&quot;??_);_(@_)">
                  <c:v>1.3276671232633639</c:v>
                </c:pt>
                <c:pt idx="118" formatCode="_(* #,##0.0000_);_(* \(#,##0.0000\);_(* &quot;-&quot;??_);_(@_)">
                  <c:v>1.3267189180124701</c:v>
                </c:pt>
                <c:pt idx="119" formatCode="_(* #,##0.0000_);_(* \(#,##0.0000\);_(* &quot;-&quot;??_);_(@_)">
                  <c:v>1.3260532702734715</c:v>
                </c:pt>
                <c:pt idx="120" formatCode="_(* #,##0.0000_);_(* \(#,##0.0000\);_(* &quot;-&quot;??_);_(@_)">
                  <c:v>1.3253687093976156</c:v>
                </c:pt>
                <c:pt idx="121" formatCode="_(* #,##0.0000_);_(* \(#,##0.0000\);_(* &quot;-&quot;??_);_(@_)">
                  <c:v>1.3247601065776169</c:v>
                </c:pt>
                <c:pt idx="122" formatCode="_(* #,##0.0000_);_(* \(#,##0.0000\);_(* &quot;-&quot;??_);_(@_)">
                  <c:v>1.32495370983245</c:v>
                </c:pt>
                <c:pt idx="123" formatCode="_(* #,##0.0000_);_(* \(#,##0.0000\);_(* &quot;-&quot;??_);_(@_)">
                  <c:v>1.3252595056365217</c:v>
                </c:pt>
                <c:pt idx="124" formatCode="_(* #,##0.0000_);_(* \(#,##0.0000\);_(* &quot;-&quot;??_);_(@_)">
                  <c:v>1.3266928092724286</c:v>
                </c:pt>
                <c:pt idx="125" formatCode="_(* #,##0.0000_);_(* \(#,##0.0000\);_(* &quot;-&quot;??_);_(@_)">
                  <c:v>1.3284781095609051</c:v>
                </c:pt>
                <c:pt idx="126" formatCode="_(* #,##0.0000_);_(* \(#,##0.0000\);_(* &quot;-&quot;??_);_(@_)">
                  <c:v>1.3294895344233399</c:v>
                </c:pt>
                <c:pt idx="127" formatCode="_(* #,##0.0000_);_(* \(#,##0.0000\);_(* &quot;-&quot;??_);_(@_)">
                  <c:v>1.3304741904737012</c:v>
                </c:pt>
                <c:pt idx="128" formatCode="_(* #,##0.0000_);_(* \(#,##0.0000\);_(* &quot;-&quot;??_);_(@_)">
                  <c:v>1.331485760215827</c:v>
                </c:pt>
                <c:pt idx="129" formatCode="_(* #,##0.0000_);_(* \(#,##0.0000\);_(* &quot;-&quot;??_);_(@_)">
                  <c:v>1.3320500931202435</c:v>
                </c:pt>
                <c:pt idx="130" formatCode="_(* #,##0.0000_);_(* \(#,##0.0000\);_(* &quot;-&quot;??_);_(@_)">
                  <c:v>1.332719036406695</c:v>
                </c:pt>
                <c:pt idx="131" formatCode="_(* #,##0.0000_);_(* \(#,##0.0000\);_(* &quot;-&quot;??_);_(@_)">
                  <c:v>1.3338177611361244</c:v>
                </c:pt>
                <c:pt idx="132" formatCode="_(* #,##0.0000_);_(* \(#,##0.0000\);_(* &quot;-&quot;??_);_(@_)">
                  <c:v>1.3351583853713815</c:v>
                </c:pt>
                <c:pt idx="133" formatCode="_(* #,##0.0000_);_(* \(#,##0.0000\);_(* &quot;-&quot;??_);_(@_)">
                  <c:v>1.3373613183876252</c:v>
                </c:pt>
                <c:pt idx="134" formatCode="_(* #,##0.0000_);_(* \(#,##0.0000\);_(* &quot;-&quot;??_);_(@_)">
                  <c:v>1.3391917076483633</c:v>
                </c:pt>
                <c:pt idx="135" formatCode="_(* #,##0.0000_);_(* \(#,##0.0000\);_(* &quot;-&quot;??_);_(@_)">
                  <c:v>1.3410111492651888</c:v>
                </c:pt>
                <c:pt idx="136" formatCode="_(* #,##0.0000_);_(* \(#,##0.0000\);_(* &quot;-&quot;??_);_(@_)">
                  <c:v>1.3430511872425488</c:v>
                </c:pt>
                <c:pt idx="137" formatCode="_(* #,##0.0000_);_(* \(#,##0.0000\);_(* &quot;-&quot;??_);_(@_)">
                  <c:v>1.3447541456000316</c:v>
                </c:pt>
                <c:pt idx="138" formatCode="_(* #,##0.0000_);_(* \(#,##0.0000\);_(* &quot;-&quot;??_);_(@_)">
                  <c:v>1.346165775583738</c:v>
                </c:pt>
                <c:pt idx="139" formatCode="_(* #,##0.0000_);_(* \(#,##0.0000\);_(* &quot;-&quot;??_);_(@_)">
                  <c:v>1.3468483682362253</c:v>
                </c:pt>
                <c:pt idx="140" formatCode="_(* #,##0.0000_);_(* \(#,##0.0000\);_(* &quot;-&quot;??_);_(@_)">
                  <c:v>1.3478654357450421</c:v>
                </c:pt>
                <c:pt idx="141" formatCode="_(* #,##0.0000_);_(* \(#,##0.0000\);_(* &quot;-&quot;??_);_(@_)">
                  <c:v>1.3491280764068396</c:v>
                </c:pt>
                <c:pt idx="142" formatCode="_(* #,##0.0000_);_(* \(#,##0.0000\);_(* &quot;-&quot;??_);_(@_)">
                  <c:v>1.3505910028339365</c:v>
                </c:pt>
                <c:pt idx="143" formatCode="_(* #,##0.0000_);_(* \(#,##0.0000\);_(* &quot;-&quot;??_);_(@_)">
                  <c:v>1.3526374328349304</c:v>
                </c:pt>
                <c:pt idx="144" formatCode="_(* #,##0.0000_);_(* \(#,##0.0000\);_(* &quot;-&quot;??_);_(@_)">
                  <c:v>1.3530538736797524</c:v>
                </c:pt>
                <c:pt idx="145" formatCode="_(* #,##0.0000_);_(* \(#,##0.0000\);_(* &quot;-&quot;??_);_(@_)">
                  <c:v>1.353517180333593</c:v>
                </c:pt>
                <c:pt idx="146" formatCode="_(* #,##0.0000_);_(* \(#,##0.0000\);_(* &quot;-&quot;??_);_(@_)">
                  <c:v>1.3545682254416338</c:v>
                </c:pt>
                <c:pt idx="147" formatCode="_(* #,##0.0000_);_(* \(#,##0.0000\);_(* &quot;-&quot;??_);_(@_)">
                  <c:v>1.3545115750604402</c:v>
                </c:pt>
                <c:pt idx="148" formatCode="_(* #,##0.0000_);_(* \(#,##0.0000\);_(* &quot;-&quot;??_);_(@_)">
                  <c:v>1.3545320900788806</c:v>
                </c:pt>
                <c:pt idx="149" formatCode="_(* #,##0.0000_);_(* \(#,##0.0000\);_(* &quot;-&quot;??_);_(@_)">
                  <c:v>1.3548927705678768</c:v>
                </c:pt>
                <c:pt idx="150" formatCode="_(* #,##0.0000_);_(* \(#,##0.0000\);_(* &quot;-&quot;??_);_(@_)">
                  <c:v>1.3551646285299701</c:v>
                </c:pt>
                <c:pt idx="151" formatCode="_(* #,##0.0000_);_(* \(#,##0.0000\);_(* &quot;-&quot;??_);_(@_)">
                  <c:v>1.3553806097192196</c:v>
                </c:pt>
                <c:pt idx="152" formatCode="_(* #,##0.0000_);_(* \(#,##0.0000\);_(* &quot;-&quot;??_);_(@_)">
                  <c:v>1.3552439618974141</c:v>
                </c:pt>
                <c:pt idx="153" formatCode="_(* #,##0.0000_);_(* \(#,##0.0000\);_(* &quot;-&quot;??_);_(@_)">
                  <c:v>1.3538326024531617</c:v>
                </c:pt>
                <c:pt idx="154" formatCode="_(* #,##0.0000_);_(* \(#,##0.0000\);_(* &quot;-&quot;??_);_(@_)">
                  <c:v>1.3527252477520471</c:v>
                </c:pt>
                <c:pt idx="155" formatCode="_(* #,##0.0000_);_(* \(#,##0.0000\);_(* &quot;-&quot;??_);_(@_)">
                  <c:v>1.3518339427994921</c:v>
                </c:pt>
                <c:pt idx="156" formatCode="_(* #,##0.0000_);_(* \(#,##0.0000\);_(* &quot;-&quot;??_);_(@_)">
                  <c:v>1.3504853945065385</c:v>
                </c:pt>
                <c:pt idx="157" formatCode="_(* #,##0.0000_);_(* \(#,##0.0000\);_(* &quot;-&quot;??_);_(@_)">
                  <c:v>1.3501043394395675</c:v>
                </c:pt>
                <c:pt idx="158" formatCode="_(* #,##0.0000_);_(* \(#,##0.0000\);_(* &quot;-&quot;??_);_(@_)">
                  <c:v>1.3500967375168629</c:v>
                </c:pt>
                <c:pt idx="159" formatCode="_(* #,##0.0000_);_(* \(#,##0.0000\);_(* &quot;-&quot;??_);_(@_)">
                  <c:v>1.3506549547889333</c:v>
                </c:pt>
                <c:pt idx="160" formatCode="_(* #,##0.0000_);_(* \(#,##0.0000\);_(* &quot;-&quot;??_);_(@_)">
                  <c:v>1.3509814149709496</c:v>
                </c:pt>
                <c:pt idx="161" formatCode="_(* #,##0.0000_);_(* \(#,##0.0000\);_(* &quot;-&quot;??_);_(@_)">
                  <c:v>1.3513440676286306</c:v>
                </c:pt>
                <c:pt idx="162" formatCode="_(* #,##0.0000_);_(* \(#,##0.0000\);_(* &quot;-&quot;??_);_(@_)">
                  <c:v>1.3511751528069356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0-4913-9A9C-842A8F777D8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Tech!$G$1:$G$164</c:f>
              <c:numCache>
                <c:formatCode>m/d/yyyy</c:formatCode>
                <c:ptCount val="164"/>
                <c:pt idx="20" formatCode="_(* #,##0.0000_);_(* \(#,##0.0000\);_(* &quot;-&quot;??_);_(@_)">
                  <c:v>1.3567687831099524</c:v>
                </c:pt>
                <c:pt idx="21" formatCode="_(* #,##0.0000_);_(* \(#,##0.0000\);_(* &quot;-&quot;??_);_(@_)">
                  <c:v>1.3567687831099524</c:v>
                </c:pt>
                <c:pt idx="22" formatCode="_(* #,##0.0000_);_(* \(#,##0.0000\);_(* &quot;-&quot;??_);_(@_)">
                  <c:v>1.3567687831099524</c:v>
                </c:pt>
                <c:pt idx="23" formatCode="_(* #,##0.0000_);_(* \(#,##0.0000\);_(* &quot;-&quot;??_);_(@_)">
                  <c:v>1.3567687831099524</c:v>
                </c:pt>
                <c:pt idx="24" formatCode="_(* #,##0.0000_);_(* \(#,##0.0000\);_(* &quot;-&quot;??_);_(@_)">
                  <c:v>1.3567687831099524</c:v>
                </c:pt>
                <c:pt idx="25" formatCode="_(* #,##0.0000_);_(* \(#,##0.0000\);_(* &quot;-&quot;??_);_(@_)">
                  <c:v>1.3567687831099524</c:v>
                </c:pt>
                <c:pt idx="26" formatCode="_(* #,##0.0000_);_(* \(#,##0.0000\);_(* &quot;-&quot;??_);_(@_)">
                  <c:v>1.3567687831099524</c:v>
                </c:pt>
                <c:pt idx="27" formatCode="_(* #,##0.0000_);_(* \(#,##0.0000\);_(* &quot;-&quot;??_);_(@_)">
                  <c:v>1.3567687831099524</c:v>
                </c:pt>
                <c:pt idx="28" formatCode="_(* #,##0.0000_);_(* \(#,##0.0000\);_(* &quot;-&quot;??_);_(@_)">
                  <c:v>1.3567687831099524</c:v>
                </c:pt>
                <c:pt idx="29" formatCode="_(* #,##0.0000_);_(* \(#,##0.0000\);_(* &quot;-&quot;??_);_(@_)">
                  <c:v>1.3567687831099524</c:v>
                </c:pt>
                <c:pt idx="30" formatCode="_(* #,##0.0000_);_(* \(#,##0.0000\);_(* &quot;-&quot;??_);_(@_)">
                  <c:v>1.3567687831099524</c:v>
                </c:pt>
                <c:pt idx="31" formatCode="_(* #,##0.0000_);_(* \(#,##0.0000\);_(* &quot;-&quot;??_);_(@_)">
                  <c:v>1.3567687831099524</c:v>
                </c:pt>
                <c:pt idx="32" formatCode="_(* #,##0.0000_);_(* \(#,##0.0000\);_(* &quot;-&quot;??_);_(@_)">
                  <c:v>1.3567687831099524</c:v>
                </c:pt>
                <c:pt idx="33" formatCode="_(* #,##0.0000_);_(* \(#,##0.0000\);_(* &quot;-&quot;??_);_(@_)">
                  <c:v>1.3567687831099524</c:v>
                </c:pt>
                <c:pt idx="34" formatCode="_(* #,##0.0000_);_(* \(#,##0.0000\);_(* &quot;-&quot;??_);_(@_)">
                  <c:v>1.3567687831099524</c:v>
                </c:pt>
                <c:pt idx="35" formatCode="_(* #,##0.0000_);_(* \(#,##0.0000\);_(* &quot;-&quot;??_);_(@_)">
                  <c:v>1.3567687831099524</c:v>
                </c:pt>
                <c:pt idx="36" formatCode="_(* #,##0.0000_);_(* \(#,##0.0000\);_(* &quot;-&quot;??_);_(@_)">
                  <c:v>1.3567687831099524</c:v>
                </c:pt>
                <c:pt idx="37" formatCode="_(* #,##0.0000_);_(* \(#,##0.0000\);_(* &quot;-&quot;??_);_(@_)">
                  <c:v>1.3567687831099524</c:v>
                </c:pt>
                <c:pt idx="38" formatCode="_(* #,##0.0000_);_(* \(#,##0.0000\);_(* &quot;-&quot;??_);_(@_)">
                  <c:v>1.3567687831099524</c:v>
                </c:pt>
                <c:pt idx="39" formatCode="_(* #,##0.0000_);_(* \(#,##0.0000\);_(* &quot;-&quot;??_);_(@_)">
                  <c:v>1.3567687831099524</c:v>
                </c:pt>
                <c:pt idx="40" formatCode="_(* #,##0.0000_);_(* \(#,##0.0000\);_(* &quot;-&quot;??_);_(@_)">
                  <c:v>1.3567687831099524</c:v>
                </c:pt>
                <c:pt idx="41" formatCode="_(* #,##0.0000_);_(* \(#,##0.0000\);_(* &quot;-&quot;??_);_(@_)">
                  <c:v>1.3567687831099524</c:v>
                </c:pt>
                <c:pt idx="42" formatCode="_(* #,##0.0000_);_(* \(#,##0.0000\);_(* &quot;-&quot;??_);_(@_)">
                  <c:v>1.3567687831099524</c:v>
                </c:pt>
                <c:pt idx="43" formatCode="_(* #,##0.0000_);_(* \(#,##0.0000\);_(* &quot;-&quot;??_);_(@_)">
                  <c:v>1.3567687831099524</c:v>
                </c:pt>
                <c:pt idx="44" formatCode="_(* #,##0.0000_);_(* \(#,##0.0000\);_(* &quot;-&quot;??_);_(@_)">
                  <c:v>1.3567687831099524</c:v>
                </c:pt>
                <c:pt idx="45" formatCode="_(* #,##0.0000_);_(* \(#,##0.0000\);_(* &quot;-&quot;??_);_(@_)">
                  <c:v>1.3567687831099524</c:v>
                </c:pt>
                <c:pt idx="46" formatCode="_(* #,##0.0000_);_(* \(#,##0.0000\);_(* &quot;-&quot;??_);_(@_)">
                  <c:v>1.3567687831099524</c:v>
                </c:pt>
                <c:pt idx="47" formatCode="_(* #,##0.0000_);_(* \(#,##0.0000\);_(* &quot;-&quot;??_);_(@_)">
                  <c:v>1.3567687831099524</c:v>
                </c:pt>
                <c:pt idx="48" formatCode="_(* #,##0.0000_);_(* \(#,##0.0000\);_(* &quot;-&quot;??_);_(@_)">
                  <c:v>1.3567687831099524</c:v>
                </c:pt>
                <c:pt idx="49" formatCode="_(* #,##0.0000_);_(* \(#,##0.0000\);_(* &quot;-&quot;??_);_(@_)">
                  <c:v>1.3567687831099524</c:v>
                </c:pt>
                <c:pt idx="50" formatCode="_(* #,##0.0000_);_(* \(#,##0.0000\);_(* &quot;-&quot;??_);_(@_)">
                  <c:v>1.3567687831099524</c:v>
                </c:pt>
                <c:pt idx="51" formatCode="_(* #,##0.0000_);_(* \(#,##0.0000\);_(* &quot;-&quot;??_);_(@_)">
                  <c:v>1.3567687831099524</c:v>
                </c:pt>
                <c:pt idx="52" formatCode="_(* #,##0.0000_);_(* \(#,##0.0000\);_(* &quot;-&quot;??_);_(@_)">
                  <c:v>1.3567687831099524</c:v>
                </c:pt>
                <c:pt idx="53" formatCode="_(* #,##0.0000_);_(* \(#,##0.0000\);_(* &quot;-&quot;??_);_(@_)">
                  <c:v>1.3567687831099524</c:v>
                </c:pt>
                <c:pt idx="54" formatCode="_(* #,##0.0000_);_(* \(#,##0.0000\);_(* &quot;-&quot;??_);_(@_)">
                  <c:v>1.3567687831099524</c:v>
                </c:pt>
                <c:pt idx="55" formatCode="_(* #,##0.0000_);_(* \(#,##0.0000\);_(* &quot;-&quot;??_);_(@_)">
                  <c:v>1.3567687831099524</c:v>
                </c:pt>
                <c:pt idx="56" formatCode="_(* #,##0.0000_);_(* \(#,##0.0000\);_(* &quot;-&quot;??_);_(@_)">
                  <c:v>1.3567687831099524</c:v>
                </c:pt>
                <c:pt idx="57" formatCode="_(* #,##0.0000_);_(* \(#,##0.0000\);_(* &quot;-&quot;??_);_(@_)">
                  <c:v>1.3567687831099524</c:v>
                </c:pt>
                <c:pt idx="58" formatCode="_(* #,##0.0000_);_(* \(#,##0.0000\);_(* &quot;-&quot;??_);_(@_)">
                  <c:v>1.3567687831099524</c:v>
                </c:pt>
                <c:pt idx="59" formatCode="_(* #,##0.0000_);_(* \(#,##0.0000\);_(* &quot;-&quot;??_);_(@_)">
                  <c:v>1.3567687831099524</c:v>
                </c:pt>
                <c:pt idx="60" formatCode="_(* #,##0.0000_);_(* \(#,##0.0000\);_(* &quot;-&quot;??_);_(@_)">
                  <c:v>1.3567687831099524</c:v>
                </c:pt>
                <c:pt idx="61" formatCode="_(* #,##0.0000_);_(* \(#,##0.0000\);_(* &quot;-&quot;??_);_(@_)">
                  <c:v>1.3567687831099524</c:v>
                </c:pt>
                <c:pt idx="62" formatCode="_(* #,##0.0000_);_(* \(#,##0.0000\);_(* &quot;-&quot;??_);_(@_)">
                  <c:v>1.3567687831099524</c:v>
                </c:pt>
                <c:pt idx="63" formatCode="_(* #,##0.0000_);_(* \(#,##0.0000\);_(* &quot;-&quot;??_);_(@_)">
                  <c:v>1.3567687831099524</c:v>
                </c:pt>
                <c:pt idx="64" formatCode="_(* #,##0.0000_);_(* \(#,##0.0000\);_(* &quot;-&quot;??_);_(@_)">
                  <c:v>1.3567687831099524</c:v>
                </c:pt>
                <c:pt idx="65" formatCode="_(* #,##0.0000_);_(* \(#,##0.0000\);_(* &quot;-&quot;??_);_(@_)">
                  <c:v>1.3567687831099524</c:v>
                </c:pt>
                <c:pt idx="66" formatCode="_(* #,##0.0000_);_(* \(#,##0.0000\);_(* &quot;-&quot;??_);_(@_)">
                  <c:v>1.3567687831099524</c:v>
                </c:pt>
                <c:pt idx="67" formatCode="_(* #,##0.0000_);_(* \(#,##0.0000\);_(* &quot;-&quot;??_);_(@_)">
                  <c:v>1.3567687831099524</c:v>
                </c:pt>
                <c:pt idx="68" formatCode="_(* #,##0.0000_);_(* \(#,##0.0000\);_(* &quot;-&quot;??_);_(@_)">
                  <c:v>1.3567687831099524</c:v>
                </c:pt>
                <c:pt idx="69" formatCode="_(* #,##0.0000_);_(* \(#,##0.0000\);_(* &quot;-&quot;??_);_(@_)">
                  <c:v>1.3567687831099524</c:v>
                </c:pt>
                <c:pt idx="70" formatCode="_(* #,##0.0000_);_(* \(#,##0.0000\);_(* &quot;-&quot;??_);_(@_)">
                  <c:v>1.3567687831099524</c:v>
                </c:pt>
                <c:pt idx="71" formatCode="_(* #,##0.0000_);_(* \(#,##0.0000\);_(* &quot;-&quot;??_);_(@_)">
                  <c:v>1.3567687831099524</c:v>
                </c:pt>
                <c:pt idx="72" formatCode="_(* #,##0.0000_);_(* \(#,##0.0000\);_(* &quot;-&quot;??_);_(@_)">
                  <c:v>1.3567687831099524</c:v>
                </c:pt>
                <c:pt idx="73" formatCode="_(* #,##0.0000_);_(* \(#,##0.0000\);_(* &quot;-&quot;??_);_(@_)">
                  <c:v>1.3567687831099524</c:v>
                </c:pt>
                <c:pt idx="74" formatCode="_(* #,##0.0000_);_(* \(#,##0.0000\);_(* &quot;-&quot;??_);_(@_)">
                  <c:v>1.3567687831099524</c:v>
                </c:pt>
                <c:pt idx="75" formatCode="_(* #,##0.0000_);_(* \(#,##0.0000\);_(* &quot;-&quot;??_);_(@_)">
                  <c:v>1.3567687831099524</c:v>
                </c:pt>
                <c:pt idx="76" formatCode="_(* #,##0.0000_);_(* \(#,##0.0000\);_(* &quot;-&quot;??_);_(@_)">
                  <c:v>1.3567687831099524</c:v>
                </c:pt>
                <c:pt idx="77" formatCode="_(* #,##0.0000_);_(* \(#,##0.0000\);_(* &quot;-&quot;??_);_(@_)">
                  <c:v>1.3567687831099524</c:v>
                </c:pt>
                <c:pt idx="78" formatCode="_(* #,##0.0000_);_(* \(#,##0.0000\);_(* &quot;-&quot;??_);_(@_)">
                  <c:v>1.3567687831099524</c:v>
                </c:pt>
                <c:pt idx="79" formatCode="_(* #,##0.0000_);_(* \(#,##0.0000\);_(* &quot;-&quot;??_);_(@_)">
                  <c:v>1.3567687831099524</c:v>
                </c:pt>
                <c:pt idx="80" formatCode="_(* #,##0.0000_);_(* \(#,##0.0000\);_(* &quot;-&quot;??_);_(@_)">
                  <c:v>1.3567687831099524</c:v>
                </c:pt>
                <c:pt idx="81" formatCode="_(* #,##0.0000_);_(* \(#,##0.0000\);_(* &quot;-&quot;??_);_(@_)">
                  <c:v>1.3567687831099524</c:v>
                </c:pt>
                <c:pt idx="82" formatCode="_(* #,##0.0000_);_(* \(#,##0.0000\);_(* &quot;-&quot;??_);_(@_)">
                  <c:v>1.3567687831099524</c:v>
                </c:pt>
                <c:pt idx="83" formatCode="_(* #,##0.0000_);_(* \(#,##0.0000\);_(* &quot;-&quot;??_);_(@_)">
                  <c:v>1.3567687831099524</c:v>
                </c:pt>
                <c:pt idx="84" formatCode="_(* #,##0.0000_);_(* \(#,##0.0000\);_(* &quot;-&quot;??_);_(@_)">
                  <c:v>1.3567687831099524</c:v>
                </c:pt>
                <c:pt idx="85" formatCode="_(* #,##0.0000_);_(* \(#,##0.0000\);_(* &quot;-&quot;??_);_(@_)">
                  <c:v>1.3567687831099524</c:v>
                </c:pt>
                <c:pt idx="86" formatCode="_(* #,##0.0000_);_(* \(#,##0.0000\);_(* &quot;-&quot;??_);_(@_)">
                  <c:v>1.3567687831099524</c:v>
                </c:pt>
                <c:pt idx="87" formatCode="_(* #,##0.0000_);_(* \(#,##0.0000\);_(* &quot;-&quot;??_);_(@_)">
                  <c:v>1.3567687831099524</c:v>
                </c:pt>
                <c:pt idx="88" formatCode="_(* #,##0.0000_);_(* \(#,##0.0000\);_(* &quot;-&quot;??_);_(@_)">
                  <c:v>1.3567687831099524</c:v>
                </c:pt>
                <c:pt idx="89" formatCode="_(* #,##0.0000_);_(* \(#,##0.0000\);_(* &quot;-&quot;??_);_(@_)">
                  <c:v>1.3567687831099524</c:v>
                </c:pt>
                <c:pt idx="90" formatCode="_(* #,##0.0000_);_(* \(#,##0.0000\);_(* &quot;-&quot;??_);_(@_)">
                  <c:v>1.3567687831099524</c:v>
                </c:pt>
                <c:pt idx="91" formatCode="_(* #,##0.0000_);_(* \(#,##0.0000\);_(* &quot;-&quot;??_);_(@_)">
                  <c:v>1.3567687831099524</c:v>
                </c:pt>
                <c:pt idx="92" formatCode="_(* #,##0.0000_);_(* \(#,##0.0000\);_(* &quot;-&quot;??_);_(@_)">
                  <c:v>1.3567687831099524</c:v>
                </c:pt>
                <c:pt idx="93" formatCode="_(* #,##0.0000_);_(* \(#,##0.0000\);_(* &quot;-&quot;??_);_(@_)">
                  <c:v>1.3567687831099524</c:v>
                </c:pt>
                <c:pt idx="94" formatCode="_(* #,##0.0000_);_(* \(#,##0.0000\);_(* &quot;-&quot;??_);_(@_)">
                  <c:v>1.3567687831099524</c:v>
                </c:pt>
                <c:pt idx="95" formatCode="_(* #,##0.0000_);_(* \(#,##0.0000\);_(* &quot;-&quot;??_);_(@_)">
                  <c:v>1.3567687831099524</c:v>
                </c:pt>
                <c:pt idx="96" formatCode="_(* #,##0.0000_);_(* \(#,##0.0000\);_(* &quot;-&quot;??_);_(@_)">
                  <c:v>1.3567687831099524</c:v>
                </c:pt>
                <c:pt idx="97" formatCode="_(* #,##0.0000_);_(* \(#,##0.0000\);_(* &quot;-&quot;??_);_(@_)">
                  <c:v>1.3567687831099524</c:v>
                </c:pt>
                <c:pt idx="98" formatCode="_(* #,##0.0000_);_(* \(#,##0.0000\);_(* &quot;-&quot;??_);_(@_)">
                  <c:v>1.3567687831099524</c:v>
                </c:pt>
                <c:pt idx="99" formatCode="_(* #,##0.0000_);_(* \(#,##0.0000\);_(* &quot;-&quot;??_);_(@_)">
                  <c:v>1.3567687831099524</c:v>
                </c:pt>
                <c:pt idx="100" formatCode="_(* #,##0.0000_);_(* \(#,##0.0000\);_(* &quot;-&quot;??_);_(@_)">
                  <c:v>1.3567687831099524</c:v>
                </c:pt>
                <c:pt idx="101" formatCode="_(* #,##0.0000_);_(* \(#,##0.0000\);_(* &quot;-&quot;??_);_(@_)">
                  <c:v>1.3567687831099524</c:v>
                </c:pt>
                <c:pt idx="102" formatCode="_(* #,##0.0000_);_(* \(#,##0.0000\);_(* &quot;-&quot;??_);_(@_)">
                  <c:v>1.3567687831099524</c:v>
                </c:pt>
                <c:pt idx="103" formatCode="_(* #,##0.0000_);_(* \(#,##0.0000\);_(* &quot;-&quot;??_);_(@_)">
                  <c:v>1.3567687831099524</c:v>
                </c:pt>
                <c:pt idx="104" formatCode="_(* #,##0.0000_);_(* \(#,##0.0000\);_(* &quot;-&quot;??_);_(@_)">
                  <c:v>1.3567687831099524</c:v>
                </c:pt>
                <c:pt idx="105" formatCode="_(* #,##0.0000_);_(* \(#,##0.0000\);_(* &quot;-&quot;??_);_(@_)">
                  <c:v>1.3567687831099524</c:v>
                </c:pt>
                <c:pt idx="106" formatCode="_(* #,##0.0000_);_(* \(#,##0.0000\);_(* &quot;-&quot;??_);_(@_)">
                  <c:v>1.3567687831099524</c:v>
                </c:pt>
                <c:pt idx="107" formatCode="_(* #,##0.0000_);_(* \(#,##0.0000\);_(* &quot;-&quot;??_);_(@_)">
                  <c:v>1.3567687831099524</c:v>
                </c:pt>
                <c:pt idx="108" formatCode="_(* #,##0.0000_);_(* \(#,##0.0000\);_(* &quot;-&quot;??_);_(@_)">
                  <c:v>1.3567687831099524</c:v>
                </c:pt>
                <c:pt idx="109" formatCode="_(* #,##0.0000_);_(* \(#,##0.0000\);_(* &quot;-&quot;??_);_(@_)">
                  <c:v>1.3567687831099524</c:v>
                </c:pt>
                <c:pt idx="110" formatCode="_(* #,##0.0000_);_(* \(#,##0.0000\);_(* &quot;-&quot;??_);_(@_)">
                  <c:v>1.3567687831099524</c:v>
                </c:pt>
                <c:pt idx="111" formatCode="_(* #,##0.0000_);_(* \(#,##0.0000\);_(* &quot;-&quot;??_);_(@_)">
                  <c:v>1.3567687831099524</c:v>
                </c:pt>
                <c:pt idx="112" formatCode="_(* #,##0.0000_);_(* \(#,##0.0000\);_(* &quot;-&quot;??_);_(@_)">
                  <c:v>1.3567687831099524</c:v>
                </c:pt>
                <c:pt idx="113" formatCode="_(* #,##0.0000_);_(* \(#,##0.0000\);_(* &quot;-&quot;??_);_(@_)">
                  <c:v>1.3567687831099524</c:v>
                </c:pt>
                <c:pt idx="114" formatCode="_(* #,##0.0000_);_(* \(#,##0.0000\);_(* &quot;-&quot;??_);_(@_)">
                  <c:v>1.3567687831099524</c:v>
                </c:pt>
                <c:pt idx="115" formatCode="_(* #,##0.0000_);_(* \(#,##0.0000\);_(* &quot;-&quot;??_);_(@_)">
                  <c:v>1.3567687831099524</c:v>
                </c:pt>
                <c:pt idx="116" formatCode="_(* #,##0.0000_);_(* \(#,##0.0000\);_(* &quot;-&quot;??_);_(@_)">
                  <c:v>1.3567687831099524</c:v>
                </c:pt>
                <c:pt idx="117" formatCode="_(* #,##0.0000_);_(* \(#,##0.0000\);_(* &quot;-&quot;??_);_(@_)">
                  <c:v>1.3567687831099524</c:v>
                </c:pt>
                <c:pt idx="118" formatCode="_(* #,##0.0000_);_(* \(#,##0.0000\);_(* &quot;-&quot;??_);_(@_)">
                  <c:v>1.3567687831099524</c:v>
                </c:pt>
                <c:pt idx="119" formatCode="_(* #,##0.0000_);_(* \(#,##0.0000\);_(* &quot;-&quot;??_);_(@_)">
                  <c:v>1.3567687831099524</c:v>
                </c:pt>
                <c:pt idx="120" formatCode="_(* #,##0.0000_);_(* \(#,##0.0000\);_(* &quot;-&quot;??_);_(@_)">
                  <c:v>1.3567687831099524</c:v>
                </c:pt>
                <c:pt idx="121" formatCode="_(* #,##0.0000_);_(* \(#,##0.0000\);_(* &quot;-&quot;??_);_(@_)">
                  <c:v>1.3567687831099524</c:v>
                </c:pt>
                <c:pt idx="122" formatCode="_(* #,##0.0000_);_(* \(#,##0.0000\);_(* &quot;-&quot;??_);_(@_)">
                  <c:v>1.3567687831099524</c:v>
                </c:pt>
                <c:pt idx="123" formatCode="_(* #,##0.0000_);_(* \(#,##0.0000\);_(* &quot;-&quot;??_);_(@_)">
                  <c:v>1.3567687831099524</c:v>
                </c:pt>
                <c:pt idx="124" formatCode="_(* #,##0.0000_);_(* \(#,##0.0000\);_(* &quot;-&quot;??_);_(@_)">
                  <c:v>1.3567687831099524</c:v>
                </c:pt>
                <c:pt idx="125" formatCode="_(* #,##0.0000_);_(* \(#,##0.0000\);_(* &quot;-&quot;??_);_(@_)">
                  <c:v>1.3567687831099524</c:v>
                </c:pt>
                <c:pt idx="126" formatCode="_(* #,##0.0000_);_(* \(#,##0.0000\);_(* &quot;-&quot;??_);_(@_)">
                  <c:v>1.3567687831099524</c:v>
                </c:pt>
                <c:pt idx="127" formatCode="_(* #,##0.0000_);_(* \(#,##0.0000\);_(* &quot;-&quot;??_);_(@_)">
                  <c:v>1.3567687831099524</c:v>
                </c:pt>
                <c:pt idx="128" formatCode="_(* #,##0.0000_);_(* \(#,##0.0000\);_(* &quot;-&quot;??_);_(@_)">
                  <c:v>1.3567687831099524</c:v>
                </c:pt>
                <c:pt idx="129" formatCode="_(* #,##0.0000_);_(* \(#,##0.0000\);_(* &quot;-&quot;??_);_(@_)">
                  <c:v>1.3567687831099524</c:v>
                </c:pt>
                <c:pt idx="130" formatCode="_(* #,##0.0000_);_(* \(#,##0.0000\);_(* &quot;-&quot;??_);_(@_)">
                  <c:v>1.3567687831099524</c:v>
                </c:pt>
                <c:pt idx="131" formatCode="_(* #,##0.0000_);_(* \(#,##0.0000\);_(* &quot;-&quot;??_);_(@_)">
                  <c:v>1.3567687831099524</c:v>
                </c:pt>
                <c:pt idx="132" formatCode="_(* #,##0.0000_);_(* \(#,##0.0000\);_(* &quot;-&quot;??_);_(@_)">
                  <c:v>1.3567687831099524</c:v>
                </c:pt>
                <c:pt idx="133" formatCode="_(* #,##0.0000_);_(* \(#,##0.0000\);_(* &quot;-&quot;??_);_(@_)">
                  <c:v>1.3567687831099524</c:v>
                </c:pt>
                <c:pt idx="134" formatCode="_(* #,##0.0000_);_(* \(#,##0.0000\);_(* &quot;-&quot;??_);_(@_)">
                  <c:v>1.3567687831099524</c:v>
                </c:pt>
                <c:pt idx="135" formatCode="_(* #,##0.0000_);_(* \(#,##0.0000\);_(* &quot;-&quot;??_);_(@_)">
                  <c:v>1.3567687831099524</c:v>
                </c:pt>
                <c:pt idx="136" formatCode="_(* #,##0.0000_);_(* \(#,##0.0000\);_(* &quot;-&quot;??_);_(@_)">
                  <c:v>1.3567687831099524</c:v>
                </c:pt>
                <c:pt idx="137" formatCode="_(* #,##0.0000_);_(* \(#,##0.0000\);_(* &quot;-&quot;??_);_(@_)">
                  <c:v>1.3567687831099524</c:v>
                </c:pt>
                <c:pt idx="138" formatCode="_(* #,##0.0000_);_(* \(#,##0.0000\);_(* &quot;-&quot;??_);_(@_)">
                  <c:v>1.3567687831099524</c:v>
                </c:pt>
                <c:pt idx="139" formatCode="_(* #,##0.0000_);_(* \(#,##0.0000\);_(* &quot;-&quot;??_);_(@_)">
                  <c:v>1.3567687831099524</c:v>
                </c:pt>
                <c:pt idx="140" formatCode="_(* #,##0.0000_);_(* \(#,##0.0000\);_(* &quot;-&quot;??_);_(@_)">
                  <c:v>1.3567687831099524</c:v>
                </c:pt>
                <c:pt idx="141" formatCode="_(* #,##0.0000_);_(* \(#,##0.0000\);_(* &quot;-&quot;??_);_(@_)">
                  <c:v>1.3567687831099524</c:v>
                </c:pt>
                <c:pt idx="142" formatCode="_(* #,##0.0000_);_(* \(#,##0.0000\);_(* &quot;-&quot;??_);_(@_)">
                  <c:v>1.3567687831099524</c:v>
                </c:pt>
                <c:pt idx="143" formatCode="_(* #,##0.0000_);_(* \(#,##0.0000\);_(* &quot;-&quot;??_);_(@_)">
                  <c:v>1.3567687831099524</c:v>
                </c:pt>
                <c:pt idx="144" formatCode="_(* #,##0.0000_);_(* \(#,##0.0000\);_(* &quot;-&quot;??_);_(@_)">
                  <c:v>1.3567687831099524</c:v>
                </c:pt>
                <c:pt idx="145" formatCode="_(* #,##0.0000_);_(* \(#,##0.0000\);_(* &quot;-&quot;??_);_(@_)">
                  <c:v>1.3567687831099524</c:v>
                </c:pt>
                <c:pt idx="146" formatCode="_(* #,##0.0000_);_(* \(#,##0.0000\);_(* &quot;-&quot;??_);_(@_)">
                  <c:v>1.3567687831099524</c:v>
                </c:pt>
                <c:pt idx="147" formatCode="_(* #,##0.0000_);_(* \(#,##0.0000\);_(* &quot;-&quot;??_);_(@_)">
                  <c:v>1.3567687831099524</c:v>
                </c:pt>
                <c:pt idx="148" formatCode="_(* #,##0.0000_);_(* \(#,##0.0000\);_(* &quot;-&quot;??_);_(@_)">
                  <c:v>1.3567687831099524</c:v>
                </c:pt>
                <c:pt idx="149" formatCode="_(* #,##0.0000_);_(* \(#,##0.0000\);_(* &quot;-&quot;??_);_(@_)">
                  <c:v>1.3567687831099524</c:v>
                </c:pt>
                <c:pt idx="150" formatCode="_(* #,##0.0000_);_(* \(#,##0.0000\);_(* &quot;-&quot;??_);_(@_)">
                  <c:v>1.3567687831099524</c:v>
                </c:pt>
                <c:pt idx="151" formatCode="_(* #,##0.0000_);_(* \(#,##0.0000\);_(* &quot;-&quot;??_);_(@_)">
                  <c:v>1.3567687831099524</c:v>
                </c:pt>
                <c:pt idx="152" formatCode="_(* #,##0.0000_);_(* \(#,##0.0000\);_(* &quot;-&quot;??_);_(@_)">
                  <c:v>1.3567687831099524</c:v>
                </c:pt>
                <c:pt idx="153" formatCode="_(* #,##0.0000_);_(* \(#,##0.0000\);_(* &quot;-&quot;??_);_(@_)">
                  <c:v>1.3567687831099524</c:v>
                </c:pt>
                <c:pt idx="154" formatCode="_(* #,##0.0000_);_(* \(#,##0.0000\);_(* &quot;-&quot;??_);_(@_)">
                  <c:v>1.3567687831099524</c:v>
                </c:pt>
                <c:pt idx="155" formatCode="_(* #,##0.0000_);_(* \(#,##0.0000\);_(* &quot;-&quot;??_);_(@_)">
                  <c:v>1.3567687831099524</c:v>
                </c:pt>
                <c:pt idx="156" formatCode="_(* #,##0.0000_);_(* \(#,##0.0000\);_(* &quot;-&quot;??_);_(@_)">
                  <c:v>1.3567687831099524</c:v>
                </c:pt>
                <c:pt idx="157" formatCode="_(* #,##0.0000_);_(* \(#,##0.0000\);_(* &quot;-&quot;??_);_(@_)">
                  <c:v>1.3567687831099524</c:v>
                </c:pt>
                <c:pt idx="158" formatCode="_(* #,##0.0000_);_(* \(#,##0.0000\);_(* &quot;-&quot;??_);_(@_)">
                  <c:v>1.3567687831099524</c:v>
                </c:pt>
                <c:pt idx="159" formatCode="_(* #,##0.0000_);_(* \(#,##0.0000\);_(* &quot;-&quot;??_);_(@_)">
                  <c:v>1.3567687831099524</c:v>
                </c:pt>
                <c:pt idx="160" formatCode="_(* #,##0.0000_);_(* \(#,##0.0000\);_(* &quot;-&quot;??_);_(@_)">
                  <c:v>1.3567687831099524</c:v>
                </c:pt>
                <c:pt idx="161" formatCode="_(* #,##0.0000_);_(* \(#,##0.0000\);_(* &quot;-&quot;??_);_(@_)">
                  <c:v>1.3567687831099524</c:v>
                </c:pt>
                <c:pt idx="162" formatCode="_(* #,##0.0000_);_(* \(#,##0.0000\);_(* &quot;-&quot;??_);_(@_)">
                  <c:v>1.3567687831099524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40-4913-9A9C-842A8F77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287904"/>
        <c:axId val="1402779407"/>
      </c:lineChart>
      <c:catAx>
        <c:axId val="1633287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779407"/>
        <c:crosses val="autoZero"/>
        <c:auto val="1"/>
        <c:lblAlgn val="ctr"/>
        <c:lblOffset val="100"/>
        <c:noMultiLvlLbl val="0"/>
      </c:catAx>
      <c:valAx>
        <c:axId val="1402779407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8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Healthcare!$J$1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Healthcare!$J$2:$J$163</c:f>
              <c:numCache>
                <c:formatCode>0.000%</c:formatCode>
                <c:ptCount val="162"/>
                <c:pt idx="19">
                  <c:v>1.7734393254596002E-3</c:v>
                </c:pt>
                <c:pt idx="20">
                  <c:v>3.1606233172871445E-3</c:v>
                </c:pt>
                <c:pt idx="21">
                  <c:v>2.7462235166874739E-3</c:v>
                </c:pt>
                <c:pt idx="22">
                  <c:v>1.3596571728188291E-3</c:v>
                </c:pt>
                <c:pt idx="23">
                  <c:v>5.9801672387722405E-3</c:v>
                </c:pt>
                <c:pt idx="24">
                  <c:v>5.8158244658325538E-3</c:v>
                </c:pt>
                <c:pt idx="25">
                  <c:v>5.7712434220014595E-3</c:v>
                </c:pt>
                <c:pt idx="26">
                  <c:v>4.3218840737347082E-3</c:v>
                </c:pt>
                <c:pt idx="27">
                  <c:v>4.9328540089198271E-3</c:v>
                </c:pt>
                <c:pt idx="28">
                  <c:v>5.1071625596432009E-3</c:v>
                </c:pt>
                <c:pt idx="29">
                  <c:v>5.2897718846201371E-3</c:v>
                </c:pt>
                <c:pt idx="30">
                  <c:v>3.6563186264635299E-3</c:v>
                </c:pt>
                <c:pt idx="31">
                  <c:v>3.2251007607238345E-3</c:v>
                </c:pt>
                <c:pt idx="32">
                  <c:v>2.0053111065568433E-3</c:v>
                </c:pt>
                <c:pt idx="33">
                  <c:v>1.1899827772978322E-3</c:v>
                </c:pt>
                <c:pt idx="34">
                  <c:v>2.3756217242803671E-3</c:v>
                </c:pt>
                <c:pt idx="35">
                  <c:v>6.6398343314415882E-4</c:v>
                </c:pt>
                <c:pt idx="36">
                  <c:v>1.2584080807768218E-3</c:v>
                </c:pt>
                <c:pt idx="37">
                  <c:v>9.2934263404870568E-4</c:v>
                </c:pt>
                <c:pt idx="38">
                  <c:v>1.9068741699653571E-3</c:v>
                </c:pt>
                <c:pt idx="39">
                  <c:v>2.5000665550336913E-3</c:v>
                </c:pt>
                <c:pt idx="40">
                  <c:v>1.8329085348174465E-3</c:v>
                </c:pt>
                <c:pt idx="41">
                  <c:v>1.2518858654174221E-3</c:v>
                </c:pt>
                <c:pt idx="42">
                  <c:v>-4.0226711571093561E-4</c:v>
                </c:pt>
                <c:pt idx="43">
                  <c:v>-7.8212944818761994E-4</c:v>
                </c:pt>
                <c:pt idx="44">
                  <c:v>-5.7381111780104097E-4</c:v>
                </c:pt>
                <c:pt idx="45">
                  <c:v>-1.4734466075138105E-3</c:v>
                </c:pt>
                <c:pt idx="46">
                  <c:v>-7.7154965181025861E-4</c:v>
                </c:pt>
                <c:pt idx="47">
                  <c:v>8.854588941423449E-4</c:v>
                </c:pt>
                <c:pt idx="48">
                  <c:v>6.6437608203924914E-4</c:v>
                </c:pt>
                <c:pt idx="49">
                  <c:v>5.3728476040500086E-4</c:v>
                </c:pt>
                <c:pt idx="50">
                  <c:v>-6.4708761477411147E-4</c:v>
                </c:pt>
                <c:pt idx="51">
                  <c:v>-2.0713808688972114E-3</c:v>
                </c:pt>
                <c:pt idx="52">
                  <c:v>-2.1855891845474328E-3</c:v>
                </c:pt>
                <c:pt idx="53">
                  <c:v>-1.7556606371359274E-3</c:v>
                </c:pt>
                <c:pt idx="54">
                  <c:v>-3.5200752392479683E-3</c:v>
                </c:pt>
                <c:pt idx="55">
                  <c:v>-2.0052921053129338E-3</c:v>
                </c:pt>
                <c:pt idx="56">
                  <c:v>-3.6497216607557169E-3</c:v>
                </c:pt>
                <c:pt idx="57">
                  <c:v>-3.6036503872019288E-3</c:v>
                </c:pt>
                <c:pt idx="58">
                  <c:v>-2.7041342585123061E-3</c:v>
                </c:pt>
                <c:pt idx="59">
                  <c:v>-3.2858163368041618E-3</c:v>
                </c:pt>
                <c:pt idx="60">
                  <c:v>-4.811374708811645E-3</c:v>
                </c:pt>
                <c:pt idx="61">
                  <c:v>-4.5556253546088004E-3</c:v>
                </c:pt>
                <c:pt idx="62">
                  <c:v>-2.9428972850989925E-3</c:v>
                </c:pt>
                <c:pt idx="63">
                  <c:v>-3.819205422529295E-3</c:v>
                </c:pt>
                <c:pt idx="64">
                  <c:v>-2.0878224063335372E-3</c:v>
                </c:pt>
                <c:pt idx="65">
                  <c:v>-1.5757656049548872E-3</c:v>
                </c:pt>
                <c:pt idx="66">
                  <c:v>-5.0003696734890327E-4</c:v>
                </c:pt>
                <c:pt idx="67">
                  <c:v>-6.6947430633799076E-4</c:v>
                </c:pt>
                <c:pt idx="68">
                  <c:v>-2.7556685452279732E-3</c:v>
                </c:pt>
                <c:pt idx="69">
                  <c:v>-3.2716198253005709E-3</c:v>
                </c:pt>
                <c:pt idx="70">
                  <c:v>-4.3834130151734667E-3</c:v>
                </c:pt>
                <c:pt idx="71">
                  <c:v>-2.9353730304307072E-3</c:v>
                </c:pt>
                <c:pt idx="72">
                  <c:v>-2.615081387910521E-3</c:v>
                </c:pt>
                <c:pt idx="73">
                  <c:v>-2.4773198874967852E-3</c:v>
                </c:pt>
                <c:pt idx="74">
                  <c:v>-2.1313769361567744E-3</c:v>
                </c:pt>
                <c:pt idx="75">
                  <c:v>-2.8700010037744882E-3</c:v>
                </c:pt>
                <c:pt idx="76">
                  <c:v>4.7731328304673052E-4</c:v>
                </c:pt>
                <c:pt idx="77">
                  <c:v>-7.8877824260904382E-4</c:v>
                </c:pt>
                <c:pt idx="78">
                  <c:v>-1.8571764157349408E-4</c:v>
                </c:pt>
                <c:pt idx="79">
                  <c:v>1.4916973853193029E-3</c:v>
                </c:pt>
                <c:pt idx="80">
                  <c:v>1.2651983338526022E-3</c:v>
                </c:pt>
                <c:pt idx="81">
                  <c:v>1.5475964655803785E-3</c:v>
                </c:pt>
                <c:pt idx="82">
                  <c:v>-6.2868387826101448E-4</c:v>
                </c:pt>
                <c:pt idx="83">
                  <c:v>-1.8565594976856267E-3</c:v>
                </c:pt>
                <c:pt idx="84">
                  <c:v>-1.369711115217554E-3</c:v>
                </c:pt>
                <c:pt idx="85">
                  <c:v>-4.7231989747208688E-3</c:v>
                </c:pt>
                <c:pt idx="86">
                  <c:v>-8.5417698083077652E-4</c:v>
                </c:pt>
                <c:pt idx="87">
                  <c:v>-4.6362963321295041E-4</c:v>
                </c:pt>
                <c:pt idx="88">
                  <c:v>-3.8610848068401855E-4</c:v>
                </c:pt>
                <c:pt idx="89">
                  <c:v>-4.6659514615553562E-6</c:v>
                </c:pt>
                <c:pt idx="90">
                  <c:v>2.597649441475594E-4</c:v>
                </c:pt>
                <c:pt idx="91">
                  <c:v>6.3133325945539747E-4</c:v>
                </c:pt>
                <c:pt idx="92">
                  <c:v>2.3931380073400842E-3</c:v>
                </c:pt>
                <c:pt idx="93">
                  <c:v>2.5498417606574196E-3</c:v>
                </c:pt>
                <c:pt idx="94">
                  <c:v>2.0965548797702988E-3</c:v>
                </c:pt>
                <c:pt idx="95">
                  <c:v>-1.0410180119067165E-4</c:v>
                </c:pt>
                <c:pt idx="96">
                  <c:v>4.0049206933779528E-4</c:v>
                </c:pt>
                <c:pt idx="97">
                  <c:v>9.9529488600468745E-4</c:v>
                </c:pt>
                <c:pt idx="98">
                  <c:v>-5.6638299033674136E-4</c:v>
                </c:pt>
                <c:pt idx="99">
                  <c:v>-1.762011841481841E-4</c:v>
                </c:pt>
                <c:pt idx="100">
                  <c:v>-6.877092717327743E-4</c:v>
                </c:pt>
                <c:pt idx="101">
                  <c:v>-2.1028445809035778E-3</c:v>
                </c:pt>
                <c:pt idx="102">
                  <c:v>-1.3361844650592286E-3</c:v>
                </c:pt>
                <c:pt idx="103">
                  <c:v>2.6993572753714772E-4</c:v>
                </c:pt>
                <c:pt idx="104">
                  <c:v>-1.4052575898827406E-3</c:v>
                </c:pt>
                <c:pt idx="105">
                  <c:v>5.99827286660298E-5</c:v>
                </c:pt>
                <c:pt idx="106">
                  <c:v>1.9445885228150136E-3</c:v>
                </c:pt>
                <c:pt idx="107">
                  <c:v>2.2259388115245223E-3</c:v>
                </c:pt>
                <c:pt idx="108">
                  <c:v>1.1164856921543952E-3</c:v>
                </c:pt>
                <c:pt idx="109">
                  <c:v>2.7562176747302136E-3</c:v>
                </c:pt>
                <c:pt idx="110">
                  <c:v>2.5813340883755666E-3</c:v>
                </c:pt>
                <c:pt idx="111">
                  <c:v>2.6144265660204436E-3</c:v>
                </c:pt>
                <c:pt idx="112">
                  <c:v>3.6500626049803353E-3</c:v>
                </c:pt>
                <c:pt idx="113">
                  <c:v>4.5951318232533411E-3</c:v>
                </c:pt>
                <c:pt idx="114">
                  <c:v>3.0200140417969814E-3</c:v>
                </c:pt>
                <c:pt idx="115">
                  <c:v>-1.1605666907849197E-3</c:v>
                </c:pt>
                <c:pt idx="116">
                  <c:v>-2.026197216853742E-3</c:v>
                </c:pt>
                <c:pt idx="117">
                  <c:v>-1.29265630974711E-3</c:v>
                </c:pt>
                <c:pt idx="118">
                  <c:v>-3.0354920536180825E-3</c:v>
                </c:pt>
                <c:pt idx="119">
                  <c:v>-3.7941832405193883E-3</c:v>
                </c:pt>
                <c:pt idx="120">
                  <c:v>-3.5867147250865602E-3</c:v>
                </c:pt>
                <c:pt idx="121">
                  <c:v>-5.2641751238263661E-3</c:v>
                </c:pt>
                <c:pt idx="122">
                  <c:v>-4.5401130543937891E-3</c:v>
                </c:pt>
                <c:pt idx="123">
                  <c:v>-5.165408696475215E-3</c:v>
                </c:pt>
                <c:pt idx="124">
                  <c:v>-4.9368359886396802E-3</c:v>
                </c:pt>
                <c:pt idx="125">
                  <c:v>-6.2588827146096817E-3</c:v>
                </c:pt>
                <c:pt idx="126">
                  <c:v>-5.157003580079516E-3</c:v>
                </c:pt>
                <c:pt idx="127">
                  <c:v>-3.3025493782563226E-3</c:v>
                </c:pt>
                <c:pt idx="128">
                  <c:v>-4.6143882530667842E-3</c:v>
                </c:pt>
                <c:pt idx="129">
                  <c:v>-1.8222593430141628E-3</c:v>
                </c:pt>
                <c:pt idx="130">
                  <c:v>3.3218728818084237E-4</c:v>
                </c:pt>
                <c:pt idx="131">
                  <c:v>-1.9729047729784562E-4</c:v>
                </c:pt>
                <c:pt idx="132">
                  <c:v>-8.4938954106466744E-4</c:v>
                </c:pt>
                <c:pt idx="133">
                  <c:v>1.9901387043228173E-3</c:v>
                </c:pt>
                <c:pt idx="134">
                  <c:v>2.537887903861411E-3</c:v>
                </c:pt>
                <c:pt idx="135">
                  <c:v>3.0713026227422724E-3</c:v>
                </c:pt>
                <c:pt idx="136">
                  <c:v>2.8955449829899944E-3</c:v>
                </c:pt>
                <c:pt idx="137">
                  <c:v>2.2544473989749079E-3</c:v>
                </c:pt>
                <c:pt idx="138">
                  <c:v>2.0001184505491886E-3</c:v>
                </c:pt>
                <c:pt idx="139">
                  <c:v>2.5400319595515197E-3</c:v>
                </c:pt>
                <c:pt idx="140">
                  <c:v>2.9583078229092094E-3</c:v>
                </c:pt>
                <c:pt idx="141">
                  <c:v>3.4370881816006486E-3</c:v>
                </c:pt>
                <c:pt idx="142">
                  <c:v>3.0697562864752076E-3</c:v>
                </c:pt>
                <c:pt idx="143">
                  <c:v>1.4951518564685616E-3</c:v>
                </c:pt>
                <c:pt idx="144">
                  <c:v>2.2767755220624523E-3</c:v>
                </c:pt>
                <c:pt idx="145">
                  <c:v>1.5040876778911921E-3</c:v>
                </c:pt>
                <c:pt idx="146">
                  <c:v>3.917958376249231E-4</c:v>
                </c:pt>
                <c:pt idx="147">
                  <c:v>3.1837696064190819E-4</c:v>
                </c:pt>
                <c:pt idx="148">
                  <c:v>-1.8958145628454585E-4</c:v>
                </c:pt>
                <c:pt idx="149">
                  <c:v>-3.6063795708288771E-3</c:v>
                </c:pt>
                <c:pt idx="150">
                  <c:v>-3.1137679069643395E-3</c:v>
                </c:pt>
                <c:pt idx="151">
                  <c:v>-2.1129086281362441E-3</c:v>
                </c:pt>
                <c:pt idx="152">
                  <c:v>-3.4452610306549142E-3</c:v>
                </c:pt>
                <c:pt idx="153">
                  <c:v>-2.8031808512592763E-3</c:v>
                </c:pt>
                <c:pt idx="154">
                  <c:v>-2.1829895797245004E-3</c:v>
                </c:pt>
                <c:pt idx="155">
                  <c:v>-3.1551217208420248E-3</c:v>
                </c:pt>
                <c:pt idx="156">
                  <c:v>-2.0985557781653848E-3</c:v>
                </c:pt>
                <c:pt idx="157">
                  <c:v>-3.8366895343706579E-3</c:v>
                </c:pt>
                <c:pt idx="158">
                  <c:v>-4.1445538609769751E-3</c:v>
                </c:pt>
                <c:pt idx="159">
                  <c:v>-3.4058285224895274E-3</c:v>
                </c:pt>
                <c:pt idx="160">
                  <c:v>-2.0214082160345285E-3</c:v>
                </c:pt>
                <c:pt idx="161">
                  <c:v>-2.2549045824526597E-3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6-445B-AA35-BA943E08AF5D}"/>
            </c:ext>
          </c:extLst>
        </c:ser>
        <c:ser>
          <c:idx val="1"/>
          <c:order val="1"/>
          <c:tx>
            <c:strRef>
              <c:f>Healthcare!$K$1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Healthcare!$K$2:$K$163</c:f>
              <c:numCache>
                <c:formatCode>0.000%</c:formatCode>
                <c:ptCount val="162"/>
                <c:pt idx="19">
                  <c:v>9.1114491268849825E-4</c:v>
                </c:pt>
                <c:pt idx="20">
                  <c:v>2.4248187382764782E-3</c:v>
                </c:pt>
                <c:pt idx="21">
                  <c:v>2.1682626135371436E-3</c:v>
                </c:pt>
                <c:pt idx="22">
                  <c:v>9.3597439312531692E-4</c:v>
                </c:pt>
                <c:pt idx="23">
                  <c:v>6.030771684360595E-3</c:v>
                </c:pt>
                <c:pt idx="24">
                  <c:v>6.3171072350677229E-3</c:v>
                </c:pt>
                <c:pt idx="25">
                  <c:v>6.7696227754892877E-3</c:v>
                </c:pt>
                <c:pt idx="26">
                  <c:v>5.6406716382583454E-3</c:v>
                </c:pt>
                <c:pt idx="27">
                  <c:v>6.6282834923255861E-3</c:v>
                </c:pt>
                <c:pt idx="28">
                  <c:v>7.1755603490604343E-3</c:v>
                </c:pt>
                <c:pt idx="29">
                  <c:v>7.7350508753357061E-3</c:v>
                </c:pt>
                <c:pt idx="30">
                  <c:v>6.4390803868160738E-3</c:v>
                </c:pt>
                <c:pt idx="31">
                  <c:v>6.3671655643953813E-3</c:v>
                </c:pt>
                <c:pt idx="32">
                  <c:v>5.4355249717043183E-3</c:v>
                </c:pt>
                <c:pt idx="33">
                  <c:v>4.9183600700930894E-3</c:v>
                </c:pt>
                <c:pt idx="34">
                  <c:v>6.4169451498666047E-3</c:v>
                </c:pt>
                <c:pt idx="35">
                  <c:v>4.9046638024081374E-3</c:v>
                </c:pt>
                <c:pt idx="36">
                  <c:v>5.8637474510601665E-3</c:v>
                </c:pt>
                <c:pt idx="37">
                  <c:v>5.8440660848639104E-3</c:v>
                </c:pt>
                <c:pt idx="38">
                  <c:v>7.2118115908853019E-3</c:v>
                </c:pt>
                <c:pt idx="39">
                  <c:v>8.1682013262333424E-3</c:v>
                </c:pt>
                <c:pt idx="40">
                  <c:v>7.7684117567907449E-3</c:v>
                </c:pt>
                <c:pt idx="41">
                  <c:v>7.4519039246898604E-3</c:v>
                </c:pt>
                <c:pt idx="42">
                  <c:v>6.0543985220867869E-3</c:v>
                </c:pt>
                <c:pt idx="43">
                  <c:v>5.6557750281507006E-3</c:v>
                </c:pt>
                <c:pt idx="44">
                  <c:v>5.8402418044760217E-3</c:v>
                </c:pt>
                <c:pt idx="45">
                  <c:v>4.844285619860448E-3</c:v>
                </c:pt>
                <c:pt idx="46">
                  <c:v>5.5412056738512053E-3</c:v>
                </c:pt>
                <c:pt idx="47">
                  <c:v>7.2281916199955663E-3</c:v>
                </c:pt>
                <c:pt idx="48">
                  <c:v>6.9982499207259319E-3</c:v>
                </c:pt>
                <c:pt idx="49">
                  <c:v>6.8257369464984645E-3</c:v>
                </c:pt>
                <c:pt idx="50">
                  <c:v>5.5993685551400697E-3</c:v>
                </c:pt>
                <c:pt idx="51">
                  <c:v>4.0595835884017087E-3</c:v>
                </c:pt>
                <c:pt idx="52">
                  <c:v>3.8668273138326974E-3</c:v>
                </c:pt>
                <c:pt idx="53">
                  <c:v>4.2639900519821725E-3</c:v>
                </c:pt>
                <c:pt idx="54">
                  <c:v>2.2930587843190959E-3</c:v>
                </c:pt>
                <c:pt idx="55">
                  <c:v>3.7500258474926712E-3</c:v>
                </c:pt>
                <c:pt idx="56">
                  <c:v>1.90742970355383E-3</c:v>
                </c:pt>
                <c:pt idx="57">
                  <c:v>1.7483764632671517E-3</c:v>
                </c:pt>
                <c:pt idx="58">
                  <c:v>2.407579314940231E-3</c:v>
                </c:pt>
                <c:pt idx="59">
                  <c:v>1.4920508146268302E-3</c:v>
                </c:pt>
                <c:pt idx="60">
                  <c:v>-4.4452981792235743E-4</c:v>
                </c:pt>
                <c:pt idx="61">
                  <c:v>-5.912342631502138E-4</c:v>
                </c:pt>
                <c:pt idx="62">
                  <c:v>7.5648482483514125E-4</c:v>
                </c:pt>
                <c:pt idx="63">
                  <c:v>-4.2410084747220586E-4</c:v>
                </c:pt>
                <c:pt idx="64">
                  <c:v>1.0687499706297976E-3</c:v>
                </c:pt>
                <c:pt idx="65">
                  <c:v>1.4090547585857021E-3</c:v>
                </c:pt>
                <c:pt idx="66">
                  <c:v>2.3240929957775982E-3</c:v>
                </c:pt>
                <c:pt idx="67">
                  <c:v>1.8881514377782867E-3</c:v>
                </c:pt>
                <c:pt idx="68">
                  <c:v>-5.764602712286114E-4</c:v>
                </c:pt>
                <c:pt idx="69">
                  <c:v>-1.508856017660978E-3</c:v>
                </c:pt>
                <c:pt idx="70">
                  <c:v>-3.053407666692068E-3</c:v>
                </c:pt>
                <c:pt idx="71">
                  <c:v>-1.9035557718118821E-3</c:v>
                </c:pt>
                <c:pt idx="72">
                  <c:v>-1.8700782592662875E-3</c:v>
                </c:pt>
                <c:pt idx="73">
                  <c:v>-2.0477394300011521E-3</c:v>
                </c:pt>
                <c:pt idx="74">
                  <c:v>-1.9120818295761074E-3</c:v>
                </c:pt>
                <c:pt idx="75">
                  <c:v>-2.9874700544417869E-3</c:v>
                </c:pt>
                <c:pt idx="76">
                  <c:v>2.7849955024276897E-4</c:v>
                </c:pt>
                <c:pt idx="77">
                  <c:v>-1.1315026001829124E-3</c:v>
                </c:pt>
                <c:pt idx="78">
                  <c:v>-6.8276107056249155E-4</c:v>
                </c:pt>
                <c:pt idx="79">
                  <c:v>9.6852308731979863E-4</c:v>
                </c:pt>
                <c:pt idx="80">
                  <c:v>8.0443008920406337E-4</c:v>
                </c:pt>
                <c:pt idx="81">
                  <c:v>1.175081463372193E-3</c:v>
                </c:pt>
                <c:pt idx="82">
                  <c:v>-1.0936842063543522E-3</c:v>
                </c:pt>
                <c:pt idx="83">
                  <c:v>-2.4215215863922428E-3</c:v>
                </c:pt>
                <c:pt idx="84">
                  <c:v>-2.0927262143924786E-3</c:v>
                </c:pt>
                <c:pt idx="85">
                  <c:v>-5.8075109191001485E-3</c:v>
                </c:pt>
                <c:pt idx="86">
                  <c:v>-2.1625341564214763E-3</c:v>
                </c:pt>
                <c:pt idx="87">
                  <c:v>-1.9643489143912588E-3</c:v>
                </c:pt>
                <c:pt idx="88">
                  <c:v>-1.955774946606331E-3</c:v>
                </c:pt>
                <c:pt idx="89">
                  <c:v>-1.5777784418551997E-3</c:v>
                </c:pt>
                <c:pt idx="90">
                  <c:v>-1.2217065704323632E-3</c:v>
                </c:pt>
                <c:pt idx="91">
                  <c:v>-7.9470133059433791E-4</c:v>
                </c:pt>
                <c:pt idx="92">
                  <c:v>1.11627572556831E-3</c:v>
                </c:pt>
                <c:pt idx="93">
                  <c:v>1.4475906910011516E-3</c:v>
                </c:pt>
                <c:pt idx="94">
                  <c:v>1.1471679815174818E-3</c:v>
                </c:pt>
                <c:pt idx="95">
                  <c:v>-9.5158535759520943E-4</c:v>
                </c:pt>
                <c:pt idx="96">
                  <c:v>-4.851445626604405E-4</c:v>
                </c:pt>
                <c:pt idx="97">
                  <c:v>1.749567534451342E-4</c:v>
                </c:pt>
                <c:pt idx="98">
                  <c:v>-1.4237800156826524E-3</c:v>
                </c:pt>
                <c:pt idx="99">
                  <c:v>-1.1388815826275313E-3</c:v>
                </c:pt>
                <c:pt idx="100">
                  <c:v>-1.7795173699135147E-3</c:v>
                </c:pt>
                <c:pt idx="101">
                  <c:v>-3.4246190434762246E-3</c:v>
                </c:pt>
                <c:pt idx="102">
                  <c:v>-2.740337216213922E-3</c:v>
                </c:pt>
                <c:pt idx="103">
                  <c:v>-1.0664374879213966E-3</c:v>
                </c:pt>
                <c:pt idx="104">
                  <c:v>-2.7758225578398922E-3</c:v>
                </c:pt>
                <c:pt idx="105">
                  <c:v>-1.0733556573787287E-3</c:v>
                </c:pt>
                <c:pt idx="106">
                  <c:v>9.6768977903523583E-4</c:v>
                </c:pt>
                <c:pt idx="107">
                  <c:v>1.4180556836939997E-3</c:v>
                </c:pt>
                <c:pt idx="108">
                  <c:v>4.2778232765125886E-4</c:v>
                </c:pt>
                <c:pt idx="109">
                  <c:v>2.2591835045272296E-3</c:v>
                </c:pt>
                <c:pt idx="110">
                  <c:v>2.2581304075073778E-3</c:v>
                </c:pt>
                <c:pt idx="111">
                  <c:v>2.4534569491654014E-3</c:v>
                </c:pt>
                <c:pt idx="112">
                  <c:v>3.6136547146245991E-3</c:v>
                </c:pt>
                <c:pt idx="113">
                  <c:v>4.7219448378521553E-3</c:v>
                </c:pt>
                <c:pt idx="114">
                  <c:v>3.2518487358701082E-3</c:v>
                </c:pt>
                <c:pt idx="115">
                  <c:v>-9.2752770340510319E-4</c:v>
                </c:pt>
                <c:pt idx="116">
                  <c:v>-1.8621005725369994E-3</c:v>
                </c:pt>
                <c:pt idx="117">
                  <c:v>-1.197212098514719E-3</c:v>
                </c:pt>
                <c:pt idx="118">
                  <c:v>-3.0200429687600233E-3</c:v>
                </c:pt>
                <c:pt idx="119">
                  <c:v>-3.918036172708559E-3</c:v>
                </c:pt>
                <c:pt idx="120">
                  <c:v>-3.8124827317546251E-3</c:v>
                </c:pt>
                <c:pt idx="121">
                  <c:v>-5.599129734818767E-3</c:v>
                </c:pt>
                <c:pt idx="122">
                  <c:v>-4.9878334274030718E-3</c:v>
                </c:pt>
                <c:pt idx="123">
                  <c:v>-5.8531585267971352E-3</c:v>
                </c:pt>
                <c:pt idx="124">
                  <c:v>-5.7750762216502525E-3</c:v>
                </c:pt>
                <c:pt idx="125">
                  <c:v>-7.4152494484932005E-3</c:v>
                </c:pt>
                <c:pt idx="126">
                  <c:v>-6.6971972220527783E-3</c:v>
                </c:pt>
                <c:pt idx="127">
                  <c:v>-5.1723190851594323E-3</c:v>
                </c:pt>
                <c:pt idx="128">
                  <c:v>-6.8483890152013843E-3</c:v>
                </c:pt>
                <c:pt idx="129">
                  <c:v>-4.388185600662977E-3</c:v>
                </c:pt>
                <c:pt idx="130">
                  <c:v>-2.4695127070989823E-3</c:v>
                </c:pt>
                <c:pt idx="131">
                  <c:v>-3.2851989417615047E-3</c:v>
                </c:pt>
                <c:pt idx="132">
                  <c:v>-4.3334955559196286E-3</c:v>
                </c:pt>
                <c:pt idx="133">
                  <c:v>-1.8193704862767915E-3</c:v>
                </c:pt>
                <c:pt idx="134">
                  <c:v>-1.5084992526561995E-3</c:v>
                </c:pt>
                <c:pt idx="135">
                  <c:v>-9.7757938408396874E-4</c:v>
                </c:pt>
                <c:pt idx="136">
                  <c:v>-1.1161333213158069E-3</c:v>
                </c:pt>
                <c:pt idx="137">
                  <c:v>-1.7866270558574741E-3</c:v>
                </c:pt>
                <c:pt idx="138">
                  <c:v>-1.9895069788516849E-3</c:v>
                </c:pt>
                <c:pt idx="139">
                  <c:v>-1.319853842954632E-3</c:v>
                </c:pt>
                <c:pt idx="140">
                  <c:v>-7.4861456627793815E-4</c:v>
                </c:pt>
                <c:pt idx="141">
                  <c:v>1.0427449385092134E-5</c:v>
                </c:pt>
                <c:pt idx="142">
                  <c:v>-1.1336452962265265E-4</c:v>
                </c:pt>
                <c:pt idx="143">
                  <c:v>-1.4686126701750795E-3</c:v>
                </c:pt>
                <c:pt idx="144">
                  <c:v>-4.1911925341203519E-4</c:v>
                </c:pt>
                <c:pt idx="145">
                  <c:v>-8.6370209678576836E-4</c:v>
                </c:pt>
                <c:pt idx="146">
                  <c:v>-1.7269937579739343E-3</c:v>
                </c:pt>
                <c:pt idx="147">
                  <c:v>-1.622688107399986E-3</c:v>
                </c:pt>
                <c:pt idx="148">
                  <c:v>-1.8816769891231006E-3</c:v>
                </c:pt>
                <c:pt idx="149">
                  <c:v>-5.3465442782108762E-3</c:v>
                </c:pt>
                <c:pt idx="150">
                  <c:v>-4.9796825427627124E-3</c:v>
                </c:pt>
                <c:pt idx="151">
                  <c:v>-4.0153977417956817E-3</c:v>
                </c:pt>
                <c:pt idx="152">
                  <c:v>-5.4012973336332515E-3</c:v>
                </c:pt>
                <c:pt idx="153">
                  <c:v>-4.9141633020892816E-3</c:v>
                </c:pt>
                <c:pt idx="154">
                  <c:v>-4.4406979211704415E-3</c:v>
                </c:pt>
                <c:pt idx="155">
                  <c:v>-5.6464950126113985E-3</c:v>
                </c:pt>
                <c:pt idx="156">
                  <c:v>-4.7728301485684896E-3</c:v>
                </c:pt>
                <c:pt idx="157">
                  <c:v>-6.7599997322168254E-3</c:v>
                </c:pt>
                <c:pt idx="158">
                  <c:v>-7.3355984175949296E-3</c:v>
                </c:pt>
                <c:pt idx="159">
                  <c:v>-6.8748357340752964E-3</c:v>
                </c:pt>
                <c:pt idx="160">
                  <c:v>-5.7398923707666118E-3</c:v>
                </c:pt>
                <c:pt idx="161">
                  <c:v>-6.2880827503536746E-3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6-445B-AA35-BA943E08A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007759"/>
        <c:axId val="1630465456"/>
      </c:lineChart>
      <c:catAx>
        <c:axId val="116800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65456"/>
        <c:crosses val="autoZero"/>
        <c:auto val="1"/>
        <c:lblAlgn val="ctr"/>
        <c:lblOffset val="100"/>
        <c:noMultiLvlLbl val="0"/>
      </c:catAx>
      <c:valAx>
        <c:axId val="16304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0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Healthcare!$F$1:$F$164</c:f>
              <c:numCache>
                <c:formatCode>General</c:formatCode>
                <c:ptCount val="164"/>
                <c:pt idx="0">
                  <c:v>0</c:v>
                </c:pt>
                <c:pt idx="20" formatCode="_(* #,##0.0000_);_(* \(#,##0.0000\);_(* &quot;-&quot;??_);_(@_)">
                  <c:v>0.42061084775462565</c:v>
                </c:pt>
                <c:pt idx="21" formatCode="_(* #,##0.0000_);_(* \(#,##0.0000\);_(* &quot;-&quot;??_);_(@_)">
                  <c:v>0.42055764812309232</c:v>
                </c:pt>
                <c:pt idx="22" formatCode="_(* #,##0.0000_);_(* \(#,##0.0000\);_(* &quot;-&quot;??_);_(@_)">
                  <c:v>0.42049127099674405</c:v>
                </c:pt>
                <c:pt idx="23" formatCode="_(* #,##0.0000_);_(* \(#,##0.0000\);_(* &quot;-&quot;??_);_(@_)">
                  <c:v>0.4204264033964793</c:v>
                </c:pt>
                <c:pt idx="24" formatCode="_(* #,##0.0000_);_(* \(#,##0.0000\);_(* &quot;-&quot;??_);_(@_)">
                  <c:v>0.42022704780381959</c:v>
                </c:pt>
                <c:pt idx="25" formatCode="_(* #,##0.0000_);_(* \(#,##0.0000\);_(* &quot;-&quot;??_);_(@_)">
                  <c:v>0.42003770325231171</c:v>
                </c:pt>
                <c:pt idx="26" formatCode="_(* #,##0.0000_);_(* \(#,##0.0000\);_(* &quot;-&quot;??_);_(@_)">
                  <c:v>0.41982895583288082</c:v>
                </c:pt>
                <c:pt idx="27" formatCode="_(* #,##0.0000_);_(* \(#,##0.0000\);_(* &quot;-&quot;??_);_(@_)">
                  <c:v>0.41969446073601863</c:v>
                </c:pt>
                <c:pt idx="28" formatCode="_(* #,##0.0000_);_(* \(#,##0.0000\);_(* &quot;-&quot;??_);_(@_)">
                  <c:v>0.41953641597399238</c:v>
                </c:pt>
                <c:pt idx="29" formatCode="_(* #,##0.0000_);_(* \(#,##0.0000\);_(* &quot;-&quot;??_);_(@_)">
                  <c:v>0.41937997136387051</c:v>
                </c:pt>
                <c:pt idx="30" formatCode="_(* #,##0.0000_);_(* \(#,##0.0000\);_(* &quot;-&quot;??_);_(@_)">
                  <c:v>0.41922194471696922</c:v>
                </c:pt>
                <c:pt idx="31" formatCode="_(* #,##0.0000_);_(* \(#,##0.0000\);_(* &quot;-&quot;??_);_(@_)">
                  <c:v>0.41908048840485013</c:v>
                </c:pt>
                <c:pt idx="32" formatCode="_(* #,##0.0000_);_(* \(#,##0.0000\);_(* &quot;-&quot;??_);_(@_)">
                  <c:v>0.4189299385580994</c:v>
                </c:pt>
                <c:pt idx="33" formatCode="_(* #,##0.0000_);_(* \(#,##0.0000\);_(* &quot;-&quot;??_);_(@_)">
                  <c:v>0.41880924167966083</c:v>
                </c:pt>
                <c:pt idx="34" formatCode="_(* #,##0.0000_);_(* \(#,##0.0000\);_(* &quot;-&quot;??_);_(@_)">
                  <c:v>0.41868438669515118</c:v>
                </c:pt>
                <c:pt idx="35" formatCode="_(* #,##0.0000_);_(* \(#,##0.0000\);_(* &quot;-&quot;??_);_(@_)">
                  <c:v>0.41855338153532323</c:v>
                </c:pt>
                <c:pt idx="36" formatCode="_(* #,##0.0000_);_(* \(#,##0.0000\);_(* &quot;-&quot;??_);_(@_)">
                  <c:v>0.41846994832918527</c:v>
                </c:pt>
                <c:pt idx="37" formatCode="_(* #,##0.0000_);_(* \(#,##0.0000\);_(* &quot;-&quot;??_);_(@_)">
                  <c:v>0.41831737731575813</c:v>
                </c:pt>
                <c:pt idx="38" formatCode="_(* #,##0.0000_);_(* \(#,##0.0000\);_(* &quot;-&quot;??_);_(@_)">
                  <c:v>0.41818797659690032</c:v>
                </c:pt>
                <c:pt idx="39" formatCode="_(* #,##0.0000_);_(* \(#,##0.0000\);_(* &quot;-&quot;??_);_(@_)">
                  <c:v>0.41802482564026383</c:v>
                </c:pt>
                <c:pt idx="40" formatCode="_(* #,##0.0000_);_(* \(#,##0.0000\);_(* &quot;-&quot;??_);_(@_)">
                  <c:v>0.41787302769921375</c:v>
                </c:pt>
                <c:pt idx="41" formatCode="_(* #,##0.0000_);_(* \(#,##0.0000\);_(* &quot;-&quot;??_);_(@_)">
                  <c:v>0.4177613165698591</c:v>
                </c:pt>
                <c:pt idx="42" formatCode="_(* #,##0.0000_);_(* \(#,##0.0000\);_(* &quot;-&quot;??_);_(@_)">
                  <c:v>0.41765082711687063</c:v>
                </c:pt>
                <c:pt idx="43" formatCode="_(* #,##0.0000_);_(* \(#,##0.0000\);_(* &quot;-&quot;??_);_(@_)">
                  <c:v>0.41754365179715353</c:v>
                </c:pt>
                <c:pt idx="44" formatCode="_(* #,##0.0000_);_(* \(#,##0.0000\);_(* &quot;-&quot;??_);_(@_)">
                  <c:v>0.41755148547450549</c:v>
                </c:pt>
                <c:pt idx="45" formatCode="_(* #,##0.0000_);_(* \(#,##0.0000\);_(* &quot;-&quot;??_);_(@_)">
                  <c:v>0.41756144484510732</c:v>
                </c:pt>
                <c:pt idx="46" formatCode="_(* #,##0.0000_);_(* \(#,##0.0000\);_(* &quot;-&quot;??_);_(@_)">
                  <c:v>0.41760166659070153</c:v>
                </c:pt>
                <c:pt idx="47" formatCode="_(* #,##0.0000_);_(* \(#,##0.0000\);_(* &quot;-&quot;??_);_(@_)">
                  <c:v>0.4176037449583232</c:v>
                </c:pt>
                <c:pt idx="48" formatCode="_(* #,##0.0000_);_(* \(#,##0.0000\);_(* &quot;-&quot;??_);_(@_)">
                  <c:v>0.41759122647137586</c:v>
                </c:pt>
                <c:pt idx="49" formatCode="_(* #,##0.0000_);_(* \(#,##0.0000\);_(* &quot;-&quot;??_);_(@_)">
                  <c:v>0.41759492588131908</c:v>
                </c:pt>
                <c:pt idx="50" formatCode="_(* #,##0.0000_);_(* \(#,##0.0000\);_(* &quot;-&quot;??_);_(@_)">
                  <c:v>0.41761389416374933</c:v>
                </c:pt>
                <c:pt idx="51" formatCode="_(* #,##0.0000_);_(* \(#,##0.0000\);_(* &quot;-&quot;??_);_(@_)">
                  <c:v>0.41763143265187608</c:v>
                </c:pt>
                <c:pt idx="52" formatCode="_(* #,##0.0000_);_(* \(#,##0.0000\);_(* &quot;-&quot;??_);_(@_)">
                  <c:v>0.41767966840663628</c:v>
                </c:pt>
                <c:pt idx="53" formatCode="_(* #,##0.0000_);_(* \(#,##0.0000\);_(* &quot;-&quot;??_);_(@_)">
                  <c:v>0.41771247758060148</c:v>
                </c:pt>
                <c:pt idx="54" formatCode="_(* #,##0.0000_);_(* \(#,##0.0000\);_(* &quot;-&quot;??_);_(@_)">
                  <c:v>0.41772616449219846</c:v>
                </c:pt>
                <c:pt idx="55" formatCode="_(* #,##0.0000_);_(* \(#,##0.0000\);_(* &quot;-&quot;??_);_(@_)">
                  <c:v>0.41781244081524543</c:v>
                </c:pt>
                <c:pt idx="56" formatCode="_(* #,##0.0000_);_(* \(#,##0.0000\);_(* &quot;-&quot;??_);_(@_)">
                  <c:v>0.41783659778721249</c:v>
                </c:pt>
                <c:pt idx="57" formatCode="_(* #,##0.0000_);_(* \(#,##0.0000\);_(* &quot;-&quot;??_);_(@_)">
                  <c:v>0.41791940724510768</c:v>
                </c:pt>
                <c:pt idx="58" formatCode="_(* #,##0.0000_);_(* \(#,##0.0000\);_(* &quot;-&quot;??_);_(@_)">
                  <c:v>0.41800514155314683</c:v>
                </c:pt>
                <c:pt idx="59" formatCode="_(* #,##0.0000_);_(* \(#,##0.0000\);_(* &quot;-&quot;??_);_(@_)">
                  <c:v>0.41810560580948702</c:v>
                </c:pt>
                <c:pt idx="60" formatCode="_(* #,##0.0000_);_(* \(#,##0.0000\);_(* &quot;-&quot;??_);_(@_)">
                  <c:v>0.41824521217225941</c:v>
                </c:pt>
                <c:pt idx="61" formatCode="_(* #,##0.0000_);_(* \(#,##0.0000\);_(* &quot;-&quot;??_);_(@_)">
                  <c:v>0.41841715559869447</c:v>
                </c:pt>
                <c:pt idx="62" formatCode="_(* #,##0.0000_);_(* \(#,##0.0000\);_(* &quot;-&quot;??_);_(@_)">
                  <c:v>0.41858558306257515</c:v>
                </c:pt>
                <c:pt idx="63" formatCode="_(* #,##0.0000_);_(* \(#,##0.0000\);_(* &quot;-&quot;??_);_(@_)">
                  <c:v>0.41869652670150453</c:v>
                </c:pt>
                <c:pt idx="64" formatCode="_(* #,##0.0000_);_(* \(#,##0.0000\);_(* &quot;-&quot;??_);_(@_)">
                  <c:v>0.41882394603294781</c:v>
                </c:pt>
                <c:pt idx="65" formatCode="_(* #,##0.0000_);_(* \(#,##0.0000\);_(* &quot;-&quot;??_);_(@_)">
                  <c:v>0.41892386094539746</c:v>
                </c:pt>
                <c:pt idx="66" formatCode="_(* #,##0.0000_);_(* \(#,##0.0000\);_(* &quot;-&quot;??_);_(@_)">
                  <c:v>0.4189958181412054</c:v>
                </c:pt>
                <c:pt idx="67" formatCode="_(* #,##0.0000_);_(* \(#,##0.0000\);_(* &quot;-&quot;??_);_(@_)">
                  <c:v>0.41906315215681433</c:v>
                </c:pt>
                <c:pt idx="68" formatCode="_(* #,##0.0000_);_(* \(#,##0.0000\);_(* &quot;-&quot;??_);_(@_)">
                  <c:v>0.41917484913809322</c:v>
                </c:pt>
                <c:pt idx="69" formatCode="_(* #,##0.0000_);_(* \(#,##0.0000\);_(* &quot;-&quot;??_);_(@_)">
                  <c:v>0.41933350224070026</c:v>
                </c:pt>
                <c:pt idx="70" formatCode="_(* #,##0.0000_);_(* \(#,##0.0000\);_(* &quot;-&quot;??_);_(@_)">
                  <c:v>0.41950816772398031</c:v>
                </c:pt>
                <c:pt idx="71" formatCode="_(* #,##0.0000_);_(* \(#,##0.0000\);_(* &quot;-&quot;??_);_(@_)">
                  <c:v>0.41968975272063658</c:v>
                </c:pt>
                <c:pt idx="72" formatCode="_(* #,##0.0000_);_(* \(#,##0.0000\);_(* &quot;-&quot;??_);_(@_)">
                  <c:v>0.41981491786678571</c:v>
                </c:pt>
                <c:pt idx="73" formatCode="_(* #,##0.0000_);_(* \(#,##0.0000\);_(* &quot;-&quot;??_);_(@_)">
                  <c:v>0.41993534398633486</c:v>
                </c:pt>
                <c:pt idx="74" formatCode="_(* #,##0.0000_);_(* \(#,##0.0000\);_(* &quot;-&quot;??_);_(@_)">
                  <c:v>0.42006782200643189</c:v>
                </c:pt>
                <c:pt idx="75" formatCode="_(* #,##0.0000_);_(* \(#,##0.0000\);_(* &quot;-&quot;??_);_(@_)">
                  <c:v>0.4201561654041262</c:v>
                </c:pt>
                <c:pt idx="76" formatCode="_(* #,##0.0000_);_(* \(#,##0.0000\);_(* &quot;-&quot;??_);_(@_)">
                  <c:v>0.42029768276873158</c:v>
                </c:pt>
                <c:pt idx="77" formatCode="_(* #,##0.0000_);_(* \(#,##0.0000\);_(* &quot;-&quot;??_);_(@_)">
                  <c:v>0.42033187314072284</c:v>
                </c:pt>
                <c:pt idx="78" formatCode="_(* #,##0.0000_);_(* \(#,##0.0000\);_(* &quot;-&quot;??_);_(@_)">
                  <c:v>0.42039236771599892</c:v>
                </c:pt>
                <c:pt idx="79" formatCode="_(* #,##0.0000_);_(* \(#,##0.0000\);_(* &quot;-&quot;??_);_(@_)">
                  <c:v>0.4204572472817632</c:v>
                </c:pt>
                <c:pt idx="80" formatCode="_(* #,##0.0000_);_(* \(#,##0.0000\);_(* &quot;-&quot;??_);_(@_)">
                  <c:v>0.42046823433856656</c:v>
                </c:pt>
                <c:pt idx="81" formatCode="_(* #,##0.0000_);_(* \(#,##0.0000\);_(* &quot;-&quot;??_);_(@_)">
                  <c:v>0.42044199539424493</c:v>
                </c:pt>
                <c:pt idx="82" formatCode="_(* #,##0.0000_);_(* \(#,##0.0000\);_(* &quot;-&quot;??_);_(@_)">
                  <c:v>0.42040489166217981</c:v>
                </c:pt>
                <c:pt idx="83" formatCode="_(* #,##0.0000_);_(* \(#,##0.0000\);_(* &quot;-&quot;??_);_(@_)">
                  <c:v>0.42044377474361844</c:v>
                </c:pt>
                <c:pt idx="84" formatCode="_(* #,##0.0000_);_(* \(#,##0.0000\);_(* &quot;-&quot;??_);_(@_)">
                  <c:v>0.42048580514426204</c:v>
                </c:pt>
                <c:pt idx="85" formatCode="_(* #,##0.0000_);_(* \(#,##0.0000\);_(* &quot;-&quot;??_);_(@_)">
                  <c:v>0.42055226944392726</c:v>
                </c:pt>
                <c:pt idx="86" formatCode="_(* #,##0.0000_);_(* \(#,##0.0000\);_(* &quot;-&quot;??_);_(@_)">
                  <c:v>0.42070424110390842</c:v>
                </c:pt>
                <c:pt idx="87" formatCode="_(* #,##0.0000_);_(* \(#,##0.0000\);_(* &quot;-&quot;??_);_(@_)">
                  <c:v>0.42079850844255767</c:v>
                </c:pt>
                <c:pt idx="88" formatCode="_(* #,##0.0000_);_(* \(#,##0.0000\);_(* &quot;-&quot;??_);_(@_)">
                  <c:v>0.42087946191561043</c:v>
                </c:pt>
                <c:pt idx="89" formatCode="_(* #,##0.0000_);_(* \(#,##0.0000\);_(* &quot;-&quot;??_);_(@_)">
                  <c:v>0.4209084813700194</c:v>
                </c:pt>
                <c:pt idx="90" formatCode="_(* #,##0.0000_);_(* \(#,##0.0000\);_(* &quot;-&quot;??_);_(@_)">
                  <c:v>0.42090993183344561</c:v>
                </c:pt>
                <c:pt idx="91" formatCode="_(* #,##0.0000_);_(* \(#,##0.0000\);_(* &quot;-&quot;??_);_(@_)">
                  <c:v>0.42087136100392392</c:v>
                </c:pt>
                <c:pt idx="92" formatCode="_(* #,##0.0000_);_(* \(#,##0.0000\);_(* &quot;-&quot;??_);_(@_)">
                  <c:v>0.42084802983675706</c:v>
                </c:pt>
                <c:pt idx="93" formatCode="_(* #,##0.0000_);_(* \(#,##0.0000\);_(* &quot;-&quot;??_);_(@_)">
                  <c:v>0.42078525564691394</c:v>
                </c:pt>
                <c:pt idx="94" formatCode="_(* #,##0.0000_);_(* \(#,##0.0000\);_(* &quot;-&quot;??_);_(@_)">
                  <c:v>0.42071178823768846</c:v>
                </c:pt>
                <c:pt idx="95" formatCode="_(* #,##0.0000_);_(* \(#,##0.0000\);_(* &quot;-&quot;??_);_(@_)">
                  <c:v>0.42064748139401126</c:v>
                </c:pt>
                <c:pt idx="96" formatCode="_(* #,##0.0000_);_(* \(#,##0.0000\);_(* &quot;-&quot;??_);_(@_)">
                  <c:v>0.42060461819390582</c:v>
                </c:pt>
                <c:pt idx="97" formatCode="_(* #,##0.0000_);_(* \(#,##0.0000\);_(* &quot;-&quot;??_);_(@_)">
                  <c:v>0.42062066585983082</c:v>
                </c:pt>
                <c:pt idx="98" formatCode="_(* #,##0.0000_);_(* \(#,##0.0000\);_(* &quot;-&quot;??_);_(@_)">
                  <c:v>0.4205932008582387</c:v>
                </c:pt>
                <c:pt idx="99" formatCode="_(* #,##0.0000_);_(* \(#,##0.0000\);_(* &quot;-&quot;??_);_(@_)">
                  <c:v>0.42060878786539285</c:v>
                </c:pt>
                <c:pt idx="100" formatCode="_(* #,##0.0000_);_(* \(#,##0.0000\);_(* &quot;-&quot;??_);_(@_)">
                  <c:v>0.42065307330856838</c:v>
                </c:pt>
                <c:pt idx="101" formatCode="_(* #,##0.0000_);_(* \(#,##0.0000\);_(* &quot;-&quot;??_);_(@_)">
                  <c:v>0.42070739477942487</c:v>
                </c:pt>
                <c:pt idx="102" formatCode="_(* #,##0.0000_);_(* \(#,##0.0000\);_(* &quot;-&quot;??_);_(@_)">
                  <c:v>0.42080415445478403</c:v>
                </c:pt>
                <c:pt idx="103" formatCode="_(* #,##0.0000_);_(* \(#,##0.0000\);_(* &quot;-&quot;??_);_(@_)">
                  <c:v>0.42083882100872233</c:v>
                </c:pt>
                <c:pt idx="104" formatCode="_(* #,##0.0000_);_(* \(#,##0.0000\);_(* &quot;-&quot;??_);_(@_)">
                  <c:v>0.42081029771549011</c:v>
                </c:pt>
                <c:pt idx="105" formatCode="_(* #,##0.0000_);_(* \(#,##0.0000\);_(* &quot;-&quot;??_);_(@_)">
                  <c:v>0.42082468620302088</c:v>
                </c:pt>
                <c:pt idx="106" formatCode="_(* #,##0.0000_);_(* \(#,##0.0000\);_(* &quot;-&quot;??_);_(@_)">
                  <c:v>0.42072486724145219</c:v>
                </c:pt>
                <c:pt idx="107" formatCode="_(* #,##0.0000_);_(* \(#,##0.0000\);_(* &quot;-&quot;??_);_(@_)">
                  <c:v>0.42065905434173639</c:v>
                </c:pt>
                <c:pt idx="108" formatCode="_(* #,##0.0000_);_(* \(#,##0.0000\);_(* &quot;-&quot;??_);_(@_)">
                  <c:v>0.42058796240055563</c:v>
                </c:pt>
                <c:pt idx="109" formatCode="_(* #,##0.0000_);_(* \(#,##0.0000\);_(* &quot;-&quot;??_);_(@_)">
                  <c:v>0.42053783981359683</c:v>
                </c:pt>
                <c:pt idx="110" formatCode="_(* #,##0.0000_);_(* \(#,##0.0000\);_(* &quot;-&quot;??_);_(@_)">
                  <c:v>0.4204572433888395</c:v>
                </c:pt>
                <c:pt idx="111" formatCode="_(* #,##0.0000_);_(* \(#,##0.0000\);_(* &quot;-&quot;??_);_(@_)">
                  <c:v>0.42038416145259533</c:v>
                </c:pt>
                <c:pt idx="112" formatCode="_(* #,##0.0000_);_(* \(#,##0.0000\);_(* &quot;-&quot;??_);_(@_)">
                  <c:v>0.42031596635356971</c:v>
                </c:pt>
                <c:pt idx="113" formatCode="_(* #,##0.0000_);_(* \(#,##0.0000\);_(* &quot;-&quot;??_);_(@_)">
                  <c:v>0.42026361433172221</c:v>
                </c:pt>
                <c:pt idx="114" formatCode="_(* #,##0.0000_);_(* \(#,##0.0000\);_(* &quot;-&quot;??_);_(@_)">
                  <c:v>0.42019502412210186</c:v>
                </c:pt>
                <c:pt idx="115" formatCode="_(* #,##0.0000_);_(* \(#,##0.0000\);_(* &quot;-&quot;??_);_(@_)">
                  <c:v>0.42015089685216245</c:v>
                </c:pt>
                <c:pt idx="116" formatCode="_(* #,##0.0000_);_(* \(#,##0.0000\);_(* &quot;-&quot;??_);_(@_)">
                  <c:v>0.42015039086755424</c:v>
                </c:pt>
                <c:pt idx="117" formatCode="_(* #,##0.0000_);_(* \(#,##0.0000\);_(* &quot;-&quot;??_);_(@_)">
                  <c:v>0.42017935801845968</c:v>
                </c:pt>
                <c:pt idx="118" formatCode="_(* #,##0.0000_);_(* \(#,##0.0000\);_(* &quot;-&quot;??_);_(@_)">
                  <c:v>0.42020820534392767</c:v>
                </c:pt>
                <c:pt idx="119" formatCode="_(* #,##0.0000_);_(* \(#,##0.0000\);_(* &quot;-&quot;??_);_(@_)">
                  <c:v>0.42024182129695598</c:v>
                </c:pt>
                <c:pt idx="120" formatCode="_(* #,##0.0000_);_(* \(#,##0.0000\);_(* &quot;-&quot;??_);_(@_)">
                  <c:v>0.42030036590790676</c:v>
                </c:pt>
                <c:pt idx="121" formatCode="_(* #,##0.0000_);_(* \(#,##0.0000\);_(* &quot;-&quot;??_);_(@_)">
                  <c:v>0.4203432030338391</c:v>
                </c:pt>
                <c:pt idx="122" formatCode="_(* #,##0.0000_);_(* \(#,##0.0000\);_(* &quot;-&quot;??_);_(@_)">
                  <c:v>0.4203891013865263</c:v>
                </c:pt>
                <c:pt idx="123" formatCode="_(* #,##0.0000_);_(* \(#,##0.0000\);_(* &quot;-&quot;??_);_(@_)">
                  <c:v>0.42043650955684669</c:v>
                </c:pt>
                <c:pt idx="124" formatCode="_(* #,##0.0000_);_(* \(#,##0.0000\);_(* &quot;-&quot;??_);_(@_)">
                  <c:v>0.42053743881658318</c:v>
                </c:pt>
                <c:pt idx="125" formatCode="_(* #,##0.0000_);_(* \(#,##0.0000\);_(* &quot;-&quot;??_);_(@_)">
                  <c:v>0.4206007304273669</c:v>
                </c:pt>
                <c:pt idx="126" formatCode="_(* #,##0.0000_);_(* \(#,##0.0000\);_(* &quot;-&quot;??_);_(@_)">
                  <c:v>0.42073455595159659</c:v>
                </c:pt>
                <c:pt idx="127" formatCode="_(* #,##0.0000_);_(* \(#,##0.0000\);_(* &quot;-&quot;??_);_(@_)">
                  <c:v>0.42089607619125813</c:v>
                </c:pt>
                <c:pt idx="128" formatCode="_(* #,##0.0000_);_(* \(#,##0.0000\);_(* &quot;-&quot;??_);_(@_)">
                  <c:v>0.42103481632525153</c:v>
                </c:pt>
                <c:pt idx="129" formatCode="_(* #,##0.0000_);_(* \(#,##0.0000\);_(* &quot;-&quot;??_);_(@_)">
                  <c:v>0.42118819821221842</c:v>
                </c:pt>
                <c:pt idx="130" formatCode="_(* #,##0.0000_);_(* \(#,##0.0000\);_(* &quot;-&quot;??_);_(@_)">
                  <c:v>0.42132802451828893</c:v>
                </c:pt>
                <c:pt idx="131" formatCode="_(* #,##0.0000_);_(* \(#,##0.0000\);_(* &quot;-&quot;??_);_(@_)">
                  <c:v>0.42142737431297428</c:v>
                </c:pt>
                <c:pt idx="132" formatCode="_(* #,##0.0000_);_(* \(#,##0.0000\);_(* &quot;-&quot;??_);_(@_)">
                  <c:v>0.42154800765896772</c:v>
                </c:pt>
                <c:pt idx="133" formatCode="_(* #,##0.0000_);_(* \(#,##0.0000\);_(* &quot;-&quot;??_);_(@_)">
                  <c:v>0.42171505703706658</c:v>
                </c:pt>
                <c:pt idx="134" formatCode="_(* #,##0.0000_);_(* \(#,##0.0000\);_(* &quot;-&quot;??_);_(@_)">
                  <c:v>0.42185230678542673</c:v>
                </c:pt>
                <c:pt idx="135" formatCode="_(* #,##0.0000_);_(* \(#,##0.0000\);_(* &quot;-&quot;??_);_(@_)">
                  <c:v>0.42195224613802385</c:v>
                </c:pt>
                <c:pt idx="136" formatCode="_(* #,##0.0000_);_(* \(#,##0.0000\);_(* &quot;-&quot;??_);_(@_)">
                  <c:v>0.42195329884702842</c:v>
                </c:pt>
                <c:pt idx="137" formatCode="_(* #,##0.0000_);_(* \(#,##0.0000\);_(* &quot;-&quot;??_);_(@_)">
                  <c:v>0.4219376009140331</c:v>
                </c:pt>
                <c:pt idx="138" formatCode="_(* #,##0.0000_);_(* \(#,##0.0000\);_(* &quot;-&quot;??_);_(@_)">
                  <c:v>0.42195000443756941</c:v>
                </c:pt>
                <c:pt idx="139" formatCode="_(* #,##0.0000_);_(* \(#,##0.0000\);_(* &quot;-&quot;??_);_(@_)">
                  <c:v>0.421928296079502</c:v>
                </c:pt>
                <c:pt idx="140" formatCode="_(* #,##0.0000_);_(* \(#,##0.0000\);_(* &quot;-&quot;??_);_(@_)">
                  <c:v>0.42187355881066546</c:v>
                </c:pt>
                <c:pt idx="141" formatCode="_(* #,##0.0000_);_(* \(#,##0.0000\);_(* &quot;-&quot;??_);_(@_)">
                  <c:v>0.4218090325263269</c:v>
                </c:pt>
                <c:pt idx="142" formatCode="_(* #,##0.0000_);_(* \(#,##0.0000\);_(* &quot;-&quot;??_);_(@_)">
                  <c:v>0.42169083219223003</c:v>
                </c:pt>
                <c:pt idx="143" formatCode="_(* #,##0.0000_);_(* \(#,##0.0000\);_(* &quot;-&quot;??_);_(@_)">
                  <c:v>0.42158814614691326</c:v>
                </c:pt>
                <c:pt idx="144" formatCode="_(* #,##0.0000_);_(* \(#,##0.0000\);_(* &quot;-&quot;??_);_(@_)">
                  <c:v>0.42149567827757178</c:v>
                </c:pt>
                <c:pt idx="145" formatCode="_(* #,##0.0000_);_(* \(#,##0.0000\);_(* &quot;-&quot;??_);_(@_)">
                  <c:v>0.42138278745580582</c:v>
                </c:pt>
                <c:pt idx="146" formatCode="_(* #,##0.0000_);_(* \(#,##0.0000\);_(* &quot;-&quot;??_);_(@_)">
                  <c:v>0.42124455233504898</c:v>
                </c:pt>
                <c:pt idx="147" formatCode="_(* #,##0.0000_);_(* \(#,##0.0000\);_(* &quot;-&quot;??_);_(@_)">
                  <c:v>0.42113967542380842</c:v>
                </c:pt>
                <c:pt idx="148" formatCode="_(* #,##0.0000_);_(* \(#,##0.0000\);_(* &quot;-&quot;??_);_(@_)">
                  <c:v>0.4210648352246249</c:v>
                </c:pt>
                <c:pt idx="149" formatCode="_(* #,##0.0000_);_(* \(#,##0.0000\);_(* &quot;-&quot;??_);_(@_)">
                  <c:v>0.42096001595725208</c:v>
                </c:pt>
                <c:pt idx="150" formatCode="_(* #,##0.0000_);_(* \(#,##0.0000\);_(* &quot;-&quot;??_);_(@_)">
                  <c:v>0.42098025164408737</c:v>
                </c:pt>
                <c:pt idx="151" formatCode="_(* #,##0.0000_);_(* \(#,##0.0000\);_(* &quot;-&quot;??_);_(@_)">
                  <c:v>0.42103319320922566</c:v>
                </c:pt>
                <c:pt idx="152" formatCode="_(* #,##0.0000_);_(* \(#,##0.0000\);_(* &quot;-&quot;??_);_(@_)">
                  <c:v>0.42104859256003929</c:v>
                </c:pt>
                <c:pt idx="153" formatCode="_(* #,##0.0000_);_(* \(#,##0.0000\);_(* &quot;-&quot;??_);_(@_)">
                  <c:v>0.42107113913238498</c:v>
                </c:pt>
                <c:pt idx="154" formatCode="_(* #,##0.0000_);_(* \(#,##0.0000\);_(* &quot;-&quot;??_);_(@_)">
                  <c:v>0.42113638753822907</c:v>
                </c:pt>
                <c:pt idx="155" formatCode="_(* #,##0.0000_);_(* \(#,##0.0000\);_(* &quot;-&quot;??_);_(@_)">
                  <c:v>0.42119818368319767</c:v>
                </c:pt>
                <c:pt idx="156" formatCode="_(* #,##0.0000_);_(* \(#,##0.0000\);_(* &quot;-&quot;??_);_(@_)">
                  <c:v>0.4212966144353249</c:v>
                </c:pt>
                <c:pt idx="157" formatCode="_(* #,##0.0000_);_(* \(#,##0.0000\);_(* &quot;-&quot;??_);_(@_)">
                  <c:v>0.42137367708773621</c:v>
                </c:pt>
                <c:pt idx="158" formatCode="_(* #,##0.0000_);_(* \(#,##0.0000\);_(* &quot;-&quot;??_);_(@_)">
                  <c:v>0.42147862729771124</c:v>
                </c:pt>
                <c:pt idx="159" formatCode="_(* #,##0.0000_);_(* \(#,##0.0000\);_(* &quot;-&quot;??_);_(@_)">
                  <c:v>0.42159148671522456</c:v>
                </c:pt>
                <c:pt idx="160" formatCode="_(* #,##0.0000_);_(* \(#,##0.0000\);_(* &quot;-&quot;??_);_(@_)">
                  <c:v>0.42170868969245445</c:v>
                </c:pt>
                <c:pt idx="161" formatCode="_(* #,##0.0000_);_(* \(#,##0.0000\);_(* &quot;-&quot;??_);_(@_)">
                  <c:v>0.42181390941165836</c:v>
                </c:pt>
                <c:pt idx="162" formatCode="_(* #,##0.0000_);_(* \(#,##0.0000\);_(* &quot;-&quot;??_);_(@_)">
                  <c:v>0.42194667261241819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F-41D7-BFBD-23367DF71E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Healthcare!$G$1:$G$164</c:f>
              <c:numCache>
                <c:formatCode>m/d/yyyy</c:formatCode>
                <c:ptCount val="164"/>
                <c:pt idx="20" formatCode="_(* #,##0.0000_);_(* \(#,##0.0000\);_(* &quot;-&quot;??_);_(@_)">
                  <c:v>0.42024831369866478</c:v>
                </c:pt>
                <c:pt idx="21" formatCode="_(* #,##0.0000_);_(* \(#,##0.0000\);_(* &quot;-&quot;??_);_(@_)">
                  <c:v>0.42024831369866478</c:v>
                </c:pt>
                <c:pt idx="22" formatCode="_(* #,##0.0000_);_(* \(#,##0.0000\);_(* &quot;-&quot;??_);_(@_)">
                  <c:v>0.42024831369866478</c:v>
                </c:pt>
                <c:pt idx="23" formatCode="_(* #,##0.0000_);_(* \(#,##0.0000\);_(* &quot;-&quot;??_);_(@_)">
                  <c:v>0.42024831369866478</c:v>
                </c:pt>
                <c:pt idx="24" formatCode="_(* #,##0.0000_);_(* \(#,##0.0000\);_(* &quot;-&quot;??_);_(@_)">
                  <c:v>0.42024831369866478</c:v>
                </c:pt>
                <c:pt idx="25" formatCode="_(* #,##0.0000_);_(* \(#,##0.0000\);_(* &quot;-&quot;??_);_(@_)">
                  <c:v>0.42024831369866478</c:v>
                </c:pt>
                <c:pt idx="26" formatCode="_(* #,##0.0000_);_(* \(#,##0.0000\);_(* &quot;-&quot;??_);_(@_)">
                  <c:v>0.42024831369866478</c:v>
                </c:pt>
                <c:pt idx="27" formatCode="_(* #,##0.0000_);_(* \(#,##0.0000\);_(* &quot;-&quot;??_);_(@_)">
                  <c:v>0.42024831369866478</c:v>
                </c:pt>
                <c:pt idx="28" formatCode="_(* #,##0.0000_);_(* \(#,##0.0000\);_(* &quot;-&quot;??_);_(@_)">
                  <c:v>0.42024831369866478</c:v>
                </c:pt>
                <c:pt idx="29" formatCode="_(* #,##0.0000_);_(* \(#,##0.0000\);_(* &quot;-&quot;??_);_(@_)">
                  <c:v>0.42024831369866478</c:v>
                </c:pt>
                <c:pt idx="30" formatCode="_(* #,##0.0000_);_(* \(#,##0.0000\);_(* &quot;-&quot;??_);_(@_)">
                  <c:v>0.42024831369866478</c:v>
                </c:pt>
                <c:pt idx="31" formatCode="_(* #,##0.0000_);_(* \(#,##0.0000\);_(* &quot;-&quot;??_);_(@_)">
                  <c:v>0.42024831369866478</c:v>
                </c:pt>
                <c:pt idx="32" formatCode="_(* #,##0.0000_);_(* \(#,##0.0000\);_(* &quot;-&quot;??_);_(@_)">
                  <c:v>0.42024831369866478</c:v>
                </c:pt>
                <c:pt idx="33" formatCode="_(* #,##0.0000_);_(* \(#,##0.0000\);_(* &quot;-&quot;??_);_(@_)">
                  <c:v>0.42024831369866478</c:v>
                </c:pt>
                <c:pt idx="34" formatCode="_(* #,##0.0000_);_(* \(#,##0.0000\);_(* &quot;-&quot;??_);_(@_)">
                  <c:v>0.42024831369866478</c:v>
                </c:pt>
                <c:pt idx="35" formatCode="_(* #,##0.0000_);_(* \(#,##0.0000\);_(* &quot;-&quot;??_);_(@_)">
                  <c:v>0.42024831369866478</c:v>
                </c:pt>
                <c:pt idx="36" formatCode="_(* #,##0.0000_);_(* \(#,##0.0000\);_(* &quot;-&quot;??_);_(@_)">
                  <c:v>0.42024831369866478</c:v>
                </c:pt>
                <c:pt idx="37" formatCode="_(* #,##0.0000_);_(* \(#,##0.0000\);_(* &quot;-&quot;??_);_(@_)">
                  <c:v>0.42024831369866478</c:v>
                </c:pt>
                <c:pt idx="38" formatCode="_(* #,##0.0000_);_(* \(#,##0.0000\);_(* &quot;-&quot;??_);_(@_)">
                  <c:v>0.42024831369866478</c:v>
                </c:pt>
                <c:pt idx="39" formatCode="_(* #,##0.0000_);_(* \(#,##0.0000\);_(* &quot;-&quot;??_);_(@_)">
                  <c:v>0.42024831369866478</c:v>
                </c:pt>
                <c:pt idx="40" formatCode="_(* #,##0.0000_);_(* \(#,##0.0000\);_(* &quot;-&quot;??_);_(@_)">
                  <c:v>0.42024831369866478</c:v>
                </c:pt>
                <c:pt idx="41" formatCode="_(* #,##0.0000_);_(* \(#,##0.0000\);_(* &quot;-&quot;??_);_(@_)">
                  <c:v>0.42024831369866478</c:v>
                </c:pt>
                <c:pt idx="42" formatCode="_(* #,##0.0000_);_(* \(#,##0.0000\);_(* &quot;-&quot;??_);_(@_)">
                  <c:v>0.42024831369866478</c:v>
                </c:pt>
                <c:pt idx="43" formatCode="_(* #,##0.0000_);_(* \(#,##0.0000\);_(* &quot;-&quot;??_);_(@_)">
                  <c:v>0.42024831369866478</c:v>
                </c:pt>
                <c:pt idx="44" formatCode="_(* #,##0.0000_);_(* \(#,##0.0000\);_(* &quot;-&quot;??_);_(@_)">
                  <c:v>0.42024831369866478</c:v>
                </c:pt>
                <c:pt idx="45" formatCode="_(* #,##0.0000_);_(* \(#,##0.0000\);_(* &quot;-&quot;??_);_(@_)">
                  <c:v>0.42024831369866478</c:v>
                </c:pt>
                <c:pt idx="46" formatCode="_(* #,##0.0000_);_(* \(#,##0.0000\);_(* &quot;-&quot;??_);_(@_)">
                  <c:v>0.42024831369866478</c:v>
                </c:pt>
                <c:pt idx="47" formatCode="_(* #,##0.0000_);_(* \(#,##0.0000\);_(* &quot;-&quot;??_);_(@_)">
                  <c:v>0.42024831369866478</c:v>
                </c:pt>
                <c:pt idx="48" formatCode="_(* #,##0.0000_);_(* \(#,##0.0000\);_(* &quot;-&quot;??_);_(@_)">
                  <c:v>0.42024831369866478</c:v>
                </c:pt>
                <c:pt idx="49" formatCode="_(* #,##0.0000_);_(* \(#,##0.0000\);_(* &quot;-&quot;??_);_(@_)">
                  <c:v>0.42024831369866478</c:v>
                </c:pt>
                <c:pt idx="50" formatCode="_(* #,##0.0000_);_(* \(#,##0.0000\);_(* &quot;-&quot;??_);_(@_)">
                  <c:v>0.42024831369866478</c:v>
                </c:pt>
                <c:pt idx="51" formatCode="_(* #,##0.0000_);_(* \(#,##0.0000\);_(* &quot;-&quot;??_);_(@_)">
                  <c:v>0.42024831369866478</c:v>
                </c:pt>
                <c:pt idx="52" formatCode="_(* #,##0.0000_);_(* \(#,##0.0000\);_(* &quot;-&quot;??_);_(@_)">
                  <c:v>0.42024831369866478</c:v>
                </c:pt>
                <c:pt idx="53" formatCode="_(* #,##0.0000_);_(* \(#,##0.0000\);_(* &quot;-&quot;??_);_(@_)">
                  <c:v>0.42024831369866478</c:v>
                </c:pt>
                <c:pt idx="54" formatCode="_(* #,##0.0000_);_(* \(#,##0.0000\);_(* &quot;-&quot;??_);_(@_)">
                  <c:v>0.42024831369866478</c:v>
                </c:pt>
                <c:pt idx="55" formatCode="_(* #,##0.0000_);_(* \(#,##0.0000\);_(* &quot;-&quot;??_);_(@_)">
                  <c:v>0.42024831369866478</c:v>
                </c:pt>
                <c:pt idx="56" formatCode="_(* #,##0.0000_);_(* \(#,##0.0000\);_(* &quot;-&quot;??_);_(@_)">
                  <c:v>0.42024831369866478</c:v>
                </c:pt>
                <c:pt idx="57" formatCode="_(* #,##0.0000_);_(* \(#,##0.0000\);_(* &quot;-&quot;??_);_(@_)">
                  <c:v>0.42024831369866478</c:v>
                </c:pt>
                <c:pt idx="58" formatCode="_(* #,##0.0000_);_(* \(#,##0.0000\);_(* &quot;-&quot;??_);_(@_)">
                  <c:v>0.42024831369866478</c:v>
                </c:pt>
                <c:pt idx="59" formatCode="_(* #,##0.0000_);_(* \(#,##0.0000\);_(* &quot;-&quot;??_);_(@_)">
                  <c:v>0.42024831369866478</c:v>
                </c:pt>
                <c:pt idx="60" formatCode="_(* #,##0.0000_);_(* \(#,##0.0000\);_(* &quot;-&quot;??_);_(@_)">
                  <c:v>0.42024831369866478</c:v>
                </c:pt>
                <c:pt idx="61" formatCode="_(* #,##0.0000_);_(* \(#,##0.0000\);_(* &quot;-&quot;??_);_(@_)">
                  <c:v>0.42024831369866478</c:v>
                </c:pt>
                <c:pt idx="62" formatCode="_(* #,##0.0000_);_(* \(#,##0.0000\);_(* &quot;-&quot;??_);_(@_)">
                  <c:v>0.42024831369866478</c:v>
                </c:pt>
                <c:pt idx="63" formatCode="_(* #,##0.0000_);_(* \(#,##0.0000\);_(* &quot;-&quot;??_);_(@_)">
                  <c:v>0.42024831369866478</c:v>
                </c:pt>
                <c:pt idx="64" formatCode="_(* #,##0.0000_);_(* \(#,##0.0000\);_(* &quot;-&quot;??_);_(@_)">
                  <c:v>0.42024831369866478</c:v>
                </c:pt>
                <c:pt idx="65" formatCode="_(* #,##0.0000_);_(* \(#,##0.0000\);_(* &quot;-&quot;??_);_(@_)">
                  <c:v>0.42024831369866478</c:v>
                </c:pt>
                <c:pt idx="66" formatCode="_(* #,##0.0000_);_(* \(#,##0.0000\);_(* &quot;-&quot;??_);_(@_)">
                  <c:v>0.42024831369866478</c:v>
                </c:pt>
                <c:pt idx="67" formatCode="_(* #,##0.0000_);_(* \(#,##0.0000\);_(* &quot;-&quot;??_);_(@_)">
                  <c:v>0.42024831369866478</c:v>
                </c:pt>
                <c:pt idx="68" formatCode="_(* #,##0.0000_);_(* \(#,##0.0000\);_(* &quot;-&quot;??_);_(@_)">
                  <c:v>0.42024831369866478</c:v>
                </c:pt>
                <c:pt idx="69" formatCode="_(* #,##0.0000_);_(* \(#,##0.0000\);_(* &quot;-&quot;??_);_(@_)">
                  <c:v>0.42024831369866478</c:v>
                </c:pt>
                <c:pt idx="70" formatCode="_(* #,##0.0000_);_(* \(#,##0.0000\);_(* &quot;-&quot;??_);_(@_)">
                  <c:v>0.42024831369866478</c:v>
                </c:pt>
                <c:pt idx="71" formatCode="_(* #,##0.0000_);_(* \(#,##0.0000\);_(* &quot;-&quot;??_);_(@_)">
                  <c:v>0.42024831369866478</c:v>
                </c:pt>
                <c:pt idx="72" formatCode="_(* #,##0.0000_);_(* \(#,##0.0000\);_(* &quot;-&quot;??_);_(@_)">
                  <c:v>0.42024831369866478</c:v>
                </c:pt>
                <c:pt idx="73" formatCode="_(* #,##0.0000_);_(* \(#,##0.0000\);_(* &quot;-&quot;??_);_(@_)">
                  <c:v>0.42024831369866478</c:v>
                </c:pt>
                <c:pt idx="74" formatCode="_(* #,##0.0000_);_(* \(#,##0.0000\);_(* &quot;-&quot;??_);_(@_)">
                  <c:v>0.42024831369866478</c:v>
                </c:pt>
                <c:pt idx="75" formatCode="_(* #,##0.0000_);_(* \(#,##0.0000\);_(* &quot;-&quot;??_);_(@_)">
                  <c:v>0.42024831369866478</c:v>
                </c:pt>
                <c:pt idx="76" formatCode="_(* #,##0.0000_);_(* \(#,##0.0000\);_(* &quot;-&quot;??_);_(@_)">
                  <c:v>0.42024831369866478</c:v>
                </c:pt>
                <c:pt idx="77" formatCode="_(* #,##0.0000_);_(* \(#,##0.0000\);_(* &quot;-&quot;??_);_(@_)">
                  <c:v>0.42024831369866478</c:v>
                </c:pt>
                <c:pt idx="78" formatCode="_(* #,##0.0000_);_(* \(#,##0.0000\);_(* &quot;-&quot;??_);_(@_)">
                  <c:v>0.42024831369866478</c:v>
                </c:pt>
                <c:pt idx="79" formatCode="_(* #,##0.0000_);_(* \(#,##0.0000\);_(* &quot;-&quot;??_);_(@_)">
                  <c:v>0.42024831369866478</c:v>
                </c:pt>
                <c:pt idx="80" formatCode="_(* #,##0.0000_);_(* \(#,##0.0000\);_(* &quot;-&quot;??_);_(@_)">
                  <c:v>0.42024831369866478</c:v>
                </c:pt>
                <c:pt idx="81" formatCode="_(* #,##0.0000_);_(* \(#,##0.0000\);_(* &quot;-&quot;??_);_(@_)">
                  <c:v>0.42024831369866478</c:v>
                </c:pt>
                <c:pt idx="82" formatCode="_(* #,##0.0000_);_(* \(#,##0.0000\);_(* &quot;-&quot;??_);_(@_)">
                  <c:v>0.42024831369866478</c:v>
                </c:pt>
                <c:pt idx="83" formatCode="_(* #,##0.0000_);_(* \(#,##0.0000\);_(* &quot;-&quot;??_);_(@_)">
                  <c:v>0.42024831369866478</c:v>
                </c:pt>
                <c:pt idx="84" formatCode="_(* #,##0.0000_);_(* \(#,##0.0000\);_(* &quot;-&quot;??_);_(@_)">
                  <c:v>0.42024831369866478</c:v>
                </c:pt>
                <c:pt idx="85" formatCode="_(* #,##0.0000_);_(* \(#,##0.0000\);_(* &quot;-&quot;??_);_(@_)">
                  <c:v>0.42024831369866478</c:v>
                </c:pt>
                <c:pt idx="86" formatCode="_(* #,##0.0000_);_(* \(#,##0.0000\);_(* &quot;-&quot;??_);_(@_)">
                  <c:v>0.42024831369866478</c:v>
                </c:pt>
                <c:pt idx="87" formatCode="_(* #,##0.0000_);_(* \(#,##0.0000\);_(* &quot;-&quot;??_);_(@_)">
                  <c:v>0.42024831369866478</c:v>
                </c:pt>
                <c:pt idx="88" formatCode="_(* #,##0.0000_);_(* \(#,##0.0000\);_(* &quot;-&quot;??_);_(@_)">
                  <c:v>0.42024831369866478</c:v>
                </c:pt>
                <c:pt idx="89" formatCode="_(* #,##0.0000_);_(* \(#,##0.0000\);_(* &quot;-&quot;??_);_(@_)">
                  <c:v>0.42024831369866478</c:v>
                </c:pt>
                <c:pt idx="90" formatCode="_(* #,##0.0000_);_(* \(#,##0.0000\);_(* &quot;-&quot;??_);_(@_)">
                  <c:v>0.42024831369866478</c:v>
                </c:pt>
                <c:pt idx="91" formatCode="_(* #,##0.0000_);_(* \(#,##0.0000\);_(* &quot;-&quot;??_);_(@_)">
                  <c:v>0.42024831369866478</c:v>
                </c:pt>
                <c:pt idx="92" formatCode="_(* #,##0.0000_);_(* \(#,##0.0000\);_(* &quot;-&quot;??_);_(@_)">
                  <c:v>0.42024831369866478</c:v>
                </c:pt>
                <c:pt idx="93" formatCode="_(* #,##0.0000_);_(* \(#,##0.0000\);_(* &quot;-&quot;??_);_(@_)">
                  <c:v>0.42024831369866478</c:v>
                </c:pt>
                <c:pt idx="94" formatCode="_(* #,##0.0000_);_(* \(#,##0.0000\);_(* &quot;-&quot;??_);_(@_)">
                  <c:v>0.42024831369866478</c:v>
                </c:pt>
                <c:pt idx="95" formatCode="_(* #,##0.0000_);_(* \(#,##0.0000\);_(* &quot;-&quot;??_);_(@_)">
                  <c:v>0.42024831369866478</c:v>
                </c:pt>
                <c:pt idx="96" formatCode="_(* #,##0.0000_);_(* \(#,##0.0000\);_(* &quot;-&quot;??_);_(@_)">
                  <c:v>0.42024831369866478</c:v>
                </c:pt>
                <c:pt idx="97" formatCode="_(* #,##0.0000_);_(* \(#,##0.0000\);_(* &quot;-&quot;??_);_(@_)">
                  <c:v>0.42024831369866478</c:v>
                </c:pt>
                <c:pt idx="98" formatCode="_(* #,##0.0000_);_(* \(#,##0.0000\);_(* &quot;-&quot;??_);_(@_)">
                  <c:v>0.42024831369866478</c:v>
                </c:pt>
                <c:pt idx="99" formatCode="_(* #,##0.0000_);_(* \(#,##0.0000\);_(* &quot;-&quot;??_);_(@_)">
                  <c:v>0.42024831369866478</c:v>
                </c:pt>
                <c:pt idx="100" formatCode="_(* #,##0.0000_);_(* \(#,##0.0000\);_(* &quot;-&quot;??_);_(@_)">
                  <c:v>0.42024831369866478</c:v>
                </c:pt>
                <c:pt idx="101" formatCode="_(* #,##0.0000_);_(* \(#,##0.0000\);_(* &quot;-&quot;??_);_(@_)">
                  <c:v>0.42024831369866478</c:v>
                </c:pt>
                <c:pt idx="102" formatCode="_(* #,##0.0000_);_(* \(#,##0.0000\);_(* &quot;-&quot;??_);_(@_)">
                  <c:v>0.42024831369866478</c:v>
                </c:pt>
                <c:pt idx="103" formatCode="_(* #,##0.0000_);_(* \(#,##0.0000\);_(* &quot;-&quot;??_);_(@_)">
                  <c:v>0.42024831369866478</c:v>
                </c:pt>
                <c:pt idx="104" formatCode="_(* #,##0.0000_);_(* \(#,##0.0000\);_(* &quot;-&quot;??_);_(@_)">
                  <c:v>0.42024831369866478</c:v>
                </c:pt>
                <c:pt idx="105" formatCode="_(* #,##0.0000_);_(* \(#,##0.0000\);_(* &quot;-&quot;??_);_(@_)">
                  <c:v>0.42024831369866478</c:v>
                </c:pt>
                <c:pt idx="106" formatCode="_(* #,##0.0000_);_(* \(#,##0.0000\);_(* &quot;-&quot;??_);_(@_)">
                  <c:v>0.42024831369866478</c:v>
                </c:pt>
                <c:pt idx="107" formatCode="_(* #,##0.0000_);_(* \(#,##0.0000\);_(* &quot;-&quot;??_);_(@_)">
                  <c:v>0.42024831369866478</c:v>
                </c:pt>
                <c:pt idx="108" formatCode="_(* #,##0.0000_);_(* \(#,##0.0000\);_(* &quot;-&quot;??_);_(@_)">
                  <c:v>0.42024831369866478</c:v>
                </c:pt>
                <c:pt idx="109" formatCode="_(* #,##0.0000_);_(* \(#,##0.0000\);_(* &quot;-&quot;??_);_(@_)">
                  <c:v>0.42024831369866478</c:v>
                </c:pt>
                <c:pt idx="110" formatCode="_(* #,##0.0000_);_(* \(#,##0.0000\);_(* &quot;-&quot;??_);_(@_)">
                  <c:v>0.42024831369866478</c:v>
                </c:pt>
                <c:pt idx="111" formatCode="_(* #,##0.0000_);_(* \(#,##0.0000\);_(* &quot;-&quot;??_);_(@_)">
                  <c:v>0.42024831369866478</c:v>
                </c:pt>
                <c:pt idx="112" formatCode="_(* #,##0.0000_);_(* \(#,##0.0000\);_(* &quot;-&quot;??_);_(@_)">
                  <c:v>0.42024831369866478</c:v>
                </c:pt>
                <c:pt idx="113" formatCode="_(* #,##0.0000_);_(* \(#,##0.0000\);_(* &quot;-&quot;??_);_(@_)">
                  <c:v>0.42024831369866478</c:v>
                </c:pt>
                <c:pt idx="114" formatCode="_(* #,##0.0000_);_(* \(#,##0.0000\);_(* &quot;-&quot;??_);_(@_)">
                  <c:v>0.42024831369866478</c:v>
                </c:pt>
                <c:pt idx="115" formatCode="_(* #,##0.0000_);_(* \(#,##0.0000\);_(* &quot;-&quot;??_);_(@_)">
                  <c:v>0.42024831369866478</c:v>
                </c:pt>
                <c:pt idx="116" formatCode="_(* #,##0.0000_);_(* \(#,##0.0000\);_(* &quot;-&quot;??_);_(@_)">
                  <c:v>0.42024831369866478</c:v>
                </c:pt>
                <c:pt idx="117" formatCode="_(* #,##0.0000_);_(* \(#,##0.0000\);_(* &quot;-&quot;??_);_(@_)">
                  <c:v>0.42024831369866478</c:v>
                </c:pt>
                <c:pt idx="118" formatCode="_(* #,##0.0000_);_(* \(#,##0.0000\);_(* &quot;-&quot;??_);_(@_)">
                  <c:v>0.42024831369866478</c:v>
                </c:pt>
                <c:pt idx="119" formatCode="_(* #,##0.0000_);_(* \(#,##0.0000\);_(* &quot;-&quot;??_);_(@_)">
                  <c:v>0.42024831369866478</c:v>
                </c:pt>
                <c:pt idx="120" formatCode="_(* #,##0.0000_);_(* \(#,##0.0000\);_(* &quot;-&quot;??_);_(@_)">
                  <c:v>0.42024831369866478</c:v>
                </c:pt>
                <c:pt idx="121" formatCode="_(* #,##0.0000_);_(* \(#,##0.0000\);_(* &quot;-&quot;??_);_(@_)">
                  <c:v>0.42024831369866478</c:v>
                </c:pt>
                <c:pt idx="122" formatCode="_(* #,##0.0000_);_(* \(#,##0.0000\);_(* &quot;-&quot;??_);_(@_)">
                  <c:v>0.42024831369866478</c:v>
                </c:pt>
                <c:pt idx="123" formatCode="_(* #,##0.0000_);_(* \(#,##0.0000\);_(* &quot;-&quot;??_);_(@_)">
                  <c:v>0.42024831369866478</c:v>
                </c:pt>
                <c:pt idx="124" formatCode="_(* #,##0.0000_);_(* \(#,##0.0000\);_(* &quot;-&quot;??_);_(@_)">
                  <c:v>0.42024831369866478</c:v>
                </c:pt>
                <c:pt idx="125" formatCode="_(* #,##0.0000_);_(* \(#,##0.0000\);_(* &quot;-&quot;??_);_(@_)">
                  <c:v>0.42024831369866478</c:v>
                </c:pt>
                <c:pt idx="126" formatCode="_(* #,##0.0000_);_(* \(#,##0.0000\);_(* &quot;-&quot;??_);_(@_)">
                  <c:v>0.42024831369866478</c:v>
                </c:pt>
                <c:pt idx="127" formatCode="_(* #,##0.0000_);_(* \(#,##0.0000\);_(* &quot;-&quot;??_);_(@_)">
                  <c:v>0.42024831369866478</c:v>
                </c:pt>
                <c:pt idx="128" formatCode="_(* #,##0.0000_);_(* \(#,##0.0000\);_(* &quot;-&quot;??_);_(@_)">
                  <c:v>0.42024831369866478</c:v>
                </c:pt>
                <c:pt idx="129" formatCode="_(* #,##0.0000_);_(* \(#,##0.0000\);_(* &quot;-&quot;??_);_(@_)">
                  <c:v>0.42024831369866478</c:v>
                </c:pt>
                <c:pt idx="130" formatCode="_(* #,##0.0000_);_(* \(#,##0.0000\);_(* &quot;-&quot;??_);_(@_)">
                  <c:v>0.42024831369866478</c:v>
                </c:pt>
                <c:pt idx="131" formatCode="_(* #,##0.0000_);_(* \(#,##0.0000\);_(* &quot;-&quot;??_);_(@_)">
                  <c:v>0.42024831369866478</c:v>
                </c:pt>
                <c:pt idx="132" formatCode="_(* #,##0.0000_);_(* \(#,##0.0000\);_(* &quot;-&quot;??_);_(@_)">
                  <c:v>0.42024831369866478</c:v>
                </c:pt>
                <c:pt idx="133" formatCode="_(* #,##0.0000_);_(* \(#,##0.0000\);_(* &quot;-&quot;??_);_(@_)">
                  <c:v>0.42024831369866478</c:v>
                </c:pt>
                <c:pt idx="134" formatCode="_(* #,##0.0000_);_(* \(#,##0.0000\);_(* &quot;-&quot;??_);_(@_)">
                  <c:v>0.42024831369866478</c:v>
                </c:pt>
                <c:pt idx="135" formatCode="_(* #,##0.0000_);_(* \(#,##0.0000\);_(* &quot;-&quot;??_);_(@_)">
                  <c:v>0.42024831369866478</c:v>
                </c:pt>
                <c:pt idx="136" formatCode="_(* #,##0.0000_);_(* \(#,##0.0000\);_(* &quot;-&quot;??_);_(@_)">
                  <c:v>0.42024831369866478</c:v>
                </c:pt>
                <c:pt idx="137" formatCode="_(* #,##0.0000_);_(* \(#,##0.0000\);_(* &quot;-&quot;??_);_(@_)">
                  <c:v>0.42024831369866478</c:v>
                </c:pt>
                <c:pt idx="138" formatCode="_(* #,##0.0000_);_(* \(#,##0.0000\);_(* &quot;-&quot;??_);_(@_)">
                  <c:v>0.42024831369866478</c:v>
                </c:pt>
                <c:pt idx="139" formatCode="_(* #,##0.0000_);_(* \(#,##0.0000\);_(* &quot;-&quot;??_);_(@_)">
                  <c:v>0.42024831369866478</c:v>
                </c:pt>
                <c:pt idx="140" formatCode="_(* #,##0.0000_);_(* \(#,##0.0000\);_(* &quot;-&quot;??_);_(@_)">
                  <c:v>0.42024831369866478</c:v>
                </c:pt>
                <c:pt idx="141" formatCode="_(* #,##0.0000_);_(* \(#,##0.0000\);_(* &quot;-&quot;??_);_(@_)">
                  <c:v>0.42024831369866478</c:v>
                </c:pt>
                <c:pt idx="142" formatCode="_(* #,##0.0000_);_(* \(#,##0.0000\);_(* &quot;-&quot;??_);_(@_)">
                  <c:v>0.42024831369866478</c:v>
                </c:pt>
                <c:pt idx="143" formatCode="_(* #,##0.0000_);_(* \(#,##0.0000\);_(* &quot;-&quot;??_);_(@_)">
                  <c:v>0.42024831369866478</c:v>
                </c:pt>
                <c:pt idx="144" formatCode="_(* #,##0.0000_);_(* \(#,##0.0000\);_(* &quot;-&quot;??_);_(@_)">
                  <c:v>0.42024831369866478</c:v>
                </c:pt>
                <c:pt idx="145" formatCode="_(* #,##0.0000_);_(* \(#,##0.0000\);_(* &quot;-&quot;??_);_(@_)">
                  <c:v>0.42024831369866478</c:v>
                </c:pt>
                <c:pt idx="146" formatCode="_(* #,##0.0000_);_(* \(#,##0.0000\);_(* &quot;-&quot;??_);_(@_)">
                  <c:v>0.42024831369866478</c:v>
                </c:pt>
                <c:pt idx="147" formatCode="_(* #,##0.0000_);_(* \(#,##0.0000\);_(* &quot;-&quot;??_);_(@_)">
                  <c:v>0.42024831369866478</c:v>
                </c:pt>
                <c:pt idx="148" formatCode="_(* #,##0.0000_);_(* \(#,##0.0000\);_(* &quot;-&quot;??_);_(@_)">
                  <c:v>0.42024831369866478</c:v>
                </c:pt>
                <c:pt idx="149" formatCode="_(* #,##0.0000_);_(* \(#,##0.0000\);_(* &quot;-&quot;??_);_(@_)">
                  <c:v>0.42024831369866478</c:v>
                </c:pt>
                <c:pt idx="150" formatCode="_(* #,##0.0000_);_(* \(#,##0.0000\);_(* &quot;-&quot;??_);_(@_)">
                  <c:v>0.42024831369866478</c:v>
                </c:pt>
                <c:pt idx="151" formatCode="_(* #,##0.0000_);_(* \(#,##0.0000\);_(* &quot;-&quot;??_);_(@_)">
                  <c:v>0.42024831369866478</c:v>
                </c:pt>
                <c:pt idx="152" formatCode="_(* #,##0.0000_);_(* \(#,##0.0000\);_(* &quot;-&quot;??_);_(@_)">
                  <c:v>0.42024831369866478</c:v>
                </c:pt>
                <c:pt idx="153" formatCode="_(* #,##0.0000_);_(* \(#,##0.0000\);_(* &quot;-&quot;??_);_(@_)">
                  <c:v>0.42024831369866478</c:v>
                </c:pt>
                <c:pt idx="154" formatCode="_(* #,##0.0000_);_(* \(#,##0.0000\);_(* &quot;-&quot;??_);_(@_)">
                  <c:v>0.42024831369866478</c:v>
                </c:pt>
                <c:pt idx="155" formatCode="_(* #,##0.0000_);_(* \(#,##0.0000\);_(* &quot;-&quot;??_);_(@_)">
                  <c:v>0.42024831369866478</c:v>
                </c:pt>
                <c:pt idx="156" formatCode="_(* #,##0.0000_);_(* \(#,##0.0000\);_(* &quot;-&quot;??_);_(@_)">
                  <c:v>0.42024831369866478</c:v>
                </c:pt>
                <c:pt idx="157" formatCode="_(* #,##0.0000_);_(* \(#,##0.0000\);_(* &quot;-&quot;??_);_(@_)">
                  <c:v>0.42024831369866478</c:v>
                </c:pt>
                <c:pt idx="158" formatCode="_(* #,##0.0000_);_(* \(#,##0.0000\);_(* &quot;-&quot;??_);_(@_)">
                  <c:v>0.42024831369866478</c:v>
                </c:pt>
                <c:pt idx="159" formatCode="_(* #,##0.0000_);_(* \(#,##0.0000\);_(* &quot;-&quot;??_);_(@_)">
                  <c:v>0.42024831369866478</c:v>
                </c:pt>
                <c:pt idx="160" formatCode="_(* #,##0.0000_);_(* \(#,##0.0000\);_(* &quot;-&quot;??_);_(@_)">
                  <c:v>0.42024831369866478</c:v>
                </c:pt>
                <c:pt idx="161" formatCode="_(* #,##0.0000_);_(* \(#,##0.0000\);_(* &quot;-&quot;??_);_(@_)">
                  <c:v>0.42024831369866478</c:v>
                </c:pt>
                <c:pt idx="162" formatCode="_(* #,##0.0000_);_(* \(#,##0.0000\);_(* &quot;-&quot;??_);_(@_)">
                  <c:v>0.42024831369866478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F-41D7-BFBD-23367DF71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662303"/>
        <c:axId val="1402825967"/>
      </c:lineChart>
      <c:catAx>
        <c:axId val="1234662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25967"/>
        <c:crosses val="autoZero"/>
        <c:auto val="1"/>
        <c:lblAlgn val="ctr"/>
        <c:lblOffset val="100"/>
        <c:noMultiLvlLbl val="0"/>
      </c:catAx>
      <c:valAx>
        <c:axId val="1402825967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6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RE!$J$2:$J$163</c:f>
              <c:numCache>
                <c:formatCode>0.000%</c:formatCode>
                <c:ptCount val="162"/>
                <c:pt idx="19">
                  <c:v>3.2042774540511358E-3</c:v>
                </c:pt>
                <c:pt idx="20">
                  <c:v>1.9756314335780752E-3</c:v>
                </c:pt>
                <c:pt idx="21">
                  <c:v>7.1718272463639583E-4</c:v>
                </c:pt>
                <c:pt idx="22">
                  <c:v>2.2012924140017709E-3</c:v>
                </c:pt>
                <c:pt idx="23">
                  <c:v>-1.1731035582189595E-3</c:v>
                </c:pt>
                <c:pt idx="24">
                  <c:v>1.126921497053118E-3</c:v>
                </c:pt>
                <c:pt idx="25">
                  <c:v>2.8189856588200154E-3</c:v>
                </c:pt>
                <c:pt idx="26">
                  <c:v>3.5402759930704638E-3</c:v>
                </c:pt>
                <c:pt idx="27">
                  <c:v>6.1086624586322111E-3</c:v>
                </c:pt>
                <c:pt idx="28">
                  <c:v>7.8853952613127717E-3</c:v>
                </c:pt>
                <c:pt idx="29">
                  <c:v>8.4183595507607636E-3</c:v>
                </c:pt>
                <c:pt idx="30">
                  <c:v>8.0994510801803768E-3</c:v>
                </c:pt>
                <c:pt idx="31">
                  <c:v>6.0409371225051299E-3</c:v>
                </c:pt>
                <c:pt idx="32">
                  <c:v>4.0479525312443199E-3</c:v>
                </c:pt>
                <c:pt idx="33">
                  <c:v>4.8377926258566795E-3</c:v>
                </c:pt>
                <c:pt idx="34">
                  <c:v>5.7767476352035821E-3</c:v>
                </c:pt>
                <c:pt idx="35">
                  <c:v>5.5361602401813974E-3</c:v>
                </c:pt>
                <c:pt idx="36">
                  <c:v>2.3837722419315045E-3</c:v>
                </c:pt>
                <c:pt idx="37">
                  <c:v>-2.5171359870735185E-4</c:v>
                </c:pt>
                <c:pt idx="38">
                  <c:v>1.9129468401363559E-3</c:v>
                </c:pt>
                <c:pt idx="39">
                  <c:v>9.4974009707583188E-4</c:v>
                </c:pt>
                <c:pt idx="40">
                  <c:v>1.3397919070073842E-3</c:v>
                </c:pt>
                <c:pt idx="41">
                  <c:v>1.3230929286448545E-3</c:v>
                </c:pt>
                <c:pt idx="42">
                  <c:v>1.50617541814113E-4</c:v>
                </c:pt>
                <c:pt idx="43">
                  <c:v>8.6029847468183747E-4</c:v>
                </c:pt>
                <c:pt idx="44">
                  <c:v>4.6908520209421208E-4</c:v>
                </c:pt>
                <c:pt idx="45">
                  <c:v>-6.8438206008200879E-5</c:v>
                </c:pt>
                <c:pt idx="46">
                  <c:v>-9.203075150543596E-4</c:v>
                </c:pt>
                <c:pt idx="47">
                  <c:v>-2.8548237726770594E-4</c:v>
                </c:pt>
                <c:pt idx="48">
                  <c:v>5.0430095619617514E-4</c:v>
                </c:pt>
                <c:pt idx="49">
                  <c:v>6.9781363648968239E-4</c:v>
                </c:pt>
                <c:pt idx="50">
                  <c:v>8.8723629960968546E-5</c:v>
                </c:pt>
                <c:pt idx="51">
                  <c:v>-7.1161945271184645E-4</c:v>
                </c:pt>
                <c:pt idx="52">
                  <c:v>6.5746477305944889E-4</c:v>
                </c:pt>
                <c:pt idx="53">
                  <c:v>1.5125404445601412E-4</c:v>
                </c:pt>
                <c:pt idx="54">
                  <c:v>-2.9435504713681317E-3</c:v>
                </c:pt>
                <c:pt idx="55">
                  <c:v>-4.1384905554734059E-3</c:v>
                </c:pt>
                <c:pt idx="56">
                  <c:v>-4.396254826517074E-3</c:v>
                </c:pt>
                <c:pt idx="57">
                  <c:v>-2.2802134875307932E-3</c:v>
                </c:pt>
                <c:pt idx="58">
                  <c:v>-1.3061693302186689E-3</c:v>
                </c:pt>
                <c:pt idx="59">
                  <c:v>-1.114872530983005E-3</c:v>
                </c:pt>
                <c:pt idx="60">
                  <c:v>-1.6814740123063817E-3</c:v>
                </c:pt>
                <c:pt idx="61">
                  <c:v>-1.9617394184425923E-3</c:v>
                </c:pt>
                <c:pt idx="62">
                  <c:v>-2.7327311268859872E-4</c:v>
                </c:pt>
                <c:pt idx="63">
                  <c:v>2.0578530952912485E-3</c:v>
                </c:pt>
                <c:pt idx="64">
                  <c:v>2.3812272354374958E-4</c:v>
                </c:pt>
                <c:pt idx="65">
                  <c:v>-3.3621704266151086E-4</c:v>
                </c:pt>
                <c:pt idx="66">
                  <c:v>-6.5501485965657703E-4</c:v>
                </c:pt>
                <c:pt idx="67">
                  <c:v>3.0181974896236163E-4</c:v>
                </c:pt>
                <c:pt idx="68">
                  <c:v>7.1546366116327187E-4</c:v>
                </c:pt>
                <c:pt idx="69">
                  <c:v>5.982538256561296E-4</c:v>
                </c:pt>
                <c:pt idx="70">
                  <c:v>-2.4498403682389811E-4</c:v>
                </c:pt>
                <c:pt idx="71">
                  <c:v>1.6101640855201036E-4</c:v>
                </c:pt>
                <c:pt idx="72">
                  <c:v>-3.5909096552700417E-4</c:v>
                </c:pt>
                <c:pt idx="73">
                  <c:v>8.8084651252988617E-4</c:v>
                </c:pt>
                <c:pt idx="74">
                  <c:v>-1.1696662642476261E-3</c:v>
                </c:pt>
                <c:pt idx="75">
                  <c:v>-4.9739006313496547E-4</c:v>
                </c:pt>
                <c:pt idx="76">
                  <c:v>5.6332980889962068E-4</c:v>
                </c:pt>
                <c:pt idx="77">
                  <c:v>-7.3113023195736328E-7</c:v>
                </c:pt>
                <c:pt idx="78">
                  <c:v>-1.9704860431902327E-3</c:v>
                </c:pt>
                <c:pt idx="79">
                  <c:v>-1.2865080205685449E-3</c:v>
                </c:pt>
                <c:pt idx="80">
                  <c:v>7.5309329157457962E-4</c:v>
                </c:pt>
                <c:pt idx="81">
                  <c:v>8.9949926970418444E-4</c:v>
                </c:pt>
                <c:pt idx="82">
                  <c:v>1.6529955615544501E-3</c:v>
                </c:pt>
                <c:pt idx="83">
                  <c:v>3.3343254072579513E-3</c:v>
                </c:pt>
                <c:pt idx="84">
                  <c:v>2.2380127568874622E-3</c:v>
                </c:pt>
                <c:pt idx="85">
                  <c:v>1.8890303052003675E-3</c:v>
                </c:pt>
                <c:pt idx="86">
                  <c:v>1.1563444200414017E-3</c:v>
                </c:pt>
                <c:pt idx="87">
                  <c:v>-6.2832157051825443E-4</c:v>
                </c:pt>
                <c:pt idx="88">
                  <c:v>2.1933930883171861E-3</c:v>
                </c:pt>
                <c:pt idx="89">
                  <c:v>2.2093957028097612E-3</c:v>
                </c:pt>
                <c:pt idx="90">
                  <c:v>1.9234410052616085E-3</c:v>
                </c:pt>
                <c:pt idx="91">
                  <c:v>1.6741058827136846E-3</c:v>
                </c:pt>
                <c:pt idx="92">
                  <c:v>1.1379394083052758E-3</c:v>
                </c:pt>
                <c:pt idx="93">
                  <c:v>1.9045049322674724E-3</c:v>
                </c:pt>
                <c:pt idx="94">
                  <c:v>2.4993597405926177E-3</c:v>
                </c:pt>
                <c:pt idx="95">
                  <c:v>2.0692920980003781E-3</c:v>
                </c:pt>
                <c:pt idx="96">
                  <c:v>2.0102537115647794E-3</c:v>
                </c:pt>
                <c:pt idx="97">
                  <c:v>1.614641126928896E-3</c:v>
                </c:pt>
                <c:pt idx="98">
                  <c:v>8.2785094606894127E-4</c:v>
                </c:pt>
                <c:pt idx="99">
                  <c:v>1.9421206079559719E-3</c:v>
                </c:pt>
                <c:pt idx="100">
                  <c:v>1.500473547676301E-3</c:v>
                </c:pt>
                <c:pt idx="101">
                  <c:v>5.1235871165810709E-4</c:v>
                </c:pt>
                <c:pt idx="102">
                  <c:v>2.0485265332797174E-3</c:v>
                </c:pt>
                <c:pt idx="103">
                  <c:v>3.0725536589351738E-3</c:v>
                </c:pt>
                <c:pt idx="104">
                  <c:v>3.2246186829583156E-3</c:v>
                </c:pt>
                <c:pt idx="105">
                  <c:v>5.3871663526901701E-3</c:v>
                </c:pt>
                <c:pt idx="106">
                  <c:v>4.4340416129622778E-3</c:v>
                </c:pt>
                <c:pt idx="107">
                  <c:v>3.2728468311321911E-3</c:v>
                </c:pt>
                <c:pt idx="108">
                  <c:v>7.02748080744525E-4</c:v>
                </c:pt>
                <c:pt idx="109">
                  <c:v>7.2439215813641837E-4</c:v>
                </c:pt>
                <c:pt idx="110">
                  <c:v>-2.5213380769778521E-4</c:v>
                </c:pt>
                <c:pt idx="111">
                  <c:v>4.9495003040796821E-4</c:v>
                </c:pt>
                <c:pt idx="112">
                  <c:v>4.3632981111987705E-3</c:v>
                </c:pt>
                <c:pt idx="113">
                  <c:v>3.9566785889142159E-3</c:v>
                </c:pt>
                <c:pt idx="114">
                  <c:v>4.9048958856923487E-3</c:v>
                </c:pt>
                <c:pt idx="115">
                  <c:v>-1.0408950838676004E-3</c:v>
                </c:pt>
                <c:pt idx="116">
                  <c:v>-3.7398339594371011E-3</c:v>
                </c:pt>
                <c:pt idx="117">
                  <c:v>-3.2018490937178084E-3</c:v>
                </c:pt>
                <c:pt idx="118">
                  <c:v>-4.6645733036578766E-3</c:v>
                </c:pt>
                <c:pt idx="119">
                  <c:v>-5.1005785192978961E-3</c:v>
                </c:pt>
                <c:pt idx="120">
                  <c:v>-5.2542960084299662E-3</c:v>
                </c:pt>
                <c:pt idx="121">
                  <c:v>-6.8334147824965401E-3</c:v>
                </c:pt>
                <c:pt idx="122">
                  <c:v>-8.5659257091201813E-3</c:v>
                </c:pt>
                <c:pt idx="123">
                  <c:v>-9.0965991796830171E-3</c:v>
                </c:pt>
                <c:pt idx="124">
                  <c:v>-9.7789249115562121E-3</c:v>
                </c:pt>
                <c:pt idx="125">
                  <c:v>-1.0190086057542491E-2</c:v>
                </c:pt>
                <c:pt idx="126">
                  <c:v>-8.3168278445885473E-3</c:v>
                </c:pt>
                <c:pt idx="127">
                  <c:v>-7.6408763122429429E-3</c:v>
                </c:pt>
                <c:pt idx="128">
                  <c:v>-7.2781297625149552E-3</c:v>
                </c:pt>
                <c:pt idx="129">
                  <c:v>-4.9113188415248867E-3</c:v>
                </c:pt>
                <c:pt idx="130">
                  <c:v>-4.5295888242193657E-3</c:v>
                </c:pt>
                <c:pt idx="131">
                  <c:v>-5.7746010540515678E-3</c:v>
                </c:pt>
                <c:pt idx="132">
                  <c:v>-5.4512816135504323E-3</c:v>
                </c:pt>
                <c:pt idx="133">
                  <c:v>-7.5058089706018889E-3</c:v>
                </c:pt>
                <c:pt idx="134">
                  <c:v>-5.8584307653161138E-3</c:v>
                </c:pt>
                <c:pt idx="135">
                  <c:v>-4.2637774583576243E-3</c:v>
                </c:pt>
                <c:pt idx="136">
                  <c:v>-4.0784580048676671E-3</c:v>
                </c:pt>
                <c:pt idx="137">
                  <c:v>-2.3459266986320987E-3</c:v>
                </c:pt>
                <c:pt idx="138">
                  <c:v>-9.8727583852062243E-4</c:v>
                </c:pt>
                <c:pt idx="139">
                  <c:v>-2.6523350317043682E-4</c:v>
                </c:pt>
                <c:pt idx="140">
                  <c:v>-6.6445786441367001E-4</c:v>
                </c:pt>
                <c:pt idx="141">
                  <c:v>-7.1259219862702234E-4</c:v>
                </c:pt>
                <c:pt idx="142">
                  <c:v>6.6341838862366757E-4</c:v>
                </c:pt>
                <c:pt idx="143">
                  <c:v>-1.0310055100630614E-3</c:v>
                </c:pt>
                <c:pt idx="144">
                  <c:v>-5.3535589844778053E-4</c:v>
                </c:pt>
                <c:pt idx="145">
                  <c:v>5.3568708795544162E-4</c:v>
                </c:pt>
                <c:pt idx="146">
                  <c:v>1.340309504971325E-3</c:v>
                </c:pt>
                <c:pt idx="147">
                  <c:v>1.7690945032078486E-3</c:v>
                </c:pt>
                <c:pt idx="148">
                  <c:v>2.1030384963543688E-3</c:v>
                </c:pt>
                <c:pt idx="149">
                  <c:v>1.1680734736053328E-3</c:v>
                </c:pt>
                <c:pt idx="150">
                  <c:v>1.1383038814316061E-3</c:v>
                </c:pt>
                <c:pt idx="151">
                  <c:v>1.437746252738104E-3</c:v>
                </c:pt>
                <c:pt idx="152">
                  <c:v>1.497622593447083E-3</c:v>
                </c:pt>
                <c:pt idx="153">
                  <c:v>2.0459219441938078E-3</c:v>
                </c:pt>
                <c:pt idx="154">
                  <c:v>3.4231482169314008E-3</c:v>
                </c:pt>
                <c:pt idx="155">
                  <c:v>2.1321155319423829E-3</c:v>
                </c:pt>
                <c:pt idx="156">
                  <c:v>1.2058495258038514E-3</c:v>
                </c:pt>
                <c:pt idx="157">
                  <c:v>-6.921216818973517E-4</c:v>
                </c:pt>
                <c:pt idx="158">
                  <c:v>1.2908024317868142E-3</c:v>
                </c:pt>
                <c:pt idx="159">
                  <c:v>1.6517668759483391E-3</c:v>
                </c:pt>
                <c:pt idx="160">
                  <c:v>7.8247633262719504E-4</c:v>
                </c:pt>
                <c:pt idx="161">
                  <c:v>6.4520819900342201E-4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5-4C63-AAC7-FDBE25128B02}"/>
            </c:ext>
          </c:extLst>
        </c:ser>
        <c:ser>
          <c:idx val="1"/>
          <c:order val="1"/>
          <c:tx>
            <c:strRef>
              <c:f>RE!$K$1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RE!$K$2:$K$163</c:f>
              <c:numCache>
                <c:formatCode>0.000%</c:formatCode>
                <c:ptCount val="162"/>
                <c:pt idx="19">
                  <c:v>-2.3877339131220254E-3</c:v>
                </c:pt>
                <c:pt idx="20">
                  <c:v>-3.5587251039615065E-3</c:v>
                </c:pt>
                <c:pt idx="21">
                  <c:v>-4.8094298120856908E-3</c:v>
                </c:pt>
                <c:pt idx="22">
                  <c:v>-3.2217583682962818E-3</c:v>
                </c:pt>
                <c:pt idx="23">
                  <c:v>-6.4990033762652452E-3</c:v>
                </c:pt>
                <c:pt idx="24">
                  <c:v>-3.9202515666713657E-3</c:v>
                </c:pt>
                <c:pt idx="25">
                  <c:v>-1.8348700491634764E-3</c:v>
                </c:pt>
                <c:pt idx="26">
                  <c:v>-7.3440268967681381E-4</c:v>
                </c:pt>
                <c:pt idx="27">
                  <c:v>2.2658856233606704E-3</c:v>
                </c:pt>
                <c:pt idx="28">
                  <c:v>4.506737071584839E-3</c:v>
                </c:pt>
                <c:pt idx="29">
                  <c:v>5.5334809338006292E-3</c:v>
                </c:pt>
                <c:pt idx="30">
                  <c:v>5.7678131263950985E-3</c:v>
                </c:pt>
                <c:pt idx="31">
                  <c:v>4.1768346088670227E-3</c:v>
                </c:pt>
                <c:pt idx="32">
                  <c:v>2.5120682724715545E-3</c:v>
                </c:pt>
                <c:pt idx="33">
                  <c:v>3.7239521710713199E-3</c:v>
                </c:pt>
                <c:pt idx="34">
                  <c:v>5.1695691887673444E-3</c:v>
                </c:pt>
                <c:pt idx="35">
                  <c:v>5.4332263111605212E-3</c:v>
                </c:pt>
                <c:pt idx="36">
                  <c:v>2.6576301707116556E-3</c:v>
                </c:pt>
                <c:pt idx="37">
                  <c:v>2.6985565662913154E-4</c:v>
                </c:pt>
                <c:pt idx="38">
                  <c:v>2.7979966146349767E-3</c:v>
                </c:pt>
                <c:pt idx="39">
                  <c:v>2.0573000527677092E-3</c:v>
                </c:pt>
                <c:pt idx="40">
                  <c:v>2.7640156793823333E-3</c:v>
                </c:pt>
                <c:pt idx="41">
                  <c:v>3.1460706207040064E-3</c:v>
                </c:pt>
                <c:pt idx="42">
                  <c:v>2.2477405494830448E-3</c:v>
                </c:pt>
                <c:pt idx="43">
                  <c:v>3.4571609662529695E-3</c:v>
                </c:pt>
                <c:pt idx="44">
                  <c:v>3.4348156589549981E-3</c:v>
                </c:pt>
                <c:pt idx="45">
                  <c:v>3.1469928123515033E-3</c:v>
                </c:pt>
                <c:pt idx="46">
                  <c:v>2.4549815761514878E-3</c:v>
                </c:pt>
                <c:pt idx="47">
                  <c:v>3.1332028314619343E-3</c:v>
                </c:pt>
                <c:pt idx="48">
                  <c:v>3.8922881701222078E-3</c:v>
                </c:pt>
                <c:pt idx="49">
                  <c:v>4.0097210867036616E-3</c:v>
                </c:pt>
                <c:pt idx="50">
                  <c:v>3.2762092591210974E-3</c:v>
                </c:pt>
                <c:pt idx="51">
                  <c:v>2.3863545946778203E-3</c:v>
                </c:pt>
                <c:pt idx="52">
                  <c:v>3.8208769158954024E-3</c:v>
                </c:pt>
                <c:pt idx="53">
                  <c:v>3.2931328879719419E-3</c:v>
                </c:pt>
                <c:pt idx="54">
                  <c:v>-6.3442347717113532E-5</c:v>
                </c:pt>
                <c:pt idx="55">
                  <c:v>-1.610867129227629E-3</c:v>
                </c:pt>
                <c:pt idx="56">
                  <c:v>-2.1073914691206474E-3</c:v>
                </c:pt>
                <c:pt idx="57">
                  <c:v>-5.1289476729009155E-6</c:v>
                </c:pt>
                <c:pt idx="58">
                  <c:v>8.726080577066669E-4</c:v>
                </c:pt>
                <c:pt idx="59">
                  <c:v>1.0115868634210606E-3</c:v>
                </c:pt>
                <c:pt idx="60">
                  <c:v>3.2286404443705887E-4</c:v>
                </c:pt>
                <c:pt idx="61">
                  <c:v>-1.2081257959597552E-4</c:v>
                </c:pt>
                <c:pt idx="62">
                  <c:v>1.5318621976970087E-3</c:v>
                </c:pt>
                <c:pt idx="63">
                  <c:v>3.8843060819278431E-3</c:v>
                </c:pt>
                <c:pt idx="64">
                  <c:v>1.9925278624867713E-3</c:v>
                </c:pt>
                <c:pt idx="65">
                  <c:v>1.3272489353243707E-3</c:v>
                </c:pt>
                <c:pt idx="66">
                  <c:v>9.3232339800774849E-4</c:v>
                </c:pt>
                <c:pt idx="67">
                  <c:v>1.8237455990007135E-3</c:v>
                </c:pt>
                <c:pt idx="68">
                  <c:v>2.1504309103437718E-3</c:v>
                </c:pt>
                <c:pt idx="69">
                  <c:v>1.9293683109119419E-3</c:v>
                </c:pt>
                <c:pt idx="70">
                  <c:v>9.7096620801999237E-4</c:v>
                </c:pt>
                <c:pt idx="71">
                  <c:v>1.3238781836642686E-3</c:v>
                </c:pt>
                <c:pt idx="72">
                  <c:v>6.451676950723149E-4</c:v>
                </c:pt>
                <c:pt idx="73">
                  <c:v>1.8111219662975901E-3</c:v>
                </c:pt>
                <c:pt idx="74">
                  <c:v>-2.4866180636609652E-4</c:v>
                </c:pt>
                <c:pt idx="75">
                  <c:v>5.3086325378264151E-4</c:v>
                </c:pt>
                <c:pt idx="76">
                  <c:v>1.7865298874050282E-3</c:v>
                </c:pt>
                <c:pt idx="77">
                  <c:v>1.2871211775535624E-3</c:v>
                </c:pt>
                <c:pt idx="78">
                  <c:v>-7.6459142483611129E-4</c:v>
                </c:pt>
                <c:pt idx="79">
                  <c:v>-1.3814245025201824E-4</c:v>
                </c:pt>
                <c:pt idx="80">
                  <c:v>1.9845459760475465E-3</c:v>
                </c:pt>
                <c:pt idx="81">
                  <c:v>2.2494941512968972E-3</c:v>
                </c:pt>
                <c:pt idx="82">
                  <c:v>3.0803435181810672E-3</c:v>
                </c:pt>
                <c:pt idx="83">
                  <c:v>4.807710065724718E-3</c:v>
                </c:pt>
                <c:pt idx="84">
                  <c:v>3.8017330672803626E-3</c:v>
                </c:pt>
                <c:pt idx="85">
                  <c:v>3.5645218943373318E-3</c:v>
                </c:pt>
                <c:pt idx="86">
                  <c:v>2.9317886365599595E-3</c:v>
                </c:pt>
                <c:pt idx="87">
                  <c:v>1.1115000377699305E-3</c:v>
                </c:pt>
                <c:pt idx="88">
                  <c:v>4.0269169315165299E-3</c:v>
                </c:pt>
                <c:pt idx="89">
                  <c:v>4.1540242294974749E-3</c:v>
                </c:pt>
                <c:pt idx="90">
                  <c:v>4.0204725144651144E-3</c:v>
                </c:pt>
                <c:pt idx="91">
                  <c:v>3.8998794841407047E-3</c:v>
                </c:pt>
                <c:pt idx="92">
                  <c:v>3.5068277328628278E-3</c:v>
                </c:pt>
                <c:pt idx="93">
                  <c:v>4.4028946979268518E-3</c:v>
                </c:pt>
                <c:pt idx="94">
                  <c:v>5.2739127854416097E-3</c:v>
                </c:pt>
                <c:pt idx="95">
                  <c:v>5.0708652312117875E-3</c:v>
                </c:pt>
                <c:pt idx="96">
                  <c:v>5.1815083705754354E-3</c:v>
                </c:pt>
                <c:pt idx="97">
                  <c:v>4.9700680481184053E-3</c:v>
                </c:pt>
                <c:pt idx="98">
                  <c:v>4.4441439856981501E-3</c:v>
                </c:pt>
                <c:pt idx="99">
                  <c:v>5.8585189870887146E-3</c:v>
                </c:pt>
                <c:pt idx="100">
                  <c:v>5.5975617839030389E-3</c:v>
                </c:pt>
                <c:pt idx="101">
                  <c:v>4.7337423434648442E-3</c:v>
                </c:pt>
                <c:pt idx="102">
                  <c:v>6.4377020169818829E-3</c:v>
                </c:pt>
                <c:pt idx="103">
                  <c:v>7.6011579925299964E-3</c:v>
                </c:pt>
                <c:pt idx="104">
                  <c:v>7.9609231152381037E-3</c:v>
                </c:pt>
                <c:pt idx="105">
                  <c:v>1.0467914344671217E-2</c:v>
                </c:pt>
                <c:pt idx="106">
                  <c:v>9.8608476347093223E-3</c:v>
                </c:pt>
                <c:pt idx="107">
                  <c:v>9.0992496184097143E-3</c:v>
                </c:pt>
                <c:pt idx="108">
                  <c:v>6.6609234732751352E-3</c:v>
                </c:pt>
                <c:pt idx="109">
                  <c:v>6.8157244712314762E-3</c:v>
                </c:pt>
                <c:pt idx="110">
                  <c:v>5.9350380494311511E-3</c:v>
                </c:pt>
                <c:pt idx="111">
                  <c:v>6.8286939582770743E-3</c:v>
                </c:pt>
                <c:pt idx="112">
                  <c:v>1.1075169439657502E-2</c:v>
                </c:pt>
                <c:pt idx="113">
                  <c:v>1.0998036020334978E-2</c:v>
                </c:pt>
                <c:pt idx="114">
                  <c:v>1.2296850500287058E-2</c:v>
                </c:pt>
                <c:pt idx="115">
                  <c:v>6.418557518456481E-3</c:v>
                </c:pt>
                <c:pt idx="116">
                  <c:v>3.6424329712664762E-3</c:v>
                </c:pt>
                <c:pt idx="117">
                  <c:v>4.1387343060859776E-3</c:v>
                </c:pt>
                <c:pt idx="118">
                  <c:v>2.5825792995376011E-3</c:v>
                </c:pt>
                <c:pt idx="119">
                  <c:v>1.9505399872119186E-3</c:v>
                </c:pt>
                <c:pt idx="120">
                  <c:v>1.5960759097718733E-3</c:v>
                </c:pt>
                <c:pt idx="121">
                  <c:v>-2.3246728639370721E-4</c:v>
                </c:pt>
                <c:pt idx="122">
                  <c:v>-2.4092627845078421E-3</c:v>
                </c:pt>
                <c:pt idx="123">
                  <c:v>-3.496972815000895E-3</c:v>
                </c:pt>
                <c:pt idx="124">
                  <c:v>-4.8207617933009785E-3</c:v>
                </c:pt>
                <c:pt idx="125">
                  <c:v>-6.060278171651134E-3</c:v>
                </c:pt>
                <c:pt idx="126">
                  <c:v>-4.9273954418308161E-3</c:v>
                </c:pt>
                <c:pt idx="127">
                  <c:v>-4.9548326041208264E-3</c:v>
                </c:pt>
                <c:pt idx="128">
                  <c:v>-5.1853839786596282E-3</c:v>
                </c:pt>
                <c:pt idx="129">
                  <c:v>-3.3256938969852593E-3</c:v>
                </c:pt>
                <c:pt idx="130">
                  <c:v>-3.4113258742913466E-3</c:v>
                </c:pt>
                <c:pt idx="131">
                  <c:v>-5.2608377569430091E-3</c:v>
                </c:pt>
                <c:pt idx="132">
                  <c:v>-5.7780383255931194E-3</c:v>
                </c:pt>
                <c:pt idx="133">
                  <c:v>-8.8216770093882905E-3</c:v>
                </c:pt>
                <c:pt idx="134">
                  <c:v>-8.194941423026984E-3</c:v>
                </c:pt>
                <c:pt idx="135">
                  <c:v>-7.2838784338370129E-3</c:v>
                </c:pt>
                <c:pt idx="136">
                  <c:v>-7.6631092001327918E-3</c:v>
                </c:pt>
                <c:pt idx="137">
                  <c:v>-6.4590465910598863E-3</c:v>
                </c:pt>
                <c:pt idx="138">
                  <c:v>-5.5035510110005501E-3</c:v>
                </c:pt>
                <c:pt idx="139">
                  <c:v>-5.1346732894692135E-3</c:v>
                </c:pt>
                <c:pt idx="140">
                  <c:v>-5.9080164281700145E-3</c:v>
                </c:pt>
                <c:pt idx="141">
                  <c:v>-6.2567170166611249E-3</c:v>
                </c:pt>
                <c:pt idx="142">
                  <c:v>-5.0105226876141391E-3</c:v>
                </c:pt>
                <c:pt idx="143">
                  <c:v>-6.8736855932103914E-3</c:v>
                </c:pt>
                <c:pt idx="144">
                  <c:v>-6.4599768042074386E-3</c:v>
                </c:pt>
                <c:pt idx="145">
                  <c:v>-5.3536073421228134E-3</c:v>
                </c:pt>
                <c:pt idx="146">
                  <c:v>-4.5290926990467642E-3</c:v>
                </c:pt>
                <c:pt idx="147">
                  <c:v>-4.0553961823756417E-3</c:v>
                </c:pt>
                <c:pt idx="148">
                  <c:v>-3.6445142552997815E-3</c:v>
                </c:pt>
                <c:pt idx="149">
                  <c:v>-4.6453434293531716E-3</c:v>
                </c:pt>
                <c:pt idx="150">
                  <c:v>-4.7415043188573655E-3</c:v>
                </c:pt>
                <c:pt idx="151">
                  <c:v>-4.3990151039197496E-3</c:v>
                </c:pt>
                <c:pt idx="152">
                  <c:v>-4.2634692069675626E-3</c:v>
                </c:pt>
                <c:pt idx="153">
                  <c:v>-3.446262412968415E-3</c:v>
                </c:pt>
                <c:pt idx="154">
                  <c:v>-1.7467417072074046E-3</c:v>
                </c:pt>
                <c:pt idx="155">
                  <c:v>-2.8142971688920899E-3</c:v>
                </c:pt>
                <c:pt idx="156">
                  <c:v>-3.5339489962690879E-3</c:v>
                </c:pt>
                <c:pt idx="157">
                  <c:v>-5.3777922630285765E-3</c:v>
                </c:pt>
                <c:pt idx="158">
                  <c:v>-3.2839124377573355E-3</c:v>
                </c:pt>
                <c:pt idx="159">
                  <c:v>-2.8066082427380991E-3</c:v>
                </c:pt>
                <c:pt idx="160">
                  <c:v>-3.5583776223466748E-3</c:v>
                </c:pt>
                <c:pt idx="161">
                  <c:v>-3.5607623120861446E-3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5-4C63-AAC7-FDBE25128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013791"/>
        <c:axId val="1630408336"/>
      </c:lineChart>
      <c:catAx>
        <c:axId val="116801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08336"/>
        <c:crosses val="autoZero"/>
        <c:auto val="1"/>
        <c:lblAlgn val="ctr"/>
        <c:lblOffset val="100"/>
        <c:noMultiLvlLbl val="0"/>
      </c:catAx>
      <c:valAx>
        <c:axId val="16304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01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RE!$F$1:$F$164</c:f>
              <c:numCache>
                <c:formatCode>General</c:formatCode>
                <c:ptCount val="164"/>
                <c:pt idx="0">
                  <c:v>0</c:v>
                </c:pt>
                <c:pt idx="20" formatCode="_(* #,##0.0000_);_(* \(#,##0.0000\);_(* &quot;-&quot;??_);_(@_)">
                  <c:v>2.329683272382582</c:v>
                </c:pt>
                <c:pt idx="21" formatCode="_(* #,##0.0000_);_(* \(#,##0.0000\);_(* &quot;-&quot;??_);_(@_)">
                  <c:v>2.3295489587623646</c:v>
                </c:pt>
                <c:pt idx="22" formatCode="_(* #,##0.0000_);_(* \(#,##0.0000\);_(* &quot;-&quot;??_);_(@_)">
                  <c:v>2.3295309188031736</c:v>
                </c:pt>
                <c:pt idx="23" formatCode="_(* #,##0.0000_);_(* \(#,##0.0000\);_(* &quot;-&quot;??_);_(@_)">
                  <c:v>2.3292896809859593</c:v>
                </c:pt>
                <c:pt idx="24" formatCode="_(* #,##0.0000_);_(* \(#,##0.0000\);_(* &quot;-&quot;??_);_(@_)">
                  <c:v>2.3290633992393528</c:v>
                </c:pt>
                <c:pt idx="25" formatCode="_(* #,##0.0000_);_(* \(#,##0.0000\);_(* &quot;-&quot;??_);_(@_)">
                  <c:v>2.3284143174199095</c:v>
                </c:pt>
                <c:pt idx="26" formatCode="_(* #,##0.0000_);_(* \(#,##0.0000\);_(* &quot;-&quot;??_);_(@_)">
                  <c:v>2.3274986917350531</c:v>
                </c:pt>
                <c:pt idx="27" formatCode="_(* #,##0.0000_);_(* \(#,##0.0000\);_(* &quot;-&quot;??_);_(@_)">
                  <c:v>2.326616325002048</c:v>
                </c:pt>
                <c:pt idx="28" formatCode="_(* #,##0.0000_);_(* \(#,##0.0000\);_(* &quot;-&quot;??_);_(@_)">
                  <c:v>2.3256116720842557</c:v>
                </c:pt>
                <c:pt idx="29" formatCode="_(* #,##0.0000_);_(* \(#,##0.0000\);_(* &quot;-&quot;??_);_(@_)">
                  <c:v>2.3245325627816915</c:v>
                </c:pt>
                <c:pt idx="30" formatCode="_(* #,##0.0000_);_(* \(#,##0.0000\);_(* &quot;-&quot;??_);_(@_)">
                  <c:v>2.3233850394210696</c:v>
                </c:pt>
                <c:pt idx="31" formatCode="_(* #,##0.0000_);_(* \(#,##0.0000\);_(* &quot;-&quot;??_);_(@_)">
                  <c:v>2.3221000038407942</c:v>
                </c:pt>
                <c:pt idx="32" formatCode="_(* #,##0.0000_);_(* \(#,##0.0000\);_(* &quot;-&quot;??_);_(@_)">
                  <c:v>2.3210145935470945</c:v>
                </c:pt>
                <c:pt idx="33" formatCode="_(* #,##0.0000_);_(* \(#,##0.0000\);_(* &quot;-&quot;??_);_(@_)">
                  <c:v>2.3202529191922343</c:v>
                </c:pt>
                <c:pt idx="34" formatCode="_(* #,##0.0000_);_(* \(#,##0.0000\);_(* &quot;-&quot;??_);_(@_)">
                  <c:v>2.3192738774377917</c:v>
                </c:pt>
                <c:pt idx="35" formatCode="_(* #,##0.0000_);_(* \(#,##0.0000\);_(* &quot;-&quot;??_);_(@_)">
                  <c:v>2.3180990871130813</c:v>
                </c:pt>
                <c:pt idx="36" formatCode="_(* #,##0.0000_);_(* \(#,##0.0000\);_(* &quot;-&quot;??_);_(@_)">
                  <c:v>2.3169304930109242</c:v>
                </c:pt>
                <c:pt idx="37" formatCode="_(* #,##0.0000_);_(* \(#,##0.0000\);_(* &quot;-&quot;??_);_(@_)">
                  <c:v>2.3160576569151599</c:v>
                </c:pt>
                <c:pt idx="38" formatCode="_(* #,##0.0000_);_(* \(#,##0.0000\);_(* &quot;-&quot;??_);_(@_)">
                  <c:v>2.3154840142524105</c:v>
                </c:pt>
                <c:pt idx="39" formatCode="_(* #,##0.0000_);_(* \(#,##0.0000\);_(* &quot;-&quot;??_);_(@_)">
                  <c:v>2.314642533860928</c:v>
                </c:pt>
                <c:pt idx="40" formatCode="_(* #,##0.0000_);_(* \(#,##0.0000\);_(* &quot;-&quot;??_);_(@_)">
                  <c:v>2.314127559626951</c:v>
                </c:pt>
                <c:pt idx="41" formatCode="_(* #,##0.0000_);_(* \(#,##0.0000\);_(* &quot;-&quot;??_);_(@_)">
                  <c:v>2.3133948751750775</c:v>
                </c:pt>
                <c:pt idx="42" formatCode="_(* #,##0.0000_);_(* \(#,##0.0000\);_(* &quot;-&quot;??_);_(@_)">
                  <c:v>2.3124725837966964</c:v>
                </c:pt>
                <c:pt idx="43" formatCode="_(* #,##0.0000_);_(* \(#,##0.0000\);_(* &quot;-&quot;??_);_(@_)">
                  <c:v>2.3118387171601267</c:v>
                </c:pt>
                <c:pt idx="44" formatCode="_(* #,##0.0000_);_(* \(#,##0.0000\);_(* &quot;-&quot;??_);_(@_)">
                  <c:v>2.3106836887034485</c:v>
                </c:pt>
                <c:pt idx="45" formatCode="_(* #,##0.0000_);_(* \(#,##0.0000\);_(* &quot;-&quot;??_);_(@_)">
                  <c:v>2.3098315086933843</c:v>
                </c:pt>
                <c:pt idx="46" formatCode="_(* #,##0.0000_);_(* \(#,##0.0000\);_(* &quot;-&quot;??_);_(@_)">
                  <c:v>2.3092548144721272</c:v>
                </c:pt>
                <c:pt idx="47" formatCode="_(* #,##0.0000_);_(* \(#,##0.0000\);_(* &quot;-&quot;??_);_(@_)">
                  <c:v>2.3088856909522484</c:v>
                </c:pt>
                <c:pt idx="48" formatCode="_(* #,##0.0000_);_(* \(#,##0.0000\);_(* &quot;-&quot;??_);_(@_)">
                  <c:v>2.3087854964514967</c:v>
                </c:pt>
                <c:pt idx="49" formatCode="_(* #,##0.0000_);_(* \(#,##0.0000\);_(* &quot;-&quot;??_);_(@_)">
                  <c:v>2.3088563726245424</c:v>
                </c:pt>
                <c:pt idx="50" formatCode="_(* #,##0.0000_);_(* \(#,##0.0000\);_(* &quot;-&quot;??_);_(@_)">
                  <c:v>2.3090320365539672</c:v>
                </c:pt>
                <c:pt idx="51" formatCode="_(* #,##0.0000_);_(* \(#,##0.0000\);_(* &quot;-&quot;??_);_(@_)">
                  <c:v>2.3093193483983874</c:v>
                </c:pt>
                <c:pt idx="52" formatCode="_(* #,##0.0000_);_(* \(#,##0.0000\);_(* &quot;-&quot;??_);_(@_)">
                  <c:v>2.309526068477858</c:v>
                </c:pt>
                <c:pt idx="53" formatCode="_(* #,##0.0000_);_(* \(#,##0.0000\);_(* &quot;-&quot;??_);_(@_)">
                  <c:v>2.3093749424353081</c:v>
                </c:pt>
                <c:pt idx="54" formatCode="_(* #,##0.0000_);_(* \(#,##0.0000\);_(* &quot;-&quot;??_);_(@_)">
                  <c:v>2.3094246714325979</c:v>
                </c:pt>
                <c:pt idx="55" formatCode="_(* #,##0.0000_);_(* \(#,##0.0000\);_(* &quot;-&quot;??_);_(@_)">
                  <c:v>2.3100292903236213</c:v>
                </c:pt>
                <c:pt idx="56" formatCode="_(* #,##0.0000_);_(* \(#,##0.0000\);_(* &quot;-&quot;??_);_(@_)">
                  <c:v>2.3108436838212092</c:v>
                </c:pt>
                <c:pt idx="57" formatCode="_(* #,##0.0000_);_(* \(#,##0.0000\);_(* &quot;-&quot;??_);_(@_)">
                  <c:v>2.3113954868899063</c:v>
                </c:pt>
                <c:pt idx="58" formatCode="_(* #,##0.0000_);_(* \(#,##0.0000\);_(* &quot;-&quot;??_);_(@_)">
                  <c:v>2.3114273354059964</c:v>
                </c:pt>
                <c:pt idx="59" formatCode="_(* #,##0.0000_);_(* \(#,##0.0000\);_(* &quot;-&quot;??_);_(@_)">
                  <c:v>2.3116499531092347</c:v>
                </c:pt>
                <c:pt idx="60" formatCode="_(* #,##0.0000_);_(* \(#,##0.0000\);_(* &quot;-&quot;??_);_(@_)">
                  <c:v>2.3117708971602529</c:v>
                </c:pt>
                <c:pt idx="61" formatCode="_(* #,##0.0000_);_(* \(#,##0.0000\);_(* &quot;-&quot;??_);_(@_)">
                  <c:v>2.3120532309537181</c:v>
                </c:pt>
                <c:pt idx="62" formatCode="_(* #,##0.0000_);_(* \(#,##0.0000\);_(* &quot;-&quot;??_);_(@_)">
                  <c:v>2.3124310772593524</c:v>
                </c:pt>
                <c:pt idx="63" formatCode="_(* #,##0.0000_);_(* \(#,##0.0000\);_(* &quot;-&quot;??_);_(@_)">
                  <c:v>2.3125138441832362</c:v>
                </c:pt>
                <c:pt idx="64" formatCode="_(* #,##0.0000_);_(* \(#,##0.0000\);_(* &quot;-&quot;??_);_(@_)">
                  <c:v>2.3124645472872296</c:v>
                </c:pt>
                <c:pt idx="65" formatCode="_(* #,##0.0000_);_(* \(#,##0.0000\);_(* &quot;-&quot;??_);_(@_)">
                  <c:v>2.3126311613827513</c:v>
                </c:pt>
                <c:pt idx="66" formatCode="_(* #,##0.0000_);_(* \(#,##0.0000\);_(* &quot;-&quot;??_);_(@_)">
                  <c:v>2.3128414796831107</c:v>
                </c:pt>
                <c:pt idx="67" formatCode="_(* #,##0.0000_);_(* \(#,##0.0000\);_(* &quot;-&quot;??_);_(@_)">
                  <c:v>2.3130175577345491</c:v>
                </c:pt>
                <c:pt idx="68" formatCode="_(* #,##0.0000_);_(* \(#,##0.0000\);_(* &quot;-&quot;??_);_(@_)">
                  <c:v>2.3131688627304401</c:v>
                </c:pt>
                <c:pt idx="69" formatCode="_(* #,##0.0000_);_(* \(#,##0.0000\);_(* &quot;-&quot;??_);_(@_)">
                  <c:v>2.3133700214044026</c:v>
                </c:pt>
                <c:pt idx="70" formatCode="_(* #,##0.0000_);_(* \(#,##0.0000\);_(* &quot;-&quot;??_);_(@_)">
                  <c:v>2.3136102837508443</c:v>
                </c:pt>
                <c:pt idx="71" formatCode="_(* #,##0.0000_);_(* \(#,##0.0000\);_(* &quot;-&quot;??_);_(@_)">
                  <c:v>2.3138767442648485</c:v>
                </c:pt>
                <c:pt idx="72" formatCode="_(* #,##0.0000_);_(* \(#,##0.0000\);_(* &quot;-&quot;??_);_(@_)">
                  <c:v>2.313999587701105</c:v>
                </c:pt>
                <c:pt idx="73" formatCode="_(* #,##0.0000_);_(* \(#,##0.0000\);_(* &quot;-&quot;??_);_(@_)">
                  <c:v>2.3143666243485046</c:v>
                </c:pt>
                <c:pt idx="74" formatCode="_(* #,##0.0000_);_(* \(#,##0.0000\);_(* &quot;-&quot;??_);_(@_)">
                  <c:v>2.3145378549471745</c:v>
                </c:pt>
                <c:pt idx="75" formatCode="_(* #,##0.0000_);_(* \(#,##0.0000\);_(* &quot;-&quot;??_);_(@_)">
                  <c:v>2.314559313117575</c:v>
                </c:pt>
                <c:pt idx="76" formatCode="_(* #,##0.0000_);_(* \(#,##0.0000\);_(* &quot;-&quot;??_);_(@_)">
                  <c:v>2.3143110925829946</c:v>
                </c:pt>
                <c:pt idx="77" formatCode="_(* #,##0.0000_);_(* \(#,##0.0000\);_(* &quot;-&quot;??_);_(@_)">
                  <c:v>2.3138599691041479</c:v>
                </c:pt>
                <c:pt idx="78" formatCode="_(* #,##0.0000_);_(* \(#,##0.0000\);_(* &quot;-&quot;??_);_(@_)">
                  <c:v>2.313710377734663</c:v>
                </c:pt>
                <c:pt idx="79" formatCode="_(* #,##0.0000_);_(* \(#,##0.0000\);_(* &quot;-&quot;??_);_(@_)">
                  <c:v>2.3139000118621169</c:v>
                </c:pt>
                <c:pt idx="80" formatCode="_(* #,##0.0000_);_(* \(#,##0.0000\);_(* &quot;-&quot;??_);_(@_)">
                  <c:v>2.3140331321561591</c:v>
                </c:pt>
                <c:pt idx="81" formatCode="_(* #,##0.0000_);_(* \(#,##0.0000\);_(* &quot;-&quot;??_);_(@_)">
                  <c:v>2.3138408738083518</c:v>
                </c:pt>
                <c:pt idx="82" formatCode="_(* #,##0.0000_);_(* \(#,##0.0000\);_(* &quot;-&quot;??_);_(@_)">
                  <c:v>2.3135666022840811</c:v>
                </c:pt>
                <c:pt idx="83" formatCode="_(* #,##0.0000_);_(* \(#,##0.0000\);_(* &quot;-&quot;??_);_(@_)">
                  <c:v>2.3133876477145305</c:v>
                </c:pt>
                <c:pt idx="84" formatCode="_(* #,##0.0000_);_(* \(#,##0.0000\);_(* &quot;-&quot;??_);_(@_)">
                  <c:v>2.3132811494285859</c:v>
                </c:pt>
                <c:pt idx="85" formatCode="_(* #,##0.0000_);_(* \(#,##0.0000\);_(* &quot;-&quot;??_);_(@_)">
                  <c:v>2.3130721871063802</c:v>
                </c:pt>
                <c:pt idx="86" formatCode="_(* #,##0.0000_);_(* \(#,##0.0000\);_(* &quot;-&quot;??_);_(@_)">
                  <c:v>2.312813666518057</c:v>
                </c:pt>
                <c:pt idx="87" formatCode="_(* #,##0.0000_);_(* \(#,##0.0000\);_(* &quot;-&quot;??_);_(@_)">
                  <c:v>2.3125825062681744</c:v>
                </c:pt>
                <c:pt idx="88" formatCode="_(* #,##0.0000_);_(* \(#,##0.0000\);_(* &quot;-&quot;??_);_(@_)">
                  <c:v>2.312664887956112</c:v>
                </c:pt>
                <c:pt idx="89" formatCode="_(* #,##0.0000_);_(* \(#,##0.0000\);_(* &quot;-&quot;??_);_(@_)">
                  <c:v>2.3124481962399175</c:v>
                </c:pt>
                <c:pt idx="90" formatCode="_(* #,##0.0000_);_(* \(#,##0.0000\);_(* &quot;-&quot;??_);_(@_)">
                  <c:v>2.3121912866871828</c:v>
                </c:pt>
                <c:pt idx="91" formatCode="_(* #,##0.0000_);_(* \(#,##0.0000\);_(* &quot;-&quot;??_);_(@_)">
                  <c:v>2.3118389286898315</c:v>
                </c:pt>
                <c:pt idx="92" formatCode="_(* #,##0.0000_);_(* \(#,##0.0000\);_(* &quot;-&quot;??_);_(@_)">
                  <c:v>2.3115413168672636</c:v>
                </c:pt>
                <c:pt idx="93" formatCode="_(* #,##0.0000_);_(* \(#,##0.0000\);_(* &quot;-&quot;??_);_(@_)">
                  <c:v>2.3112105249428572</c:v>
                </c:pt>
                <c:pt idx="94" formatCode="_(* #,##0.0000_);_(* \(#,##0.0000\);_(* &quot;-&quot;??_);_(@_)">
                  <c:v>2.3109112392285711</c:v>
                </c:pt>
                <c:pt idx="95" formatCode="_(* #,##0.0000_);_(* \(#,##0.0000\);_(* &quot;-&quot;??_);_(@_)">
                  <c:v>2.3102731385168775</c:v>
                </c:pt>
                <c:pt idx="96" formatCode="_(* #,##0.0000_);_(* \(#,##0.0000\);_(* &quot;-&quot;??_);_(@_)">
                  <c:v>2.3097487196338933</c:v>
                </c:pt>
                <c:pt idx="97" formatCode="_(* #,##0.0000_);_(* \(#,##0.0000\);_(* &quot;-&quot;??_);_(@_)">
                  <c:v>2.3093568311959873</c:v>
                </c:pt>
                <c:pt idx="98" formatCode="_(* #,##0.0000_);_(* \(#,##0.0000\);_(* &quot;-&quot;??_);_(@_)">
                  <c:v>2.3089315508878276</c:v>
                </c:pt>
                <c:pt idx="99" formatCode="_(* #,##0.0000_);_(* \(#,##0.0000\);_(* &quot;-&quot;??_);_(@_)">
                  <c:v>2.3083293074322766</c:v>
                </c:pt>
                <c:pt idx="100" formatCode="_(* #,##0.0000_);_(* \(#,##0.0000\);_(* &quot;-&quot;??_);_(@_)">
                  <c:v>2.307636669419165</c:v>
                </c:pt>
                <c:pt idx="101" formatCode="_(* #,##0.0000_);_(* \(#,##0.0000\);_(* &quot;-&quot;??_);_(@_)">
                  <c:v>2.3072197405476862</c:v>
                </c:pt>
                <c:pt idx="102" formatCode="_(* #,##0.0000_);_(* \(#,##0.0000\);_(* &quot;-&quot;??_);_(@_)">
                  <c:v>2.306932981579124</c:v>
                </c:pt>
                <c:pt idx="103" formatCode="_(* #,##0.0000_);_(* \(#,##0.0000\);_(* &quot;-&quot;??_);_(@_)">
                  <c:v>2.3065459294949475</c:v>
                </c:pt>
                <c:pt idx="104" formatCode="_(* #,##0.0000_);_(* \(#,##0.0000\);_(* &quot;-&quot;??_);_(@_)">
                  <c:v>2.3062243528678237</c:v>
                </c:pt>
                <c:pt idx="105" formatCode="_(* #,##0.0000_);_(* \(#,##0.0000\);_(* &quot;-&quot;??_);_(@_)">
                  <c:v>2.3057453995831874</c:v>
                </c:pt>
                <c:pt idx="106" formatCode="_(* #,##0.0000_);_(* \(#,##0.0000\);_(* &quot;-&quot;??_);_(@_)">
                  <c:v>2.3049513371926791</c:v>
                </c:pt>
                <c:pt idx="107" formatCode="_(* #,##0.0000_);_(* \(#,##0.0000\);_(* &quot;-&quot;??_);_(@_)">
                  <c:v>2.3041538282743645</c:v>
                </c:pt>
                <c:pt idx="108" formatCode="_(* #,##0.0000_);_(* \(#,##0.0000\);_(* &quot;-&quot;??_);_(@_)">
                  <c:v>2.3032332797936483</c:v>
                </c:pt>
                <c:pt idx="109" formatCode="_(* #,##0.0000_);_(* \(#,##0.0000\);_(* &quot;-&quot;??_);_(@_)">
                  <c:v>2.3029297967396802</c:v>
                </c:pt>
                <c:pt idx="110" formatCode="_(* #,##0.0000_);_(* \(#,##0.0000\);_(* &quot;-&quot;??_);_(@_)">
                  <c:v>2.3026231661151186</c:v>
                </c:pt>
                <c:pt idx="111" formatCode="_(* #,##0.0000_);_(* \(#,##0.0000\);_(* &quot;-&quot;??_);_(@_)">
                  <c:v>2.3024024943355061</c:v>
                </c:pt>
                <c:pt idx="112" formatCode="_(* #,##0.0000_);_(* \(#,##0.0000\);_(* &quot;-&quot;??_);_(@_)">
                  <c:v>2.3020650511647105</c:v>
                </c:pt>
                <c:pt idx="113" formatCode="_(* #,##0.0000_);_(* \(#,##0.0000\);_(* &quot;-&quot;??_);_(@_)">
                  <c:v>2.3011947418451952</c:v>
                </c:pt>
                <c:pt idx="114" formatCode="_(* #,##0.0000_);_(* \(#,##0.0000\);_(* &quot;-&quot;??_);_(@_)">
                  <c:v>2.3004366550539377</c:v>
                </c:pt>
                <c:pt idx="115" formatCode="_(* #,##0.0000_);_(* \(#,##0.0000\);_(* &quot;-&quot;??_);_(@_)">
                  <c:v>2.2996302698090636</c:v>
                </c:pt>
                <c:pt idx="116" formatCode="_(* #,##0.0000_);_(* \(#,##0.0000\);_(* &quot;-&quot;??_);_(@_)">
                  <c:v>2.2994750546317446</c:v>
                </c:pt>
                <c:pt idx="117" formatCode="_(* #,##0.0000_);_(* \(#,##0.0000\);_(* &quot;-&quot;??_);_(@_)">
                  <c:v>2.2996525480080954</c:v>
                </c:pt>
                <c:pt idx="118" formatCode="_(* #,##0.0000_);_(* \(#,##0.0000\);_(* &quot;-&quot;??_);_(@_)">
                  <c:v>2.2997484076440093</c:v>
                </c:pt>
                <c:pt idx="119" formatCode="_(* #,##0.0000_);_(* \(#,##0.0000\);_(* &quot;-&quot;??_);_(@_)">
                  <c:v>2.2999632850076597</c:v>
                </c:pt>
                <c:pt idx="120" formatCode="_(* #,##0.0000_);_(* \(#,##0.0000\);_(* &quot;-&quot;??_);_(@_)">
                  <c:v>2.3004142004286008</c:v>
                </c:pt>
                <c:pt idx="121" formatCode="_(* #,##0.0000_);_(* \(#,##0.0000\);_(* &quot;-&quot;??_);_(@_)">
                  <c:v>2.3008760470865512</c:v>
                </c:pt>
                <c:pt idx="122" formatCode="_(* #,##0.0000_);_(* \(#,##0.0000\);_(* &quot;-&quot;??_);_(@_)">
                  <c:v>2.3014500133425431</c:v>
                </c:pt>
                <c:pt idx="123" formatCode="_(* #,##0.0000_);_(* \(#,##0.0000\);_(* &quot;-&quot;??_);_(@_)">
                  <c:v>2.3024727392493753</c:v>
                </c:pt>
                <c:pt idx="124" formatCode="_(* #,##0.0000_);_(* \(#,##0.0000\);_(* &quot;-&quot;??_);_(@_)">
                  <c:v>2.3037556580265384</c:v>
                </c:pt>
                <c:pt idx="125" formatCode="_(* #,##0.0000_);_(* \(#,##0.0000\);_(* &quot;-&quot;??_);_(@_)">
                  <c:v>2.305233906680312</c:v>
                </c:pt>
                <c:pt idx="126" formatCode="_(* #,##0.0000_);_(* \(#,##0.0000\);_(* &quot;-&quot;??_);_(@_)">
                  <c:v>2.3071442503610893</c:v>
                </c:pt>
                <c:pt idx="127" formatCode="_(* #,##0.0000_);_(* \(#,##0.0000\);_(* &quot;-&quot;??_);_(@_)">
                  <c:v>2.3088530358935095</c:v>
                </c:pt>
                <c:pt idx="128" formatCode="_(* #,##0.0000_);_(* \(#,##0.0000\);_(* &quot;-&quot;??_);_(@_)">
                  <c:v>2.3104776283095205</c:v>
                </c:pt>
                <c:pt idx="129" formatCode="_(* #,##0.0000_);_(* \(#,##0.0000\);_(* &quot;-&quot;??_);_(@_)">
                  <c:v>2.3118488366177603</c:v>
                </c:pt>
                <c:pt idx="130" formatCode="_(* #,##0.0000_);_(* \(#,##0.0000\);_(* &quot;-&quot;??_);_(@_)">
                  <c:v>2.3130215206612834</c:v>
                </c:pt>
                <c:pt idx="131" formatCode="_(* #,##0.0000_);_(* \(#,##0.0000\);_(* &quot;-&quot;??_);_(@_)">
                  <c:v>2.3141027916655643</c:v>
                </c:pt>
                <c:pt idx="132" formatCode="_(* #,##0.0000_);_(* \(#,##0.0000\);_(* &quot;-&quot;??_);_(@_)">
                  <c:v>2.3155020888944482</c:v>
                </c:pt>
                <c:pt idx="133" formatCode="_(* #,##0.0000_);_(* \(#,##0.0000\);_(* &quot;-&quot;??_);_(@_)">
                  <c:v>2.3174491328814826</c:v>
                </c:pt>
                <c:pt idx="134" formatCode="_(* #,##0.0000_);_(* \(#,##0.0000\);_(* &quot;-&quot;??_);_(@_)">
                  <c:v>2.3197424820698238</c:v>
                </c:pt>
                <c:pt idx="135" formatCode="_(* #,##0.0000_);_(* \(#,##0.0000\);_(* &quot;-&quot;??_);_(@_)">
                  <c:v>2.3221113187741658</c:v>
                </c:pt>
                <c:pt idx="136" formatCode="_(* #,##0.0000_);_(* \(#,##0.0000\);_(* &quot;-&quot;??_);_(@_)">
                  <c:v>2.3236992342684539</c:v>
                </c:pt>
                <c:pt idx="137" formatCode="_(* #,##0.0000_);_(* \(#,##0.0000\);_(* &quot;-&quot;??_);_(@_)">
                  <c:v>2.3250114495527372</c:v>
                </c:pt>
                <c:pt idx="138" formatCode="_(* #,##0.0000_);_(* \(#,##0.0000\);_(* &quot;-&quot;??_);_(@_)">
                  <c:v>2.3262404700451969</c:v>
                </c:pt>
                <c:pt idx="139" formatCode="_(* #,##0.0000_);_(* \(#,##0.0000\);_(* &quot;-&quot;??_);_(@_)">
                  <c:v>2.3271784952455672</c:v>
                </c:pt>
                <c:pt idx="140" formatCode="_(* #,##0.0000_);_(* \(#,##0.0000\);_(* &quot;-&quot;??_);_(@_)">
                  <c:v>2.328000517486168</c:v>
                </c:pt>
                <c:pt idx="141" formatCode="_(* #,##0.0000_);_(* \(#,##0.0000\);_(* &quot;-&quot;??_);_(@_)">
                  <c:v>2.3288716291331424</c:v>
                </c:pt>
                <c:pt idx="142" formatCode="_(* #,##0.0000_);_(* \(#,##0.0000\);_(* &quot;-&quot;??_);_(@_)">
                  <c:v>2.3295717145611619</c:v>
                </c:pt>
                <c:pt idx="143" formatCode="_(* #,##0.0000_);_(* \(#,##0.0000\);_(* &quot;-&quot;??_);_(@_)">
                  <c:v>2.3298741504744873</c:v>
                </c:pt>
                <c:pt idx="144" formatCode="_(* #,##0.0000_);_(* \(#,##0.0000\);_(* &quot;-&quot;??_);_(@_)">
                  <c:v>2.3302673242958098</c:v>
                </c:pt>
                <c:pt idx="145" formatCode="_(* #,##0.0000_);_(* \(#,##0.0000\);_(* &quot;-&quot;??_);_(@_)">
                  <c:v>2.3304582761405381</c:v>
                </c:pt>
                <c:pt idx="146" formatCode="_(* #,##0.0000_);_(* \(#,##0.0000\);_(* &quot;-&quot;??_);_(@_)">
                  <c:v>2.3303759507170621</c:v>
                </c:pt>
                <c:pt idx="147" formatCode="_(* #,##0.0000_);_(* \(#,##0.0000\);_(* &quot;-&quot;??_);_(@_)">
                  <c:v>2.3303295948129072</c:v>
                </c:pt>
                <c:pt idx="148" formatCode="_(* #,##0.0000_);_(* \(#,##0.0000\);_(* &quot;-&quot;??_);_(@_)">
                  <c:v>2.3302249385225053</c:v>
                </c:pt>
                <c:pt idx="149" formatCode="_(* #,##0.0000_);_(* \(#,##0.0000\);_(* &quot;-&quot;??_);_(@_)">
                  <c:v>2.3300456627267883</c:v>
                </c:pt>
                <c:pt idx="150" formatCode="_(* #,##0.0000_);_(* \(#,##0.0000\);_(* &quot;-&quot;??_);_(@_)">
                  <c:v>2.3301991342609445</c:v>
                </c:pt>
                <c:pt idx="151" formatCode="_(* #,##0.0000_);_(* \(#,##0.0000\);_(* &quot;-&quot;??_);_(@_)">
                  <c:v>2.3303538443401512</c:v>
                </c:pt>
                <c:pt idx="152" formatCode="_(* #,##0.0000_);_(* \(#,##0.0000\);_(* &quot;-&quot;??_);_(@_)">
                  <c:v>2.3302535321216862</c:v>
                </c:pt>
                <c:pt idx="153" formatCode="_(* #,##0.0000_);_(* \(#,##0.0000\);_(* &quot;-&quot;??_);_(@_)">
                  <c:v>2.3300772095421864</c:v>
                </c:pt>
                <c:pt idx="154" formatCode="_(* #,##0.0000_);_(* \(#,##0.0000\);_(* &quot;-&quot;??_);_(@_)">
                  <c:v>2.3294507186749911</c:v>
                </c:pt>
                <c:pt idx="155" formatCode="_(* #,##0.0000_);_(* \(#,##0.0000\);_(* &quot;-&quot;??_);_(@_)">
                  <c:v>2.3287000706476984</c:v>
                </c:pt>
                <c:pt idx="156" formatCode="_(* #,##0.0000_);_(* \(#,##0.0000\);_(* &quot;-&quot;??_);_(@_)">
                  <c:v>2.3281797173677199</c:v>
                </c:pt>
                <c:pt idx="157" formatCode="_(* #,##0.0000_);_(* \(#,##0.0000\);_(* &quot;-&quot;??_);_(@_)">
                  <c:v>2.327698732118304</c:v>
                </c:pt>
                <c:pt idx="158" formatCode="_(* #,##0.0000_);_(* \(#,##0.0000\);_(* &quot;-&quot;??_);_(@_)">
                  <c:v>2.3275727419886256</c:v>
                </c:pt>
                <c:pt idx="159" formatCode="_(* #,##0.0000_);_(* \(#,##0.0000\);_(* &quot;-&quot;??_);_(@_)">
                  <c:v>2.3273144988258094</c:v>
                </c:pt>
                <c:pt idx="160" formatCode="_(* #,##0.0000_);_(* \(#,##0.0000\);_(* &quot;-&quot;??_);_(@_)">
                  <c:v>2.3270437553862657</c:v>
                </c:pt>
                <c:pt idx="161" formatCode="_(* #,##0.0000_);_(* \(#,##0.0000\);_(* &quot;-&quot;??_);_(@_)">
                  <c:v>2.3267702945651547</c:v>
                </c:pt>
                <c:pt idx="162" formatCode="_(* #,##0.0000_);_(* \(#,##0.0000\);_(* &quot;-&quot;??_);_(@_)">
                  <c:v>2.3264564729398427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9-49B2-9C34-5C43BADCB98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RE!$G$1:$G$164</c:f>
              <c:numCache>
                <c:formatCode>m/d/yyyy</c:formatCode>
                <c:ptCount val="164"/>
                <c:pt idx="20" formatCode="_(* #,##0.0000_);_(* \(#,##0.0000\);_(* &quot;-&quot;??_);_(@_)">
                  <c:v>2.3166920145259846</c:v>
                </c:pt>
                <c:pt idx="21" formatCode="_(* #,##0.0000_);_(* \(#,##0.0000\);_(* &quot;-&quot;??_);_(@_)">
                  <c:v>2.3166920145259846</c:v>
                </c:pt>
                <c:pt idx="22" formatCode="_(* #,##0.0000_);_(* \(#,##0.0000\);_(* &quot;-&quot;??_);_(@_)">
                  <c:v>2.3166920145259846</c:v>
                </c:pt>
                <c:pt idx="23" formatCode="_(* #,##0.0000_);_(* \(#,##0.0000\);_(* &quot;-&quot;??_);_(@_)">
                  <c:v>2.3166920145259846</c:v>
                </c:pt>
                <c:pt idx="24" formatCode="_(* #,##0.0000_);_(* \(#,##0.0000\);_(* &quot;-&quot;??_);_(@_)">
                  <c:v>2.3166920145259846</c:v>
                </c:pt>
                <c:pt idx="25" formatCode="_(* #,##0.0000_);_(* \(#,##0.0000\);_(* &quot;-&quot;??_);_(@_)">
                  <c:v>2.3166920145259846</c:v>
                </c:pt>
                <c:pt idx="26" formatCode="_(* #,##0.0000_);_(* \(#,##0.0000\);_(* &quot;-&quot;??_);_(@_)">
                  <c:v>2.3166920145259846</c:v>
                </c:pt>
                <c:pt idx="27" formatCode="_(* #,##0.0000_);_(* \(#,##0.0000\);_(* &quot;-&quot;??_);_(@_)">
                  <c:v>2.3166920145259846</c:v>
                </c:pt>
                <c:pt idx="28" formatCode="_(* #,##0.0000_);_(* \(#,##0.0000\);_(* &quot;-&quot;??_);_(@_)">
                  <c:v>2.3166920145259846</c:v>
                </c:pt>
                <c:pt idx="29" formatCode="_(* #,##0.0000_);_(* \(#,##0.0000\);_(* &quot;-&quot;??_);_(@_)">
                  <c:v>2.3166920145259846</c:v>
                </c:pt>
                <c:pt idx="30" formatCode="_(* #,##0.0000_);_(* \(#,##0.0000\);_(* &quot;-&quot;??_);_(@_)">
                  <c:v>2.3166920145259846</c:v>
                </c:pt>
                <c:pt idx="31" formatCode="_(* #,##0.0000_);_(* \(#,##0.0000\);_(* &quot;-&quot;??_);_(@_)">
                  <c:v>2.3166920145259846</c:v>
                </c:pt>
                <c:pt idx="32" formatCode="_(* #,##0.0000_);_(* \(#,##0.0000\);_(* &quot;-&quot;??_);_(@_)">
                  <c:v>2.3166920145259846</c:v>
                </c:pt>
                <c:pt idx="33" formatCode="_(* #,##0.0000_);_(* \(#,##0.0000\);_(* &quot;-&quot;??_);_(@_)">
                  <c:v>2.3166920145259846</c:v>
                </c:pt>
                <c:pt idx="34" formatCode="_(* #,##0.0000_);_(* \(#,##0.0000\);_(* &quot;-&quot;??_);_(@_)">
                  <c:v>2.3166920145259846</c:v>
                </c:pt>
                <c:pt idx="35" formatCode="_(* #,##0.0000_);_(* \(#,##0.0000\);_(* &quot;-&quot;??_);_(@_)">
                  <c:v>2.3166920145259846</c:v>
                </c:pt>
                <c:pt idx="36" formatCode="_(* #,##0.0000_);_(* \(#,##0.0000\);_(* &quot;-&quot;??_);_(@_)">
                  <c:v>2.3166920145259846</c:v>
                </c:pt>
                <c:pt idx="37" formatCode="_(* #,##0.0000_);_(* \(#,##0.0000\);_(* &quot;-&quot;??_);_(@_)">
                  <c:v>2.3166920145259846</c:v>
                </c:pt>
                <c:pt idx="38" formatCode="_(* #,##0.0000_);_(* \(#,##0.0000\);_(* &quot;-&quot;??_);_(@_)">
                  <c:v>2.3166920145259846</c:v>
                </c:pt>
                <c:pt idx="39" formatCode="_(* #,##0.0000_);_(* \(#,##0.0000\);_(* &quot;-&quot;??_);_(@_)">
                  <c:v>2.3166920145259846</c:v>
                </c:pt>
                <c:pt idx="40" formatCode="_(* #,##0.0000_);_(* \(#,##0.0000\);_(* &quot;-&quot;??_);_(@_)">
                  <c:v>2.3166920145259846</c:v>
                </c:pt>
                <c:pt idx="41" formatCode="_(* #,##0.0000_);_(* \(#,##0.0000\);_(* &quot;-&quot;??_);_(@_)">
                  <c:v>2.3166920145259846</c:v>
                </c:pt>
                <c:pt idx="42" formatCode="_(* #,##0.0000_);_(* \(#,##0.0000\);_(* &quot;-&quot;??_);_(@_)">
                  <c:v>2.3166920145259846</c:v>
                </c:pt>
                <c:pt idx="43" formatCode="_(* #,##0.0000_);_(* \(#,##0.0000\);_(* &quot;-&quot;??_);_(@_)">
                  <c:v>2.3166920145259846</c:v>
                </c:pt>
                <c:pt idx="44" formatCode="_(* #,##0.0000_);_(* \(#,##0.0000\);_(* &quot;-&quot;??_);_(@_)">
                  <c:v>2.3166920145259846</c:v>
                </c:pt>
                <c:pt idx="45" formatCode="_(* #,##0.0000_);_(* \(#,##0.0000\);_(* &quot;-&quot;??_);_(@_)">
                  <c:v>2.3166920145259846</c:v>
                </c:pt>
                <c:pt idx="46" formatCode="_(* #,##0.0000_);_(* \(#,##0.0000\);_(* &quot;-&quot;??_);_(@_)">
                  <c:v>2.3166920145259846</c:v>
                </c:pt>
                <c:pt idx="47" formatCode="_(* #,##0.0000_);_(* \(#,##0.0000\);_(* &quot;-&quot;??_);_(@_)">
                  <c:v>2.3166920145259846</c:v>
                </c:pt>
                <c:pt idx="48" formatCode="_(* #,##0.0000_);_(* \(#,##0.0000\);_(* &quot;-&quot;??_);_(@_)">
                  <c:v>2.3166920145259846</c:v>
                </c:pt>
                <c:pt idx="49" formatCode="_(* #,##0.0000_);_(* \(#,##0.0000\);_(* &quot;-&quot;??_);_(@_)">
                  <c:v>2.3166920145259846</c:v>
                </c:pt>
                <c:pt idx="50" formatCode="_(* #,##0.0000_);_(* \(#,##0.0000\);_(* &quot;-&quot;??_);_(@_)">
                  <c:v>2.3166920145259846</c:v>
                </c:pt>
                <c:pt idx="51" formatCode="_(* #,##0.0000_);_(* \(#,##0.0000\);_(* &quot;-&quot;??_);_(@_)">
                  <c:v>2.3166920145259846</c:v>
                </c:pt>
                <c:pt idx="52" formatCode="_(* #,##0.0000_);_(* \(#,##0.0000\);_(* &quot;-&quot;??_);_(@_)">
                  <c:v>2.3166920145259846</c:v>
                </c:pt>
                <c:pt idx="53" formatCode="_(* #,##0.0000_);_(* \(#,##0.0000\);_(* &quot;-&quot;??_);_(@_)">
                  <c:v>2.3166920145259846</c:v>
                </c:pt>
                <c:pt idx="54" formatCode="_(* #,##0.0000_);_(* \(#,##0.0000\);_(* &quot;-&quot;??_);_(@_)">
                  <c:v>2.3166920145259846</c:v>
                </c:pt>
                <c:pt idx="55" formatCode="_(* #,##0.0000_);_(* \(#,##0.0000\);_(* &quot;-&quot;??_);_(@_)">
                  <c:v>2.3166920145259846</c:v>
                </c:pt>
                <c:pt idx="56" formatCode="_(* #,##0.0000_);_(* \(#,##0.0000\);_(* &quot;-&quot;??_);_(@_)">
                  <c:v>2.3166920145259846</c:v>
                </c:pt>
                <c:pt idx="57" formatCode="_(* #,##0.0000_);_(* \(#,##0.0000\);_(* &quot;-&quot;??_);_(@_)">
                  <c:v>2.3166920145259846</c:v>
                </c:pt>
                <c:pt idx="58" formatCode="_(* #,##0.0000_);_(* \(#,##0.0000\);_(* &quot;-&quot;??_);_(@_)">
                  <c:v>2.3166920145259846</c:v>
                </c:pt>
                <c:pt idx="59" formatCode="_(* #,##0.0000_);_(* \(#,##0.0000\);_(* &quot;-&quot;??_);_(@_)">
                  <c:v>2.3166920145259846</c:v>
                </c:pt>
                <c:pt idx="60" formatCode="_(* #,##0.0000_);_(* \(#,##0.0000\);_(* &quot;-&quot;??_);_(@_)">
                  <c:v>2.3166920145259846</c:v>
                </c:pt>
                <c:pt idx="61" formatCode="_(* #,##0.0000_);_(* \(#,##0.0000\);_(* &quot;-&quot;??_);_(@_)">
                  <c:v>2.3166920145259846</c:v>
                </c:pt>
                <c:pt idx="62" formatCode="_(* #,##0.0000_);_(* \(#,##0.0000\);_(* &quot;-&quot;??_);_(@_)">
                  <c:v>2.3166920145259846</c:v>
                </c:pt>
                <c:pt idx="63" formatCode="_(* #,##0.0000_);_(* \(#,##0.0000\);_(* &quot;-&quot;??_);_(@_)">
                  <c:v>2.3166920145259846</c:v>
                </c:pt>
                <c:pt idx="64" formatCode="_(* #,##0.0000_);_(* \(#,##0.0000\);_(* &quot;-&quot;??_);_(@_)">
                  <c:v>2.3166920145259846</c:v>
                </c:pt>
                <c:pt idx="65" formatCode="_(* #,##0.0000_);_(* \(#,##0.0000\);_(* &quot;-&quot;??_);_(@_)">
                  <c:v>2.3166920145259846</c:v>
                </c:pt>
                <c:pt idx="66" formatCode="_(* #,##0.0000_);_(* \(#,##0.0000\);_(* &quot;-&quot;??_);_(@_)">
                  <c:v>2.3166920145259846</c:v>
                </c:pt>
                <c:pt idx="67" formatCode="_(* #,##0.0000_);_(* \(#,##0.0000\);_(* &quot;-&quot;??_);_(@_)">
                  <c:v>2.3166920145259846</c:v>
                </c:pt>
                <c:pt idx="68" formatCode="_(* #,##0.0000_);_(* \(#,##0.0000\);_(* &quot;-&quot;??_);_(@_)">
                  <c:v>2.3166920145259846</c:v>
                </c:pt>
                <c:pt idx="69" formatCode="_(* #,##0.0000_);_(* \(#,##0.0000\);_(* &quot;-&quot;??_);_(@_)">
                  <c:v>2.3166920145259846</c:v>
                </c:pt>
                <c:pt idx="70" formatCode="_(* #,##0.0000_);_(* \(#,##0.0000\);_(* &quot;-&quot;??_);_(@_)">
                  <c:v>2.3166920145259846</c:v>
                </c:pt>
                <c:pt idx="71" formatCode="_(* #,##0.0000_);_(* \(#,##0.0000\);_(* &quot;-&quot;??_);_(@_)">
                  <c:v>2.3166920145259846</c:v>
                </c:pt>
                <c:pt idx="72" formatCode="_(* #,##0.0000_);_(* \(#,##0.0000\);_(* &quot;-&quot;??_);_(@_)">
                  <c:v>2.3166920145259846</c:v>
                </c:pt>
                <c:pt idx="73" formatCode="_(* #,##0.0000_);_(* \(#,##0.0000\);_(* &quot;-&quot;??_);_(@_)">
                  <c:v>2.3166920145259846</c:v>
                </c:pt>
                <c:pt idx="74" formatCode="_(* #,##0.0000_);_(* \(#,##0.0000\);_(* &quot;-&quot;??_);_(@_)">
                  <c:v>2.3166920145259846</c:v>
                </c:pt>
                <c:pt idx="75" formatCode="_(* #,##0.0000_);_(* \(#,##0.0000\);_(* &quot;-&quot;??_);_(@_)">
                  <c:v>2.3166920145259846</c:v>
                </c:pt>
                <c:pt idx="76" formatCode="_(* #,##0.0000_);_(* \(#,##0.0000\);_(* &quot;-&quot;??_);_(@_)">
                  <c:v>2.3166920145259846</c:v>
                </c:pt>
                <c:pt idx="77" formatCode="_(* #,##0.0000_);_(* \(#,##0.0000\);_(* &quot;-&quot;??_);_(@_)">
                  <c:v>2.3166920145259846</c:v>
                </c:pt>
                <c:pt idx="78" formatCode="_(* #,##0.0000_);_(* \(#,##0.0000\);_(* &quot;-&quot;??_);_(@_)">
                  <c:v>2.3166920145259846</c:v>
                </c:pt>
                <c:pt idx="79" formatCode="_(* #,##0.0000_);_(* \(#,##0.0000\);_(* &quot;-&quot;??_);_(@_)">
                  <c:v>2.3166920145259846</c:v>
                </c:pt>
                <c:pt idx="80" formatCode="_(* #,##0.0000_);_(* \(#,##0.0000\);_(* &quot;-&quot;??_);_(@_)">
                  <c:v>2.3166920145259846</c:v>
                </c:pt>
                <c:pt idx="81" formatCode="_(* #,##0.0000_);_(* \(#,##0.0000\);_(* &quot;-&quot;??_);_(@_)">
                  <c:v>2.3166920145259846</c:v>
                </c:pt>
                <c:pt idx="82" formatCode="_(* #,##0.0000_);_(* \(#,##0.0000\);_(* &quot;-&quot;??_);_(@_)">
                  <c:v>2.3166920145259846</c:v>
                </c:pt>
                <c:pt idx="83" formatCode="_(* #,##0.0000_);_(* \(#,##0.0000\);_(* &quot;-&quot;??_);_(@_)">
                  <c:v>2.3166920145259846</c:v>
                </c:pt>
                <c:pt idx="84" formatCode="_(* #,##0.0000_);_(* \(#,##0.0000\);_(* &quot;-&quot;??_);_(@_)">
                  <c:v>2.3166920145259846</c:v>
                </c:pt>
                <c:pt idx="85" formatCode="_(* #,##0.0000_);_(* \(#,##0.0000\);_(* &quot;-&quot;??_);_(@_)">
                  <c:v>2.3166920145259846</c:v>
                </c:pt>
                <c:pt idx="86" formatCode="_(* #,##0.0000_);_(* \(#,##0.0000\);_(* &quot;-&quot;??_);_(@_)">
                  <c:v>2.3166920145259846</c:v>
                </c:pt>
                <c:pt idx="87" formatCode="_(* #,##0.0000_);_(* \(#,##0.0000\);_(* &quot;-&quot;??_);_(@_)">
                  <c:v>2.3166920145259846</c:v>
                </c:pt>
                <c:pt idx="88" formatCode="_(* #,##0.0000_);_(* \(#,##0.0000\);_(* &quot;-&quot;??_);_(@_)">
                  <c:v>2.3166920145259846</c:v>
                </c:pt>
                <c:pt idx="89" formatCode="_(* #,##0.0000_);_(* \(#,##0.0000\);_(* &quot;-&quot;??_);_(@_)">
                  <c:v>2.3166920145259846</c:v>
                </c:pt>
                <c:pt idx="90" formatCode="_(* #,##0.0000_);_(* \(#,##0.0000\);_(* &quot;-&quot;??_);_(@_)">
                  <c:v>2.3166920145259846</c:v>
                </c:pt>
                <c:pt idx="91" formatCode="_(* #,##0.0000_);_(* \(#,##0.0000\);_(* &quot;-&quot;??_);_(@_)">
                  <c:v>2.3166920145259846</c:v>
                </c:pt>
                <c:pt idx="92" formatCode="_(* #,##0.0000_);_(* \(#,##0.0000\);_(* &quot;-&quot;??_);_(@_)">
                  <c:v>2.3166920145259846</c:v>
                </c:pt>
                <c:pt idx="93" formatCode="_(* #,##0.0000_);_(* \(#,##0.0000\);_(* &quot;-&quot;??_);_(@_)">
                  <c:v>2.3166920145259846</c:v>
                </c:pt>
                <c:pt idx="94" formatCode="_(* #,##0.0000_);_(* \(#,##0.0000\);_(* &quot;-&quot;??_);_(@_)">
                  <c:v>2.3166920145259846</c:v>
                </c:pt>
                <c:pt idx="95" formatCode="_(* #,##0.0000_);_(* \(#,##0.0000\);_(* &quot;-&quot;??_);_(@_)">
                  <c:v>2.3166920145259846</c:v>
                </c:pt>
                <c:pt idx="96" formatCode="_(* #,##0.0000_);_(* \(#,##0.0000\);_(* &quot;-&quot;??_);_(@_)">
                  <c:v>2.3166920145259846</c:v>
                </c:pt>
                <c:pt idx="97" formatCode="_(* #,##0.0000_);_(* \(#,##0.0000\);_(* &quot;-&quot;??_);_(@_)">
                  <c:v>2.3166920145259846</c:v>
                </c:pt>
                <c:pt idx="98" formatCode="_(* #,##0.0000_);_(* \(#,##0.0000\);_(* &quot;-&quot;??_);_(@_)">
                  <c:v>2.3166920145259846</c:v>
                </c:pt>
                <c:pt idx="99" formatCode="_(* #,##0.0000_);_(* \(#,##0.0000\);_(* &quot;-&quot;??_);_(@_)">
                  <c:v>2.3166920145259846</c:v>
                </c:pt>
                <c:pt idx="100" formatCode="_(* #,##0.0000_);_(* \(#,##0.0000\);_(* &quot;-&quot;??_);_(@_)">
                  <c:v>2.3166920145259846</c:v>
                </c:pt>
                <c:pt idx="101" formatCode="_(* #,##0.0000_);_(* \(#,##0.0000\);_(* &quot;-&quot;??_);_(@_)">
                  <c:v>2.3166920145259846</c:v>
                </c:pt>
                <c:pt idx="102" formatCode="_(* #,##0.0000_);_(* \(#,##0.0000\);_(* &quot;-&quot;??_);_(@_)">
                  <c:v>2.3166920145259846</c:v>
                </c:pt>
                <c:pt idx="103" formatCode="_(* #,##0.0000_);_(* \(#,##0.0000\);_(* &quot;-&quot;??_);_(@_)">
                  <c:v>2.3166920145259846</c:v>
                </c:pt>
                <c:pt idx="104" formatCode="_(* #,##0.0000_);_(* \(#,##0.0000\);_(* &quot;-&quot;??_);_(@_)">
                  <c:v>2.3166920145259846</c:v>
                </c:pt>
                <c:pt idx="105" formatCode="_(* #,##0.0000_);_(* \(#,##0.0000\);_(* &quot;-&quot;??_);_(@_)">
                  <c:v>2.3166920145259846</c:v>
                </c:pt>
                <c:pt idx="106" formatCode="_(* #,##0.0000_);_(* \(#,##0.0000\);_(* &quot;-&quot;??_);_(@_)">
                  <c:v>2.3166920145259846</c:v>
                </c:pt>
                <c:pt idx="107" formatCode="_(* #,##0.0000_);_(* \(#,##0.0000\);_(* &quot;-&quot;??_);_(@_)">
                  <c:v>2.3166920145259846</c:v>
                </c:pt>
                <c:pt idx="108" formatCode="_(* #,##0.0000_);_(* \(#,##0.0000\);_(* &quot;-&quot;??_);_(@_)">
                  <c:v>2.3166920145259846</c:v>
                </c:pt>
                <c:pt idx="109" formatCode="_(* #,##0.0000_);_(* \(#,##0.0000\);_(* &quot;-&quot;??_);_(@_)">
                  <c:v>2.3166920145259846</c:v>
                </c:pt>
                <c:pt idx="110" formatCode="_(* #,##0.0000_);_(* \(#,##0.0000\);_(* &quot;-&quot;??_);_(@_)">
                  <c:v>2.3166920145259846</c:v>
                </c:pt>
                <c:pt idx="111" formatCode="_(* #,##0.0000_);_(* \(#,##0.0000\);_(* &quot;-&quot;??_);_(@_)">
                  <c:v>2.3166920145259846</c:v>
                </c:pt>
                <c:pt idx="112" formatCode="_(* #,##0.0000_);_(* \(#,##0.0000\);_(* &quot;-&quot;??_);_(@_)">
                  <c:v>2.3166920145259846</c:v>
                </c:pt>
                <c:pt idx="113" formatCode="_(* #,##0.0000_);_(* \(#,##0.0000\);_(* &quot;-&quot;??_);_(@_)">
                  <c:v>2.3166920145259846</c:v>
                </c:pt>
                <c:pt idx="114" formatCode="_(* #,##0.0000_);_(* \(#,##0.0000\);_(* &quot;-&quot;??_);_(@_)">
                  <c:v>2.3166920145259846</c:v>
                </c:pt>
                <c:pt idx="115" formatCode="_(* #,##0.0000_);_(* \(#,##0.0000\);_(* &quot;-&quot;??_);_(@_)">
                  <c:v>2.3166920145259846</c:v>
                </c:pt>
                <c:pt idx="116" formatCode="_(* #,##0.0000_);_(* \(#,##0.0000\);_(* &quot;-&quot;??_);_(@_)">
                  <c:v>2.3166920145259846</c:v>
                </c:pt>
                <c:pt idx="117" formatCode="_(* #,##0.0000_);_(* \(#,##0.0000\);_(* &quot;-&quot;??_);_(@_)">
                  <c:v>2.3166920145259846</c:v>
                </c:pt>
                <c:pt idx="118" formatCode="_(* #,##0.0000_);_(* \(#,##0.0000\);_(* &quot;-&quot;??_);_(@_)">
                  <c:v>2.3166920145259846</c:v>
                </c:pt>
                <c:pt idx="119" formatCode="_(* #,##0.0000_);_(* \(#,##0.0000\);_(* &quot;-&quot;??_);_(@_)">
                  <c:v>2.3166920145259846</c:v>
                </c:pt>
                <c:pt idx="120" formatCode="_(* #,##0.0000_);_(* \(#,##0.0000\);_(* &quot;-&quot;??_);_(@_)">
                  <c:v>2.3166920145259846</c:v>
                </c:pt>
                <c:pt idx="121" formatCode="_(* #,##0.0000_);_(* \(#,##0.0000\);_(* &quot;-&quot;??_);_(@_)">
                  <c:v>2.3166920145259846</c:v>
                </c:pt>
                <c:pt idx="122" formatCode="_(* #,##0.0000_);_(* \(#,##0.0000\);_(* &quot;-&quot;??_);_(@_)">
                  <c:v>2.3166920145259846</c:v>
                </c:pt>
                <c:pt idx="123" formatCode="_(* #,##0.0000_);_(* \(#,##0.0000\);_(* &quot;-&quot;??_);_(@_)">
                  <c:v>2.3166920145259846</c:v>
                </c:pt>
                <c:pt idx="124" formatCode="_(* #,##0.0000_);_(* \(#,##0.0000\);_(* &quot;-&quot;??_);_(@_)">
                  <c:v>2.3166920145259846</c:v>
                </c:pt>
                <c:pt idx="125" formatCode="_(* #,##0.0000_);_(* \(#,##0.0000\);_(* &quot;-&quot;??_);_(@_)">
                  <c:v>2.3166920145259846</c:v>
                </c:pt>
                <c:pt idx="126" formatCode="_(* #,##0.0000_);_(* \(#,##0.0000\);_(* &quot;-&quot;??_);_(@_)">
                  <c:v>2.3166920145259846</c:v>
                </c:pt>
                <c:pt idx="127" formatCode="_(* #,##0.0000_);_(* \(#,##0.0000\);_(* &quot;-&quot;??_);_(@_)">
                  <c:v>2.3166920145259846</c:v>
                </c:pt>
                <c:pt idx="128" formatCode="_(* #,##0.0000_);_(* \(#,##0.0000\);_(* &quot;-&quot;??_);_(@_)">
                  <c:v>2.3166920145259846</c:v>
                </c:pt>
                <c:pt idx="129" formatCode="_(* #,##0.0000_);_(* \(#,##0.0000\);_(* &quot;-&quot;??_);_(@_)">
                  <c:v>2.3166920145259846</c:v>
                </c:pt>
                <c:pt idx="130" formatCode="_(* #,##0.0000_);_(* \(#,##0.0000\);_(* &quot;-&quot;??_);_(@_)">
                  <c:v>2.3166920145259846</c:v>
                </c:pt>
                <c:pt idx="131" formatCode="_(* #,##0.0000_);_(* \(#,##0.0000\);_(* &quot;-&quot;??_);_(@_)">
                  <c:v>2.3166920145259846</c:v>
                </c:pt>
                <c:pt idx="132" formatCode="_(* #,##0.0000_);_(* \(#,##0.0000\);_(* &quot;-&quot;??_);_(@_)">
                  <c:v>2.3166920145259846</c:v>
                </c:pt>
                <c:pt idx="133" formatCode="_(* #,##0.0000_);_(* \(#,##0.0000\);_(* &quot;-&quot;??_);_(@_)">
                  <c:v>2.3166920145259846</c:v>
                </c:pt>
                <c:pt idx="134" formatCode="_(* #,##0.0000_);_(* \(#,##0.0000\);_(* &quot;-&quot;??_);_(@_)">
                  <c:v>2.3166920145259846</c:v>
                </c:pt>
                <c:pt idx="135" formatCode="_(* #,##0.0000_);_(* \(#,##0.0000\);_(* &quot;-&quot;??_);_(@_)">
                  <c:v>2.3166920145259846</c:v>
                </c:pt>
                <c:pt idx="136" formatCode="_(* #,##0.0000_);_(* \(#,##0.0000\);_(* &quot;-&quot;??_);_(@_)">
                  <c:v>2.3166920145259846</c:v>
                </c:pt>
                <c:pt idx="137" formatCode="_(* #,##0.0000_);_(* \(#,##0.0000\);_(* &quot;-&quot;??_);_(@_)">
                  <c:v>2.3166920145259846</c:v>
                </c:pt>
                <c:pt idx="138" formatCode="_(* #,##0.0000_);_(* \(#,##0.0000\);_(* &quot;-&quot;??_);_(@_)">
                  <c:v>2.3166920145259846</c:v>
                </c:pt>
                <c:pt idx="139" formatCode="_(* #,##0.0000_);_(* \(#,##0.0000\);_(* &quot;-&quot;??_);_(@_)">
                  <c:v>2.3166920145259846</c:v>
                </c:pt>
                <c:pt idx="140" formatCode="_(* #,##0.0000_);_(* \(#,##0.0000\);_(* &quot;-&quot;??_);_(@_)">
                  <c:v>2.3166920145259846</c:v>
                </c:pt>
                <c:pt idx="141" formatCode="_(* #,##0.0000_);_(* \(#,##0.0000\);_(* &quot;-&quot;??_);_(@_)">
                  <c:v>2.3166920145259846</c:v>
                </c:pt>
                <c:pt idx="142" formatCode="_(* #,##0.0000_);_(* \(#,##0.0000\);_(* &quot;-&quot;??_);_(@_)">
                  <c:v>2.3166920145259846</c:v>
                </c:pt>
                <c:pt idx="143" formatCode="_(* #,##0.0000_);_(* \(#,##0.0000\);_(* &quot;-&quot;??_);_(@_)">
                  <c:v>2.3166920145259846</c:v>
                </c:pt>
                <c:pt idx="144" formatCode="_(* #,##0.0000_);_(* \(#,##0.0000\);_(* &quot;-&quot;??_);_(@_)">
                  <c:v>2.3166920145259846</c:v>
                </c:pt>
                <c:pt idx="145" formatCode="_(* #,##0.0000_);_(* \(#,##0.0000\);_(* &quot;-&quot;??_);_(@_)">
                  <c:v>2.3166920145259846</c:v>
                </c:pt>
                <c:pt idx="146" formatCode="_(* #,##0.0000_);_(* \(#,##0.0000\);_(* &quot;-&quot;??_);_(@_)">
                  <c:v>2.3166920145259846</c:v>
                </c:pt>
                <c:pt idx="147" formatCode="_(* #,##0.0000_);_(* \(#,##0.0000\);_(* &quot;-&quot;??_);_(@_)">
                  <c:v>2.3166920145259846</c:v>
                </c:pt>
                <c:pt idx="148" formatCode="_(* #,##0.0000_);_(* \(#,##0.0000\);_(* &quot;-&quot;??_);_(@_)">
                  <c:v>2.3166920145259846</c:v>
                </c:pt>
                <c:pt idx="149" formatCode="_(* #,##0.0000_);_(* \(#,##0.0000\);_(* &quot;-&quot;??_);_(@_)">
                  <c:v>2.3166920145259846</c:v>
                </c:pt>
                <c:pt idx="150" formatCode="_(* #,##0.0000_);_(* \(#,##0.0000\);_(* &quot;-&quot;??_);_(@_)">
                  <c:v>2.3166920145259846</c:v>
                </c:pt>
                <c:pt idx="151" formatCode="_(* #,##0.0000_);_(* \(#,##0.0000\);_(* &quot;-&quot;??_);_(@_)">
                  <c:v>2.3166920145259846</c:v>
                </c:pt>
                <c:pt idx="152" formatCode="_(* #,##0.0000_);_(* \(#,##0.0000\);_(* &quot;-&quot;??_);_(@_)">
                  <c:v>2.3166920145259846</c:v>
                </c:pt>
                <c:pt idx="153" formatCode="_(* #,##0.0000_);_(* \(#,##0.0000\);_(* &quot;-&quot;??_);_(@_)">
                  <c:v>2.3166920145259846</c:v>
                </c:pt>
                <c:pt idx="154" formatCode="_(* #,##0.0000_);_(* \(#,##0.0000\);_(* &quot;-&quot;??_);_(@_)">
                  <c:v>2.3166920145259846</c:v>
                </c:pt>
                <c:pt idx="155" formatCode="_(* #,##0.0000_);_(* \(#,##0.0000\);_(* &quot;-&quot;??_);_(@_)">
                  <c:v>2.3166920145259846</c:v>
                </c:pt>
                <c:pt idx="156" formatCode="_(* #,##0.0000_);_(* \(#,##0.0000\);_(* &quot;-&quot;??_);_(@_)">
                  <c:v>2.3166920145259846</c:v>
                </c:pt>
                <c:pt idx="157" formatCode="_(* #,##0.0000_);_(* \(#,##0.0000\);_(* &quot;-&quot;??_);_(@_)">
                  <c:v>2.3166920145259846</c:v>
                </c:pt>
                <c:pt idx="158" formatCode="_(* #,##0.0000_);_(* \(#,##0.0000\);_(* &quot;-&quot;??_);_(@_)">
                  <c:v>2.3166920145259846</c:v>
                </c:pt>
                <c:pt idx="159" formatCode="_(* #,##0.0000_);_(* \(#,##0.0000\);_(* &quot;-&quot;??_);_(@_)">
                  <c:v>2.3166920145259846</c:v>
                </c:pt>
                <c:pt idx="160" formatCode="_(* #,##0.0000_);_(* \(#,##0.0000\);_(* &quot;-&quot;??_);_(@_)">
                  <c:v>2.3166920145259846</c:v>
                </c:pt>
                <c:pt idx="161" formatCode="_(* #,##0.0000_);_(* \(#,##0.0000\);_(* &quot;-&quot;??_);_(@_)">
                  <c:v>2.3166920145259846</c:v>
                </c:pt>
                <c:pt idx="162" formatCode="_(* #,##0.0000_);_(* \(#,##0.0000\);_(* &quot;-&quot;??_);_(@_)">
                  <c:v>2.3166920145259846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9-49B2-9C34-5C43BADCB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078703"/>
        <c:axId val="1402820687"/>
      </c:lineChart>
      <c:catAx>
        <c:axId val="1393078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20687"/>
        <c:crosses val="autoZero"/>
        <c:auto val="1"/>
        <c:lblAlgn val="ctr"/>
        <c:lblOffset val="100"/>
        <c:noMultiLvlLbl val="0"/>
      </c:catAx>
      <c:valAx>
        <c:axId val="1402820687"/>
        <c:scaling>
          <c:orientation val="minMax"/>
          <c:min val="2.29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07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Energy!$J$2:$J$163</c:f>
              <c:numCache>
                <c:formatCode>0.000%</c:formatCode>
                <c:ptCount val="162"/>
                <c:pt idx="19">
                  <c:v>1.8993849689107934E-3</c:v>
                </c:pt>
                <c:pt idx="20">
                  <c:v>3.9483629560379575E-4</c:v>
                </c:pt>
                <c:pt idx="21">
                  <c:v>1.599989061597808E-3</c:v>
                </c:pt>
                <c:pt idx="22">
                  <c:v>1.6750720990881937E-3</c:v>
                </c:pt>
                <c:pt idx="23">
                  <c:v>1.2277178717921527E-3</c:v>
                </c:pt>
                <c:pt idx="24">
                  <c:v>1.9769135163680649E-3</c:v>
                </c:pt>
                <c:pt idx="25">
                  <c:v>1.2374445111445445E-3</c:v>
                </c:pt>
                <c:pt idx="26">
                  <c:v>9.1550094618542523E-4</c:v>
                </c:pt>
                <c:pt idx="27">
                  <c:v>1.6461888552109054E-3</c:v>
                </c:pt>
                <c:pt idx="28">
                  <c:v>2.1319585874165665E-3</c:v>
                </c:pt>
                <c:pt idx="29">
                  <c:v>1.3063120219274178E-3</c:v>
                </c:pt>
                <c:pt idx="30">
                  <c:v>9.0228286412699882E-4</c:v>
                </c:pt>
                <c:pt idx="31">
                  <c:v>4.1843611800697735E-4</c:v>
                </c:pt>
                <c:pt idx="32">
                  <c:v>8.5224047162962054E-4</c:v>
                </c:pt>
                <c:pt idx="33">
                  <c:v>-6.7082327273148862E-4</c:v>
                </c:pt>
                <c:pt idx="34">
                  <c:v>2.1668067251217355E-4</c:v>
                </c:pt>
                <c:pt idx="35">
                  <c:v>-5.4698519091218791E-4</c:v>
                </c:pt>
                <c:pt idx="36">
                  <c:v>1.1698525596947117E-3</c:v>
                </c:pt>
                <c:pt idx="37">
                  <c:v>3.8566442753118962E-4</c:v>
                </c:pt>
                <c:pt idx="38">
                  <c:v>6.0328273108531589E-4</c:v>
                </c:pt>
                <c:pt idx="39">
                  <c:v>-1.8888407301369362E-4</c:v>
                </c:pt>
                <c:pt idx="40">
                  <c:v>3.7933454370674228E-4</c:v>
                </c:pt>
                <c:pt idx="41">
                  <c:v>4.2923148604573636E-5</c:v>
                </c:pt>
                <c:pt idx="42">
                  <c:v>-2.3286169284096524E-5</c:v>
                </c:pt>
                <c:pt idx="43">
                  <c:v>3.5582633024330249E-4</c:v>
                </c:pt>
                <c:pt idx="44">
                  <c:v>1.3441090159121882E-4</c:v>
                </c:pt>
                <c:pt idx="45">
                  <c:v>-5.4165745608509533E-4</c:v>
                </c:pt>
                <c:pt idx="46">
                  <c:v>-8.1398734161494844E-5</c:v>
                </c:pt>
                <c:pt idx="47">
                  <c:v>8.8065125649212971E-4</c:v>
                </c:pt>
                <c:pt idx="48">
                  <c:v>5.8081784723505411E-4</c:v>
                </c:pt>
                <c:pt idx="49">
                  <c:v>2.7341737626114309E-4</c:v>
                </c:pt>
                <c:pt idx="50">
                  <c:v>9.9364286503675846E-4</c:v>
                </c:pt>
                <c:pt idx="51">
                  <c:v>-3.7551915281709572E-4</c:v>
                </c:pt>
                <c:pt idx="52">
                  <c:v>-1.0604810069741876E-3</c:v>
                </c:pt>
                <c:pt idx="53">
                  <c:v>-9.6301269248588294E-4</c:v>
                </c:pt>
                <c:pt idx="54">
                  <c:v>-1.7568553773719391E-3</c:v>
                </c:pt>
                <c:pt idx="55">
                  <c:v>-2.0012081096195829E-3</c:v>
                </c:pt>
                <c:pt idx="56">
                  <c:v>-2.0910213473427086E-3</c:v>
                </c:pt>
                <c:pt idx="57">
                  <c:v>-1.4403255785848848E-3</c:v>
                </c:pt>
                <c:pt idx="58">
                  <c:v>-1.0291552119830797E-3</c:v>
                </c:pt>
                <c:pt idx="59">
                  <c:v>-2.853337085799837E-5</c:v>
                </c:pt>
                <c:pt idx="60">
                  <c:v>-1.3395576873174097E-4</c:v>
                </c:pt>
                <c:pt idx="61">
                  <c:v>-1.7935950985060243E-3</c:v>
                </c:pt>
                <c:pt idx="62">
                  <c:v>-2.7849484271225034E-3</c:v>
                </c:pt>
                <c:pt idx="63">
                  <c:v>-1.5951147976152372E-3</c:v>
                </c:pt>
                <c:pt idx="64">
                  <c:v>-1.4830111796715463E-3</c:v>
                </c:pt>
                <c:pt idx="65">
                  <c:v>-2.3882828835472747E-3</c:v>
                </c:pt>
                <c:pt idx="66">
                  <c:v>-2.5773534646463172E-3</c:v>
                </c:pt>
                <c:pt idx="67">
                  <c:v>-2.860531921242191E-3</c:v>
                </c:pt>
                <c:pt idx="68">
                  <c:v>-2.2807832867205741E-3</c:v>
                </c:pt>
                <c:pt idx="69">
                  <c:v>-9.4736093504207866E-4</c:v>
                </c:pt>
                <c:pt idx="70">
                  <c:v>-1.4051785943107629E-3</c:v>
                </c:pt>
                <c:pt idx="71">
                  <c:v>-1.8690076718812271E-3</c:v>
                </c:pt>
                <c:pt idx="72">
                  <c:v>-3.2624596540943807E-4</c:v>
                </c:pt>
                <c:pt idx="73">
                  <c:v>-1.4756129740932928E-3</c:v>
                </c:pt>
                <c:pt idx="74">
                  <c:v>-7.253934089704601E-4</c:v>
                </c:pt>
                <c:pt idx="75">
                  <c:v>-4.8042575585196216E-4</c:v>
                </c:pt>
                <c:pt idx="76">
                  <c:v>3.0851051976313684E-4</c:v>
                </c:pt>
                <c:pt idx="77">
                  <c:v>-5.3649569245525146E-4</c:v>
                </c:pt>
                <c:pt idx="78">
                  <c:v>-1.3117639319218041E-3</c:v>
                </c:pt>
                <c:pt idx="79">
                  <c:v>-5.2079246919850054E-4</c:v>
                </c:pt>
                <c:pt idx="80">
                  <c:v>2.5674376156507747E-4</c:v>
                </c:pt>
                <c:pt idx="81">
                  <c:v>7.118456002185461E-4</c:v>
                </c:pt>
                <c:pt idx="82">
                  <c:v>-9.6298378110112534E-4</c:v>
                </c:pt>
                <c:pt idx="83">
                  <c:v>-5.0954956523399317E-4</c:v>
                </c:pt>
                <c:pt idx="84">
                  <c:v>-5.2101303316748511E-4</c:v>
                </c:pt>
                <c:pt idx="85">
                  <c:v>-1.583847036952911E-3</c:v>
                </c:pt>
                <c:pt idx="86">
                  <c:v>-7.992229627475357E-4</c:v>
                </c:pt>
                <c:pt idx="87">
                  <c:v>-7.3574494234458031E-5</c:v>
                </c:pt>
                <c:pt idx="88">
                  <c:v>2.1969162136563036E-4</c:v>
                </c:pt>
                <c:pt idx="89">
                  <c:v>7.8260431378466644E-4</c:v>
                </c:pt>
                <c:pt idx="90">
                  <c:v>4.949828117977739E-4</c:v>
                </c:pt>
                <c:pt idx="91">
                  <c:v>5.4251083721950375E-4</c:v>
                </c:pt>
                <c:pt idx="92">
                  <c:v>1.3462340214274362E-3</c:v>
                </c:pt>
                <c:pt idx="93">
                  <c:v>2.401445210346553E-3</c:v>
                </c:pt>
                <c:pt idx="94">
                  <c:v>4.0576104271860787E-3</c:v>
                </c:pt>
                <c:pt idx="95">
                  <c:v>1.8476695502310119E-3</c:v>
                </c:pt>
                <c:pt idx="96">
                  <c:v>1.329169657999006E-4</c:v>
                </c:pt>
                <c:pt idx="97">
                  <c:v>1.3419361700540624E-3</c:v>
                </c:pt>
                <c:pt idx="98">
                  <c:v>-1.0559476928468205E-3</c:v>
                </c:pt>
                <c:pt idx="99">
                  <c:v>-2.9399367512762068E-4</c:v>
                </c:pt>
                <c:pt idx="100">
                  <c:v>-1.4219660311788754E-3</c:v>
                </c:pt>
                <c:pt idx="101">
                  <c:v>-2.6114724064624719E-3</c:v>
                </c:pt>
                <c:pt idx="102">
                  <c:v>-1.7004719097287336E-3</c:v>
                </c:pt>
                <c:pt idx="103">
                  <c:v>-1.6374410732781113E-3</c:v>
                </c:pt>
                <c:pt idx="104">
                  <c:v>-1.952408034794363E-3</c:v>
                </c:pt>
                <c:pt idx="105">
                  <c:v>-1.6073773756419753E-3</c:v>
                </c:pt>
                <c:pt idx="106">
                  <c:v>9.4441779535055096E-4</c:v>
                </c:pt>
                <c:pt idx="107">
                  <c:v>1.3190606861521749E-3</c:v>
                </c:pt>
                <c:pt idx="108">
                  <c:v>8.4294702942250765E-4</c:v>
                </c:pt>
                <c:pt idx="109">
                  <c:v>1.4414627458599455E-3</c:v>
                </c:pt>
                <c:pt idx="110">
                  <c:v>3.2381271656857296E-4</c:v>
                </c:pt>
                <c:pt idx="111">
                  <c:v>2.3745743152526477E-4</c:v>
                </c:pt>
                <c:pt idx="112">
                  <c:v>4.1522210196357594E-3</c:v>
                </c:pt>
                <c:pt idx="113">
                  <c:v>5.0021012188301581E-3</c:v>
                </c:pt>
                <c:pt idx="114">
                  <c:v>3.8146440164784899E-3</c:v>
                </c:pt>
                <c:pt idx="115">
                  <c:v>-1.6342132406760251E-3</c:v>
                </c:pt>
                <c:pt idx="116">
                  <c:v>-3.9282585813787711E-3</c:v>
                </c:pt>
                <c:pt idx="117">
                  <c:v>-2.0984462386718426E-3</c:v>
                </c:pt>
                <c:pt idx="118">
                  <c:v>-1.9659996970597809E-3</c:v>
                </c:pt>
                <c:pt idx="119">
                  <c:v>-2.493307113088733E-3</c:v>
                </c:pt>
                <c:pt idx="120">
                  <c:v>-2.1904717599571175E-3</c:v>
                </c:pt>
                <c:pt idx="121">
                  <c:v>-2.6430186218809877E-3</c:v>
                </c:pt>
                <c:pt idx="122">
                  <c:v>-4.6010559935289429E-3</c:v>
                </c:pt>
                <c:pt idx="123">
                  <c:v>-4.7719257740883626E-3</c:v>
                </c:pt>
                <c:pt idx="124">
                  <c:v>-4.9970545996372131E-3</c:v>
                </c:pt>
                <c:pt idx="125">
                  <c:v>-5.0667902989444931E-3</c:v>
                </c:pt>
                <c:pt idx="126">
                  <c:v>-3.5702649921517358E-3</c:v>
                </c:pt>
                <c:pt idx="127">
                  <c:v>-1.4531784118372037E-3</c:v>
                </c:pt>
                <c:pt idx="128">
                  <c:v>-1.740430371554738E-3</c:v>
                </c:pt>
                <c:pt idx="129">
                  <c:v>-1.5458377485175266E-3</c:v>
                </c:pt>
                <c:pt idx="130">
                  <c:v>1.6550624558473115E-4</c:v>
                </c:pt>
                <c:pt idx="131">
                  <c:v>1.714049646094952E-4</c:v>
                </c:pt>
                <c:pt idx="132">
                  <c:v>5.2642516924418644E-4</c:v>
                </c:pt>
                <c:pt idx="133">
                  <c:v>1.5645917363397237E-3</c:v>
                </c:pt>
                <c:pt idx="134">
                  <c:v>1.543869008382456E-3</c:v>
                </c:pt>
                <c:pt idx="135">
                  <c:v>1.500059233110177E-3</c:v>
                </c:pt>
                <c:pt idx="136">
                  <c:v>5.5000790787395064E-4</c:v>
                </c:pt>
                <c:pt idx="137">
                  <c:v>3.3131217438882982E-4</c:v>
                </c:pt>
                <c:pt idx="138">
                  <c:v>-1.1127636135857273E-3</c:v>
                </c:pt>
                <c:pt idx="139">
                  <c:v>1.002248219522164E-3</c:v>
                </c:pt>
                <c:pt idx="140">
                  <c:v>5.5053386957550792E-4</c:v>
                </c:pt>
                <c:pt idx="141">
                  <c:v>2.0970593507444106E-3</c:v>
                </c:pt>
                <c:pt idx="142">
                  <c:v>1.9941979708518729E-3</c:v>
                </c:pt>
                <c:pt idx="143">
                  <c:v>1.910122899863746E-3</c:v>
                </c:pt>
                <c:pt idx="144">
                  <c:v>2.3545253343983719E-3</c:v>
                </c:pt>
                <c:pt idx="145">
                  <c:v>-1.1727961192922325E-5</c:v>
                </c:pt>
                <c:pt idx="146">
                  <c:v>-1.1622082687570737E-3</c:v>
                </c:pt>
                <c:pt idx="147">
                  <c:v>-3.1768979654543423E-4</c:v>
                </c:pt>
                <c:pt idx="148">
                  <c:v>-1.8495968601010499E-3</c:v>
                </c:pt>
                <c:pt idx="149">
                  <c:v>-2.1727366023256527E-3</c:v>
                </c:pt>
                <c:pt idx="150">
                  <c:v>-6.5557473225210164E-4</c:v>
                </c:pt>
                <c:pt idx="151">
                  <c:v>1.1145586996192305E-3</c:v>
                </c:pt>
                <c:pt idx="152">
                  <c:v>7.2140790199110591E-4</c:v>
                </c:pt>
                <c:pt idx="153">
                  <c:v>1.638392905401038E-3</c:v>
                </c:pt>
                <c:pt idx="154">
                  <c:v>1.7535584581589224E-3</c:v>
                </c:pt>
                <c:pt idx="155">
                  <c:v>3.2725601662445267E-3</c:v>
                </c:pt>
                <c:pt idx="156">
                  <c:v>4.6970977407998693E-3</c:v>
                </c:pt>
                <c:pt idx="157">
                  <c:v>3.1955401967891884E-3</c:v>
                </c:pt>
                <c:pt idx="158">
                  <c:v>2.7481567936720303E-3</c:v>
                </c:pt>
                <c:pt idx="159">
                  <c:v>2.6074797704416404E-3</c:v>
                </c:pt>
                <c:pt idx="160">
                  <c:v>2.2344101636398799E-3</c:v>
                </c:pt>
                <c:pt idx="161">
                  <c:v>1.6514063556660684E-3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E-4153-8F7F-0DBE523D8F50}"/>
            </c:ext>
          </c:extLst>
        </c:ser>
        <c:ser>
          <c:idx val="1"/>
          <c:order val="1"/>
          <c:tx>
            <c:strRef>
              <c:f>Energy!$K$1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Energy!$K$2:$K$163</c:f>
              <c:numCache>
                <c:formatCode>0.000%</c:formatCode>
                <c:ptCount val="162"/>
                <c:pt idx="19">
                  <c:v>2.4759102540299924E-3</c:v>
                </c:pt>
                <c:pt idx="20">
                  <c:v>1.2067241912127663E-3</c:v>
                </c:pt>
                <c:pt idx="21">
                  <c:v>2.5759285274411445E-3</c:v>
                </c:pt>
                <c:pt idx="22">
                  <c:v>2.8665541278622723E-3</c:v>
                </c:pt>
                <c:pt idx="23">
                  <c:v>2.5909722449579328E-3</c:v>
                </c:pt>
                <c:pt idx="24">
                  <c:v>3.4682593610318802E-3</c:v>
                </c:pt>
                <c:pt idx="25">
                  <c:v>2.7959323511723465E-3</c:v>
                </c:pt>
                <c:pt idx="26">
                  <c:v>2.5591170049050972E-3</c:v>
                </c:pt>
                <c:pt idx="27">
                  <c:v>3.4190056270478157E-3</c:v>
                </c:pt>
                <c:pt idx="28">
                  <c:v>4.0119807940031098E-3</c:v>
                </c:pt>
                <c:pt idx="29">
                  <c:v>3.324811661579987E-3</c:v>
                </c:pt>
                <c:pt idx="30">
                  <c:v>3.0821153923377659E-3</c:v>
                </c:pt>
                <c:pt idx="31">
                  <c:v>2.7064815298893756E-3</c:v>
                </c:pt>
                <c:pt idx="32">
                  <c:v>3.2687190055884002E-3</c:v>
                </c:pt>
                <c:pt idx="33">
                  <c:v>1.7707270950528919E-3</c:v>
                </c:pt>
                <c:pt idx="34">
                  <c:v>2.7248959159598437E-3</c:v>
                </c:pt>
                <c:pt idx="35">
                  <c:v>1.989437105771521E-3</c:v>
                </c:pt>
                <c:pt idx="36">
                  <c:v>3.8300682362580442E-3</c:v>
                </c:pt>
                <c:pt idx="37">
                  <c:v>3.1427322173318783E-3</c:v>
                </c:pt>
                <c:pt idx="38">
                  <c:v>3.4669238836849631E-3</c:v>
                </c:pt>
                <c:pt idx="39">
                  <c:v>2.6852258786330659E-3</c:v>
                </c:pt>
                <c:pt idx="40">
                  <c:v>3.361239691677129E-3</c:v>
                </c:pt>
                <c:pt idx="41">
                  <c:v>3.048459115429507E-3</c:v>
                </c:pt>
                <c:pt idx="42">
                  <c:v>2.9883395633879492E-3</c:v>
                </c:pt>
                <c:pt idx="43">
                  <c:v>3.4083208173510747E-3</c:v>
                </c:pt>
                <c:pt idx="44">
                  <c:v>3.1721015721097633E-3</c:v>
                </c:pt>
                <c:pt idx="45">
                  <c:v>2.4802425396720945E-3</c:v>
                </c:pt>
                <c:pt idx="46">
                  <c:v>2.9605798673126129E-3</c:v>
                </c:pt>
                <c:pt idx="47">
                  <c:v>3.9491188572269497E-3</c:v>
                </c:pt>
                <c:pt idx="48">
                  <c:v>3.6302115275577791E-3</c:v>
                </c:pt>
                <c:pt idx="49">
                  <c:v>3.3227057919947831E-3</c:v>
                </c:pt>
                <c:pt idx="50">
                  <c:v>4.093473228161418E-3</c:v>
                </c:pt>
                <c:pt idx="51">
                  <c:v>2.7252499943621871E-3</c:v>
                </c:pt>
                <c:pt idx="52">
                  <c:v>1.9756035003626409E-3</c:v>
                </c:pt>
                <c:pt idx="53">
                  <c:v>2.0890033694526719E-3</c:v>
                </c:pt>
                <c:pt idx="54">
                  <c:v>1.2198288713025495E-3</c:v>
                </c:pt>
                <c:pt idx="55">
                  <c:v>9.2202576194613491E-4</c:v>
                </c:pt>
                <c:pt idx="56">
                  <c:v>6.7433220511708362E-4</c:v>
                </c:pt>
                <c:pt idx="57">
                  <c:v>1.2293057770103014E-3</c:v>
                </c:pt>
                <c:pt idx="58">
                  <c:v>1.5443355679999762E-3</c:v>
                </c:pt>
                <c:pt idx="59">
                  <c:v>2.5375751813684786E-3</c:v>
                </c:pt>
                <c:pt idx="60">
                  <c:v>2.3832704837101963E-3</c:v>
                </c:pt>
                <c:pt idx="61">
                  <c:v>6.0119043138698596E-4</c:v>
                </c:pt>
                <c:pt idx="62">
                  <c:v>-5.6818412570817922E-4</c:v>
                </c:pt>
                <c:pt idx="63">
                  <c:v>4.7495138194062278E-4</c:v>
                </c:pt>
                <c:pt idx="64">
                  <c:v>4.509725892883481E-4</c:v>
                </c:pt>
                <c:pt idx="65">
                  <c:v>-6.0889855287121232E-4</c:v>
                </c:pt>
                <c:pt idx="66">
                  <c:v>-9.9593305502044724E-4</c:v>
                </c:pt>
                <c:pt idx="67">
                  <c:v>-1.5543532807404353E-3</c:v>
                </c:pt>
                <c:pt idx="68">
                  <c:v>-1.2169581245904039E-3</c:v>
                </c:pt>
                <c:pt idx="69">
                  <c:v>-5.2168971838563338E-5</c:v>
                </c:pt>
                <c:pt idx="70">
                  <c:v>-7.5204569815595342E-4</c:v>
                </c:pt>
                <c:pt idx="71">
                  <c:v>-1.423280378664533E-3</c:v>
                </c:pt>
                <c:pt idx="72">
                  <c:v>2.1852536270667386E-5</c:v>
                </c:pt>
                <c:pt idx="73">
                  <c:v>-1.296781334201758E-3</c:v>
                </c:pt>
                <c:pt idx="74">
                  <c:v>-6.3951427027633787E-4</c:v>
                </c:pt>
                <c:pt idx="75">
                  <c:v>-4.6382693417218245E-4</c:v>
                </c:pt>
                <c:pt idx="76">
                  <c:v>3.0673853533422468E-4</c:v>
                </c:pt>
                <c:pt idx="77">
                  <c:v>-6.3126387028036401E-4</c:v>
                </c:pt>
                <c:pt idx="78">
                  <c:v>-1.561814245613473E-3</c:v>
                </c:pt>
                <c:pt idx="79">
                  <c:v>-9.4476252048454092E-4</c:v>
                </c:pt>
                <c:pt idx="80">
                  <c:v>-3.0124671423123006E-4</c:v>
                </c:pt>
                <c:pt idx="81">
                  <c:v>1.3033433362451429E-4</c:v>
                </c:pt>
                <c:pt idx="82">
                  <c:v>-1.5959055252859587E-3</c:v>
                </c:pt>
                <c:pt idx="83">
                  <c:v>-1.2275720274529699E-3</c:v>
                </c:pt>
                <c:pt idx="84">
                  <c:v>-1.3279529720203723E-3</c:v>
                </c:pt>
                <c:pt idx="85">
                  <c:v>-2.484639020736419E-3</c:v>
                </c:pt>
                <c:pt idx="86">
                  <c:v>-1.7370893367580466E-3</c:v>
                </c:pt>
                <c:pt idx="87">
                  <c:v>-9.828561504381004E-4</c:v>
                </c:pt>
                <c:pt idx="88">
                  <c:v>-6.6183253385265837E-4</c:v>
                </c:pt>
                <c:pt idx="89">
                  <c:v>-1.0137832689855487E-4</c:v>
                </c:pt>
                <c:pt idx="90">
                  <c:v>-3.6989845506792422E-4</c:v>
                </c:pt>
                <c:pt idx="91">
                  <c:v>-2.6442731281319393E-4</c:v>
                </c:pt>
                <c:pt idx="92">
                  <c:v>5.6649857426271867E-4</c:v>
                </c:pt>
                <c:pt idx="93">
                  <c:v>1.7751623568623171E-3</c:v>
                </c:pt>
                <c:pt idx="94">
                  <c:v>3.6451270213109822E-3</c:v>
                </c:pt>
                <c:pt idx="95">
                  <c:v>1.5350397710944192E-3</c:v>
                </c:pt>
                <c:pt idx="96">
                  <c:v>-2.0530538117469822E-4</c:v>
                </c:pt>
                <c:pt idx="97">
                  <c:v>1.0897178008425653E-3</c:v>
                </c:pt>
                <c:pt idx="98">
                  <c:v>-1.2947995258125696E-3</c:v>
                </c:pt>
                <c:pt idx="99">
                  <c:v>-5.111542526521003E-4</c:v>
                </c:pt>
                <c:pt idx="100">
                  <c:v>-1.7095971842139702E-3</c:v>
                </c:pt>
                <c:pt idx="101">
                  <c:v>-3.058731916379862E-3</c:v>
                </c:pt>
                <c:pt idx="102">
                  <c:v>-2.1768184742243573E-3</c:v>
                </c:pt>
                <c:pt idx="103">
                  <c:v>-2.1604892442900654E-3</c:v>
                </c:pt>
                <c:pt idx="104">
                  <c:v>-2.5359388296558442E-3</c:v>
                </c:pt>
                <c:pt idx="105">
                  <c:v>-2.1754200772067787E-3</c:v>
                </c:pt>
                <c:pt idx="106">
                  <c:v>4.8762323955234716E-4</c:v>
                </c:pt>
                <c:pt idx="107">
                  <c:v>9.5933732293224723E-4</c:v>
                </c:pt>
                <c:pt idx="108">
                  <c:v>5.4347263354694606E-4</c:v>
                </c:pt>
                <c:pt idx="109">
                  <c:v>1.207372261712382E-3</c:v>
                </c:pt>
                <c:pt idx="110">
                  <c:v>1.1391040163984109E-4</c:v>
                </c:pt>
                <c:pt idx="111">
                  <c:v>4.2921133433332496E-5</c:v>
                </c:pt>
                <c:pt idx="112">
                  <c:v>4.1357073834220005E-3</c:v>
                </c:pt>
                <c:pt idx="113">
                  <c:v>5.1539543676212751E-3</c:v>
                </c:pt>
                <c:pt idx="114">
                  <c:v>3.9833464579396381E-3</c:v>
                </c:pt>
                <c:pt idx="115">
                  <c:v>-1.6234568492680471E-3</c:v>
                </c:pt>
                <c:pt idx="116">
                  <c:v>-4.1133077529936987E-3</c:v>
                </c:pt>
                <c:pt idx="117">
                  <c:v>-2.4611100284686782E-3</c:v>
                </c:pt>
                <c:pt idx="118">
                  <c:v>-2.3831604482567117E-3</c:v>
                </c:pt>
                <c:pt idx="119">
                  <c:v>-3.0369196460623168E-3</c:v>
                </c:pt>
                <c:pt idx="120">
                  <c:v>-2.7881000115849591E-3</c:v>
                </c:pt>
                <c:pt idx="121">
                  <c:v>-3.2502471019347024E-3</c:v>
                </c:pt>
                <c:pt idx="122">
                  <c:v>-5.3683544462179208E-3</c:v>
                </c:pt>
                <c:pt idx="123">
                  <c:v>-5.717630483186565E-3</c:v>
                </c:pt>
                <c:pt idx="124">
                  <c:v>-6.1226885380622322E-3</c:v>
                </c:pt>
                <c:pt idx="125">
                  <c:v>-6.4045274447692389E-3</c:v>
                </c:pt>
                <c:pt idx="126">
                  <c:v>-5.1922437472027424E-3</c:v>
                </c:pt>
                <c:pt idx="127">
                  <c:v>-3.2873731095027525E-3</c:v>
                </c:pt>
                <c:pt idx="128">
                  <c:v>-3.7912945518561768E-3</c:v>
                </c:pt>
                <c:pt idx="129">
                  <c:v>-3.8493204486061386E-3</c:v>
                </c:pt>
                <c:pt idx="130">
                  <c:v>-2.256335840340685E-3</c:v>
                </c:pt>
                <c:pt idx="131">
                  <c:v>-2.3709728696977299E-3</c:v>
                </c:pt>
                <c:pt idx="132">
                  <c:v>-2.3384995859190428E-3</c:v>
                </c:pt>
                <c:pt idx="133">
                  <c:v>-1.6383241451629941E-3</c:v>
                </c:pt>
                <c:pt idx="134">
                  <c:v>-1.9546541742358828E-3</c:v>
                </c:pt>
                <c:pt idx="135">
                  <c:v>-2.0181661372878101E-3</c:v>
                </c:pt>
                <c:pt idx="136">
                  <c:v>-2.9079481188901612E-3</c:v>
                </c:pt>
                <c:pt idx="137">
                  <c:v>-3.1616474723939404E-3</c:v>
                </c:pt>
                <c:pt idx="138">
                  <c:v>-4.7227004610012032E-3</c:v>
                </c:pt>
                <c:pt idx="139">
                  <c:v>-2.5851162433159496E-3</c:v>
                </c:pt>
                <c:pt idx="140">
                  <c:v>-3.0499123798463359E-3</c:v>
                </c:pt>
                <c:pt idx="141">
                  <c:v>-1.4115652159246391E-3</c:v>
                </c:pt>
                <c:pt idx="142">
                  <c:v>-1.3116024967449748E-3</c:v>
                </c:pt>
                <c:pt idx="143">
                  <c:v>-1.1681460820677117E-3</c:v>
                </c:pt>
                <c:pt idx="144">
                  <c:v>-4.3948505462970374E-4</c:v>
                </c:pt>
                <c:pt idx="145">
                  <c:v>-2.6159668174082209E-3</c:v>
                </c:pt>
                <c:pt idx="146">
                  <c:v>-3.6912569189866185E-3</c:v>
                </c:pt>
                <c:pt idx="147">
                  <c:v>-2.8235340108402371E-3</c:v>
                </c:pt>
                <c:pt idx="148">
                  <c:v>-4.3851820319700452E-3</c:v>
                </c:pt>
                <c:pt idx="149">
                  <c:v>-4.7536154126515094E-3</c:v>
                </c:pt>
                <c:pt idx="150">
                  <c:v>-3.2880476755630214E-3</c:v>
                </c:pt>
                <c:pt idx="151">
                  <c:v>-1.4730489241917444E-3</c:v>
                </c:pt>
                <c:pt idx="152">
                  <c:v>-1.8413545279185246E-3</c:v>
                </c:pt>
                <c:pt idx="153">
                  <c:v>-8.8684361418705073E-4</c:v>
                </c:pt>
                <c:pt idx="154">
                  <c:v>-7.0949226839899871E-4</c:v>
                </c:pt>
                <c:pt idx="155">
                  <c:v>9.5804364289292954E-4</c:v>
                </c:pt>
                <c:pt idx="156">
                  <c:v>2.6604297874126236E-3</c:v>
                </c:pt>
                <c:pt idx="157">
                  <c:v>1.386020556336615E-3</c:v>
                </c:pt>
                <c:pt idx="158">
                  <c:v>1.236628634674644E-3</c:v>
                </c:pt>
                <c:pt idx="159">
                  <c:v>1.2895358094217636E-3</c:v>
                </c:pt>
                <c:pt idx="160">
                  <c:v>1.1251679326689935E-3</c:v>
                </c:pt>
                <c:pt idx="161">
                  <c:v>6.4491901865602593E-4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E-4153-8F7F-0DBE523D8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444351"/>
        <c:axId val="1630416976"/>
      </c:lineChart>
      <c:catAx>
        <c:axId val="11434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16976"/>
        <c:crosses val="autoZero"/>
        <c:auto val="1"/>
        <c:lblAlgn val="ctr"/>
        <c:lblOffset val="100"/>
        <c:noMultiLvlLbl val="0"/>
      </c:catAx>
      <c:valAx>
        <c:axId val="16304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4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Energy!$F$1:$F$164</c:f>
              <c:numCache>
                <c:formatCode>General</c:formatCode>
                <c:ptCount val="164"/>
                <c:pt idx="0">
                  <c:v>0</c:v>
                </c:pt>
                <c:pt idx="20" formatCode="_(* #,##0.0000_);_(* \(#,##0.0000\);_(* &quot;-&quot;??_);_(@_)">
                  <c:v>1.0592087604550691</c:v>
                </c:pt>
                <c:pt idx="21" formatCode="_(* #,##0.0000_);_(* \(#,##0.0000\);_(* &quot;-&quot;??_);_(@_)">
                  <c:v>1.0589594916515837</c:v>
                </c:pt>
                <c:pt idx="22" formatCode="_(* #,##0.0000_);_(* \(#,##0.0000\);_(* &quot;-&quot;??_);_(@_)">
                  <c:v>1.0587857819332291</c:v>
                </c:pt>
                <c:pt idx="23" formatCode="_(* #,##0.0000_);_(* \(#,##0.0000\);_(* &quot;-&quot;??_);_(@_)">
                  <c:v>1.0585575931252804</c:v>
                </c:pt>
                <c:pt idx="24" formatCode="_(* #,##0.0000_);_(* \(#,##0.0000\);_(* &quot;-&quot;??_);_(@_)">
                  <c:v>1.0583757778217031</c:v>
                </c:pt>
                <c:pt idx="25" formatCode="_(* #,##0.0000_);_(* \(#,##0.0000\);_(* &quot;-&quot;??_);_(@_)">
                  <c:v>1.058240217593164</c:v>
                </c:pt>
                <c:pt idx="26" formatCode="_(* #,##0.0000_);_(* \(#,##0.0000\);_(* &quot;-&quot;??_);_(@_)">
                  <c:v>1.0581691676186256</c:v>
                </c:pt>
                <c:pt idx="27" formatCode="_(* #,##0.0000_);_(* \(#,##0.0000\);_(* &quot;-&quot;??_);_(@_)">
                  <c:v>1.05807909139638</c:v>
                </c:pt>
                <c:pt idx="28" formatCode="_(* #,##0.0000_);_(* \(#,##0.0000\);_(* &quot;-&quot;??_);_(@_)">
                  <c:v>1.057942395654021</c:v>
                </c:pt>
                <c:pt idx="29" formatCode="_(* #,##0.0000_);_(* \(#,##0.0000\);_(* &quot;-&quot;??_);_(@_)">
                  <c:v>1.0578289845588063</c:v>
                </c:pt>
                <c:pt idx="30" formatCode="_(* #,##0.0000_);_(* \(#,##0.0000\);_(* &quot;-&quot;??_);_(@_)">
                  <c:v>1.0576825092583979</c:v>
                </c:pt>
                <c:pt idx="31" formatCode="_(* #,##0.0000_);_(* \(#,##0.0000\);_(* &quot;-&quot;??_);_(@_)">
                  <c:v>1.0575118840481008</c:v>
                </c:pt>
                <c:pt idx="32" formatCode="_(* #,##0.0000_);_(* \(#,##0.0000\);_(* &quot;-&quot;??_);_(@_)">
                  <c:v>1.0573974538291346</c:v>
                </c:pt>
                <c:pt idx="33" formatCode="_(* #,##0.0000_);_(* \(#,##0.0000\);_(* &quot;-&quot;??_);_(@_)">
                  <c:v>1.0572616576934111</c:v>
                </c:pt>
                <c:pt idx="34" formatCode="_(* #,##0.0000_);_(* \(#,##0.0000\);_(* &quot;-&quot;??_);_(@_)">
                  <c:v>1.0572351505371123</c:v>
                </c:pt>
                <c:pt idx="35" formatCode="_(* #,##0.0000_);_(* \(#,##0.0000\);_(* &quot;-&quot;??_);_(@_)">
                  <c:v>1.0571646724364878</c:v>
                </c:pt>
                <c:pt idx="36" formatCode="_(* #,##0.0000_);_(* \(#,##0.0000\);_(* &quot;-&quot;??_);_(@_)">
                  <c:v>1.0571348533568492</c:v>
                </c:pt>
                <c:pt idx="37" formatCode="_(* #,##0.0000_);_(* \(#,##0.0000\);_(* &quot;-&quot;??_);_(@_)">
                  <c:v>1.0570039951602201</c:v>
                </c:pt>
                <c:pt idx="38" formatCode="_(* #,##0.0000_);_(* \(#,##0.0000\);_(* &quot;-&quot;??_);_(@_)">
                  <c:v>1.0569016270469525</c:v>
                </c:pt>
                <c:pt idx="39" formatCode="_(* #,##0.0000_);_(* \(#,##0.0000\);_(* &quot;-&quot;??_);_(@_)">
                  <c:v>1.056788995488279</c:v>
                </c:pt>
                <c:pt idx="40" formatCode="_(* #,##0.0000_);_(* \(#,##0.0000\);_(* &quot;-&quot;??_);_(@_)">
                  <c:v>1.0567779322345596</c:v>
                </c:pt>
                <c:pt idx="41" formatCode="_(* #,##0.0000_);_(* \(#,##0.0000\);_(* &quot;-&quot;??_);_(@_)">
                  <c:v>1.0566640227894397</c:v>
                </c:pt>
                <c:pt idx="42" formatCode="_(* #,##0.0000_);_(* \(#,##0.0000\);_(* &quot;-&quot;??_);_(@_)">
                  <c:v>1.0566390532483534</c:v>
                </c:pt>
                <c:pt idx="43" formatCode="_(* #,##0.0000_);_(* \(#,##0.0000\);_(* &quot;-&quot;??_);_(@_)">
                  <c:v>1.0566326185835271</c:v>
                </c:pt>
                <c:pt idx="44" formatCode="_(* #,##0.0000_);_(* \(#,##0.0000\);_(* &quot;-&quot;??_);_(@_)">
                  <c:v>1.0565894362069206</c:v>
                </c:pt>
                <c:pt idx="45" formatCode="_(* #,##0.0000_);_(* \(#,##0.0000\);_(* &quot;-&quot;??_);_(@_)">
                  <c:v>1.0566050778789222</c:v>
                </c:pt>
                <c:pt idx="46" formatCode="_(* #,##0.0000_);_(* \(#,##0.0000\);_(* &quot;-&quot;??_);_(@_)">
                  <c:v>1.0566217625177885</c:v>
                </c:pt>
                <c:pt idx="47" formatCode="_(* #,##0.0000_);_(* \(#,##0.0000\);_(* &quot;-&quot;??_);_(@_)">
                  <c:v>1.0566005472390145</c:v>
                </c:pt>
                <c:pt idx="48" formatCode="_(* #,##0.0000_);_(* \(#,##0.0000\);_(* &quot;-&quot;??_);_(@_)">
                  <c:v>1.0565725593185875</c:v>
                </c:pt>
                <c:pt idx="49" formatCode="_(* #,##0.0000_);_(* \(#,##0.0000\);_(* &quot;-&quot;??_);_(@_)">
                  <c:v>1.056592712491693</c:v>
                </c:pt>
                <c:pt idx="50" formatCode="_(* #,##0.0000_);_(* \(#,##0.0000\);_(* &quot;-&quot;??_);_(@_)">
                  <c:v>1.0565928237134963</c:v>
                </c:pt>
                <c:pt idx="51" formatCode="_(* #,##0.0000_);_(* \(#,##0.0000\);_(* &quot;-&quot;??_);_(@_)">
                  <c:v>1.056539422804091</c:v>
                </c:pt>
                <c:pt idx="52" formatCode="_(* #,##0.0000_);_(* \(#,##0.0000\);_(* &quot;-&quot;??_);_(@_)">
                  <c:v>1.0565384309421932</c:v>
                </c:pt>
                <c:pt idx="53" formatCode="_(* #,##0.0000_);_(* \(#,##0.0000\);_(* &quot;-&quot;??_);_(@_)">
                  <c:v>1.0566067749604586</c:v>
                </c:pt>
                <c:pt idx="54" formatCode="_(* #,##0.0000_);_(* \(#,##0.0000\);_(* &quot;-&quot;??_);_(@_)">
                  <c:v>1.0565899417060212</c:v>
                </c:pt>
                <c:pt idx="55" formatCode="_(* #,##0.0000_);_(* \(#,##0.0000\);_(* &quot;-&quot;??_);_(@_)">
                  <c:v>1.0566695395402934</c:v>
                </c:pt>
                <c:pt idx="56" formatCode="_(* #,##0.0000_);_(* \(#,##0.0000\);_(* &quot;-&quot;??_);_(@_)">
                  <c:v>1.0567260204351103</c:v>
                </c:pt>
                <c:pt idx="57" formatCode="_(* #,##0.0000_);_(* \(#,##0.0000\);_(* &quot;-&quot;??_);_(@_)">
                  <c:v>1.0568928698471969</c:v>
                </c:pt>
                <c:pt idx="58" formatCode="_(* #,##0.0000_);_(* \(#,##0.0000\);_(* &quot;-&quot;??_);_(@_)">
                  <c:v>1.0569940427967202</c:v>
                </c:pt>
                <c:pt idx="59" formatCode="_(* #,##0.0000_);_(* \(#,##0.0000\);_(* &quot;-&quot;??_);_(@_)">
                  <c:v>1.0570956676974734</c:v>
                </c:pt>
                <c:pt idx="60" formatCode="_(* #,##0.0000_);_(* \(#,##0.0000\);_(* &quot;-&quot;??_);_(@_)">
                  <c:v>1.0571034714472574</c:v>
                </c:pt>
                <c:pt idx="61" formatCode="_(* #,##0.0000_);_(* \(#,##0.0000\);_(* &quot;-&quot;??_);_(@_)">
                  <c:v>1.0571551463590358</c:v>
                </c:pt>
                <c:pt idx="62" formatCode="_(* #,##0.0000_);_(* \(#,##0.0000\);_(* &quot;-&quot;??_);_(@_)">
                  <c:v>1.0572845931236183</c:v>
                </c:pt>
                <c:pt idx="63" formatCode="_(* #,##0.0000_);_(* \(#,##0.0000\);_(* &quot;-&quot;??_);_(@_)">
                  <c:v>1.05747282898023</c:v>
                </c:pt>
                <c:pt idx="64" formatCode="_(* #,##0.0000_);_(* \(#,##0.0000\);_(* &quot;-&quot;??_);_(@_)">
                  <c:v>1.057627969637301</c:v>
                </c:pt>
                <c:pt idx="65" formatCode="_(* #,##0.0000_);_(* \(#,##0.0000\);_(* &quot;-&quot;??_);_(@_)">
                  <c:v>1.0577719039941678</c:v>
                </c:pt>
                <c:pt idx="66" formatCode="_(* #,##0.0000_);_(* \(#,##0.0000\);_(* &quot;-&quot;??_);_(@_)">
                  <c:v>1.0579354475779053</c:v>
                </c:pt>
                <c:pt idx="67" formatCode="_(* #,##0.0000_);_(* \(#,##0.0000\);_(* &quot;-&quot;??_);_(@_)">
                  <c:v>1.0581449013587876</c:v>
                </c:pt>
                <c:pt idx="68" formatCode="_(* #,##0.0000_);_(* \(#,##0.0000\);_(* &quot;-&quot;??_);_(@_)">
                  <c:v>1.0584361871185923</c:v>
                </c:pt>
                <c:pt idx="69" formatCode="_(* #,##0.0000_);_(* \(#,##0.0000\);_(* &quot;-&quot;??_);_(@_)">
                  <c:v>1.0586927338964212</c:v>
                </c:pt>
                <c:pt idx="70" formatCode="_(* #,##0.0000_);_(* \(#,##0.0000\);_(* &quot;-&quot;??_);_(@_)">
                  <c:v>1.0588712796927697</c:v>
                </c:pt>
                <c:pt idx="71" formatCode="_(* #,##0.0000_);_(* \(#,##0.0000\);_(* &quot;-&quot;??_);_(@_)">
                  <c:v>1.0591276201103663</c:v>
                </c:pt>
                <c:pt idx="72" formatCode="_(* #,##0.0000_);_(* \(#,##0.0000\);_(* &quot;-&quot;??_);_(@_)">
                  <c:v>1.0593473118948697</c:v>
                </c:pt>
                <c:pt idx="73" formatCode="_(* #,##0.0000_);_(* \(#,##0.0000\);_(* &quot;-&quot;??_);_(@_)">
                  <c:v>1.0594507397414332</c:v>
                </c:pt>
                <c:pt idx="74" formatCode="_(* #,##0.0000_);_(* \(#,##0.0000\);_(* &quot;-&quot;??_);_(@_)">
                  <c:v>1.0596300848215301</c:v>
                </c:pt>
                <c:pt idx="75" formatCode="_(* #,##0.0000_);_(* \(#,##0.0000\);_(* &quot;-&quot;??_);_(@_)">
                  <c:v>1.0597285846660909</c:v>
                </c:pt>
                <c:pt idx="76" formatCode="_(* #,##0.0000_);_(* \(#,##0.0000\);_(* &quot;-&quot;??_);_(@_)">
                  <c:v>1.059802005541667</c:v>
                </c:pt>
                <c:pt idx="77" formatCode="_(* #,##0.0000_);_(* \(#,##0.0000\);_(* &quot;-&quot;??_);_(@_)">
                  <c:v>1.0598214751376598</c:v>
                </c:pt>
                <c:pt idx="78" formatCode="_(* #,##0.0000_);_(* \(#,##0.0000\);_(* &quot;-&quot;??_);_(@_)">
                  <c:v>1.0599200390834922</c:v>
                </c:pt>
                <c:pt idx="79" formatCode="_(* #,##0.0000_);_(* \(#,##0.0000\);_(* &quot;-&quot;??_);_(@_)">
                  <c:v>1.0600846385103533</c:v>
                </c:pt>
                <c:pt idx="80" formatCode="_(* #,##0.0000_);_(* \(#,##0.0000\);_(* &quot;-&quot;??_);_(@_)">
                  <c:v>1.0602690241862003</c:v>
                </c:pt>
                <c:pt idx="81" formatCode="_(* #,##0.0000_);_(* \(#,##0.0000\);_(* &quot;-&quot;??_);_(@_)">
                  <c:v>1.0604111314133395</c:v>
                </c:pt>
                <c:pt idx="82" formatCode="_(* #,##0.0000_);_(* \(#,##0.0000\);_(* &quot;-&quot;??_);_(@_)">
                  <c:v>1.0604360734150478</c:v>
                </c:pt>
                <c:pt idx="83" formatCode="_(* #,##0.0000_);_(* \(#,##0.0000\);_(* &quot;-&quot;??_);_(@_)">
                  <c:v>1.0604905923414465</c:v>
                </c:pt>
                <c:pt idx="84" formatCode="_(* #,##0.0000_);_(* \(#,##0.0000\);_(* &quot;-&quot;??_);_(@_)">
                  <c:v>1.0605808446925387</c:v>
                </c:pt>
                <c:pt idx="85" formatCode="_(* #,##0.0000_);_(* \(#,##0.0000\);_(* &quot;-&quot;??_);_(@_)">
                  <c:v>1.060675153057784</c:v>
                </c:pt>
                <c:pt idx="86" formatCode="_(* #,##0.0000_);_(* \(#,##0.0000\);_(* &quot;-&quot;??_);_(@_)">
                  <c:v>1.0607747042613744</c:v>
                </c:pt>
                <c:pt idx="87" formatCode="_(* #,##0.0000_);_(* \(#,##0.0000\);_(* &quot;-&quot;??_);_(@_)">
                  <c:v>1.0608140325657351</c:v>
                </c:pt>
                <c:pt idx="88" formatCode="_(* #,##0.0000_);_(* \(#,##0.0000\);_(* &quot;-&quot;??_);_(@_)">
                  <c:v>1.0607837099293527</c:v>
                </c:pt>
                <c:pt idx="89" formatCode="_(* #,##0.0000_);_(* \(#,##0.0000\);_(* &quot;-&quot;??_);_(@_)">
                  <c:v>1.0607542656331308</c:v>
                </c:pt>
                <c:pt idx="90" formatCode="_(* #,##0.0000_);_(* \(#,##0.0000\);_(* &quot;-&quot;??_);_(@_)">
                  <c:v>1.0607568734852806</c:v>
                </c:pt>
                <c:pt idx="91" formatCode="_(* #,##0.0000_);_(* \(#,##0.0000\);_(* &quot;-&quot;??_);_(@_)">
                  <c:v>1.0607366117652246</c:v>
                </c:pt>
                <c:pt idx="92" formatCode="_(* #,##0.0000_);_(* \(#,##0.0000\);_(* &quot;-&quot;??_);_(@_)">
                  <c:v>1.0606751511604267</c:v>
                </c:pt>
                <c:pt idx="93" formatCode="_(* #,##0.0000_);_(* \(#,##0.0000\);_(* &quot;-&quot;??_);_(@_)">
                  <c:v>1.0606462983218896</c:v>
                </c:pt>
                <c:pt idx="94" formatCode="_(* #,##0.0000_);_(* \(#,##0.0000\);_(* &quot;-&quot;??_);_(@_)">
                  <c:v>1.060483551883685</c:v>
                </c:pt>
                <c:pt idx="95" formatCode="_(* #,##0.0000_);_(* \(#,##0.0000\);_(* &quot;-&quot;??_);_(@_)">
                  <c:v>1.0602568453218266</c:v>
                </c:pt>
                <c:pt idx="96" formatCode="_(* #,##0.0000_);_(* \(#,##0.0000\);_(* &quot;-&quot;??_);_(@_)">
                  <c:v>1.0601509801161473</c:v>
                </c:pt>
                <c:pt idx="97" formatCode="_(* #,##0.0000_);_(* \(#,##0.0000\);_(* &quot;-&quot;??_);_(@_)">
                  <c:v>1.0601781124492158</c:v>
                </c:pt>
                <c:pt idx="98" formatCode="_(* #,##0.0000_);_(* \(#,##0.0000\);_(* &quot;-&quot;??_);_(@_)">
                  <c:v>1.0600869368351966</c:v>
                </c:pt>
                <c:pt idx="99" formatCode="_(* #,##0.0000_);_(* \(#,##0.0000\);_(* &quot;-&quot;??_);_(@_)">
                  <c:v>1.0600727672394314</c:v>
                </c:pt>
                <c:pt idx="100" formatCode="_(* #,##0.0000_);_(* \(#,##0.0000\);_(* &quot;-&quot;??_);_(@_)">
                  <c:v>1.0600497731796368</c:v>
                </c:pt>
                <c:pt idx="101" formatCode="_(* #,##0.0000_);_(* \(#,##0.0000\);_(* &quot;-&quot;??_);_(@_)">
                  <c:v>1.0601244781294421</c:v>
                </c:pt>
                <c:pt idx="102" formatCode="_(* #,##0.0000_);_(* \(#,##0.0000\);_(* &quot;-&quot;??_);_(@_)">
                  <c:v>1.0602937175653238</c:v>
                </c:pt>
                <c:pt idx="103" formatCode="_(* #,##0.0000_);_(* \(#,##0.0000\);_(* &quot;-&quot;??_);_(@_)">
                  <c:v>1.0603245588350942</c:v>
                </c:pt>
                <c:pt idx="104" formatCode="_(* #,##0.0000_);_(* \(#,##0.0000\);_(* &quot;-&quot;??_);_(@_)">
                  <c:v>1.0603740788517437</c:v>
                </c:pt>
                <c:pt idx="105" formatCode="_(* #,##0.0000_);_(* \(#,##0.0000\);_(* &quot;-&quot;??_);_(@_)">
                  <c:v>1.0604382149978364</c:v>
                </c:pt>
                <c:pt idx="106" formatCode="_(* #,##0.0000_);_(* \(#,##0.0000\);_(* &quot;-&quot;??_);_(@_)">
                  <c:v>1.0604217909590159</c:v>
                </c:pt>
                <c:pt idx="107" formatCode="_(* #,##0.0000_);_(* \(#,##0.0000\);_(* &quot;-&quot;??_);_(@_)">
                  <c:v>1.0603038275627674</c:v>
                </c:pt>
                <c:pt idx="108" formatCode="_(* #,##0.0000_);_(* \(#,##0.0000\);_(* &quot;-&quot;??_);_(@_)">
                  <c:v>1.0602009076010932</c:v>
                </c:pt>
                <c:pt idx="109" formatCode="_(* #,##0.0000_);_(* \(#,##0.0000\);_(* &quot;-&quot;??_);_(@_)">
                  <c:v>1.0601370335154259</c:v>
                </c:pt>
                <c:pt idx="110" formatCode="_(* #,##0.0000_);_(* \(#,##0.0000\);_(* &quot;-&quot;??_);_(@_)">
                  <c:v>1.06006771987523</c:v>
                </c:pt>
                <c:pt idx="111" formatCode="_(* #,##0.0000_);_(* \(#,##0.0000\);_(* &quot;-&quot;??_);_(@_)">
                  <c:v>1.0600420790879412</c:v>
                </c:pt>
                <c:pt idx="112" formatCode="_(* #,##0.0000_);_(* \(#,##0.0000\);_(* &quot;-&quot;??_);_(@_)">
                  <c:v>1.0600257905886514</c:v>
                </c:pt>
                <c:pt idx="113" formatCode="_(* #,##0.0000_);_(* \(#,##0.0000\);_(* &quot;-&quot;??_);_(@_)">
                  <c:v>1.0598370987719594</c:v>
                </c:pt>
                <c:pt idx="114" formatCode="_(* #,##0.0000_);_(* \(#,##0.0000\);_(* &quot;-&quot;??_);_(@_)">
                  <c:v>1.0596586724279666</c:v>
                </c:pt>
                <c:pt idx="115" formatCode="_(* #,##0.0000_);_(* \(#,##0.0000\);_(* &quot;-&quot;??_);_(@_)">
                  <c:v>1.0596408180792816</c:v>
                </c:pt>
                <c:pt idx="116" formatCode="_(* #,##0.0000_);_(* \(#,##0.0000\);_(* &quot;-&quot;??_);_(@_)">
                  <c:v>1.0598081973790738</c:v>
                </c:pt>
                <c:pt idx="117" formatCode="_(* #,##0.0000_);_(* \(#,##0.0000\);_(* &quot;-&quot;??_);_(@_)">
                  <c:v>1.0600157340376111</c:v>
                </c:pt>
                <c:pt idx="118" formatCode="_(* #,##0.0000_);_(* \(#,##0.0000\);_(* &quot;-&quot;??_);_(@_)">
                  <c:v>1.060204025048602</c:v>
                </c:pt>
                <c:pt idx="119" formatCode="_(* #,##0.0000_);_(* \(#,##0.0000\);_(* &quot;-&quot;??_);_(@_)">
                  <c:v>1.0602618045208199</c:v>
                </c:pt>
                <c:pt idx="120" formatCode="_(* #,##0.0000_);_(* \(#,##0.0000\);_(* &quot;-&quot;??_);_(@_)">
                  <c:v>1.0603958849923298</c:v>
                </c:pt>
                <c:pt idx="121" formatCode="_(* #,##0.0000_);_(* \(#,##0.0000\);_(* &quot;-&quot;??_);_(@_)">
                  <c:v>1.060453164585101</c:v>
                </c:pt>
                <c:pt idx="122" formatCode="_(* #,##0.0000_);_(* \(#,##0.0000\);_(* &quot;-&quot;??_);_(@_)">
                  <c:v>1.0604633452265841</c:v>
                </c:pt>
                <c:pt idx="123" formatCode="_(* #,##0.0000_);_(* \(#,##0.0000\);_(* &quot;-&quot;??_);_(@_)">
                  <c:v>1.0606331071517661</c:v>
                </c:pt>
                <c:pt idx="124" formatCode="_(* #,##0.0000_);_(* \(#,##0.0000\);_(* &quot;-&quot;??_);_(@_)">
                  <c:v>1.060822347614176</c:v>
                </c:pt>
                <c:pt idx="125" formatCode="_(* #,##0.0000_);_(* \(#,##0.0000\);_(* &quot;-&quot;??_);_(@_)">
                  <c:v>1.0610132377344759</c:v>
                </c:pt>
                <c:pt idx="126" formatCode="_(* #,##0.0000_);_(* \(#,##0.0000\);_(* &quot;-&quot;??_);_(@_)">
                  <c:v>1.0612383059132906</c:v>
                </c:pt>
                <c:pt idx="127" formatCode="_(* #,##0.0000_);_(* \(#,##0.0000\);_(* &quot;-&quot;??_);_(@_)">
                  <c:v>1.0615399968716666</c:v>
                </c:pt>
                <c:pt idx="128" formatCode="_(* #,##0.0000_);_(* \(#,##0.0000\);_(* &quot;-&quot;??_);_(@_)">
                  <c:v>1.0617652964879654</c:v>
                </c:pt>
                <c:pt idx="129" formatCode="_(* #,##0.0000_);_(* \(#,##0.0000\);_(* &quot;-&quot;??_);_(@_)">
                  <c:v>1.0619953735498751</c:v>
                </c:pt>
                <c:pt idx="130" formatCode="_(* #,##0.0000_);_(* \(#,##0.0000\);_(* &quot;-&quot;??_);_(@_)">
                  <c:v>1.0622636871382258</c:v>
                </c:pt>
                <c:pt idx="131" formatCode="_(* #,##0.0000_);_(* \(#,##0.0000\);_(* &quot;-&quot;??_);_(@_)">
                  <c:v>1.0623894234567222</c:v>
                </c:pt>
                <c:pt idx="132" formatCode="_(* #,##0.0000_);_(* \(#,##0.0000\);_(* &quot;-&quot;??_);_(@_)">
                  <c:v>1.0625174870789187</c:v>
                </c:pt>
                <c:pt idx="133" formatCode="_(* #,##0.0000_);_(* \(#,##0.0000\);_(* &quot;-&quot;??_);_(@_)">
                  <c:v>1.0628602540989835</c:v>
                </c:pt>
                <c:pt idx="134" formatCode="_(* #,##0.0000_);_(* \(#,##0.0000\);_(* &quot;-&quot;??_);_(@_)">
                  <c:v>1.0632195521497638</c:v>
                </c:pt>
                <c:pt idx="135" formatCode="_(* #,##0.0000_);_(* \(#,##0.0000\);_(* &quot;-&quot;??_);_(@_)">
                  <c:v>1.0635338940706627</c:v>
                </c:pt>
                <c:pt idx="136" formatCode="_(* #,##0.0000_);_(* \(#,##0.0000\);_(* &quot;-&quot;??_);_(@_)">
                  <c:v>1.0635548482215742</c:v>
                </c:pt>
                <c:pt idx="137" formatCode="_(* #,##0.0000_);_(* \(#,##0.0000\);_(* &quot;-&quot;??_);_(@_)">
                  <c:v>1.0634907504005393</c:v>
                </c:pt>
                <c:pt idx="138" formatCode="_(* #,##0.0000_);_(* \(#,##0.0000\);_(* &quot;-&quot;??_);_(@_)">
                  <c:v>1.0635279770781902</c:v>
                </c:pt>
                <c:pt idx="139" formatCode="_(* #,##0.0000_);_(* \(#,##0.0000\);_(* &quot;-&quot;??_);_(@_)">
                  <c:v>1.0636523928805077</c:v>
                </c:pt>
                <c:pt idx="140" formatCode="_(* #,##0.0000_);_(* \(#,##0.0000\);_(* &quot;-&quot;??_);_(@_)">
                  <c:v>1.0636283839806091</c:v>
                </c:pt>
                <c:pt idx="141" formatCode="_(* #,##0.0000_);_(* \(#,##0.0000\);_(* &quot;-&quot;??_);_(@_)">
                  <c:v>1.0636422982311442</c:v>
                </c:pt>
                <c:pt idx="142" formatCode="_(* #,##0.0000_);_(* \(#,##0.0000\);_(* &quot;-&quot;??_);_(@_)">
                  <c:v>1.0635446372892381</c:v>
                </c:pt>
                <c:pt idx="143" formatCode="_(* #,##0.0000_);_(* \(#,##0.0000\);_(* &quot;-&quot;??_);_(@_)">
                  <c:v>1.063328946680723</c:v>
                </c:pt>
                <c:pt idx="144" formatCode="_(* #,##0.0000_);_(* \(#,##0.0000\);_(* &quot;-&quot;??_);_(@_)">
                  <c:v>1.0630870333882227</c:v>
                </c:pt>
                <c:pt idx="145" formatCode="_(* #,##0.0000_);_(* \(#,##0.0000\);_(* &quot;-&quot;??_);_(@_)">
                  <c:v>1.0627848847101915</c:v>
                </c:pt>
                <c:pt idx="146" formatCode="_(* #,##0.0000_);_(* \(#,##0.0000\);_(* &quot;-&quot;??_);_(@_)">
                  <c:v>1.06258321752952</c:v>
                </c:pt>
                <c:pt idx="147" formatCode="_(* #,##0.0000_);_(* \(#,##0.0000\);_(* &quot;-&quot;??_);_(@_)">
                  <c:v>1.0625033246821345</c:v>
                </c:pt>
                <c:pt idx="148" formatCode="_(* #,##0.0000_);_(* \(#,##0.0000\);_(* &quot;-&quot;??_);_(@_)">
                  <c:v>1.0624786701778546</c:v>
                </c:pt>
                <c:pt idx="149" formatCode="_(* #,##0.0000_);_(* \(#,##0.0000\);_(* &quot;-&quot;??_);_(@_)">
                  <c:v>1.0625102697808066</c:v>
                </c:pt>
                <c:pt idx="150" formatCode="_(* #,##0.0000_);_(* \(#,##0.0000\);_(* &quot;-&quot;??_);_(@_)">
                  <c:v>1.0625583958267164</c:v>
                </c:pt>
                <c:pt idx="151" formatCode="_(* #,##0.0000_);_(* \(#,##0.0000\);_(* &quot;-&quot;??_);_(@_)">
                  <c:v>1.0626132190201605</c:v>
                </c:pt>
                <c:pt idx="152" formatCode="_(* #,##0.0000_);_(* \(#,##0.0000\);_(* &quot;-&quot;??_);_(@_)">
                  <c:v>1.0625655456080336</c:v>
                </c:pt>
                <c:pt idx="153" formatCode="_(* #,##0.0000_);_(* \(#,##0.0000\);_(* &quot;-&quot;??_);_(@_)">
                  <c:v>1.0625391462889697</c:v>
                </c:pt>
                <c:pt idx="154" formatCode="_(* #,##0.0000_);_(* \(#,##0.0000\);_(* &quot;-&quot;??_);_(@_)">
                  <c:v>1.0624992742883739</c:v>
                </c:pt>
                <c:pt idx="155" formatCode="_(* #,##0.0000_);_(* \(#,##0.0000\);_(* &quot;-&quot;??_);_(@_)">
                  <c:v>1.0624332039827471</c:v>
                </c:pt>
                <c:pt idx="156" formatCode="_(* #,##0.0000_);_(* \(#,##0.0000\);_(* &quot;-&quot;??_);_(@_)">
                  <c:v>1.0622754080326713</c:v>
                </c:pt>
                <c:pt idx="157" formatCode="_(* #,##0.0000_);_(* \(#,##0.0000\);_(* &quot;-&quot;??_);_(@_)">
                  <c:v>1.0619802973295833</c:v>
                </c:pt>
                <c:pt idx="158" formatCode="_(* #,##0.0000_);_(* \(#,##0.0000\);_(* &quot;-&quot;??_);_(@_)">
                  <c:v>1.0617390976917573</c:v>
                </c:pt>
                <c:pt idx="159" formatCode="_(* #,##0.0000_);_(* \(#,##0.0000\);_(* &quot;-&quot;??_);_(@_)">
                  <c:v>1.0614227556210794</c:v>
                </c:pt>
                <c:pt idx="160" formatCode="_(* #,##0.0000_);_(* \(#,##0.0000\);_(* &quot;-&quot;??_);_(@_)">
                  <c:v>1.061217300835259</c:v>
                </c:pt>
                <c:pt idx="161" formatCode="_(* #,##0.0000_);_(* \(#,##0.0000\);_(* &quot;-&quot;??_);_(@_)">
                  <c:v>1.0609958460584183</c:v>
                </c:pt>
                <c:pt idx="162" formatCode="_(* #,##0.0000_);_(* \(#,##0.0000\);_(* &quot;-&quot;??_);_(@_)">
                  <c:v>1.06088682914387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3-4E20-A716-7958393C406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Energy!$G$1:$G$164</c:f>
              <c:numCache>
                <c:formatCode>m/d/yyyy</c:formatCode>
                <c:ptCount val="164"/>
                <c:pt idx="20" formatCode="_(* #,##0.0000_);_(* \(#,##0.0000\);_(* &quot;-&quot;??_);_(@_)">
                  <c:v>1.0598195971521724</c:v>
                </c:pt>
                <c:pt idx="21" formatCode="_(* #,##0.0000_);_(* \(#,##0.0000\);_(* &quot;-&quot;??_);_(@_)">
                  <c:v>1.0598195971521724</c:v>
                </c:pt>
                <c:pt idx="22" formatCode="_(* #,##0.0000_);_(* \(#,##0.0000\);_(* &quot;-&quot;??_);_(@_)">
                  <c:v>1.0598195971521724</c:v>
                </c:pt>
                <c:pt idx="23" formatCode="_(* #,##0.0000_);_(* \(#,##0.0000\);_(* &quot;-&quot;??_);_(@_)">
                  <c:v>1.0598195971521724</c:v>
                </c:pt>
                <c:pt idx="24" formatCode="_(* #,##0.0000_);_(* \(#,##0.0000\);_(* &quot;-&quot;??_);_(@_)">
                  <c:v>1.0598195971521724</c:v>
                </c:pt>
                <c:pt idx="25" formatCode="_(* #,##0.0000_);_(* \(#,##0.0000\);_(* &quot;-&quot;??_);_(@_)">
                  <c:v>1.0598195971521724</c:v>
                </c:pt>
                <c:pt idx="26" formatCode="_(* #,##0.0000_);_(* \(#,##0.0000\);_(* &quot;-&quot;??_);_(@_)">
                  <c:v>1.0598195971521724</c:v>
                </c:pt>
                <c:pt idx="27" formatCode="_(* #,##0.0000_);_(* \(#,##0.0000\);_(* &quot;-&quot;??_);_(@_)">
                  <c:v>1.0598195971521724</c:v>
                </c:pt>
                <c:pt idx="28" formatCode="_(* #,##0.0000_);_(* \(#,##0.0000\);_(* &quot;-&quot;??_);_(@_)">
                  <c:v>1.0598195971521724</c:v>
                </c:pt>
                <c:pt idx="29" formatCode="_(* #,##0.0000_);_(* \(#,##0.0000\);_(* &quot;-&quot;??_);_(@_)">
                  <c:v>1.0598195971521724</c:v>
                </c:pt>
                <c:pt idx="30" formatCode="_(* #,##0.0000_);_(* \(#,##0.0000\);_(* &quot;-&quot;??_);_(@_)">
                  <c:v>1.0598195971521724</c:v>
                </c:pt>
                <c:pt idx="31" formatCode="_(* #,##0.0000_);_(* \(#,##0.0000\);_(* &quot;-&quot;??_);_(@_)">
                  <c:v>1.0598195971521724</c:v>
                </c:pt>
                <c:pt idx="32" formatCode="_(* #,##0.0000_);_(* \(#,##0.0000\);_(* &quot;-&quot;??_);_(@_)">
                  <c:v>1.0598195971521724</c:v>
                </c:pt>
                <c:pt idx="33" formatCode="_(* #,##0.0000_);_(* \(#,##0.0000\);_(* &quot;-&quot;??_);_(@_)">
                  <c:v>1.0598195971521724</c:v>
                </c:pt>
                <c:pt idx="34" formatCode="_(* #,##0.0000_);_(* \(#,##0.0000\);_(* &quot;-&quot;??_);_(@_)">
                  <c:v>1.0598195971521724</c:v>
                </c:pt>
                <c:pt idx="35" formatCode="_(* #,##0.0000_);_(* \(#,##0.0000\);_(* &quot;-&quot;??_);_(@_)">
                  <c:v>1.0598195971521724</c:v>
                </c:pt>
                <c:pt idx="36" formatCode="_(* #,##0.0000_);_(* \(#,##0.0000\);_(* &quot;-&quot;??_);_(@_)">
                  <c:v>1.0598195971521724</c:v>
                </c:pt>
                <c:pt idx="37" formatCode="_(* #,##0.0000_);_(* \(#,##0.0000\);_(* &quot;-&quot;??_);_(@_)">
                  <c:v>1.0598195971521724</c:v>
                </c:pt>
                <c:pt idx="38" formatCode="_(* #,##0.0000_);_(* \(#,##0.0000\);_(* &quot;-&quot;??_);_(@_)">
                  <c:v>1.0598195971521724</c:v>
                </c:pt>
                <c:pt idx="39" formatCode="_(* #,##0.0000_);_(* \(#,##0.0000\);_(* &quot;-&quot;??_);_(@_)">
                  <c:v>1.0598195971521724</c:v>
                </c:pt>
                <c:pt idx="40" formatCode="_(* #,##0.0000_);_(* \(#,##0.0000\);_(* &quot;-&quot;??_);_(@_)">
                  <c:v>1.0598195971521724</c:v>
                </c:pt>
                <c:pt idx="41" formatCode="_(* #,##0.0000_);_(* \(#,##0.0000\);_(* &quot;-&quot;??_);_(@_)">
                  <c:v>1.0598195971521724</c:v>
                </c:pt>
                <c:pt idx="42" formatCode="_(* #,##0.0000_);_(* \(#,##0.0000\);_(* &quot;-&quot;??_);_(@_)">
                  <c:v>1.0598195971521724</c:v>
                </c:pt>
                <c:pt idx="43" formatCode="_(* #,##0.0000_);_(* \(#,##0.0000\);_(* &quot;-&quot;??_);_(@_)">
                  <c:v>1.0598195971521724</c:v>
                </c:pt>
                <c:pt idx="44" formatCode="_(* #,##0.0000_);_(* \(#,##0.0000\);_(* &quot;-&quot;??_);_(@_)">
                  <c:v>1.0598195971521724</c:v>
                </c:pt>
                <c:pt idx="45" formatCode="_(* #,##0.0000_);_(* \(#,##0.0000\);_(* &quot;-&quot;??_);_(@_)">
                  <c:v>1.0598195971521724</c:v>
                </c:pt>
                <c:pt idx="46" formatCode="_(* #,##0.0000_);_(* \(#,##0.0000\);_(* &quot;-&quot;??_);_(@_)">
                  <c:v>1.0598195971521724</c:v>
                </c:pt>
                <c:pt idx="47" formatCode="_(* #,##0.0000_);_(* \(#,##0.0000\);_(* &quot;-&quot;??_);_(@_)">
                  <c:v>1.0598195971521724</c:v>
                </c:pt>
                <c:pt idx="48" formatCode="_(* #,##0.0000_);_(* \(#,##0.0000\);_(* &quot;-&quot;??_);_(@_)">
                  <c:v>1.0598195971521724</c:v>
                </c:pt>
                <c:pt idx="49" formatCode="_(* #,##0.0000_);_(* \(#,##0.0000\);_(* &quot;-&quot;??_);_(@_)">
                  <c:v>1.0598195971521724</c:v>
                </c:pt>
                <c:pt idx="50" formatCode="_(* #,##0.0000_);_(* \(#,##0.0000\);_(* &quot;-&quot;??_);_(@_)">
                  <c:v>1.0598195971521724</c:v>
                </c:pt>
                <c:pt idx="51" formatCode="_(* #,##0.0000_);_(* \(#,##0.0000\);_(* &quot;-&quot;??_);_(@_)">
                  <c:v>1.0598195971521724</c:v>
                </c:pt>
                <c:pt idx="52" formatCode="_(* #,##0.0000_);_(* \(#,##0.0000\);_(* &quot;-&quot;??_);_(@_)">
                  <c:v>1.0598195971521724</c:v>
                </c:pt>
                <c:pt idx="53" formatCode="_(* #,##0.0000_);_(* \(#,##0.0000\);_(* &quot;-&quot;??_);_(@_)">
                  <c:v>1.0598195971521724</c:v>
                </c:pt>
                <c:pt idx="54" formatCode="_(* #,##0.0000_);_(* \(#,##0.0000\);_(* &quot;-&quot;??_);_(@_)">
                  <c:v>1.0598195971521724</c:v>
                </c:pt>
                <c:pt idx="55" formatCode="_(* #,##0.0000_);_(* \(#,##0.0000\);_(* &quot;-&quot;??_);_(@_)">
                  <c:v>1.0598195971521724</c:v>
                </c:pt>
                <c:pt idx="56" formatCode="_(* #,##0.0000_);_(* \(#,##0.0000\);_(* &quot;-&quot;??_);_(@_)">
                  <c:v>1.0598195971521724</c:v>
                </c:pt>
                <c:pt idx="57" formatCode="_(* #,##0.0000_);_(* \(#,##0.0000\);_(* &quot;-&quot;??_);_(@_)">
                  <c:v>1.0598195971521724</c:v>
                </c:pt>
                <c:pt idx="58" formatCode="_(* #,##0.0000_);_(* \(#,##0.0000\);_(* &quot;-&quot;??_);_(@_)">
                  <c:v>1.0598195971521724</c:v>
                </c:pt>
                <c:pt idx="59" formatCode="_(* #,##0.0000_);_(* \(#,##0.0000\);_(* &quot;-&quot;??_);_(@_)">
                  <c:v>1.0598195971521724</c:v>
                </c:pt>
                <c:pt idx="60" formatCode="_(* #,##0.0000_);_(* \(#,##0.0000\);_(* &quot;-&quot;??_);_(@_)">
                  <c:v>1.0598195971521724</c:v>
                </c:pt>
                <c:pt idx="61" formatCode="_(* #,##0.0000_);_(* \(#,##0.0000\);_(* &quot;-&quot;??_);_(@_)">
                  <c:v>1.0598195971521724</c:v>
                </c:pt>
                <c:pt idx="62" formatCode="_(* #,##0.0000_);_(* \(#,##0.0000\);_(* &quot;-&quot;??_);_(@_)">
                  <c:v>1.0598195971521724</c:v>
                </c:pt>
                <c:pt idx="63" formatCode="_(* #,##0.0000_);_(* \(#,##0.0000\);_(* &quot;-&quot;??_);_(@_)">
                  <c:v>1.0598195971521724</c:v>
                </c:pt>
                <c:pt idx="64" formatCode="_(* #,##0.0000_);_(* \(#,##0.0000\);_(* &quot;-&quot;??_);_(@_)">
                  <c:v>1.0598195971521724</c:v>
                </c:pt>
                <c:pt idx="65" formatCode="_(* #,##0.0000_);_(* \(#,##0.0000\);_(* &quot;-&quot;??_);_(@_)">
                  <c:v>1.0598195971521724</c:v>
                </c:pt>
                <c:pt idx="66" formatCode="_(* #,##0.0000_);_(* \(#,##0.0000\);_(* &quot;-&quot;??_);_(@_)">
                  <c:v>1.0598195971521724</c:v>
                </c:pt>
                <c:pt idx="67" formatCode="_(* #,##0.0000_);_(* \(#,##0.0000\);_(* &quot;-&quot;??_);_(@_)">
                  <c:v>1.0598195971521724</c:v>
                </c:pt>
                <c:pt idx="68" formatCode="_(* #,##0.0000_);_(* \(#,##0.0000\);_(* &quot;-&quot;??_);_(@_)">
                  <c:v>1.0598195971521724</c:v>
                </c:pt>
                <c:pt idx="69" formatCode="_(* #,##0.0000_);_(* \(#,##0.0000\);_(* &quot;-&quot;??_);_(@_)">
                  <c:v>1.0598195971521724</c:v>
                </c:pt>
                <c:pt idx="70" formatCode="_(* #,##0.0000_);_(* \(#,##0.0000\);_(* &quot;-&quot;??_);_(@_)">
                  <c:v>1.0598195971521724</c:v>
                </c:pt>
                <c:pt idx="71" formatCode="_(* #,##0.0000_);_(* \(#,##0.0000\);_(* &quot;-&quot;??_);_(@_)">
                  <c:v>1.0598195971521724</c:v>
                </c:pt>
                <c:pt idx="72" formatCode="_(* #,##0.0000_);_(* \(#,##0.0000\);_(* &quot;-&quot;??_);_(@_)">
                  <c:v>1.0598195971521724</c:v>
                </c:pt>
                <c:pt idx="73" formatCode="_(* #,##0.0000_);_(* \(#,##0.0000\);_(* &quot;-&quot;??_);_(@_)">
                  <c:v>1.0598195971521724</c:v>
                </c:pt>
                <c:pt idx="74" formatCode="_(* #,##0.0000_);_(* \(#,##0.0000\);_(* &quot;-&quot;??_);_(@_)">
                  <c:v>1.0598195971521724</c:v>
                </c:pt>
                <c:pt idx="75" formatCode="_(* #,##0.0000_);_(* \(#,##0.0000\);_(* &quot;-&quot;??_);_(@_)">
                  <c:v>1.0598195971521724</c:v>
                </c:pt>
                <c:pt idx="76" formatCode="_(* #,##0.0000_);_(* \(#,##0.0000\);_(* &quot;-&quot;??_);_(@_)">
                  <c:v>1.0598195971521724</c:v>
                </c:pt>
                <c:pt idx="77" formatCode="_(* #,##0.0000_);_(* \(#,##0.0000\);_(* &quot;-&quot;??_);_(@_)">
                  <c:v>1.0598195971521724</c:v>
                </c:pt>
                <c:pt idx="78" formatCode="_(* #,##0.0000_);_(* \(#,##0.0000\);_(* &quot;-&quot;??_);_(@_)">
                  <c:v>1.0598195971521724</c:v>
                </c:pt>
                <c:pt idx="79" formatCode="_(* #,##0.0000_);_(* \(#,##0.0000\);_(* &quot;-&quot;??_);_(@_)">
                  <c:v>1.0598195971521724</c:v>
                </c:pt>
                <c:pt idx="80" formatCode="_(* #,##0.0000_);_(* \(#,##0.0000\);_(* &quot;-&quot;??_);_(@_)">
                  <c:v>1.0598195971521724</c:v>
                </c:pt>
                <c:pt idx="81" formatCode="_(* #,##0.0000_);_(* \(#,##0.0000\);_(* &quot;-&quot;??_);_(@_)">
                  <c:v>1.0598195971521724</c:v>
                </c:pt>
                <c:pt idx="82" formatCode="_(* #,##0.0000_);_(* \(#,##0.0000\);_(* &quot;-&quot;??_);_(@_)">
                  <c:v>1.0598195971521724</c:v>
                </c:pt>
                <c:pt idx="83" formatCode="_(* #,##0.0000_);_(* \(#,##0.0000\);_(* &quot;-&quot;??_);_(@_)">
                  <c:v>1.0598195971521724</c:v>
                </c:pt>
                <c:pt idx="84" formatCode="_(* #,##0.0000_);_(* \(#,##0.0000\);_(* &quot;-&quot;??_);_(@_)">
                  <c:v>1.0598195971521724</c:v>
                </c:pt>
                <c:pt idx="85" formatCode="_(* #,##0.0000_);_(* \(#,##0.0000\);_(* &quot;-&quot;??_);_(@_)">
                  <c:v>1.0598195971521724</c:v>
                </c:pt>
                <c:pt idx="86" formatCode="_(* #,##0.0000_);_(* \(#,##0.0000\);_(* &quot;-&quot;??_);_(@_)">
                  <c:v>1.0598195971521724</c:v>
                </c:pt>
                <c:pt idx="87" formatCode="_(* #,##0.0000_);_(* \(#,##0.0000\);_(* &quot;-&quot;??_);_(@_)">
                  <c:v>1.0598195971521724</c:v>
                </c:pt>
                <c:pt idx="88" formatCode="_(* #,##0.0000_);_(* \(#,##0.0000\);_(* &quot;-&quot;??_);_(@_)">
                  <c:v>1.0598195971521724</c:v>
                </c:pt>
                <c:pt idx="89" formatCode="_(* #,##0.0000_);_(* \(#,##0.0000\);_(* &quot;-&quot;??_);_(@_)">
                  <c:v>1.0598195971521724</c:v>
                </c:pt>
                <c:pt idx="90" formatCode="_(* #,##0.0000_);_(* \(#,##0.0000\);_(* &quot;-&quot;??_);_(@_)">
                  <c:v>1.0598195971521724</c:v>
                </c:pt>
                <c:pt idx="91" formatCode="_(* #,##0.0000_);_(* \(#,##0.0000\);_(* &quot;-&quot;??_);_(@_)">
                  <c:v>1.0598195971521724</c:v>
                </c:pt>
                <c:pt idx="92" formatCode="_(* #,##0.0000_);_(* \(#,##0.0000\);_(* &quot;-&quot;??_);_(@_)">
                  <c:v>1.0598195971521724</c:v>
                </c:pt>
                <c:pt idx="93" formatCode="_(* #,##0.0000_);_(* \(#,##0.0000\);_(* &quot;-&quot;??_);_(@_)">
                  <c:v>1.0598195971521724</c:v>
                </c:pt>
                <c:pt idx="94" formatCode="_(* #,##0.0000_);_(* \(#,##0.0000\);_(* &quot;-&quot;??_);_(@_)">
                  <c:v>1.0598195971521724</c:v>
                </c:pt>
                <c:pt idx="95" formatCode="_(* #,##0.0000_);_(* \(#,##0.0000\);_(* &quot;-&quot;??_);_(@_)">
                  <c:v>1.0598195971521724</c:v>
                </c:pt>
                <c:pt idx="96" formatCode="_(* #,##0.0000_);_(* \(#,##0.0000\);_(* &quot;-&quot;??_);_(@_)">
                  <c:v>1.0598195971521724</c:v>
                </c:pt>
                <c:pt idx="97" formatCode="_(* #,##0.0000_);_(* \(#,##0.0000\);_(* &quot;-&quot;??_);_(@_)">
                  <c:v>1.0598195971521724</c:v>
                </c:pt>
                <c:pt idx="98" formatCode="_(* #,##0.0000_);_(* \(#,##0.0000\);_(* &quot;-&quot;??_);_(@_)">
                  <c:v>1.0598195971521724</c:v>
                </c:pt>
                <c:pt idx="99" formatCode="_(* #,##0.0000_);_(* \(#,##0.0000\);_(* &quot;-&quot;??_);_(@_)">
                  <c:v>1.0598195971521724</c:v>
                </c:pt>
                <c:pt idx="100" formatCode="_(* #,##0.0000_);_(* \(#,##0.0000\);_(* &quot;-&quot;??_);_(@_)">
                  <c:v>1.0598195971521724</c:v>
                </c:pt>
                <c:pt idx="101" formatCode="_(* #,##0.0000_);_(* \(#,##0.0000\);_(* &quot;-&quot;??_);_(@_)">
                  <c:v>1.0598195971521724</c:v>
                </c:pt>
                <c:pt idx="102" formatCode="_(* #,##0.0000_);_(* \(#,##0.0000\);_(* &quot;-&quot;??_);_(@_)">
                  <c:v>1.0598195971521724</c:v>
                </c:pt>
                <c:pt idx="103" formatCode="_(* #,##0.0000_);_(* \(#,##0.0000\);_(* &quot;-&quot;??_);_(@_)">
                  <c:v>1.0598195971521724</c:v>
                </c:pt>
                <c:pt idx="104" formatCode="_(* #,##0.0000_);_(* \(#,##0.0000\);_(* &quot;-&quot;??_);_(@_)">
                  <c:v>1.0598195971521724</c:v>
                </c:pt>
                <c:pt idx="105" formatCode="_(* #,##0.0000_);_(* \(#,##0.0000\);_(* &quot;-&quot;??_);_(@_)">
                  <c:v>1.0598195971521724</c:v>
                </c:pt>
                <c:pt idx="106" formatCode="_(* #,##0.0000_);_(* \(#,##0.0000\);_(* &quot;-&quot;??_);_(@_)">
                  <c:v>1.0598195971521724</c:v>
                </c:pt>
                <c:pt idx="107" formatCode="_(* #,##0.0000_);_(* \(#,##0.0000\);_(* &quot;-&quot;??_);_(@_)">
                  <c:v>1.0598195971521724</c:v>
                </c:pt>
                <c:pt idx="108" formatCode="_(* #,##0.0000_);_(* \(#,##0.0000\);_(* &quot;-&quot;??_);_(@_)">
                  <c:v>1.0598195971521724</c:v>
                </c:pt>
                <c:pt idx="109" formatCode="_(* #,##0.0000_);_(* \(#,##0.0000\);_(* &quot;-&quot;??_);_(@_)">
                  <c:v>1.0598195971521724</c:v>
                </c:pt>
                <c:pt idx="110" formatCode="_(* #,##0.0000_);_(* \(#,##0.0000\);_(* &quot;-&quot;??_);_(@_)">
                  <c:v>1.0598195971521724</c:v>
                </c:pt>
                <c:pt idx="111" formatCode="_(* #,##0.0000_);_(* \(#,##0.0000\);_(* &quot;-&quot;??_);_(@_)">
                  <c:v>1.0598195971521724</c:v>
                </c:pt>
                <c:pt idx="112" formatCode="_(* #,##0.0000_);_(* \(#,##0.0000\);_(* &quot;-&quot;??_);_(@_)">
                  <c:v>1.0598195971521724</c:v>
                </c:pt>
                <c:pt idx="113" formatCode="_(* #,##0.0000_);_(* \(#,##0.0000\);_(* &quot;-&quot;??_);_(@_)">
                  <c:v>1.0598195971521724</c:v>
                </c:pt>
                <c:pt idx="114" formatCode="_(* #,##0.0000_);_(* \(#,##0.0000\);_(* &quot;-&quot;??_);_(@_)">
                  <c:v>1.0598195971521724</c:v>
                </c:pt>
                <c:pt idx="115" formatCode="_(* #,##0.0000_);_(* \(#,##0.0000\);_(* &quot;-&quot;??_);_(@_)">
                  <c:v>1.0598195971521724</c:v>
                </c:pt>
                <c:pt idx="116" formatCode="_(* #,##0.0000_);_(* \(#,##0.0000\);_(* &quot;-&quot;??_);_(@_)">
                  <c:v>1.0598195971521724</c:v>
                </c:pt>
                <c:pt idx="117" formatCode="_(* #,##0.0000_);_(* \(#,##0.0000\);_(* &quot;-&quot;??_);_(@_)">
                  <c:v>1.0598195971521724</c:v>
                </c:pt>
                <c:pt idx="118" formatCode="_(* #,##0.0000_);_(* \(#,##0.0000\);_(* &quot;-&quot;??_);_(@_)">
                  <c:v>1.0598195971521724</c:v>
                </c:pt>
                <c:pt idx="119" formatCode="_(* #,##0.0000_);_(* \(#,##0.0000\);_(* &quot;-&quot;??_);_(@_)">
                  <c:v>1.0598195971521724</c:v>
                </c:pt>
                <c:pt idx="120" formatCode="_(* #,##0.0000_);_(* \(#,##0.0000\);_(* &quot;-&quot;??_);_(@_)">
                  <c:v>1.0598195971521724</c:v>
                </c:pt>
                <c:pt idx="121" formatCode="_(* #,##0.0000_);_(* \(#,##0.0000\);_(* &quot;-&quot;??_);_(@_)">
                  <c:v>1.0598195971521724</c:v>
                </c:pt>
                <c:pt idx="122" formatCode="_(* #,##0.0000_);_(* \(#,##0.0000\);_(* &quot;-&quot;??_);_(@_)">
                  <c:v>1.0598195971521724</c:v>
                </c:pt>
                <c:pt idx="123" formatCode="_(* #,##0.0000_);_(* \(#,##0.0000\);_(* &quot;-&quot;??_);_(@_)">
                  <c:v>1.0598195971521724</c:v>
                </c:pt>
                <c:pt idx="124" formatCode="_(* #,##0.0000_);_(* \(#,##0.0000\);_(* &quot;-&quot;??_);_(@_)">
                  <c:v>1.0598195971521724</c:v>
                </c:pt>
                <c:pt idx="125" formatCode="_(* #,##0.0000_);_(* \(#,##0.0000\);_(* &quot;-&quot;??_);_(@_)">
                  <c:v>1.0598195971521724</c:v>
                </c:pt>
                <c:pt idx="126" formatCode="_(* #,##0.0000_);_(* \(#,##0.0000\);_(* &quot;-&quot;??_);_(@_)">
                  <c:v>1.0598195971521724</c:v>
                </c:pt>
                <c:pt idx="127" formatCode="_(* #,##0.0000_);_(* \(#,##0.0000\);_(* &quot;-&quot;??_);_(@_)">
                  <c:v>1.0598195971521724</c:v>
                </c:pt>
                <c:pt idx="128" formatCode="_(* #,##0.0000_);_(* \(#,##0.0000\);_(* &quot;-&quot;??_);_(@_)">
                  <c:v>1.0598195971521724</c:v>
                </c:pt>
                <c:pt idx="129" formatCode="_(* #,##0.0000_);_(* \(#,##0.0000\);_(* &quot;-&quot;??_);_(@_)">
                  <c:v>1.0598195971521724</c:v>
                </c:pt>
                <c:pt idx="130" formatCode="_(* #,##0.0000_);_(* \(#,##0.0000\);_(* &quot;-&quot;??_);_(@_)">
                  <c:v>1.0598195971521724</c:v>
                </c:pt>
                <c:pt idx="131" formatCode="_(* #,##0.0000_);_(* \(#,##0.0000\);_(* &quot;-&quot;??_);_(@_)">
                  <c:v>1.0598195971521724</c:v>
                </c:pt>
                <c:pt idx="132" formatCode="_(* #,##0.0000_);_(* \(#,##0.0000\);_(* &quot;-&quot;??_);_(@_)">
                  <c:v>1.0598195971521724</c:v>
                </c:pt>
                <c:pt idx="133" formatCode="_(* #,##0.0000_);_(* \(#,##0.0000\);_(* &quot;-&quot;??_);_(@_)">
                  <c:v>1.0598195971521724</c:v>
                </c:pt>
                <c:pt idx="134" formatCode="_(* #,##0.0000_);_(* \(#,##0.0000\);_(* &quot;-&quot;??_);_(@_)">
                  <c:v>1.0598195971521724</c:v>
                </c:pt>
                <c:pt idx="135" formatCode="_(* #,##0.0000_);_(* \(#,##0.0000\);_(* &quot;-&quot;??_);_(@_)">
                  <c:v>1.0598195971521724</c:v>
                </c:pt>
                <c:pt idx="136" formatCode="_(* #,##0.0000_);_(* \(#,##0.0000\);_(* &quot;-&quot;??_);_(@_)">
                  <c:v>1.0598195971521724</c:v>
                </c:pt>
                <c:pt idx="137" formatCode="_(* #,##0.0000_);_(* \(#,##0.0000\);_(* &quot;-&quot;??_);_(@_)">
                  <c:v>1.0598195971521724</c:v>
                </c:pt>
                <c:pt idx="138" formatCode="_(* #,##0.0000_);_(* \(#,##0.0000\);_(* &quot;-&quot;??_);_(@_)">
                  <c:v>1.0598195971521724</c:v>
                </c:pt>
                <c:pt idx="139" formatCode="_(* #,##0.0000_);_(* \(#,##0.0000\);_(* &quot;-&quot;??_);_(@_)">
                  <c:v>1.0598195971521724</c:v>
                </c:pt>
                <c:pt idx="140" formatCode="_(* #,##0.0000_);_(* \(#,##0.0000\);_(* &quot;-&quot;??_);_(@_)">
                  <c:v>1.0598195971521724</c:v>
                </c:pt>
                <c:pt idx="141" formatCode="_(* #,##0.0000_);_(* \(#,##0.0000\);_(* &quot;-&quot;??_);_(@_)">
                  <c:v>1.0598195971521724</c:v>
                </c:pt>
                <c:pt idx="142" formatCode="_(* #,##0.0000_);_(* \(#,##0.0000\);_(* &quot;-&quot;??_);_(@_)">
                  <c:v>1.0598195971521724</c:v>
                </c:pt>
                <c:pt idx="143" formatCode="_(* #,##0.0000_);_(* \(#,##0.0000\);_(* &quot;-&quot;??_);_(@_)">
                  <c:v>1.0598195971521724</c:v>
                </c:pt>
                <c:pt idx="144" formatCode="_(* #,##0.0000_);_(* \(#,##0.0000\);_(* &quot;-&quot;??_);_(@_)">
                  <c:v>1.0598195971521724</c:v>
                </c:pt>
                <c:pt idx="145" formatCode="_(* #,##0.0000_);_(* \(#,##0.0000\);_(* &quot;-&quot;??_);_(@_)">
                  <c:v>1.0598195971521724</c:v>
                </c:pt>
                <c:pt idx="146" formatCode="_(* #,##0.0000_);_(* \(#,##0.0000\);_(* &quot;-&quot;??_);_(@_)">
                  <c:v>1.0598195971521724</c:v>
                </c:pt>
                <c:pt idx="147" formatCode="_(* #,##0.0000_);_(* \(#,##0.0000\);_(* &quot;-&quot;??_);_(@_)">
                  <c:v>1.0598195971521724</c:v>
                </c:pt>
                <c:pt idx="148" formatCode="_(* #,##0.0000_);_(* \(#,##0.0000\);_(* &quot;-&quot;??_);_(@_)">
                  <c:v>1.0598195971521724</c:v>
                </c:pt>
                <c:pt idx="149" formatCode="_(* #,##0.0000_);_(* \(#,##0.0000\);_(* &quot;-&quot;??_);_(@_)">
                  <c:v>1.0598195971521724</c:v>
                </c:pt>
                <c:pt idx="150" formatCode="_(* #,##0.0000_);_(* \(#,##0.0000\);_(* &quot;-&quot;??_);_(@_)">
                  <c:v>1.0598195971521724</c:v>
                </c:pt>
                <c:pt idx="151" formatCode="_(* #,##0.0000_);_(* \(#,##0.0000\);_(* &quot;-&quot;??_);_(@_)">
                  <c:v>1.0598195971521724</c:v>
                </c:pt>
                <c:pt idx="152" formatCode="_(* #,##0.0000_);_(* \(#,##0.0000\);_(* &quot;-&quot;??_);_(@_)">
                  <c:v>1.0598195971521724</c:v>
                </c:pt>
                <c:pt idx="153" formatCode="_(* #,##0.0000_);_(* \(#,##0.0000\);_(* &quot;-&quot;??_);_(@_)">
                  <c:v>1.0598195971521724</c:v>
                </c:pt>
                <c:pt idx="154" formatCode="_(* #,##0.0000_);_(* \(#,##0.0000\);_(* &quot;-&quot;??_);_(@_)">
                  <c:v>1.0598195971521724</c:v>
                </c:pt>
                <c:pt idx="155" formatCode="_(* #,##0.0000_);_(* \(#,##0.0000\);_(* &quot;-&quot;??_);_(@_)">
                  <c:v>1.0598195971521724</c:v>
                </c:pt>
                <c:pt idx="156" formatCode="_(* #,##0.0000_);_(* \(#,##0.0000\);_(* &quot;-&quot;??_);_(@_)">
                  <c:v>1.0598195971521724</c:v>
                </c:pt>
                <c:pt idx="157" formatCode="_(* #,##0.0000_);_(* \(#,##0.0000\);_(* &quot;-&quot;??_);_(@_)">
                  <c:v>1.0598195971521724</c:v>
                </c:pt>
                <c:pt idx="158" formatCode="_(* #,##0.0000_);_(* \(#,##0.0000\);_(* &quot;-&quot;??_);_(@_)">
                  <c:v>1.0598195971521724</c:v>
                </c:pt>
                <c:pt idx="159" formatCode="_(* #,##0.0000_);_(* \(#,##0.0000\);_(* &quot;-&quot;??_);_(@_)">
                  <c:v>1.0598195971521724</c:v>
                </c:pt>
                <c:pt idx="160" formatCode="_(* #,##0.0000_);_(* \(#,##0.0000\);_(* &quot;-&quot;??_);_(@_)">
                  <c:v>1.0598195971521724</c:v>
                </c:pt>
                <c:pt idx="161" formatCode="_(* #,##0.0000_);_(* \(#,##0.0000\);_(* &quot;-&quot;??_);_(@_)">
                  <c:v>1.0598195971521724</c:v>
                </c:pt>
                <c:pt idx="162" formatCode="_(* #,##0.0000_);_(* \(#,##0.0000\);_(* &quot;-&quot;??_);_(@_)">
                  <c:v>1.0598195971521724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3-4E20-A716-7958393C4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761023"/>
        <c:axId val="1402804847"/>
      </c:lineChart>
      <c:catAx>
        <c:axId val="128176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04847"/>
        <c:crosses val="autoZero"/>
        <c:auto val="1"/>
        <c:lblAlgn val="ctr"/>
        <c:lblOffset val="100"/>
        <c:noMultiLvlLbl val="0"/>
      </c:catAx>
      <c:valAx>
        <c:axId val="140280484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76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8</xdr:row>
      <xdr:rowOff>148590</xdr:rowOff>
    </xdr:from>
    <xdr:to>
      <xdr:col>15</xdr:col>
      <xdr:colOff>373380</xdr:colOff>
      <xdr:row>23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AED254-E6CB-939C-79B4-8A8F18590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8</xdr:row>
      <xdr:rowOff>179070</xdr:rowOff>
    </xdr:from>
    <xdr:to>
      <xdr:col>7</xdr:col>
      <xdr:colOff>563880</xdr:colOff>
      <xdr:row>23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322A16-B511-D253-580A-AD1AB6C82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8</xdr:row>
      <xdr:rowOff>148590</xdr:rowOff>
    </xdr:from>
    <xdr:to>
      <xdr:col>19</xdr:col>
      <xdr:colOff>182880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1D3C4-3DF3-18F5-179B-66802024A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8</xdr:row>
      <xdr:rowOff>140970</xdr:rowOff>
    </xdr:from>
    <xdr:to>
      <xdr:col>8</xdr:col>
      <xdr:colOff>556260</xdr:colOff>
      <xdr:row>23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729FF9-F1B3-5F3D-B183-E25E059F8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8</xdr:row>
      <xdr:rowOff>148590</xdr:rowOff>
    </xdr:from>
    <xdr:to>
      <xdr:col>18</xdr:col>
      <xdr:colOff>419100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DD437-F387-208D-D840-B6D707AD7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259080</xdr:colOff>
      <xdr:row>8</xdr:row>
      <xdr:rowOff>148590</xdr:rowOff>
    </xdr:from>
    <xdr:to>
      <xdr:col>14</xdr:col>
      <xdr:colOff>563880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A897FA-58FC-22C4-8DFA-56AB69647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213360</xdr:colOff>
      <xdr:row>8</xdr:row>
      <xdr:rowOff>140970</xdr:rowOff>
    </xdr:from>
    <xdr:to>
      <xdr:col>19</xdr:col>
      <xdr:colOff>518160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98924-4F69-4CAE-07BB-35779BD8B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259080</xdr:colOff>
      <xdr:row>8</xdr:row>
      <xdr:rowOff>148590</xdr:rowOff>
    </xdr:from>
    <xdr:to>
      <xdr:col>14</xdr:col>
      <xdr:colOff>563880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27A3FD-1D7B-373F-4CDA-57B28D979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6</xdr:row>
      <xdr:rowOff>171450</xdr:rowOff>
    </xdr:from>
    <xdr:to>
      <xdr:col>19</xdr:col>
      <xdr:colOff>434340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9F766-50B0-707E-424B-A44705496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160020</xdr:colOff>
      <xdr:row>6</xdr:row>
      <xdr:rowOff>49530</xdr:rowOff>
    </xdr:from>
    <xdr:to>
      <xdr:col>10</xdr:col>
      <xdr:colOff>243840</xdr:colOff>
      <xdr:row>21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706DC1-C49F-E0AF-1259-4E48215F9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8</xdr:row>
      <xdr:rowOff>148590</xdr:rowOff>
    </xdr:from>
    <xdr:to>
      <xdr:col>19</xdr:col>
      <xdr:colOff>281940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0014B-6C49-5BD8-0E50-5C6CFDDD6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137160</xdr:colOff>
      <xdr:row>6</xdr:row>
      <xdr:rowOff>41910</xdr:rowOff>
    </xdr:from>
    <xdr:to>
      <xdr:col>9</xdr:col>
      <xdr:colOff>220980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0E5B45-1EBC-325B-A408-AB97FE6F2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633A-25DB-4448-A4F5-214A8C09639A}">
  <dimension ref="A1:H163"/>
  <sheetViews>
    <sheetView workbookViewId="0">
      <selection activeCell="I12" sqref="I12"/>
    </sheetView>
  </sheetViews>
  <sheetFormatPr defaultRowHeight="14.4" x14ac:dyDescent="0.3"/>
  <cols>
    <col min="1" max="1" width="10.33203125" style="1" bestFit="1" customWidth="1"/>
    <col min="2" max="3" width="8.88671875" style="4"/>
  </cols>
  <sheetData>
    <row r="1" spans="1:8" s="3" customFormat="1" x14ac:dyDescent="0.3">
      <c r="A1" s="2" t="s">
        <v>0</v>
      </c>
      <c r="B1" s="5" t="s">
        <v>1</v>
      </c>
      <c r="C1" s="5" t="s">
        <v>2</v>
      </c>
      <c r="G1"/>
      <c r="H1"/>
    </row>
    <row r="2" spans="1:8" x14ac:dyDescent="0.3">
      <c r="A2" s="1">
        <v>46024</v>
      </c>
      <c r="B2" s="4">
        <v>84.17</v>
      </c>
      <c r="C2" s="4">
        <v>133.96</v>
      </c>
    </row>
    <row r="3" spans="1:8" x14ac:dyDescent="0.3">
      <c r="A3" s="1">
        <v>46027</v>
      </c>
      <c r="B3" s="4">
        <v>85.37</v>
      </c>
      <c r="C3" s="4">
        <v>136.99</v>
      </c>
    </row>
    <row r="4" spans="1:8" x14ac:dyDescent="0.3">
      <c r="A4" s="1">
        <v>46028</v>
      </c>
      <c r="B4" s="4">
        <v>86.63</v>
      </c>
      <c r="C4" s="4">
        <v>137.66999999999999</v>
      </c>
    </row>
    <row r="5" spans="1:8" x14ac:dyDescent="0.3">
      <c r="A5" s="1">
        <v>46029</v>
      </c>
      <c r="B5" s="4">
        <v>85.13</v>
      </c>
      <c r="C5" s="4">
        <v>135.72999999999999</v>
      </c>
    </row>
    <row r="6" spans="1:8" x14ac:dyDescent="0.3">
      <c r="A6" s="1">
        <v>46030</v>
      </c>
      <c r="B6" s="4">
        <v>85.82</v>
      </c>
      <c r="C6" s="4">
        <v>136.63</v>
      </c>
    </row>
    <row r="7" spans="1:8" x14ac:dyDescent="0.3">
      <c r="A7" s="1">
        <v>46031</v>
      </c>
      <c r="B7" s="4">
        <v>86.98</v>
      </c>
      <c r="C7" s="4">
        <v>136.16</v>
      </c>
    </row>
    <row r="8" spans="1:8" x14ac:dyDescent="0.3">
      <c r="A8" s="1">
        <v>46034</v>
      </c>
      <c r="B8" s="4">
        <v>87.7</v>
      </c>
      <c r="C8" s="4">
        <v>135</v>
      </c>
    </row>
    <row r="9" spans="1:8" x14ac:dyDescent="0.3">
      <c r="A9" s="1">
        <v>46035</v>
      </c>
      <c r="B9" s="4">
        <v>88.06</v>
      </c>
      <c r="C9" s="4">
        <v>132.57</v>
      </c>
    </row>
    <row r="10" spans="1:8" x14ac:dyDescent="0.3">
      <c r="A10" s="1">
        <v>46036</v>
      </c>
      <c r="B10" s="4">
        <v>88.35</v>
      </c>
      <c r="C10" s="4">
        <v>132.54</v>
      </c>
    </row>
    <row r="11" spans="1:8" x14ac:dyDescent="0.3">
      <c r="A11" s="1">
        <v>46037</v>
      </c>
      <c r="B11" s="4">
        <v>89.26</v>
      </c>
      <c r="C11" s="4">
        <v>133.27000000000001</v>
      </c>
    </row>
    <row r="12" spans="1:8" x14ac:dyDescent="0.3">
      <c r="A12" s="1">
        <v>46038</v>
      </c>
      <c r="B12" s="4">
        <v>89.9</v>
      </c>
      <c r="C12" s="4">
        <v>133.38</v>
      </c>
    </row>
    <row r="13" spans="1:8" x14ac:dyDescent="0.3">
      <c r="A13" s="1">
        <v>46042</v>
      </c>
      <c r="B13" s="4">
        <v>88.15</v>
      </c>
      <c r="C13" s="4">
        <v>130.43</v>
      </c>
    </row>
    <row r="14" spans="1:8" x14ac:dyDescent="0.3">
      <c r="A14" s="1">
        <v>46043</v>
      </c>
      <c r="B14" s="4">
        <v>89.56</v>
      </c>
      <c r="C14" s="4">
        <v>131.38999999999999</v>
      </c>
    </row>
    <row r="15" spans="1:8" x14ac:dyDescent="0.3">
      <c r="A15" s="1">
        <v>46044</v>
      </c>
      <c r="B15" s="4">
        <v>89.35</v>
      </c>
      <c r="C15" s="4">
        <v>132.18</v>
      </c>
    </row>
    <row r="16" spans="1:8" x14ac:dyDescent="0.3">
      <c r="A16" s="1">
        <v>46045</v>
      </c>
      <c r="B16" s="4">
        <v>88.54</v>
      </c>
      <c r="C16" s="4">
        <v>130.21</v>
      </c>
    </row>
    <row r="17" spans="1:3" x14ac:dyDescent="0.3">
      <c r="A17" s="1">
        <v>46048</v>
      </c>
      <c r="B17" s="4">
        <v>88.59</v>
      </c>
      <c r="C17" s="4">
        <v>131</v>
      </c>
    </row>
    <row r="18" spans="1:3" x14ac:dyDescent="0.3">
      <c r="A18" s="1">
        <v>46049</v>
      </c>
      <c r="B18" s="4">
        <v>88.91</v>
      </c>
      <c r="C18" s="4">
        <v>130.13</v>
      </c>
    </row>
    <row r="19" spans="1:3" x14ac:dyDescent="0.3">
      <c r="A19" s="1">
        <v>46050</v>
      </c>
      <c r="B19" s="4">
        <v>88.53</v>
      </c>
      <c r="C19" s="4">
        <v>130</v>
      </c>
    </row>
    <row r="20" spans="1:3" x14ac:dyDescent="0.3">
      <c r="A20" s="1">
        <v>46051</v>
      </c>
      <c r="B20" s="4">
        <v>89.2</v>
      </c>
      <c r="C20" s="4">
        <v>131.31</v>
      </c>
    </row>
    <row r="21" spans="1:3" x14ac:dyDescent="0.3">
      <c r="A21" s="1">
        <v>46052</v>
      </c>
      <c r="B21" s="4">
        <v>88.85</v>
      </c>
      <c r="C21" s="4">
        <v>130.88999999999999</v>
      </c>
    </row>
    <row r="22" spans="1:3" x14ac:dyDescent="0.3">
      <c r="A22" s="1">
        <v>46055</v>
      </c>
      <c r="B22" s="4">
        <v>89.81</v>
      </c>
      <c r="C22" s="4">
        <v>132.30000000000001</v>
      </c>
    </row>
    <row r="23" spans="1:3" x14ac:dyDescent="0.3">
      <c r="A23" s="1">
        <v>46056</v>
      </c>
      <c r="B23" s="4">
        <v>90.71</v>
      </c>
      <c r="C23" s="4">
        <v>131.16999999999999</v>
      </c>
    </row>
    <row r="24" spans="1:3" x14ac:dyDescent="0.3">
      <c r="A24" s="1">
        <v>46057</v>
      </c>
      <c r="B24" s="4">
        <v>90.7</v>
      </c>
      <c r="C24" s="4">
        <v>132.26</v>
      </c>
    </row>
    <row r="25" spans="1:3" x14ac:dyDescent="0.3">
      <c r="A25" s="1">
        <v>46058</v>
      </c>
      <c r="B25" s="4">
        <v>90.04</v>
      </c>
      <c r="C25" s="4">
        <v>130.59</v>
      </c>
    </row>
    <row r="26" spans="1:3" x14ac:dyDescent="0.3">
      <c r="A26" s="1">
        <v>46059</v>
      </c>
      <c r="B26" s="4">
        <v>92.86</v>
      </c>
      <c r="C26" s="4">
        <v>133.03</v>
      </c>
    </row>
    <row r="27" spans="1:3" x14ac:dyDescent="0.3">
      <c r="A27" s="1">
        <v>46062</v>
      </c>
      <c r="B27" s="4">
        <v>93.32</v>
      </c>
      <c r="C27" s="4">
        <v>132.38999999999999</v>
      </c>
    </row>
    <row r="28" spans="1:3" x14ac:dyDescent="0.3">
      <c r="A28" s="1">
        <v>46063</v>
      </c>
      <c r="B28" s="4">
        <v>93.26</v>
      </c>
      <c r="C28" s="4">
        <v>131.41999999999999</v>
      </c>
    </row>
    <row r="29" spans="1:3" x14ac:dyDescent="0.3">
      <c r="A29" s="1">
        <v>46064</v>
      </c>
      <c r="B29" s="4">
        <v>93.76</v>
      </c>
      <c r="C29" s="4">
        <v>129.38</v>
      </c>
    </row>
    <row r="30" spans="1:3" x14ac:dyDescent="0.3">
      <c r="A30" s="1">
        <v>46065</v>
      </c>
      <c r="B30" s="4">
        <v>92.52</v>
      </c>
      <c r="C30" s="4">
        <v>126.87</v>
      </c>
    </row>
    <row r="31" spans="1:3" x14ac:dyDescent="0.3">
      <c r="A31" s="1">
        <v>46066</v>
      </c>
      <c r="B31" s="4">
        <v>93.38</v>
      </c>
      <c r="C31" s="4">
        <v>126.81</v>
      </c>
    </row>
    <row r="32" spans="1:3" x14ac:dyDescent="0.3">
      <c r="A32" s="1">
        <v>46070</v>
      </c>
      <c r="B32" s="4">
        <v>93.89</v>
      </c>
      <c r="C32" s="4">
        <v>127.99</v>
      </c>
    </row>
    <row r="33" spans="1:3" x14ac:dyDescent="0.3">
      <c r="A33" s="1">
        <v>46071</v>
      </c>
      <c r="B33" s="4">
        <v>93.88</v>
      </c>
      <c r="C33" s="4">
        <v>128.91999999999999</v>
      </c>
    </row>
    <row r="34" spans="1:3" x14ac:dyDescent="0.3">
      <c r="A34" s="1">
        <v>46072</v>
      </c>
      <c r="B34" s="4">
        <v>94.69</v>
      </c>
      <c r="C34" s="4">
        <v>127.88</v>
      </c>
    </row>
    <row r="35" spans="1:3" x14ac:dyDescent="0.3">
      <c r="A35" s="1">
        <v>46073</v>
      </c>
      <c r="B35" s="4">
        <v>94.96</v>
      </c>
      <c r="C35" s="4">
        <v>128.59</v>
      </c>
    </row>
    <row r="36" spans="1:3" x14ac:dyDescent="0.3">
      <c r="A36" s="1">
        <v>46076</v>
      </c>
      <c r="B36" s="4">
        <v>93.69</v>
      </c>
      <c r="C36" s="4">
        <v>124.18</v>
      </c>
    </row>
    <row r="37" spans="1:3" x14ac:dyDescent="0.3">
      <c r="A37" s="1">
        <v>46077</v>
      </c>
      <c r="B37" s="4">
        <v>94.75</v>
      </c>
      <c r="C37" s="4">
        <v>124.82</v>
      </c>
    </row>
    <row r="38" spans="1:3" x14ac:dyDescent="0.3">
      <c r="A38" s="1">
        <v>46078</v>
      </c>
      <c r="B38" s="4">
        <v>94.24</v>
      </c>
      <c r="C38" s="4">
        <v>126.89</v>
      </c>
    </row>
    <row r="39" spans="1:3" x14ac:dyDescent="0.3">
      <c r="A39" s="1">
        <v>46079</v>
      </c>
      <c r="B39" s="4">
        <v>94.81</v>
      </c>
      <c r="C39" s="4">
        <v>128.49</v>
      </c>
    </row>
    <row r="40" spans="1:3" x14ac:dyDescent="0.3">
      <c r="A40" s="1">
        <v>46080</v>
      </c>
      <c r="B40" s="4">
        <v>94.63</v>
      </c>
      <c r="C40" s="4">
        <v>125.56</v>
      </c>
    </row>
    <row r="41" spans="1:3" x14ac:dyDescent="0.3">
      <c r="A41" s="1">
        <v>46083</v>
      </c>
      <c r="B41" s="4">
        <v>95.61</v>
      </c>
      <c r="C41" s="4">
        <v>125.67</v>
      </c>
    </row>
    <row r="42" spans="1:3" x14ac:dyDescent="0.3">
      <c r="A42" s="1">
        <v>46084</v>
      </c>
      <c r="B42" s="4">
        <v>93.78</v>
      </c>
      <c r="C42" s="4">
        <v>125.42</v>
      </c>
    </row>
    <row r="43" spans="1:3" x14ac:dyDescent="0.3">
      <c r="A43" s="1">
        <v>46085</v>
      </c>
      <c r="B43" s="4">
        <v>94.09</v>
      </c>
      <c r="C43" s="4">
        <v>126.04</v>
      </c>
    </row>
    <row r="44" spans="1:3" x14ac:dyDescent="0.3">
      <c r="A44" s="1">
        <v>46086</v>
      </c>
      <c r="B44" s="4">
        <v>92.05</v>
      </c>
      <c r="C44" s="4">
        <v>125.2</v>
      </c>
    </row>
    <row r="45" spans="1:3" x14ac:dyDescent="0.3">
      <c r="A45" s="1">
        <v>46087</v>
      </c>
      <c r="B45" s="4">
        <v>90.45</v>
      </c>
      <c r="C45" s="4">
        <v>123.43</v>
      </c>
    </row>
    <row r="46" spans="1:3" x14ac:dyDescent="0.3">
      <c r="A46" s="1">
        <v>46090</v>
      </c>
      <c r="B46" s="4">
        <v>91.28</v>
      </c>
      <c r="C46" s="4">
        <v>122.83</v>
      </c>
    </row>
    <row r="47" spans="1:3" x14ac:dyDescent="0.3">
      <c r="A47" s="1">
        <v>46091</v>
      </c>
      <c r="B47" s="4">
        <v>90.77</v>
      </c>
      <c r="C47" s="4">
        <v>122.22</v>
      </c>
    </row>
    <row r="48" spans="1:3" x14ac:dyDescent="0.3">
      <c r="A48" s="1">
        <v>46092</v>
      </c>
      <c r="B48" s="4">
        <v>90.7</v>
      </c>
      <c r="C48" s="4">
        <v>121.11</v>
      </c>
    </row>
    <row r="49" spans="1:3" x14ac:dyDescent="0.3">
      <c r="A49" s="1">
        <v>46093</v>
      </c>
      <c r="B49" s="4">
        <v>88.29</v>
      </c>
      <c r="C49" s="4">
        <v>119.13</v>
      </c>
    </row>
    <row r="50" spans="1:3" x14ac:dyDescent="0.3">
      <c r="A50" s="1">
        <v>46094</v>
      </c>
      <c r="B50" s="4">
        <v>87.8</v>
      </c>
      <c r="C50" s="4">
        <v>119.23</v>
      </c>
    </row>
    <row r="51" spans="1:3" x14ac:dyDescent="0.3">
      <c r="A51" s="1">
        <v>46097</v>
      </c>
      <c r="B51" s="4">
        <v>88.66</v>
      </c>
      <c r="C51" s="4">
        <v>120.18</v>
      </c>
    </row>
    <row r="52" spans="1:3" x14ac:dyDescent="0.3">
      <c r="A52" s="1">
        <v>46098</v>
      </c>
      <c r="B52" s="4">
        <v>89.06</v>
      </c>
      <c r="C52" s="4">
        <v>120.88</v>
      </c>
    </row>
    <row r="53" spans="1:3" x14ac:dyDescent="0.3">
      <c r="A53" s="1">
        <v>46099</v>
      </c>
      <c r="B53" s="4">
        <v>88.24</v>
      </c>
      <c r="C53" s="4">
        <v>119.34</v>
      </c>
    </row>
    <row r="54" spans="1:3" x14ac:dyDescent="0.3">
      <c r="A54" s="1">
        <v>46100</v>
      </c>
      <c r="B54" s="4">
        <v>87.7</v>
      </c>
      <c r="C54" s="4">
        <v>119.45</v>
      </c>
    </row>
    <row r="55" spans="1:3" x14ac:dyDescent="0.3">
      <c r="A55" s="1">
        <v>46101</v>
      </c>
      <c r="B55" s="4">
        <v>86.03</v>
      </c>
      <c r="C55" s="4">
        <v>119.52</v>
      </c>
    </row>
    <row r="56" spans="1:3" x14ac:dyDescent="0.3">
      <c r="A56" s="1">
        <v>46104</v>
      </c>
      <c r="B56" s="4">
        <v>87.14</v>
      </c>
      <c r="C56" s="4">
        <v>120.78</v>
      </c>
    </row>
    <row r="57" spans="1:3" x14ac:dyDescent="0.3">
      <c r="A57" s="1">
        <v>46105</v>
      </c>
      <c r="B57" s="4">
        <v>87.85</v>
      </c>
      <c r="C57" s="4">
        <v>120.45</v>
      </c>
    </row>
    <row r="58" spans="1:3" x14ac:dyDescent="0.3">
      <c r="A58" s="1">
        <v>46106</v>
      </c>
      <c r="B58" s="4">
        <v>88.51</v>
      </c>
      <c r="C58" s="4">
        <v>120.7</v>
      </c>
    </row>
    <row r="59" spans="1:3" x14ac:dyDescent="0.3">
      <c r="A59" s="1">
        <v>46107</v>
      </c>
      <c r="B59" s="4">
        <v>86.24</v>
      </c>
      <c r="C59" s="4">
        <v>119.99</v>
      </c>
    </row>
    <row r="60" spans="1:3" x14ac:dyDescent="0.3">
      <c r="A60" s="1">
        <v>46108</v>
      </c>
      <c r="B60" s="4">
        <v>85.15</v>
      </c>
      <c r="C60" s="4">
        <v>117</v>
      </c>
    </row>
    <row r="61" spans="1:3" x14ac:dyDescent="0.3">
      <c r="A61" s="1">
        <v>46111</v>
      </c>
      <c r="B61" s="4">
        <v>83.66</v>
      </c>
      <c r="C61" s="4">
        <v>118.24</v>
      </c>
    </row>
    <row r="62" spans="1:3" x14ac:dyDescent="0.3">
      <c r="A62" s="1">
        <v>46112</v>
      </c>
      <c r="B62" s="4">
        <v>86.52</v>
      </c>
      <c r="C62" s="4">
        <v>120.81</v>
      </c>
    </row>
    <row r="63" spans="1:3" x14ac:dyDescent="0.3">
      <c r="A63" s="1">
        <v>46113</v>
      </c>
      <c r="B63" s="4">
        <v>87.97</v>
      </c>
      <c r="C63" s="4">
        <v>120.84</v>
      </c>
    </row>
    <row r="64" spans="1:3" x14ac:dyDescent="0.3">
      <c r="A64" s="1">
        <v>46114</v>
      </c>
      <c r="B64" s="4">
        <v>87.68</v>
      </c>
      <c r="C64" s="4">
        <v>121.32</v>
      </c>
    </row>
    <row r="65" spans="1:3" x14ac:dyDescent="0.3">
      <c r="A65" s="1">
        <v>46118</v>
      </c>
      <c r="B65" s="4">
        <v>88.08</v>
      </c>
      <c r="C65" s="4">
        <v>122.19</v>
      </c>
    </row>
    <row r="66" spans="1:3" x14ac:dyDescent="0.3">
      <c r="A66" s="1">
        <v>46119</v>
      </c>
      <c r="B66" s="4">
        <v>87.92</v>
      </c>
      <c r="C66" s="4">
        <v>122.19</v>
      </c>
    </row>
    <row r="67" spans="1:3" x14ac:dyDescent="0.3">
      <c r="A67" s="1">
        <v>46120</v>
      </c>
      <c r="B67" s="4">
        <v>91.4</v>
      </c>
      <c r="C67" s="4">
        <v>125.53</v>
      </c>
    </row>
    <row r="68" spans="1:3" x14ac:dyDescent="0.3">
      <c r="A68" s="1">
        <v>46121</v>
      </c>
      <c r="B68" s="4">
        <v>92.32</v>
      </c>
      <c r="C68" s="4">
        <v>125.88</v>
      </c>
    </row>
    <row r="69" spans="1:3" x14ac:dyDescent="0.3">
      <c r="A69" s="1">
        <v>46122</v>
      </c>
      <c r="B69" s="4">
        <v>92.07</v>
      </c>
      <c r="C69" s="4">
        <v>124.56</v>
      </c>
    </row>
    <row r="70" spans="1:3" x14ac:dyDescent="0.3">
      <c r="A70" s="1">
        <v>46125</v>
      </c>
      <c r="B70" s="4">
        <v>92.84</v>
      </c>
      <c r="C70" s="4">
        <v>126.68</v>
      </c>
    </row>
    <row r="71" spans="1:3" x14ac:dyDescent="0.3">
      <c r="A71" s="1">
        <v>46126</v>
      </c>
      <c r="B71" s="4">
        <v>93.36</v>
      </c>
      <c r="C71" s="4">
        <v>127.15</v>
      </c>
    </row>
    <row r="72" spans="1:3" x14ac:dyDescent="0.3">
      <c r="A72" s="1">
        <v>46127</v>
      </c>
      <c r="B72" s="4">
        <v>92.2</v>
      </c>
      <c r="C72" s="4">
        <v>128.13</v>
      </c>
    </row>
    <row r="73" spans="1:3" x14ac:dyDescent="0.3">
      <c r="A73" s="1">
        <v>46128</v>
      </c>
      <c r="B73" s="4">
        <v>91.8</v>
      </c>
      <c r="C73" s="4">
        <v>127.79</v>
      </c>
    </row>
    <row r="74" spans="1:3" x14ac:dyDescent="0.3">
      <c r="A74" s="1">
        <v>46129</v>
      </c>
      <c r="B74" s="4">
        <v>93.57</v>
      </c>
      <c r="C74" s="4">
        <v>129.03</v>
      </c>
    </row>
    <row r="75" spans="1:3" x14ac:dyDescent="0.3">
      <c r="A75" s="1">
        <v>46132</v>
      </c>
      <c r="B75" s="4">
        <v>93.99</v>
      </c>
      <c r="C75" s="4">
        <v>129.51</v>
      </c>
    </row>
    <row r="76" spans="1:3" x14ac:dyDescent="0.3">
      <c r="A76" s="1">
        <v>46133</v>
      </c>
      <c r="B76" s="4">
        <v>92.68</v>
      </c>
      <c r="C76" s="4">
        <v>128.66999999999999</v>
      </c>
    </row>
    <row r="77" spans="1:3" x14ac:dyDescent="0.3">
      <c r="A77" s="1">
        <v>46134</v>
      </c>
      <c r="B77" s="4">
        <v>92.57</v>
      </c>
      <c r="C77" s="4">
        <v>128.43</v>
      </c>
    </row>
    <row r="78" spans="1:3" x14ac:dyDescent="0.3">
      <c r="A78" s="1">
        <v>46135</v>
      </c>
      <c r="B78" s="4">
        <v>93.96</v>
      </c>
      <c r="C78" s="4">
        <v>127.44</v>
      </c>
    </row>
    <row r="79" spans="1:3" x14ac:dyDescent="0.3">
      <c r="A79" s="1">
        <v>46136</v>
      </c>
      <c r="B79" s="4">
        <v>93.12</v>
      </c>
      <c r="C79" s="4">
        <v>126.63</v>
      </c>
    </row>
    <row r="80" spans="1:3" x14ac:dyDescent="0.3">
      <c r="A80" s="1">
        <v>46139</v>
      </c>
      <c r="B80" s="4">
        <v>93.19</v>
      </c>
      <c r="C80" s="4">
        <v>127.53</v>
      </c>
    </row>
    <row r="81" spans="1:3" x14ac:dyDescent="0.3">
      <c r="A81" s="1">
        <v>46140</v>
      </c>
      <c r="B81" s="4">
        <v>92.22</v>
      </c>
      <c r="C81" s="4">
        <v>127.73</v>
      </c>
    </row>
    <row r="82" spans="1:3" x14ac:dyDescent="0.3">
      <c r="A82" s="1">
        <v>46141</v>
      </c>
      <c r="B82" s="4">
        <v>91.67</v>
      </c>
      <c r="C82" s="4">
        <v>127.54</v>
      </c>
    </row>
    <row r="83" spans="1:3" x14ac:dyDescent="0.3">
      <c r="A83" s="1">
        <v>46142</v>
      </c>
      <c r="B83" s="4">
        <v>94.34</v>
      </c>
      <c r="C83" s="4">
        <v>128.19999999999999</v>
      </c>
    </row>
    <row r="84" spans="1:3" x14ac:dyDescent="0.3">
      <c r="A84" s="1">
        <v>46143</v>
      </c>
      <c r="B84" s="4">
        <v>93.52</v>
      </c>
      <c r="C84" s="4">
        <v>127.66</v>
      </c>
    </row>
    <row r="85" spans="1:3" x14ac:dyDescent="0.3">
      <c r="A85" s="1">
        <v>46146</v>
      </c>
      <c r="B85" s="4">
        <v>92.46</v>
      </c>
      <c r="C85" s="4">
        <v>126.76</v>
      </c>
    </row>
    <row r="86" spans="1:3" x14ac:dyDescent="0.3">
      <c r="A86" s="1">
        <v>46147</v>
      </c>
      <c r="B86" s="4">
        <v>93.48</v>
      </c>
      <c r="C86" s="4">
        <v>126.98</v>
      </c>
    </row>
    <row r="87" spans="1:3" x14ac:dyDescent="0.3">
      <c r="A87" s="1">
        <v>46148</v>
      </c>
      <c r="B87" s="4">
        <v>95.73</v>
      </c>
      <c r="C87" s="4">
        <v>127.59</v>
      </c>
    </row>
    <row r="88" spans="1:3" x14ac:dyDescent="0.3">
      <c r="A88" s="1">
        <v>46149</v>
      </c>
      <c r="B88" s="4">
        <v>93.99</v>
      </c>
      <c r="C88" s="4">
        <v>126.85</v>
      </c>
    </row>
    <row r="89" spans="1:3" x14ac:dyDescent="0.3">
      <c r="A89" s="1">
        <v>46150</v>
      </c>
      <c r="B89" s="4">
        <v>93.87</v>
      </c>
      <c r="C89" s="4">
        <v>126.13</v>
      </c>
    </row>
    <row r="90" spans="1:3" x14ac:dyDescent="0.3">
      <c r="A90" s="1">
        <v>46153</v>
      </c>
      <c r="B90" s="4">
        <v>94.78</v>
      </c>
      <c r="C90" s="4">
        <v>125.69</v>
      </c>
    </row>
    <row r="91" spans="1:3" x14ac:dyDescent="0.3">
      <c r="A91" s="1">
        <v>46154</v>
      </c>
      <c r="B91" s="4">
        <v>94.25</v>
      </c>
      <c r="C91" s="4">
        <v>126.47</v>
      </c>
    </row>
    <row r="92" spans="1:3" x14ac:dyDescent="0.3">
      <c r="A92" s="1">
        <v>46155</v>
      </c>
      <c r="B92" s="4">
        <v>94.02</v>
      </c>
      <c r="C92" s="4">
        <v>125</v>
      </c>
    </row>
    <row r="93" spans="1:3" x14ac:dyDescent="0.3">
      <c r="A93" s="1">
        <v>46156</v>
      </c>
      <c r="B93" s="4">
        <v>94.65</v>
      </c>
      <c r="C93" s="4">
        <v>125.78</v>
      </c>
    </row>
    <row r="94" spans="1:3" x14ac:dyDescent="0.3">
      <c r="A94" s="1">
        <v>46157</v>
      </c>
      <c r="B94" s="4">
        <v>92.65</v>
      </c>
      <c r="C94" s="4">
        <v>125.29</v>
      </c>
    </row>
    <row r="95" spans="1:3" x14ac:dyDescent="0.3">
      <c r="A95" s="1">
        <v>46160</v>
      </c>
      <c r="B95" s="4">
        <v>92.21</v>
      </c>
      <c r="C95" s="4">
        <v>126.77</v>
      </c>
    </row>
    <row r="96" spans="1:3" x14ac:dyDescent="0.3">
      <c r="A96" s="1">
        <v>46161</v>
      </c>
      <c r="B96" s="4">
        <v>91.05</v>
      </c>
      <c r="C96" s="4">
        <v>125.3</v>
      </c>
    </row>
    <row r="97" spans="1:3" x14ac:dyDescent="0.3">
      <c r="A97" s="1">
        <v>46162</v>
      </c>
      <c r="B97" s="4">
        <v>92.41</v>
      </c>
      <c r="C97" s="4">
        <v>126.76</v>
      </c>
    </row>
    <row r="98" spans="1:3" x14ac:dyDescent="0.3">
      <c r="A98" s="1">
        <v>46163</v>
      </c>
      <c r="B98" s="4">
        <v>92.35</v>
      </c>
      <c r="C98" s="4">
        <v>127.01</v>
      </c>
    </row>
    <row r="99" spans="1:3" x14ac:dyDescent="0.3">
      <c r="A99" s="1">
        <v>46164</v>
      </c>
      <c r="B99" s="4">
        <v>93.08</v>
      </c>
      <c r="C99" s="4">
        <v>127.37</v>
      </c>
    </row>
    <row r="100" spans="1:3" x14ac:dyDescent="0.3">
      <c r="A100" s="1">
        <v>46168</v>
      </c>
      <c r="B100" s="4">
        <v>94.74</v>
      </c>
      <c r="C100" s="4">
        <v>127.36</v>
      </c>
    </row>
    <row r="101" spans="1:3" x14ac:dyDescent="0.3">
      <c r="A101" s="1">
        <v>46169</v>
      </c>
      <c r="B101" s="4">
        <v>94.79</v>
      </c>
      <c r="C101" s="4">
        <v>126.28</v>
      </c>
    </row>
    <row r="102" spans="1:3" x14ac:dyDescent="0.3">
      <c r="A102" s="1">
        <v>46170</v>
      </c>
      <c r="B102" s="4">
        <v>94.59</v>
      </c>
      <c r="C102" s="4">
        <v>125.91</v>
      </c>
    </row>
    <row r="103" spans="1:3" x14ac:dyDescent="0.3">
      <c r="A103" s="1">
        <v>46171</v>
      </c>
      <c r="B103" s="4">
        <v>94.28</v>
      </c>
      <c r="C103" s="4">
        <v>126.66</v>
      </c>
    </row>
    <row r="104" spans="1:3" x14ac:dyDescent="0.3">
      <c r="A104" s="1">
        <v>46174</v>
      </c>
      <c r="B104" s="4">
        <v>93.53</v>
      </c>
      <c r="C104" s="4">
        <v>126.23</v>
      </c>
    </row>
    <row r="105" spans="1:3" x14ac:dyDescent="0.3">
      <c r="A105" s="1">
        <v>46175</v>
      </c>
      <c r="B105" s="4">
        <v>94.69</v>
      </c>
      <c r="C105" s="4">
        <v>126.31</v>
      </c>
    </row>
    <row r="106" spans="1:3" x14ac:dyDescent="0.3">
      <c r="A106" s="1">
        <v>46176</v>
      </c>
      <c r="B106" s="4">
        <v>94.51</v>
      </c>
      <c r="C106" s="4">
        <v>124.56</v>
      </c>
    </row>
    <row r="107" spans="1:3" x14ac:dyDescent="0.3">
      <c r="A107" s="1">
        <v>46177</v>
      </c>
      <c r="B107" s="4">
        <v>95.56</v>
      </c>
      <c r="C107" s="4">
        <v>127.9</v>
      </c>
    </row>
    <row r="108" spans="1:3" x14ac:dyDescent="0.3">
      <c r="A108" s="1">
        <v>46178</v>
      </c>
      <c r="B108" s="4">
        <v>94.11</v>
      </c>
      <c r="C108" s="4">
        <v>128.08000000000001</v>
      </c>
    </row>
    <row r="109" spans="1:3" x14ac:dyDescent="0.3">
      <c r="A109" s="1">
        <v>46181</v>
      </c>
      <c r="B109" s="4">
        <v>93.86</v>
      </c>
      <c r="C109" s="4">
        <v>127.4</v>
      </c>
    </row>
    <row r="110" spans="1:3" x14ac:dyDescent="0.3">
      <c r="A110" s="1">
        <v>46182</v>
      </c>
      <c r="B110" s="4">
        <v>94.84</v>
      </c>
      <c r="C110" s="4">
        <v>128.68</v>
      </c>
    </row>
    <row r="111" spans="1:3" x14ac:dyDescent="0.3">
      <c r="A111" s="1">
        <v>46183</v>
      </c>
      <c r="B111" s="4">
        <v>91.68</v>
      </c>
      <c r="C111" s="4">
        <v>128.19</v>
      </c>
    </row>
    <row r="112" spans="1:3" x14ac:dyDescent="0.3">
      <c r="A112" s="1">
        <v>46184</v>
      </c>
      <c r="B112" s="4">
        <v>94.78</v>
      </c>
      <c r="C112" s="4">
        <v>129.24</v>
      </c>
    </row>
    <row r="113" spans="1:3" x14ac:dyDescent="0.3">
      <c r="A113" s="1">
        <v>46185</v>
      </c>
      <c r="B113" s="4">
        <v>95.14</v>
      </c>
      <c r="C113" s="4">
        <v>130.97</v>
      </c>
    </row>
    <row r="114" spans="1:3" x14ac:dyDescent="0.3">
      <c r="A114" s="1">
        <v>46188</v>
      </c>
      <c r="B114" s="4">
        <v>96.4</v>
      </c>
      <c r="C114" s="4">
        <v>131.38</v>
      </c>
    </row>
    <row r="115" spans="1:3" x14ac:dyDescent="0.3">
      <c r="A115" s="1">
        <v>46189</v>
      </c>
      <c r="B115" s="4">
        <v>96.97</v>
      </c>
      <c r="C115" s="4">
        <v>133.24</v>
      </c>
    </row>
    <row r="116" spans="1:3" x14ac:dyDescent="0.3">
      <c r="A116" s="1">
        <v>46190</v>
      </c>
      <c r="B116" s="4">
        <v>96.81</v>
      </c>
      <c r="C116" s="4">
        <v>132.4</v>
      </c>
    </row>
    <row r="117" spans="1:3" x14ac:dyDescent="0.3">
      <c r="A117" s="1">
        <v>46191</v>
      </c>
      <c r="B117" s="4">
        <v>97.56</v>
      </c>
      <c r="C117" s="4">
        <v>131.44</v>
      </c>
    </row>
    <row r="118" spans="1:3" x14ac:dyDescent="0.3">
      <c r="A118" s="1">
        <v>46195</v>
      </c>
      <c r="B118" s="4">
        <v>98.2</v>
      </c>
      <c r="C118" s="4">
        <v>132.15</v>
      </c>
    </row>
    <row r="119" spans="1:3" x14ac:dyDescent="0.3">
      <c r="A119" s="1">
        <v>46196</v>
      </c>
      <c r="B119" s="4">
        <v>96.13</v>
      </c>
      <c r="C119" s="4">
        <v>132.68</v>
      </c>
    </row>
    <row r="120" spans="1:3" x14ac:dyDescent="0.3">
      <c r="A120" s="1">
        <v>46197</v>
      </c>
      <c r="B120" s="4">
        <v>97.06</v>
      </c>
      <c r="C120" s="4">
        <v>131.49</v>
      </c>
    </row>
    <row r="121" spans="1:3" x14ac:dyDescent="0.3">
      <c r="A121" s="1">
        <v>46198</v>
      </c>
      <c r="B121" s="4">
        <v>99</v>
      </c>
      <c r="C121" s="4">
        <v>131.01</v>
      </c>
    </row>
    <row r="122" spans="1:3" x14ac:dyDescent="0.3">
      <c r="A122" s="1">
        <v>46199</v>
      </c>
      <c r="B122" s="4">
        <v>97.19</v>
      </c>
      <c r="C122" s="4">
        <v>131.46</v>
      </c>
    </row>
    <row r="123" spans="1:3" x14ac:dyDescent="0.3">
      <c r="A123" s="1">
        <v>46202</v>
      </c>
      <c r="B123" s="4">
        <v>98.2</v>
      </c>
      <c r="C123" s="4">
        <v>131.75</v>
      </c>
    </row>
    <row r="124" spans="1:3" x14ac:dyDescent="0.3">
      <c r="A124" s="1">
        <v>46203</v>
      </c>
      <c r="B124" s="4">
        <v>99.61</v>
      </c>
      <c r="C124" s="4">
        <v>131.6</v>
      </c>
    </row>
    <row r="125" spans="1:3" x14ac:dyDescent="0.3">
      <c r="A125" s="1">
        <v>46204</v>
      </c>
      <c r="B125" s="4">
        <v>98.26</v>
      </c>
      <c r="C125" s="4">
        <v>134.35</v>
      </c>
    </row>
    <row r="126" spans="1:3" x14ac:dyDescent="0.3">
      <c r="A126" s="1">
        <v>46205</v>
      </c>
      <c r="B126" s="4">
        <v>98.25</v>
      </c>
      <c r="C126" s="4">
        <v>136.18</v>
      </c>
    </row>
    <row r="127" spans="1:3" x14ac:dyDescent="0.3">
      <c r="A127" s="1">
        <v>46209</v>
      </c>
      <c r="B127" s="4">
        <v>99.03</v>
      </c>
      <c r="C127" s="4">
        <v>137.47999999999999</v>
      </c>
    </row>
    <row r="128" spans="1:3" x14ac:dyDescent="0.3">
      <c r="A128" s="1">
        <v>46210</v>
      </c>
      <c r="B128" s="4">
        <v>97.09</v>
      </c>
      <c r="C128" s="4">
        <v>137.15</v>
      </c>
    </row>
    <row r="129" spans="1:3" x14ac:dyDescent="0.3">
      <c r="A129" s="1">
        <v>46211</v>
      </c>
      <c r="B129" s="4">
        <v>96.07</v>
      </c>
      <c r="C129" s="4">
        <v>134.5</v>
      </c>
    </row>
    <row r="130" spans="1:3" x14ac:dyDescent="0.3">
      <c r="A130" s="1">
        <v>46212</v>
      </c>
      <c r="B130" s="4">
        <v>96.49</v>
      </c>
      <c r="C130" s="4">
        <v>135.99</v>
      </c>
    </row>
    <row r="131" spans="1:3" x14ac:dyDescent="0.3">
      <c r="A131" s="1">
        <v>46213</v>
      </c>
      <c r="B131" s="4">
        <v>96.83</v>
      </c>
      <c r="C131" s="4">
        <v>136.44999999999999</v>
      </c>
    </row>
    <row r="132" spans="1:3" x14ac:dyDescent="0.3">
      <c r="A132" s="1">
        <v>46216</v>
      </c>
      <c r="B132" s="4">
        <v>95.85</v>
      </c>
      <c r="C132" s="4">
        <v>137.24</v>
      </c>
    </row>
    <row r="133" spans="1:3" x14ac:dyDescent="0.3">
      <c r="A133" s="1">
        <v>46217</v>
      </c>
      <c r="B133" s="4">
        <v>96.11</v>
      </c>
      <c r="C133" s="4">
        <v>137.61000000000001</v>
      </c>
    </row>
    <row r="134" spans="1:3" x14ac:dyDescent="0.3">
      <c r="A134" s="1">
        <v>46218</v>
      </c>
      <c r="B134" s="4">
        <v>96</v>
      </c>
      <c r="C134" s="4">
        <v>138.44999999999999</v>
      </c>
    </row>
    <row r="135" spans="1:3" x14ac:dyDescent="0.3">
      <c r="A135" s="1">
        <v>46219</v>
      </c>
      <c r="B135" s="4">
        <v>95.87</v>
      </c>
      <c r="C135" s="4">
        <v>139.19</v>
      </c>
    </row>
    <row r="136" spans="1:3" x14ac:dyDescent="0.3">
      <c r="A136" s="1">
        <v>46220</v>
      </c>
      <c r="B136" s="4">
        <v>95.47</v>
      </c>
      <c r="C136" s="4">
        <v>137.94</v>
      </c>
    </row>
    <row r="137" spans="1:3" x14ac:dyDescent="0.3">
      <c r="A137" s="1">
        <v>46223</v>
      </c>
      <c r="B137" s="4">
        <v>94.55</v>
      </c>
      <c r="C137" s="4">
        <v>137.35</v>
      </c>
    </row>
    <row r="138" spans="1:3" x14ac:dyDescent="0.3">
      <c r="A138" s="1">
        <v>46224</v>
      </c>
      <c r="B138" s="4">
        <v>95.26</v>
      </c>
      <c r="C138" s="4">
        <v>137.44</v>
      </c>
    </row>
    <row r="139" spans="1:3" x14ac:dyDescent="0.3">
      <c r="A139" s="1">
        <v>46225</v>
      </c>
      <c r="B139" s="4">
        <v>95.38</v>
      </c>
      <c r="C139" s="4">
        <v>137.16</v>
      </c>
    </row>
    <row r="140" spans="1:3" x14ac:dyDescent="0.3">
      <c r="A140" s="1">
        <v>46226</v>
      </c>
      <c r="B140" s="4">
        <v>96.77</v>
      </c>
      <c r="C140" s="4">
        <v>136.59</v>
      </c>
    </row>
    <row r="141" spans="1:3" x14ac:dyDescent="0.3">
      <c r="A141" s="1">
        <v>46227</v>
      </c>
      <c r="B141" s="4">
        <v>96.84</v>
      </c>
      <c r="C141" s="4">
        <v>137.81</v>
      </c>
    </row>
    <row r="142" spans="1:3" x14ac:dyDescent="0.3">
      <c r="A142" s="1">
        <v>46230</v>
      </c>
      <c r="B142" s="4">
        <v>97.08</v>
      </c>
      <c r="C142" s="4">
        <v>139.18</v>
      </c>
    </row>
    <row r="143" spans="1:3" x14ac:dyDescent="0.3">
      <c r="A143" s="1">
        <v>46231</v>
      </c>
      <c r="B143" s="4">
        <v>96.59</v>
      </c>
      <c r="C143" s="4">
        <v>140.93</v>
      </c>
    </row>
    <row r="144" spans="1:3" x14ac:dyDescent="0.3">
      <c r="A144" s="1">
        <v>46232</v>
      </c>
      <c r="B144" s="4">
        <v>93.32</v>
      </c>
      <c r="C144" s="4">
        <v>138.69999999999999</v>
      </c>
    </row>
    <row r="145" spans="1:3" x14ac:dyDescent="0.3">
      <c r="A145" s="1">
        <v>46233</v>
      </c>
      <c r="B145" s="4">
        <v>94.44</v>
      </c>
      <c r="C145" s="4">
        <v>139.41999999999999</v>
      </c>
    </row>
    <row r="146" spans="1:3" x14ac:dyDescent="0.3">
      <c r="A146" s="1">
        <v>46234</v>
      </c>
      <c r="B146" s="4">
        <v>95.22</v>
      </c>
      <c r="C146" s="4">
        <v>139.22999999999999</v>
      </c>
    </row>
    <row r="147" spans="1:3" x14ac:dyDescent="0.3">
      <c r="A147" s="1">
        <v>46237</v>
      </c>
      <c r="B147" s="4">
        <v>97.14</v>
      </c>
      <c r="C147" s="4">
        <v>140.51</v>
      </c>
    </row>
    <row r="148" spans="1:3" x14ac:dyDescent="0.3">
      <c r="A148" s="1">
        <v>46238</v>
      </c>
      <c r="B148" s="4">
        <v>98.98</v>
      </c>
      <c r="C148" s="4">
        <v>141.76</v>
      </c>
    </row>
    <row r="149" spans="1:3" x14ac:dyDescent="0.3">
      <c r="A149" s="1">
        <v>46239</v>
      </c>
      <c r="B149" s="4">
        <v>98.89</v>
      </c>
      <c r="C149" s="4">
        <v>142.02000000000001</v>
      </c>
    </row>
    <row r="150" spans="1:3" x14ac:dyDescent="0.3">
      <c r="A150" s="1">
        <v>46240</v>
      </c>
      <c r="B150" s="4">
        <v>98.17</v>
      </c>
      <c r="C150" s="4">
        <v>141.38999999999999</v>
      </c>
    </row>
    <row r="151" spans="1:3" x14ac:dyDescent="0.3">
      <c r="A151" s="1">
        <v>46241</v>
      </c>
      <c r="B151" s="4">
        <v>98.61</v>
      </c>
      <c r="C151" s="4">
        <v>140.9</v>
      </c>
    </row>
    <row r="152" spans="1:3" x14ac:dyDescent="0.3">
      <c r="A152" s="1">
        <v>46244</v>
      </c>
      <c r="B152" s="4">
        <v>98.05</v>
      </c>
      <c r="C152" s="4">
        <v>141.19999999999999</v>
      </c>
    </row>
    <row r="153" spans="1:3" x14ac:dyDescent="0.3">
      <c r="A153" s="1">
        <v>46245</v>
      </c>
      <c r="B153" s="4">
        <v>98.67</v>
      </c>
      <c r="C153" s="4">
        <v>141.38</v>
      </c>
    </row>
    <row r="154" spans="1:3" x14ac:dyDescent="0.3">
      <c r="A154" s="1">
        <v>46246</v>
      </c>
      <c r="B154" s="4">
        <v>98.88</v>
      </c>
      <c r="C154" s="4">
        <v>141.68</v>
      </c>
    </row>
    <row r="155" spans="1:3" x14ac:dyDescent="0.3">
      <c r="A155" s="1">
        <v>46247</v>
      </c>
      <c r="B155" s="4">
        <v>98.83</v>
      </c>
      <c r="C155" s="4">
        <v>142.74</v>
      </c>
    </row>
    <row r="156" spans="1:3" x14ac:dyDescent="0.3">
      <c r="A156" s="1">
        <v>46248</v>
      </c>
      <c r="B156" s="4">
        <v>99.3</v>
      </c>
      <c r="C156" s="4">
        <v>142.63</v>
      </c>
    </row>
    <row r="157" spans="1:3" x14ac:dyDescent="0.3">
      <c r="A157" s="1">
        <v>46251</v>
      </c>
      <c r="B157" s="4">
        <v>99.19</v>
      </c>
      <c r="C157" s="4">
        <v>141.16</v>
      </c>
    </row>
    <row r="158" spans="1:3" x14ac:dyDescent="0.3">
      <c r="A158" s="1">
        <v>46252</v>
      </c>
      <c r="B158" s="4">
        <v>97.47</v>
      </c>
      <c r="C158" s="4">
        <v>141.56</v>
      </c>
    </row>
    <row r="159" spans="1:3" x14ac:dyDescent="0.3">
      <c r="A159" s="1">
        <v>46253</v>
      </c>
      <c r="B159" s="4">
        <v>96.63</v>
      </c>
      <c r="C159" s="4">
        <v>140.65</v>
      </c>
    </row>
    <row r="160" spans="1:3" x14ac:dyDescent="0.3">
      <c r="A160" s="1">
        <v>46254</v>
      </c>
      <c r="B160" s="4">
        <v>95.38</v>
      </c>
      <c r="C160" s="4">
        <v>139.30000000000001</v>
      </c>
    </row>
    <row r="161" spans="1:3" x14ac:dyDescent="0.3">
      <c r="A161" s="1">
        <v>46255</v>
      </c>
      <c r="B161" s="4">
        <v>95.63</v>
      </c>
      <c r="C161" s="4">
        <v>140.72</v>
      </c>
    </row>
    <row r="162" spans="1:3" x14ac:dyDescent="0.3">
      <c r="A162" s="1">
        <v>46258</v>
      </c>
      <c r="B162" s="4">
        <v>94.84</v>
      </c>
      <c r="C162" s="4">
        <v>142.21</v>
      </c>
    </row>
    <row r="163" spans="1:3" x14ac:dyDescent="0.3">
      <c r="A163" s="1">
        <v>46259</v>
      </c>
      <c r="B163" s="4">
        <v>94.51</v>
      </c>
      <c r="C163" s="4">
        <v>142.41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F8BF-03F7-4A0E-BE51-5DDA699E6B8E}">
  <dimension ref="A1:U168"/>
  <sheetViews>
    <sheetView workbookViewId="0">
      <selection sqref="A1:A1048576"/>
    </sheetView>
  </sheetViews>
  <sheetFormatPr defaultRowHeight="14.4" x14ac:dyDescent="0.3"/>
  <cols>
    <col min="1" max="1" width="8.21875" style="6" customWidth="1"/>
    <col min="2" max="2" width="10.33203125" style="1" bestFit="1" customWidth="1"/>
    <col min="3" max="4" width="8.88671875" style="4"/>
    <col min="5" max="5" width="10.6640625" style="8" bestFit="1" customWidth="1"/>
    <col min="7" max="7" width="10.33203125" style="1" bestFit="1" customWidth="1"/>
    <col min="8" max="9" width="8.88671875" style="4"/>
    <col min="10" max="11" width="8.88671875" style="11"/>
    <col min="12" max="12" width="8.88671875" style="4"/>
    <col min="14" max="16" width="8.88671875" style="4"/>
    <col min="18" max="18" width="8.88671875" style="4"/>
  </cols>
  <sheetData>
    <row r="1" spans="2:18" s="3" customFormat="1" x14ac:dyDescent="0.3">
      <c r="B1" s="2" t="s">
        <v>0</v>
      </c>
      <c r="C1" s="5" t="s">
        <v>18</v>
      </c>
      <c r="D1" s="5" t="s">
        <v>5</v>
      </c>
      <c r="E1" s="7" t="str">
        <f>_xlfn.CONCAT(D1,"/",C1)</f>
        <v>IYF/XLF</v>
      </c>
      <c r="F1" s="3" t="s">
        <v>13</v>
      </c>
      <c r="G1" s="1"/>
      <c r="H1" s="10" t="s">
        <v>9</v>
      </c>
      <c r="I1" s="10" t="s">
        <v>10</v>
      </c>
      <c r="J1" s="10" t="s">
        <v>11</v>
      </c>
      <c r="K1" s="10" t="s">
        <v>12</v>
      </c>
      <c r="L1" s="5"/>
      <c r="N1" s="5"/>
      <c r="O1" s="5"/>
      <c r="P1" s="5"/>
      <c r="R1" s="5" t="s">
        <v>18</v>
      </c>
    </row>
    <row r="2" spans="2:18" x14ac:dyDescent="0.3">
      <c r="B2" s="1">
        <v>46024</v>
      </c>
      <c r="C2" s="4">
        <v>54.93</v>
      </c>
      <c r="D2" s="4">
        <v>129.65</v>
      </c>
      <c r="E2" s="8">
        <f>D2/C2</f>
        <v>2.360276715820135</v>
      </c>
      <c r="R2" s="4">
        <v>54.93</v>
      </c>
    </row>
    <row r="3" spans="2:18" x14ac:dyDescent="0.3">
      <c r="B3" s="1">
        <v>46027</v>
      </c>
      <c r="C3" s="4">
        <v>56.13</v>
      </c>
      <c r="D3" s="4">
        <v>132.78</v>
      </c>
      <c r="E3" s="8">
        <f t="shared" ref="E3:E66" si="0">D3/C3</f>
        <v>2.365579903794762</v>
      </c>
      <c r="R3" s="4">
        <v>56.13</v>
      </c>
    </row>
    <row r="4" spans="2:18" x14ac:dyDescent="0.3">
      <c r="B4" s="1">
        <v>46028</v>
      </c>
      <c r="C4" s="4">
        <v>56.4</v>
      </c>
      <c r="D4" s="4">
        <v>133</v>
      </c>
      <c r="E4" s="8">
        <f t="shared" si="0"/>
        <v>2.3581560283687946</v>
      </c>
      <c r="R4" s="4">
        <v>56.4</v>
      </c>
    </row>
    <row r="5" spans="2:18" x14ac:dyDescent="0.3">
      <c r="B5" s="1">
        <v>46029</v>
      </c>
      <c r="C5" s="4">
        <v>55.61</v>
      </c>
      <c r="D5" s="4">
        <v>130.84</v>
      </c>
      <c r="E5" s="8">
        <f t="shared" si="0"/>
        <v>2.3528142420427982</v>
      </c>
      <c r="R5" s="4">
        <v>55.61</v>
      </c>
    </row>
    <row r="6" spans="2:18" x14ac:dyDescent="0.3">
      <c r="B6" s="1">
        <v>46030</v>
      </c>
      <c r="C6" s="4">
        <v>55.9</v>
      </c>
      <c r="D6" s="4">
        <v>131.79</v>
      </c>
      <c r="E6" s="8">
        <f t="shared" si="0"/>
        <v>2.357602862254025</v>
      </c>
      <c r="R6" s="4">
        <v>55.9</v>
      </c>
    </row>
    <row r="7" spans="2:18" x14ac:dyDescent="0.3">
      <c r="B7" s="1">
        <v>46031</v>
      </c>
      <c r="C7" s="4">
        <v>55.73</v>
      </c>
      <c r="D7" s="4">
        <v>131.56</v>
      </c>
      <c r="E7" s="8">
        <f t="shared" si="0"/>
        <v>2.3606675040373228</v>
      </c>
      <c r="R7" s="4">
        <v>55.73</v>
      </c>
    </row>
    <row r="8" spans="2:18" x14ac:dyDescent="0.3">
      <c r="B8" s="1">
        <v>46034</v>
      </c>
      <c r="C8" s="4">
        <v>55.29</v>
      </c>
      <c r="D8" s="4">
        <v>131.07</v>
      </c>
      <c r="E8" s="8">
        <f t="shared" si="0"/>
        <v>2.3705914270211612</v>
      </c>
      <c r="R8" s="4">
        <v>55.29</v>
      </c>
    </row>
    <row r="9" spans="2:18" x14ac:dyDescent="0.3">
      <c r="B9" s="1">
        <v>46035</v>
      </c>
      <c r="C9" s="4">
        <v>54.23</v>
      </c>
      <c r="D9" s="4">
        <v>129.16</v>
      </c>
      <c r="E9" s="8">
        <f t="shared" si="0"/>
        <v>2.3817075419509499</v>
      </c>
      <c r="R9" s="4">
        <v>54.23</v>
      </c>
    </row>
    <row r="10" spans="2:18" x14ac:dyDescent="0.3">
      <c r="B10" s="1">
        <v>46036</v>
      </c>
      <c r="C10" s="4">
        <v>54.15</v>
      </c>
      <c r="D10" s="4">
        <v>128.99</v>
      </c>
      <c r="E10" s="8">
        <f t="shared" si="0"/>
        <v>2.3820867959372118</v>
      </c>
      <c r="R10" s="4">
        <v>54.15</v>
      </c>
    </row>
    <row r="11" spans="2:18" x14ac:dyDescent="0.3">
      <c r="B11" s="1">
        <v>46037</v>
      </c>
      <c r="C11" s="4">
        <v>54.37</v>
      </c>
      <c r="D11" s="4">
        <v>129.76</v>
      </c>
      <c r="E11" s="8">
        <f t="shared" si="0"/>
        <v>2.3866102630126909</v>
      </c>
      <c r="F11" s="9"/>
      <c r="G11" s="9"/>
      <c r="R11" s="4">
        <v>54.37</v>
      </c>
    </row>
    <row r="12" spans="2:18" x14ac:dyDescent="0.3">
      <c r="B12" s="1">
        <v>46038</v>
      </c>
      <c r="C12" s="4">
        <v>54.44</v>
      </c>
      <c r="D12" s="4">
        <v>129.84</v>
      </c>
      <c r="E12" s="8">
        <f t="shared" si="0"/>
        <v>2.3850110213078621</v>
      </c>
      <c r="F12" s="9"/>
      <c r="G12" s="9"/>
      <c r="R12" s="4">
        <v>54.44</v>
      </c>
    </row>
    <row r="13" spans="2:18" x14ac:dyDescent="0.3">
      <c r="B13" s="1">
        <v>46042</v>
      </c>
      <c r="C13" s="4">
        <v>53.2</v>
      </c>
      <c r="D13" s="4">
        <v>126.95</v>
      </c>
      <c r="E13" s="8">
        <f t="shared" si="0"/>
        <v>2.3862781954887216</v>
      </c>
      <c r="F13" s="9"/>
      <c r="G13" s="9"/>
      <c r="R13" s="4">
        <v>53.2</v>
      </c>
    </row>
    <row r="14" spans="2:18" x14ac:dyDescent="0.3">
      <c r="B14" s="1">
        <v>46043</v>
      </c>
      <c r="C14" s="4">
        <v>53.46</v>
      </c>
      <c r="D14" s="4">
        <v>127.82</v>
      </c>
      <c r="E14" s="8">
        <f t="shared" si="0"/>
        <v>2.3909465020576128</v>
      </c>
      <c r="F14" s="9"/>
      <c r="G14" s="9"/>
      <c r="R14" s="4">
        <v>53.46</v>
      </c>
    </row>
    <row r="15" spans="2:18" x14ac:dyDescent="0.3">
      <c r="B15" s="1">
        <v>46044</v>
      </c>
      <c r="C15" s="4">
        <v>53.81</v>
      </c>
      <c r="D15" s="4">
        <v>128.41</v>
      </c>
      <c r="E15" s="8">
        <f t="shared" si="0"/>
        <v>2.3863594127485594</v>
      </c>
      <c r="F15" s="9"/>
      <c r="G15" s="9"/>
      <c r="R15" s="4">
        <v>53.81</v>
      </c>
    </row>
    <row r="16" spans="2:18" x14ac:dyDescent="0.3">
      <c r="B16" s="1">
        <v>46045</v>
      </c>
      <c r="C16" s="4">
        <v>53.07</v>
      </c>
      <c r="D16" s="4">
        <v>126.73</v>
      </c>
      <c r="E16" s="8">
        <f t="shared" si="0"/>
        <v>2.3879781420765029</v>
      </c>
      <c r="F16" s="9"/>
      <c r="G16" s="9"/>
      <c r="R16" s="4">
        <v>53.07</v>
      </c>
    </row>
    <row r="17" spans="2:18" x14ac:dyDescent="0.3">
      <c r="B17" s="1">
        <v>46048</v>
      </c>
      <c r="C17" s="4">
        <v>53.41</v>
      </c>
      <c r="D17" s="4">
        <v>127.49</v>
      </c>
      <c r="E17" s="8">
        <f t="shared" si="0"/>
        <v>2.3870061786182362</v>
      </c>
      <c r="F17" s="9"/>
      <c r="G17" s="9"/>
      <c r="R17" s="4">
        <v>53.41</v>
      </c>
    </row>
    <row r="18" spans="2:18" x14ac:dyDescent="0.3">
      <c r="B18" s="1">
        <v>46049</v>
      </c>
      <c r="C18" s="4">
        <v>53</v>
      </c>
      <c r="D18" s="4">
        <v>126.82</v>
      </c>
      <c r="E18" s="8">
        <f t="shared" si="0"/>
        <v>2.3928301886792451</v>
      </c>
      <c r="F18" s="9"/>
      <c r="G18" s="9"/>
      <c r="R18" s="4">
        <v>53</v>
      </c>
    </row>
    <row r="19" spans="2:18" x14ac:dyDescent="0.3">
      <c r="B19" s="1">
        <v>46050</v>
      </c>
      <c r="C19" s="4">
        <v>52.99</v>
      </c>
      <c r="D19" s="4">
        <v>126.73</v>
      </c>
      <c r="E19" s="8">
        <f t="shared" si="0"/>
        <v>2.3915833176070955</v>
      </c>
      <c r="F19" s="9"/>
      <c r="G19" s="9"/>
      <c r="R19" s="4">
        <v>52.99</v>
      </c>
    </row>
    <row r="20" spans="2:18" x14ac:dyDescent="0.3">
      <c r="B20" s="1">
        <v>46051</v>
      </c>
      <c r="C20" s="4">
        <v>53.55</v>
      </c>
      <c r="D20" s="4">
        <v>127.72</v>
      </c>
      <c r="E20" s="8">
        <f t="shared" si="0"/>
        <v>2.3850606909430438</v>
      </c>
      <c r="F20" s="9"/>
      <c r="G20" s="9"/>
      <c r="R20" s="4">
        <v>53.55</v>
      </c>
    </row>
    <row r="21" spans="2:18" x14ac:dyDescent="0.3">
      <c r="B21" s="1">
        <v>46052</v>
      </c>
      <c r="C21" s="4">
        <v>53.44</v>
      </c>
      <c r="D21" s="4">
        <v>127.7</v>
      </c>
      <c r="E21" s="8">
        <f t="shared" si="0"/>
        <v>2.3895958083832336</v>
      </c>
      <c r="F21" s="9">
        <f t="shared" ref="F21:F84" si="1">AVERAGE(E2:E21)</f>
        <v>2.3779371371074984</v>
      </c>
      <c r="G21" s="9">
        <f>AVERAGE(E:E)</f>
        <v>2.3817308270397639</v>
      </c>
      <c r="H21" s="4">
        <f>C21*F21</f>
        <v>127.07696060702472</v>
      </c>
      <c r="I21" s="4">
        <f>C21*G21</f>
        <v>127.27969539700497</v>
      </c>
      <c r="J21" s="11">
        <f>LN(H21/D21)</f>
        <v>-4.8908710854209721E-3</v>
      </c>
      <c r="K21" s="11">
        <f>LN(I21/D21)</f>
        <v>-3.2967721843197742E-3</v>
      </c>
      <c r="R21" s="4">
        <v>53.44</v>
      </c>
    </row>
    <row r="22" spans="2:18" x14ac:dyDescent="0.3">
      <c r="B22" s="1">
        <v>46055</v>
      </c>
      <c r="C22" s="4">
        <v>54.03</v>
      </c>
      <c r="D22" s="4">
        <v>128.57</v>
      </c>
      <c r="E22" s="8">
        <f t="shared" si="0"/>
        <v>2.3796039237460667</v>
      </c>
      <c r="F22" s="9">
        <f t="shared" si="1"/>
        <v>2.3789034975037948</v>
      </c>
      <c r="G22" s="9">
        <f t="shared" ref="G22:G85" si="2">G21</f>
        <v>2.3817308270397639</v>
      </c>
      <c r="H22" s="4">
        <f>C22*F22</f>
        <v>128.53215597013005</v>
      </c>
      <c r="I22" s="4">
        <f>C22*G22</f>
        <v>128.68491658495844</v>
      </c>
      <c r="J22" s="11">
        <f>LN(H22/D22)</f>
        <v>-2.9438905325749909E-4</v>
      </c>
      <c r="K22" s="11">
        <f>LN(I22/D22)</f>
        <v>8.9340638560060377E-4</v>
      </c>
      <c r="R22" s="4">
        <v>54.03</v>
      </c>
    </row>
    <row r="23" spans="2:18" x14ac:dyDescent="0.3">
      <c r="B23" s="1">
        <v>46056</v>
      </c>
      <c r="C23" s="4">
        <v>53.53</v>
      </c>
      <c r="D23" s="4">
        <v>127.68</v>
      </c>
      <c r="E23" s="8">
        <f t="shared" si="0"/>
        <v>2.3852045581916683</v>
      </c>
      <c r="F23" s="9">
        <f t="shared" si="1"/>
        <v>2.3798847302236399</v>
      </c>
      <c r="G23" s="9">
        <f t="shared" si="2"/>
        <v>2.3817308270397639</v>
      </c>
      <c r="H23" s="4">
        <f>C23*F23</f>
        <v>127.39522960887145</v>
      </c>
      <c r="I23" s="4">
        <f>C23*G23</f>
        <v>127.49405117143857</v>
      </c>
      <c r="J23" s="11">
        <f>LN(H23/D23)</f>
        <v>-2.2328354648683624E-3</v>
      </c>
      <c r="K23" s="11">
        <f>LN(I23/D23)</f>
        <v>-1.4574276704250589E-3</v>
      </c>
      <c r="R23" s="4">
        <v>53.53</v>
      </c>
    </row>
    <row r="24" spans="2:18" x14ac:dyDescent="0.3">
      <c r="B24" s="1">
        <v>46057</v>
      </c>
      <c r="C24" s="4">
        <v>53.96</v>
      </c>
      <c r="D24" s="4">
        <v>128.71</v>
      </c>
      <c r="E24" s="8">
        <f t="shared" si="0"/>
        <v>2.3852853965900667</v>
      </c>
      <c r="F24" s="9">
        <f t="shared" si="1"/>
        <v>2.3812411986347035</v>
      </c>
      <c r="G24" s="9">
        <f t="shared" si="2"/>
        <v>2.3817308270397639</v>
      </c>
      <c r="H24" s="4">
        <f>C24*F24</f>
        <v>128.4917750783286</v>
      </c>
      <c r="I24" s="4">
        <f>C24*G24</f>
        <v>128.51819542706565</v>
      </c>
      <c r="J24" s="11">
        <f>LN(H24/D24)</f>
        <v>-1.6969165470985142E-3</v>
      </c>
      <c r="K24" s="11">
        <f>LN(I24/D24)</f>
        <v>-1.4913186959477698E-3</v>
      </c>
      <c r="R24" s="4">
        <v>53.96</v>
      </c>
    </row>
    <row r="25" spans="2:18" x14ac:dyDescent="0.3">
      <c r="B25" s="1">
        <v>46058</v>
      </c>
      <c r="C25" s="4">
        <v>53.29</v>
      </c>
      <c r="D25" s="4">
        <v>126.95</v>
      </c>
      <c r="E25" s="8">
        <f t="shared" si="0"/>
        <v>2.3822480765622069</v>
      </c>
      <c r="F25" s="9">
        <f t="shared" si="1"/>
        <v>2.3827128903606738</v>
      </c>
      <c r="G25" s="9">
        <f t="shared" si="2"/>
        <v>2.3817308270397639</v>
      </c>
      <c r="H25" s="4">
        <f>C25*F25</f>
        <v>126.97476992732031</v>
      </c>
      <c r="I25" s="4">
        <f>C25*G25</f>
        <v>126.92243577294902</v>
      </c>
      <c r="J25" s="11">
        <f>LN(H25/D25)</f>
        <v>1.9509658239293633E-4</v>
      </c>
      <c r="K25" s="11">
        <f>LN(I25/D25)</f>
        <v>-2.1715021621289572E-4</v>
      </c>
      <c r="R25" s="4">
        <v>53.29</v>
      </c>
    </row>
    <row r="26" spans="2:18" x14ac:dyDescent="0.3">
      <c r="B26" s="1">
        <v>46059</v>
      </c>
      <c r="C26" s="4">
        <v>54.26</v>
      </c>
      <c r="D26" s="4">
        <v>129.63999999999999</v>
      </c>
      <c r="E26" s="8">
        <f t="shared" si="0"/>
        <v>2.3892370070033171</v>
      </c>
      <c r="F26" s="9">
        <f t="shared" si="1"/>
        <v>2.3842945975981387</v>
      </c>
      <c r="G26" s="9">
        <f t="shared" si="2"/>
        <v>2.3817308270397639</v>
      </c>
      <c r="H26" s="4">
        <f>C26*F26</f>
        <v>129.37182486567499</v>
      </c>
      <c r="I26" s="4">
        <f>C26*G26</f>
        <v>129.23271467517759</v>
      </c>
      <c r="J26" s="11">
        <f>LN(H26/D26)</f>
        <v>-2.0707566559381232E-3</v>
      </c>
      <c r="K26" s="11">
        <f>LN(I26/D26)</f>
        <v>-3.1466094167771487E-3</v>
      </c>
      <c r="R26" s="4">
        <v>54.26</v>
      </c>
    </row>
    <row r="27" spans="2:18" x14ac:dyDescent="0.3">
      <c r="B27" s="1">
        <v>46062</v>
      </c>
      <c r="C27" s="4">
        <v>53.94</v>
      </c>
      <c r="D27" s="4">
        <v>129.16999999999999</v>
      </c>
      <c r="E27" s="8">
        <f t="shared" si="0"/>
        <v>2.3946978123841305</v>
      </c>
      <c r="F27" s="9">
        <f t="shared" si="1"/>
        <v>2.3859961130154788</v>
      </c>
      <c r="G27" s="9">
        <f t="shared" si="2"/>
        <v>2.3817308270397639</v>
      </c>
      <c r="H27" s="4">
        <f>C27*F27</f>
        <v>128.70063033605493</v>
      </c>
      <c r="I27" s="4">
        <f>C27*G27</f>
        <v>128.47056081052486</v>
      </c>
      <c r="J27" s="11">
        <f>LN(H27/D27)</f>
        <v>-3.6403539377923059E-3</v>
      </c>
      <c r="K27" s="11">
        <f>LN(I27/D27)</f>
        <v>-5.429586906556514E-3</v>
      </c>
      <c r="R27" s="4">
        <v>53.94</v>
      </c>
    </row>
    <row r="28" spans="2:18" x14ac:dyDescent="0.3">
      <c r="B28" s="1">
        <v>46063</v>
      </c>
      <c r="C28" s="4">
        <v>53.55</v>
      </c>
      <c r="D28" s="4">
        <v>127.7</v>
      </c>
      <c r="E28" s="8">
        <f t="shared" si="0"/>
        <v>2.3846872082166199</v>
      </c>
      <c r="F28" s="9">
        <f t="shared" si="1"/>
        <v>2.3867009020752517</v>
      </c>
      <c r="G28" s="9">
        <f t="shared" si="2"/>
        <v>2.3817308270397639</v>
      </c>
      <c r="H28" s="4">
        <f>C28*F28</f>
        <v>127.80783330612972</v>
      </c>
      <c r="I28" s="4">
        <f>C28*G28</f>
        <v>127.54168578797935</v>
      </c>
      <c r="J28" s="11">
        <f>LN(H28/D28)</f>
        <v>8.4407050176584539E-4</v>
      </c>
      <c r="K28" s="11">
        <f>LN(I28/D28)</f>
        <v>-1.240504518952245E-3</v>
      </c>
      <c r="R28" s="4">
        <v>53.55</v>
      </c>
    </row>
    <row r="29" spans="2:18" x14ac:dyDescent="0.3">
      <c r="B29" s="1">
        <v>46064</v>
      </c>
      <c r="C29" s="4">
        <v>52.74</v>
      </c>
      <c r="D29" s="4">
        <v>125.66</v>
      </c>
      <c r="E29" s="8">
        <f t="shared" si="0"/>
        <v>2.3826317785362154</v>
      </c>
      <c r="F29" s="9">
        <f t="shared" si="1"/>
        <v>2.3867471139045149</v>
      </c>
      <c r="G29" s="9">
        <f t="shared" si="2"/>
        <v>2.3817308270397639</v>
      </c>
      <c r="H29" s="4">
        <f>C29*F29</f>
        <v>125.87704278732411</v>
      </c>
      <c r="I29" s="4">
        <f>C29*G29</f>
        <v>125.61248381807715</v>
      </c>
      <c r="J29" s="11">
        <f>LN(H29/D29)</f>
        <v>1.7257326299505295E-3</v>
      </c>
      <c r="K29" s="11">
        <f>LN(I29/D29)</f>
        <v>-3.7820442387667328E-4</v>
      </c>
      <c r="R29" s="4">
        <v>52.74</v>
      </c>
    </row>
    <row r="30" spans="2:18" x14ac:dyDescent="0.3">
      <c r="B30" s="1">
        <v>46065</v>
      </c>
      <c r="C30" s="4">
        <v>51.69</v>
      </c>
      <c r="D30" s="4">
        <v>123.32</v>
      </c>
      <c r="E30" s="8">
        <f t="shared" si="0"/>
        <v>2.3857612691042753</v>
      </c>
      <c r="F30" s="9">
        <f t="shared" si="1"/>
        <v>2.3869308375628684</v>
      </c>
      <c r="G30" s="9">
        <f t="shared" si="2"/>
        <v>2.3817308270397639</v>
      </c>
      <c r="H30" s="4">
        <f>C30*F30</f>
        <v>123.38045499362467</v>
      </c>
      <c r="I30" s="4">
        <f>C30*G30</f>
        <v>123.11166644968539</v>
      </c>
      <c r="J30" s="11">
        <f>LN(H30/D30)</f>
        <v>4.9010849887864798E-4</v>
      </c>
      <c r="K30" s="11">
        <f>LN(I30/D30)</f>
        <v>-1.6908021842179863E-3</v>
      </c>
      <c r="R30" s="4">
        <v>51.69</v>
      </c>
    </row>
    <row r="31" spans="2:18" x14ac:dyDescent="0.3">
      <c r="B31" s="1">
        <v>46066</v>
      </c>
      <c r="C31" s="4">
        <v>51.65</v>
      </c>
      <c r="D31" s="4">
        <v>123.83</v>
      </c>
      <c r="E31" s="8">
        <f t="shared" si="0"/>
        <v>2.3974830590513068</v>
      </c>
      <c r="F31" s="9">
        <f t="shared" si="1"/>
        <v>2.3874744773647993</v>
      </c>
      <c r="G31" s="9">
        <f t="shared" si="2"/>
        <v>2.3817308270397639</v>
      </c>
      <c r="H31" s="4">
        <f>C31*F31</f>
        <v>123.31305675589188</v>
      </c>
      <c r="I31" s="4">
        <f>C31*G31</f>
        <v>123.01639721660381</v>
      </c>
      <c r="J31" s="11">
        <f>LN(H31/D31)</f>
        <v>-4.1833584547356891E-3</v>
      </c>
      <c r="K31" s="11">
        <f>LN(I31/D31)</f>
        <v>-6.5920000355760055E-3</v>
      </c>
      <c r="R31" s="4">
        <v>51.65</v>
      </c>
    </row>
    <row r="32" spans="2:18" x14ac:dyDescent="0.3">
      <c r="B32" s="1">
        <v>46070</v>
      </c>
      <c r="C32" s="4">
        <v>52.2</v>
      </c>
      <c r="D32" s="4">
        <v>124.84</v>
      </c>
      <c r="E32" s="8">
        <f t="shared" si="0"/>
        <v>2.3915708812260537</v>
      </c>
      <c r="F32" s="9">
        <f t="shared" si="1"/>
        <v>2.3878024703607088</v>
      </c>
      <c r="G32" s="9">
        <f t="shared" si="2"/>
        <v>2.3817308270397639</v>
      </c>
      <c r="H32" s="4">
        <f>C32*F32</f>
        <v>124.64328895282901</v>
      </c>
      <c r="I32" s="4">
        <f>C32*G32</f>
        <v>124.32634917147568</v>
      </c>
      <c r="J32" s="11">
        <f>LN(H32/D32)</f>
        <v>-1.576948009312947E-3</v>
      </c>
      <c r="K32" s="11">
        <f>LN(I32/D32)</f>
        <v>-4.122960888202006E-3</v>
      </c>
      <c r="R32" s="4">
        <v>52.2</v>
      </c>
    </row>
    <row r="33" spans="2:18" x14ac:dyDescent="0.3">
      <c r="B33" s="1">
        <v>46071</v>
      </c>
      <c r="C33" s="4">
        <v>52.59</v>
      </c>
      <c r="D33" s="4">
        <v>125.8</v>
      </c>
      <c r="E33" s="8">
        <f t="shared" si="0"/>
        <v>2.3920897509032133</v>
      </c>
      <c r="F33" s="9">
        <f t="shared" si="1"/>
        <v>2.3880930481314331</v>
      </c>
      <c r="G33" s="9">
        <f t="shared" si="2"/>
        <v>2.3817308270397639</v>
      </c>
      <c r="H33" s="4">
        <f>C33*F33</f>
        <v>125.58981340123208</v>
      </c>
      <c r="I33" s="4">
        <f>C33*G33</f>
        <v>125.2552241940212</v>
      </c>
      <c r="J33" s="11">
        <f>LN(H33/D33)</f>
        <v>-1.6721970146831879E-3</v>
      </c>
      <c r="K33" s="11">
        <f>LN(I33/D33)</f>
        <v>-4.3398950393035299E-3</v>
      </c>
      <c r="R33" s="4">
        <v>52.59</v>
      </c>
    </row>
    <row r="34" spans="2:18" x14ac:dyDescent="0.3">
      <c r="B34" s="1">
        <v>46072</v>
      </c>
      <c r="C34" s="4">
        <v>52.15</v>
      </c>
      <c r="D34" s="4">
        <v>124.76</v>
      </c>
      <c r="E34" s="8">
        <f t="shared" si="0"/>
        <v>2.3923298178331738</v>
      </c>
      <c r="F34" s="9">
        <f t="shared" si="1"/>
        <v>2.3881622139202108</v>
      </c>
      <c r="G34" s="9">
        <f t="shared" si="2"/>
        <v>2.3817308270397639</v>
      </c>
      <c r="H34" s="4">
        <f>C34*F34</f>
        <v>124.54265945593899</v>
      </c>
      <c r="I34" s="4">
        <f>C34*G34</f>
        <v>124.20726263012368</v>
      </c>
      <c r="J34" s="11">
        <f>LN(H34/D34)</f>
        <v>-1.7435882922127405E-3</v>
      </c>
      <c r="K34" s="11">
        <f>LN(I34/D34)</f>
        <v>-4.4402486670375085E-3</v>
      </c>
      <c r="R34" s="4">
        <v>52.15</v>
      </c>
    </row>
    <row r="35" spans="2:18" x14ac:dyDescent="0.3">
      <c r="B35" s="1">
        <v>46073</v>
      </c>
      <c r="C35" s="4">
        <v>52.49</v>
      </c>
      <c r="D35" s="4">
        <v>125.34</v>
      </c>
      <c r="E35" s="8">
        <f t="shared" si="0"/>
        <v>2.3878834063631169</v>
      </c>
      <c r="F35" s="9">
        <f t="shared" si="1"/>
        <v>2.3882384136009387</v>
      </c>
      <c r="G35" s="9">
        <f t="shared" si="2"/>
        <v>2.3817308270397639</v>
      </c>
      <c r="H35" s="4">
        <f>C35*F35</f>
        <v>125.35863432991327</v>
      </c>
      <c r="I35" s="4">
        <f>C35*G35</f>
        <v>125.01705111131722</v>
      </c>
      <c r="J35" s="11">
        <f>LN(H35/D35)</f>
        <v>1.4865920588192033E-4</v>
      </c>
      <c r="K35" s="11">
        <f>LN(I35/D35)</f>
        <v>-2.579907906537322E-3</v>
      </c>
      <c r="R35" s="4">
        <v>52.49</v>
      </c>
    </row>
    <row r="36" spans="2:18" x14ac:dyDescent="0.3">
      <c r="B36" s="1">
        <v>46076</v>
      </c>
      <c r="C36" s="4">
        <v>50.73</v>
      </c>
      <c r="D36" s="4">
        <v>121.67</v>
      </c>
      <c r="E36" s="8">
        <f t="shared" si="0"/>
        <v>2.3983835994480587</v>
      </c>
      <c r="F36" s="9">
        <f t="shared" si="1"/>
        <v>2.3887586864695165</v>
      </c>
      <c r="G36" s="9">
        <f t="shared" si="2"/>
        <v>2.3817308270397639</v>
      </c>
      <c r="H36" s="4">
        <f>C36*F36</f>
        <v>121.18172816459857</v>
      </c>
      <c r="I36" s="4">
        <f>C36*G36</f>
        <v>120.82520485572722</v>
      </c>
      <c r="J36" s="11">
        <f>LN(H36/D36)</f>
        <v>-4.0211572470642692E-3</v>
      </c>
      <c r="K36" s="11">
        <f>LN(I36/D36)</f>
        <v>-6.9675485949754279E-3</v>
      </c>
      <c r="R36" s="4">
        <v>50.73</v>
      </c>
    </row>
    <row r="37" spans="2:18" x14ac:dyDescent="0.3">
      <c r="B37" s="1">
        <v>46077</v>
      </c>
      <c r="C37" s="4">
        <v>50.98</v>
      </c>
      <c r="D37" s="4">
        <v>122.35</v>
      </c>
      <c r="E37" s="8">
        <f t="shared" si="0"/>
        <v>2.3999607689289917</v>
      </c>
      <c r="F37" s="9">
        <f t="shared" si="1"/>
        <v>2.3894064159850545</v>
      </c>
      <c r="G37" s="9">
        <f t="shared" si="2"/>
        <v>2.3817308270397639</v>
      </c>
      <c r="H37" s="4">
        <f>C37*F37</f>
        <v>121.81193908691807</v>
      </c>
      <c r="I37" s="4">
        <f>C37*G37</f>
        <v>121.42063756248716</v>
      </c>
      <c r="J37" s="11">
        <f>LN(H37/D37)</f>
        <v>-4.4074173566494282E-3</v>
      </c>
      <c r="K37" s="11">
        <f>LN(I37/D37)</f>
        <v>-7.6249293149276177E-3</v>
      </c>
      <c r="R37" s="4">
        <v>50.98</v>
      </c>
    </row>
    <row r="38" spans="2:18" x14ac:dyDescent="0.3">
      <c r="B38" s="1">
        <v>46078</v>
      </c>
      <c r="C38" s="4">
        <v>51.87</v>
      </c>
      <c r="D38" s="4">
        <v>124.17</v>
      </c>
      <c r="E38" s="8">
        <f t="shared" si="0"/>
        <v>2.393869288606131</v>
      </c>
      <c r="F38" s="9">
        <f t="shared" si="1"/>
        <v>2.3894583709813992</v>
      </c>
      <c r="G38" s="9">
        <f t="shared" si="2"/>
        <v>2.3817308270397639</v>
      </c>
      <c r="H38" s="4">
        <f>C38*F38</f>
        <v>123.94120570280518</v>
      </c>
      <c r="I38" s="4">
        <f>C38*G38</f>
        <v>123.54037799855254</v>
      </c>
      <c r="J38" s="11">
        <f>LN(H38/D38)</f>
        <v>-1.8442888252346845E-3</v>
      </c>
      <c r="K38" s="11">
        <f>LN(I38/D38)</f>
        <v>-5.083544439658352E-3</v>
      </c>
      <c r="R38" s="4">
        <v>51.87</v>
      </c>
    </row>
    <row r="39" spans="2:18" x14ac:dyDescent="0.3">
      <c r="B39" s="1">
        <v>46079</v>
      </c>
      <c r="C39" s="4">
        <v>52.5</v>
      </c>
      <c r="D39" s="4">
        <v>125.66</v>
      </c>
      <c r="E39" s="8">
        <f t="shared" si="0"/>
        <v>2.3935238095238094</v>
      </c>
      <c r="F39" s="9">
        <f t="shared" si="1"/>
        <v>2.3895553955772346</v>
      </c>
      <c r="G39" s="9">
        <f t="shared" si="2"/>
        <v>2.3817308270397639</v>
      </c>
      <c r="H39" s="4">
        <f>C39*F39</f>
        <v>125.45165826780482</v>
      </c>
      <c r="I39" s="4">
        <f>C39*G39</f>
        <v>125.04086841958761</v>
      </c>
      <c r="J39" s="11">
        <f>LN(H39/D39)</f>
        <v>-1.6593556940957253E-3</v>
      </c>
      <c r="K39" s="11">
        <f>LN(I39/D39)</f>
        <v>-4.9392157514392011E-3</v>
      </c>
      <c r="R39" s="4">
        <v>52.5</v>
      </c>
    </row>
    <row r="40" spans="2:18" x14ac:dyDescent="0.3">
      <c r="B40" s="1">
        <v>46080</v>
      </c>
      <c r="C40" s="4">
        <v>51.43</v>
      </c>
      <c r="D40" s="4">
        <v>122.61</v>
      </c>
      <c r="E40" s="8">
        <f t="shared" si="0"/>
        <v>2.3840171106358157</v>
      </c>
      <c r="F40" s="9">
        <f t="shared" si="1"/>
        <v>2.3895032165618737</v>
      </c>
      <c r="G40" s="9">
        <f t="shared" si="2"/>
        <v>2.3817308270397639</v>
      </c>
      <c r="H40" s="4">
        <f>C40*F40</f>
        <v>122.89215042777717</v>
      </c>
      <c r="I40" s="4">
        <f>C40*G40</f>
        <v>122.49241643465506</v>
      </c>
      <c r="J40" s="11">
        <f>LN(H40/D40)</f>
        <v>2.2985587011029058E-3</v>
      </c>
      <c r="K40" s="11">
        <f>LN(I40/D40)</f>
        <v>-9.5946483168717544E-4</v>
      </c>
      <c r="R40" s="4">
        <v>51.43</v>
      </c>
    </row>
    <row r="41" spans="2:18" x14ac:dyDescent="0.3">
      <c r="B41" s="1">
        <v>46083</v>
      </c>
      <c r="C41" s="4">
        <v>51.3</v>
      </c>
      <c r="D41" s="4">
        <v>122.54</v>
      </c>
      <c r="E41" s="8">
        <f t="shared" si="0"/>
        <v>2.3886939571150099</v>
      </c>
      <c r="F41" s="9">
        <f t="shared" si="1"/>
        <v>2.3894581239984625</v>
      </c>
      <c r="G41" s="9">
        <f t="shared" si="2"/>
        <v>2.3817308270397639</v>
      </c>
      <c r="H41" s="4">
        <f>C41*F41</f>
        <v>122.57920176112111</v>
      </c>
      <c r="I41" s="4">
        <f>C41*G41</f>
        <v>122.18279142713988</v>
      </c>
      <c r="J41" s="11">
        <f>LN(H41/D41)</f>
        <v>3.198587558515779E-4</v>
      </c>
      <c r="K41" s="11">
        <f>LN(I41/D41)</f>
        <v>-2.9192934950011584E-3</v>
      </c>
      <c r="R41" s="4">
        <v>51.3</v>
      </c>
    </row>
    <row r="42" spans="2:18" x14ac:dyDescent="0.3">
      <c r="B42" s="1">
        <v>46084</v>
      </c>
      <c r="C42" s="4">
        <v>51.21</v>
      </c>
      <c r="D42" s="4">
        <v>122.04</v>
      </c>
      <c r="E42" s="8">
        <f t="shared" si="0"/>
        <v>2.3831282952548332</v>
      </c>
      <c r="F42" s="9">
        <f t="shared" si="1"/>
        <v>2.3896343425739008</v>
      </c>
      <c r="G42" s="9">
        <f t="shared" si="2"/>
        <v>2.3817308270397639</v>
      </c>
      <c r="H42" s="4">
        <f>C42*F42</f>
        <v>122.37317468320947</v>
      </c>
      <c r="I42" s="4">
        <f>C42*G42</f>
        <v>121.96843565270632</v>
      </c>
      <c r="J42" s="11">
        <f>LN(H42/D42)</f>
        <v>2.7263251255667592E-3</v>
      </c>
      <c r="K42" s="11">
        <f>LN(I42/D42)</f>
        <v>-5.8657274822623232E-4</v>
      </c>
      <c r="R42" s="4">
        <v>51.21</v>
      </c>
    </row>
    <row r="43" spans="2:18" x14ac:dyDescent="0.3">
      <c r="B43" s="1">
        <v>46085</v>
      </c>
      <c r="C43" s="4">
        <v>51.5</v>
      </c>
      <c r="D43" s="4">
        <v>122.77</v>
      </c>
      <c r="E43" s="8">
        <f t="shared" si="0"/>
        <v>2.3838834951456311</v>
      </c>
      <c r="F43" s="9">
        <f t="shared" si="1"/>
        <v>2.3895682894215993</v>
      </c>
      <c r="G43" s="9">
        <f t="shared" si="2"/>
        <v>2.3817308270397639</v>
      </c>
      <c r="H43" s="4">
        <f>C43*F43</f>
        <v>123.06276690521236</v>
      </c>
      <c r="I43" s="4">
        <f>C43*G43</f>
        <v>122.65913759254784</v>
      </c>
      <c r="J43" s="11">
        <f>LN(H43/D43)</f>
        <v>2.3818390632574307E-3</v>
      </c>
      <c r="K43" s="11">
        <f>LN(I43/D43)</f>
        <v>-9.034168972744637E-4</v>
      </c>
      <c r="R43" s="4">
        <v>51.5</v>
      </c>
    </row>
    <row r="44" spans="2:18" x14ac:dyDescent="0.3">
      <c r="B44" s="1">
        <v>46086</v>
      </c>
      <c r="C44" s="4">
        <v>51.23</v>
      </c>
      <c r="D44" s="4">
        <v>122</v>
      </c>
      <c r="E44" s="8">
        <f t="shared" si="0"/>
        <v>2.3814171383954714</v>
      </c>
      <c r="F44" s="9">
        <f t="shared" si="1"/>
        <v>2.3893748765118694</v>
      </c>
      <c r="G44" s="9">
        <f t="shared" si="2"/>
        <v>2.3817308270397639</v>
      </c>
      <c r="H44" s="4">
        <f>C44*F44</f>
        <v>122.40767492370307</v>
      </c>
      <c r="I44" s="4">
        <f>C44*G44</f>
        <v>122.01607026924709</v>
      </c>
      <c r="J44" s="11">
        <f>LN(H44/D44)</f>
        <v>3.3360270042041397E-3</v>
      </c>
      <c r="K44" s="11">
        <f>LN(I44/D44)</f>
        <v>1.31714843637957E-4</v>
      </c>
      <c r="R44" s="4">
        <v>51.23</v>
      </c>
    </row>
    <row r="45" spans="2:18" x14ac:dyDescent="0.3">
      <c r="B45" s="1">
        <v>46087</v>
      </c>
      <c r="C45" s="4">
        <v>50.57</v>
      </c>
      <c r="D45" s="4">
        <v>120.16</v>
      </c>
      <c r="E45" s="8">
        <f t="shared" si="0"/>
        <v>2.3761123195570497</v>
      </c>
      <c r="F45" s="9">
        <f t="shared" si="1"/>
        <v>2.3890680886616114</v>
      </c>
      <c r="G45" s="9">
        <f t="shared" si="2"/>
        <v>2.3817308270397639</v>
      </c>
      <c r="H45" s="4">
        <f>C45*F45</f>
        <v>120.81517324361769</v>
      </c>
      <c r="I45" s="4">
        <f>C45*G45</f>
        <v>120.44412792340086</v>
      </c>
      <c r="J45" s="11">
        <f>LN(H45/D45)</f>
        <v>5.437695918415082E-3</v>
      </c>
      <c r="K45" s="11">
        <f>LN(I45/D45)</f>
        <v>2.3617887018507516E-3</v>
      </c>
      <c r="R45" s="4">
        <v>50.57</v>
      </c>
    </row>
    <row r="46" spans="2:18" x14ac:dyDescent="0.3">
      <c r="B46" s="1">
        <v>46090</v>
      </c>
      <c r="C46" s="4">
        <v>50.33</v>
      </c>
      <c r="D46" s="4">
        <v>119.61</v>
      </c>
      <c r="E46" s="8">
        <f t="shared" si="0"/>
        <v>2.3765150009934435</v>
      </c>
      <c r="F46" s="9">
        <f t="shared" si="1"/>
        <v>2.3884319883611176</v>
      </c>
      <c r="G46" s="9">
        <f t="shared" si="2"/>
        <v>2.3817308270397639</v>
      </c>
      <c r="H46" s="4">
        <f>C46*F46</f>
        <v>120.20978197421505</v>
      </c>
      <c r="I46" s="4">
        <f>C46*G46</f>
        <v>119.87251252491131</v>
      </c>
      <c r="J46" s="11">
        <f>LN(H46/D46)</f>
        <v>5.0019495455917041E-3</v>
      </c>
      <c r="K46" s="11">
        <f>LN(I46/D46)</f>
        <v>2.1923323526788466E-3</v>
      </c>
      <c r="R46" s="4">
        <v>50.33</v>
      </c>
    </row>
    <row r="47" spans="2:18" x14ac:dyDescent="0.3">
      <c r="B47" s="1">
        <v>46091</v>
      </c>
      <c r="C47" s="4">
        <v>50.06</v>
      </c>
      <c r="D47" s="4">
        <v>119</v>
      </c>
      <c r="E47" s="8">
        <f t="shared" si="0"/>
        <v>2.3771474230922891</v>
      </c>
      <c r="F47" s="9">
        <f t="shared" si="1"/>
        <v>2.3875544688965258</v>
      </c>
      <c r="G47" s="9">
        <f t="shared" si="2"/>
        <v>2.3817308270397639</v>
      </c>
      <c r="H47" s="4">
        <f>C47*F47</f>
        <v>119.52097671296009</v>
      </c>
      <c r="I47" s="4">
        <f>C47*G47</f>
        <v>119.22944520161059</v>
      </c>
      <c r="J47" s="11">
        <f>LN(H47/D47)</f>
        <v>4.3684002021049974E-3</v>
      </c>
      <c r="K47" s="11">
        <f>LN(I47/D47)</f>
        <v>1.9262545178825061E-3</v>
      </c>
      <c r="R47" s="4">
        <v>50.06</v>
      </c>
    </row>
    <row r="48" spans="2:18" x14ac:dyDescent="0.3">
      <c r="B48" s="1">
        <v>46092</v>
      </c>
      <c r="C48" s="4">
        <v>49.64</v>
      </c>
      <c r="D48" s="4">
        <v>118.05</v>
      </c>
      <c r="E48" s="8">
        <f t="shared" si="0"/>
        <v>2.3781224818694602</v>
      </c>
      <c r="F48" s="9">
        <f t="shared" si="1"/>
        <v>2.3872262325791676</v>
      </c>
      <c r="G48" s="9">
        <f t="shared" si="2"/>
        <v>2.3817308270397639</v>
      </c>
      <c r="H48" s="4">
        <f>C48*F48</f>
        <v>118.50191018522987</v>
      </c>
      <c r="I48" s="4">
        <f>C48*G48</f>
        <v>118.22911825425388</v>
      </c>
      <c r="J48" s="11">
        <f>LN(H48/D48)</f>
        <v>3.8208166203241053E-3</v>
      </c>
      <c r="K48" s="11">
        <f>LN(I48/D48)</f>
        <v>1.5161584306682288E-3</v>
      </c>
      <c r="R48" s="4">
        <v>49.64</v>
      </c>
    </row>
    <row r="49" spans="1:21" x14ac:dyDescent="0.3">
      <c r="B49" s="1">
        <v>46093</v>
      </c>
      <c r="C49" s="4">
        <v>48.83</v>
      </c>
      <c r="D49" s="4">
        <v>116.1</v>
      </c>
      <c r="E49" s="8">
        <f t="shared" si="0"/>
        <v>2.3776366987507678</v>
      </c>
      <c r="F49" s="9">
        <f t="shared" si="1"/>
        <v>2.3869764785898955</v>
      </c>
      <c r="G49" s="9">
        <f t="shared" si="2"/>
        <v>2.3817308270397639</v>
      </c>
      <c r="H49" s="4">
        <f>C49*F49</f>
        <v>116.55606144954459</v>
      </c>
      <c r="I49" s="4">
        <f>C49*G49</f>
        <v>116.29991628435167</v>
      </c>
      <c r="J49" s="11">
        <f>LN(H49/D49)</f>
        <v>3.9204827146879489E-3</v>
      </c>
      <c r="K49" s="11">
        <f>LN(I49/D49)</f>
        <v>1.7204509955066865E-3</v>
      </c>
      <c r="R49" s="4">
        <v>48.83</v>
      </c>
    </row>
    <row r="50" spans="1:21" x14ac:dyDescent="0.3">
      <c r="B50" s="1">
        <v>46094</v>
      </c>
      <c r="C50" s="4">
        <v>48.89</v>
      </c>
      <c r="D50" s="4">
        <v>116.08</v>
      </c>
      <c r="E50" s="8">
        <f t="shared" si="0"/>
        <v>2.3743096747801187</v>
      </c>
      <c r="F50" s="9">
        <f t="shared" si="1"/>
        <v>2.3864038988736875</v>
      </c>
      <c r="G50" s="9">
        <f t="shared" si="2"/>
        <v>2.3817308270397639</v>
      </c>
      <c r="H50" s="4">
        <f>C50*F50</f>
        <v>116.67128661593459</v>
      </c>
      <c r="I50" s="4">
        <f>C50*G50</f>
        <v>116.44282013397405</v>
      </c>
      <c r="J50" s="11">
        <f>LN(H50/D50)</f>
        <v>5.0808560205287704E-3</v>
      </c>
      <c r="K50" s="11">
        <f>LN(I50/D50)</f>
        <v>3.1207296404053494E-3</v>
      </c>
      <c r="R50" s="4">
        <v>48.89</v>
      </c>
    </row>
    <row r="51" spans="1:21" x14ac:dyDescent="0.3">
      <c r="B51" s="1">
        <v>46097</v>
      </c>
      <c r="C51" s="4">
        <v>49.3</v>
      </c>
      <c r="D51" s="4">
        <v>117.05</v>
      </c>
      <c r="E51" s="8">
        <f t="shared" si="0"/>
        <v>2.374239350912779</v>
      </c>
      <c r="F51" s="9">
        <f t="shared" si="1"/>
        <v>2.3852417134667614</v>
      </c>
      <c r="G51" s="9">
        <f t="shared" si="2"/>
        <v>2.3817308270397639</v>
      </c>
      <c r="H51" s="4">
        <f>C51*F51</f>
        <v>117.59241647391133</v>
      </c>
      <c r="I51" s="4">
        <f>C51*G51</f>
        <v>117.41932977306035</v>
      </c>
      <c r="J51" s="11">
        <f>LN(H51/D51)</f>
        <v>4.6233536822501923E-3</v>
      </c>
      <c r="K51" s="11">
        <f>LN(I51/D51)</f>
        <v>3.1503487375083203E-3</v>
      </c>
      <c r="R51" s="13">
        <v>49.3</v>
      </c>
      <c r="S51" s="14"/>
    </row>
    <row r="52" spans="1:21" x14ac:dyDescent="0.3">
      <c r="A52" s="6">
        <v>0.57623199999999997</v>
      </c>
      <c r="B52" s="1">
        <v>46098</v>
      </c>
      <c r="C52" s="4">
        <f>A52+49.56</f>
        <v>50.136232</v>
      </c>
      <c r="D52" s="4">
        <v>117.34</v>
      </c>
      <c r="E52" s="8">
        <f t="shared" si="0"/>
        <v>2.3404231893613385</v>
      </c>
      <c r="F52" s="9">
        <f t="shared" si="1"/>
        <v>2.382684328873526</v>
      </c>
      <c r="G52" s="9">
        <f t="shared" si="2"/>
        <v>2.3817308270397639</v>
      </c>
      <c r="H52" s="4">
        <f>C52*F52</f>
        <v>119.4588142951674</v>
      </c>
      <c r="I52" s="4">
        <f>C52*G52</f>
        <v>119.41100930601748</v>
      </c>
      <c r="J52" s="11">
        <f>LN(H52/D52)</f>
        <v>1.7895958218659157E-2</v>
      </c>
      <c r="K52" s="11">
        <f>LN(I52/D52)</f>
        <v>1.7495698453173236E-2</v>
      </c>
      <c r="R52" s="13">
        <v>49.56</v>
      </c>
      <c r="S52" s="14"/>
    </row>
    <row r="53" spans="1:21" x14ac:dyDescent="0.3">
      <c r="A53" s="6">
        <v>0.57623199999999997</v>
      </c>
      <c r="B53" s="1">
        <v>46099</v>
      </c>
      <c r="C53" s="4">
        <f>A52+48.97</f>
        <v>49.546231999999996</v>
      </c>
      <c r="D53" s="4">
        <v>116.34</v>
      </c>
      <c r="E53" s="8">
        <f t="shared" si="0"/>
        <v>2.3481099430527839</v>
      </c>
      <c r="F53" s="9">
        <f t="shared" si="1"/>
        <v>2.3804853384810043</v>
      </c>
      <c r="G53" s="9">
        <f t="shared" si="2"/>
        <v>2.3817308270397639</v>
      </c>
      <c r="H53" s="4">
        <f>C53*F53</f>
        <v>117.94407885297836</v>
      </c>
      <c r="I53" s="4">
        <f>C53*G53</f>
        <v>118.005788118064</v>
      </c>
      <c r="J53" s="11">
        <f>LN(H53/D53)</f>
        <v>1.3693665627543119E-2</v>
      </c>
      <c r="K53" s="11">
        <f>LN(I53/D53)</f>
        <v>1.421673662804681E-2</v>
      </c>
      <c r="R53" s="13">
        <v>48.97</v>
      </c>
      <c r="S53" s="14"/>
    </row>
    <row r="54" spans="1:21" x14ac:dyDescent="0.3">
      <c r="A54" s="6">
        <v>0.57623199999999997</v>
      </c>
      <c r="B54" s="1">
        <v>46100</v>
      </c>
      <c r="C54" s="4">
        <f>A52+48.99</f>
        <v>49.566231999999999</v>
      </c>
      <c r="D54" s="4">
        <v>116.32</v>
      </c>
      <c r="E54" s="8">
        <f t="shared" si="0"/>
        <v>2.3467589789758478</v>
      </c>
      <c r="F54" s="9">
        <f t="shared" si="1"/>
        <v>2.3782067965381377</v>
      </c>
      <c r="G54" s="9">
        <f t="shared" si="2"/>
        <v>2.3817308270397639</v>
      </c>
      <c r="H54" s="4">
        <f>C54*F54</f>
        <v>117.87874982118613</v>
      </c>
      <c r="I54" s="4">
        <f>C54*G54</f>
        <v>118.05342273460481</v>
      </c>
      <c r="J54" s="11">
        <f>LN(H54/D54)</f>
        <v>1.3311538507059531E-2</v>
      </c>
      <c r="K54" s="11">
        <f>LN(I54/D54)</f>
        <v>1.479224326589325E-2</v>
      </c>
      <c r="R54" s="13">
        <v>48.99</v>
      </c>
      <c r="S54" s="14"/>
    </row>
    <row r="55" spans="1:21" s="6" customFormat="1" x14ac:dyDescent="0.3">
      <c r="A55" s="6">
        <v>0.57623199999999997</v>
      </c>
      <c r="B55" s="12">
        <v>46101</v>
      </c>
      <c r="C55" s="13">
        <f>A52+49.08</f>
        <v>49.656231999999996</v>
      </c>
      <c r="D55" s="13">
        <v>116.24</v>
      </c>
      <c r="E55" s="8">
        <f t="shared" si="0"/>
        <v>2.3408944923569717</v>
      </c>
      <c r="F55" s="9">
        <f t="shared" si="1"/>
        <v>2.3758573508378307</v>
      </c>
      <c r="G55" s="9">
        <f t="shared" si="2"/>
        <v>2.3817308270397639</v>
      </c>
      <c r="H55" s="4">
        <f>C55*F55</f>
        <v>117.97612381210871</v>
      </c>
      <c r="I55" s="4">
        <f>C55*G55</f>
        <v>118.26777850903838</v>
      </c>
      <c r="J55" s="11">
        <f>LN(H55/D55)</f>
        <v>1.4825244154671416E-2</v>
      </c>
      <c r="K55" s="11">
        <f>LN(I55/D55)</f>
        <v>1.7294343608546411E-2</v>
      </c>
      <c r="L55" s="4"/>
      <c r="N55" s="4"/>
      <c r="O55" s="4"/>
      <c r="P55" s="4"/>
      <c r="Q55"/>
      <c r="R55" s="13">
        <v>49.08</v>
      </c>
      <c r="S55" s="14"/>
      <c r="T55"/>
      <c r="U55"/>
    </row>
    <row r="56" spans="1:21" x14ac:dyDescent="0.3">
      <c r="A56" s="6" t="s">
        <v>20</v>
      </c>
      <c r="B56" s="12">
        <v>46104</v>
      </c>
      <c r="C56" s="13">
        <v>49.27</v>
      </c>
      <c r="D56" s="13">
        <v>117.27</v>
      </c>
      <c r="E56" s="8">
        <f t="shared" si="0"/>
        <v>2.3801501928151003</v>
      </c>
      <c r="F56" s="9">
        <f t="shared" si="1"/>
        <v>2.3749456805061824</v>
      </c>
      <c r="G56" s="9">
        <f t="shared" si="2"/>
        <v>2.3817308270397639</v>
      </c>
      <c r="H56" s="4">
        <f>C56*F56</f>
        <v>117.01357367853961</v>
      </c>
      <c r="I56" s="4">
        <f>C56*G56</f>
        <v>117.34787784824917</v>
      </c>
      <c r="J56" s="11">
        <f>LN(H56/D56)</f>
        <v>-2.1890260578683878E-3</v>
      </c>
      <c r="K56" s="11">
        <f>LN(I56/D56)</f>
        <v>6.6386970868226888E-4</v>
      </c>
      <c r="R56" s="13">
        <v>49.27</v>
      </c>
      <c r="S56" s="14"/>
    </row>
    <row r="57" spans="1:21" s="6" customFormat="1" x14ac:dyDescent="0.3">
      <c r="B57" s="12">
        <v>46105</v>
      </c>
      <c r="C57" s="13">
        <v>49.28</v>
      </c>
      <c r="D57" s="13">
        <v>117.32</v>
      </c>
      <c r="E57" s="8">
        <f t="shared" si="0"/>
        <v>2.3806818181818179</v>
      </c>
      <c r="F57" s="9">
        <f t="shared" si="1"/>
        <v>2.3739817329688235</v>
      </c>
      <c r="G57" s="9">
        <f t="shared" si="2"/>
        <v>2.3817308270397639</v>
      </c>
      <c r="H57" s="4">
        <f>C57*F57</f>
        <v>116.98981980070363</v>
      </c>
      <c r="I57" s="4">
        <f>C57*G57</f>
        <v>117.37169515651956</v>
      </c>
      <c r="J57" s="11">
        <f>LN(H57/D57)</f>
        <v>-2.8183233475019193E-3</v>
      </c>
      <c r="K57" s="11">
        <f>LN(I57/D57)</f>
        <v>4.4053674179767564E-4</v>
      </c>
      <c r="L57" s="4"/>
      <c r="N57" s="4"/>
      <c r="O57" s="4"/>
      <c r="P57" s="4"/>
      <c r="Q57"/>
      <c r="R57" s="13">
        <v>49.28</v>
      </c>
      <c r="S57" s="14"/>
      <c r="T57"/>
      <c r="U57"/>
    </row>
    <row r="58" spans="1:21" x14ac:dyDescent="0.3">
      <c r="B58" s="1">
        <v>46106</v>
      </c>
      <c r="C58" s="4">
        <v>49.34</v>
      </c>
      <c r="D58" s="4">
        <v>117.41</v>
      </c>
      <c r="E58" s="8">
        <f t="shared" si="0"/>
        <v>2.379610863396838</v>
      </c>
      <c r="F58" s="9">
        <f t="shared" si="1"/>
        <v>2.3732688117083591</v>
      </c>
      <c r="G58" s="9">
        <f t="shared" si="2"/>
        <v>2.3817308270397639</v>
      </c>
      <c r="H58" s="4">
        <f>C58*F58</f>
        <v>117.09708316969045</v>
      </c>
      <c r="I58" s="4">
        <f>C58*G58</f>
        <v>117.51459900614196</v>
      </c>
      <c r="J58" s="11">
        <f>LN(H58/D58)</f>
        <v>-2.668721232621735E-3</v>
      </c>
      <c r="K58" s="11">
        <f>LN(I58/D58)</f>
        <v>8.9049008487394508E-4</v>
      </c>
      <c r="R58" s="13">
        <v>49.34</v>
      </c>
      <c r="S58" s="14"/>
    </row>
    <row r="59" spans="1:21" x14ac:dyDescent="0.3">
      <c r="B59" s="1">
        <v>46107</v>
      </c>
      <c r="C59" s="4">
        <v>49.05</v>
      </c>
      <c r="D59" s="4">
        <v>116.71</v>
      </c>
      <c r="E59" s="8">
        <f t="shared" si="0"/>
        <v>2.3794087665647297</v>
      </c>
      <c r="F59" s="9">
        <f t="shared" si="1"/>
        <v>2.372563059560405</v>
      </c>
      <c r="G59" s="9">
        <f t="shared" si="2"/>
        <v>2.3817308270397639</v>
      </c>
      <c r="H59" s="4">
        <f>C59*F59</f>
        <v>116.37421807143787</v>
      </c>
      <c r="I59" s="4">
        <f>C59*G59</f>
        <v>116.82389706630042</v>
      </c>
      <c r="J59" s="11">
        <f>LN(H59/D59)</f>
        <v>-2.8812088920283771E-3</v>
      </c>
      <c r="K59" s="11">
        <f>LN(I59/D59)</f>
        <v>9.7542221289351444E-4</v>
      </c>
      <c r="R59" s="13">
        <v>49.05</v>
      </c>
      <c r="S59" s="14"/>
    </row>
    <row r="60" spans="1:21" x14ac:dyDescent="0.3">
      <c r="B60" s="1">
        <v>46108</v>
      </c>
      <c r="C60" s="4">
        <v>47.81</v>
      </c>
      <c r="D60" s="4">
        <v>113.98</v>
      </c>
      <c r="E60" s="8">
        <f t="shared" si="0"/>
        <v>2.3840200794812803</v>
      </c>
      <c r="F60" s="9">
        <f t="shared" si="1"/>
        <v>2.3725632080026786</v>
      </c>
      <c r="G60" s="9">
        <f t="shared" si="2"/>
        <v>2.3817308270397639</v>
      </c>
      <c r="H60" s="4">
        <f>C60*F60</f>
        <v>113.43224697460806</v>
      </c>
      <c r="I60" s="4">
        <f>C60*G60</f>
        <v>113.87055084077112</v>
      </c>
      <c r="J60" s="11">
        <f>LN(H60/D60)</f>
        <v>-4.8172786817737862E-3</v>
      </c>
      <c r="K60" s="11">
        <f>LN(I60/D60)</f>
        <v>-9.6071014305789825E-4</v>
      </c>
      <c r="R60" s="13">
        <v>47.81</v>
      </c>
      <c r="S60" s="14"/>
    </row>
    <row r="61" spans="1:21" x14ac:dyDescent="0.3">
      <c r="B61" s="1">
        <v>46111</v>
      </c>
      <c r="C61" s="4">
        <v>48.36</v>
      </c>
      <c r="D61" s="4">
        <v>115.05</v>
      </c>
      <c r="E61" s="8">
        <f t="shared" si="0"/>
        <v>2.379032258064516</v>
      </c>
      <c r="F61" s="9">
        <f t="shared" si="1"/>
        <v>2.3720801230501536</v>
      </c>
      <c r="G61" s="9">
        <f t="shared" si="2"/>
        <v>2.3817308270397639</v>
      </c>
      <c r="H61" s="4">
        <f>C61*F61</f>
        <v>114.71379475070543</v>
      </c>
      <c r="I61" s="4">
        <f>C61*G61</f>
        <v>115.18050279564298</v>
      </c>
      <c r="J61" s="11">
        <f>LN(H61/D61)</f>
        <v>-2.9265314808560395E-3</v>
      </c>
      <c r="K61" s="11">
        <f>LN(I61/D61)</f>
        <v>1.1336708910007567E-3</v>
      </c>
      <c r="R61" s="13">
        <v>48.36</v>
      </c>
      <c r="S61" s="14"/>
    </row>
    <row r="62" spans="1:21" x14ac:dyDescent="0.3">
      <c r="B62" s="1">
        <v>46112</v>
      </c>
      <c r="C62" s="4">
        <v>49.37</v>
      </c>
      <c r="D62" s="4">
        <v>117.66</v>
      </c>
      <c r="E62" s="8">
        <f t="shared" si="0"/>
        <v>2.3832286813854568</v>
      </c>
      <c r="F62" s="9">
        <f t="shared" si="1"/>
        <v>2.3720851423566844</v>
      </c>
      <c r="G62" s="9">
        <f t="shared" si="2"/>
        <v>2.3817308270397639</v>
      </c>
      <c r="H62" s="4">
        <f>C62*F62</f>
        <v>117.1098434781495</v>
      </c>
      <c r="I62" s="4">
        <f>C62*G62</f>
        <v>117.58605093095314</v>
      </c>
      <c r="J62" s="11">
        <f>LN(H62/D62)</f>
        <v>-4.6867819201779088E-3</v>
      </c>
      <c r="K62" s="11">
        <f>LN(I62/D62)</f>
        <v>-6.2869553975480484E-4</v>
      </c>
      <c r="R62" s="13">
        <v>49.37</v>
      </c>
      <c r="S62" s="14"/>
    </row>
    <row r="63" spans="1:21" x14ac:dyDescent="0.3">
      <c r="B63" s="1">
        <v>46113</v>
      </c>
      <c r="C63" s="4">
        <v>49.44</v>
      </c>
      <c r="D63" s="4">
        <v>118.06</v>
      </c>
      <c r="E63" s="8">
        <f t="shared" si="0"/>
        <v>2.3879449838187705</v>
      </c>
      <c r="F63" s="9">
        <f t="shared" si="1"/>
        <v>2.3722882167903419</v>
      </c>
      <c r="G63" s="9">
        <f t="shared" si="2"/>
        <v>2.3817308270397639</v>
      </c>
      <c r="H63" s="4">
        <f>C63*F63</f>
        <v>117.28592943811449</v>
      </c>
      <c r="I63" s="4">
        <f>C63*G63</f>
        <v>117.75277208884592</v>
      </c>
      <c r="J63" s="11">
        <f>LN(H63/D63)</f>
        <v>-6.5781749873893465E-3</v>
      </c>
      <c r="K63" s="11">
        <f>LN(I63/D63)</f>
        <v>-2.6056950373244542E-3</v>
      </c>
      <c r="R63" s="13">
        <v>49.44</v>
      </c>
      <c r="S63" s="14"/>
    </row>
    <row r="64" spans="1:21" x14ac:dyDescent="0.3">
      <c r="B64" s="1">
        <v>46114</v>
      </c>
      <c r="C64" s="4">
        <v>49.53</v>
      </c>
      <c r="D64" s="4">
        <v>118.4</v>
      </c>
      <c r="E64" s="8">
        <f t="shared" si="0"/>
        <v>2.390470421966485</v>
      </c>
      <c r="F64" s="9">
        <f t="shared" si="1"/>
        <v>2.3727408809688919</v>
      </c>
      <c r="G64" s="9">
        <f t="shared" si="2"/>
        <v>2.3817308270397639</v>
      </c>
      <c r="H64" s="4">
        <f>C64*F64</f>
        <v>117.52185583438921</v>
      </c>
      <c r="I64" s="4">
        <f>C64*G64</f>
        <v>117.96712786327952</v>
      </c>
      <c r="J64" s="11">
        <f>LN(H64/D64)</f>
        <v>-7.4443990616828827E-3</v>
      </c>
      <c r="K64" s="11">
        <f>LN(I64/D64)</f>
        <v>-3.6627142239752958E-3</v>
      </c>
      <c r="R64" s="13">
        <v>49.53</v>
      </c>
      <c r="S64" s="14"/>
    </row>
    <row r="65" spans="2:19" x14ac:dyDescent="0.3">
      <c r="B65" s="1">
        <v>46118</v>
      </c>
      <c r="C65" s="4">
        <v>49.88</v>
      </c>
      <c r="D65" s="4">
        <v>119.14</v>
      </c>
      <c r="E65" s="8">
        <f t="shared" si="0"/>
        <v>2.3885324779470727</v>
      </c>
      <c r="F65" s="9">
        <f t="shared" si="1"/>
        <v>2.3733618888883932</v>
      </c>
      <c r="G65" s="9">
        <f t="shared" si="2"/>
        <v>2.3817308270397639</v>
      </c>
      <c r="H65" s="4">
        <f>C65*F65</f>
        <v>118.38329101775305</v>
      </c>
      <c r="I65" s="4">
        <f>C65*G65</f>
        <v>118.80073365274343</v>
      </c>
      <c r="J65" s="11">
        <f>LN(H65/D65)</f>
        <v>-6.3716828703158004E-3</v>
      </c>
      <c r="K65" s="11">
        <f>LN(I65/D65)</f>
        <v>-2.8516897629219601E-3</v>
      </c>
      <c r="R65" s="13">
        <v>49.88</v>
      </c>
      <c r="S65" s="14"/>
    </row>
    <row r="66" spans="2:19" x14ac:dyDescent="0.3">
      <c r="B66" s="1">
        <v>46119</v>
      </c>
      <c r="C66" s="4">
        <v>49.88</v>
      </c>
      <c r="D66" s="4">
        <v>119.27</v>
      </c>
      <c r="E66" s="8">
        <f t="shared" si="0"/>
        <v>2.3911387329591016</v>
      </c>
      <c r="F66" s="9">
        <f t="shared" si="1"/>
        <v>2.3740930754866763</v>
      </c>
      <c r="G66" s="9">
        <f t="shared" si="2"/>
        <v>2.3817308270397639</v>
      </c>
      <c r="H66" s="4">
        <f>C66*F66</f>
        <v>118.41976260527542</v>
      </c>
      <c r="I66" s="4">
        <f>C66*G66</f>
        <v>118.80073365274343</v>
      </c>
      <c r="J66" s="11">
        <f>LN(H66/D66)</f>
        <v>-7.1542081733394361E-3</v>
      </c>
      <c r="K66" s="11">
        <f>LN(I66/D66)</f>
        <v>-3.9422481529582326E-3</v>
      </c>
      <c r="R66" s="13">
        <v>49.88</v>
      </c>
      <c r="S66" s="14"/>
    </row>
    <row r="67" spans="2:19" x14ac:dyDescent="0.3">
      <c r="B67" s="1">
        <v>46120</v>
      </c>
      <c r="C67" s="4">
        <v>51.2</v>
      </c>
      <c r="D67" s="4">
        <v>122.4</v>
      </c>
      <c r="E67" s="8">
        <f t="shared" ref="E67:E130" si="3">D67/C67</f>
        <v>2.390625</v>
      </c>
      <c r="F67" s="9">
        <f t="shared" si="1"/>
        <v>2.3747669543320615</v>
      </c>
      <c r="G67" s="9">
        <f t="shared" si="2"/>
        <v>2.3817308270397639</v>
      </c>
      <c r="H67" s="4">
        <f>C67*F67</f>
        <v>121.58806806180155</v>
      </c>
      <c r="I67" s="4">
        <f>C67*G67</f>
        <v>121.94461834443592</v>
      </c>
      <c r="J67" s="11">
        <f>LN(H67/D67)</f>
        <v>-6.6555298524456014E-3</v>
      </c>
      <c r="K67" s="11">
        <f>LN(I67/D67)</f>
        <v>-3.7273764069798709E-3</v>
      </c>
      <c r="R67" s="13">
        <v>51.2</v>
      </c>
      <c r="S67" s="14"/>
    </row>
    <row r="68" spans="2:19" x14ac:dyDescent="0.3">
      <c r="B68" s="1">
        <v>46121</v>
      </c>
      <c r="C68" s="4">
        <v>51.33</v>
      </c>
      <c r="D68" s="4">
        <v>122.82</v>
      </c>
      <c r="E68" s="8">
        <f t="shared" si="3"/>
        <v>2.3927527761542957</v>
      </c>
      <c r="F68" s="9">
        <f t="shared" si="1"/>
        <v>2.3754984690463035</v>
      </c>
      <c r="G68" s="9">
        <f t="shared" si="2"/>
        <v>2.3817308270397639</v>
      </c>
      <c r="H68" s="4">
        <f>C68*F68</f>
        <v>121.93433641614675</v>
      </c>
      <c r="I68" s="4">
        <f>C68*G68</f>
        <v>122.25424335195108</v>
      </c>
      <c r="J68" s="11">
        <f>LN(H68/D68)</f>
        <v>-7.237195160813629E-3</v>
      </c>
      <c r="K68" s="11">
        <f>LN(I68/D68)</f>
        <v>-4.6170307032577362E-3</v>
      </c>
      <c r="R68" s="13">
        <v>51.33</v>
      </c>
      <c r="S68" s="14"/>
    </row>
    <row r="69" spans="2:19" x14ac:dyDescent="0.3">
      <c r="B69" s="1">
        <v>46122</v>
      </c>
      <c r="C69" s="4">
        <v>50.77</v>
      </c>
      <c r="D69" s="4">
        <v>121.51</v>
      </c>
      <c r="E69" s="8">
        <f t="shared" si="3"/>
        <v>2.3933425251132556</v>
      </c>
      <c r="F69" s="9">
        <f t="shared" si="1"/>
        <v>2.3762837603644278</v>
      </c>
      <c r="G69" s="9">
        <f t="shared" si="2"/>
        <v>2.3817308270397639</v>
      </c>
      <c r="H69" s="4">
        <f>C69*F69</f>
        <v>120.64392651370201</v>
      </c>
      <c r="I69" s="4">
        <f>C69*G69</f>
        <v>120.92047408880882</v>
      </c>
      <c r="J69" s="11">
        <f>LN(H69/D69)</f>
        <v>-7.1531128289400612E-3</v>
      </c>
      <c r="K69" s="11">
        <f>LN(I69/D69)</f>
        <v>-4.8634733354337824E-3</v>
      </c>
      <c r="R69" s="13">
        <v>50.77</v>
      </c>
      <c r="S69" s="14"/>
    </row>
    <row r="70" spans="2:19" x14ac:dyDescent="0.3">
      <c r="B70" s="1">
        <v>46125</v>
      </c>
      <c r="C70" s="4">
        <v>51.66</v>
      </c>
      <c r="D70" s="4">
        <v>123.52</v>
      </c>
      <c r="E70" s="8">
        <f t="shared" si="3"/>
        <v>2.3910181958962449</v>
      </c>
      <c r="F70" s="9">
        <f t="shared" si="1"/>
        <v>2.3771191864202339</v>
      </c>
      <c r="G70" s="9">
        <f t="shared" si="2"/>
        <v>2.3817308270397639</v>
      </c>
      <c r="H70" s="4">
        <f>C70*F70</f>
        <v>122.80197717046927</v>
      </c>
      <c r="I70" s="4">
        <f>C70*G70</f>
        <v>123.0402145248742</v>
      </c>
      <c r="J70" s="11">
        <f>LN(H70/D70)</f>
        <v>-5.8299699563189077E-3</v>
      </c>
      <c r="K70" s="11">
        <f>LN(I70/D70)</f>
        <v>-3.8918369829879533E-3</v>
      </c>
      <c r="R70" s="13">
        <v>51.66</v>
      </c>
      <c r="S70" s="14"/>
    </row>
    <row r="71" spans="2:19" x14ac:dyDescent="0.3">
      <c r="B71" s="1">
        <v>46126</v>
      </c>
      <c r="C71" s="4">
        <v>51.78</v>
      </c>
      <c r="D71" s="4">
        <v>123.84</v>
      </c>
      <c r="E71" s="8">
        <f t="shared" si="3"/>
        <v>2.3916570104287369</v>
      </c>
      <c r="F71" s="9">
        <f t="shared" si="1"/>
        <v>2.3779900693960321</v>
      </c>
      <c r="G71" s="9">
        <f t="shared" si="2"/>
        <v>2.3817308270397639</v>
      </c>
      <c r="H71" s="4">
        <f>C71*F71</f>
        <v>123.13232579332654</v>
      </c>
      <c r="I71" s="4">
        <f>C71*G71</f>
        <v>123.32602222411897</v>
      </c>
      <c r="J71" s="11">
        <f>LN(H71/D71)</f>
        <v>-5.7308132901011059E-3</v>
      </c>
      <c r="K71" s="11">
        <f>LN(I71/D71)</f>
        <v>-4.1589738922418445E-3</v>
      </c>
      <c r="R71" s="13">
        <v>51.78</v>
      </c>
      <c r="S71" s="14"/>
    </row>
    <row r="72" spans="2:19" x14ac:dyDescent="0.3">
      <c r="B72" s="1">
        <v>46127</v>
      </c>
      <c r="C72" s="4">
        <v>52.17</v>
      </c>
      <c r="D72" s="4">
        <v>124.64</v>
      </c>
      <c r="E72" s="8">
        <f t="shared" si="3"/>
        <v>2.3891125167720912</v>
      </c>
      <c r="F72" s="9">
        <f t="shared" si="1"/>
        <v>2.3804245357665699</v>
      </c>
      <c r="G72" s="9">
        <f t="shared" si="2"/>
        <v>2.3817308270397639</v>
      </c>
      <c r="H72" s="4">
        <f>C72*F72</f>
        <v>124.18674803094196</v>
      </c>
      <c r="I72" s="4">
        <f>C72*G72</f>
        <v>124.25489724666448</v>
      </c>
      <c r="J72" s="11">
        <f>LN(H72/D72)</f>
        <v>-3.6431169394186154E-3</v>
      </c>
      <c r="K72" s="11">
        <f>LN(I72/D72)</f>
        <v>-3.0945034623530965E-3</v>
      </c>
      <c r="R72" s="13">
        <v>52.17</v>
      </c>
      <c r="S72" s="14"/>
    </row>
    <row r="73" spans="2:19" x14ac:dyDescent="0.3">
      <c r="B73" s="1">
        <v>46128</v>
      </c>
      <c r="C73" s="4">
        <v>52.03</v>
      </c>
      <c r="D73" s="4">
        <v>124.28</v>
      </c>
      <c r="E73" s="8">
        <f t="shared" si="3"/>
        <v>2.3886219488756488</v>
      </c>
      <c r="F73" s="9">
        <f t="shared" si="1"/>
        <v>2.3824501360577131</v>
      </c>
      <c r="G73" s="9">
        <f t="shared" si="2"/>
        <v>2.3817308270397639</v>
      </c>
      <c r="H73" s="4">
        <f>C73*F73</f>
        <v>123.95888057908282</v>
      </c>
      <c r="I73" s="4">
        <f>C73*G73</f>
        <v>123.92145493087892</v>
      </c>
      <c r="J73" s="11">
        <f>LN(H73/D73)</f>
        <v>-2.587182147181055E-3</v>
      </c>
      <c r="K73" s="11">
        <f>LN(I73/D73)</f>
        <v>-2.8891475968507592E-3</v>
      </c>
      <c r="R73" s="13">
        <v>52.03</v>
      </c>
      <c r="S73" s="14"/>
    </row>
    <row r="74" spans="2:19" x14ac:dyDescent="0.3">
      <c r="B74" s="1">
        <v>46129</v>
      </c>
      <c r="C74" s="4">
        <v>52.43</v>
      </c>
      <c r="D74" s="4">
        <v>125.34</v>
      </c>
      <c r="E74" s="8">
        <f t="shared" si="3"/>
        <v>2.3906160595079156</v>
      </c>
      <c r="F74" s="9">
        <f t="shared" si="1"/>
        <v>2.3846429900843167</v>
      </c>
      <c r="G74" s="9">
        <f t="shared" si="2"/>
        <v>2.3817308270397639</v>
      </c>
      <c r="H74" s="4">
        <f>C74*F74</f>
        <v>125.02683197012072</v>
      </c>
      <c r="I74" s="4">
        <f>C74*G74</f>
        <v>124.87414726169482</v>
      </c>
      <c r="J74" s="11">
        <f>LN(H74/D74)</f>
        <v>-2.501674768514062E-3</v>
      </c>
      <c r="K74" s="11">
        <f>LN(I74/D74)</f>
        <v>-3.72363658630447E-3</v>
      </c>
      <c r="R74" s="13">
        <v>52.43</v>
      </c>
      <c r="S74" s="14"/>
    </row>
    <row r="75" spans="2:19" x14ac:dyDescent="0.3">
      <c r="B75" s="1">
        <v>46132</v>
      </c>
      <c r="C75" s="4">
        <v>52.63</v>
      </c>
      <c r="D75" s="4">
        <v>125.87</v>
      </c>
      <c r="E75" s="8">
        <f t="shared" si="3"/>
        <v>2.3916017480524414</v>
      </c>
      <c r="F75" s="9">
        <f t="shared" si="1"/>
        <v>2.38717835286909</v>
      </c>
      <c r="G75" s="9">
        <f t="shared" si="2"/>
        <v>2.3817308270397639</v>
      </c>
      <c r="H75" s="4">
        <f>C75*F75</f>
        <v>125.63719671150021</v>
      </c>
      <c r="I75" s="4">
        <f>C75*G75</f>
        <v>125.35049342710278</v>
      </c>
      <c r="J75" s="11">
        <f>LN(H75/D75)</f>
        <v>-1.8512659520847218E-3</v>
      </c>
      <c r="K75" s="11">
        <f>LN(I75/D75)</f>
        <v>-4.1358673119423778E-3</v>
      </c>
      <c r="R75" s="13">
        <v>52.63</v>
      </c>
      <c r="S75" s="14"/>
    </row>
    <row r="76" spans="2:19" x14ac:dyDescent="0.3">
      <c r="B76" s="1">
        <v>46133</v>
      </c>
      <c r="C76" s="4">
        <v>52.3</v>
      </c>
      <c r="D76" s="4">
        <v>125.29</v>
      </c>
      <c r="E76" s="8">
        <f t="shared" si="3"/>
        <v>2.3956022944550672</v>
      </c>
      <c r="F76" s="9">
        <f t="shared" si="1"/>
        <v>2.3879509579510882</v>
      </c>
      <c r="G76" s="9">
        <f t="shared" si="2"/>
        <v>2.3817308270397639</v>
      </c>
      <c r="H76" s="4">
        <f>C76*F76</f>
        <v>124.88983510084191</v>
      </c>
      <c r="I76" s="4">
        <f>C76*G76</f>
        <v>124.56452225417965</v>
      </c>
      <c r="J76" s="11">
        <f>LN(H76/D76)</f>
        <v>-3.199020738516559E-3</v>
      </c>
      <c r="K76" s="11">
        <f>LN(I76/D76)</f>
        <v>-5.8072175608005509E-3</v>
      </c>
      <c r="R76" s="13">
        <v>52.3</v>
      </c>
      <c r="S76" s="14"/>
    </row>
    <row r="77" spans="2:19" x14ac:dyDescent="0.3">
      <c r="B77" s="1">
        <v>46134</v>
      </c>
      <c r="C77" s="4">
        <v>52.21</v>
      </c>
      <c r="D77" s="4">
        <v>124.91</v>
      </c>
      <c r="E77" s="8">
        <f t="shared" si="3"/>
        <v>2.392453552959203</v>
      </c>
      <c r="F77" s="9">
        <f t="shared" si="1"/>
        <v>2.3885395446899578</v>
      </c>
      <c r="G77" s="9">
        <f t="shared" si="2"/>
        <v>2.3817308270397639</v>
      </c>
      <c r="H77" s="4">
        <f>C77*F77</f>
        <v>124.70564962826269</v>
      </c>
      <c r="I77" s="4">
        <f>C77*G77</f>
        <v>124.35016647974608</v>
      </c>
      <c r="J77" s="11">
        <f>LN(H77/D77)</f>
        <v>-1.6373205581767323E-3</v>
      </c>
      <c r="K77" s="11">
        <f>LN(I77/D77)</f>
        <v>-4.4919689295731587E-3</v>
      </c>
      <c r="R77" s="13">
        <v>52.21</v>
      </c>
      <c r="S77" s="14"/>
    </row>
    <row r="78" spans="2:19" x14ac:dyDescent="0.3">
      <c r="B78" s="1">
        <v>46135</v>
      </c>
      <c r="C78" s="4">
        <v>51.8</v>
      </c>
      <c r="D78" s="4">
        <v>124.19</v>
      </c>
      <c r="E78" s="8">
        <f t="shared" si="3"/>
        <v>2.3974903474903475</v>
      </c>
      <c r="F78" s="9">
        <f t="shared" si="1"/>
        <v>2.389433518894633</v>
      </c>
      <c r="G78" s="9">
        <f t="shared" si="2"/>
        <v>2.3817308270397639</v>
      </c>
      <c r="H78" s="4">
        <f>C78*F78</f>
        <v>123.77265627874198</v>
      </c>
      <c r="I78" s="4">
        <f>C78*G78</f>
        <v>123.37365684065976</v>
      </c>
      <c r="J78" s="11">
        <f>LN(H78/D78)</f>
        <v>-3.3661852280906556E-3</v>
      </c>
      <c r="K78" s="11">
        <f>LN(I78/D78)</f>
        <v>-6.5950400687201805E-3</v>
      </c>
      <c r="R78" s="13">
        <v>51.8</v>
      </c>
      <c r="S78" s="14"/>
    </row>
    <row r="79" spans="2:19" x14ac:dyDescent="0.3">
      <c r="B79" s="1">
        <v>46136</v>
      </c>
      <c r="C79" s="4">
        <v>51.42</v>
      </c>
      <c r="D79" s="4">
        <v>123.31</v>
      </c>
      <c r="E79" s="8">
        <f t="shared" si="3"/>
        <v>2.3980941267989109</v>
      </c>
      <c r="F79" s="9">
        <f t="shared" si="1"/>
        <v>2.3903677869063422</v>
      </c>
      <c r="G79" s="9">
        <f t="shared" si="2"/>
        <v>2.3817308270397639</v>
      </c>
      <c r="H79" s="4">
        <f>C79*F79</f>
        <v>122.91271160272412</v>
      </c>
      <c r="I79" s="4">
        <f>C79*G79</f>
        <v>122.46859912638466</v>
      </c>
      <c r="J79" s="11">
        <f>LN(H79/D79)</f>
        <v>-3.2270682056002556E-3</v>
      </c>
      <c r="K79" s="11">
        <f>LN(I79/D79)</f>
        <v>-6.846846418912019E-3</v>
      </c>
      <c r="R79" s="13">
        <v>51.42</v>
      </c>
      <c r="S79" s="14"/>
    </row>
    <row r="80" spans="2:19" x14ac:dyDescent="0.3">
      <c r="B80" s="1">
        <v>46139</v>
      </c>
      <c r="C80" s="4">
        <v>51.81</v>
      </c>
      <c r="D80" s="4">
        <v>124.11</v>
      </c>
      <c r="E80" s="8">
        <f t="shared" si="3"/>
        <v>2.3954834973943253</v>
      </c>
      <c r="F80" s="9">
        <f t="shared" si="1"/>
        <v>2.3909409578019938</v>
      </c>
      <c r="G80" s="9">
        <f t="shared" si="2"/>
        <v>2.3817308270397639</v>
      </c>
      <c r="H80" s="4">
        <f>C80*F80</f>
        <v>123.8746510237213</v>
      </c>
      <c r="I80" s="4">
        <f>C80*G80</f>
        <v>123.39747414893017</v>
      </c>
      <c r="J80" s="11">
        <f>LN(H80/D80)</f>
        <v>-1.8980936599580184E-3</v>
      </c>
      <c r="K80" s="11">
        <f>LN(I80/D80)</f>
        <v>-5.7576266889491981E-3</v>
      </c>
      <c r="R80" s="13">
        <v>51.81</v>
      </c>
      <c r="S80" s="14"/>
    </row>
    <row r="81" spans="2:19" x14ac:dyDescent="0.3">
      <c r="B81" s="1">
        <v>46140</v>
      </c>
      <c r="C81" s="4">
        <v>51.85</v>
      </c>
      <c r="D81" s="4">
        <v>124.34</v>
      </c>
      <c r="E81" s="8">
        <f t="shared" si="3"/>
        <v>2.3980713596914174</v>
      </c>
      <c r="F81" s="9">
        <f t="shared" si="1"/>
        <v>2.3918929128833391</v>
      </c>
      <c r="G81" s="9">
        <f t="shared" si="2"/>
        <v>2.3817308270397639</v>
      </c>
      <c r="H81" s="4">
        <f>C81*F81</f>
        <v>124.01964753300113</v>
      </c>
      <c r="I81" s="4">
        <f>C81*G81</f>
        <v>123.49274338201177</v>
      </c>
      <c r="J81" s="11">
        <f>LN(H81/D81)</f>
        <v>-2.5797479409055148E-3</v>
      </c>
      <c r="K81" s="11">
        <f>LN(I81/D81)</f>
        <v>-6.8373525398714944E-3</v>
      </c>
      <c r="R81" s="13">
        <v>51.85</v>
      </c>
      <c r="S81" s="14"/>
    </row>
    <row r="82" spans="2:19" x14ac:dyDescent="0.3">
      <c r="B82" s="1">
        <v>46141</v>
      </c>
      <c r="C82" s="4">
        <v>51.92</v>
      </c>
      <c r="D82" s="4">
        <v>123.17</v>
      </c>
      <c r="E82" s="8">
        <f t="shared" si="3"/>
        <v>2.3723035439137132</v>
      </c>
      <c r="F82" s="9">
        <f t="shared" si="1"/>
        <v>2.3913466560097523</v>
      </c>
      <c r="G82" s="9">
        <f t="shared" si="2"/>
        <v>2.3817308270397639</v>
      </c>
      <c r="H82" s="4">
        <f>C82*F82</f>
        <v>124.15871838002634</v>
      </c>
      <c r="I82" s="4">
        <f>C82*G82</f>
        <v>123.65946453990455</v>
      </c>
      <c r="J82" s="11">
        <f>LN(H82/D82)</f>
        <v>7.9952191024212724E-3</v>
      </c>
      <c r="K82" s="11">
        <f>LN(I82/D82)</f>
        <v>3.9660190682252357E-3</v>
      </c>
      <c r="R82" s="13">
        <v>51.92</v>
      </c>
      <c r="S82" s="14"/>
    </row>
    <row r="83" spans="2:19" x14ac:dyDescent="0.3">
      <c r="B83" s="1">
        <v>46142</v>
      </c>
      <c r="C83" s="4">
        <v>52.13</v>
      </c>
      <c r="D83" s="4">
        <v>124.34</v>
      </c>
      <c r="E83" s="8">
        <f t="shared" si="3"/>
        <v>2.3851908689813928</v>
      </c>
      <c r="F83" s="9">
        <f t="shared" si="1"/>
        <v>2.3912089502678828</v>
      </c>
      <c r="G83" s="9">
        <f t="shared" si="2"/>
        <v>2.3817308270397639</v>
      </c>
      <c r="H83" s="4">
        <f>C83*F83</f>
        <v>124.65372257746473</v>
      </c>
      <c r="I83" s="4">
        <f>C83*G83</f>
        <v>124.1596280135829</v>
      </c>
      <c r="J83" s="11">
        <f>LN(H83/D83)</f>
        <v>2.5199249220366755E-3</v>
      </c>
      <c r="K83" s="11">
        <f>LN(I83/D83)</f>
        <v>-1.4516884353931708E-3</v>
      </c>
      <c r="R83" s="13">
        <v>52.13</v>
      </c>
      <c r="S83" s="14"/>
    </row>
    <row r="84" spans="2:19" x14ac:dyDescent="0.3">
      <c r="B84" s="1">
        <v>46143</v>
      </c>
      <c r="C84" s="4">
        <v>51.92</v>
      </c>
      <c r="D84" s="4">
        <v>123.88</v>
      </c>
      <c r="E84" s="8">
        <f t="shared" si="3"/>
        <v>2.3859784283513097</v>
      </c>
      <c r="F84" s="9">
        <f t="shared" si="1"/>
        <v>2.3909843505871242</v>
      </c>
      <c r="G84" s="9">
        <f t="shared" si="2"/>
        <v>2.3817308270397639</v>
      </c>
      <c r="H84" s="4">
        <f>C84*F84</f>
        <v>124.13990748248349</v>
      </c>
      <c r="I84" s="4">
        <f>C84*G84</f>
        <v>123.65946453990455</v>
      </c>
      <c r="J84" s="11">
        <f>LN(H84/D84)</f>
        <v>2.0958606126539295E-3</v>
      </c>
      <c r="K84" s="11">
        <f>LN(I84/D84)</f>
        <v>-1.7818210833837474E-3</v>
      </c>
      <c r="R84" s="13">
        <v>51.92</v>
      </c>
      <c r="S84" s="14"/>
    </row>
    <row r="85" spans="2:19" x14ac:dyDescent="0.3">
      <c r="B85" s="1">
        <v>46146</v>
      </c>
      <c r="C85" s="4">
        <v>51.58</v>
      </c>
      <c r="D85" s="4">
        <v>122.86</v>
      </c>
      <c r="E85" s="8">
        <f t="shared" si="3"/>
        <v>2.3819309810003877</v>
      </c>
      <c r="F85" s="9">
        <f t="shared" ref="F85:F148" si="4">AVERAGE(E66:E85)</f>
        <v>2.3906542757397902</v>
      </c>
      <c r="G85" s="9">
        <f t="shared" si="2"/>
        <v>2.3817308270397639</v>
      </c>
      <c r="H85" s="4">
        <f>C85*F85</f>
        <v>123.30994754265838</v>
      </c>
      <c r="I85" s="4">
        <f>C85*G85</f>
        <v>122.84967605871101</v>
      </c>
      <c r="J85" s="11">
        <f>LN(H85/D85)</f>
        <v>3.6555887362872655E-3</v>
      </c>
      <c r="K85" s="11">
        <f>LN(I85/D85)</f>
        <v>-8.4033656799114851E-5</v>
      </c>
      <c r="R85" s="13">
        <v>51.58</v>
      </c>
      <c r="S85" s="14"/>
    </row>
    <row r="86" spans="2:19" x14ac:dyDescent="0.3">
      <c r="B86" s="1">
        <v>46147</v>
      </c>
      <c r="C86" s="4">
        <v>51.59</v>
      </c>
      <c r="D86" s="4">
        <v>123.38</v>
      </c>
      <c r="E86" s="8">
        <f t="shared" si="3"/>
        <v>2.3915487497577046</v>
      </c>
      <c r="F86" s="9">
        <f t="shared" si="4"/>
        <v>2.3906747765797198</v>
      </c>
      <c r="G86" s="9">
        <f t="shared" ref="G86:G149" si="5">G85</f>
        <v>2.3817308270397639</v>
      </c>
      <c r="H86" s="4">
        <f>C86*F86</f>
        <v>123.33491172374775</v>
      </c>
      <c r="I86" s="4">
        <f>C86*G86</f>
        <v>122.87349336698142</v>
      </c>
      <c r="J86" s="11">
        <f>LN(H86/D86)</f>
        <v>-3.6550913310580597E-4</v>
      </c>
      <c r="K86" s="11">
        <f>LN(I86/D86)</f>
        <v>-4.1137068991503609E-3</v>
      </c>
      <c r="R86" s="13">
        <v>51.59</v>
      </c>
      <c r="S86" s="14"/>
    </row>
    <row r="87" spans="2:19" x14ac:dyDescent="0.3">
      <c r="B87" s="1">
        <v>46148</v>
      </c>
      <c r="C87" s="4">
        <v>51.84</v>
      </c>
      <c r="D87" s="4">
        <v>124.23</v>
      </c>
      <c r="E87" s="8">
        <f t="shared" si="3"/>
        <v>2.3964120370370368</v>
      </c>
      <c r="F87" s="9">
        <f t="shared" si="4"/>
        <v>2.3909641284315719</v>
      </c>
      <c r="G87" s="9">
        <f t="shared" si="5"/>
        <v>2.3817308270397639</v>
      </c>
      <c r="H87" s="4">
        <f>C87*F87</f>
        <v>123.94758041789269</v>
      </c>
      <c r="I87" s="4">
        <f>C87*G87</f>
        <v>123.46892607374137</v>
      </c>
      <c r="J87" s="11">
        <f>LN(H87/D87)</f>
        <v>-2.2759485650677542E-3</v>
      </c>
      <c r="K87" s="11">
        <f>LN(I87/D87)</f>
        <v>-6.1451725557826456E-3</v>
      </c>
      <c r="R87" s="13">
        <v>51.84</v>
      </c>
      <c r="S87" s="14"/>
    </row>
    <row r="88" spans="2:19" x14ac:dyDescent="0.3">
      <c r="B88" s="1">
        <v>46149</v>
      </c>
      <c r="C88" s="4">
        <v>51.55</v>
      </c>
      <c r="D88" s="4">
        <v>123.09</v>
      </c>
      <c r="E88" s="8">
        <f t="shared" si="3"/>
        <v>2.3877788554801165</v>
      </c>
      <c r="F88" s="9">
        <f t="shared" si="4"/>
        <v>2.3907154323978625</v>
      </c>
      <c r="G88" s="9">
        <f t="shared" si="5"/>
        <v>2.3817308270397639</v>
      </c>
      <c r="H88" s="4">
        <f>C88*F88</f>
        <v>123.2413805401098</v>
      </c>
      <c r="I88" s="4">
        <f>C88*G88</f>
        <v>122.77822413389983</v>
      </c>
      <c r="J88" s="11">
        <f>LN(H88/D88)</f>
        <v>1.2290805892018514E-3</v>
      </c>
      <c r="K88" s="11">
        <f>LN(I88/D88)</f>
        <v>-2.5361230334518307E-3</v>
      </c>
      <c r="R88" s="13">
        <v>51.55</v>
      </c>
      <c r="S88" s="14"/>
    </row>
    <row r="89" spans="2:19" x14ac:dyDescent="0.3">
      <c r="B89" s="1">
        <v>46150</v>
      </c>
      <c r="C89" s="4">
        <v>51.24</v>
      </c>
      <c r="D89" s="4">
        <v>122.62</v>
      </c>
      <c r="E89" s="8">
        <f t="shared" si="3"/>
        <v>2.3930523028883686</v>
      </c>
      <c r="F89" s="9">
        <f t="shared" si="4"/>
        <v>2.3907009212866184</v>
      </c>
      <c r="G89" s="9">
        <f t="shared" si="5"/>
        <v>2.3817308270397639</v>
      </c>
      <c r="H89" s="4">
        <f>C89*F89</f>
        <v>122.49951520672633</v>
      </c>
      <c r="I89" s="4">
        <f>C89*G89</f>
        <v>122.0398875775175</v>
      </c>
      <c r="J89" s="11">
        <f>LN(H89/D89)</f>
        <v>-9.8306985370277366E-4</v>
      </c>
      <c r="K89" s="11">
        <f>LN(I89/D89)</f>
        <v>-4.7422036802246999E-3</v>
      </c>
      <c r="R89" s="13">
        <v>51.24</v>
      </c>
      <c r="S89" s="14"/>
    </row>
    <row r="90" spans="2:19" x14ac:dyDescent="0.3">
      <c r="B90" s="1">
        <v>46153</v>
      </c>
      <c r="C90" s="4">
        <v>51.18</v>
      </c>
      <c r="D90" s="4">
        <v>122.14</v>
      </c>
      <c r="E90" s="8">
        <f t="shared" si="3"/>
        <v>2.3864790933958577</v>
      </c>
      <c r="F90" s="9">
        <f t="shared" si="4"/>
        <v>2.3904739661615997</v>
      </c>
      <c r="G90" s="9">
        <f t="shared" si="5"/>
        <v>2.3817308270397639</v>
      </c>
      <c r="H90" s="4">
        <f>C90*F90</f>
        <v>122.34445758815068</v>
      </c>
      <c r="I90" s="4">
        <f>C90*G90</f>
        <v>121.89698372789512</v>
      </c>
      <c r="J90" s="11">
        <f>LN(H90/D90)</f>
        <v>1.6725614203142566E-3</v>
      </c>
      <c r="K90" s="11">
        <f>LN(I90/D90)</f>
        <v>-1.9916354375622727E-3</v>
      </c>
      <c r="R90" s="13">
        <v>51.18</v>
      </c>
      <c r="S90" s="14"/>
    </row>
    <row r="91" spans="2:19" x14ac:dyDescent="0.3">
      <c r="B91" s="1">
        <v>46154</v>
      </c>
      <c r="C91" s="4">
        <v>51.58</v>
      </c>
      <c r="D91" s="4">
        <v>123</v>
      </c>
      <c r="E91" s="8">
        <f t="shared" si="3"/>
        <v>2.3846452113222179</v>
      </c>
      <c r="F91" s="9">
        <f t="shared" si="4"/>
        <v>2.3901233762062732</v>
      </c>
      <c r="G91" s="9">
        <f t="shared" si="5"/>
        <v>2.3817308270397639</v>
      </c>
      <c r="H91" s="4">
        <f>C91*F91</f>
        <v>123.28256374471957</v>
      </c>
      <c r="I91" s="4">
        <f>C91*G91</f>
        <v>122.84967605871101</v>
      </c>
      <c r="J91" s="11">
        <f>LN(H91/D91)</f>
        <v>2.2946315354679218E-3</v>
      </c>
      <c r="K91" s="11">
        <f>LN(I91/D91)</f>
        <v>-1.222893293435251E-3</v>
      </c>
      <c r="R91" s="13">
        <v>51.58</v>
      </c>
      <c r="S91" s="14"/>
    </row>
    <row r="92" spans="2:19" x14ac:dyDescent="0.3">
      <c r="B92" s="1">
        <v>46155</v>
      </c>
      <c r="C92" s="4">
        <v>50.99</v>
      </c>
      <c r="D92" s="4">
        <v>121.76</v>
      </c>
      <c r="E92" s="8">
        <f t="shared" si="3"/>
        <v>2.3879191998431066</v>
      </c>
      <c r="F92" s="9">
        <f t="shared" si="4"/>
        <v>2.3900637103598243</v>
      </c>
      <c r="G92" s="9">
        <f t="shared" si="5"/>
        <v>2.3817308270397639</v>
      </c>
      <c r="H92" s="4">
        <f>C92*F92</f>
        <v>121.86934859124744</v>
      </c>
      <c r="I92" s="4">
        <f>C92*G92</f>
        <v>121.44445487075757</v>
      </c>
      <c r="J92" s="11">
        <f>LN(H92/D92)</f>
        <v>8.9766359613482915E-4</v>
      </c>
      <c r="K92" s="11">
        <f>LN(I92/D92)</f>
        <v>-2.5948974205276874E-3</v>
      </c>
      <c r="R92" s="13">
        <v>50.99</v>
      </c>
      <c r="S92" s="14"/>
    </row>
    <row r="93" spans="2:19" x14ac:dyDescent="0.3">
      <c r="B93" s="1">
        <v>46156</v>
      </c>
      <c r="C93" s="4">
        <v>51.29</v>
      </c>
      <c r="D93" s="4">
        <v>122.5</v>
      </c>
      <c r="E93" s="8">
        <f t="shared" si="3"/>
        <v>2.3883798011308248</v>
      </c>
      <c r="F93" s="9">
        <f t="shared" si="4"/>
        <v>2.3900516029725827</v>
      </c>
      <c r="G93" s="9">
        <f t="shared" si="5"/>
        <v>2.3817308270397639</v>
      </c>
      <c r="H93" s="4">
        <f>C93*F93</f>
        <v>122.58574671646376</v>
      </c>
      <c r="I93" s="4">
        <f>C93*G93</f>
        <v>122.15897411886949</v>
      </c>
      <c r="J93" s="11">
        <f>LN(H93/D93)</f>
        <v>6.9972832864546104E-4</v>
      </c>
      <c r="K93" s="11">
        <f>LN(I93/D93)</f>
        <v>-2.7877669578209655E-3</v>
      </c>
      <c r="R93" s="13">
        <v>51.29</v>
      </c>
      <c r="S93" s="14"/>
    </row>
    <row r="94" spans="2:19" x14ac:dyDescent="0.3">
      <c r="B94" s="1">
        <v>46157</v>
      </c>
      <c r="C94" s="4">
        <v>51.1</v>
      </c>
      <c r="D94" s="4">
        <v>121.76</v>
      </c>
      <c r="E94" s="8">
        <f t="shared" si="3"/>
        <v>2.3827788649706458</v>
      </c>
      <c r="F94" s="9">
        <f t="shared" si="4"/>
        <v>2.3896597432457196</v>
      </c>
      <c r="G94" s="9">
        <f t="shared" si="5"/>
        <v>2.3817308270397639</v>
      </c>
      <c r="H94" s="4">
        <f>C94*F94</f>
        <v>122.11161287985628</v>
      </c>
      <c r="I94" s="4">
        <f>C94*G94</f>
        <v>121.70644526173194</v>
      </c>
      <c r="J94" s="11">
        <f>LN(H94/D94)</f>
        <v>2.883592061786313E-3</v>
      </c>
      <c r="K94" s="11">
        <f>LN(I94/D94)</f>
        <v>-4.3993527793324453E-4</v>
      </c>
      <c r="R94" s="13">
        <v>51.1</v>
      </c>
      <c r="S94" s="14"/>
    </row>
    <row r="95" spans="2:19" x14ac:dyDescent="0.3">
      <c r="B95" s="1">
        <v>46160</v>
      </c>
      <c r="C95" s="4">
        <v>51.74</v>
      </c>
      <c r="D95" s="4">
        <v>122.99</v>
      </c>
      <c r="E95" s="8">
        <f t="shared" si="3"/>
        <v>2.3770776961731732</v>
      </c>
      <c r="F95" s="9">
        <f t="shared" si="4"/>
        <v>2.388933540651756</v>
      </c>
      <c r="G95" s="9">
        <f t="shared" si="5"/>
        <v>2.3817308270397639</v>
      </c>
      <c r="H95" s="4">
        <f>C95*F95</f>
        <v>123.60342139332187</v>
      </c>
      <c r="I95" s="4">
        <f>C95*G95</f>
        <v>123.23075299103739</v>
      </c>
      <c r="J95" s="11">
        <f>LN(H95/D95)</f>
        <v>4.9751745618979246E-3</v>
      </c>
      <c r="K95" s="11">
        <f>LN(I95/D95)</f>
        <v>1.955587129347638E-3</v>
      </c>
      <c r="R95" s="13">
        <v>51.74</v>
      </c>
      <c r="S95" s="14"/>
    </row>
    <row r="96" spans="2:19" x14ac:dyDescent="0.3">
      <c r="B96" s="1">
        <v>46161</v>
      </c>
      <c r="C96" s="4">
        <v>51.1</v>
      </c>
      <c r="D96" s="4">
        <v>121.52</v>
      </c>
      <c r="E96" s="8">
        <f t="shared" si="3"/>
        <v>2.3780821917808219</v>
      </c>
      <c r="F96" s="9">
        <f t="shared" si="4"/>
        <v>2.3880575355180436</v>
      </c>
      <c r="G96" s="9">
        <f t="shared" si="5"/>
        <v>2.3817308270397639</v>
      </c>
      <c r="H96" s="4">
        <f>C96*F96</f>
        <v>122.02974006497203</v>
      </c>
      <c r="I96" s="4">
        <f>C96*G96</f>
        <v>121.70644526173194</v>
      </c>
      <c r="J96" s="11">
        <f>LN(H96/D96)</f>
        <v>4.1859277627717389E-3</v>
      </c>
      <c r="K96" s="11">
        <f>LN(I96/D96)</f>
        <v>1.5331005479250757E-3</v>
      </c>
      <c r="R96" s="13">
        <v>51.1</v>
      </c>
      <c r="S96" s="14"/>
    </row>
    <row r="97" spans="2:19" x14ac:dyDescent="0.3">
      <c r="B97" s="1">
        <v>46162</v>
      </c>
      <c r="C97" s="4">
        <v>51.66</v>
      </c>
      <c r="D97" s="4">
        <v>122.97</v>
      </c>
      <c r="E97" s="8">
        <f t="shared" si="3"/>
        <v>2.3803716608594661</v>
      </c>
      <c r="F97" s="9">
        <f t="shared" si="4"/>
        <v>2.387453440913057</v>
      </c>
      <c r="G97" s="9">
        <f t="shared" si="5"/>
        <v>2.3817308270397639</v>
      </c>
      <c r="H97" s="4">
        <f>C97*F97</f>
        <v>123.33584475756852</v>
      </c>
      <c r="I97" s="4">
        <f>C97*G97</f>
        <v>123.0402145248742</v>
      </c>
      <c r="J97" s="11">
        <f>LN(H97/D97)</f>
        <v>2.9706564776878315E-3</v>
      </c>
      <c r="K97" s="11">
        <f>LN(I97/D97)</f>
        <v>5.7082610912214315E-4</v>
      </c>
      <c r="R97" s="13">
        <v>51.66</v>
      </c>
      <c r="S97" s="14"/>
    </row>
    <row r="98" spans="2:19" x14ac:dyDescent="0.3">
      <c r="B98" s="1">
        <v>46163</v>
      </c>
      <c r="C98" s="4">
        <v>51.73</v>
      </c>
      <c r="D98" s="4">
        <v>123.4</v>
      </c>
      <c r="E98" s="8">
        <f t="shared" si="3"/>
        <v>2.3854629808621692</v>
      </c>
      <c r="F98" s="9">
        <f t="shared" si="4"/>
        <v>2.3868520725816489</v>
      </c>
      <c r="G98" s="9">
        <f t="shared" si="5"/>
        <v>2.3817308270397639</v>
      </c>
      <c r="H98" s="4">
        <f>C98*F98</f>
        <v>123.47185771464869</v>
      </c>
      <c r="I98" s="4">
        <f>C98*G98</f>
        <v>123.20693568276698</v>
      </c>
      <c r="J98" s="11">
        <f>LN(H98/D98)</f>
        <v>5.8214587392201218E-4</v>
      </c>
      <c r="K98" s="11">
        <f>LN(I98/D98)</f>
        <v>-1.5657658300801142E-3</v>
      </c>
      <c r="R98" s="13">
        <v>51.73</v>
      </c>
      <c r="S98" s="14"/>
    </row>
    <row r="99" spans="2:19" x14ac:dyDescent="0.3">
      <c r="B99" s="1">
        <v>46164</v>
      </c>
      <c r="C99" s="4">
        <v>51.94</v>
      </c>
      <c r="D99" s="4">
        <v>123.79</v>
      </c>
      <c r="E99" s="8">
        <f t="shared" si="3"/>
        <v>2.3833269156719292</v>
      </c>
      <c r="F99" s="9">
        <f t="shared" si="4"/>
        <v>2.3861137120252995</v>
      </c>
      <c r="G99" s="9">
        <f t="shared" si="5"/>
        <v>2.3817308270397639</v>
      </c>
      <c r="H99" s="4">
        <f>C99*F99</f>
        <v>123.93474620259406</v>
      </c>
      <c r="I99" s="4">
        <f>C99*G99</f>
        <v>123.70709915644534</v>
      </c>
      <c r="J99" s="11">
        <f>LN(H99/D99)</f>
        <v>1.1686052466332326E-3</v>
      </c>
      <c r="K99" s="11">
        <f>LN(I99/D99)</f>
        <v>-6.6991368333292449E-4</v>
      </c>
      <c r="R99" s="13">
        <v>51.94</v>
      </c>
      <c r="S99" s="14"/>
    </row>
    <row r="100" spans="2:19" x14ac:dyDescent="0.3">
      <c r="B100" s="1">
        <v>46168</v>
      </c>
      <c r="C100" s="4">
        <v>51.85</v>
      </c>
      <c r="D100" s="4">
        <v>123.81</v>
      </c>
      <c r="E100" s="8">
        <f t="shared" si="3"/>
        <v>2.3878495660559307</v>
      </c>
      <c r="F100" s="9">
        <f t="shared" si="4"/>
        <v>2.3857320154583799</v>
      </c>
      <c r="G100" s="9">
        <f t="shared" si="5"/>
        <v>2.3817308270397639</v>
      </c>
      <c r="H100" s="4">
        <f>C100*F100</f>
        <v>123.70020500151701</v>
      </c>
      <c r="I100" s="4">
        <f>C100*G100</f>
        <v>123.49274338201177</v>
      </c>
      <c r="J100" s="11">
        <f>LN(H100/D100)</f>
        <v>-8.8719578802098572E-4</v>
      </c>
      <c r="K100" s="11">
        <f>LN(I100/D100)</f>
        <v>-2.5657361312801511E-3</v>
      </c>
      <c r="R100" s="13">
        <v>51.85</v>
      </c>
      <c r="S100" s="14"/>
    </row>
    <row r="101" spans="2:19" x14ac:dyDescent="0.3">
      <c r="B101" s="1">
        <v>46169</v>
      </c>
      <c r="C101" s="4">
        <v>51.42</v>
      </c>
      <c r="D101" s="4">
        <v>122.51</v>
      </c>
      <c r="E101" s="8">
        <f t="shared" si="3"/>
        <v>2.3825359782185922</v>
      </c>
      <c r="F101" s="9">
        <f t="shared" si="4"/>
        <v>2.3849552463847385</v>
      </c>
      <c r="G101" s="9">
        <f t="shared" si="5"/>
        <v>2.3817308270397639</v>
      </c>
      <c r="H101" s="4">
        <f>C101*F101</f>
        <v>122.63439876910326</v>
      </c>
      <c r="I101" s="4">
        <f>C101*G101</f>
        <v>122.46859912638466</v>
      </c>
      <c r="J101" s="11">
        <f>LN(H101/D101)</f>
        <v>1.0149020773528219E-3</v>
      </c>
      <c r="K101" s="11">
        <f>LN(I101/D101)</f>
        <v>-3.3799584255221122E-4</v>
      </c>
      <c r="R101" s="13">
        <v>51.42</v>
      </c>
      <c r="S101" s="14"/>
    </row>
    <row r="102" spans="2:19" x14ac:dyDescent="0.3">
      <c r="B102" s="1">
        <v>46170</v>
      </c>
      <c r="C102" s="4">
        <v>51.27</v>
      </c>
      <c r="D102" s="4">
        <v>122.17</v>
      </c>
      <c r="E102" s="8">
        <f t="shared" si="3"/>
        <v>2.3828749756192704</v>
      </c>
      <c r="F102" s="9">
        <f t="shared" si="4"/>
        <v>2.3854838179700169</v>
      </c>
      <c r="G102" s="9">
        <f t="shared" si="5"/>
        <v>2.3817308270397639</v>
      </c>
      <c r="H102" s="4">
        <f>C102*F102</f>
        <v>122.30375534732278</v>
      </c>
      <c r="I102" s="4">
        <f>C102*G102</f>
        <v>122.1113395023287</v>
      </c>
      <c r="J102" s="11">
        <f>LN(H102/D102)</f>
        <v>1.0942308345420646E-3</v>
      </c>
      <c r="K102" s="11">
        <f>LN(I102/D102)</f>
        <v>-4.8026999457550769E-4</v>
      </c>
      <c r="R102" s="13">
        <v>51.27</v>
      </c>
      <c r="S102" s="14"/>
    </row>
    <row r="103" spans="2:19" x14ac:dyDescent="0.3">
      <c r="B103" s="1">
        <v>46171</v>
      </c>
      <c r="C103" s="4">
        <v>51.58</v>
      </c>
      <c r="D103" s="4">
        <v>122.86</v>
      </c>
      <c r="E103" s="8">
        <f t="shared" si="3"/>
        <v>2.3819309810003877</v>
      </c>
      <c r="F103" s="9">
        <f t="shared" si="4"/>
        <v>2.3853208235709662</v>
      </c>
      <c r="G103" s="9">
        <f t="shared" si="5"/>
        <v>2.3817308270397639</v>
      </c>
      <c r="H103" s="4">
        <f>C103*F103</f>
        <v>123.03484807979044</v>
      </c>
      <c r="I103" s="4">
        <f>C103*G103</f>
        <v>122.84967605871101</v>
      </c>
      <c r="J103" s="11">
        <f>LN(H103/D103)</f>
        <v>1.4221372316228079E-3</v>
      </c>
      <c r="K103" s="11">
        <f>LN(I103/D103)</f>
        <v>-8.4033656799114851E-5</v>
      </c>
      <c r="R103" s="13">
        <v>51.58</v>
      </c>
      <c r="S103" s="14"/>
    </row>
    <row r="104" spans="2:19" x14ac:dyDescent="0.3">
      <c r="B104" s="1">
        <v>46174</v>
      </c>
      <c r="C104" s="4">
        <v>51.43</v>
      </c>
      <c r="D104" s="4">
        <v>122.55</v>
      </c>
      <c r="E104" s="8">
        <f t="shared" si="3"/>
        <v>2.3828504763756562</v>
      </c>
      <c r="F104" s="9">
        <f t="shared" si="4"/>
        <v>2.3851644259721838</v>
      </c>
      <c r="G104" s="9">
        <f t="shared" si="5"/>
        <v>2.3817308270397639</v>
      </c>
      <c r="H104" s="4">
        <f>C104*F104</f>
        <v>122.66900642774941</v>
      </c>
      <c r="I104" s="4">
        <f>C104*G104</f>
        <v>122.49241643465506</v>
      </c>
      <c r="J104" s="11">
        <f>LN(H104/D104)</f>
        <v>9.7061348405199884E-4</v>
      </c>
      <c r="K104" s="11">
        <f>LN(I104/D104)</f>
        <v>-4.6998856151307791E-4</v>
      </c>
      <c r="R104" s="13">
        <v>51.43</v>
      </c>
      <c r="S104" s="14"/>
    </row>
    <row r="105" spans="2:19" x14ac:dyDescent="0.3">
      <c r="B105" s="1">
        <v>46175</v>
      </c>
      <c r="C105" s="4">
        <v>51.46</v>
      </c>
      <c r="D105" s="4">
        <v>123.02</v>
      </c>
      <c r="E105" s="8">
        <f t="shared" si="3"/>
        <v>2.3905946366109601</v>
      </c>
      <c r="F105" s="9">
        <f t="shared" si="4"/>
        <v>2.3855976087527124</v>
      </c>
      <c r="G105" s="9">
        <f t="shared" si="5"/>
        <v>2.3817308270397639</v>
      </c>
      <c r="H105" s="4">
        <f>C105*F105</f>
        <v>122.76285294641458</v>
      </c>
      <c r="I105" s="4">
        <f>C105*G105</f>
        <v>122.56386835946626</v>
      </c>
      <c r="J105" s="11">
        <f>LN(H105/D105)</f>
        <v>-2.0924742660293908E-3</v>
      </c>
      <c r="K105" s="11">
        <f>LN(I105/D105)</f>
        <v>-3.7146753008404036E-3</v>
      </c>
      <c r="R105" s="13">
        <v>51.46</v>
      </c>
      <c r="S105" s="14"/>
    </row>
    <row r="106" spans="2:19" x14ac:dyDescent="0.3">
      <c r="B106" s="1">
        <v>46176</v>
      </c>
      <c r="C106" s="4">
        <v>50.87</v>
      </c>
      <c r="D106" s="4">
        <v>121.63</v>
      </c>
      <c r="E106" s="8">
        <f t="shared" si="3"/>
        <v>2.3909966581482212</v>
      </c>
      <c r="F106" s="9">
        <f t="shared" si="4"/>
        <v>2.3855700041722381</v>
      </c>
      <c r="G106" s="9">
        <f t="shared" si="5"/>
        <v>2.3817308270397639</v>
      </c>
      <c r="H106" s="4">
        <f>C106*F106</f>
        <v>121.35394611224174</v>
      </c>
      <c r="I106" s="4">
        <f>C106*G106</f>
        <v>121.15864717151278</v>
      </c>
      <c r="J106" s="11">
        <f>LN(H106/D106)</f>
        <v>-2.2721995501743604E-3</v>
      </c>
      <c r="K106" s="11">
        <f>LN(I106/D106)</f>
        <v>-3.8828291698877414E-3</v>
      </c>
      <c r="R106" s="13">
        <v>50.87</v>
      </c>
      <c r="S106" s="14"/>
    </row>
    <row r="107" spans="2:19" x14ac:dyDescent="0.3">
      <c r="B107" s="1">
        <v>46177</v>
      </c>
      <c r="C107" s="4">
        <v>52.19</v>
      </c>
      <c r="D107" s="4">
        <v>124.81</v>
      </c>
      <c r="E107" s="8">
        <f t="shared" si="3"/>
        <v>2.3914543015903433</v>
      </c>
      <c r="F107" s="9">
        <f t="shared" si="4"/>
        <v>2.3853221173999035</v>
      </c>
      <c r="G107" s="9">
        <f t="shared" si="5"/>
        <v>2.3817308270397639</v>
      </c>
      <c r="H107" s="4">
        <f>C107*F107</f>
        <v>124.48996130710096</v>
      </c>
      <c r="I107" s="4">
        <f>C107*G107</f>
        <v>124.30253186320527</v>
      </c>
      <c r="J107" s="11">
        <f>LN(H107/D107)</f>
        <v>-2.5675003480185327E-3</v>
      </c>
      <c r="K107" s="11">
        <f>LN(I107/D107)</f>
        <v>-4.0742136492568793E-3</v>
      </c>
      <c r="R107" s="13">
        <v>52.19</v>
      </c>
      <c r="S107" s="14"/>
    </row>
    <row r="108" spans="2:19" x14ac:dyDescent="0.3">
      <c r="B108" s="1">
        <v>46178</v>
      </c>
      <c r="C108" s="4">
        <v>52.3</v>
      </c>
      <c r="D108" s="4">
        <v>125</v>
      </c>
      <c r="E108" s="8">
        <f t="shared" si="3"/>
        <v>2.3900573613766731</v>
      </c>
      <c r="F108" s="9">
        <f t="shared" si="4"/>
        <v>2.3854360426947308</v>
      </c>
      <c r="G108" s="9">
        <f t="shared" si="5"/>
        <v>2.3817308270397639</v>
      </c>
      <c r="H108" s="4">
        <f>C108*F108</f>
        <v>124.75830503293442</v>
      </c>
      <c r="I108" s="4">
        <f>C108*G108</f>
        <v>124.56452225417965</v>
      </c>
      <c r="J108" s="11">
        <f>LN(H108/D108)</f>
        <v>-1.9354314762882662E-3</v>
      </c>
      <c r="K108" s="11">
        <f>LN(I108/D108)</f>
        <v>-3.4899046056403003E-3</v>
      </c>
      <c r="R108" s="13">
        <v>52.3</v>
      </c>
      <c r="S108" s="14"/>
    </row>
    <row r="109" spans="2:19" x14ac:dyDescent="0.3">
      <c r="B109" s="1">
        <v>46181</v>
      </c>
      <c r="C109" s="4">
        <v>51.97</v>
      </c>
      <c r="D109" s="4">
        <v>124.31</v>
      </c>
      <c r="E109" s="8">
        <f t="shared" si="3"/>
        <v>2.3919568982105059</v>
      </c>
      <c r="F109" s="9">
        <f t="shared" si="4"/>
        <v>2.3853812724608381</v>
      </c>
      <c r="G109" s="9">
        <f t="shared" si="5"/>
        <v>2.3817308270397639</v>
      </c>
      <c r="H109" s="4">
        <f>C109*F109</f>
        <v>123.96826472978975</v>
      </c>
      <c r="I109" s="4">
        <f>C109*G109</f>
        <v>123.77855108125652</v>
      </c>
      <c r="J109" s="11">
        <f>LN(H109/D109)</f>
        <v>-2.7528425526254707E-3</v>
      </c>
      <c r="K109" s="11">
        <f>LN(I109/D109)</f>
        <v>-4.2843551574899968E-3</v>
      </c>
      <c r="R109" s="13">
        <v>51.97</v>
      </c>
      <c r="S109" s="14"/>
    </row>
    <row r="110" spans="2:19" x14ac:dyDescent="0.3">
      <c r="B110" s="1">
        <v>46182</v>
      </c>
      <c r="C110" s="4">
        <v>52.46</v>
      </c>
      <c r="D110" s="4">
        <v>125.41</v>
      </c>
      <c r="E110" s="8">
        <f t="shared" si="3"/>
        <v>2.3905833015630957</v>
      </c>
      <c r="F110" s="9">
        <f t="shared" si="4"/>
        <v>2.3855864828691997</v>
      </c>
      <c r="G110" s="9">
        <f t="shared" si="5"/>
        <v>2.3817308270397639</v>
      </c>
      <c r="H110" s="4">
        <f>C110*F110</f>
        <v>125.14786689131822</v>
      </c>
      <c r="I110" s="4">
        <f>C110*G110</f>
        <v>124.94559918650602</v>
      </c>
      <c r="J110" s="11">
        <f>LN(H110/D110)</f>
        <v>-2.0923965195877854E-3</v>
      </c>
      <c r="K110" s="11">
        <f>LN(I110/D110)</f>
        <v>-3.7099337714471127E-3</v>
      </c>
      <c r="R110" s="13">
        <v>52.46</v>
      </c>
      <c r="S110" s="14"/>
    </row>
    <row r="111" spans="2:19" x14ac:dyDescent="0.3">
      <c r="B111" s="1">
        <v>46183</v>
      </c>
      <c r="C111" s="4">
        <v>52.23</v>
      </c>
      <c r="D111" s="4">
        <v>125.06</v>
      </c>
      <c r="E111" s="8">
        <f t="shared" si="3"/>
        <v>2.3944093432892974</v>
      </c>
      <c r="F111" s="9">
        <f t="shared" si="4"/>
        <v>2.3860746894675535</v>
      </c>
      <c r="G111" s="9">
        <f t="shared" si="5"/>
        <v>2.3817308270397639</v>
      </c>
      <c r="H111" s="4">
        <f>C111*F111</f>
        <v>124.62468103089032</v>
      </c>
      <c r="I111" s="4">
        <f>C111*G111</f>
        <v>124.39780109628686</v>
      </c>
      <c r="J111" s="11">
        <f>LN(H111/D111)</f>
        <v>-3.4869532915958049E-3</v>
      </c>
      <c r="K111" s="11">
        <f>LN(I111/D111)</f>
        <v>-5.3091180651609511E-3</v>
      </c>
      <c r="R111" s="13">
        <v>52.23</v>
      </c>
      <c r="S111" s="14"/>
    </row>
    <row r="112" spans="2:19" x14ac:dyDescent="0.3">
      <c r="B112" s="1">
        <v>46184</v>
      </c>
      <c r="C112" s="4">
        <v>52.62</v>
      </c>
      <c r="D112" s="4">
        <v>126.31</v>
      </c>
      <c r="E112" s="8">
        <f t="shared" si="3"/>
        <v>2.4004180919802356</v>
      </c>
      <c r="F112" s="9">
        <f t="shared" si="4"/>
        <v>2.38669963407441</v>
      </c>
      <c r="G112" s="9">
        <f t="shared" si="5"/>
        <v>2.3817308270397639</v>
      </c>
      <c r="H112" s="4">
        <f>C112*F112</f>
        <v>125.58813474499544</v>
      </c>
      <c r="I112" s="4">
        <f>C112*G112</f>
        <v>125.32667611883237</v>
      </c>
      <c r="J112" s="11">
        <f>LN(H112/D112)</f>
        <v>-5.7314218050245553E-3</v>
      </c>
      <c r="K112" s="11">
        <f>LN(I112/D112)</f>
        <v>-7.8154655479536345E-3</v>
      </c>
      <c r="R112" s="13">
        <v>52.62</v>
      </c>
      <c r="S112" s="14"/>
    </row>
    <row r="113" spans="1:21" x14ac:dyDescent="0.3">
      <c r="B113" s="1">
        <v>46185</v>
      </c>
      <c r="C113" s="4">
        <v>53.34</v>
      </c>
      <c r="D113" s="4">
        <v>128.05000000000001</v>
      </c>
      <c r="E113" s="8">
        <f t="shared" si="3"/>
        <v>2.4006374203224596</v>
      </c>
      <c r="F113" s="9">
        <f t="shared" si="4"/>
        <v>2.3873125150339916</v>
      </c>
      <c r="G113" s="9">
        <f t="shared" si="5"/>
        <v>2.3817308270397639</v>
      </c>
      <c r="H113" s="4">
        <f>C113*F113</f>
        <v>127.33924955191311</v>
      </c>
      <c r="I113" s="4">
        <f>C113*G113</f>
        <v>127.04152231430102</v>
      </c>
      <c r="J113" s="11">
        <f>LN(H113/D113)</f>
        <v>-5.5660313368356123E-3</v>
      </c>
      <c r="K113" s="11">
        <f>LN(I113/D113)</f>
        <v>-7.9068322658823725E-3</v>
      </c>
      <c r="R113" s="13">
        <v>53.34</v>
      </c>
      <c r="S113" s="14"/>
    </row>
    <row r="114" spans="1:21" x14ac:dyDescent="0.3">
      <c r="B114" s="12">
        <v>46188</v>
      </c>
      <c r="C114" s="13">
        <v>53.56</v>
      </c>
      <c r="D114" s="13">
        <v>128</v>
      </c>
      <c r="E114" s="8">
        <f t="shared" si="3"/>
        <v>2.3898431665421955</v>
      </c>
      <c r="F114" s="9">
        <f t="shared" si="4"/>
        <v>2.3876657301125692</v>
      </c>
      <c r="G114" s="9">
        <f t="shared" si="5"/>
        <v>2.3817308270397639</v>
      </c>
      <c r="H114" s="4">
        <f>C114*F114</f>
        <v>127.88337650482922</v>
      </c>
      <c r="I114" s="4">
        <f>C114*G114</f>
        <v>127.56550309624976</v>
      </c>
      <c r="J114" s="11">
        <f>LN(H114/D114)</f>
        <v>-9.1153637910335397E-4</v>
      </c>
      <c r="K114" s="11">
        <f>LN(I114/D114)</f>
        <v>-3.4002814708617443E-3</v>
      </c>
      <c r="R114" s="13">
        <v>53.56</v>
      </c>
      <c r="S114" s="14"/>
    </row>
    <row r="115" spans="1:21" x14ac:dyDescent="0.3">
      <c r="B115" s="12">
        <v>46189</v>
      </c>
      <c r="C115" s="13">
        <v>54.35</v>
      </c>
      <c r="D115" s="13">
        <v>129.57</v>
      </c>
      <c r="E115" s="8">
        <f t="shared" si="3"/>
        <v>2.3839926402943878</v>
      </c>
      <c r="F115" s="9">
        <f t="shared" si="4"/>
        <v>2.3880114773186301</v>
      </c>
      <c r="G115" s="9">
        <f t="shared" si="5"/>
        <v>2.3817308270397639</v>
      </c>
      <c r="H115" s="4">
        <f>C115*F115</f>
        <v>129.78842379226754</v>
      </c>
      <c r="I115" s="4">
        <f>C115*G115</f>
        <v>129.44707044961118</v>
      </c>
      <c r="J115" s="11">
        <f>LN(H115/D115)</f>
        <v>1.6843396926371794E-3</v>
      </c>
      <c r="K115" s="11">
        <f>LN(I115/D115)</f>
        <v>-9.4920044771726786E-4</v>
      </c>
      <c r="R115" s="13">
        <v>54.35</v>
      </c>
      <c r="S115" s="14"/>
    </row>
    <row r="116" spans="1:21" x14ac:dyDescent="0.3">
      <c r="B116" s="12">
        <v>46190</v>
      </c>
      <c r="C116" s="13">
        <v>54.05</v>
      </c>
      <c r="D116" s="13">
        <v>128.88999999999999</v>
      </c>
      <c r="E116" s="8">
        <f t="shared" si="3"/>
        <v>2.3846438482886216</v>
      </c>
      <c r="F116" s="9">
        <f t="shared" si="4"/>
        <v>2.3883395601440194</v>
      </c>
      <c r="G116" s="9">
        <f t="shared" si="5"/>
        <v>2.3817308270397639</v>
      </c>
      <c r="H116" s="4">
        <f>C116*F116</f>
        <v>129.08975322578425</v>
      </c>
      <c r="I116" s="4">
        <f>C116*G116</f>
        <v>128.73255120149923</v>
      </c>
      <c r="J116" s="11">
        <f>LN(H116/D116)</f>
        <v>1.548596455391556E-3</v>
      </c>
      <c r="K116" s="11">
        <f>LN(I116/D116)</f>
        <v>-1.2223217056872323E-3</v>
      </c>
      <c r="R116" s="13">
        <v>54.05</v>
      </c>
      <c r="S116" s="14"/>
    </row>
    <row r="117" spans="1:21" s="6" customFormat="1" x14ac:dyDescent="0.3">
      <c r="A117" s="6">
        <v>0.38038300000000003</v>
      </c>
      <c r="B117" s="12">
        <v>46191</v>
      </c>
      <c r="C117" s="13">
        <f>A117+53.57</f>
        <v>53.950383000000002</v>
      </c>
      <c r="D117" s="13">
        <v>127.61</v>
      </c>
      <c r="E117" s="8">
        <f t="shared" si="3"/>
        <v>2.3653214843720387</v>
      </c>
      <c r="F117" s="9">
        <f t="shared" si="4"/>
        <v>2.387587051319648</v>
      </c>
      <c r="G117" s="9">
        <f t="shared" si="5"/>
        <v>2.3817308270397639</v>
      </c>
      <c r="H117" s="4">
        <f>C117*F117</f>
        <v>128.81123586453566</v>
      </c>
      <c r="I117" s="4">
        <f>C117*G117</f>
        <v>128.49529032170202</v>
      </c>
      <c r="J117" s="11">
        <f>LN(H117/D117)</f>
        <v>9.3693070927222556E-3</v>
      </c>
      <c r="K117" s="11">
        <f>LN(I117/D117)</f>
        <v>6.9135147247376709E-3</v>
      </c>
      <c r="L117" s="4"/>
      <c r="N117" s="4"/>
      <c r="O117" s="4"/>
      <c r="P117" s="4"/>
      <c r="Q117"/>
      <c r="R117" s="13">
        <v>53.57</v>
      </c>
      <c r="S117" s="14"/>
      <c r="T117"/>
      <c r="U117"/>
    </row>
    <row r="118" spans="1:21" x14ac:dyDescent="0.3">
      <c r="A118" s="6" t="s">
        <v>20</v>
      </c>
      <c r="B118" s="12">
        <v>46195</v>
      </c>
      <c r="C118" s="13">
        <v>53.7</v>
      </c>
      <c r="D118" s="13">
        <v>128.56</v>
      </c>
      <c r="E118" s="8">
        <f t="shared" si="3"/>
        <v>2.3940409683426442</v>
      </c>
      <c r="F118" s="9">
        <f t="shared" si="4"/>
        <v>2.388015950693672</v>
      </c>
      <c r="G118" s="9">
        <f t="shared" si="5"/>
        <v>2.3817308270397639</v>
      </c>
      <c r="H118" s="4">
        <f>C118*F118</f>
        <v>128.23645655225019</v>
      </c>
      <c r="I118" s="4">
        <f>C118*G118</f>
        <v>127.89894541203533</v>
      </c>
      <c r="J118" s="11">
        <f>LN(H118/D118)</f>
        <v>-2.5198448864272006E-3</v>
      </c>
      <c r="K118" s="11">
        <f>LN(I118/D118)</f>
        <v>-5.1552582886544235E-3</v>
      </c>
      <c r="R118" s="13">
        <v>53.7</v>
      </c>
      <c r="S118" s="14"/>
    </row>
    <row r="119" spans="1:21" x14ac:dyDescent="0.3">
      <c r="B119" s="12">
        <v>46196</v>
      </c>
      <c r="C119" s="13">
        <v>53.88</v>
      </c>
      <c r="D119" s="13">
        <v>129.09</v>
      </c>
      <c r="E119" s="8">
        <f t="shared" si="3"/>
        <v>2.395879732739421</v>
      </c>
      <c r="F119" s="9">
        <f t="shared" si="4"/>
        <v>2.388643591547047</v>
      </c>
      <c r="G119" s="9">
        <f t="shared" si="5"/>
        <v>2.3817308270397639</v>
      </c>
      <c r="H119" s="4">
        <f>C119*F119</f>
        <v>128.70011671255489</v>
      </c>
      <c r="I119" s="4">
        <f>C119*G119</f>
        <v>128.32765696090249</v>
      </c>
      <c r="J119" s="11">
        <f>LN(H119/D119)</f>
        <v>-3.0248140594898209E-3</v>
      </c>
      <c r="K119" s="11">
        <f>LN(I119/D119)</f>
        <v>-5.9230223506709949E-3</v>
      </c>
      <c r="R119" s="13">
        <v>53.88</v>
      </c>
      <c r="S119" s="14"/>
    </row>
    <row r="120" spans="1:21" s="6" customFormat="1" x14ac:dyDescent="0.3">
      <c r="B120" s="12">
        <v>46197</v>
      </c>
      <c r="C120" s="13">
        <v>53.72</v>
      </c>
      <c r="D120" s="13">
        <v>128.19</v>
      </c>
      <c r="E120" s="8">
        <f t="shared" si="3"/>
        <v>2.3862620997766197</v>
      </c>
      <c r="F120" s="9">
        <f t="shared" si="4"/>
        <v>2.3885642182330811</v>
      </c>
      <c r="G120" s="9">
        <f t="shared" si="5"/>
        <v>2.3817308270397639</v>
      </c>
      <c r="H120" s="4">
        <f>C120*F120</f>
        <v>128.3136698034811</v>
      </c>
      <c r="I120" s="4">
        <f>C120*G120</f>
        <v>127.94658002857611</v>
      </c>
      <c r="J120" s="11">
        <f>LN(H120/D120)</f>
        <v>9.6427324535697397E-4</v>
      </c>
      <c r="K120" s="11">
        <f>LN(I120/D120)</f>
        <v>-1.9007050432228328E-3</v>
      </c>
      <c r="L120" s="4"/>
      <c r="N120" s="4"/>
      <c r="O120" s="4"/>
      <c r="P120" s="4"/>
      <c r="Q120"/>
      <c r="R120" s="13">
        <v>53.72</v>
      </c>
      <c r="S120" s="14"/>
      <c r="T120"/>
      <c r="U120"/>
    </row>
    <row r="121" spans="1:21" x14ac:dyDescent="0.3">
      <c r="B121" s="12">
        <v>46198</v>
      </c>
      <c r="C121" s="13">
        <v>53.45</v>
      </c>
      <c r="D121" s="13">
        <v>127.62</v>
      </c>
      <c r="E121" s="8">
        <f t="shared" si="3"/>
        <v>2.3876520112254442</v>
      </c>
      <c r="F121" s="9">
        <f t="shared" si="4"/>
        <v>2.3888200198834242</v>
      </c>
      <c r="G121" s="9">
        <f t="shared" si="5"/>
        <v>2.3817308270397639</v>
      </c>
      <c r="H121" s="4">
        <f>C121*F121</f>
        <v>127.68243006276903</v>
      </c>
      <c r="I121" s="4">
        <f>C121*G121</f>
        <v>127.30351270527538</v>
      </c>
      <c r="J121" s="11">
        <f>LN(H121/D121)</f>
        <v>4.8906752668226945E-4</v>
      </c>
      <c r="K121" s="11">
        <f>LN(I121/D121)</f>
        <v>-2.482999343362928E-3</v>
      </c>
      <c r="R121" s="13">
        <v>53.45</v>
      </c>
      <c r="S121" s="14"/>
    </row>
    <row r="122" spans="1:21" x14ac:dyDescent="0.3">
      <c r="B122" s="12">
        <v>46199</v>
      </c>
      <c r="C122" s="13">
        <v>53.57</v>
      </c>
      <c r="D122" s="13">
        <v>127.85</v>
      </c>
      <c r="E122" s="8">
        <f t="shared" si="3"/>
        <v>2.3865969759193577</v>
      </c>
      <c r="F122" s="9">
        <f t="shared" si="4"/>
        <v>2.3890061198984287</v>
      </c>
      <c r="G122" s="9">
        <f t="shared" si="5"/>
        <v>2.3817308270397639</v>
      </c>
      <c r="H122" s="4">
        <f>C122*F122</f>
        <v>127.97905784295882</v>
      </c>
      <c r="I122" s="4">
        <f>C122*G122</f>
        <v>127.58932040452015</v>
      </c>
      <c r="J122" s="11">
        <f>LN(H122/D122)</f>
        <v>1.008938194862829E-3</v>
      </c>
      <c r="K122" s="11">
        <f>LN(I122/D122)</f>
        <v>-2.0410302185429972E-3</v>
      </c>
      <c r="R122" s="13">
        <v>53.57</v>
      </c>
      <c r="S122" s="14"/>
    </row>
    <row r="123" spans="1:21" x14ac:dyDescent="0.3">
      <c r="B123" s="12">
        <v>46202</v>
      </c>
      <c r="C123" s="13">
        <v>53.72</v>
      </c>
      <c r="D123" s="13">
        <v>127.72</v>
      </c>
      <c r="E123" s="8">
        <f t="shared" si="3"/>
        <v>2.3775130305286671</v>
      </c>
      <c r="F123" s="9">
        <f t="shared" si="4"/>
        <v>2.3887852223748425</v>
      </c>
      <c r="G123" s="9">
        <f t="shared" si="5"/>
        <v>2.3817308270397639</v>
      </c>
      <c r="H123" s="4">
        <f>C123*F123</f>
        <v>128.32554214597653</v>
      </c>
      <c r="I123" s="4">
        <f>C123*G123</f>
        <v>127.94658002857611</v>
      </c>
      <c r="J123" s="11">
        <f>LN(H123/D123)</f>
        <v>4.7299653793008564E-3</v>
      </c>
      <c r="K123" s="11">
        <f>LN(I123/D123)</f>
        <v>1.7724654342390963E-3</v>
      </c>
      <c r="R123" s="13">
        <v>53.72</v>
      </c>
      <c r="S123" s="14"/>
    </row>
    <row r="124" spans="1:21" x14ac:dyDescent="0.3">
      <c r="B124" s="12">
        <v>46203</v>
      </c>
      <c r="C124" s="13">
        <v>53.61</v>
      </c>
      <c r="D124" s="13">
        <v>127.51</v>
      </c>
      <c r="E124" s="8">
        <f t="shared" si="3"/>
        <v>2.378474165267674</v>
      </c>
      <c r="F124" s="9">
        <f t="shared" si="4"/>
        <v>2.3885664068194439</v>
      </c>
      <c r="G124" s="9">
        <f t="shared" si="5"/>
        <v>2.3817308270397639</v>
      </c>
      <c r="H124" s="4">
        <f>C124*F124</f>
        <v>128.05104506959037</v>
      </c>
      <c r="I124" s="4">
        <f>C124*G124</f>
        <v>127.68458963760175</v>
      </c>
      <c r="J124" s="11">
        <f>LN(H124/D124)</f>
        <v>4.2341811349002239E-3</v>
      </c>
      <c r="K124" s="11">
        <f>LN(I124/D124)</f>
        <v>1.3682865697795207E-3</v>
      </c>
      <c r="R124" s="13">
        <v>53.61</v>
      </c>
      <c r="S124" s="14"/>
    </row>
    <row r="125" spans="1:21" x14ac:dyDescent="0.3">
      <c r="B125" s="12">
        <v>46204</v>
      </c>
      <c r="C125" s="13">
        <v>54.78</v>
      </c>
      <c r="D125" s="13">
        <v>130.22999999999999</v>
      </c>
      <c r="E125" s="8">
        <f t="shared" si="3"/>
        <v>2.3773274917853229</v>
      </c>
      <c r="F125" s="9">
        <f t="shared" si="4"/>
        <v>2.3879030495781617</v>
      </c>
      <c r="G125" s="9">
        <f t="shared" si="5"/>
        <v>2.3817308270397639</v>
      </c>
      <c r="H125" s="4">
        <f>C125*F125</f>
        <v>130.80932905589171</v>
      </c>
      <c r="I125" s="4">
        <f>C125*G125</f>
        <v>130.47121470523828</v>
      </c>
      <c r="J125" s="11">
        <f>LN(H125/D125)</f>
        <v>4.4386415573943573E-3</v>
      </c>
      <c r="K125" s="11">
        <f>LN(I125/D125)</f>
        <v>1.8505074811040146E-3</v>
      </c>
      <c r="R125" s="13">
        <v>54.78</v>
      </c>
      <c r="S125" s="14"/>
    </row>
    <row r="126" spans="1:21" x14ac:dyDescent="0.3">
      <c r="B126" s="1">
        <v>46205</v>
      </c>
      <c r="C126" s="4">
        <v>55.62</v>
      </c>
      <c r="D126" s="4">
        <v>131.88999999999999</v>
      </c>
      <c r="E126" s="8">
        <f t="shared" si="3"/>
        <v>2.371269327580007</v>
      </c>
      <c r="F126" s="9">
        <f t="shared" si="4"/>
        <v>2.3869166830497508</v>
      </c>
      <c r="G126" s="9">
        <f t="shared" si="5"/>
        <v>2.3817308270397639</v>
      </c>
      <c r="H126" s="4">
        <f>C126*F126</f>
        <v>132.76030591122714</v>
      </c>
      <c r="I126" s="4">
        <f>C126*G126</f>
        <v>132.47186859995168</v>
      </c>
      <c r="J126" s="11">
        <f>LN(H126/D126)</f>
        <v>6.5770492537717846E-3</v>
      </c>
      <c r="K126" s="11">
        <f>LN(I126/D126)</f>
        <v>4.4020685938092868E-3</v>
      </c>
      <c r="R126" s="13">
        <v>55.62</v>
      </c>
      <c r="S126" s="14"/>
    </row>
    <row r="127" spans="1:21" x14ac:dyDescent="0.3">
      <c r="B127" s="1">
        <v>46209</v>
      </c>
      <c r="C127" s="4">
        <v>56.14</v>
      </c>
      <c r="D127" s="4">
        <v>133.62</v>
      </c>
      <c r="E127" s="8">
        <f t="shared" si="3"/>
        <v>2.3801211257570358</v>
      </c>
      <c r="F127" s="9">
        <f t="shared" si="4"/>
        <v>2.3863500242580855</v>
      </c>
      <c r="G127" s="9">
        <f t="shared" si="5"/>
        <v>2.3817308270397639</v>
      </c>
      <c r="H127" s="4">
        <f>C127*F127</f>
        <v>133.96969036184893</v>
      </c>
      <c r="I127" s="4">
        <f>C127*G127</f>
        <v>133.71036863001234</v>
      </c>
      <c r="J127" s="11">
        <f>LN(H127/D127)</f>
        <v>2.6136325389775231E-3</v>
      </c>
      <c r="K127" s="11">
        <f>LN(I127/D127)</f>
        <v>6.760820621888289E-4</v>
      </c>
      <c r="R127" s="13">
        <v>56.14</v>
      </c>
      <c r="S127" s="14"/>
    </row>
    <row r="128" spans="1:21" x14ac:dyDescent="0.3">
      <c r="B128" s="1">
        <v>46210</v>
      </c>
      <c r="C128" s="4">
        <v>56.05</v>
      </c>
      <c r="D128" s="4">
        <v>133.6</v>
      </c>
      <c r="E128" s="8">
        <f t="shared" si="3"/>
        <v>2.383586083853702</v>
      </c>
      <c r="F128" s="9">
        <f t="shared" si="4"/>
        <v>2.3860264603819368</v>
      </c>
      <c r="G128" s="9">
        <f t="shared" si="5"/>
        <v>2.3817308270397639</v>
      </c>
      <c r="H128" s="4">
        <f>C128*F128</f>
        <v>133.73678310440755</v>
      </c>
      <c r="I128" s="4">
        <f>C128*G128</f>
        <v>133.49601285557875</v>
      </c>
      <c r="J128" s="11">
        <f>LN(H128/D128)</f>
        <v>1.0233018797876615E-3</v>
      </c>
      <c r="K128" s="11">
        <f>LN(I128/D128)</f>
        <v>-7.7864995859279354E-4</v>
      </c>
      <c r="R128" s="13">
        <v>56.05</v>
      </c>
      <c r="S128" s="14"/>
    </row>
    <row r="129" spans="2:19" x14ac:dyDescent="0.3">
      <c r="B129" s="1">
        <v>46211</v>
      </c>
      <c r="C129" s="4">
        <v>54.97</v>
      </c>
      <c r="D129" s="4">
        <v>131.22999999999999</v>
      </c>
      <c r="E129" s="8">
        <f t="shared" si="3"/>
        <v>2.3873021648171728</v>
      </c>
      <c r="F129" s="9">
        <f t="shared" si="4"/>
        <v>2.3857937237122697</v>
      </c>
      <c r="G129" s="9">
        <f t="shared" si="5"/>
        <v>2.3817308270397639</v>
      </c>
      <c r="H129" s="4">
        <f>C129*F129</f>
        <v>131.14708099246346</v>
      </c>
      <c r="I129" s="4">
        <f>C129*G129</f>
        <v>130.92374356237582</v>
      </c>
      <c r="J129" s="11">
        <f>LN(H129/D129)</f>
        <v>-6.3205985815068769E-4</v>
      </c>
      <c r="K129" s="11">
        <f>LN(I129/D129)</f>
        <v>-2.3364654098426362E-3</v>
      </c>
      <c r="R129" s="13">
        <v>54.97</v>
      </c>
      <c r="S129" s="14"/>
    </row>
    <row r="130" spans="2:19" x14ac:dyDescent="0.3">
      <c r="B130" s="1">
        <v>46212</v>
      </c>
      <c r="C130" s="4">
        <v>55.54</v>
      </c>
      <c r="D130" s="4">
        <v>132.5</v>
      </c>
      <c r="E130" s="8">
        <f t="shared" si="3"/>
        <v>2.3856679870363702</v>
      </c>
      <c r="F130" s="9">
        <f t="shared" si="4"/>
        <v>2.385547957985934</v>
      </c>
      <c r="G130" s="9">
        <f t="shared" si="5"/>
        <v>2.3817308270397639</v>
      </c>
      <c r="H130" s="4">
        <f>C130*F130</f>
        <v>132.49333358653877</v>
      </c>
      <c r="I130" s="4">
        <f>C130*G130</f>
        <v>132.28133013378849</v>
      </c>
      <c r="J130" s="11">
        <f>LN(H130/D130)</f>
        <v>-5.0313820143468503E-5</v>
      </c>
      <c r="K130" s="11">
        <f>LN(I130/D130)</f>
        <v>-1.6517019218397597E-3</v>
      </c>
      <c r="R130" s="13">
        <v>55.54</v>
      </c>
      <c r="S130" s="14"/>
    </row>
    <row r="131" spans="2:19" x14ac:dyDescent="0.3">
      <c r="B131" s="1">
        <v>46213</v>
      </c>
      <c r="C131" s="4">
        <v>55.71</v>
      </c>
      <c r="D131" s="4">
        <v>132.94999999999999</v>
      </c>
      <c r="E131" s="8">
        <f t="shared" ref="E131:E163" si="6">D131/C131</f>
        <v>2.3864656255609402</v>
      </c>
      <c r="F131" s="9">
        <f t="shared" si="4"/>
        <v>2.3851507720995158</v>
      </c>
      <c r="G131" s="9">
        <f t="shared" si="5"/>
        <v>2.3817308270397639</v>
      </c>
      <c r="H131" s="4">
        <f>C131*F131</f>
        <v>132.87674951366404</v>
      </c>
      <c r="I131" s="4">
        <f>C131*G131</f>
        <v>132.68622437438526</v>
      </c>
      <c r="J131" s="11">
        <f>LN(H131/D131)</f>
        <v>-5.5111450088437338E-4</v>
      </c>
      <c r="K131" s="11">
        <f>LN(I131/D131)</f>
        <v>-1.9859920305208109E-3</v>
      </c>
      <c r="R131" s="13">
        <v>55.71</v>
      </c>
      <c r="S131" s="14"/>
    </row>
    <row r="132" spans="2:19" x14ac:dyDescent="0.3">
      <c r="B132" s="1">
        <v>46216</v>
      </c>
      <c r="C132" s="4">
        <v>56.07</v>
      </c>
      <c r="D132" s="4">
        <v>133.30000000000001</v>
      </c>
      <c r="E132" s="8">
        <f t="shared" si="6"/>
        <v>2.3773854110932766</v>
      </c>
      <c r="F132" s="9">
        <f t="shared" si="4"/>
        <v>2.3839991380551679</v>
      </c>
      <c r="G132" s="9">
        <f t="shared" si="5"/>
        <v>2.3817308270397639</v>
      </c>
      <c r="H132" s="4">
        <f>C132*F132</f>
        <v>133.67083167075327</v>
      </c>
      <c r="I132" s="4">
        <f>C132*G132</f>
        <v>133.54364747211957</v>
      </c>
      <c r="J132" s="11">
        <f>LN(H132/D132)</f>
        <v>2.7780705999158198E-3</v>
      </c>
      <c r="K132" s="11">
        <f>LN(I132/D132)</f>
        <v>1.8261445767019339E-3</v>
      </c>
      <c r="R132" s="13">
        <v>56.07</v>
      </c>
      <c r="S132" s="14"/>
    </row>
    <row r="133" spans="2:19" x14ac:dyDescent="0.3">
      <c r="B133" s="1">
        <v>46217</v>
      </c>
      <c r="C133" s="4">
        <v>56.18</v>
      </c>
      <c r="D133" s="4">
        <v>133.63999999999999</v>
      </c>
      <c r="E133" s="8">
        <f t="shared" si="6"/>
        <v>2.3787824848700603</v>
      </c>
      <c r="F133" s="9">
        <f t="shared" si="4"/>
        <v>2.3829063912825474</v>
      </c>
      <c r="G133" s="9">
        <f t="shared" si="5"/>
        <v>2.3817308270397639</v>
      </c>
      <c r="H133" s="4">
        <f>C133*F133</f>
        <v>133.87168106225351</v>
      </c>
      <c r="I133" s="4">
        <f>C133*G133</f>
        <v>133.80563786309395</v>
      </c>
      <c r="J133" s="11">
        <f>LN(H133/D133)</f>
        <v>1.7321196536795238E-3</v>
      </c>
      <c r="K133" s="11">
        <f>LN(I133/D133)</f>
        <v>1.2386658133256034E-3</v>
      </c>
      <c r="R133" s="13">
        <v>56.18</v>
      </c>
      <c r="S133" s="14"/>
    </row>
    <row r="134" spans="2:19" x14ac:dyDescent="0.3">
      <c r="B134" s="1">
        <v>46218</v>
      </c>
      <c r="C134" s="4">
        <v>56.56</v>
      </c>
      <c r="D134" s="4">
        <v>134.5</v>
      </c>
      <c r="E134" s="8">
        <f t="shared" si="6"/>
        <v>2.3780056577086279</v>
      </c>
      <c r="F134" s="9">
        <f t="shared" si="4"/>
        <v>2.3823145158408692</v>
      </c>
      <c r="G134" s="9">
        <f t="shared" si="5"/>
        <v>2.3817308270397639</v>
      </c>
      <c r="H134" s="4">
        <f>C134*F134</f>
        <v>134.74370901595955</v>
      </c>
      <c r="I134" s="4">
        <f>C134*G134</f>
        <v>134.71069557736905</v>
      </c>
      <c r="J134" s="11">
        <f>LN(H134/D134)</f>
        <v>1.8103233194093058E-3</v>
      </c>
      <c r="K134" s="11">
        <f>LN(I134/D134)</f>
        <v>1.5652841722071508E-3</v>
      </c>
      <c r="R134" s="13">
        <v>56.56</v>
      </c>
      <c r="S134" s="14"/>
    </row>
    <row r="135" spans="2:19" x14ac:dyDescent="0.3">
      <c r="B135" s="1">
        <v>46219</v>
      </c>
      <c r="C135" s="4">
        <v>56.75</v>
      </c>
      <c r="D135" s="4">
        <v>134.56</v>
      </c>
      <c r="E135" s="8">
        <f t="shared" si="6"/>
        <v>2.3711013215859031</v>
      </c>
      <c r="F135" s="9">
        <f t="shared" si="4"/>
        <v>2.381669949905445</v>
      </c>
      <c r="G135" s="9">
        <f t="shared" si="5"/>
        <v>2.3817308270397639</v>
      </c>
      <c r="H135" s="4">
        <f>C135*F135</f>
        <v>135.15976965713401</v>
      </c>
      <c r="I135" s="4">
        <f>C135*G135</f>
        <v>135.16322443450659</v>
      </c>
      <c r="J135" s="11">
        <f>LN(H135/D135)</f>
        <v>4.4473613963677801E-3</v>
      </c>
      <c r="K135" s="11">
        <f>LN(I135/D135)</f>
        <v>4.4729217626576882E-3</v>
      </c>
      <c r="R135" s="13">
        <v>56.75</v>
      </c>
      <c r="S135" s="14"/>
    </row>
    <row r="136" spans="2:19" x14ac:dyDescent="0.3">
      <c r="B136" s="1">
        <v>46220</v>
      </c>
      <c r="C136" s="4">
        <v>56.26</v>
      </c>
      <c r="D136" s="4">
        <v>133.63</v>
      </c>
      <c r="E136" s="8">
        <f t="shared" si="6"/>
        <v>2.3752221827230713</v>
      </c>
      <c r="F136" s="9">
        <f t="shared" si="4"/>
        <v>2.3811988666271677</v>
      </c>
      <c r="G136" s="9">
        <f t="shared" si="5"/>
        <v>2.3817308270397639</v>
      </c>
      <c r="H136" s="4">
        <f>C136*F136</f>
        <v>133.96624823644444</v>
      </c>
      <c r="I136" s="4">
        <f>C136*G136</f>
        <v>133.99617632925711</v>
      </c>
      <c r="J136" s="11">
        <f>LN(H136/D136)</f>
        <v>2.513102598636983E-3</v>
      </c>
      <c r="K136" s="11">
        <f>LN(I136/D136)</f>
        <v>2.7364778945249304E-3</v>
      </c>
      <c r="R136" s="13">
        <v>56.26</v>
      </c>
      <c r="S136" s="14"/>
    </row>
    <row r="137" spans="2:19" x14ac:dyDescent="0.3">
      <c r="B137" s="1">
        <v>46223</v>
      </c>
      <c r="C137" s="4">
        <v>56.04</v>
      </c>
      <c r="D137" s="4">
        <v>132.91999999999999</v>
      </c>
      <c r="E137" s="8">
        <f t="shared" si="6"/>
        <v>2.3718772305496074</v>
      </c>
      <c r="F137" s="9">
        <f t="shared" si="4"/>
        <v>2.3815266539360462</v>
      </c>
      <c r="G137" s="9">
        <f t="shared" si="5"/>
        <v>2.3817308270397639</v>
      </c>
      <c r="H137" s="4">
        <f>C137*F137</f>
        <v>133.46075368657603</v>
      </c>
      <c r="I137" s="4">
        <f>C137*G137</f>
        <v>133.47219554730836</v>
      </c>
      <c r="J137" s="11">
        <f>LN(H137/D137)</f>
        <v>4.060011257521195E-3</v>
      </c>
      <c r="K137" s="11">
        <f>LN(I137/D137)</f>
        <v>4.1457396081963395E-3</v>
      </c>
      <c r="R137" s="13">
        <v>56.04</v>
      </c>
      <c r="S137" s="14"/>
    </row>
    <row r="138" spans="2:19" x14ac:dyDescent="0.3">
      <c r="B138" s="1">
        <v>46224</v>
      </c>
      <c r="C138" s="4">
        <v>56.11</v>
      </c>
      <c r="D138" s="4">
        <v>133.25</v>
      </c>
      <c r="E138" s="8">
        <f t="shared" si="6"/>
        <v>2.3747995009802176</v>
      </c>
      <c r="F138" s="9">
        <f t="shared" si="4"/>
        <v>2.380564580567925</v>
      </c>
      <c r="G138" s="9">
        <f t="shared" si="5"/>
        <v>2.3817308270397639</v>
      </c>
      <c r="H138" s="4">
        <f>C138*F138</f>
        <v>133.57347861566626</v>
      </c>
      <c r="I138" s="4">
        <f>C138*G138</f>
        <v>133.63891670520115</v>
      </c>
      <c r="J138" s="11">
        <f>LN(H138/D138)</f>
        <v>2.4246649944157867E-3</v>
      </c>
      <c r="K138" s="11">
        <f>LN(I138/D138)</f>
        <v>2.9144483427102721E-3</v>
      </c>
      <c r="R138" s="13">
        <v>56.11</v>
      </c>
      <c r="S138" s="14"/>
    </row>
    <row r="139" spans="2:19" x14ac:dyDescent="0.3">
      <c r="B139" s="1">
        <v>46225</v>
      </c>
      <c r="C139" s="4">
        <v>56.05</v>
      </c>
      <c r="D139" s="4">
        <v>133.28</v>
      </c>
      <c r="E139" s="8">
        <f t="shared" si="6"/>
        <v>2.3778768956289027</v>
      </c>
      <c r="F139" s="9">
        <f t="shared" si="4"/>
        <v>2.3796644387123989</v>
      </c>
      <c r="G139" s="9">
        <f t="shared" si="5"/>
        <v>2.3817308270397639</v>
      </c>
      <c r="H139" s="4">
        <f>C139*F139</f>
        <v>133.38019178982995</v>
      </c>
      <c r="I139" s="4">
        <f>C139*G139</f>
        <v>133.49601285557875</v>
      </c>
      <c r="J139" s="11">
        <f>LN(H139/D139)</f>
        <v>7.5145670504625647E-4</v>
      </c>
      <c r="K139" s="11">
        <f>LN(I139/D139)</f>
        <v>1.6194327254198749E-3</v>
      </c>
      <c r="R139" s="13">
        <v>56.05</v>
      </c>
      <c r="S139" s="14"/>
    </row>
    <row r="140" spans="2:19" x14ac:dyDescent="0.3">
      <c r="B140" s="1">
        <v>46226</v>
      </c>
      <c r="C140" s="4">
        <v>55.83</v>
      </c>
      <c r="D140" s="4">
        <v>132.84</v>
      </c>
      <c r="E140" s="8">
        <f t="shared" si="6"/>
        <v>2.3793659322944656</v>
      </c>
      <c r="F140" s="9">
        <f t="shared" si="4"/>
        <v>2.3793196303382915</v>
      </c>
      <c r="G140" s="9">
        <f t="shared" si="5"/>
        <v>2.3817308270397639</v>
      </c>
      <c r="H140" s="4">
        <f>C140*F140</f>
        <v>132.83741496178681</v>
      </c>
      <c r="I140" s="4">
        <f>C140*G140</f>
        <v>132.97203207363</v>
      </c>
      <c r="J140" s="11">
        <f>LN(H140/D140)</f>
        <v>-1.945997715805194E-5</v>
      </c>
      <c r="K140" s="11">
        <f>LN(I140/D140)</f>
        <v>9.9342443950684034E-4</v>
      </c>
      <c r="R140" s="13">
        <v>55.83</v>
      </c>
      <c r="S140" s="14"/>
    </row>
    <row r="141" spans="2:19" x14ac:dyDescent="0.3">
      <c r="B141" s="1">
        <v>46227</v>
      </c>
      <c r="C141" s="4">
        <v>56.31</v>
      </c>
      <c r="D141" s="4">
        <v>134.06</v>
      </c>
      <c r="E141" s="8">
        <f t="shared" si="6"/>
        <v>2.3807494228378618</v>
      </c>
      <c r="F141" s="9">
        <f t="shared" si="4"/>
        <v>2.3789745009189116</v>
      </c>
      <c r="G141" s="9">
        <f t="shared" si="5"/>
        <v>2.3817308270397639</v>
      </c>
      <c r="H141" s="4">
        <f>C141*F141</f>
        <v>133.96005414674391</v>
      </c>
      <c r="I141" s="4">
        <f>C141*G141</f>
        <v>134.11526287060911</v>
      </c>
      <c r="J141" s="11">
        <f>LN(H141/D141)</f>
        <v>-7.4580880305412064E-4</v>
      </c>
      <c r="K141" s="11">
        <f>LN(I141/D141)</f>
        <v>4.1213996249911113E-4</v>
      </c>
      <c r="R141" s="13">
        <v>56.31</v>
      </c>
      <c r="S141" s="14"/>
    </row>
    <row r="142" spans="2:19" x14ac:dyDescent="0.3">
      <c r="B142" s="1">
        <v>46230</v>
      </c>
      <c r="C142" s="4">
        <v>56.88</v>
      </c>
      <c r="D142" s="4">
        <v>135.16999999999999</v>
      </c>
      <c r="E142" s="8">
        <f t="shared" si="6"/>
        <v>2.3764064697608998</v>
      </c>
      <c r="F142" s="9">
        <f t="shared" si="4"/>
        <v>2.3784649756109895</v>
      </c>
      <c r="G142" s="9">
        <f t="shared" si="5"/>
        <v>2.3817308270397639</v>
      </c>
      <c r="H142" s="4">
        <f>C142*F142</f>
        <v>135.2870878127531</v>
      </c>
      <c r="I142" s="4">
        <f>C142*G142</f>
        <v>135.47284944202178</v>
      </c>
      <c r="J142" s="11">
        <f>LN(H142/D142)</f>
        <v>8.6585137047116834E-4</v>
      </c>
      <c r="K142" s="11">
        <f>LN(I142/D142)</f>
        <v>2.2380016250328223E-3</v>
      </c>
      <c r="R142" s="13">
        <v>56.88</v>
      </c>
      <c r="S142" s="14"/>
    </row>
    <row r="143" spans="2:19" x14ac:dyDescent="0.3">
      <c r="B143" s="1">
        <v>46231</v>
      </c>
      <c r="C143" s="4">
        <v>57.6</v>
      </c>
      <c r="D143" s="4">
        <v>136.71</v>
      </c>
      <c r="E143" s="8">
        <f t="shared" si="6"/>
        <v>2.3734375000000001</v>
      </c>
      <c r="F143" s="9">
        <f t="shared" si="4"/>
        <v>2.3782611990845557</v>
      </c>
      <c r="G143" s="9">
        <f t="shared" si="5"/>
        <v>2.3817308270397639</v>
      </c>
      <c r="H143" s="4">
        <f>C143*F143</f>
        <v>136.9878450672704</v>
      </c>
      <c r="I143" s="4">
        <f>C143*G143</f>
        <v>137.18769563749041</v>
      </c>
      <c r="J143" s="11">
        <f>LN(H143/D143)</f>
        <v>2.0303058114700678E-3</v>
      </c>
      <c r="K143" s="11">
        <f>LN(I143/D143)</f>
        <v>3.4881353837282235E-3</v>
      </c>
      <c r="R143" s="13">
        <v>57.6</v>
      </c>
      <c r="S143" s="14"/>
    </row>
    <row r="144" spans="2:19" x14ac:dyDescent="0.3">
      <c r="B144" s="1">
        <v>46232</v>
      </c>
      <c r="C144" s="4">
        <v>56.68</v>
      </c>
      <c r="D144" s="4">
        <v>134.18</v>
      </c>
      <c r="E144" s="8">
        <f t="shared" si="6"/>
        <v>2.3673253352152437</v>
      </c>
      <c r="F144" s="9">
        <f t="shared" si="4"/>
        <v>2.3777037575819344</v>
      </c>
      <c r="G144" s="9">
        <f t="shared" si="5"/>
        <v>2.3817308270397639</v>
      </c>
      <c r="H144" s="4">
        <f>C144*F144</f>
        <v>134.76824897974404</v>
      </c>
      <c r="I144" s="4">
        <f>C144*G144</f>
        <v>134.99650327661382</v>
      </c>
      <c r="J144" s="11">
        <f>LN(H144/D144)</f>
        <v>4.3744469058697288E-3</v>
      </c>
      <c r="K144" s="11">
        <f>LN(I144/D144)</f>
        <v>6.0666943135212351E-3</v>
      </c>
      <c r="R144" s="13">
        <v>56.68</v>
      </c>
      <c r="S144" s="14"/>
    </row>
    <row r="145" spans="2:19" x14ac:dyDescent="0.3">
      <c r="B145" s="1">
        <v>46233</v>
      </c>
      <c r="C145" s="4">
        <v>57</v>
      </c>
      <c r="D145" s="4">
        <v>134.77000000000001</v>
      </c>
      <c r="E145" s="8">
        <f t="shared" si="6"/>
        <v>2.3643859649122807</v>
      </c>
      <c r="F145" s="9">
        <f t="shared" si="4"/>
        <v>2.3770566812382823</v>
      </c>
      <c r="G145" s="9">
        <f t="shared" si="5"/>
        <v>2.3817308270397639</v>
      </c>
      <c r="H145" s="4">
        <f>C145*F145</f>
        <v>135.49223083058209</v>
      </c>
      <c r="I145" s="4">
        <f>C145*G145</f>
        <v>135.75865714126655</v>
      </c>
      <c r="J145" s="11">
        <f>LN(H145/D145)</f>
        <v>5.3446798511818704E-3</v>
      </c>
      <c r="K145" s="11">
        <f>LN(I145/D145)</f>
        <v>7.3091076792659625E-3</v>
      </c>
      <c r="R145" s="13">
        <v>57</v>
      </c>
      <c r="S145" s="14"/>
    </row>
    <row r="146" spans="2:19" x14ac:dyDescent="0.3">
      <c r="B146" s="1">
        <v>46234</v>
      </c>
      <c r="C146" s="4">
        <v>56.94</v>
      </c>
      <c r="D146" s="4">
        <v>134.65</v>
      </c>
      <c r="E146" s="8">
        <f t="shared" si="6"/>
        <v>2.364769933263084</v>
      </c>
      <c r="F146" s="9">
        <f t="shared" si="4"/>
        <v>2.376731711522436</v>
      </c>
      <c r="G146" s="9">
        <f t="shared" si="5"/>
        <v>2.3817308270397639</v>
      </c>
      <c r="H146" s="4">
        <f>C146*F146</f>
        <v>135.33110365408751</v>
      </c>
      <c r="I146" s="4">
        <f>C146*G146</f>
        <v>135.61575329164415</v>
      </c>
      <c r="J146" s="11">
        <f>LN(H146/D146)</f>
        <v>5.0455760778854815E-3</v>
      </c>
      <c r="K146" s="11">
        <f>LN(I146/D146)</f>
        <v>7.1467242180671495E-3</v>
      </c>
      <c r="R146" s="13">
        <v>56.94</v>
      </c>
      <c r="S146" s="14"/>
    </row>
    <row r="147" spans="2:19" x14ac:dyDescent="0.3">
      <c r="B147" s="1">
        <v>46237</v>
      </c>
      <c r="C147" s="4">
        <v>57.38</v>
      </c>
      <c r="D147" s="4">
        <v>135.91999999999999</v>
      </c>
      <c r="E147" s="8">
        <f t="shared" si="6"/>
        <v>2.3687696061345411</v>
      </c>
      <c r="F147" s="9">
        <f t="shared" si="4"/>
        <v>2.3761641355413117</v>
      </c>
      <c r="G147" s="9">
        <f t="shared" si="5"/>
        <v>2.3817308270397639</v>
      </c>
      <c r="H147" s="4">
        <f>C147*F147</f>
        <v>136.34429809736048</v>
      </c>
      <c r="I147" s="4">
        <f>C147*G147</f>
        <v>136.66371485554166</v>
      </c>
      <c r="J147" s="11">
        <f>LN(H147/D147)</f>
        <v>3.1168129190151167E-3</v>
      </c>
      <c r="K147" s="11">
        <f>LN(I147/D147)</f>
        <v>5.4567948153260168E-3</v>
      </c>
      <c r="R147" s="13">
        <v>57.38</v>
      </c>
      <c r="S147" s="14"/>
    </row>
    <row r="148" spans="2:19" x14ac:dyDescent="0.3">
      <c r="B148" s="1">
        <v>46238</v>
      </c>
      <c r="C148" s="4">
        <v>57.88</v>
      </c>
      <c r="D148" s="4">
        <v>137.08000000000001</v>
      </c>
      <c r="E148" s="8">
        <f t="shared" si="6"/>
        <v>2.3683483068417415</v>
      </c>
      <c r="F148" s="9">
        <f t="shared" si="4"/>
        <v>2.375402246690713</v>
      </c>
      <c r="G148" s="9">
        <f t="shared" si="5"/>
        <v>2.3817308270397639</v>
      </c>
      <c r="H148" s="4">
        <f>C148*F148</f>
        <v>137.48828203845846</v>
      </c>
      <c r="I148" s="4">
        <f>C148*G148</f>
        <v>137.85458026906153</v>
      </c>
      <c r="J148" s="11">
        <f>LN(H148/D148)</f>
        <v>2.9739949301723608E-3</v>
      </c>
      <c r="K148" s="11">
        <f>LN(I148/D148)</f>
        <v>5.6346663826586417E-3</v>
      </c>
      <c r="R148" s="13">
        <v>57.88</v>
      </c>
      <c r="S148" s="14"/>
    </row>
    <row r="149" spans="2:19" x14ac:dyDescent="0.3">
      <c r="B149" s="1">
        <v>46239</v>
      </c>
      <c r="C149" s="4">
        <v>58</v>
      </c>
      <c r="D149" s="4">
        <v>137.44999999999999</v>
      </c>
      <c r="E149" s="8">
        <f t="shared" si="6"/>
        <v>2.3698275862068963</v>
      </c>
      <c r="F149" s="9">
        <f t="shared" ref="F149:F163" si="7">AVERAGE(E130:E149)</f>
        <v>2.3745285177601994</v>
      </c>
      <c r="G149" s="9">
        <f t="shared" si="5"/>
        <v>2.3817308270397639</v>
      </c>
      <c r="H149" s="4">
        <f>C149*F149</f>
        <v>137.72265403009158</v>
      </c>
      <c r="I149" s="4">
        <f>C149*G149</f>
        <v>138.1403879683063</v>
      </c>
      <c r="J149" s="11">
        <f>LN(H149/D149)</f>
        <v>1.9816948764857819E-3</v>
      </c>
      <c r="K149" s="11">
        <f>LN(I149/D149)</f>
        <v>5.0102575609483994E-3</v>
      </c>
      <c r="R149" s="13">
        <v>58</v>
      </c>
      <c r="S149" s="14"/>
    </row>
    <row r="150" spans="2:19" x14ac:dyDescent="0.3">
      <c r="B150" s="1">
        <v>46240</v>
      </c>
      <c r="C150" s="4">
        <v>57.81</v>
      </c>
      <c r="D150" s="4">
        <v>136.80000000000001</v>
      </c>
      <c r="E150" s="8">
        <f t="shared" si="6"/>
        <v>2.366372599896212</v>
      </c>
      <c r="F150" s="9">
        <f t="shared" si="7"/>
        <v>2.3735637484031913</v>
      </c>
      <c r="G150" s="9">
        <f t="shared" ref="G150:G172" si="8">G149</f>
        <v>2.3817308270397639</v>
      </c>
      <c r="H150" s="4">
        <f>C150*F150</f>
        <v>137.2157202951885</v>
      </c>
      <c r="I150" s="4">
        <f>C150*G150</f>
        <v>137.68785911116876</v>
      </c>
      <c r="J150" s="11">
        <f>LN(H150/D150)</f>
        <v>3.0342829506101714E-3</v>
      </c>
      <c r="K150" s="11">
        <f>LN(I150/D150)</f>
        <v>6.4692275317182711E-3</v>
      </c>
      <c r="R150" s="13">
        <v>57.81</v>
      </c>
      <c r="S150" s="14"/>
    </row>
    <row r="151" spans="2:19" x14ac:dyDescent="0.3">
      <c r="B151" s="1">
        <v>46241</v>
      </c>
      <c r="C151" s="4">
        <v>57.6</v>
      </c>
      <c r="D151" s="4">
        <v>136.86000000000001</v>
      </c>
      <c r="E151" s="8">
        <f t="shared" si="6"/>
        <v>2.3760416666666671</v>
      </c>
      <c r="F151" s="9">
        <f t="shared" si="7"/>
        <v>2.3730425504584778</v>
      </c>
      <c r="G151" s="9">
        <f t="shared" si="8"/>
        <v>2.3817308270397639</v>
      </c>
      <c r="H151" s="4">
        <f>C151*F151</f>
        <v>136.68725090640834</v>
      </c>
      <c r="I151" s="4">
        <f>C151*G151</f>
        <v>137.18769563749041</v>
      </c>
      <c r="J151" s="11">
        <f>LN(H151/D151)</f>
        <v>-1.2630294472637427E-3</v>
      </c>
      <c r="K151" s="11">
        <f>LN(I151/D151)</f>
        <v>2.391523803277389E-3</v>
      </c>
      <c r="R151" s="13">
        <v>57.6</v>
      </c>
      <c r="S151" s="14"/>
    </row>
    <row r="152" spans="2:19" x14ac:dyDescent="0.3">
      <c r="B152" s="1">
        <v>46244</v>
      </c>
      <c r="C152" s="4">
        <v>57.81</v>
      </c>
      <c r="D152" s="4">
        <v>137.35</v>
      </c>
      <c r="E152" s="8">
        <f t="shared" si="6"/>
        <v>2.375886524822695</v>
      </c>
      <c r="F152" s="9">
        <f t="shared" si="7"/>
        <v>2.3729676061449489</v>
      </c>
      <c r="G152" s="9">
        <f t="shared" si="8"/>
        <v>2.3817308270397639</v>
      </c>
      <c r="H152" s="4">
        <f>C152*F152</f>
        <v>137.18125731123951</v>
      </c>
      <c r="I152" s="4">
        <f>C152*G152</f>
        <v>137.68785911116876</v>
      </c>
      <c r="J152" s="11">
        <f>LN(H152/D152)</f>
        <v>-1.2293150999540562E-3</v>
      </c>
      <c r="K152" s="11">
        <f>LN(I152/D152)</f>
        <v>2.4568201788855914E-3</v>
      </c>
      <c r="R152" s="13">
        <v>57.81</v>
      </c>
      <c r="S152" s="14"/>
    </row>
    <row r="153" spans="2:19" x14ac:dyDescent="0.3">
      <c r="B153" s="1">
        <v>46245</v>
      </c>
      <c r="C153" s="4">
        <v>57.8</v>
      </c>
      <c r="D153" s="4">
        <v>137.37</v>
      </c>
      <c r="E153" s="8">
        <f t="shared" si="6"/>
        <v>2.3766435986159173</v>
      </c>
      <c r="F153" s="9">
        <f t="shared" si="7"/>
        <v>2.3728606618322416</v>
      </c>
      <c r="G153" s="9">
        <f t="shared" si="8"/>
        <v>2.3817308270397639</v>
      </c>
      <c r="H153" s="4">
        <f>C153*F153</f>
        <v>137.15134625390357</v>
      </c>
      <c r="I153" s="4">
        <f>C153*G153</f>
        <v>137.66404180289834</v>
      </c>
      <c r="J153" s="11">
        <f>LN(H153/D153)</f>
        <v>-1.5929820782099031E-3</v>
      </c>
      <c r="K153" s="11">
        <f>LN(I153/D153)</f>
        <v>2.1382219670015162E-3</v>
      </c>
      <c r="R153" s="13">
        <v>57.8</v>
      </c>
      <c r="S153" s="14"/>
    </row>
    <row r="154" spans="2:19" x14ac:dyDescent="0.3">
      <c r="B154" s="1">
        <v>46246</v>
      </c>
      <c r="C154" s="4">
        <v>57.92</v>
      </c>
      <c r="D154" s="4">
        <v>137.74</v>
      </c>
      <c r="E154" s="8">
        <f t="shared" si="6"/>
        <v>2.3781077348066297</v>
      </c>
      <c r="F154" s="9">
        <f t="shared" si="7"/>
        <v>2.3728657656871421</v>
      </c>
      <c r="G154" s="9">
        <f t="shared" si="8"/>
        <v>2.3817308270397639</v>
      </c>
      <c r="H154" s="4">
        <f>C154*F154</f>
        <v>137.43638514859927</v>
      </c>
      <c r="I154" s="4">
        <f>C154*G154</f>
        <v>137.94984950214314</v>
      </c>
      <c r="J154" s="11">
        <f>LN(H154/D154)</f>
        <v>-2.2066935317945698E-3</v>
      </c>
      <c r="K154" s="11">
        <f>LN(I154/D154)</f>
        <v>1.5223595866924243E-3</v>
      </c>
      <c r="R154" s="13">
        <v>57.92</v>
      </c>
      <c r="S154" s="14"/>
    </row>
    <row r="155" spans="2:19" x14ac:dyDescent="0.3">
      <c r="B155" s="1">
        <v>46247</v>
      </c>
      <c r="C155" s="4">
        <v>58.26</v>
      </c>
      <c r="D155" s="4">
        <v>138.51</v>
      </c>
      <c r="E155" s="8">
        <f t="shared" si="6"/>
        <v>2.3774459320288361</v>
      </c>
      <c r="F155" s="9">
        <f t="shared" si="7"/>
        <v>2.3731829962092887</v>
      </c>
      <c r="G155" s="9">
        <f t="shared" si="8"/>
        <v>2.3817308270397639</v>
      </c>
      <c r="H155" s="4">
        <f>C155*F155</f>
        <v>138.26164135915315</v>
      </c>
      <c r="I155" s="4">
        <f>C155*G155</f>
        <v>138.75963798333663</v>
      </c>
      <c r="J155" s="11">
        <f>LN(H155/D155)</f>
        <v>-1.794683200117522E-3</v>
      </c>
      <c r="K155" s="11">
        <f>LN(I155/D155)</f>
        <v>1.800687970064962E-3</v>
      </c>
      <c r="R155" s="13">
        <v>58.26</v>
      </c>
      <c r="S155" s="14"/>
    </row>
    <row r="156" spans="2:19" x14ac:dyDescent="0.3">
      <c r="B156" s="1">
        <v>46248</v>
      </c>
      <c r="C156" s="4">
        <v>58.16</v>
      </c>
      <c r="D156" s="4">
        <v>138.29</v>
      </c>
      <c r="E156" s="8">
        <f t="shared" si="6"/>
        <v>2.3777510316368637</v>
      </c>
      <c r="F156" s="9">
        <f t="shared" si="7"/>
        <v>2.373309438654978</v>
      </c>
      <c r="G156" s="9">
        <f t="shared" si="8"/>
        <v>2.3817308270397639</v>
      </c>
      <c r="H156" s="4">
        <f>C156*F156</f>
        <v>138.03167695217351</v>
      </c>
      <c r="I156" s="4">
        <f>C156*G156</f>
        <v>138.52146490063265</v>
      </c>
      <c r="J156" s="11">
        <f>LN(H156/D156)</f>
        <v>-1.8697275286638929E-3</v>
      </c>
      <c r="K156" s="11">
        <f>LN(I156/D156)</f>
        <v>1.6723653744805584E-3</v>
      </c>
      <c r="R156" s="13">
        <v>58.16</v>
      </c>
      <c r="S156" s="14"/>
    </row>
    <row r="157" spans="2:19" x14ac:dyDescent="0.3">
      <c r="B157" s="1">
        <v>46251</v>
      </c>
      <c r="C157" s="4">
        <v>57.58</v>
      </c>
      <c r="D157" s="4">
        <v>137.01</v>
      </c>
      <c r="E157" s="8">
        <f t="shared" si="6"/>
        <v>2.3794720389023967</v>
      </c>
      <c r="F157" s="9">
        <f t="shared" si="7"/>
        <v>2.3736891790726178</v>
      </c>
      <c r="G157" s="9">
        <f t="shared" si="8"/>
        <v>2.3817308270397639</v>
      </c>
      <c r="H157" s="4">
        <f>C157*F157</f>
        <v>136.67702293100132</v>
      </c>
      <c r="I157" s="4">
        <f>C157*G157</f>
        <v>137.14006102094959</v>
      </c>
      <c r="J157" s="11">
        <f>LN(H157/D157)</f>
        <v>-2.4332701618343996E-3</v>
      </c>
      <c r="K157" s="11">
        <f>LN(I157/D157)</f>
        <v>9.4883094479614974E-4</v>
      </c>
      <c r="R157" s="13">
        <v>57.58</v>
      </c>
      <c r="S157" s="14"/>
    </row>
    <row r="158" spans="2:19" x14ac:dyDescent="0.3">
      <c r="B158" s="1">
        <v>46252</v>
      </c>
      <c r="C158" s="4">
        <v>57.84</v>
      </c>
      <c r="D158" s="4">
        <v>137.18</v>
      </c>
      <c r="E158" s="8">
        <f t="shared" si="6"/>
        <v>2.3717150760719226</v>
      </c>
      <c r="F158" s="9">
        <f t="shared" si="7"/>
        <v>2.3735349578272031</v>
      </c>
      <c r="G158" s="9">
        <f t="shared" si="8"/>
        <v>2.3817308270397639</v>
      </c>
      <c r="H158" s="4">
        <f>C158*F158</f>
        <v>137.28526196072545</v>
      </c>
      <c r="I158" s="4">
        <f>C158*G158</f>
        <v>137.75931103597995</v>
      </c>
      <c r="J158" s="11">
        <f>LN(H158/D158)</f>
        <v>7.6703306738564662E-4</v>
      </c>
      <c r="K158" s="11">
        <f>LN(I158/D158)</f>
        <v>4.214107405117541E-3</v>
      </c>
      <c r="R158" s="13">
        <v>57.84</v>
      </c>
      <c r="S158" s="14"/>
    </row>
    <row r="159" spans="2:19" x14ac:dyDescent="0.3">
      <c r="B159" s="1">
        <v>46253</v>
      </c>
      <c r="C159" s="4">
        <v>57.48</v>
      </c>
      <c r="D159" s="4">
        <v>136.19999999999999</v>
      </c>
      <c r="E159" s="8">
        <f t="shared" si="6"/>
        <v>2.3695198329853859</v>
      </c>
      <c r="F159" s="9">
        <f t="shared" si="7"/>
        <v>2.3731171046950275</v>
      </c>
      <c r="G159" s="9">
        <f t="shared" si="8"/>
        <v>2.3817308270397639</v>
      </c>
      <c r="H159" s="4">
        <f>C159*F159</f>
        <v>136.40677117787018</v>
      </c>
      <c r="I159" s="4">
        <f>C159*G159</f>
        <v>136.90188793824564</v>
      </c>
      <c r="J159" s="11">
        <f>LN(H159/D159)</f>
        <v>1.5169925283201246E-3</v>
      </c>
      <c r="K159" s="11">
        <f>LN(I159/D159)</f>
        <v>5.1401291211959606E-3</v>
      </c>
      <c r="R159" s="13">
        <v>57.48</v>
      </c>
      <c r="S159" s="14"/>
    </row>
    <row r="160" spans="2:19" x14ac:dyDescent="0.3">
      <c r="B160" s="1">
        <v>46254</v>
      </c>
      <c r="C160" s="4">
        <v>56.95</v>
      </c>
      <c r="D160" s="4">
        <v>134.82</v>
      </c>
      <c r="E160" s="8">
        <f t="shared" si="6"/>
        <v>2.3673397717295872</v>
      </c>
      <c r="F160" s="9">
        <f t="shared" si="7"/>
        <v>2.3725157966667831</v>
      </c>
      <c r="G160" s="9">
        <f t="shared" si="8"/>
        <v>2.3817308270397639</v>
      </c>
      <c r="H160" s="4">
        <f>C160*F160</f>
        <v>135.11477462017331</v>
      </c>
      <c r="I160" s="4">
        <f>C160*G160</f>
        <v>135.63957059991455</v>
      </c>
      <c r="J160" s="11">
        <f>LN(H160/D160)</f>
        <v>2.1840441844678633E-3</v>
      </c>
      <c r="K160" s="11">
        <f>LN(I160/D160)</f>
        <v>6.0605960936819117E-3</v>
      </c>
      <c r="R160" s="13">
        <v>56.95</v>
      </c>
      <c r="S160" s="14"/>
    </row>
    <row r="161" spans="2:19" x14ac:dyDescent="0.3">
      <c r="B161" s="1">
        <v>46255</v>
      </c>
      <c r="C161" s="4">
        <v>57.48</v>
      </c>
      <c r="D161" s="4">
        <v>136.16</v>
      </c>
      <c r="E161" s="8">
        <f t="shared" si="6"/>
        <v>2.3688239387613081</v>
      </c>
      <c r="F161" s="9">
        <f t="shared" si="7"/>
        <v>2.3719195224629552</v>
      </c>
      <c r="G161" s="9">
        <f t="shared" si="8"/>
        <v>2.3817308270397639</v>
      </c>
      <c r="H161" s="4">
        <f>C161*F161</f>
        <v>136.33793415117066</v>
      </c>
      <c r="I161" s="4">
        <f>C161*G161</f>
        <v>136.90188793824564</v>
      </c>
      <c r="J161" s="11">
        <f>LN(H161/D161)</f>
        <v>1.3059488103191483E-3</v>
      </c>
      <c r="K161" s="11">
        <f>LN(I161/D161)</f>
        <v>5.4338580115440051E-3</v>
      </c>
      <c r="R161" s="13">
        <v>57.48</v>
      </c>
      <c r="S161" s="14"/>
    </row>
    <row r="162" spans="2:19" x14ac:dyDescent="0.3">
      <c r="B162" s="1">
        <v>46258</v>
      </c>
      <c r="C162" s="4">
        <v>58.22</v>
      </c>
      <c r="D162" s="4">
        <v>137.36000000000001</v>
      </c>
      <c r="E162" s="8">
        <f t="shared" si="6"/>
        <v>2.3593266918584681</v>
      </c>
      <c r="F162" s="9">
        <f t="shared" si="7"/>
        <v>2.3710655335678341</v>
      </c>
      <c r="G162" s="9">
        <f t="shared" si="8"/>
        <v>2.3817308270397639</v>
      </c>
      <c r="H162" s="4">
        <f>C162*F162</f>
        <v>138.04343536431929</v>
      </c>
      <c r="I162" s="4">
        <f>C162*G162</f>
        <v>138.66436875025505</v>
      </c>
      <c r="J162" s="11">
        <f>LN(H162/D162)</f>
        <v>4.9631680617104566E-3</v>
      </c>
      <c r="K162" s="11">
        <f>LN(I162/D162)</f>
        <v>9.4511833540405765E-3</v>
      </c>
      <c r="R162" s="13">
        <v>58.22</v>
      </c>
      <c r="S162" s="14"/>
    </row>
    <row r="163" spans="2:19" x14ac:dyDescent="0.3">
      <c r="B163" s="1">
        <v>46259</v>
      </c>
      <c r="C163" s="4">
        <v>58.31</v>
      </c>
      <c r="D163" s="4">
        <v>137.63</v>
      </c>
      <c r="E163" s="8">
        <f t="shared" si="6"/>
        <v>2.3603155547933459</v>
      </c>
      <c r="F163" s="9">
        <f t="shared" si="7"/>
        <v>2.3704094363075017</v>
      </c>
      <c r="G163" s="9">
        <f t="shared" si="8"/>
        <v>2.3817308270397639</v>
      </c>
      <c r="H163" s="4">
        <f>C163*F163</f>
        <v>138.21857423109043</v>
      </c>
      <c r="I163" s="4">
        <f>C163*G163</f>
        <v>138.87872452468864</v>
      </c>
      <c r="J163" s="11">
        <f>LN(H163/D163)</f>
        <v>4.2673784043844656E-3</v>
      </c>
      <c r="K163" s="11">
        <f>LN(I163/D163)</f>
        <v>9.0321418684070828E-3</v>
      </c>
      <c r="R163" s="13">
        <v>58.31</v>
      </c>
      <c r="S163" s="14"/>
    </row>
    <row r="164" spans="2:19" x14ac:dyDescent="0.3">
      <c r="R164" s="13"/>
      <c r="S164" s="14"/>
    </row>
    <row r="165" spans="2:19" x14ac:dyDescent="0.3">
      <c r="R165" s="13"/>
      <c r="S165" s="14"/>
    </row>
    <row r="166" spans="2:19" x14ac:dyDescent="0.3">
      <c r="R166" s="13"/>
      <c r="S166" s="14"/>
    </row>
    <row r="167" spans="2:19" x14ac:dyDescent="0.3">
      <c r="R167" s="13"/>
      <c r="S167" s="14"/>
    </row>
    <row r="168" spans="2:19" x14ac:dyDescent="0.3">
      <c r="R168" s="13"/>
      <c r="S168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5114-56A0-4C12-BB28-411F8A9495D6}">
  <dimension ref="A1:O164"/>
  <sheetViews>
    <sheetView workbookViewId="0">
      <selection sqref="A1:A1048576"/>
    </sheetView>
  </sheetViews>
  <sheetFormatPr defaultRowHeight="14.4" x14ac:dyDescent="0.3"/>
  <cols>
    <col min="1" max="1" width="8.21875" style="6" customWidth="1"/>
    <col min="2" max="2" width="10.33203125" style="1" bestFit="1" customWidth="1"/>
    <col min="3" max="4" width="8.88671875" style="4"/>
    <col min="5" max="5" width="10.6640625" style="8" bestFit="1" customWidth="1"/>
    <col min="7" max="7" width="10.33203125" style="1" bestFit="1" customWidth="1"/>
    <col min="8" max="9" width="8.88671875" style="4"/>
    <col min="10" max="11" width="8.88671875" style="11"/>
  </cols>
  <sheetData>
    <row r="1" spans="2:15" s="3" customFormat="1" x14ac:dyDescent="0.3">
      <c r="B1" s="2" t="s">
        <v>0</v>
      </c>
      <c r="C1" s="5" t="s">
        <v>14</v>
      </c>
      <c r="D1" s="5" t="s">
        <v>3</v>
      </c>
      <c r="E1" s="7" t="str">
        <f>_xlfn.CONCAT(D1,"/",C1)</f>
        <v>IDU/XLU</v>
      </c>
      <c r="F1" s="3" t="s">
        <v>13</v>
      </c>
      <c r="G1" s="1"/>
      <c r="H1" s="10" t="s">
        <v>9</v>
      </c>
      <c r="I1" s="10" t="s">
        <v>10</v>
      </c>
      <c r="J1" s="10" t="s">
        <v>11</v>
      </c>
      <c r="K1" s="10" t="s">
        <v>12</v>
      </c>
      <c r="L1"/>
      <c r="N1"/>
      <c r="O1"/>
    </row>
    <row r="2" spans="2:15" x14ac:dyDescent="0.3">
      <c r="B2" s="1">
        <v>46024</v>
      </c>
      <c r="C2" s="4">
        <v>43.18</v>
      </c>
      <c r="D2" s="4">
        <v>109.52</v>
      </c>
      <c r="E2" s="8">
        <f>D2/C2</f>
        <v>2.5363594256600277</v>
      </c>
    </row>
    <row r="3" spans="2:15" x14ac:dyDescent="0.3">
      <c r="B3" s="1">
        <v>46027</v>
      </c>
      <c r="C3" s="4">
        <v>42.7</v>
      </c>
      <c r="D3" s="4">
        <v>108.41</v>
      </c>
      <c r="E3" s="8">
        <f t="shared" ref="E3:E66" si="0">D3/C3</f>
        <v>2.5388758782201402</v>
      </c>
    </row>
    <row r="4" spans="2:15" x14ac:dyDescent="0.3">
      <c r="B4" s="1">
        <v>46028</v>
      </c>
      <c r="C4" s="4">
        <v>42.91</v>
      </c>
      <c r="D4" s="4">
        <v>108.86</v>
      </c>
      <c r="E4" s="8">
        <f t="shared" si="0"/>
        <v>2.5369377767420183</v>
      </c>
    </row>
    <row r="5" spans="2:15" x14ac:dyDescent="0.3">
      <c r="B5" s="1">
        <v>46029</v>
      </c>
      <c r="C5" s="4">
        <v>41.87</v>
      </c>
      <c r="D5" s="4">
        <v>106.3</v>
      </c>
      <c r="E5" s="8">
        <f t="shared" si="0"/>
        <v>2.5388106042512542</v>
      </c>
    </row>
    <row r="6" spans="2:15" x14ac:dyDescent="0.3">
      <c r="B6" s="1">
        <v>46030</v>
      </c>
      <c r="C6" s="4">
        <v>41.99</v>
      </c>
      <c r="D6" s="4">
        <v>106.66</v>
      </c>
      <c r="E6" s="8">
        <f t="shared" si="0"/>
        <v>2.5401286020481066</v>
      </c>
    </row>
    <row r="7" spans="2:15" x14ac:dyDescent="0.3">
      <c r="B7" s="1">
        <v>46031</v>
      </c>
      <c r="C7" s="4">
        <v>42.51</v>
      </c>
      <c r="D7" s="4">
        <v>107.99</v>
      </c>
      <c r="E7" s="8">
        <f t="shared" si="0"/>
        <v>2.5403434486003293</v>
      </c>
    </row>
    <row r="8" spans="2:15" x14ac:dyDescent="0.3">
      <c r="B8" s="1">
        <v>46034</v>
      </c>
      <c r="C8" s="4">
        <v>42.58</v>
      </c>
      <c r="D8" s="4">
        <v>108.07</v>
      </c>
      <c r="E8" s="8">
        <f t="shared" si="0"/>
        <v>2.5380460310004698</v>
      </c>
    </row>
    <row r="9" spans="2:15" x14ac:dyDescent="0.3">
      <c r="B9" s="1">
        <v>46035</v>
      </c>
      <c r="C9" s="4">
        <v>42.85</v>
      </c>
      <c r="D9" s="4">
        <v>108.72</v>
      </c>
      <c r="E9" s="8">
        <f t="shared" si="0"/>
        <v>2.5372228704784128</v>
      </c>
    </row>
    <row r="10" spans="2:15" x14ac:dyDescent="0.3">
      <c r="B10" s="1">
        <v>46036</v>
      </c>
      <c r="C10" s="4">
        <v>43.17</v>
      </c>
      <c r="D10" s="4">
        <v>109.47</v>
      </c>
      <c r="E10" s="8">
        <f t="shared" si="0"/>
        <v>2.5357887421820706</v>
      </c>
    </row>
    <row r="11" spans="2:15" x14ac:dyDescent="0.3">
      <c r="B11" s="1">
        <v>46037</v>
      </c>
      <c r="C11" s="4">
        <v>43.61</v>
      </c>
      <c r="D11" s="4">
        <v>110.72</v>
      </c>
      <c r="E11" s="8">
        <f t="shared" si="0"/>
        <v>2.5388672322861727</v>
      </c>
      <c r="F11" s="9"/>
      <c r="G11" s="9"/>
    </row>
    <row r="12" spans="2:15" x14ac:dyDescent="0.3">
      <c r="B12" s="1">
        <v>46038</v>
      </c>
      <c r="C12" s="4">
        <v>43.39</v>
      </c>
      <c r="D12" s="4">
        <v>110.09</v>
      </c>
      <c r="E12" s="8">
        <f t="shared" si="0"/>
        <v>2.5372205577321965</v>
      </c>
      <c r="F12" s="9"/>
      <c r="G12" s="9"/>
    </row>
    <row r="13" spans="2:15" x14ac:dyDescent="0.3">
      <c r="B13" s="1">
        <v>46042</v>
      </c>
      <c r="C13" s="4">
        <v>42.96</v>
      </c>
      <c r="D13" s="4">
        <v>108.99</v>
      </c>
      <c r="E13" s="8">
        <f t="shared" si="0"/>
        <v>2.5370111731843572</v>
      </c>
      <c r="F13" s="9"/>
      <c r="G13" s="9"/>
    </row>
    <row r="14" spans="2:15" x14ac:dyDescent="0.3">
      <c r="B14" s="1">
        <v>46043</v>
      </c>
      <c r="C14" s="4">
        <v>43.02</v>
      </c>
      <c r="D14" s="4">
        <v>109.45</v>
      </c>
      <c r="E14" s="8">
        <f t="shared" si="0"/>
        <v>2.5441655044165503</v>
      </c>
      <c r="F14" s="9"/>
      <c r="G14" s="9"/>
    </row>
    <row r="15" spans="2:15" x14ac:dyDescent="0.3">
      <c r="B15" s="1">
        <v>46044</v>
      </c>
      <c r="C15" s="4">
        <v>42.71</v>
      </c>
      <c r="D15" s="4">
        <v>108.88</v>
      </c>
      <c r="E15" s="8">
        <f t="shared" si="0"/>
        <v>2.5492858815265742</v>
      </c>
      <c r="F15" s="9"/>
      <c r="G15" s="9"/>
    </row>
    <row r="16" spans="2:15" x14ac:dyDescent="0.3">
      <c r="B16" s="1">
        <v>46045</v>
      </c>
      <c r="C16" s="4">
        <v>42.56</v>
      </c>
      <c r="D16" s="4">
        <v>108.5</v>
      </c>
      <c r="E16" s="8">
        <f t="shared" si="0"/>
        <v>2.549342105263158</v>
      </c>
      <c r="F16" s="9"/>
      <c r="G16" s="9"/>
    </row>
    <row r="17" spans="2:11" x14ac:dyDescent="0.3">
      <c r="B17" s="1">
        <v>46048</v>
      </c>
      <c r="C17" s="4">
        <v>42.87</v>
      </c>
      <c r="D17" s="4">
        <v>109.26</v>
      </c>
      <c r="E17" s="8">
        <f t="shared" si="0"/>
        <v>2.5486354093771872</v>
      </c>
      <c r="F17" s="9"/>
      <c r="G17" s="9"/>
    </row>
    <row r="18" spans="2:11" x14ac:dyDescent="0.3">
      <c r="B18" s="1">
        <v>46049</v>
      </c>
      <c r="C18" s="4">
        <v>43.43</v>
      </c>
      <c r="D18" s="4">
        <v>110.5</v>
      </c>
      <c r="E18" s="8">
        <f t="shared" si="0"/>
        <v>2.5443241998618467</v>
      </c>
      <c r="F18" s="9"/>
      <c r="G18" s="9"/>
    </row>
    <row r="19" spans="2:11" x14ac:dyDescent="0.3">
      <c r="B19" s="1">
        <v>46050</v>
      </c>
      <c r="C19" s="4">
        <v>43.33</v>
      </c>
      <c r="D19" s="4">
        <v>110.31</v>
      </c>
      <c r="E19" s="8">
        <f t="shared" si="0"/>
        <v>2.5458112162474036</v>
      </c>
      <c r="F19" s="9"/>
      <c r="G19" s="9"/>
    </row>
    <row r="20" spans="2:11" x14ac:dyDescent="0.3">
      <c r="B20" s="1">
        <v>46051</v>
      </c>
      <c r="C20" s="4">
        <v>43.33</v>
      </c>
      <c r="D20" s="4">
        <v>110</v>
      </c>
      <c r="E20" s="8">
        <f t="shared" si="0"/>
        <v>2.5386568197553658</v>
      </c>
      <c r="F20" s="9"/>
      <c r="G20" s="9"/>
    </row>
    <row r="21" spans="2:11" x14ac:dyDescent="0.3">
      <c r="B21" s="1">
        <v>46052</v>
      </c>
      <c r="C21" s="4">
        <v>43.25</v>
      </c>
      <c r="D21" s="4">
        <v>109.81</v>
      </c>
      <c r="E21" s="8">
        <f t="shared" si="0"/>
        <v>2.5389595375722545</v>
      </c>
      <c r="F21" s="9">
        <f t="shared" ref="F21:F84" si="1">AVERAGE(E2:E21)</f>
        <v>2.5407396508202948</v>
      </c>
      <c r="G21" s="9">
        <f>AVERAGE(E:E)</f>
        <v>2.5328507415414485</v>
      </c>
      <c r="H21" s="4">
        <f>C21*F21</f>
        <v>109.88698989797776</v>
      </c>
      <c r="I21" s="4">
        <f>C21*G21</f>
        <v>109.54579457166764</v>
      </c>
      <c r="J21" s="11">
        <f>LN(H21/D21)</f>
        <v>7.0087351824998391E-4</v>
      </c>
      <c r="K21" s="11">
        <f>LN(I21/D21)</f>
        <v>-2.4089225143248813E-3</v>
      </c>
    </row>
    <row r="22" spans="2:11" x14ac:dyDescent="0.3">
      <c r="B22" s="1">
        <v>46055</v>
      </c>
      <c r="C22" s="4">
        <v>42.62</v>
      </c>
      <c r="D22" s="4">
        <v>108.38</v>
      </c>
      <c r="E22" s="8">
        <f t="shared" si="0"/>
        <v>2.5429375879868608</v>
      </c>
      <c r="F22" s="9">
        <f t="shared" si="1"/>
        <v>2.5410685589366366</v>
      </c>
      <c r="G22" s="9">
        <f t="shared" ref="G22:G85" si="2">G21</f>
        <v>2.5328507415414485</v>
      </c>
      <c r="H22" s="4">
        <f>C22*F22</f>
        <v>108.30034198187944</v>
      </c>
      <c r="I22" s="4">
        <f>C22*G22</f>
        <v>107.95009860449653</v>
      </c>
      <c r="J22" s="11">
        <f>LN(H22/D22)</f>
        <v>-7.352584085901072E-4</v>
      </c>
      <c r="K22" s="11">
        <f>LN(I22/D22)</f>
        <v>-3.9744997500883606E-3</v>
      </c>
    </row>
    <row r="23" spans="2:11" x14ac:dyDescent="0.3">
      <c r="B23" s="1">
        <v>46056</v>
      </c>
      <c r="C23" s="4">
        <v>43.24</v>
      </c>
      <c r="D23" s="4">
        <v>109.89</v>
      </c>
      <c r="E23" s="8">
        <f t="shared" si="0"/>
        <v>2.5413968547641073</v>
      </c>
      <c r="F23" s="9">
        <f t="shared" si="1"/>
        <v>2.5411946077638352</v>
      </c>
      <c r="G23" s="9">
        <f t="shared" si="2"/>
        <v>2.5328507415414485</v>
      </c>
      <c r="H23" s="4">
        <f>C23*F23</f>
        <v>109.88125483970823</v>
      </c>
      <c r="I23" s="4">
        <f>C23*G23</f>
        <v>109.52046606425223</v>
      </c>
      <c r="J23" s="11">
        <f>LN(H23/D23)</f>
        <v>-7.958420497496444E-5</v>
      </c>
      <c r="K23" s="11">
        <f>LN(I23/D23)</f>
        <v>-3.3684289704164231E-3</v>
      </c>
    </row>
    <row r="24" spans="2:11" x14ac:dyDescent="0.3">
      <c r="B24" s="1">
        <v>46057</v>
      </c>
      <c r="C24" s="4">
        <v>43.08</v>
      </c>
      <c r="D24" s="4">
        <v>109.42</v>
      </c>
      <c r="E24" s="8">
        <f t="shared" si="0"/>
        <v>2.5399257195914577</v>
      </c>
      <c r="F24" s="9">
        <f t="shared" si="1"/>
        <v>2.541344004906307</v>
      </c>
      <c r="G24" s="9">
        <f t="shared" si="2"/>
        <v>2.5328507415414485</v>
      </c>
      <c r="H24" s="4">
        <f>C24*F24</f>
        <v>109.4810997313637</v>
      </c>
      <c r="I24" s="4">
        <f>C24*G24</f>
        <v>109.1152099456056</v>
      </c>
      <c r="J24" s="11">
        <f>LN(H24/D24)</f>
        <v>5.582405298594045E-4</v>
      </c>
      <c r="K24" s="11">
        <f>LN(I24/D24)</f>
        <v>-2.789392630083379E-3</v>
      </c>
    </row>
    <row r="25" spans="2:11" x14ac:dyDescent="0.3">
      <c r="B25" s="1">
        <v>46058</v>
      </c>
      <c r="C25" s="4">
        <v>43.1</v>
      </c>
      <c r="D25" s="4">
        <v>109.61</v>
      </c>
      <c r="E25" s="8">
        <f t="shared" si="0"/>
        <v>2.5431554524361948</v>
      </c>
      <c r="F25" s="9">
        <f t="shared" si="1"/>
        <v>2.541561247315554</v>
      </c>
      <c r="G25" s="9">
        <f t="shared" si="2"/>
        <v>2.5328507415414485</v>
      </c>
      <c r="H25" s="4">
        <f>C25*F25</f>
        <v>109.54128975930038</v>
      </c>
      <c r="I25" s="4">
        <f>C25*G25</f>
        <v>109.16586696043643</v>
      </c>
      <c r="J25" s="11">
        <f>LN(H25/D25)</f>
        <v>-6.2705761874814493E-4</v>
      </c>
      <c r="K25" s="11">
        <f>LN(I25/D25)</f>
        <v>-4.060170400521184E-3</v>
      </c>
    </row>
    <row r="26" spans="2:11" x14ac:dyDescent="0.3">
      <c r="B26" s="1">
        <v>46059</v>
      </c>
      <c r="C26" s="4">
        <v>43.35</v>
      </c>
      <c r="D26" s="4">
        <v>110.24</v>
      </c>
      <c r="E26" s="8">
        <f t="shared" si="0"/>
        <v>2.5430219146482118</v>
      </c>
      <c r="F26" s="9">
        <f t="shared" si="1"/>
        <v>2.5417059129455595</v>
      </c>
      <c r="G26" s="9">
        <f t="shared" si="2"/>
        <v>2.5328507415414485</v>
      </c>
      <c r="H26" s="4">
        <f>C26*F26</f>
        <v>110.18295132619001</v>
      </c>
      <c r="I26" s="4">
        <f>C26*G26</f>
        <v>109.79907964582179</v>
      </c>
      <c r="J26" s="11">
        <f>LN(H26/D26)</f>
        <v>-5.1762917373665541E-4</v>
      </c>
      <c r="K26" s="11">
        <f>LN(I26/D26)</f>
        <v>-4.0076603213887859E-3</v>
      </c>
    </row>
    <row r="27" spans="2:11" x14ac:dyDescent="0.3">
      <c r="B27" s="1">
        <v>46062</v>
      </c>
      <c r="C27" s="4">
        <v>43.48</v>
      </c>
      <c r="D27" s="4">
        <v>110.72</v>
      </c>
      <c r="E27" s="8">
        <f t="shared" si="0"/>
        <v>2.546458141674333</v>
      </c>
      <c r="F27" s="9">
        <f t="shared" si="1"/>
        <v>2.5420116475992596</v>
      </c>
      <c r="G27" s="9">
        <f t="shared" si="2"/>
        <v>2.5328507415414485</v>
      </c>
      <c r="H27" s="4">
        <f>C27*F27</f>
        <v>110.5266664376158</v>
      </c>
      <c r="I27" s="4">
        <f>C27*G27</f>
        <v>110.12835024222217</v>
      </c>
      <c r="J27" s="11">
        <f>LN(H27/D27)</f>
        <v>-1.7476747985083433E-3</v>
      </c>
      <c r="K27" s="11">
        <f>LN(I27/D27)</f>
        <v>-5.3579858989421091E-3</v>
      </c>
    </row>
    <row r="28" spans="2:11" x14ac:dyDescent="0.3">
      <c r="B28" s="1">
        <v>46063</v>
      </c>
      <c r="C28" s="4">
        <v>44.2</v>
      </c>
      <c r="D28" s="4">
        <v>112.4</v>
      </c>
      <c r="E28" s="8">
        <f t="shared" si="0"/>
        <v>2.5429864253393664</v>
      </c>
      <c r="F28" s="9">
        <f t="shared" si="1"/>
        <v>2.5422586673162049</v>
      </c>
      <c r="G28" s="9">
        <f t="shared" si="2"/>
        <v>2.5328507415414485</v>
      </c>
      <c r="H28" s="4">
        <f>C28*F28</f>
        <v>112.36783309537626</v>
      </c>
      <c r="I28" s="4">
        <f>C28*G28</f>
        <v>111.95200277613203</v>
      </c>
      <c r="J28" s="11">
        <f>LN(H28/D28)</f>
        <v>-2.862233834829965E-4</v>
      </c>
      <c r="K28" s="11">
        <f>LN(I28/D28)</f>
        <v>-3.9937046585294695E-3</v>
      </c>
    </row>
    <row r="29" spans="2:11" x14ac:dyDescent="0.3">
      <c r="B29" s="1">
        <v>46064</v>
      </c>
      <c r="C29" s="4">
        <v>44.59</v>
      </c>
      <c r="D29" s="4">
        <v>113.36</v>
      </c>
      <c r="E29" s="8">
        <f t="shared" si="0"/>
        <v>2.5422740524781338</v>
      </c>
      <c r="F29" s="9">
        <f t="shared" si="1"/>
        <v>2.5425112264161909</v>
      </c>
      <c r="G29" s="9">
        <f t="shared" si="2"/>
        <v>2.5328507415414485</v>
      </c>
      <c r="H29" s="4">
        <f>C29*F29</f>
        <v>113.37057558589795</v>
      </c>
      <c r="I29" s="4">
        <f>C29*G29</f>
        <v>112.93981456533319</v>
      </c>
      <c r="J29" s="11">
        <f>LN(H29/D29)</f>
        <v>9.3287690716654747E-5</v>
      </c>
      <c r="K29" s="11">
        <f>LN(I29/D29)</f>
        <v>-3.7135330256309025E-3</v>
      </c>
    </row>
    <row r="30" spans="2:11" x14ac:dyDescent="0.3">
      <c r="B30" s="1">
        <v>46065</v>
      </c>
      <c r="C30" s="4">
        <v>45.25</v>
      </c>
      <c r="D30" s="4">
        <v>114.77</v>
      </c>
      <c r="E30" s="8">
        <f t="shared" si="0"/>
        <v>2.5363535911602209</v>
      </c>
      <c r="F30" s="9">
        <f t="shared" si="1"/>
        <v>2.542539468865098</v>
      </c>
      <c r="G30" s="9">
        <f t="shared" si="2"/>
        <v>2.5328507415414485</v>
      </c>
      <c r="H30" s="4">
        <f>C30*F30</f>
        <v>115.04991096614569</v>
      </c>
      <c r="I30" s="4">
        <f>C30*G30</f>
        <v>114.61149605475055</v>
      </c>
      <c r="J30" s="11">
        <f>LN(H30/D30)</f>
        <v>2.4359169175354215E-3</v>
      </c>
      <c r="K30" s="11">
        <f>LN(I30/D30)</f>
        <v>-1.3820118292330796E-3</v>
      </c>
    </row>
    <row r="31" spans="2:11" x14ac:dyDescent="0.3">
      <c r="B31" s="1">
        <v>46066</v>
      </c>
      <c r="C31" s="4">
        <v>46.5</v>
      </c>
      <c r="D31" s="4">
        <v>117.77</v>
      </c>
      <c r="E31" s="8">
        <f t="shared" si="0"/>
        <v>2.5326881720430108</v>
      </c>
      <c r="F31" s="9">
        <f t="shared" si="1"/>
        <v>2.5422305158529399</v>
      </c>
      <c r="G31" s="9">
        <f t="shared" si="2"/>
        <v>2.5328507415414485</v>
      </c>
      <c r="H31" s="4">
        <f>C31*F31</f>
        <v>118.21371898716171</v>
      </c>
      <c r="I31" s="4">
        <f>C31*G31</f>
        <v>117.77755948167736</v>
      </c>
      <c r="J31" s="11">
        <f>LN(H31/D31)</f>
        <v>3.7605942646502209E-3</v>
      </c>
      <c r="K31" s="11">
        <f>LN(I31/D31)</f>
        <v>6.418645726225776E-5</v>
      </c>
    </row>
    <row r="32" spans="2:11" x14ac:dyDescent="0.3">
      <c r="B32" s="1">
        <v>46070</v>
      </c>
      <c r="C32" s="4">
        <v>46.38</v>
      </c>
      <c r="D32" s="4">
        <v>117.41</v>
      </c>
      <c r="E32" s="8">
        <f t="shared" si="0"/>
        <v>2.5314790858128502</v>
      </c>
      <c r="F32" s="9">
        <f t="shared" si="1"/>
        <v>2.5419434422569722</v>
      </c>
      <c r="G32" s="9">
        <f t="shared" si="2"/>
        <v>2.5328507415414485</v>
      </c>
      <c r="H32" s="4">
        <f>C32*F32</f>
        <v>117.89533685187838</v>
      </c>
      <c r="I32" s="4">
        <f>C32*G32</f>
        <v>117.47361739269239</v>
      </c>
      <c r="J32" s="11">
        <f>LN(H32/D32)</f>
        <v>4.1251723961850135E-3</v>
      </c>
      <c r="K32" s="11">
        <f>LN(I32/D32)</f>
        <v>5.416929026740235E-4</v>
      </c>
    </row>
    <row r="33" spans="2:11" x14ac:dyDescent="0.3">
      <c r="B33" s="1">
        <v>46071</v>
      </c>
      <c r="C33" s="4">
        <v>45.61</v>
      </c>
      <c r="D33" s="4">
        <v>115.57</v>
      </c>
      <c r="E33" s="8">
        <f t="shared" si="0"/>
        <v>2.5338741504056128</v>
      </c>
      <c r="F33" s="9">
        <f t="shared" si="1"/>
        <v>2.5417865911180355</v>
      </c>
      <c r="G33" s="9">
        <f t="shared" si="2"/>
        <v>2.5328507415414485</v>
      </c>
      <c r="H33" s="4">
        <f>C33*F33</f>
        <v>115.9308864208936</v>
      </c>
      <c r="I33" s="4">
        <f>C33*G33</f>
        <v>115.52332232170546</v>
      </c>
      <c r="J33" s="11">
        <f>LN(H33/D33)</f>
        <v>3.1177998392260676E-3</v>
      </c>
      <c r="K33" s="11">
        <f>LN(I33/D33)</f>
        <v>-4.0397254633205956E-4</v>
      </c>
    </row>
    <row r="34" spans="2:11" x14ac:dyDescent="0.3">
      <c r="B34" s="1">
        <v>46072</v>
      </c>
      <c r="C34" s="4">
        <v>46.11</v>
      </c>
      <c r="D34" s="4">
        <v>116.75</v>
      </c>
      <c r="E34" s="8">
        <f t="shared" si="0"/>
        <v>2.5319887226198223</v>
      </c>
      <c r="F34" s="9">
        <f t="shared" si="1"/>
        <v>2.5411777520281982</v>
      </c>
      <c r="G34" s="9">
        <f t="shared" si="2"/>
        <v>2.5328507415414485</v>
      </c>
      <c r="H34" s="4">
        <f>C34*F34</f>
        <v>117.17370614602022</v>
      </c>
      <c r="I34" s="4">
        <f>C34*G34</f>
        <v>116.78974769247618</v>
      </c>
      <c r="J34" s="11">
        <f>LN(H34/D34)</f>
        <v>3.622605133684655E-3</v>
      </c>
      <c r="K34" s="11">
        <f>LN(I34/D34)</f>
        <v>3.4039338701626987E-4</v>
      </c>
    </row>
    <row r="35" spans="2:11" x14ac:dyDescent="0.3">
      <c r="B35" s="1">
        <v>46073</v>
      </c>
      <c r="C35" s="4">
        <v>46.33</v>
      </c>
      <c r="D35" s="4">
        <v>117.14</v>
      </c>
      <c r="E35" s="8">
        <f t="shared" si="0"/>
        <v>2.5283833369307147</v>
      </c>
      <c r="F35" s="9">
        <f t="shared" si="1"/>
        <v>2.5401326247984057</v>
      </c>
      <c r="G35" s="9">
        <f t="shared" si="2"/>
        <v>2.5328507415414485</v>
      </c>
      <c r="H35" s="4">
        <f>C35*F35</f>
        <v>117.68434450691014</v>
      </c>
      <c r="I35" s="4">
        <f>C35*G35</f>
        <v>117.3469748556153</v>
      </c>
      <c r="J35" s="11">
        <f>LN(H35/D35)</f>
        <v>4.6361929217984179E-3</v>
      </c>
      <c r="K35" s="11">
        <f>LN(I35/D35)</f>
        <v>1.7653424843295186E-3</v>
      </c>
    </row>
    <row r="36" spans="2:11" x14ac:dyDescent="0.3">
      <c r="B36" s="1">
        <v>46076</v>
      </c>
      <c r="C36" s="4">
        <v>46.68</v>
      </c>
      <c r="D36" s="4">
        <v>117.86</v>
      </c>
      <c r="E36" s="8">
        <f t="shared" si="0"/>
        <v>2.5248500428449017</v>
      </c>
      <c r="F36" s="9">
        <f t="shared" si="1"/>
        <v>2.5389080216774929</v>
      </c>
      <c r="G36" s="9">
        <f t="shared" si="2"/>
        <v>2.5328507415414485</v>
      </c>
      <c r="H36" s="4">
        <f>C36*F36</f>
        <v>118.51622645190537</v>
      </c>
      <c r="I36" s="4">
        <f>C36*G36</f>
        <v>118.23347261515481</v>
      </c>
      <c r="J36" s="11">
        <f>LN(H36/D36)</f>
        <v>5.5524038746661295E-3</v>
      </c>
      <c r="K36" s="11">
        <f>LN(I36/D36)</f>
        <v>3.1637717259965451E-3</v>
      </c>
    </row>
    <row r="37" spans="2:11" x14ac:dyDescent="0.3">
      <c r="B37" s="1">
        <v>46077</v>
      </c>
      <c r="C37" s="4">
        <v>47.2</v>
      </c>
      <c r="D37" s="4">
        <v>119.03</v>
      </c>
      <c r="E37" s="8">
        <f t="shared" si="0"/>
        <v>2.5218220338983048</v>
      </c>
      <c r="F37" s="9">
        <f t="shared" si="1"/>
        <v>2.5375673529035487</v>
      </c>
      <c r="G37" s="9">
        <f t="shared" si="2"/>
        <v>2.5328507415414485</v>
      </c>
      <c r="H37" s="4">
        <f>C37*F37</f>
        <v>119.77317905704751</v>
      </c>
      <c r="I37" s="4">
        <f>C37*G37</f>
        <v>119.55055500075638</v>
      </c>
      <c r="J37" s="11">
        <f>LN(H37/D37)</f>
        <v>6.2242174435443807E-3</v>
      </c>
      <c r="K37" s="11">
        <f>LN(I37/D37)</f>
        <v>4.3637741291301865E-3</v>
      </c>
    </row>
    <row r="38" spans="2:11" x14ac:dyDescent="0.3">
      <c r="B38" s="1">
        <v>46078</v>
      </c>
      <c r="C38" s="4">
        <v>47.36</v>
      </c>
      <c r="D38" s="4">
        <v>119.44</v>
      </c>
      <c r="E38" s="8">
        <f t="shared" si="0"/>
        <v>2.5219594594594597</v>
      </c>
      <c r="F38" s="9">
        <f t="shared" si="1"/>
        <v>2.5364491158834293</v>
      </c>
      <c r="G38" s="9">
        <f t="shared" si="2"/>
        <v>2.5328507415414485</v>
      </c>
      <c r="H38" s="4">
        <f>C38*F38</f>
        <v>120.12623012823921</v>
      </c>
      <c r="I38" s="4">
        <f>C38*G38</f>
        <v>119.95581111940299</v>
      </c>
      <c r="J38" s="11">
        <f>LN(H38/D38)</f>
        <v>5.7289544086641967E-3</v>
      </c>
      <c r="K38" s="11">
        <f>LN(I38/D38)</f>
        <v>4.3092810622239941E-3</v>
      </c>
    </row>
    <row r="39" spans="2:11" x14ac:dyDescent="0.3">
      <c r="B39" s="1">
        <v>46079</v>
      </c>
      <c r="C39" s="4">
        <v>47.18</v>
      </c>
      <c r="D39" s="4">
        <v>119.25</v>
      </c>
      <c r="E39" s="8">
        <f t="shared" si="0"/>
        <v>2.5275540483255616</v>
      </c>
      <c r="F39" s="9">
        <f t="shared" si="1"/>
        <v>2.5355362574873377</v>
      </c>
      <c r="G39" s="9">
        <f t="shared" si="2"/>
        <v>2.5328507415414485</v>
      </c>
      <c r="H39" s="4">
        <f>C39*F39</f>
        <v>119.62660062825259</v>
      </c>
      <c r="I39" s="4">
        <f>C39*G39</f>
        <v>119.49989798592554</v>
      </c>
      <c r="J39" s="11">
        <f>LN(H39/D39)</f>
        <v>3.1531002976179475E-3</v>
      </c>
      <c r="K39" s="11">
        <f>LN(I39/D39)</f>
        <v>2.093387928487235E-3</v>
      </c>
    </row>
    <row r="40" spans="2:11" x14ac:dyDescent="0.3">
      <c r="B40" s="1">
        <v>46080</v>
      </c>
      <c r="C40" s="4">
        <v>47.73</v>
      </c>
      <c r="D40" s="4">
        <v>120.7</v>
      </c>
      <c r="E40" s="8">
        <f t="shared" si="0"/>
        <v>2.5288078776450873</v>
      </c>
      <c r="F40" s="9">
        <f t="shared" si="1"/>
        <v>2.5350438103818234</v>
      </c>
      <c r="G40" s="9">
        <f t="shared" si="2"/>
        <v>2.5328507415414485</v>
      </c>
      <c r="H40" s="4">
        <f>C40*F40</f>
        <v>120.99764106952442</v>
      </c>
      <c r="I40" s="4">
        <f>C40*G40</f>
        <v>120.89296589377334</v>
      </c>
      <c r="J40" s="11">
        <f>LN(H40/D40)</f>
        <v>2.4629220100328745E-3</v>
      </c>
      <c r="K40" s="11">
        <f>LN(I40/D40)</f>
        <v>1.5974466317281982E-3</v>
      </c>
    </row>
    <row r="41" spans="2:11" x14ac:dyDescent="0.3">
      <c r="B41" s="1">
        <v>46083</v>
      </c>
      <c r="C41" s="4">
        <v>47.37</v>
      </c>
      <c r="D41" s="4">
        <v>119.96</v>
      </c>
      <c r="E41" s="8">
        <f t="shared" si="0"/>
        <v>2.5324044754063753</v>
      </c>
      <c r="F41" s="9">
        <f t="shared" si="1"/>
        <v>2.5347160572735294</v>
      </c>
      <c r="G41" s="9">
        <f t="shared" si="2"/>
        <v>2.5328507415414485</v>
      </c>
      <c r="H41" s="4">
        <f>C41*F41</f>
        <v>120.06949963304709</v>
      </c>
      <c r="I41" s="4">
        <f>C41*G41</f>
        <v>119.9811396268184</v>
      </c>
      <c r="J41" s="11">
        <f>LN(H41/D41)</f>
        <v>9.1238485944888155E-4</v>
      </c>
      <c r="K41" s="11">
        <f>LN(I41/D41)</f>
        <v>1.7620677226067748E-4</v>
      </c>
    </row>
    <row r="42" spans="2:11" x14ac:dyDescent="0.3">
      <c r="B42" s="1">
        <v>46084</v>
      </c>
      <c r="C42" s="4">
        <v>47.07</v>
      </c>
      <c r="D42" s="4">
        <v>119.25</v>
      </c>
      <c r="E42" s="8">
        <f t="shared" si="0"/>
        <v>2.5334608030592736</v>
      </c>
      <c r="F42" s="9">
        <f t="shared" si="1"/>
        <v>2.5342422180271496</v>
      </c>
      <c r="G42" s="9">
        <f t="shared" si="2"/>
        <v>2.5328507415414485</v>
      </c>
      <c r="H42" s="4">
        <f>C42*F42</f>
        <v>119.28678120253792</v>
      </c>
      <c r="I42" s="4">
        <f>C42*G42</f>
        <v>119.22128440435598</v>
      </c>
      <c r="J42" s="11">
        <f>LN(H42/D42)</f>
        <v>3.0839019998509079E-4</v>
      </c>
      <c r="K42" s="11">
        <f>LN(I42/D42)</f>
        <v>-2.4083063799091277E-4</v>
      </c>
    </row>
    <row r="43" spans="2:11" x14ac:dyDescent="0.3">
      <c r="B43" s="1">
        <v>46085</v>
      </c>
      <c r="C43" s="4">
        <v>47.27</v>
      </c>
      <c r="D43" s="4">
        <v>119.69</v>
      </c>
      <c r="E43" s="8">
        <f t="shared" si="0"/>
        <v>2.5320499259572666</v>
      </c>
      <c r="F43" s="9">
        <f t="shared" si="1"/>
        <v>2.5337748715868078</v>
      </c>
      <c r="G43" s="9">
        <f t="shared" si="2"/>
        <v>2.5328507415414485</v>
      </c>
      <c r="H43" s="4">
        <f>C43*F43</f>
        <v>119.77153817990842</v>
      </c>
      <c r="I43" s="4">
        <f>C43*G43</f>
        <v>119.72785455266428</v>
      </c>
      <c r="J43" s="11">
        <f>LN(H43/D43)</f>
        <v>6.8101277290272418E-4</v>
      </c>
      <c r="K43" s="11">
        <f>LN(I43/D43)</f>
        <v>3.1622163727481066E-4</v>
      </c>
    </row>
    <row r="44" spans="2:11" x14ac:dyDescent="0.3">
      <c r="B44" s="1">
        <v>46086</v>
      </c>
      <c r="C44" s="4">
        <v>46.9</v>
      </c>
      <c r="D44" s="4">
        <v>118.88</v>
      </c>
      <c r="E44" s="8">
        <f t="shared" si="0"/>
        <v>2.5347547974413644</v>
      </c>
      <c r="F44" s="9">
        <f t="shared" si="1"/>
        <v>2.5335163254793032</v>
      </c>
      <c r="G44" s="9">
        <f t="shared" si="2"/>
        <v>2.5328507415414485</v>
      </c>
      <c r="H44" s="4">
        <f>C44*F44</f>
        <v>118.82191566497931</v>
      </c>
      <c r="I44" s="4">
        <f>C44*G44</f>
        <v>118.79069977829393</v>
      </c>
      <c r="J44" s="11">
        <f>LN(H44/D44)</f>
        <v>-4.8871575994058076E-4</v>
      </c>
      <c r="K44" s="11">
        <f>LN(I44/D44)</f>
        <v>-7.5146179980657929E-4</v>
      </c>
    </row>
    <row r="45" spans="2:11" x14ac:dyDescent="0.3">
      <c r="B45" s="1">
        <v>46087</v>
      </c>
      <c r="C45" s="4">
        <v>46.74</v>
      </c>
      <c r="D45" s="4">
        <v>118.42</v>
      </c>
      <c r="E45" s="8">
        <f t="shared" si="0"/>
        <v>2.5335900727428324</v>
      </c>
      <c r="F45" s="9">
        <f t="shared" si="1"/>
        <v>2.5330380564946351</v>
      </c>
      <c r="G45" s="9">
        <f t="shared" si="2"/>
        <v>2.5328507415414485</v>
      </c>
      <c r="H45" s="4">
        <f>C45*F45</f>
        <v>118.39419876055925</v>
      </c>
      <c r="I45" s="4">
        <f>C45*G45</f>
        <v>118.38544365964731</v>
      </c>
      <c r="J45" s="11">
        <f>LN(H45/D45)</f>
        <v>-2.1790280885086968E-4</v>
      </c>
      <c r="K45" s="11">
        <f>LN(I45/D45)</f>
        <v>-2.9185427550938568E-4</v>
      </c>
    </row>
    <row r="46" spans="2:11" x14ac:dyDescent="0.3">
      <c r="B46" s="1">
        <v>46090</v>
      </c>
      <c r="C46" s="4">
        <v>46.85</v>
      </c>
      <c r="D46" s="4">
        <v>118.71</v>
      </c>
      <c r="E46" s="8">
        <f t="shared" si="0"/>
        <v>2.5338313767342582</v>
      </c>
      <c r="F46" s="9">
        <f t="shared" si="1"/>
        <v>2.5325785295989371</v>
      </c>
      <c r="G46" s="9">
        <f t="shared" si="2"/>
        <v>2.5328507415414485</v>
      </c>
      <c r="H46" s="4">
        <f>C46*F46</f>
        <v>118.6513041117102</v>
      </c>
      <c r="I46" s="4">
        <f>C46*G46</f>
        <v>118.66405724121687</v>
      </c>
      <c r="J46" s="11">
        <f>LN(H46/D46)</f>
        <v>-4.9456999493551704E-4</v>
      </c>
      <c r="K46" s="11">
        <f>LN(I46/D46)</f>
        <v>-3.8709166360254325E-4</v>
      </c>
    </row>
    <row r="47" spans="2:11" x14ac:dyDescent="0.3">
      <c r="B47" s="1">
        <v>46091</v>
      </c>
      <c r="C47" s="4">
        <v>46.56</v>
      </c>
      <c r="D47" s="4">
        <v>117.67</v>
      </c>
      <c r="E47" s="8">
        <f t="shared" si="0"/>
        <v>2.5272766323024056</v>
      </c>
      <c r="F47" s="9">
        <f t="shared" si="1"/>
        <v>2.5316194541303405</v>
      </c>
      <c r="G47" s="9">
        <f t="shared" si="2"/>
        <v>2.5328507415414485</v>
      </c>
      <c r="H47" s="4">
        <f>C47*F47</f>
        <v>117.87220178430866</v>
      </c>
      <c r="I47" s="4">
        <f>C47*G47</f>
        <v>117.92953052616984</v>
      </c>
      <c r="J47" s="11">
        <f>LN(H47/D47)</f>
        <v>1.7169053566382687E-3</v>
      </c>
      <c r="K47" s="11">
        <f>LN(I47/D47)</f>
        <v>2.2031506647536467E-3</v>
      </c>
    </row>
    <row r="48" spans="2:11" x14ac:dyDescent="0.3">
      <c r="B48" s="1">
        <v>46092</v>
      </c>
      <c r="C48" s="4">
        <v>46.17</v>
      </c>
      <c r="D48" s="4">
        <v>116.85</v>
      </c>
      <c r="E48" s="8">
        <f t="shared" si="0"/>
        <v>2.5308641975308639</v>
      </c>
      <c r="F48" s="9">
        <f t="shared" si="1"/>
        <v>2.5310133427399157</v>
      </c>
      <c r="G48" s="9">
        <f t="shared" si="2"/>
        <v>2.5328507415414485</v>
      </c>
      <c r="H48" s="4">
        <f>C48*F48</f>
        <v>116.85688603430191</v>
      </c>
      <c r="I48" s="4">
        <f>C48*G48</f>
        <v>116.94171873696868</v>
      </c>
      <c r="J48" s="11">
        <f>LN(H48/D48)</f>
        <v>5.8928809679055982E-5</v>
      </c>
      <c r="K48" s="11">
        <f>LN(I48/D48)</f>
        <v>7.8461925143931356E-4</v>
      </c>
    </row>
    <row r="49" spans="1:11" x14ac:dyDescent="0.3">
      <c r="B49" s="1">
        <v>46093</v>
      </c>
      <c r="C49" s="4">
        <v>46.5</v>
      </c>
      <c r="D49" s="4">
        <v>117.69</v>
      </c>
      <c r="E49" s="8">
        <f t="shared" si="0"/>
        <v>2.5309677419354837</v>
      </c>
      <c r="F49" s="9">
        <f t="shared" si="1"/>
        <v>2.5304480272127834</v>
      </c>
      <c r="G49" s="9">
        <f t="shared" si="2"/>
        <v>2.5328507415414485</v>
      </c>
      <c r="H49" s="4">
        <f>C49*F49</f>
        <v>117.66583326539443</v>
      </c>
      <c r="I49" s="4">
        <f>C49*G49</f>
        <v>117.77755948167736</v>
      </c>
      <c r="J49" s="11">
        <f>LN(H49/D49)</f>
        <v>-2.053633798254445E-4</v>
      </c>
      <c r="K49" s="11">
        <f>LN(I49/D49)</f>
        <v>7.4370742114850867E-4</v>
      </c>
    </row>
    <row r="50" spans="1:11" x14ac:dyDescent="0.3">
      <c r="B50" s="1">
        <v>46094</v>
      </c>
      <c r="C50" s="4">
        <v>46.96</v>
      </c>
      <c r="D50" s="4">
        <v>118.72</v>
      </c>
      <c r="E50" s="8">
        <f t="shared" si="0"/>
        <v>2.5281090289608175</v>
      </c>
      <c r="F50" s="9">
        <f t="shared" si="1"/>
        <v>2.5300357991028131</v>
      </c>
      <c r="G50" s="9">
        <f t="shared" si="2"/>
        <v>2.5328507415414485</v>
      </c>
      <c r="H50" s="4">
        <f>C50*F50</f>
        <v>118.81048112586811</v>
      </c>
      <c r="I50" s="4">
        <f>C50*G50</f>
        <v>118.94267082278643</v>
      </c>
      <c r="J50" s="11">
        <f>LN(H50/D50)</f>
        <v>7.6184858310056629E-4</v>
      </c>
      <c r="K50" s="11">
        <f>LN(I50/D50)</f>
        <v>1.873839818179392E-3</v>
      </c>
    </row>
    <row r="51" spans="1:11" x14ac:dyDescent="0.3">
      <c r="B51" s="1">
        <v>46097</v>
      </c>
      <c r="C51" s="4">
        <v>47.26</v>
      </c>
      <c r="D51" s="4">
        <v>119.28</v>
      </c>
      <c r="E51" s="8">
        <f t="shared" si="0"/>
        <v>2.5239102835378757</v>
      </c>
      <c r="F51" s="9">
        <f t="shared" si="1"/>
        <v>2.5295969046775566</v>
      </c>
      <c r="G51" s="9">
        <f t="shared" si="2"/>
        <v>2.5328507415414485</v>
      </c>
      <c r="H51" s="4">
        <f>C51*F51</f>
        <v>119.54874971506132</v>
      </c>
      <c r="I51" s="4">
        <f>C51*G51</f>
        <v>119.70252604524885</v>
      </c>
      <c r="J51" s="11">
        <f>LN(H51/D51)</f>
        <v>2.2505651335334421E-3</v>
      </c>
      <c r="K51" s="11">
        <f>LN(I51/D51)</f>
        <v>3.5360450196875357E-3</v>
      </c>
    </row>
    <row r="52" spans="1:11" x14ac:dyDescent="0.3">
      <c r="A52" s="6">
        <v>0.62136000000000002</v>
      </c>
      <c r="B52" s="1">
        <v>46098</v>
      </c>
      <c r="C52" s="4">
        <v>47.13</v>
      </c>
      <c r="D52" s="4">
        <f>+A52+118.39</f>
        <v>119.01136</v>
      </c>
      <c r="E52" s="8">
        <f t="shared" si="0"/>
        <v>2.5251720772331847</v>
      </c>
      <c r="F52" s="9">
        <f t="shared" si="1"/>
        <v>2.5292815542485734</v>
      </c>
      <c r="G52" s="9">
        <f t="shared" si="2"/>
        <v>2.5328507415414485</v>
      </c>
      <c r="H52" s="4">
        <f>C52*F52</f>
        <v>119.20503965173526</v>
      </c>
      <c r="I52" s="4">
        <f>C52*G52</f>
        <v>119.37325544884847</v>
      </c>
      <c r="J52" s="11">
        <f>LN(H52/D52)</f>
        <v>1.6260819548510642E-3</v>
      </c>
      <c r="K52" s="11">
        <f>LN(I52/D52)</f>
        <v>3.0362339128694399E-3</v>
      </c>
    </row>
    <row r="53" spans="1:11" x14ac:dyDescent="0.3">
      <c r="B53" s="1">
        <v>46099</v>
      </c>
      <c r="C53" s="4">
        <v>46.73</v>
      </c>
      <c r="D53" s="4">
        <f>+A52+117.52</f>
        <v>118.14135999999999</v>
      </c>
      <c r="E53" s="8">
        <f t="shared" si="0"/>
        <v>2.5281694842713458</v>
      </c>
      <c r="F53" s="9">
        <f t="shared" si="1"/>
        <v>2.52899632094186</v>
      </c>
      <c r="G53" s="9">
        <f t="shared" si="2"/>
        <v>2.5328507415414485</v>
      </c>
      <c r="H53" s="4">
        <f>C53*F53</f>
        <v>118.17999807761311</v>
      </c>
      <c r="I53" s="4">
        <f>C53*G53</f>
        <v>118.36011515223188</v>
      </c>
      <c r="J53" s="11">
        <f>LN(H53/D53)</f>
        <v>3.2699607239667131E-4</v>
      </c>
      <c r="K53" s="11">
        <f>LN(I53/D53)</f>
        <v>1.8499268512124961E-3</v>
      </c>
    </row>
    <row r="54" spans="1:11" x14ac:dyDescent="0.3">
      <c r="B54" s="1">
        <v>46100</v>
      </c>
      <c r="C54" s="4">
        <v>46.54</v>
      </c>
      <c r="D54" s="4">
        <f>+A52+117.08</f>
        <v>117.70135999999999</v>
      </c>
      <c r="E54" s="8">
        <f t="shared" si="0"/>
        <v>2.529036527718092</v>
      </c>
      <c r="F54" s="9">
        <f t="shared" si="1"/>
        <v>2.5288487111967735</v>
      </c>
      <c r="G54" s="9">
        <f t="shared" si="2"/>
        <v>2.5328507415414485</v>
      </c>
      <c r="H54" s="4">
        <f>C54*F54</f>
        <v>117.69261901909783</v>
      </c>
      <c r="I54" s="4">
        <f>C54*G54</f>
        <v>117.87887351133901</v>
      </c>
      <c r="J54" s="11">
        <f>LN(H54/D54)</f>
        <v>-7.426681806057975E-5</v>
      </c>
      <c r="K54" s="11">
        <f>LN(I54/D54)</f>
        <v>1.5070325917398023E-3</v>
      </c>
    </row>
    <row r="55" spans="1:11" x14ac:dyDescent="0.3">
      <c r="B55" s="1">
        <v>46101</v>
      </c>
      <c r="C55" s="4">
        <v>44.65</v>
      </c>
      <c r="D55" s="4">
        <f>+A52+112.57</f>
        <v>113.19135999999999</v>
      </c>
      <c r="E55" s="8">
        <f t="shared" si="0"/>
        <v>2.5350808510638294</v>
      </c>
      <c r="F55" s="9">
        <f t="shared" si="1"/>
        <v>2.5291835869034296</v>
      </c>
      <c r="G55" s="9">
        <f t="shared" si="2"/>
        <v>2.5328507415414485</v>
      </c>
      <c r="H55" s="4">
        <f>C55*F55</f>
        <v>112.92804715523813</v>
      </c>
      <c r="I55" s="4">
        <f>C55*G55</f>
        <v>113.09178560982568</v>
      </c>
      <c r="J55" s="11">
        <f>LN(H55/D55)</f>
        <v>-2.328972706009071E-3</v>
      </c>
      <c r="K55" s="11">
        <f>LN(I55/D55)</f>
        <v>-8.8008672791859517E-4</v>
      </c>
    </row>
    <row r="56" spans="1:11" x14ac:dyDescent="0.3">
      <c r="A56" s="6" t="s">
        <v>20</v>
      </c>
      <c r="B56" s="1">
        <v>46104</v>
      </c>
      <c r="C56" s="4">
        <v>44.78</v>
      </c>
      <c r="D56" s="4">
        <v>113.42</v>
      </c>
      <c r="E56" s="8">
        <f t="shared" si="0"/>
        <v>2.5328271549799015</v>
      </c>
      <c r="F56" s="9">
        <f t="shared" si="1"/>
        <v>2.5295824425101792</v>
      </c>
      <c r="G56" s="9">
        <f t="shared" si="2"/>
        <v>2.5328507415414485</v>
      </c>
      <c r="H56" s="4">
        <f>C56*F56</f>
        <v>113.27470177560582</v>
      </c>
      <c r="I56" s="4">
        <f>C56*G56</f>
        <v>113.42105620622607</v>
      </c>
      <c r="J56" s="11">
        <f>LN(H56/D56)</f>
        <v>-1.2818847829493398E-3</v>
      </c>
      <c r="K56" s="11">
        <f>LN(I56/D56)</f>
        <v>9.312302135551446E-6</v>
      </c>
    </row>
    <row r="57" spans="1:11" x14ac:dyDescent="0.3">
      <c r="B57" s="1">
        <v>46105</v>
      </c>
      <c r="C57" s="4">
        <v>45.09</v>
      </c>
      <c r="D57" s="4">
        <v>114.11</v>
      </c>
      <c r="E57" s="8">
        <f t="shared" si="0"/>
        <v>2.5307163450876025</v>
      </c>
      <c r="F57" s="9">
        <f t="shared" si="1"/>
        <v>2.5300271580696441</v>
      </c>
      <c r="G57" s="9">
        <f t="shared" si="2"/>
        <v>2.5328507415414485</v>
      </c>
      <c r="H57" s="4">
        <f>C57*F57</f>
        <v>114.07892455736025</v>
      </c>
      <c r="I57" s="4">
        <f>C57*G57</f>
        <v>114.20623993610393</v>
      </c>
      <c r="J57" s="11">
        <f>LN(H57/D57)</f>
        <v>-2.7236591690097561E-4</v>
      </c>
      <c r="K57" s="11">
        <f>LN(I57/D57)</f>
        <v>8.4304070381332758E-4</v>
      </c>
    </row>
    <row r="58" spans="1:11" x14ac:dyDescent="0.3">
      <c r="B58" s="1">
        <v>46106</v>
      </c>
      <c r="C58" s="4">
        <v>45.25</v>
      </c>
      <c r="D58" s="4">
        <v>114.49</v>
      </c>
      <c r="E58" s="8">
        <f t="shared" si="0"/>
        <v>2.5301657458563533</v>
      </c>
      <c r="F58" s="9">
        <f t="shared" si="1"/>
        <v>2.5304374723894889</v>
      </c>
      <c r="G58" s="9">
        <f t="shared" si="2"/>
        <v>2.5328507415414485</v>
      </c>
      <c r="H58" s="4">
        <f>C58*F58</f>
        <v>114.50229562562437</v>
      </c>
      <c r="I58" s="4">
        <f>C58*G58</f>
        <v>114.61149605475055</v>
      </c>
      <c r="J58" s="11">
        <f>LN(H58/D58)</f>
        <v>1.0738898968282037E-4</v>
      </c>
      <c r="K58" s="11">
        <f>LN(I58/D58)</f>
        <v>1.0606309276229872E-3</v>
      </c>
    </row>
    <row r="59" spans="1:11" x14ac:dyDescent="0.3">
      <c r="B59" s="1">
        <v>46107</v>
      </c>
      <c r="C59" s="4">
        <v>45.33</v>
      </c>
      <c r="D59" s="4">
        <v>114.81</v>
      </c>
      <c r="E59" s="8">
        <f t="shared" si="0"/>
        <v>2.5327597617471875</v>
      </c>
      <c r="F59" s="9">
        <f t="shared" si="1"/>
        <v>2.5306977580605698</v>
      </c>
      <c r="G59" s="9">
        <f t="shared" si="2"/>
        <v>2.5328507415414485</v>
      </c>
      <c r="H59" s="4">
        <f>C59*F59</f>
        <v>114.71652937288563</v>
      </c>
      <c r="I59" s="4">
        <f>C59*G59</f>
        <v>114.81412411407386</v>
      </c>
      <c r="J59" s="11">
        <f>LN(H59/D59)</f>
        <v>-8.1446473779529262E-4</v>
      </c>
      <c r="K59" s="11">
        <f>LN(I59/D59)</f>
        <v>3.5920564446078522E-5</v>
      </c>
    </row>
    <row r="60" spans="1:11" x14ac:dyDescent="0.3">
      <c r="B60" s="1">
        <v>46108</v>
      </c>
      <c r="C60" s="4">
        <v>45.59</v>
      </c>
      <c r="D60" s="4">
        <v>115.34</v>
      </c>
      <c r="E60" s="8">
        <f t="shared" si="0"/>
        <v>2.5299407764860713</v>
      </c>
      <c r="F60" s="9">
        <f t="shared" si="1"/>
        <v>2.5307544030026192</v>
      </c>
      <c r="G60" s="9">
        <f t="shared" si="2"/>
        <v>2.5328507415414485</v>
      </c>
      <c r="H60" s="4">
        <f>C60*F60</f>
        <v>115.37709323288942</v>
      </c>
      <c r="I60" s="4">
        <f>C60*G60</f>
        <v>115.47266530687465</v>
      </c>
      <c r="J60" s="11">
        <f>LN(H60/D60)</f>
        <v>3.2154733478353422E-4</v>
      </c>
      <c r="K60" s="11">
        <f>LN(I60/D60)</f>
        <v>1.1495497554922906E-3</v>
      </c>
    </row>
    <row r="61" spans="1:11" x14ac:dyDescent="0.3">
      <c r="B61" s="1">
        <v>46111</v>
      </c>
      <c r="C61" s="4">
        <v>45.92</v>
      </c>
      <c r="D61" s="4">
        <v>116.21</v>
      </c>
      <c r="E61" s="8">
        <f t="shared" si="0"/>
        <v>2.5307055749128917</v>
      </c>
      <c r="F61" s="9">
        <f t="shared" si="1"/>
        <v>2.530669457977945</v>
      </c>
      <c r="G61" s="9">
        <f t="shared" si="2"/>
        <v>2.5328507415414485</v>
      </c>
      <c r="H61" s="4">
        <f>C61*F61</f>
        <v>116.20834151034724</v>
      </c>
      <c r="I61" s="4">
        <f>C61*G61</f>
        <v>116.30850605158332</v>
      </c>
      <c r="J61" s="11">
        <f>LN(H61/D61)</f>
        <v>-1.4271590116363948E-5</v>
      </c>
      <c r="K61" s="11">
        <f>LN(I61/D61)</f>
        <v>8.4729649393753333E-4</v>
      </c>
    </row>
    <row r="62" spans="1:11" x14ac:dyDescent="0.3">
      <c r="B62" s="1">
        <v>46112</v>
      </c>
      <c r="C62" s="4">
        <v>45.89</v>
      </c>
      <c r="D62" s="4">
        <v>116.11</v>
      </c>
      <c r="E62" s="8">
        <f t="shared" si="0"/>
        <v>2.5301808672913486</v>
      </c>
      <c r="F62" s="9">
        <f t="shared" si="1"/>
        <v>2.530505461189549</v>
      </c>
      <c r="G62" s="9">
        <f t="shared" si="2"/>
        <v>2.5328507415414485</v>
      </c>
      <c r="H62" s="4">
        <f>C62*F62</f>
        <v>116.1248956139884</v>
      </c>
      <c r="I62" s="4">
        <f>C62*G62</f>
        <v>116.23252052933708</v>
      </c>
      <c r="J62" s="11">
        <f>LN(H62/D62)</f>
        <v>1.2828058392719947E-4</v>
      </c>
      <c r="K62" s="11">
        <f>LN(I62/D62)</f>
        <v>1.0546544852361157E-3</v>
      </c>
    </row>
    <row r="63" spans="1:11" x14ac:dyDescent="0.3">
      <c r="B63" s="1">
        <v>46113</v>
      </c>
      <c r="C63" s="4">
        <v>46.11</v>
      </c>
      <c r="D63" s="4">
        <v>116.61</v>
      </c>
      <c r="E63" s="8">
        <f t="shared" si="0"/>
        <v>2.5289525048796357</v>
      </c>
      <c r="F63" s="9">
        <f t="shared" si="1"/>
        <v>2.5303505901356673</v>
      </c>
      <c r="G63" s="9">
        <f t="shared" si="2"/>
        <v>2.5328507415414485</v>
      </c>
      <c r="H63" s="4">
        <f>C63*F63</f>
        <v>116.67446571115562</v>
      </c>
      <c r="I63" s="4">
        <f>C63*G63</f>
        <v>116.78974769247618</v>
      </c>
      <c r="J63" s="11">
        <f>LN(H63/D63)</f>
        <v>5.5267900157906331E-4</v>
      </c>
      <c r="K63" s="11">
        <f>LN(I63/D63)</f>
        <v>1.540256403781448E-3</v>
      </c>
    </row>
    <row r="64" spans="1:11" x14ac:dyDescent="0.3">
      <c r="B64" s="1">
        <v>46114</v>
      </c>
      <c r="C64" s="4">
        <v>46.34</v>
      </c>
      <c r="D64" s="4">
        <v>117.48</v>
      </c>
      <c r="E64" s="8">
        <f t="shared" si="0"/>
        <v>2.5351747949935262</v>
      </c>
      <c r="F64" s="9">
        <f t="shared" si="1"/>
        <v>2.5303715900132753</v>
      </c>
      <c r="G64" s="9">
        <f t="shared" si="2"/>
        <v>2.5328507415414485</v>
      </c>
      <c r="H64" s="4">
        <f>C64*F64</f>
        <v>117.25741948121518</v>
      </c>
      <c r="I64" s="4">
        <f>C64*G64</f>
        <v>117.37230336303074</v>
      </c>
      <c r="J64" s="11">
        <f>LN(H64/D64)</f>
        <v>-1.8964218485864528E-3</v>
      </c>
      <c r="K64" s="11">
        <f>LN(I64/D64)</f>
        <v>-9.1714360878034475E-4</v>
      </c>
    </row>
    <row r="65" spans="2:11" x14ac:dyDescent="0.3">
      <c r="B65" s="1">
        <v>46118</v>
      </c>
      <c r="C65" s="4">
        <v>46.17</v>
      </c>
      <c r="D65" s="4">
        <v>116.92</v>
      </c>
      <c r="E65" s="8">
        <f t="shared" si="0"/>
        <v>2.532380333549924</v>
      </c>
      <c r="F65" s="9">
        <f t="shared" si="1"/>
        <v>2.5303111030536298</v>
      </c>
      <c r="G65" s="9">
        <f t="shared" si="2"/>
        <v>2.5328507415414485</v>
      </c>
      <c r="H65" s="4">
        <f>C65*F65</f>
        <v>116.82446362798609</v>
      </c>
      <c r="I65" s="4">
        <f>C65*G65</f>
        <v>116.94171873696868</v>
      </c>
      <c r="J65" s="11">
        <f>LN(H65/D65)</f>
        <v>-8.1744291052683745E-4</v>
      </c>
      <c r="K65" s="11">
        <f>LN(I65/D65)</f>
        <v>1.8573999326102272E-4</v>
      </c>
    </row>
    <row r="66" spans="2:11" x14ac:dyDescent="0.3">
      <c r="B66" s="1">
        <v>46119</v>
      </c>
      <c r="C66" s="4">
        <v>46.27</v>
      </c>
      <c r="D66" s="4">
        <v>117.27</v>
      </c>
      <c r="E66" s="8">
        <f t="shared" si="0"/>
        <v>2.5344715798573589</v>
      </c>
      <c r="F66" s="9">
        <f t="shared" si="1"/>
        <v>2.5303431132097849</v>
      </c>
      <c r="G66" s="9">
        <f t="shared" si="2"/>
        <v>2.5328507415414485</v>
      </c>
      <c r="H66" s="4">
        <f>C66*F66</f>
        <v>117.07897584821676</v>
      </c>
      <c r="I66" s="4">
        <f>C66*G66</f>
        <v>117.19500381112283</v>
      </c>
      <c r="J66" s="11">
        <f>LN(H66/D66)</f>
        <v>-1.6302541404276103E-3</v>
      </c>
      <c r="K66" s="11">
        <f>LN(I66/D66)</f>
        <v>-6.3972183665600825E-4</v>
      </c>
    </row>
    <row r="67" spans="2:11" x14ac:dyDescent="0.3">
      <c r="B67" s="1">
        <v>46120</v>
      </c>
      <c r="C67" s="4">
        <v>46.78</v>
      </c>
      <c r="D67" s="4">
        <v>118.26</v>
      </c>
      <c r="E67" s="8">
        <f t="shared" ref="E67:E130" si="3">D67/C67</f>
        <v>2.5280034202650707</v>
      </c>
      <c r="F67" s="9">
        <f t="shared" si="1"/>
        <v>2.5303794526079182</v>
      </c>
      <c r="G67" s="9">
        <f t="shared" si="2"/>
        <v>2.5328507415414485</v>
      </c>
      <c r="H67" s="4">
        <f>C67*F67</f>
        <v>118.37115079299842</v>
      </c>
      <c r="I67" s="4">
        <f>C67*G67</f>
        <v>118.48675768930896</v>
      </c>
      <c r="J67" s="11">
        <f>LN(H67/D67)</f>
        <v>9.3944352466390432E-4</v>
      </c>
      <c r="K67" s="11">
        <f>LN(I67/D67)</f>
        <v>1.9156144807578157E-3</v>
      </c>
    </row>
    <row r="68" spans="2:11" x14ac:dyDescent="0.3">
      <c r="B68" s="1">
        <v>46121</v>
      </c>
      <c r="C68" s="4">
        <v>47.15</v>
      </c>
      <c r="D68" s="4">
        <v>119.13</v>
      </c>
      <c r="E68" s="8">
        <f t="shared" si="3"/>
        <v>2.5266171792152705</v>
      </c>
      <c r="F68" s="9">
        <f t="shared" si="1"/>
        <v>2.5301671016921383</v>
      </c>
      <c r="G68" s="9">
        <f t="shared" si="2"/>
        <v>2.5328507415414485</v>
      </c>
      <c r="H68" s="4">
        <f>C68*F68</f>
        <v>119.29737884478432</v>
      </c>
      <c r="I68" s="4">
        <f>C68*G68</f>
        <v>119.4239124636793</v>
      </c>
      <c r="J68" s="11">
        <f>LN(H68/D68)</f>
        <v>1.4040239262052123E-3</v>
      </c>
      <c r="K68" s="11">
        <f>LN(I68/D68)</f>
        <v>2.4641189856054921E-3</v>
      </c>
    </row>
    <row r="69" spans="2:11" x14ac:dyDescent="0.3">
      <c r="B69" s="1">
        <v>46122</v>
      </c>
      <c r="C69" s="4">
        <v>46.96</v>
      </c>
      <c r="D69" s="4">
        <v>118.54</v>
      </c>
      <c r="E69" s="8">
        <f t="shared" si="3"/>
        <v>2.5242759795570699</v>
      </c>
      <c r="F69" s="9">
        <f t="shared" si="1"/>
        <v>2.5298325135732176</v>
      </c>
      <c r="G69" s="9">
        <f t="shared" si="2"/>
        <v>2.5328507415414485</v>
      </c>
      <c r="H69" s="4">
        <f>C69*F69</f>
        <v>118.8009348373983</v>
      </c>
      <c r="I69" s="4">
        <f>C69*G69</f>
        <v>118.94267082278643</v>
      </c>
      <c r="J69" s="11">
        <f>LN(H69/D69)</f>
        <v>2.1988195395611751E-3</v>
      </c>
      <c r="K69" s="11">
        <f>LN(I69/D69)</f>
        <v>3.391162877557636E-3</v>
      </c>
    </row>
    <row r="70" spans="2:11" x14ac:dyDescent="0.3">
      <c r="B70" s="1">
        <v>46125</v>
      </c>
      <c r="C70" s="4">
        <v>46.39</v>
      </c>
      <c r="D70" s="4">
        <v>117.26</v>
      </c>
      <c r="E70" s="8">
        <f t="shared" si="3"/>
        <v>2.5276999353308902</v>
      </c>
      <c r="F70" s="9">
        <f t="shared" si="1"/>
        <v>2.5298120588917214</v>
      </c>
      <c r="G70" s="9">
        <f t="shared" si="2"/>
        <v>2.5328507415414485</v>
      </c>
      <c r="H70" s="4">
        <f>C70*F70</f>
        <v>117.35798141198696</v>
      </c>
      <c r="I70" s="4">
        <f>C70*G70</f>
        <v>117.4989459001078</v>
      </c>
      <c r="J70" s="11">
        <f>LN(H70/D70)</f>
        <v>8.352421847081492E-4</v>
      </c>
      <c r="K70" s="11">
        <f>LN(I70/D70)</f>
        <v>2.0356709449920727E-3</v>
      </c>
    </row>
    <row r="71" spans="2:11" x14ac:dyDescent="0.3">
      <c r="B71" s="1">
        <v>46126</v>
      </c>
      <c r="C71" s="4">
        <v>46.47</v>
      </c>
      <c r="D71" s="4">
        <v>117.41</v>
      </c>
      <c r="E71" s="8">
        <f t="shared" si="3"/>
        <v>2.5265762857757692</v>
      </c>
      <c r="F71" s="9">
        <f t="shared" si="1"/>
        <v>2.5299453590036163</v>
      </c>
      <c r="G71" s="9">
        <f t="shared" si="2"/>
        <v>2.5328507415414485</v>
      </c>
      <c r="H71" s="4">
        <f>C71*F71</f>
        <v>117.56656083289805</v>
      </c>
      <c r="I71" s="4">
        <f>C71*G71</f>
        <v>117.70157395943112</v>
      </c>
      <c r="J71" s="11">
        <f>LN(H71/D71)</f>
        <v>1.3325657291995401E-3</v>
      </c>
      <c r="K71" s="11">
        <f>LN(I71/D71)</f>
        <v>2.4803041721753552E-3</v>
      </c>
    </row>
    <row r="72" spans="2:11" x14ac:dyDescent="0.3">
      <c r="B72" s="1">
        <v>46127</v>
      </c>
      <c r="C72" s="4">
        <v>46.02</v>
      </c>
      <c r="D72" s="4">
        <v>116.31</v>
      </c>
      <c r="E72" s="8">
        <f t="shared" si="3"/>
        <v>2.5273794002607559</v>
      </c>
      <c r="F72" s="9">
        <f t="shared" si="1"/>
        <v>2.5300557251549951</v>
      </c>
      <c r="G72" s="9">
        <f t="shared" si="2"/>
        <v>2.5328507415414485</v>
      </c>
      <c r="H72" s="4">
        <f>C72*F72</f>
        <v>116.43316447163288</v>
      </c>
      <c r="I72" s="4">
        <f>C72*G72</f>
        <v>116.56179112573747</v>
      </c>
      <c r="J72" s="11">
        <f>LN(H72/D72)</f>
        <v>1.0583725061004347E-3</v>
      </c>
      <c r="K72" s="11">
        <f>LN(I72/D72)</f>
        <v>2.162487973681198E-3</v>
      </c>
    </row>
    <row r="73" spans="2:11" x14ac:dyDescent="0.3">
      <c r="B73" s="1">
        <v>46128</v>
      </c>
      <c r="C73" s="4">
        <v>46.35</v>
      </c>
      <c r="D73" s="4">
        <v>117</v>
      </c>
      <c r="E73" s="8">
        <f t="shared" si="3"/>
        <v>2.5242718446601939</v>
      </c>
      <c r="F73" s="9">
        <f t="shared" si="1"/>
        <v>2.5298608431744372</v>
      </c>
      <c r="G73" s="9">
        <f t="shared" si="2"/>
        <v>2.5328507415414485</v>
      </c>
      <c r="H73" s="4">
        <f>C73*F73</f>
        <v>117.25905008113517</v>
      </c>
      <c r="I73" s="4">
        <f>C73*G73</f>
        <v>117.39763187044615</v>
      </c>
      <c r="J73" s="11">
        <f>LN(H73/D73)</f>
        <v>2.2116557429821856E-3</v>
      </c>
      <c r="K73" s="11">
        <f>LN(I73/D73)</f>
        <v>3.3928009315168459E-3</v>
      </c>
    </row>
    <row r="74" spans="2:11" x14ac:dyDescent="0.3">
      <c r="B74" s="1">
        <v>46129</v>
      </c>
      <c r="C74" s="4">
        <v>46.16</v>
      </c>
      <c r="D74" s="4">
        <v>116.57</v>
      </c>
      <c r="E74" s="8">
        <f t="shared" si="3"/>
        <v>2.5253466204506068</v>
      </c>
      <c r="F74" s="9">
        <f t="shared" si="1"/>
        <v>2.5296763478110629</v>
      </c>
      <c r="G74" s="9">
        <f t="shared" si="2"/>
        <v>2.5328507415414485</v>
      </c>
      <c r="H74" s="4">
        <f>C74*F74</f>
        <v>116.76986021495865</v>
      </c>
      <c r="I74" s="4">
        <f>C74*G74</f>
        <v>116.91639022955326</v>
      </c>
      <c r="J74" s="11">
        <f>LN(H74/D74)</f>
        <v>1.713040057954981E-3</v>
      </c>
      <c r="K74" s="11">
        <f>LN(I74/D74)</f>
        <v>2.9671149855118296E-3</v>
      </c>
    </row>
    <row r="75" spans="2:11" x14ac:dyDescent="0.3">
      <c r="B75" s="1">
        <v>46132</v>
      </c>
      <c r="C75" s="4">
        <v>45.75</v>
      </c>
      <c r="D75" s="4">
        <v>115.62</v>
      </c>
      <c r="E75" s="8">
        <f t="shared" si="3"/>
        <v>2.5272131147540984</v>
      </c>
      <c r="F75" s="9">
        <f t="shared" si="1"/>
        <v>2.5292829609955758</v>
      </c>
      <c r="G75" s="9">
        <f t="shared" si="2"/>
        <v>2.5328507415414485</v>
      </c>
      <c r="H75" s="4">
        <f>C75*F75</f>
        <v>115.71469546554759</v>
      </c>
      <c r="I75" s="4">
        <f>C75*G75</f>
        <v>115.87792142552127</v>
      </c>
      <c r="J75" s="11">
        <f>LN(H75/D75)</f>
        <v>8.1868801085937203E-4</v>
      </c>
      <c r="K75" s="11">
        <f>LN(I75/D75)</f>
        <v>2.2282837846089544E-3</v>
      </c>
    </row>
    <row r="76" spans="2:11" x14ac:dyDescent="0.3">
      <c r="B76" s="1">
        <v>46133</v>
      </c>
      <c r="C76" s="4">
        <v>44.95</v>
      </c>
      <c r="D76" s="4">
        <v>113.57</v>
      </c>
      <c r="E76" s="8">
        <f t="shared" si="3"/>
        <v>2.5265850945494992</v>
      </c>
      <c r="F76" s="9">
        <f t="shared" si="1"/>
        <v>2.528970857974056</v>
      </c>
      <c r="G76" s="9">
        <f t="shared" si="2"/>
        <v>2.5328507415414485</v>
      </c>
      <c r="H76" s="4">
        <f>C76*F76</f>
        <v>113.67724006593382</v>
      </c>
      <c r="I76" s="4">
        <f>C76*G76</f>
        <v>113.85164083228811</v>
      </c>
      <c r="J76" s="11">
        <f>LN(H76/D76)</f>
        <v>9.4381849357934821E-4</v>
      </c>
      <c r="K76" s="11">
        <f>LN(I76/D76)</f>
        <v>2.4768177314831636E-3</v>
      </c>
    </row>
    <row r="77" spans="2:11" x14ac:dyDescent="0.3">
      <c r="B77" s="1">
        <v>46134</v>
      </c>
      <c r="C77" s="4">
        <v>44.87</v>
      </c>
      <c r="D77" s="4">
        <v>113.54</v>
      </c>
      <c r="E77" s="8">
        <f t="shared" si="3"/>
        <v>2.5304212168486742</v>
      </c>
      <c r="F77" s="9">
        <f t="shared" si="1"/>
        <v>2.5289561015621094</v>
      </c>
      <c r="G77" s="9">
        <f t="shared" si="2"/>
        <v>2.5328507415414485</v>
      </c>
      <c r="H77" s="4">
        <f>C77*F77</f>
        <v>113.47426027709184</v>
      </c>
      <c r="I77" s="4">
        <f>C77*G77</f>
        <v>113.6490127729648</v>
      </c>
      <c r="J77" s="11">
        <f>LN(H77/D77)</f>
        <v>-5.7916823961229194E-4</v>
      </c>
      <c r="K77" s="11">
        <f>LN(I77/D77)</f>
        <v>9.5966596272041473E-4</v>
      </c>
    </row>
    <row r="78" spans="2:11" x14ac:dyDescent="0.3">
      <c r="B78" s="1">
        <v>46135</v>
      </c>
      <c r="C78" s="4">
        <v>46.09</v>
      </c>
      <c r="D78" s="4">
        <v>116.72</v>
      </c>
      <c r="E78" s="8">
        <f t="shared" si="3"/>
        <v>2.5324365372098065</v>
      </c>
      <c r="F78" s="9">
        <f t="shared" si="1"/>
        <v>2.5290696411297819</v>
      </c>
      <c r="G78" s="9">
        <f t="shared" si="2"/>
        <v>2.5328507415414485</v>
      </c>
      <c r="H78" s="4">
        <f>C78*F78</f>
        <v>116.56481975967166</v>
      </c>
      <c r="I78" s="4">
        <f>C78*G78</f>
        <v>116.73909067764536</v>
      </c>
      <c r="J78" s="11">
        <f>LN(H78/D78)</f>
        <v>-1.330393150969565E-3</v>
      </c>
      <c r="K78" s="11">
        <f>LN(I78/D78)</f>
        <v>1.635462352953986E-4</v>
      </c>
    </row>
    <row r="79" spans="2:11" x14ac:dyDescent="0.3">
      <c r="B79" s="1">
        <v>46136</v>
      </c>
      <c r="C79" s="4">
        <v>46.18</v>
      </c>
      <c r="D79" s="4">
        <v>116.84</v>
      </c>
      <c r="E79" s="8">
        <f t="shared" si="3"/>
        <v>2.530099610220875</v>
      </c>
      <c r="F79" s="9">
        <f t="shared" si="1"/>
        <v>2.5289366335534664</v>
      </c>
      <c r="G79" s="9">
        <f t="shared" si="2"/>
        <v>2.5328507415414485</v>
      </c>
      <c r="H79" s="4">
        <f>C79*F79</f>
        <v>116.78629373749908</v>
      </c>
      <c r="I79" s="4">
        <f>C79*G79</f>
        <v>116.96704724438409</v>
      </c>
      <c r="J79" s="11">
        <f>LN(H79/D79)</f>
        <v>-4.5976214909538074E-4</v>
      </c>
      <c r="K79" s="11">
        <f>LN(I79/D79)</f>
        <v>1.0867701242178302E-3</v>
      </c>
    </row>
    <row r="80" spans="2:11" x14ac:dyDescent="0.3">
      <c r="B80" s="1">
        <v>46139</v>
      </c>
      <c r="C80" s="4">
        <v>46.19</v>
      </c>
      <c r="D80" s="4">
        <v>116.67</v>
      </c>
      <c r="E80" s="8">
        <f t="shared" si="3"/>
        <v>2.5258714007360901</v>
      </c>
      <c r="F80" s="9">
        <f t="shared" si="1"/>
        <v>2.528733164765967</v>
      </c>
      <c r="G80" s="9">
        <f t="shared" si="2"/>
        <v>2.5328507415414485</v>
      </c>
      <c r="H80" s="4">
        <f>C80*F80</f>
        <v>116.80218488054001</v>
      </c>
      <c r="I80" s="4">
        <f>C80*G80</f>
        <v>116.9923757517995</v>
      </c>
      <c r="J80" s="11">
        <f>LN(H80/D80)</f>
        <v>1.1323395524097609E-3</v>
      </c>
      <c r="K80" s="11">
        <f>LN(I80/D80)</f>
        <v>2.7593313241571949E-3</v>
      </c>
    </row>
    <row r="81" spans="2:11" x14ac:dyDescent="0.3">
      <c r="B81" s="1">
        <v>46140</v>
      </c>
      <c r="C81" s="4">
        <v>46.25</v>
      </c>
      <c r="D81" s="4">
        <v>116.87</v>
      </c>
      <c r="E81" s="8">
        <f t="shared" si="3"/>
        <v>2.526918918918919</v>
      </c>
      <c r="F81" s="9">
        <f t="shared" si="1"/>
        <v>2.5285438319662683</v>
      </c>
      <c r="G81" s="9">
        <f t="shared" si="2"/>
        <v>2.5328507415414485</v>
      </c>
      <c r="H81" s="4">
        <f>C81*F81</f>
        <v>116.94515222843991</v>
      </c>
      <c r="I81" s="4">
        <f>C81*G81</f>
        <v>117.144346796292</v>
      </c>
      <c r="J81" s="11">
        <f>LN(H81/D81)</f>
        <v>6.428345666360984E-4</v>
      </c>
      <c r="K81" s="11">
        <f>LN(I81/D81)</f>
        <v>2.3447017307774115E-3</v>
      </c>
    </row>
    <row r="82" spans="2:11" x14ac:dyDescent="0.3">
      <c r="B82" s="1">
        <v>46141</v>
      </c>
      <c r="C82" s="4">
        <v>45.68</v>
      </c>
      <c r="D82" s="4">
        <v>115.53</v>
      </c>
      <c r="E82" s="8">
        <f t="shared" si="3"/>
        <v>2.5291155866900175</v>
      </c>
      <c r="F82" s="9">
        <f t="shared" si="1"/>
        <v>2.5284905679362017</v>
      </c>
      <c r="G82" s="9">
        <f t="shared" si="2"/>
        <v>2.5328507415414485</v>
      </c>
      <c r="H82" s="4">
        <f>C82*F82</f>
        <v>115.5014491433257</v>
      </c>
      <c r="I82" s="4">
        <f>C82*G82</f>
        <v>115.70062187361337</v>
      </c>
      <c r="J82" s="11">
        <f>LN(H82/D82)</f>
        <v>-2.4715991632747928E-4</v>
      </c>
      <c r="K82" s="11">
        <f>LN(I82/D82)</f>
        <v>1.4757725702363182E-3</v>
      </c>
    </row>
    <row r="83" spans="2:11" x14ac:dyDescent="0.3">
      <c r="B83" s="1">
        <v>46142</v>
      </c>
      <c r="C83" s="4">
        <v>46.85</v>
      </c>
      <c r="D83" s="4">
        <v>118.3</v>
      </c>
      <c r="E83" s="8">
        <f t="shared" si="3"/>
        <v>2.5250800426894342</v>
      </c>
      <c r="F83" s="9">
        <f t="shared" si="1"/>
        <v>2.5282969448266917</v>
      </c>
      <c r="G83" s="9">
        <f t="shared" si="2"/>
        <v>2.5328507415414485</v>
      </c>
      <c r="H83" s="4">
        <f>C83*F83</f>
        <v>118.4507118651305</v>
      </c>
      <c r="I83" s="4">
        <f>C83*G83</f>
        <v>118.66405724121687</v>
      </c>
      <c r="J83" s="11">
        <f>LN(H83/D83)</f>
        <v>1.2731694388696448E-3</v>
      </c>
      <c r="K83" s="11">
        <f>LN(I83/D83)</f>
        <v>3.0726814174988383E-3</v>
      </c>
    </row>
    <row r="84" spans="2:11" x14ac:dyDescent="0.3">
      <c r="B84" s="1">
        <v>46143</v>
      </c>
      <c r="C84" s="4">
        <v>46.55</v>
      </c>
      <c r="D84" s="4">
        <v>117.41</v>
      </c>
      <c r="E84" s="8">
        <f t="shared" si="3"/>
        <v>2.5222341568206232</v>
      </c>
      <c r="F84" s="9">
        <f t="shared" si="1"/>
        <v>2.5276499129180472</v>
      </c>
      <c r="G84" s="9">
        <f t="shared" si="2"/>
        <v>2.5328507415414485</v>
      </c>
      <c r="H84" s="4">
        <f>C84*F84</f>
        <v>117.6621034463351</v>
      </c>
      <c r="I84" s="4">
        <f>C84*G84</f>
        <v>117.90420201875442</v>
      </c>
      <c r="J84" s="11">
        <f>LN(H84/D84)</f>
        <v>2.144903961734283E-3</v>
      </c>
      <c r="K84" s="11">
        <f>LN(I84/D84)</f>
        <v>4.2003647983642565E-3</v>
      </c>
    </row>
    <row r="85" spans="2:11" x14ac:dyDescent="0.3">
      <c r="B85" s="1">
        <v>46146</v>
      </c>
      <c r="C85" s="4">
        <v>46.37</v>
      </c>
      <c r="D85" s="4">
        <v>117.1</v>
      </c>
      <c r="E85" s="8">
        <f t="shared" si="3"/>
        <v>2.5253396592624542</v>
      </c>
      <c r="F85" s="9">
        <f t="shared" ref="F85:F148" si="4">AVERAGE(E66:E85)</f>
        <v>2.5272978792036733</v>
      </c>
      <c r="G85" s="9">
        <f t="shared" si="2"/>
        <v>2.5328507415414485</v>
      </c>
      <c r="H85" s="4">
        <f>C85*F85</f>
        <v>117.19080265867433</v>
      </c>
      <c r="I85" s="4">
        <f>C85*G85</f>
        <v>117.44828888527697</v>
      </c>
      <c r="J85" s="11">
        <f>LN(H85/D85)</f>
        <v>7.7512785128815392E-4</v>
      </c>
      <c r="K85" s="11">
        <f>LN(I85/D85)</f>
        <v>2.9698715171066711E-3</v>
      </c>
    </row>
    <row r="86" spans="2:11" x14ac:dyDescent="0.3">
      <c r="B86" s="1">
        <v>46147</v>
      </c>
      <c r="C86" s="4">
        <v>46.37</v>
      </c>
      <c r="D86" s="4">
        <v>116.96</v>
      </c>
      <c r="E86" s="8">
        <f t="shared" si="3"/>
        <v>2.5223204658184173</v>
      </c>
      <c r="F86" s="9">
        <f t="shared" si="4"/>
        <v>2.5266903235017262</v>
      </c>
      <c r="G86" s="9">
        <f t="shared" ref="G86:G149" si="5">G85</f>
        <v>2.5328507415414485</v>
      </c>
      <c r="H86" s="4">
        <f>C86*F86</f>
        <v>117.16263030077504</v>
      </c>
      <c r="I86" s="4">
        <f>C86*G86</f>
        <v>117.44828888527697</v>
      </c>
      <c r="J86" s="11">
        <f>LN(H86/D86)</f>
        <v>1.730976207720296E-3</v>
      </c>
      <c r="K86" s="11">
        <f>LN(I86/D86)</f>
        <v>4.1661461193098293E-3</v>
      </c>
    </row>
    <row r="87" spans="2:11" x14ac:dyDescent="0.3">
      <c r="B87" s="1">
        <v>46148</v>
      </c>
      <c r="C87" s="4">
        <v>45.71</v>
      </c>
      <c r="D87" s="4">
        <v>115.28</v>
      </c>
      <c r="E87" s="8">
        <f t="shared" si="3"/>
        <v>2.5219864362283966</v>
      </c>
      <c r="F87" s="9">
        <f t="shared" si="4"/>
        <v>2.5263894742998927</v>
      </c>
      <c r="G87" s="9">
        <f t="shared" si="5"/>
        <v>2.5328507415414485</v>
      </c>
      <c r="H87" s="4">
        <f>C87*F87</f>
        <v>115.4812628702481</v>
      </c>
      <c r="I87" s="4">
        <f>C87*G87</f>
        <v>115.77660739585961</v>
      </c>
      <c r="J87" s="11">
        <f>LN(H87/D87)</f>
        <v>1.7443388788649006E-3</v>
      </c>
      <c r="K87" s="11">
        <f>LN(I87/D87)</f>
        <v>4.2985843697951791E-3</v>
      </c>
    </row>
    <row r="88" spans="2:11" x14ac:dyDescent="0.3">
      <c r="B88" s="1">
        <v>46149</v>
      </c>
      <c r="C88" s="4">
        <v>45.12</v>
      </c>
      <c r="D88" s="4">
        <v>113.92</v>
      </c>
      <c r="E88" s="8">
        <f t="shared" si="3"/>
        <v>2.5248226950354611</v>
      </c>
      <c r="F88" s="9">
        <f t="shared" si="4"/>
        <v>2.5262997500909026</v>
      </c>
      <c r="G88" s="9">
        <f t="shared" si="5"/>
        <v>2.5328507415414485</v>
      </c>
      <c r="H88" s="4">
        <f>C88*F88</f>
        <v>113.98664472410152</v>
      </c>
      <c r="I88" s="4">
        <f>C88*G88</f>
        <v>114.28222545835015</v>
      </c>
      <c r="J88" s="11">
        <f>LN(H88/D88)</f>
        <v>5.8484232508276151E-4</v>
      </c>
      <c r="K88" s="11">
        <f>LN(I88/D88)</f>
        <v>3.1746032435466336E-3</v>
      </c>
    </row>
    <row r="89" spans="2:11" x14ac:dyDescent="0.3">
      <c r="B89" s="1">
        <v>46150</v>
      </c>
      <c r="C89" s="4">
        <v>44.72</v>
      </c>
      <c r="D89" s="4">
        <v>112.84</v>
      </c>
      <c r="E89" s="8">
        <f t="shared" si="3"/>
        <v>2.5232558139534884</v>
      </c>
      <c r="F89" s="9">
        <f t="shared" si="4"/>
        <v>2.5262487418107238</v>
      </c>
      <c r="G89" s="9">
        <f t="shared" si="5"/>
        <v>2.5328507415414485</v>
      </c>
      <c r="H89" s="4">
        <f>C89*F89</f>
        <v>112.97384373377557</v>
      </c>
      <c r="I89" s="4">
        <f>C89*G89</f>
        <v>113.26908516173357</v>
      </c>
      <c r="J89" s="11">
        <f>LN(H89/D89)</f>
        <v>1.1854344023927059E-3</v>
      </c>
      <c r="K89" s="11">
        <f>LN(I89/D89)</f>
        <v>3.7953864304568507E-3</v>
      </c>
    </row>
    <row r="90" spans="2:11" x14ac:dyDescent="0.3">
      <c r="B90" s="1">
        <v>46153</v>
      </c>
      <c r="C90" s="4">
        <v>45.14</v>
      </c>
      <c r="D90" s="4">
        <v>113.77</v>
      </c>
      <c r="E90" s="8">
        <f t="shared" si="3"/>
        <v>2.5203810367744794</v>
      </c>
      <c r="F90" s="9">
        <f t="shared" si="4"/>
        <v>2.5258827968829034</v>
      </c>
      <c r="G90" s="9">
        <f t="shared" si="5"/>
        <v>2.5328507415414485</v>
      </c>
      <c r="H90" s="4">
        <f>C90*F90</f>
        <v>114.01834945129426</v>
      </c>
      <c r="I90" s="4">
        <f>C90*G90</f>
        <v>114.33288247318099</v>
      </c>
      <c r="J90" s="11">
        <f>LN(H90/D90)</f>
        <v>2.1805289892559633E-3</v>
      </c>
      <c r="K90" s="11">
        <f>LN(I90/D90)</f>
        <v>4.9353485551733352E-3</v>
      </c>
    </row>
    <row r="91" spans="2:11" x14ac:dyDescent="0.3">
      <c r="B91" s="1">
        <v>46154</v>
      </c>
      <c r="C91" s="4">
        <v>45.19</v>
      </c>
      <c r="D91" s="4">
        <v>114.1</v>
      </c>
      <c r="E91" s="8">
        <f t="shared" si="3"/>
        <v>2.5248948882496127</v>
      </c>
      <c r="F91" s="9">
        <f t="shared" si="4"/>
        <v>2.5257987270065958</v>
      </c>
      <c r="G91" s="9">
        <f t="shared" si="5"/>
        <v>2.5328507415414485</v>
      </c>
      <c r="H91" s="4">
        <f>C91*F91</f>
        <v>114.14084447342806</v>
      </c>
      <c r="I91" s="4">
        <f>C91*G91</f>
        <v>114.45952501025805</v>
      </c>
      <c r="J91" s="11">
        <f>LN(H91/D91)</f>
        <v>3.5790678884232399E-4</v>
      </c>
      <c r="K91" s="11">
        <f>LN(I91/D91)</f>
        <v>3.1460102725671597E-3</v>
      </c>
    </row>
    <row r="92" spans="2:11" x14ac:dyDescent="0.3">
      <c r="B92" s="1">
        <v>46155</v>
      </c>
      <c r="C92" s="4">
        <v>44.67</v>
      </c>
      <c r="D92" s="4">
        <v>112.75</v>
      </c>
      <c r="E92" s="8">
        <f t="shared" si="3"/>
        <v>2.5240653682561001</v>
      </c>
      <c r="F92" s="9">
        <f t="shared" si="4"/>
        <v>2.5256330254063628</v>
      </c>
      <c r="G92" s="9">
        <f t="shared" si="5"/>
        <v>2.5328507415414485</v>
      </c>
      <c r="H92" s="4">
        <f>C92*F92</f>
        <v>112.82002724490223</v>
      </c>
      <c r="I92" s="4">
        <f>C92*G92</f>
        <v>113.14244262465651</v>
      </c>
      <c r="J92" s="11">
        <f>LN(H92/D92)</f>
        <v>6.2089141901693122E-4</v>
      </c>
      <c r="K92" s="11">
        <f>LN(I92/D92)</f>
        <v>3.4746006986484776E-3</v>
      </c>
    </row>
    <row r="93" spans="2:11" x14ac:dyDescent="0.3">
      <c r="B93" s="1">
        <v>46156</v>
      </c>
      <c r="C93" s="4">
        <v>44.9</v>
      </c>
      <c r="D93" s="4">
        <v>113.42</v>
      </c>
      <c r="E93" s="8">
        <f t="shared" si="3"/>
        <v>2.5260579064587976</v>
      </c>
      <c r="F93" s="9">
        <f t="shared" si="4"/>
        <v>2.5257223284962929</v>
      </c>
      <c r="G93" s="9">
        <f t="shared" si="5"/>
        <v>2.5328507415414485</v>
      </c>
      <c r="H93" s="4">
        <f>C93*F93</f>
        <v>113.40493254948355</v>
      </c>
      <c r="I93" s="4">
        <f>C93*G93</f>
        <v>113.72499829521104</v>
      </c>
      <c r="J93" s="11">
        <f>LN(H93/D93)</f>
        <v>-1.3285532916744829E-4</v>
      </c>
      <c r="K93" s="11">
        <f>LN(I93/D93)</f>
        <v>2.6854958797354459E-3</v>
      </c>
    </row>
    <row r="94" spans="2:11" x14ac:dyDescent="0.3">
      <c r="B94" s="1">
        <v>46157</v>
      </c>
      <c r="C94" s="4">
        <v>43.87</v>
      </c>
      <c r="D94" s="4">
        <v>111.08</v>
      </c>
      <c r="E94" s="8">
        <f t="shared" si="3"/>
        <v>2.5320264417597449</v>
      </c>
      <c r="F94" s="9">
        <f t="shared" si="4"/>
        <v>2.5260563195617496</v>
      </c>
      <c r="G94" s="9">
        <f t="shared" si="5"/>
        <v>2.5328507415414485</v>
      </c>
      <c r="H94" s="4">
        <f>C94*F94</f>
        <v>110.81809073917395</v>
      </c>
      <c r="I94" s="4">
        <f>C94*G94</f>
        <v>111.11616203142334</v>
      </c>
      <c r="J94" s="11">
        <f>LN(H94/D94)</f>
        <v>-2.360627633875228E-3</v>
      </c>
      <c r="K94" s="11">
        <f>LN(I94/D94)</f>
        <v>3.2549645693248706E-4</v>
      </c>
    </row>
    <row r="95" spans="2:11" x14ac:dyDescent="0.3">
      <c r="B95" s="1">
        <v>46160</v>
      </c>
      <c r="C95" s="4">
        <v>43.94</v>
      </c>
      <c r="D95" s="4">
        <v>111.32</v>
      </c>
      <c r="E95" s="8">
        <f t="shared" si="3"/>
        <v>2.533454710969504</v>
      </c>
      <c r="F95" s="9">
        <f t="shared" si="4"/>
        <v>2.5263683993725197</v>
      </c>
      <c r="G95" s="9">
        <f t="shared" si="5"/>
        <v>2.5328507415414485</v>
      </c>
      <c r="H95" s="4">
        <f>C95*F95</f>
        <v>111.00862746842851</v>
      </c>
      <c r="I95" s="4">
        <f>C95*G95</f>
        <v>111.29346158333124</v>
      </c>
      <c r="J95" s="11">
        <f>LN(H95/D95)</f>
        <v>-2.8010134249851475E-3</v>
      </c>
      <c r="K95" s="11">
        <f>LN(I95/D95)</f>
        <v>-2.3842598381718289E-4</v>
      </c>
    </row>
    <row r="96" spans="2:11" x14ac:dyDescent="0.3">
      <c r="B96" s="1">
        <v>46161</v>
      </c>
      <c r="C96" s="4">
        <v>44.34</v>
      </c>
      <c r="D96" s="4">
        <v>112.26</v>
      </c>
      <c r="E96" s="8">
        <f t="shared" si="3"/>
        <v>2.5317997293640055</v>
      </c>
      <c r="F96" s="9">
        <f t="shared" si="4"/>
        <v>2.5266291311132449</v>
      </c>
      <c r="G96" s="9">
        <f t="shared" si="5"/>
        <v>2.5328507415414485</v>
      </c>
      <c r="H96" s="4">
        <f>C96*F96</f>
        <v>112.0307356735613</v>
      </c>
      <c r="I96" s="4">
        <f>C96*G96</f>
        <v>112.30660187994783</v>
      </c>
      <c r="J96" s="11">
        <f>LN(H96/D96)</f>
        <v>-2.0443502099945395E-3</v>
      </c>
      <c r="K96" s="11">
        <f>LN(I96/D96)</f>
        <v>4.1503839152087958E-4</v>
      </c>
    </row>
    <row r="97" spans="2:11" x14ac:dyDescent="0.3">
      <c r="B97" s="1">
        <v>46162</v>
      </c>
      <c r="C97" s="4">
        <v>44.51</v>
      </c>
      <c r="D97" s="4">
        <v>112.55</v>
      </c>
      <c r="E97" s="8">
        <f t="shared" si="3"/>
        <v>2.5286452482588184</v>
      </c>
      <c r="F97" s="9">
        <f t="shared" si="4"/>
        <v>2.5265403326837523</v>
      </c>
      <c r="G97" s="9">
        <f t="shared" si="5"/>
        <v>2.5328507415414485</v>
      </c>
      <c r="H97" s="4">
        <f>C97*F97</f>
        <v>112.45631020775382</v>
      </c>
      <c r="I97" s="4">
        <f>C97*G97</f>
        <v>112.73718650600986</v>
      </c>
      <c r="J97" s="11">
        <f>LN(H97/D97)</f>
        <v>-8.3277484595234983E-4</v>
      </c>
      <c r="K97" s="11">
        <f>LN(I97/D97)</f>
        <v>1.6617593924304363E-3</v>
      </c>
    </row>
    <row r="98" spans="2:11" x14ac:dyDescent="0.3">
      <c r="B98" s="1">
        <v>46163</v>
      </c>
      <c r="C98" s="4">
        <v>45</v>
      </c>
      <c r="D98" s="4">
        <v>113.59</v>
      </c>
      <c r="E98" s="8">
        <f t="shared" si="3"/>
        <v>2.5242222222222224</v>
      </c>
      <c r="F98" s="9">
        <f t="shared" si="4"/>
        <v>2.526129616934373</v>
      </c>
      <c r="G98" s="9">
        <f t="shared" si="5"/>
        <v>2.5328507415414485</v>
      </c>
      <c r="H98" s="4">
        <f>C98*F98</f>
        <v>113.67583276204678</v>
      </c>
      <c r="I98" s="4">
        <f>C98*G98</f>
        <v>113.97828336936519</v>
      </c>
      <c r="J98" s="11">
        <f>LN(H98/D98)</f>
        <v>7.5535125614489493E-4</v>
      </c>
      <c r="K98" s="11">
        <f>LN(I98/D98)</f>
        <v>3.4124592443981784E-3</v>
      </c>
    </row>
    <row r="99" spans="2:11" x14ac:dyDescent="0.3">
      <c r="B99" s="1">
        <v>46164</v>
      </c>
      <c r="C99" s="4">
        <v>45.35</v>
      </c>
      <c r="D99" s="4">
        <v>114.48</v>
      </c>
      <c r="E99" s="8">
        <f t="shared" si="3"/>
        <v>2.5243660418963616</v>
      </c>
      <c r="F99" s="9">
        <f t="shared" si="4"/>
        <v>2.5258429385181471</v>
      </c>
      <c r="G99" s="9">
        <f t="shared" si="5"/>
        <v>2.5328507415414485</v>
      </c>
      <c r="H99" s="4">
        <f>C99*F99</f>
        <v>114.54697726179798</v>
      </c>
      <c r="I99" s="4">
        <f>C99*G99</f>
        <v>114.8647811289047</v>
      </c>
      <c r="J99" s="11">
        <f>LN(H99/D99)</f>
        <v>5.8488536597837352E-4</v>
      </c>
      <c r="K99" s="11">
        <f>LN(I99/D99)</f>
        <v>3.355485030358965E-3</v>
      </c>
    </row>
    <row r="100" spans="2:11" x14ac:dyDescent="0.3">
      <c r="B100" s="1">
        <v>46168</v>
      </c>
      <c r="C100" s="4">
        <v>45.33</v>
      </c>
      <c r="D100" s="4">
        <v>114.41</v>
      </c>
      <c r="E100" s="8">
        <f t="shared" si="3"/>
        <v>2.5239355834987869</v>
      </c>
      <c r="F100" s="9">
        <f t="shared" si="4"/>
        <v>2.5257461476562826</v>
      </c>
      <c r="G100" s="9">
        <f t="shared" si="5"/>
        <v>2.5328507415414485</v>
      </c>
      <c r="H100" s="4">
        <f>C100*F100</f>
        <v>114.49207287325929</v>
      </c>
      <c r="I100" s="4">
        <f>C100*G100</f>
        <v>114.81412411407386</v>
      </c>
      <c r="J100" s="11">
        <f>LN(H100/D100)</f>
        <v>7.1710033680448928E-4</v>
      </c>
      <c r="K100" s="11">
        <f>LN(I100/D100)</f>
        <v>3.5260209573140617E-3</v>
      </c>
    </row>
    <row r="101" spans="2:11" x14ac:dyDescent="0.3">
      <c r="B101" s="1">
        <v>46169</v>
      </c>
      <c r="C101" s="4">
        <v>45.14</v>
      </c>
      <c r="D101" s="4">
        <v>113.85</v>
      </c>
      <c r="E101" s="8">
        <f t="shared" si="3"/>
        <v>2.5221533008418251</v>
      </c>
      <c r="F101" s="9">
        <f t="shared" si="4"/>
        <v>2.5255078667524273</v>
      </c>
      <c r="G101" s="9">
        <f t="shared" si="5"/>
        <v>2.5328507415414485</v>
      </c>
      <c r="H101" s="4">
        <f>C101*F101</f>
        <v>114.00142510520458</v>
      </c>
      <c r="I101" s="4">
        <f>C101*G101</f>
        <v>114.33288247318099</v>
      </c>
      <c r="J101" s="11">
        <f>LN(H101/D101)</f>
        <v>1.32915672945809E-3</v>
      </c>
      <c r="K101" s="11">
        <f>LN(I101/D101)</f>
        <v>4.2324225970497157E-3</v>
      </c>
    </row>
    <row r="102" spans="2:11" x14ac:dyDescent="0.3">
      <c r="B102" s="1">
        <v>46170</v>
      </c>
      <c r="C102" s="4">
        <v>44.63</v>
      </c>
      <c r="D102" s="4">
        <v>112.61</v>
      </c>
      <c r="E102" s="8">
        <f t="shared" si="3"/>
        <v>2.5231906789155274</v>
      </c>
      <c r="F102" s="9">
        <f t="shared" si="4"/>
        <v>2.5252116213637033</v>
      </c>
      <c r="G102" s="9">
        <f t="shared" si="5"/>
        <v>2.5328507415414485</v>
      </c>
      <c r="H102" s="4">
        <f>C102*F102</f>
        <v>112.70019466146208</v>
      </c>
      <c r="I102" s="4">
        <f>C102*G102</f>
        <v>113.04112859499486</v>
      </c>
      <c r="J102" s="11">
        <f>LN(H102/D102)</f>
        <v>8.0062658873931807E-4</v>
      </c>
      <c r="K102" s="11">
        <f>LN(I102/D102)</f>
        <v>3.821200649653135E-3</v>
      </c>
    </row>
    <row r="103" spans="2:11" x14ac:dyDescent="0.3">
      <c r="B103" s="1">
        <v>46171</v>
      </c>
      <c r="C103" s="4">
        <v>44.42</v>
      </c>
      <c r="D103" s="4">
        <v>112.11</v>
      </c>
      <c r="E103" s="8">
        <f t="shared" si="3"/>
        <v>2.523863124718595</v>
      </c>
      <c r="F103" s="9">
        <f t="shared" si="4"/>
        <v>2.525150775465161</v>
      </c>
      <c r="G103" s="9">
        <f t="shared" si="5"/>
        <v>2.5328507415414485</v>
      </c>
      <c r="H103" s="4">
        <f>C103*F103</f>
        <v>112.16719744616246</v>
      </c>
      <c r="I103" s="4">
        <f>C103*G103</f>
        <v>112.50922993927115</v>
      </c>
      <c r="J103" s="11">
        <f>LN(H103/D103)</f>
        <v>5.100603008581496E-4</v>
      </c>
      <c r="K103" s="11">
        <f>LN(I103/D103)</f>
        <v>3.5547300181879983E-3</v>
      </c>
    </row>
    <row r="104" spans="2:11" x14ac:dyDescent="0.3">
      <c r="B104" s="1">
        <v>46174</v>
      </c>
      <c r="C104" s="4">
        <v>43.1</v>
      </c>
      <c r="D104" s="4">
        <v>109.08</v>
      </c>
      <c r="E104" s="8">
        <f t="shared" si="3"/>
        <v>2.530858468677494</v>
      </c>
      <c r="F104" s="9">
        <f t="shared" si="4"/>
        <v>2.525581991058004</v>
      </c>
      <c r="G104" s="9">
        <f t="shared" si="5"/>
        <v>2.5328507415414485</v>
      </c>
      <c r="H104" s="4">
        <f>C104*F104</f>
        <v>108.85258381459998</v>
      </c>
      <c r="I104" s="4">
        <f>C104*G104</f>
        <v>109.16586696043643</v>
      </c>
      <c r="J104" s="11">
        <f>LN(H104/D104)</f>
        <v>-2.087033191328665E-3</v>
      </c>
      <c r="K104" s="11">
        <f>LN(I104/D104)</f>
        <v>7.8688284972312436E-4</v>
      </c>
    </row>
    <row r="105" spans="2:11" x14ac:dyDescent="0.3">
      <c r="B105" s="1">
        <v>46175</v>
      </c>
      <c r="C105" s="4">
        <v>43.9</v>
      </c>
      <c r="D105" s="4">
        <v>110.95</v>
      </c>
      <c r="E105" s="8">
        <f t="shared" si="3"/>
        <v>2.5273348519362187</v>
      </c>
      <c r="F105" s="9">
        <f t="shared" si="4"/>
        <v>2.5256817506916929</v>
      </c>
      <c r="G105" s="9">
        <f t="shared" si="5"/>
        <v>2.5328507415414485</v>
      </c>
      <c r="H105" s="4">
        <f>C105*F105</f>
        <v>110.87742885536531</v>
      </c>
      <c r="I105" s="4">
        <f>C105*G105</f>
        <v>111.19214755366959</v>
      </c>
      <c r="J105" s="11">
        <f>LN(H105/D105)</f>
        <v>-6.5430273973074405E-4</v>
      </c>
      <c r="K105" s="11">
        <f>LN(I105/D105)</f>
        <v>2.1801144199315265E-3</v>
      </c>
    </row>
    <row r="106" spans="2:11" x14ac:dyDescent="0.3">
      <c r="B106" s="1">
        <v>46176</v>
      </c>
      <c r="C106" s="4">
        <v>43.71</v>
      </c>
      <c r="D106" s="4">
        <v>110.64</v>
      </c>
      <c r="E106" s="8">
        <f t="shared" si="3"/>
        <v>2.5312285518188058</v>
      </c>
      <c r="F106" s="9">
        <f t="shared" si="4"/>
        <v>2.5261271549917117</v>
      </c>
      <c r="G106" s="9">
        <f t="shared" si="5"/>
        <v>2.5328507415414485</v>
      </c>
      <c r="H106" s="4">
        <f>C106*F106</f>
        <v>110.41701794468771</v>
      </c>
      <c r="I106" s="4">
        <f>C106*G106</f>
        <v>110.71090591277671</v>
      </c>
      <c r="J106" s="11">
        <f>LN(H106/D106)</f>
        <v>-2.0174173433900561E-3</v>
      </c>
      <c r="K106" s="11">
        <f>LN(I106/D106)</f>
        <v>6.4066523612906997E-4</v>
      </c>
    </row>
    <row r="107" spans="2:11" x14ac:dyDescent="0.3">
      <c r="B107" s="1">
        <v>46177</v>
      </c>
      <c r="C107" s="4">
        <v>43.94</v>
      </c>
      <c r="D107" s="4">
        <v>111.3</v>
      </c>
      <c r="E107" s="8">
        <f t="shared" si="3"/>
        <v>2.5329995448338645</v>
      </c>
      <c r="F107" s="9">
        <f t="shared" si="4"/>
        <v>2.5266778104219854</v>
      </c>
      <c r="G107" s="9">
        <f t="shared" si="5"/>
        <v>2.5328507415414485</v>
      </c>
      <c r="H107" s="4">
        <f>C107*F107</f>
        <v>111.02222298994204</v>
      </c>
      <c r="I107" s="4">
        <f>C107*G107</f>
        <v>111.29346158333124</v>
      </c>
      <c r="J107" s="11">
        <f>LN(H107/D107)</f>
        <v>-2.4988698913402689E-3</v>
      </c>
      <c r="K107" s="11">
        <f>LN(I107/D107)</f>
        <v>-5.874760762628212E-5</v>
      </c>
    </row>
    <row r="108" spans="2:11" x14ac:dyDescent="0.3">
      <c r="B108" s="1">
        <v>46178</v>
      </c>
      <c r="C108" s="4">
        <v>44.35</v>
      </c>
      <c r="D108" s="4">
        <v>112.23</v>
      </c>
      <c r="E108" s="8">
        <f t="shared" si="3"/>
        <v>2.5305524239007893</v>
      </c>
      <c r="F108" s="9">
        <f t="shared" si="4"/>
        <v>2.5269642968652515</v>
      </c>
      <c r="G108" s="9">
        <f t="shared" si="5"/>
        <v>2.5328507415414485</v>
      </c>
      <c r="H108" s="4">
        <f>C108*F108</f>
        <v>112.0708665659739</v>
      </c>
      <c r="I108" s="4">
        <f>C108*G108</f>
        <v>112.33193038736324</v>
      </c>
      <c r="J108" s="11">
        <f>LN(H108/D108)</f>
        <v>-1.4189286306541091E-3</v>
      </c>
      <c r="K108" s="11">
        <f>LN(I108/D108)</f>
        <v>9.0781544483283134E-4</v>
      </c>
    </row>
    <row r="109" spans="2:11" x14ac:dyDescent="0.3">
      <c r="B109" s="1">
        <v>46181</v>
      </c>
      <c r="C109" s="4">
        <v>43.52</v>
      </c>
      <c r="D109" s="4">
        <v>110.16</v>
      </c>
      <c r="E109" s="8">
        <f t="shared" si="3"/>
        <v>2.5312499999999996</v>
      </c>
      <c r="F109" s="9">
        <f t="shared" si="4"/>
        <v>2.5273640061675775</v>
      </c>
      <c r="G109" s="9">
        <f t="shared" si="5"/>
        <v>2.5328507415414485</v>
      </c>
      <c r="H109" s="4">
        <f>C109*F109</f>
        <v>109.99088154841299</v>
      </c>
      <c r="I109" s="4">
        <f>C109*G109</f>
        <v>110.22966427188385</v>
      </c>
      <c r="J109" s="11">
        <f>LN(H109/D109)</f>
        <v>-1.5363870783921749E-3</v>
      </c>
      <c r="K109" s="11">
        <f>LN(I109/D109)</f>
        <v>6.3219184469666867E-4</v>
      </c>
    </row>
    <row r="110" spans="2:11" x14ac:dyDescent="0.3">
      <c r="B110" s="1">
        <v>46182</v>
      </c>
      <c r="C110" s="4">
        <v>43.98</v>
      </c>
      <c r="D110" s="4">
        <v>111.52</v>
      </c>
      <c r="E110" s="8">
        <f t="shared" si="3"/>
        <v>2.5356980445657116</v>
      </c>
      <c r="F110" s="9">
        <f t="shared" si="4"/>
        <v>2.5281298565571388</v>
      </c>
      <c r="G110" s="9">
        <f t="shared" si="5"/>
        <v>2.5328507415414485</v>
      </c>
      <c r="H110" s="4">
        <f>C110*F110</f>
        <v>111.18715109138296</v>
      </c>
      <c r="I110" s="4">
        <f>C110*G110</f>
        <v>111.3947756129929</v>
      </c>
      <c r="J110" s="11">
        <f>LN(H110/D110)</f>
        <v>-2.9891196112479049E-3</v>
      </c>
      <c r="K110" s="11">
        <f>LN(I110/D110)</f>
        <v>-1.123518168189921E-3</v>
      </c>
    </row>
    <row r="111" spans="2:11" x14ac:dyDescent="0.3">
      <c r="B111" s="1">
        <v>46183</v>
      </c>
      <c r="C111" s="4">
        <v>44</v>
      </c>
      <c r="D111" s="4">
        <v>111.55</v>
      </c>
      <c r="E111" s="8">
        <f t="shared" si="3"/>
        <v>2.5352272727272727</v>
      </c>
      <c r="F111" s="9">
        <f t="shared" si="4"/>
        <v>2.5286464757810223</v>
      </c>
      <c r="G111" s="9">
        <f t="shared" si="5"/>
        <v>2.5328507415414485</v>
      </c>
      <c r="H111" s="4">
        <f>C111*F111</f>
        <v>111.26044493436498</v>
      </c>
      <c r="I111" s="4">
        <f>C111*G111</f>
        <v>111.44543262782373</v>
      </c>
      <c r="J111" s="11">
        <f>LN(H111/D111)</f>
        <v>-2.5991171888333996E-3</v>
      </c>
      <c r="K111" s="11">
        <f>LN(I111/D111)</f>
        <v>-9.3784324287155333E-4</v>
      </c>
    </row>
    <row r="112" spans="2:11" x14ac:dyDescent="0.3">
      <c r="B112" s="1">
        <v>46184</v>
      </c>
      <c r="C112" s="4">
        <v>44.05</v>
      </c>
      <c r="D112" s="4">
        <v>111.38</v>
      </c>
      <c r="E112" s="8">
        <f t="shared" si="3"/>
        <v>2.5284903518728719</v>
      </c>
      <c r="F112" s="9">
        <f t="shared" si="4"/>
        <v>2.5288677249618607</v>
      </c>
      <c r="G112" s="9">
        <f t="shared" si="5"/>
        <v>2.5328507415414485</v>
      </c>
      <c r="H112" s="4">
        <f>C112*F112</f>
        <v>111.39662328456996</v>
      </c>
      <c r="I112" s="4">
        <f>C112*G112</f>
        <v>111.5720751649008</v>
      </c>
      <c r="J112" s="11">
        <f>LN(H112/D112)</f>
        <v>1.4923724361839104E-4</v>
      </c>
      <c r="K112" s="11">
        <f>LN(I112/D112)</f>
        <v>1.7230179380746981E-3</v>
      </c>
    </row>
    <row r="113" spans="1:11" x14ac:dyDescent="0.3">
      <c r="B113" s="1">
        <v>46185</v>
      </c>
      <c r="C113" s="4">
        <v>44.53</v>
      </c>
      <c r="D113" s="4">
        <v>112.58</v>
      </c>
      <c r="E113" s="8">
        <f t="shared" si="3"/>
        <v>2.5281832472490455</v>
      </c>
      <c r="F113" s="9">
        <f t="shared" si="4"/>
        <v>2.5289739920013732</v>
      </c>
      <c r="G113" s="9">
        <f t="shared" si="5"/>
        <v>2.5328507415414485</v>
      </c>
      <c r="H113" s="4">
        <f>C113*F113</f>
        <v>112.61521186382114</v>
      </c>
      <c r="I113" s="4">
        <f>C113*G113</f>
        <v>112.78784352084071</v>
      </c>
      <c r="J113" s="11">
        <f>LN(H113/D113)</f>
        <v>3.127230265394237E-4</v>
      </c>
      <c r="K113" s="11">
        <f>LN(I113/D113)</f>
        <v>1.8444830151394225E-3</v>
      </c>
    </row>
    <row r="114" spans="1:11" x14ac:dyDescent="0.3">
      <c r="B114" s="1">
        <v>46188</v>
      </c>
      <c r="C114" s="4">
        <v>44.74</v>
      </c>
      <c r="D114" s="4">
        <v>112.42</v>
      </c>
      <c r="E114" s="8">
        <f t="shared" si="3"/>
        <v>2.5127402771569063</v>
      </c>
      <c r="F114" s="9">
        <f t="shared" si="4"/>
        <v>2.5280096837712316</v>
      </c>
      <c r="G114" s="9">
        <f t="shared" si="5"/>
        <v>2.5328507415414485</v>
      </c>
      <c r="H114" s="4">
        <f>C114*F114</f>
        <v>113.10315325192491</v>
      </c>
      <c r="I114" s="4">
        <f>C114*G114</f>
        <v>113.31974217656442</v>
      </c>
      <c r="J114" s="11">
        <f>LN(H114/D114)</f>
        <v>6.0584053710375403E-3</v>
      </c>
      <c r="K114" s="11">
        <f>LN(I114/D114)</f>
        <v>7.9715422054635453E-3</v>
      </c>
    </row>
    <row r="115" spans="1:11" x14ac:dyDescent="0.3">
      <c r="B115" s="1">
        <v>46189</v>
      </c>
      <c r="C115" s="4">
        <v>45.06</v>
      </c>
      <c r="D115" s="4">
        <v>113.22</v>
      </c>
      <c r="E115" s="8">
        <f t="shared" si="3"/>
        <v>2.5126498002663116</v>
      </c>
      <c r="F115" s="9">
        <f t="shared" si="4"/>
        <v>2.5269694382360717</v>
      </c>
      <c r="G115" s="9">
        <f t="shared" si="5"/>
        <v>2.5328507415414485</v>
      </c>
      <c r="H115" s="4">
        <f>C115*F115</f>
        <v>113.8652428869174</v>
      </c>
      <c r="I115" s="4">
        <f>C115*G115</f>
        <v>114.13025441385767</v>
      </c>
      <c r="J115" s="11">
        <f>LN(H115/D115)</f>
        <v>5.6828406391018901E-3</v>
      </c>
      <c r="K115" s="11">
        <f>LN(I115/D115)</f>
        <v>8.0075501129932437E-3</v>
      </c>
    </row>
    <row r="116" spans="1:11" x14ac:dyDescent="0.3">
      <c r="B116" s="1">
        <v>46190</v>
      </c>
      <c r="C116" s="4">
        <v>44.46</v>
      </c>
      <c r="D116" s="4">
        <v>111.81</v>
      </c>
      <c r="E116" s="8">
        <f t="shared" si="3"/>
        <v>2.5148448043184883</v>
      </c>
      <c r="F116" s="9">
        <f t="shared" si="4"/>
        <v>2.5261216919837959</v>
      </c>
      <c r="G116" s="9">
        <f t="shared" si="5"/>
        <v>2.5328507415414485</v>
      </c>
      <c r="H116" s="4">
        <f>C116*F116</f>
        <v>112.31137042559956</v>
      </c>
      <c r="I116" s="4">
        <f>C116*G116</f>
        <v>112.6105439689328</v>
      </c>
      <c r="J116" s="11">
        <f>LN(H116/D116)</f>
        <v>4.4741049102148276E-3</v>
      </c>
      <c r="K116" s="11">
        <f>LN(I116/D116)</f>
        <v>7.1343500941825917E-3</v>
      </c>
    </row>
    <row r="117" spans="1:11" x14ac:dyDescent="0.3">
      <c r="A117" s="6">
        <v>0.63149</v>
      </c>
      <c r="B117" s="1">
        <v>46191</v>
      </c>
      <c r="C117" s="4">
        <v>44.76</v>
      </c>
      <c r="D117" s="4">
        <f>+A117+112.49</f>
        <v>113.12148999999999</v>
      </c>
      <c r="E117" s="8">
        <f t="shared" si="3"/>
        <v>2.527289767649687</v>
      </c>
      <c r="F117" s="9">
        <f t="shared" si="4"/>
        <v>2.5260539179533388</v>
      </c>
      <c r="G117" s="9">
        <f t="shared" si="5"/>
        <v>2.5328507415414485</v>
      </c>
      <c r="H117" s="4">
        <f>C117*F117</f>
        <v>113.06617336759143</v>
      </c>
      <c r="I117" s="4">
        <f>C117*G117</f>
        <v>113.37039919139524</v>
      </c>
      <c r="J117" s="11">
        <f>LN(H117/D117)</f>
        <v>-4.8912157885012215E-4</v>
      </c>
      <c r="K117" s="11">
        <f>LN(I117/D117)</f>
        <v>2.1979532467191858E-3</v>
      </c>
    </row>
    <row r="118" spans="1:11" x14ac:dyDescent="0.3">
      <c r="A118" s="6" t="s">
        <v>20</v>
      </c>
      <c r="B118" s="1">
        <v>46195</v>
      </c>
      <c r="C118" s="4">
        <v>44.72</v>
      </c>
      <c r="D118" s="4">
        <v>112.97</v>
      </c>
      <c r="E118" s="8">
        <f t="shared" si="3"/>
        <v>2.5261627906976742</v>
      </c>
      <c r="F118" s="9">
        <f t="shared" si="4"/>
        <v>2.5261509463771117</v>
      </c>
      <c r="G118" s="9">
        <f t="shared" si="5"/>
        <v>2.5328507415414485</v>
      </c>
      <c r="H118" s="4">
        <f>C118*F118</f>
        <v>112.96947032198443</v>
      </c>
      <c r="I118" s="4">
        <f>C118*G118</f>
        <v>113.26908516173357</v>
      </c>
      <c r="J118" s="11">
        <f>LN(H118/D118)</f>
        <v>-4.688671835936722E-6</v>
      </c>
      <c r="K118" s="11">
        <f>LN(I118/D118)</f>
        <v>2.6439758254150261E-3</v>
      </c>
    </row>
    <row r="119" spans="1:11" x14ac:dyDescent="0.3">
      <c r="B119" s="1">
        <v>46196</v>
      </c>
      <c r="C119" s="4">
        <v>45.07</v>
      </c>
      <c r="D119" s="4">
        <v>113.94</v>
      </c>
      <c r="E119" s="8">
        <f t="shared" si="3"/>
        <v>2.5280674506323497</v>
      </c>
      <c r="F119" s="9">
        <f t="shared" si="4"/>
        <v>2.5263360168139113</v>
      </c>
      <c r="G119" s="9">
        <f t="shared" si="5"/>
        <v>2.5328507415414485</v>
      </c>
      <c r="H119" s="4">
        <f>C119*F119</f>
        <v>113.86196427780298</v>
      </c>
      <c r="I119" s="4">
        <f>C119*G119</f>
        <v>114.15558292127308</v>
      </c>
      <c r="J119" s="11">
        <f>LN(H119/D119)</f>
        <v>-6.8511898478859634E-4</v>
      </c>
      <c r="K119" s="11">
        <f>LN(I119/D119)</f>
        <v>1.890286367716058E-3</v>
      </c>
    </row>
    <row r="120" spans="1:11" x14ac:dyDescent="0.3">
      <c r="B120" s="1">
        <v>46197</v>
      </c>
      <c r="C120" s="4">
        <v>45.54</v>
      </c>
      <c r="D120" s="4">
        <v>115.25</v>
      </c>
      <c r="E120" s="8">
        <f t="shared" si="3"/>
        <v>2.5307422046552484</v>
      </c>
      <c r="F120" s="9">
        <f t="shared" si="4"/>
        <v>2.5266763478717342</v>
      </c>
      <c r="G120" s="9">
        <f t="shared" si="5"/>
        <v>2.5328507415414485</v>
      </c>
      <c r="H120" s="4">
        <f>C120*F120</f>
        <v>115.06484088207877</v>
      </c>
      <c r="I120" s="4">
        <f>C120*G120</f>
        <v>115.34602276979756</v>
      </c>
      <c r="J120" s="11">
        <f>LN(H120/D120)</f>
        <v>-1.6078786508300572E-3</v>
      </c>
      <c r="K120" s="11">
        <f>LN(I120/D120)</f>
        <v>8.3282247624423924E-4</v>
      </c>
    </row>
    <row r="121" spans="1:11" x14ac:dyDescent="0.3">
      <c r="B121" s="1">
        <v>46198</v>
      </c>
      <c r="C121" s="4">
        <v>45.85</v>
      </c>
      <c r="D121" s="4">
        <v>115.94</v>
      </c>
      <c r="E121" s="8">
        <f t="shared" si="3"/>
        <v>2.528680479825518</v>
      </c>
      <c r="F121" s="9">
        <f t="shared" si="4"/>
        <v>2.5270027068209187</v>
      </c>
      <c r="G121" s="9">
        <f t="shared" si="5"/>
        <v>2.5328507415414485</v>
      </c>
      <c r="H121" s="4">
        <f>C121*F121</f>
        <v>115.86307410773912</v>
      </c>
      <c r="I121" s="4">
        <f>C121*G121</f>
        <v>116.13120649967541</v>
      </c>
      <c r="J121" s="11">
        <f>LN(H121/D121)</f>
        <v>-6.6371764378830161E-4</v>
      </c>
      <c r="K121" s="11">
        <f>LN(I121/D121)</f>
        <v>1.6478265082957686E-3</v>
      </c>
    </row>
    <row r="122" spans="1:11" x14ac:dyDescent="0.3">
      <c r="B122" s="1">
        <v>46199</v>
      </c>
      <c r="C122" s="4">
        <v>46.2</v>
      </c>
      <c r="D122" s="4">
        <v>116.82</v>
      </c>
      <c r="E122" s="8">
        <f t="shared" si="3"/>
        <v>2.5285714285714285</v>
      </c>
      <c r="F122" s="9">
        <f t="shared" si="4"/>
        <v>2.5272717443037136</v>
      </c>
      <c r="G122" s="9">
        <f t="shared" si="5"/>
        <v>2.5328507415414485</v>
      </c>
      <c r="H122" s="4">
        <f>C122*F122</f>
        <v>116.75995458683157</v>
      </c>
      <c r="I122" s="4">
        <f>C122*G122</f>
        <v>117.01770425921492</v>
      </c>
      <c r="J122" s="11">
        <f>LN(H122/D122)</f>
        <v>-5.1413157089869445E-4</v>
      </c>
      <c r="K122" s="11">
        <f>LN(I122/D122)</f>
        <v>1.6909531929386061E-3</v>
      </c>
    </row>
    <row r="123" spans="1:11" x14ac:dyDescent="0.3">
      <c r="B123" s="1">
        <v>46202</v>
      </c>
      <c r="C123" s="4">
        <v>46.02</v>
      </c>
      <c r="D123" s="4">
        <v>116.25</v>
      </c>
      <c r="E123" s="8">
        <f t="shared" si="3"/>
        <v>2.5260756192959581</v>
      </c>
      <c r="F123" s="9">
        <f t="shared" si="4"/>
        <v>2.5273823690325825</v>
      </c>
      <c r="G123" s="9">
        <f t="shared" si="5"/>
        <v>2.5328507415414485</v>
      </c>
      <c r="H123" s="4">
        <f>C123*F123</f>
        <v>116.31013662287945</v>
      </c>
      <c r="I123" s="4">
        <f>C123*G123</f>
        <v>116.56179112573747</v>
      </c>
      <c r="J123" s="11">
        <f>LN(H123/D123)</f>
        <v>5.1717052709968818E-4</v>
      </c>
      <c r="K123" s="11">
        <f>LN(I123/D123)</f>
        <v>2.6784838571630456E-3</v>
      </c>
    </row>
    <row r="124" spans="1:11" x14ac:dyDescent="0.3">
      <c r="B124" s="1">
        <v>46203</v>
      </c>
      <c r="C124" s="4">
        <v>45.34</v>
      </c>
      <c r="D124" s="4">
        <v>114.61</v>
      </c>
      <c r="E124" s="8">
        <f t="shared" si="3"/>
        <v>2.5277900308778118</v>
      </c>
      <c r="F124" s="9">
        <f t="shared" si="4"/>
        <v>2.5272289471425982</v>
      </c>
      <c r="G124" s="9">
        <f t="shared" si="5"/>
        <v>2.5328507415414485</v>
      </c>
      <c r="H124" s="4">
        <f>C124*F124</f>
        <v>114.58456046344541</v>
      </c>
      <c r="I124" s="4">
        <f>C124*G124</f>
        <v>114.83945262148929</v>
      </c>
      <c r="J124" s="11">
        <f>LN(H124/D124)</f>
        <v>-2.2199075412272995E-4</v>
      </c>
      <c r="K124" s="11">
        <f>LN(I124/D124)</f>
        <v>2.0000282881840353E-3</v>
      </c>
    </row>
    <row r="125" spans="1:11" x14ac:dyDescent="0.3">
      <c r="B125" s="1">
        <v>46204</v>
      </c>
      <c r="C125" s="4">
        <v>44.77</v>
      </c>
      <c r="D125" s="4">
        <v>113.31</v>
      </c>
      <c r="E125" s="8">
        <f t="shared" si="3"/>
        <v>2.530935894572258</v>
      </c>
      <c r="F125" s="9">
        <f t="shared" si="4"/>
        <v>2.5274089992744004</v>
      </c>
      <c r="G125" s="9">
        <f t="shared" si="5"/>
        <v>2.5328507415414485</v>
      </c>
      <c r="H125" s="4">
        <f>C125*F125</f>
        <v>113.15210089751491</v>
      </c>
      <c r="I125" s="4">
        <f>C125*G125</f>
        <v>113.39572769881066</v>
      </c>
      <c r="J125" s="11">
        <f>LN(H125/D125)</f>
        <v>-1.394486118840577E-3</v>
      </c>
      <c r="K125" s="11">
        <f>LN(I125/D125)</f>
        <v>7.5629057780789426E-4</v>
      </c>
    </row>
    <row r="126" spans="1:11" x14ac:dyDescent="0.3">
      <c r="B126" s="1">
        <v>46205</v>
      </c>
      <c r="C126" s="4">
        <v>45.76</v>
      </c>
      <c r="D126" s="4">
        <v>115.75</v>
      </c>
      <c r="E126" s="8">
        <f t="shared" si="3"/>
        <v>2.5295017482517483</v>
      </c>
      <c r="F126" s="9">
        <f t="shared" si="4"/>
        <v>2.5273226590960469</v>
      </c>
      <c r="G126" s="9">
        <f t="shared" si="5"/>
        <v>2.5328507415414485</v>
      </c>
      <c r="H126" s="4">
        <f>C126*F126</f>
        <v>115.65028488023511</v>
      </c>
      <c r="I126" s="4">
        <f>C126*G126</f>
        <v>115.90324993293667</v>
      </c>
      <c r="J126" s="11">
        <f>LN(H126/D126)</f>
        <v>-8.6184099547349682E-4</v>
      </c>
      <c r="K126" s="11">
        <f>LN(I126/D126)</f>
        <v>1.3230978226076637E-3</v>
      </c>
    </row>
    <row r="127" spans="1:11" x14ac:dyDescent="0.3">
      <c r="B127" s="1">
        <v>46209</v>
      </c>
      <c r="C127" s="4">
        <v>45.3</v>
      </c>
      <c r="D127" s="4">
        <v>114.75</v>
      </c>
      <c r="E127" s="8">
        <f t="shared" si="3"/>
        <v>2.5331125827814569</v>
      </c>
      <c r="F127" s="9">
        <f t="shared" si="4"/>
        <v>2.5273283109934268</v>
      </c>
      <c r="G127" s="9">
        <f t="shared" si="5"/>
        <v>2.5328507415414485</v>
      </c>
      <c r="H127" s="4">
        <f>C127*F127</f>
        <v>114.48797248800223</v>
      </c>
      <c r="I127" s="4">
        <f>C127*G127</f>
        <v>114.73813859182761</v>
      </c>
      <c r="J127" s="11">
        <f>LN(H127/D127)</f>
        <v>-2.2860752367500035E-3</v>
      </c>
      <c r="K127" s="11">
        <f>LN(I127/D127)</f>
        <v>-1.0337273425752873E-4</v>
      </c>
    </row>
    <row r="128" spans="1:11" x14ac:dyDescent="0.3">
      <c r="B128" s="1">
        <v>46210</v>
      </c>
      <c r="C128" s="4">
        <v>45.7</v>
      </c>
      <c r="D128" s="4">
        <v>115.97</v>
      </c>
      <c r="E128" s="8">
        <f t="shared" si="3"/>
        <v>2.5376367614879647</v>
      </c>
      <c r="F128" s="9">
        <f t="shared" si="4"/>
        <v>2.5276825278727859</v>
      </c>
      <c r="G128" s="9">
        <f t="shared" si="5"/>
        <v>2.5328507415414485</v>
      </c>
      <c r="H128" s="4">
        <f>C128*F128</f>
        <v>115.51509152378632</v>
      </c>
      <c r="I128" s="4">
        <f>C128*G128</f>
        <v>115.7512788884442</v>
      </c>
      <c r="J128" s="11">
        <f>LN(H128/D128)</f>
        <v>-3.9303529987656924E-3</v>
      </c>
      <c r="K128" s="11">
        <f>LN(I128/D128)</f>
        <v>-1.8877953510440066E-3</v>
      </c>
    </row>
    <row r="129" spans="2:11" x14ac:dyDescent="0.3">
      <c r="B129" s="1">
        <v>46211</v>
      </c>
      <c r="C129" s="4">
        <v>45.36</v>
      </c>
      <c r="D129" s="4">
        <v>115.08</v>
      </c>
      <c r="E129" s="8">
        <f t="shared" si="3"/>
        <v>2.5370370370370372</v>
      </c>
      <c r="F129" s="9">
        <f t="shared" si="4"/>
        <v>2.5279718797246375</v>
      </c>
      <c r="G129" s="9">
        <f t="shared" si="5"/>
        <v>2.5328507415414485</v>
      </c>
      <c r="H129" s="4">
        <f>C129*F129</f>
        <v>114.66880446430956</v>
      </c>
      <c r="I129" s="4">
        <f>C129*G129</f>
        <v>114.8901096363201</v>
      </c>
      <c r="J129" s="11">
        <f>LN(H129/D129)</f>
        <v>-3.5795265677529744E-3</v>
      </c>
      <c r="K129" s="11">
        <f>LN(I129/D129)</f>
        <v>-1.6514355464417676E-3</v>
      </c>
    </row>
    <row r="130" spans="2:11" x14ac:dyDescent="0.3">
      <c r="B130" s="1">
        <v>46212</v>
      </c>
      <c r="C130" s="4">
        <v>45.13</v>
      </c>
      <c r="D130" s="4">
        <v>114.53</v>
      </c>
      <c r="E130" s="8">
        <f t="shared" si="3"/>
        <v>2.5377797473964101</v>
      </c>
      <c r="F130" s="9">
        <f t="shared" si="4"/>
        <v>2.5280759648661721</v>
      </c>
      <c r="G130" s="9">
        <f t="shared" si="5"/>
        <v>2.5328507415414485</v>
      </c>
      <c r="H130" s="4">
        <f>C130*F130</f>
        <v>114.09206829441035</v>
      </c>
      <c r="I130" s="4">
        <f>C130*G130</f>
        <v>114.30755396576558</v>
      </c>
      <c r="J130" s="11">
        <f>LN(H130/D130)</f>
        <v>-3.8310583443136961E-3</v>
      </c>
      <c r="K130" s="11">
        <f>LN(I130/D130)</f>
        <v>-1.9441398533062801E-3</v>
      </c>
    </row>
    <row r="131" spans="2:11" x14ac:dyDescent="0.3">
      <c r="B131" s="1">
        <v>46213</v>
      </c>
      <c r="C131" s="4">
        <v>45.41</v>
      </c>
      <c r="D131" s="4">
        <v>115.19</v>
      </c>
      <c r="E131" s="8">
        <f t="shared" ref="E131:E163" si="6">D131/C131</f>
        <v>2.5366659326139618</v>
      </c>
      <c r="F131" s="9">
        <f t="shared" si="4"/>
        <v>2.528147897860507</v>
      </c>
      <c r="G131" s="9">
        <f t="shared" si="5"/>
        <v>2.5328507415414485</v>
      </c>
      <c r="H131" s="4">
        <f>C131*F131</f>
        <v>114.80319604184561</v>
      </c>
      <c r="I131" s="4">
        <f>C131*G131</f>
        <v>115.01675217339717</v>
      </c>
      <c r="J131" s="11">
        <f>LN(H131/D131)</f>
        <v>-3.3636153547137878E-3</v>
      </c>
      <c r="K131" s="11">
        <f>LN(I131/D131)</f>
        <v>-1.5051501111466511E-3</v>
      </c>
    </row>
    <row r="132" spans="2:11" x14ac:dyDescent="0.3">
      <c r="B132" s="1">
        <v>46216</v>
      </c>
      <c r="C132" s="4">
        <v>45.72</v>
      </c>
      <c r="D132" s="4">
        <v>116.05</v>
      </c>
      <c r="E132" s="8">
        <f t="shared" si="6"/>
        <v>2.53827646544182</v>
      </c>
      <c r="F132" s="9">
        <f t="shared" si="4"/>
        <v>2.5286372035389539</v>
      </c>
      <c r="G132" s="9">
        <f t="shared" si="5"/>
        <v>2.5328507415414485</v>
      </c>
      <c r="H132" s="4">
        <f>C132*F132</f>
        <v>115.60929294580097</v>
      </c>
      <c r="I132" s="4">
        <f>C132*G132</f>
        <v>115.80193590327502</v>
      </c>
      <c r="J132" s="11">
        <f>LN(H132/D132)</f>
        <v>-3.8047909086689814E-3</v>
      </c>
      <c r="K132" s="11">
        <f>LN(I132/D132)</f>
        <v>-2.13985007642738E-3</v>
      </c>
    </row>
    <row r="133" spans="2:11" x14ac:dyDescent="0.3">
      <c r="B133" s="1">
        <v>46217</v>
      </c>
      <c r="C133" s="4">
        <v>45.69</v>
      </c>
      <c r="D133" s="4">
        <v>115.94</v>
      </c>
      <c r="E133" s="8">
        <f t="shared" si="6"/>
        <v>2.537535565769315</v>
      </c>
      <c r="F133" s="9">
        <f t="shared" si="4"/>
        <v>2.5291048194649677</v>
      </c>
      <c r="G133" s="9">
        <f t="shared" si="5"/>
        <v>2.5328507415414485</v>
      </c>
      <c r="H133" s="4">
        <f>C133*F133</f>
        <v>115.55479920135437</v>
      </c>
      <c r="I133" s="4">
        <f>C133*G133</f>
        <v>115.72595038102878</v>
      </c>
      <c r="J133" s="11">
        <f>LN(H133/D133)</f>
        <v>-3.3279465067037896E-3</v>
      </c>
      <c r="K133" s="11">
        <f>LN(I133/D133)</f>
        <v>-1.8479166189978816E-3</v>
      </c>
    </row>
    <row r="134" spans="2:11" x14ac:dyDescent="0.3">
      <c r="B134" s="1">
        <v>46218</v>
      </c>
      <c r="C134" s="4">
        <v>45.22</v>
      </c>
      <c r="D134" s="4">
        <v>114.87</v>
      </c>
      <c r="E134" s="8">
        <f t="shared" si="6"/>
        <v>2.5402476780185759</v>
      </c>
      <c r="F134" s="9">
        <f t="shared" si="4"/>
        <v>2.5304801895080518</v>
      </c>
      <c r="G134" s="9">
        <f t="shared" si="5"/>
        <v>2.5328507415414485</v>
      </c>
      <c r="H134" s="4">
        <f>C134*F134</f>
        <v>114.4283141695541</v>
      </c>
      <c r="I134" s="4">
        <f>C134*G134</f>
        <v>114.5355105325043</v>
      </c>
      <c r="J134" s="11">
        <f>LN(H134/D134)</f>
        <v>-3.8525043529381358E-3</v>
      </c>
      <c r="K134" s="11">
        <f>LN(I134/D134)</f>
        <v>-2.916143590080317E-3</v>
      </c>
    </row>
    <row r="135" spans="2:11" x14ac:dyDescent="0.3">
      <c r="B135" s="1">
        <v>46219</v>
      </c>
      <c r="C135" s="4">
        <v>45.47</v>
      </c>
      <c r="D135" s="4">
        <v>115.67</v>
      </c>
      <c r="E135" s="8">
        <f t="shared" si="6"/>
        <v>2.5438750824719598</v>
      </c>
      <c r="F135" s="9">
        <f t="shared" si="4"/>
        <v>2.5320414536183335</v>
      </c>
      <c r="G135" s="9">
        <f t="shared" si="5"/>
        <v>2.5328507415414485</v>
      </c>
      <c r="H135" s="4">
        <f>C135*F135</f>
        <v>115.13192489602562</v>
      </c>
      <c r="I135" s="4">
        <f>C135*G135</f>
        <v>115.16872321788966</v>
      </c>
      <c r="J135" s="11">
        <f>LN(H135/D135)</f>
        <v>-4.662665435301569E-3</v>
      </c>
      <c r="K135" s="11">
        <f>LN(I135/D135)</f>
        <v>-4.3430977529822822E-3</v>
      </c>
    </row>
    <row r="136" spans="2:11" x14ac:dyDescent="0.3">
      <c r="B136" s="1">
        <v>46220</v>
      </c>
      <c r="C136" s="4">
        <v>45.17</v>
      </c>
      <c r="D136" s="4">
        <v>114.84</v>
      </c>
      <c r="E136" s="8">
        <f t="shared" si="6"/>
        <v>2.5423953951737879</v>
      </c>
      <c r="F136" s="9">
        <f t="shared" si="4"/>
        <v>2.5334189831610976</v>
      </c>
      <c r="G136" s="9">
        <f t="shared" si="5"/>
        <v>2.5328507415414485</v>
      </c>
      <c r="H136" s="4">
        <f>C136*F136</f>
        <v>114.43453546938679</v>
      </c>
      <c r="I136" s="4">
        <f>C136*G136</f>
        <v>114.40886799542723</v>
      </c>
      <c r="J136" s="11">
        <f>LN(H136/D136)</f>
        <v>-3.5369383911522884E-3</v>
      </c>
      <c r="K136" s="11">
        <f>LN(I136/D136)</f>
        <v>-3.7612618689417047E-3</v>
      </c>
    </row>
    <row r="137" spans="2:11" x14ac:dyDescent="0.3">
      <c r="B137" s="1">
        <v>46223</v>
      </c>
      <c r="C137" s="4">
        <v>44.94</v>
      </c>
      <c r="D137" s="4">
        <v>114.24</v>
      </c>
      <c r="E137" s="8">
        <f t="shared" si="6"/>
        <v>2.542056074766355</v>
      </c>
      <c r="F137" s="9">
        <f t="shared" si="4"/>
        <v>2.5341572985169316</v>
      </c>
      <c r="G137" s="9">
        <f t="shared" si="5"/>
        <v>2.5328507415414485</v>
      </c>
      <c r="H137" s="4">
        <f>C137*F137</f>
        <v>113.88502899535091</v>
      </c>
      <c r="I137" s="4">
        <f>C137*G137</f>
        <v>113.82631232487269</v>
      </c>
      <c r="J137" s="11">
        <f>LN(H137/D137)</f>
        <v>-3.1120766774616576E-3</v>
      </c>
      <c r="K137" s="11">
        <f>LN(I137/D137)</f>
        <v>-3.627788116682427E-3</v>
      </c>
    </row>
    <row r="138" spans="2:11" x14ac:dyDescent="0.3">
      <c r="B138" s="1">
        <v>46224</v>
      </c>
      <c r="C138" s="4">
        <v>44.92</v>
      </c>
      <c r="D138" s="4">
        <v>114.01</v>
      </c>
      <c r="E138" s="8">
        <f t="shared" si="6"/>
        <v>2.5380676758682101</v>
      </c>
      <c r="F138" s="9">
        <f t="shared" si="4"/>
        <v>2.5347525427754589</v>
      </c>
      <c r="G138" s="9">
        <f t="shared" si="5"/>
        <v>2.5328507415414485</v>
      </c>
      <c r="H138" s="4">
        <f>C138*F138</f>
        <v>113.86108422147362</v>
      </c>
      <c r="I138" s="4">
        <f>C138*G138</f>
        <v>113.77565531004187</v>
      </c>
      <c r="J138" s="11">
        <f>LN(H138/D138)</f>
        <v>-1.3070179591632815E-3</v>
      </c>
      <c r="K138" s="11">
        <f>LN(I138/D138)</f>
        <v>-2.0575902579772118E-3</v>
      </c>
    </row>
    <row r="139" spans="2:11" x14ac:dyDescent="0.3">
      <c r="B139" s="1">
        <v>46225</v>
      </c>
      <c r="C139" s="4">
        <v>45.93</v>
      </c>
      <c r="D139" s="4">
        <v>116.44</v>
      </c>
      <c r="E139" s="8">
        <f t="shared" si="6"/>
        <v>2.5351622033529284</v>
      </c>
      <c r="F139" s="9">
        <f t="shared" si="4"/>
        <v>2.5351072804114878</v>
      </c>
      <c r="G139" s="9">
        <f t="shared" si="5"/>
        <v>2.5328507415414485</v>
      </c>
      <c r="H139" s="4">
        <f>C139*F139</f>
        <v>116.43747738929963</v>
      </c>
      <c r="I139" s="4">
        <f>C139*G139</f>
        <v>116.33383455899873</v>
      </c>
      <c r="J139" s="11">
        <f>LN(H139/D139)</f>
        <v>-2.1664703076892524E-5</v>
      </c>
      <c r="K139" s="11">
        <f>LN(I139/D139)</f>
        <v>-9.1217682231160867E-4</v>
      </c>
    </row>
    <row r="140" spans="2:11" x14ac:dyDescent="0.3">
      <c r="B140" s="1">
        <v>46226</v>
      </c>
      <c r="C140" s="4">
        <v>46.19</v>
      </c>
      <c r="D140" s="4">
        <v>117.03</v>
      </c>
      <c r="E140" s="8">
        <f t="shared" si="6"/>
        <v>2.5336652955185106</v>
      </c>
      <c r="F140" s="9">
        <f t="shared" si="4"/>
        <v>2.5352534349546505</v>
      </c>
      <c r="G140" s="9">
        <f t="shared" si="5"/>
        <v>2.5328507415414485</v>
      </c>
      <c r="H140" s="4">
        <f>C140*F140</f>
        <v>117.10335616055531</v>
      </c>
      <c r="I140" s="4">
        <f>C140*G140</f>
        <v>116.9923757517995</v>
      </c>
      <c r="J140" s="11">
        <f>LN(H140/D140)</f>
        <v>6.266186429692666E-4</v>
      </c>
      <c r="K140" s="11">
        <f>LN(I140/D140)</f>
        <v>-3.2154402675208747E-4</v>
      </c>
    </row>
    <row r="141" spans="2:11" x14ac:dyDescent="0.3">
      <c r="B141" s="1">
        <v>46227</v>
      </c>
      <c r="C141" s="4">
        <v>46.29</v>
      </c>
      <c r="D141" s="4">
        <v>117.16</v>
      </c>
      <c r="E141" s="8">
        <f t="shared" si="6"/>
        <v>2.5310002160293799</v>
      </c>
      <c r="F141" s="9">
        <f t="shared" si="4"/>
        <v>2.5353694217648437</v>
      </c>
      <c r="G141" s="9">
        <f t="shared" si="5"/>
        <v>2.5328507415414485</v>
      </c>
      <c r="H141" s="4">
        <f>C141*F141</f>
        <v>117.36225053349462</v>
      </c>
      <c r="I141" s="4">
        <f>C141*G141</f>
        <v>117.24566082595365</v>
      </c>
      <c r="J141" s="11">
        <f>LN(H141/D141)</f>
        <v>1.7247880162673812E-3</v>
      </c>
      <c r="K141" s="11">
        <f>LN(I141/D141)</f>
        <v>7.3087680105512174E-4</v>
      </c>
    </row>
    <row r="142" spans="2:11" x14ac:dyDescent="0.3">
      <c r="B142" s="1">
        <v>46230</v>
      </c>
      <c r="C142" s="4">
        <v>45.68</v>
      </c>
      <c r="D142" s="4">
        <v>115.69</v>
      </c>
      <c r="E142" s="8">
        <f t="shared" si="6"/>
        <v>2.5326182136602453</v>
      </c>
      <c r="F142" s="9">
        <f t="shared" si="4"/>
        <v>2.5355717610192841</v>
      </c>
      <c r="G142" s="9">
        <f t="shared" si="5"/>
        <v>2.5328507415414485</v>
      </c>
      <c r="H142" s="4">
        <f>C142*F142</f>
        <v>115.8249180433609</v>
      </c>
      <c r="I142" s="4">
        <f>C142*G142</f>
        <v>115.70062187361337</v>
      </c>
      <c r="J142" s="11">
        <f>LN(H142/D142)</f>
        <v>1.1655236714279416E-3</v>
      </c>
      <c r="K142" s="11">
        <f>LN(I142/D142)</f>
        <v>9.1809024366128E-5</v>
      </c>
    </row>
    <row r="143" spans="2:11" x14ac:dyDescent="0.3">
      <c r="B143" s="1">
        <v>46231</v>
      </c>
      <c r="C143" s="4">
        <v>45.52</v>
      </c>
      <c r="D143" s="4">
        <v>115.37</v>
      </c>
      <c r="E143" s="8">
        <f t="shared" si="6"/>
        <v>2.5344903339191562</v>
      </c>
      <c r="F143" s="9">
        <f t="shared" si="4"/>
        <v>2.5359924967504446</v>
      </c>
      <c r="G143" s="9">
        <f t="shared" si="5"/>
        <v>2.5328507415414485</v>
      </c>
      <c r="H143" s="4">
        <f>C143*F143</f>
        <v>115.43837845208024</v>
      </c>
      <c r="I143" s="4">
        <f>C143*G143</f>
        <v>115.29536575496674</v>
      </c>
      <c r="J143" s="11">
        <f>LN(H143/D143)</f>
        <v>5.9251275486001272E-4</v>
      </c>
      <c r="K143" s="11">
        <f>LN(I143/D143)</f>
        <v>-6.4712140371414443E-4</v>
      </c>
    </row>
    <row r="144" spans="2:11" x14ac:dyDescent="0.3">
      <c r="B144" s="1">
        <v>46232</v>
      </c>
      <c r="C144" s="4">
        <v>44.91</v>
      </c>
      <c r="D144" s="4">
        <v>113.95</v>
      </c>
      <c r="E144" s="8">
        <f t="shared" si="6"/>
        <v>2.5372968158539302</v>
      </c>
      <c r="F144" s="9">
        <f t="shared" si="4"/>
        <v>2.5364678359992503</v>
      </c>
      <c r="G144" s="9">
        <f t="shared" si="5"/>
        <v>2.5328507415414485</v>
      </c>
      <c r="H144" s="4">
        <f>C144*F144</f>
        <v>113.91277051472632</v>
      </c>
      <c r="I144" s="4">
        <f>C144*G144</f>
        <v>113.75032680262645</v>
      </c>
      <c r="J144" s="11">
        <f>LN(H144/D144)</f>
        <v>-3.2677111334045351E-4</v>
      </c>
      <c r="K144" s="11">
        <f>LN(I144/D144)</f>
        <v>-1.7538248746379664E-3</v>
      </c>
    </row>
    <row r="145" spans="2:11" x14ac:dyDescent="0.3">
      <c r="B145" s="1">
        <v>46233</v>
      </c>
      <c r="C145" s="4">
        <v>44.66</v>
      </c>
      <c r="D145" s="4">
        <v>113.1</v>
      </c>
      <c r="E145" s="8">
        <f t="shared" si="6"/>
        <v>2.5324675324675323</v>
      </c>
      <c r="F145" s="9">
        <f t="shared" si="4"/>
        <v>2.5365444178940146</v>
      </c>
      <c r="G145" s="9">
        <f t="shared" si="5"/>
        <v>2.5328507415414485</v>
      </c>
      <c r="H145" s="4">
        <f>C145*F145</f>
        <v>113.28207370314668</v>
      </c>
      <c r="I145" s="4">
        <f>C145*G145</f>
        <v>113.11711411724109</v>
      </c>
      <c r="J145" s="11">
        <f>LN(H145/D145)</f>
        <v>1.6085526510742994E-3</v>
      </c>
      <c r="K145" s="11">
        <f>LN(I145/D145)</f>
        <v>1.5130700734570742E-4</v>
      </c>
    </row>
    <row r="146" spans="2:11" x14ac:dyDescent="0.3">
      <c r="B146" s="1">
        <v>46234</v>
      </c>
      <c r="C146" s="4">
        <v>44.35</v>
      </c>
      <c r="D146" s="4">
        <v>112.39</v>
      </c>
      <c r="E146" s="8">
        <f t="shared" si="6"/>
        <v>2.5341600901916572</v>
      </c>
      <c r="F146" s="9">
        <f t="shared" si="4"/>
        <v>2.536777334991009</v>
      </c>
      <c r="G146" s="9">
        <f t="shared" si="5"/>
        <v>2.5328507415414485</v>
      </c>
      <c r="H146" s="4">
        <f>C146*F146</f>
        <v>112.50607480685126</v>
      </c>
      <c r="I146" s="4">
        <f>C146*G146</f>
        <v>112.33193038736324</v>
      </c>
      <c r="J146" s="11">
        <f>LN(H146/D146)</f>
        <v>1.0322529395666287E-3</v>
      </c>
      <c r="K146" s="11">
        <f>LN(I146/D146)</f>
        <v>-5.1681305717851504E-4</v>
      </c>
    </row>
    <row r="147" spans="2:11" x14ac:dyDescent="0.3">
      <c r="B147" s="1">
        <v>46237</v>
      </c>
      <c r="C147" s="4">
        <v>44.36</v>
      </c>
      <c r="D147" s="4">
        <v>112.52</v>
      </c>
      <c r="E147" s="8">
        <f t="shared" si="6"/>
        <v>2.5365193868349865</v>
      </c>
      <c r="F147" s="9">
        <f t="shared" si="4"/>
        <v>2.5369476751936864</v>
      </c>
      <c r="G147" s="9">
        <f t="shared" si="5"/>
        <v>2.5328507415414485</v>
      </c>
      <c r="H147" s="4">
        <f>C147*F147</f>
        <v>112.53899887159193</v>
      </c>
      <c r="I147" s="4">
        <f>C147*G147</f>
        <v>112.35725889477865</v>
      </c>
      <c r="J147" s="11">
        <f>LN(H147/D147)</f>
        <v>1.6883458766205707E-4</v>
      </c>
      <c r="K147" s="11">
        <f>LN(I147/D147)</f>
        <v>-1.4473774220810224E-3</v>
      </c>
    </row>
    <row r="148" spans="2:11" x14ac:dyDescent="0.3">
      <c r="B148" s="1">
        <v>46238</v>
      </c>
      <c r="C148" s="4">
        <v>44.11</v>
      </c>
      <c r="D148" s="4">
        <v>111.87</v>
      </c>
      <c r="E148" s="8">
        <f t="shared" si="6"/>
        <v>2.5361596009975065</v>
      </c>
      <c r="F148" s="9">
        <f t="shared" si="4"/>
        <v>2.5368738171691634</v>
      </c>
      <c r="G148" s="9">
        <f t="shared" si="5"/>
        <v>2.5328507415414485</v>
      </c>
      <c r="H148" s="4">
        <f>C148*F148</f>
        <v>111.9015040753318</v>
      </c>
      <c r="I148" s="4">
        <f>C148*G148</f>
        <v>111.72404620939329</v>
      </c>
      <c r="J148" s="11">
        <f>LN(H148/D148)</f>
        <v>2.8157361385335847E-4</v>
      </c>
      <c r="K148" s="11">
        <f>LN(I148/D148)</f>
        <v>-1.3055250245820977E-3</v>
      </c>
    </row>
    <row r="149" spans="2:11" x14ac:dyDescent="0.3">
      <c r="B149" s="1">
        <v>46239</v>
      </c>
      <c r="C149" s="4">
        <v>43.66</v>
      </c>
      <c r="D149" s="4">
        <v>110.74</v>
      </c>
      <c r="E149" s="8">
        <f t="shared" si="6"/>
        <v>2.5364177737059093</v>
      </c>
      <c r="F149" s="9">
        <f t="shared" ref="F149:F163" si="7">AVERAGE(E130:E149)</f>
        <v>2.5368428540026065</v>
      </c>
      <c r="G149" s="9">
        <f t="shared" si="5"/>
        <v>2.5328507415414485</v>
      </c>
      <c r="H149" s="4">
        <f>C149*F149</f>
        <v>110.7585590057538</v>
      </c>
      <c r="I149" s="4">
        <f>C149*G149</f>
        <v>110.58426337569963</v>
      </c>
      <c r="J149" s="11">
        <f>LN(H149/D149)</f>
        <v>1.675767633029678E-4</v>
      </c>
      <c r="K149" s="11">
        <f>LN(I149/D149)</f>
        <v>-1.407316555614521E-3</v>
      </c>
    </row>
    <row r="150" spans="2:11" x14ac:dyDescent="0.3">
      <c r="B150" s="1">
        <v>46240</v>
      </c>
      <c r="C150" s="4">
        <v>43.38</v>
      </c>
      <c r="D150" s="4">
        <v>110.29</v>
      </c>
      <c r="E150" s="8">
        <f t="shared" si="6"/>
        <v>2.5424158598432456</v>
      </c>
      <c r="F150" s="9">
        <f t="shared" si="7"/>
        <v>2.5370746596249485</v>
      </c>
      <c r="G150" s="9">
        <f t="shared" ref="G150:G172" si="8">G149</f>
        <v>2.5328507415414485</v>
      </c>
      <c r="H150" s="4">
        <f>C150*F150</f>
        <v>110.05829873453027</v>
      </c>
      <c r="I150" s="4">
        <f>C150*G150</f>
        <v>109.87506516806805</v>
      </c>
      <c r="J150" s="11">
        <f>LN(H150/D150)</f>
        <v>-2.1030464242097436E-3</v>
      </c>
      <c r="K150" s="11">
        <f>LN(I150/D150)</f>
        <v>-3.7693112019184559E-3</v>
      </c>
    </row>
    <row r="151" spans="2:11" x14ac:dyDescent="0.3">
      <c r="B151" s="1">
        <v>46241</v>
      </c>
      <c r="C151" s="4">
        <v>43.61</v>
      </c>
      <c r="D151" s="4">
        <v>110.95</v>
      </c>
      <c r="E151" s="8">
        <f t="shared" si="6"/>
        <v>2.5441412520064208</v>
      </c>
      <c r="F151" s="9">
        <f t="shared" si="7"/>
        <v>2.5374484255945715</v>
      </c>
      <c r="G151" s="9">
        <f t="shared" si="8"/>
        <v>2.5328507415414485</v>
      </c>
      <c r="H151" s="4">
        <f>C151*F151</f>
        <v>110.65812584017927</v>
      </c>
      <c r="I151" s="4">
        <f>C151*G151</f>
        <v>110.45762083862257</v>
      </c>
      <c r="J151" s="11">
        <f>LN(H151/D151)</f>
        <v>-2.6341482514143284E-3</v>
      </c>
      <c r="K151" s="11">
        <f>LN(I151/D151)</f>
        <v>-4.4477238065190449E-3</v>
      </c>
    </row>
    <row r="152" spans="2:11" x14ac:dyDescent="0.3">
      <c r="B152" s="1">
        <v>46244</v>
      </c>
      <c r="C152" s="4">
        <v>43.13</v>
      </c>
      <c r="D152" s="4">
        <v>109.8</v>
      </c>
      <c r="E152" s="8">
        <f t="shared" si="6"/>
        <v>2.5457917922559701</v>
      </c>
      <c r="F152" s="9">
        <f t="shared" si="7"/>
        <v>2.5378241919352793</v>
      </c>
      <c r="G152" s="9">
        <f t="shared" si="8"/>
        <v>2.5328507415414485</v>
      </c>
      <c r="H152" s="4">
        <f>C152*F152</f>
        <v>109.45635739816861</v>
      </c>
      <c r="I152" s="4">
        <f>C152*G152</f>
        <v>109.24185248268267</v>
      </c>
      <c r="J152" s="11">
        <f>LN(H152/D152)</f>
        <v>-3.1346218398504663E-3</v>
      </c>
      <c r="K152" s="11">
        <f>LN(I152/D152)</f>
        <v>-5.096274698269722E-3</v>
      </c>
    </row>
    <row r="153" spans="2:11" x14ac:dyDescent="0.3">
      <c r="B153" s="1">
        <v>46245</v>
      </c>
      <c r="C153" s="4">
        <v>43.63</v>
      </c>
      <c r="D153" s="4">
        <v>110.98</v>
      </c>
      <c r="E153" s="8">
        <f t="shared" si="6"/>
        <v>2.543662617465047</v>
      </c>
      <c r="F153" s="9">
        <f t="shared" si="7"/>
        <v>2.5381305445200657</v>
      </c>
      <c r="G153" s="9">
        <f t="shared" si="8"/>
        <v>2.5328507415414485</v>
      </c>
      <c r="H153" s="4">
        <f>C153*F153</f>
        <v>110.73863565741047</v>
      </c>
      <c r="I153" s="4">
        <f>C153*G153</f>
        <v>110.50827785345341</v>
      </c>
      <c r="J153" s="11">
        <f>LN(H153/D153)</f>
        <v>-2.1772138117124168E-3</v>
      </c>
      <c r="K153" s="11">
        <f>LN(I153/D153)</f>
        <v>-4.2595740448281979E-3</v>
      </c>
    </row>
    <row r="154" spans="2:11" x14ac:dyDescent="0.3">
      <c r="B154" s="1">
        <v>46246</v>
      </c>
      <c r="C154" s="4">
        <v>43.84</v>
      </c>
      <c r="D154" s="4">
        <v>111.49</v>
      </c>
      <c r="E154" s="8">
        <f t="shared" si="6"/>
        <v>2.543111313868613</v>
      </c>
      <c r="F154" s="9">
        <f t="shared" si="7"/>
        <v>2.5382737263125676</v>
      </c>
      <c r="G154" s="9">
        <f t="shared" si="8"/>
        <v>2.5328507415414485</v>
      </c>
      <c r="H154" s="4">
        <f>C154*F154</f>
        <v>111.27792016154298</v>
      </c>
      <c r="I154" s="4">
        <f>C154*G154</f>
        <v>111.04017650917712</v>
      </c>
      <c r="J154" s="11">
        <f>LN(H154/D154)</f>
        <v>-1.9040434760602173E-3</v>
      </c>
      <c r="K154" s="11">
        <f>LN(I154/D154)</f>
        <v>-4.0428144223110868E-3</v>
      </c>
    </row>
    <row r="155" spans="2:11" x14ac:dyDescent="0.3">
      <c r="B155" s="1">
        <v>46247</v>
      </c>
      <c r="C155" s="4">
        <v>44.04</v>
      </c>
      <c r="D155" s="4">
        <v>111.86</v>
      </c>
      <c r="E155" s="8">
        <f t="shared" si="6"/>
        <v>2.5399636693914625</v>
      </c>
      <c r="F155" s="9">
        <f t="shared" si="7"/>
        <v>2.5380781556585421</v>
      </c>
      <c r="G155" s="9">
        <f t="shared" si="8"/>
        <v>2.5328507415414485</v>
      </c>
      <c r="H155" s="4">
        <f>C155*F155</f>
        <v>111.7769619752022</v>
      </c>
      <c r="I155" s="4">
        <f>C155*G155</f>
        <v>111.54674665748539</v>
      </c>
      <c r="J155" s="11">
        <f>LN(H155/D155)</f>
        <v>-7.4261452919520865E-4</v>
      </c>
      <c r="K155" s="11">
        <f>LN(I155/D155)</f>
        <v>-2.8043338215540062E-3</v>
      </c>
    </row>
    <row r="156" spans="2:11" x14ac:dyDescent="0.3">
      <c r="B156" s="1">
        <v>46248</v>
      </c>
      <c r="C156" s="4">
        <v>44.31</v>
      </c>
      <c r="D156" s="4">
        <v>112.53</v>
      </c>
      <c r="E156" s="8">
        <f t="shared" si="6"/>
        <v>2.5396073121191605</v>
      </c>
      <c r="F156" s="9">
        <f t="shared" si="7"/>
        <v>2.5379387515058109</v>
      </c>
      <c r="G156" s="9">
        <f t="shared" si="8"/>
        <v>2.5328507415414485</v>
      </c>
      <c r="H156" s="4">
        <f>C156*F156</f>
        <v>112.4560660792225</v>
      </c>
      <c r="I156" s="4">
        <f>C156*G156</f>
        <v>112.23061635770159</v>
      </c>
      <c r="J156" s="11">
        <f>LN(H156/D156)</f>
        <v>-6.5723113192979812E-4</v>
      </c>
      <c r="K156" s="11">
        <f>LN(I156/D156)</f>
        <v>-2.664023833098703E-3</v>
      </c>
    </row>
    <row r="157" spans="2:11" x14ac:dyDescent="0.3">
      <c r="B157" s="1">
        <v>46251</v>
      </c>
      <c r="C157" s="4">
        <v>44.18</v>
      </c>
      <c r="D157" s="4">
        <v>112.16</v>
      </c>
      <c r="E157" s="8">
        <f t="shared" si="6"/>
        <v>2.5387052965142596</v>
      </c>
      <c r="F157" s="9">
        <f t="shared" si="7"/>
        <v>2.5377712125932064</v>
      </c>
      <c r="G157" s="9">
        <f t="shared" si="8"/>
        <v>2.5328507415414485</v>
      </c>
      <c r="H157" s="4">
        <f>C157*F157</f>
        <v>112.11873217236786</v>
      </c>
      <c r="I157" s="4">
        <f>C157*G157</f>
        <v>111.9013457613012</v>
      </c>
      <c r="J157" s="11">
        <f>LN(H157/D157)</f>
        <v>-3.6800482772618209E-4</v>
      </c>
      <c r="K157" s="11">
        <f>LN(I157/D157)</f>
        <v>-2.3087815769000613E-3</v>
      </c>
    </row>
    <row r="158" spans="2:11" x14ac:dyDescent="0.3">
      <c r="B158" s="1">
        <v>46252</v>
      </c>
      <c r="C158" s="4">
        <v>44.02</v>
      </c>
      <c r="D158" s="4">
        <v>111.66</v>
      </c>
      <c r="E158" s="8">
        <f t="shared" si="6"/>
        <v>2.5365742844161741</v>
      </c>
      <c r="F158" s="9">
        <f t="shared" si="7"/>
        <v>2.5376965430206049</v>
      </c>
      <c r="G158" s="9">
        <f t="shared" si="8"/>
        <v>2.5328507415414485</v>
      </c>
      <c r="H158" s="4">
        <f>C158*F158</f>
        <v>111.70940182376704</v>
      </c>
      <c r="I158" s="4">
        <f>C158*G158</f>
        <v>111.49608964265457</v>
      </c>
      <c r="J158" s="11">
        <f>LN(H158/D158)</f>
        <v>4.4233296207252178E-4</v>
      </c>
      <c r="K158" s="11">
        <f>LN(I158/D158)</f>
        <v>-1.4690200664899797E-3</v>
      </c>
    </row>
    <row r="159" spans="2:11" x14ac:dyDescent="0.3">
      <c r="B159" s="1">
        <v>46253</v>
      </c>
      <c r="C159" s="4">
        <v>44.02</v>
      </c>
      <c r="D159" s="4">
        <v>111.86</v>
      </c>
      <c r="E159" s="8">
        <f t="shared" si="6"/>
        <v>2.541117673784643</v>
      </c>
      <c r="F159" s="9">
        <f t="shared" si="7"/>
        <v>2.5379943165421901</v>
      </c>
      <c r="G159" s="9">
        <f t="shared" si="8"/>
        <v>2.5328507415414485</v>
      </c>
      <c r="H159" s="4">
        <f>C159*F159</f>
        <v>111.72250981418722</v>
      </c>
      <c r="I159" s="4">
        <f>C159*G159</f>
        <v>111.49608964265457</v>
      </c>
      <c r="J159" s="11">
        <f>LN(H159/D159)</f>
        <v>-1.2298833505164015E-3</v>
      </c>
      <c r="K159" s="11">
        <f>LN(I159/D159)</f>
        <v>-3.2585695777175099E-3</v>
      </c>
    </row>
    <row r="160" spans="2:11" x14ac:dyDescent="0.3">
      <c r="B160" s="1">
        <v>46254</v>
      </c>
      <c r="C160" s="4">
        <v>43.77</v>
      </c>
      <c r="D160" s="4">
        <v>111.22</v>
      </c>
      <c r="E160" s="8">
        <f t="shared" si="6"/>
        <v>2.5410098240804202</v>
      </c>
      <c r="F160" s="9">
        <f t="shared" si="7"/>
        <v>2.5383615429702857</v>
      </c>
      <c r="G160" s="9">
        <f t="shared" si="8"/>
        <v>2.5328507415414485</v>
      </c>
      <c r="H160" s="4">
        <f>C160*F160</f>
        <v>111.10408473580941</v>
      </c>
      <c r="I160" s="4">
        <f>C160*G160</f>
        <v>110.86287695726921</v>
      </c>
      <c r="J160" s="11">
        <f>LN(H160/D160)</f>
        <v>-1.0427594907828168E-3</v>
      </c>
      <c r="K160" s="11">
        <f>LN(I160/D160)</f>
        <v>-3.2161268392051556E-3</v>
      </c>
    </row>
    <row r="161" spans="2:11" x14ac:dyDescent="0.3">
      <c r="B161" s="1">
        <v>46255</v>
      </c>
      <c r="C161" s="4">
        <v>42.77</v>
      </c>
      <c r="D161" s="4">
        <v>108.97</v>
      </c>
      <c r="E161" s="8">
        <f t="shared" si="6"/>
        <v>2.5478138882394199</v>
      </c>
      <c r="F161" s="9">
        <f t="shared" si="7"/>
        <v>2.5392022265807874</v>
      </c>
      <c r="G161" s="9">
        <f t="shared" si="8"/>
        <v>2.5328507415414485</v>
      </c>
      <c r="H161" s="4">
        <f>C161*F161</f>
        <v>108.60167923086028</v>
      </c>
      <c r="I161" s="4">
        <f>C161*G161</f>
        <v>108.33002621572776</v>
      </c>
      <c r="J161" s="11">
        <f>LN(H161/D161)</f>
        <v>-3.38574507756153E-3</v>
      </c>
      <c r="K161" s="11">
        <f>LN(I161/D161)</f>
        <v>-5.8902490325687456E-3</v>
      </c>
    </row>
    <row r="162" spans="2:11" x14ac:dyDescent="0.3">
      <c r="B162" s="1">
        <v>46258</v>
      </c>
      <c r="C162" s="4">
        <v>43.22</v>
      </c>
      <c r="D162" s="4">
        <v>110.03</v>
      </c>
      <c r="E162" s="8">
        <f t="shared" si="6"/>
        <v>2.5458121240166589</v>
      </c>
      <c r="F162" s="9">
        <f t="shared" si="7"/>
        <v>2.5398619220986083</v>
      </c>
      <c r="G162" s="9">
        <f t="shared" si="8"/>
        <v>2.5328507415414485</v>
      </c>
      <c r="H162" s="4">
        <f>C162*F162</f>
        <v>109.77283227310184</v>
      </c>
      <c r="I162" s="4">
        <f>C162*G162</f>
        <v>109.4698090494214</v>
      </c>
      <c r="J162" s="11">
        <f>LN(H162/D162)</f>
        <v>-2.339986628770187E-3</v>
      </c>
      <c r="K162" s="11">
        <f>LN(I162/D162)</f>
        <v>-5.1042610856726874E-3</v>
      </c>
    </row>
    <row r="163" spans="2:11" x14ac:dyDescent="0.3">
      <c r="B163" s="1">
        <v>46259</v>
      </c>
      <c r="C163" s="4">
        <v>43.31</v>
      </c>
      <c r="D163" s="4">
        <v>110.05</v>
      </c>
      <c r="E163" s="8">
        <f t="shared" si="6"/>
        <v>2.540983606557377</v>
      </c>
      <c r="F163" s="9">
        <f t="shared" si="7"/>
        <v>2.5401865857305195</v>
      </c>
      <c r="G163" s="9">
        <f t="shared" si="8"/>
        <v>2.5328507415414485</v>
      </c>
      <c r="H163" s="4">
        <f>C163*F163</f>
        <v>110.0154810279888</v>
      </c>
      <c r="I163" s="4">
        <f>C163*G163</f>
        <v>109.69776561616014</v>
      </c>
      <c r="J163" s="11">
        <f>LN(H163/D163)</f>
        <v>-3.1371546444322948E-4</v>
      </c>
      <c r="K163" s="11">
        <f>LN(I163/D163)</f>
        <v>-3.2058090285265201E-3</v>
      </c>
    </row>
    <row r="164" spans="2:11" x14ac:dyDescent="0.3">
      <c r="C164" s="4">
        <v>43.51</v>
      </c>
      <c r="D164" s="4">
        <v>110.49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422C-27CC-4AD9-B9CB-E83A7DB39AD1}">
  <dimension ref="A1:K164"/>
  <sheetViews>
    <sheetView workbookViewId="0">
      <selection sqref="A1:A1048576"/>
    </sheetView>
  </sheetViews>
  <sheetFormatPr defaultRowHeight="14.4" x14ac:dyDescent="0.3"/>
  <cols>
    <col min="1" max="1" width="8.21875" style="6" customWidth="1"/>
    <col min="2" max="2" width="10.33203125" style="1" bestFit="1" customWidth="1"/>
    <col min="3" max="4" width="8.88671875" style="4"/>
    <col min="5" max="5" width="10.6640625" style="8" bestFit="1" customWidth="1"/>
    <col min="7" max="7" width="10.33203125" style="1" bestFit="1" customWidth="1"/>
    <col min="8" max="9" width="8.88671875" style="4"/>
    <col min="10" max="11" width="8.88671875" style="11"/>
  </cols>
  <sheetData>
    <row r="1" spans="2:11" s="3" customFormat="1" x14ac:dyDescent="0.3">
      <c r="B1" s="2" t="s">
        <v>0</v>
      </c>
      <c r="C1" s="5" t="s">
        <v>15</v>
      </c>
      <c r="D1" s="5" t="s">
        <v>8</v>
      </c>
      <c r="E1" s="7" t="str">
        <f>_xlfn.CONCAT(D1,"/",C1)</f>
        <v>IYW/XLK</v>
      </c>
      <c r="F1" s="3" t="s">
        <v>13</v>
      </c>
      <c r="G1" s="1"/>
      <c r="H1" s="10" t="s">
        <v>9</v>
      </c>
      <c r="I1" s="10" t="s">
        <v>10</v>
      </c>
      <c r="J1" s="10" t="s">
        <v>11</v>
      </c>
      <c r="K1" s="10" t="s">
        <v>12</v>
      </c>
    </row>
    <row r="2" spans="2:11" x14ac:dyDescent="0.3">
      <c r="B2" s="1">
        <v>46024</v>
      </c>
      <c r="C2" s="4">
        <v>144.30000000000001</v>
      </c>
      <c r="D2" s="4">
        <v>199.89</v>
      </c>
      <c r="E2" s="8">
        <f>D2/C2</f>
        <v>1.385239085239085</v>
      </c>
    </row>
    <row r="3" spans="2:11" x14ac:dyDescent="0.3">
      <c r="B3" s="1">
        <v>46027</v>
      </c>
      <c r="C3" s="4">
        <v>144.62</v>
      </c>
      <c r="D3" s="4">
        <v>200.4</v>
      </c>
      <c r="E3" s="8">
        <f t="shared" ref="E3:E66" si="0">D3/C3</f>
        <v>1.3857004563684139</v>
      </c>
    </row>
    <row r="4" spans="2:11" x14ac:dyDescent="0.3">
      <c r="B4" s="1">
        <v>46028</v>
      </c>
      <c r="C4" s="4">
        <v>146.65</v>
      </c>
      <c r="D4" s="4">
        <v>202.33</v>
      </c>
      <c r="E4" s="8">
        <f t="shared" si="0"/>
        <v>1.3796795090351177</v>
      </c>
    </row>
    <row r="5" spans="2:11" x14ac:dyDescent="0.3">
      <c r="B5" s="1">
        <v>46029</v>
      </c>
      <c r="C5" s="4">
        <v>146.53</v>
      </c>
      <c r="D5" s="4">
        <v>202.65</v>
      </c>
      <c r="E5" s="8">
        <f t="shared" si="0"/>
        <v>1.3829932437043608</v>
      </c>
    </row>
    <row r="6" spans="2:11" x14ac:dyDescent="0.3">
      <c r="B6" s="1">
        <v>46030</v>
      </c>
      <c r="C6" s="4">
        <v>144.24</v>
      </c>
      <c r="D6" s="4">
        <v>199.78</v>
      </c>
      <c r="E6" s="8">
        <f t="shared" si="0"/>
        <v>1.3850526899611757</v>
      </c>
    </row>
    <row r="7" spans="2:11" x14ac:dyDescent="0.3">
      <c r="B7" s="1">
        <v>46031</v>
      </c>
      <c r="C7" s="4">
        <v>146.15</v>
      </c>
      <c r="D7" s="4">
        <v>201.75</v>
      </c>
      <c r="E7" s="8">
        <f t="shared" si="0"/>
        <v>1.3804310639753676</v>
      </c>
    </row>
    <row r="8" spans="2:11" x14ac:dyDescent="0.3">
      <c r="B8" s="1">
        <v>46034</v>
      </c>
      <c r="C8" s="4">
        <v>146.79</v>
      </c>
      <c r="D8" s="4">
        <v>202.42</v>
      </c>
      <c r="E8" s="8">
        <f t="shared" si="0"/>
        <v>1.3789767695347095</v>
      </c>
    </row>
    <row r="9" spans="2:11" x14ac:dyDescent="0.3">
      <c r="B9" s="1">
        <v>46035</v>
      </c>
      <c r="C9" s="4">
        <v>146.47999999999999</v>
      </c>
      <c r="D9" s="4">
        <v>201.9</v>
      </c>
      <c r="E9" s="8">
        <f t="shared" si="0"/>
        <v>1.3783451665756419</v>
      </c>
    </row>
    <row r="10" spans="2:11" x14ac:dyDescent="0.3">
      <c r="B10" s="1">
        <v>46036</v>
      </c>
      <c r="C10" s="4">
        <v>144.69999999999999</v>
      </c>
      <c r="D10" s="4">
        <v>199.26</v>
      </c>
      <c r="E10" s="8">
        <f t="shared" si="0"/>
        <v>1.37705597788528</v>
      </c>
    </row>
    <row r="11" spans="2:11" x14ac:dyDescent="0.3">
      <c r="B11" s="1">
        <v>46037</v>
      </c>
      <c r="C11" s="4">
        <v>145.46</v>
      </c>
      <c r="D11" s="4">
        <v>199.9</v>
      </c>
      <c r="E11" s="8">
        <f t="shared" si="0"/>
        <v>1.3742609652138045</v>
      </c>
      <c r="F11" s="9"/>
      <c r="G11" s="9"/>
    </row>
    <row r="12" spans="2:11" x14ac:dyDescent="0.3">
      <c r="B12" s="1">
        <v>46038</v>
      </c>
      <c r="C12" s="4">
        <v>145.62</v>
      </c>
      <c r="D12" s="4">
        <v>199.89</v>
      </c>
      <c r="E12" s="8">
        <f t="shared" si="0"/>
        <v>1.372682323856613</v>
      </c>
      <c r="F12" s="9"/>
      <c r="G12" s="9"/>
    </row>
    <row r="13" spans="2:11" x14ac:dyDescent="0.3">
      <c r="B13" s="1">
        <v>46042</v>
      </c>
      <c r="C13" s="4">
        <v>141.84</v>
      </c>
      <c r="D13" s="4">
        <v>194.71</v>
      </c>
      <c r="E13" s="8">
        <f t="shared" si="0"/>
        <v>1.3727439368302312</v>
      </c>
      <c r="F13" s="9"/>
      <c r="G13" s="9"/>
    </row>
    <row r="14" spans="2:11" x14ac:dyDescent="0.3">
      <c r="B14" s="1">
        <v>46043</v>
      </c>
      <c r="C14" s="4">
        <v>143.81</v>
      </c>
      <c r="D14" s="4">
        <v>197.17</v>
      </c>
      <c r="E14" s="8">
        <f t="shared" si="0"/>
        <v>1.371045128989639</v>
      </c>
      <c r="F14" s="9"/>
      <c r="G14" s="9"/>
    </row>
    <row r="15" spans="2:11" x14ac:dyDescent="0.3">
      <c r="B15" s="1">
        <v>46044</v>
      </c>
      <c r="C15" s="4">
        <v>144.88</v>
      </c>
      <c r="D15" s="4">
        <v>198.93</v>
      </c>
      <c r="E15" s="8">
        <f t="shared" si="0"/>
        <v>1.3730673660960797</v>
      </c>
      <c r="F15" s="9"/>
      <c r="G15" s="9"/>
    </row>
    <row r="16" spans="2:11" x14ac:dyDescent="0.3">
      <c r="B16" s="1">
        <v>46045</v>
      </c>
      <c r="C16" s="4">
        <v>145.09</v>
      </c>
      <c r="D16" s="4">
        <v>199.72</v>
      </c>
      <c r="E16" s="8">
        <f t="shared" si="0"/>
        <v>1.3765249155696464</v>
      </c>
      <c r="F16" s="9"/>
      <c r="G16" s="9"/>
    </row>
    <row r="17" spans="2:11" x14ac:dyDescent="0.3">
      <c r="B17" s="1">
        <v>46048</v>
      </c>
      <c r="C17" s="4">
        <v>146.08000000000001</v>
      </c>
      <c r="D17" s="4">
        <v>201.24</v>
      </c>
      <c r="E17" s="8">
        <f t="shared" si="0"/>
        <v>1.3776013143483024</v>
      </c>
      <c r="F17" s="9"/>
      <c r="G17" s="9"/>
    </row>
    <row r="18" spans="2:11" x14ac:dyDescent="0.3">
      <c r="B18" s="1">
        <v>46049</v>
      </c>
      <c r="C18" s="4">
        <v>148.05000000000001</v>
      </c>
      <c r="D18" s="4">
        <v>203.7</v>
      </c>
      <c r="E18" s="8">
        <f t="shared" si="0"/>
        <v>1.3758865248226948</v>
      </c>
      <c r="F18" s="9"/>
      <c r="G18" s="9"/>
    </row>
    <row r="19" spans="2:11" x14ac:dyDescent="0.3">
      <c r="B19" s="1">
        <v>46050</v>
      </c>
      <c r="C19" s="4">
        <v>149.22999999999999</v>
      </c>
      <c r="D19" s="4">
        <v>204.72</v>
      </c>
      <c r="E19" s="8">
        <f t="shared" si="0"/>
        <v>1.3718421228975408</v>
      </c>
      <c r="F19" s="9"/>
      <c r="G19" s="9"/>
    </row>
    <row r="20" spans="2:11" x14ac:dyDescent="0.3">
      <c r="B20" s="1">
        <v>46051</v>
      </c>
      <c r="C20" s="4">
        <v>146.87</v>
      </c>
      <c r="D20" s="4">
        <v>201.89</v>
      </c>
      <c r="E20" s="8">
        <f t="shared" si="0"/>
        <v>1.3746170082385782</v>
      </c>
      <c r="F20" s="9"/>
      <c r="G20" s="9"/>
    </row>
    <row r="21" spans="2:11" x14ac:dyDescent="0.3">
      <c r="B21" s="1">
        <v>46052</v>
      </c>
      <c r="C21" s="4">
        <v>143.88</v>
      </c>
      <c r="D21" s="4">
        <v>198.37</v>
      </c>
      <c r="E21" s="8">
        <f t="shared" si="0"/>
        <v>1.3787183764247986</v>
      </c>
      <c r="F21" s="9">
        <f t="shared" ref="F21:F84" si="1">AVERAGE(E2:E21)</f>
        <v>1.3776231972783539</v>
      </c>
      <c r="G21" s="9">
        <f>AVERAGE(E:E)</f>
        <v>1.3567687831099524</v>
      </c>
      <c r="H21" s="4">
        <f>C21*F21</f>
        <v>198.21242562440955</v>
      </c>
      <c r="I21" s="4">
        <f>C21*G21</f>
        <v>195.21189251385994</v>
      </c>
      <c r="J21" s="11">
        <f>LN(H21/D21)</f>
        <v>-7.9466145598625234E-4</v>
      </c>
      <c r="K21" s="11">
        <f>LN(I21/D21)</f>
        <v>-1.6048376853236439E-2</v>
      </c>
    </row>
    <row r="22" spans="2:11" x14ac:dyDescent="0.3">
      <c r="B22" s="1">
        <v>46055</v>
      </c>
      <c r="C22" s="4">
        <v>145.26</v>
      </c>
      <c r="D22" s="4">
        <v>199.62</v>
      </c>
      <c r="E22" s="8">
        <f t="shared" si="0"/>
        <v>1.3742255266418837</v>
      </c>
      <c r="F22" s="9">
        <f t="shared" si="1"/>
        <v>1.3770725193484936</v>
      </c>
      <c r="G22" s="9">
        <f t="shared" ref="G22:G85" si="2">G21</f>
        <v>1.3567687831099524</v>
      </c>
      <c r="H22" s="4">
        <f>C22*F22</f>
        <v>200.03355416056218</v>
      </c>
      <c r="I22" s="4">
        <f>C22*G22</f>
        <v>197.08423343455166</v>
      </c>
      <c r="J22" s="11">
        <f>LN(H22/D22)</f>
        <v>2.0695640204599231E-3</v>
      </c>
      <c r="K22" s="11">
        <f>LN(I22/D22)</f>
        <v>-1.2784341021060706E-2</v>
      </c>
    </row>
    <row r="23" spans="2:11" x14ac:dyDescent="0.3">
      <c r="B23" s="1">
        <v>46056</v>
      </c>
      <c r="C23" s="4">
        <v>142.08000000000001</v>
      </c>
      <c r="D23" s="4">
        <v>194.92</v>
      </c>
      <c r="E23" s="8">
        <f t="shared" si="0"/>
        <v>1.3719031531531529</v>
      </c>
      <c r="F23" s="9">
        <f t="shared" si="1"/>
        <v>1.3763826541877306</v>
      </c>
      <c r="G23" s="9">
        <f t="shared" si="2"/>
        <v>1.3567687831099524</v>
      </c>
      <c r="H23" s="4">
        <f>C23*F23</f>
        <v>195.55644750699278</v>
      </c>
      <c r="I23" s="4">
        <f>C23*G23</f>
        <v>192.76970870426206</v>
      </c>
      <c r="J23" s="11">
        <f>LN(H23/D23)</f>
        <v>3.2598538255748841E-3</v>
      </c>
      <c r="K23" s="11">
        <f>LN(I23/D23)</f>
        <v>-1.1092960672087617E-2</v>
      </c>
    </row>
    <row r="24" spans="2:11" x14ac:dyDescent="0.3">
      <c r="B24" s="1">
        <v>46057</v>
      </c>
      <c r="C24" s="4">
        <v>138.12</v>
      </c>
      <c r="D24" s="4">
        <v>190.39</v>
      </c>
      <c r="E24" s="8">
        <f t="shared" si="0"/>
        <v>1.3784390385172312</v>
      </c>
      <c r="F24" s="9">
        <f t="shared" si="1"/>
        <v>1.3763206306618367</v>
      </c>
      <c r="G24" s="9">
        <f t="shared" si="2"/>
        <v>1.3567687831099524</v>
      </c>
      <c r="H24" s="4">
        <f>C24*F24</f>
        <v>190.09740550701289</v>
      </c>
      <c r="I24" s="4">
        <f>C24*G24</f>
        <v>187.39690432314663</v>
      </c>
      <c r="J24" s="11">
        <f>LN(H24/D24)</f>
        <v>-1.537998611404379E-3</v>
      </c>
      <c r="K24" s="11">
        <f>LN(I24/D24)</f>
        <v>-1.5845749388435793E-2</v>
      </c>
    </row>
    <row r="25" spans="2:11" x14ac:dyDescent="0.3">
      <c r="B25" s="1">
        <v>46058</v>
      </c>
      <c r="C25" s="4">
        <v>135.63</v>
      </c>
      <c r="D25" s="4">
        <v>186.75</v>
      </c>
      <c r="E25" s="8">
        <f t="shared" si="0"/>
        <v>1.3769077637690776</v>
      </c>
      <c r="F25" s="9">
        <f t="shared" si="1"/>
        <v>1.3760163566650725</v>
      </c>
      <c r="G25" s="9">
        <f t="shared" si="2"/>
        <v>1.3567687831099524</v>
      </c>
      <c r="H25" s="4">
        <f>C25*F25</f>
        <v>186.62909845448377</v>
      </c>
      <c r="I25" s="4">
        <f>C25*G25</f>
        <v>184.01855005320283</v>
      </c>
      <c r="J25" s="11">
        <f>LN(H25/D25)</f>
        <v>-6.4760748655800268E-4</v>
      </c>
      <c r="K25" s="11">
        <f>LN(I25/D25)</f>
        <v>-1.4734255978945567E-2</v>
      </c>
    </row>
    <row r="26" spans="2:11" x14ac:dyDescent="0.3">
      <c r="B26" s="1">
        <v>46059</v>
      </c>
      <c r="C26" s="4">
        <v>141.13</v>
      </c>
      <c r="D26" s="4">
        <v>193.49</v>
      </c>
      <c r="E26" s="8">
        <f t="shared" si="0"/>
        <v>1.3710054559625877</v>
      </c>
      <c r="F26" s="9">
        <f t="shared" si="1"/>
        <v>1.3753139949651429</v>
      </c>
      <c r="G26" s="9">
        <f t="shared" si="2"/>
        <v>1.3567687831099524</v>
      </c>
      <c r="H26" s="4">
        <f>C26*F26</f>
        <v>194.09806410943062</v>
      </c>
      <c r="I26" s="4">
        <f>C26*G26</f>
        <v>191.48077836030757</v>
      </c>
      <c r="J26" s="11">
        <f>LN(H26/D26)</f>
        <v>3.1376849010920868E-3</v>
      </c>
      <c r="K26" s="11">
        <f>LN(I26/D26)</f>
        <v>-1.0438402062564148E-2</v>
      </c>
    </row>
    <row r="27" spans="2:11" x14ac:dyDescent="0.3">
      <c r="B27" s="1">
        <v>46062</v>
      </c>
      <c r="C27" s="4">
        <v>143.35</v>
      </c>
      <c r="D27" s="4">
        <v>196.32</v>
      </c>
      <c r="E27" s="8">
        <f t="shared" si="0"/>
        <v>1.3695151726543424</v>
      </c>
      <c r="F27" s="9">
        <f t="shared" si="1"/>
        <v>1.374768200399092</v>
      </c>
      <c r="G27" s="9">
        <f t="shared" si="2"/>
        <v>1.3567687831099524</v>
      </c>
      <c r="H27" s="4">
        <f>C27*F27</f>
        <v>197.07302152720982</v>
      </c>
      <c r="I27" s="4">
        <f>C27*G27</f>
        <v>194.49280505881168</v>
      </c>
      <c r="J27" s="11">
        <f>LN(H27/D27)</f>
        <v>3.8283467459159066E-3</v>
      </c>
      <c r="K27" s="11">
        <f>LN(I27/D27)</f>
        <v>-9.3508105738647172E-3</v>
      </c>
    </row>
    <row r="28" spans="2:11" x14ac:dyDescent="0.3">
      <c r="B28" s="1">
        <v>46063</v>
      </c>
      <c r="C28" s="4">
        <v>142.55000000000001</v>
      </c>
      <c r="D28" s="4">
        <v>195.31</v>
      </c>
      <c r="E28" s="8">
        <f t="shared" si="0"/>
        <v>1.3701157488600491</v>
      </c>
      <c r="F28" s="9">
        <f t="shared" si="1"/>
        <v>1.3743251493653588</v>
      </c>
      <c r="G28" s="9">
        <f t="shared" si="2"/>
        <v>1.3567687831099524</v>
      </c>
      <c r="H28" s="4">
        <f>C28*F28</f>
        <v>195.91005004203191</v>
      </c>
      <c r="I28" s="4">
        <f>C28*G28</f>
        <v>193.40739003232372</v>
      </c>
      <c r="J28" s="11">
        <f>LN(H28/D28)</f>
        <v>3.0675856848885173E-3</v>
      </c>
      <c r="K28" s="11">
        <f>LN(I28/D28)</f>
        <v>-9.789246430761284E-3</v>
      </c>
    </row>
    <row r="29" spans="2:11" x14ac:dyDescent="0.3">
      <c r="B29" s="1">
        <v>46064</v>
      </c>
      <c r="C29" s="4">
        <v>142.97</v>
      </c>
      <c r="D29" s="4">
        <v>195.5</v>
      </c>
      <c r="E29" s="8">
        <f t="shared" si="0"/>
        <v>1.3674197384066586</v>
      </c>
      <c r="F29" s="9">
        <f t="shared" si="1"/>
        <v>1.3737788779569098</v>
      </c>
      <c r="G29" s="9">
        <f t="shared" si="2"/>
        <v>1.3567687831099524</v>
      </c>
      <c r="H29" s="4">
        <f>C29*F29</f>
        <v>196.40916618149939</v>
      </c>
      <c r="I29" s="4">
        <f>C29*G29</f>
        <v>193.9772329212299</v>
      </c>
      <c r="J29" s="11">
        <f>LN(H29/D29)</f>
        <v>4.6396863911196476E-3</v>
      </c>
      <c r="K29" s="11">
        <f>LN(I29/D29)</f>
        <v>-7.8195833249899392E-3</v>
      </c>
    </row>
    <row r="30" spans="2:11" x14ac:dyDescent="0.3">
      <c r="B30" s="1">
        <v>46065</v>
      </c>
      <c r="C30" s="4">
        <v>139.21</v>
      </c>
      <c r="D30" s="4">
        <v>190.79</v>
      </c>
      <c r="E30" s="8">
        <f t="shared" si="0"/>
        <v>1.3705193592414338</v>
      </c>
      <c r="F30" s="9">
        <f t="shared" si="1"/>
        <v>1.3734520470247173</v>
      </c>
      <c r="G30" s="9">
        <f t="shared" si="2"/>
        <v>1.3567687831099524</v>
      </c>
      <c r="H30" s="4">
        <f>C30*F30</f>
        <v>191.1982594663109</v>
      </c>
      <c r="I30" s="4">
        <f>C30*G30</f>
        <v>188.87578229673647</v>
      </c>
      <c r="J30" s="11">
        <f>LN(H30/D30)</f>
        <v>2.1375506269760763E-3</v>
      </c>
      <c r="K30" s="11">
        <f>LN(I30/D30)</f>
        <v>-1.0083784279385695E-2</v>
      </c>
    </row>
    <row r="31" spans="2:11" x14ac:dyDescent="0.3">
      <c r="B31" s="1">
        <v>46066</v>
      </c>
      <c r="C31" s="4">
        <v>139.56</v>
      </c>
      <c r="D31" s="4">
        <v>190.54</v>
      </c>
      <c r="E31" s="8">
        <f t="shared" si="0"/>
        <v>1.3652909143020922</v>
      </c>
      <c r="F31" s="9">
        <f t="shared" si="1"/>
        <v>1.373003544479132</v>
      </c>
      <c r="G31" s="9">
        <f t="shared" si="2"/>
        <v>1.3567687831099524</v>
      </c>
      <c r="H31" s="4">
        <f>C31*F31</f>
        <v>191.61637466750767</v>
      </c>
      <c r="I31" s="4">
        <f>C31*G31</f>
        <v>189.35065137082495</v>
      </c>
      <c r="J31" s="11">
        <f>LN(H31/D31)</f>
        <v>5.6331783804404309E-3</v>
      </c>
      <c r="K31" s="11">
        <f>LN(I31/D31)</f>
        <v>-6.2615519007022625E-3</v>
      </c>
    </row>
    <row r="32" spans="2:11" x14ac:dyDescent="0.3">
      <c r="B32" s="1">
        <v>46070</v>
      </c>
      <c r="C32" s="4">
        <v>139.47999999999999</v>
      </c>
      <c r="D32" s="4">
        <v>190.48</v>
      </c>
      <c r="E32" s="8">
        <f t="shared" si="0"/>
        <v>1.3656438199024949</v>
      </c>
      <c r="F32" s="9">
        <f t="shared" si="1"/>
        <v>1.372651619281426</v>
      </c>
      <c r="G32" s="9">
        <f t="shared" si="2"/>
        <v>1.3567687831099524</v>
      </c>
      <c r="H32" s="4">
        <f>C32*F32</f>
        <v>191.4574478573733</v>
      </c>
      <c r="I32" s="4">
        <f>C32*G32</f>
        <v>189.24210986817616</v>
      </c>
      <c r="J32" s="11">
        <f>LN(H32/D32)</f>
        <v>5.1183773508984912E-3</v>
      </c>
      <c r="K32" s="11">
        <f>LN(I32/D32)</f>
        <v>-6.5200023117992388E-3</v>
      </c>
    </row>
    <row r="33" spans="2:11" x14ac:dyDescent="0.3">
      <c r="B33" s="1">
        <v>46071</v>
      </c>
      <c r="C33" s="4">
        <v>140.91</v>
      </c>
      <c r="D33" s="4">
        <v>192.48</v>
      </c>
      <c r="E33" s="8">
        <f t="shared" si="0"/>
        <v>1.3659782840110708</v>
      </c>
      <c r="F33" s="9">
        <f t="shared" si="1"/>
        <v>1.3723133366404678</v>
      </c>
      <c r="G33" s="9">
        <f t="shared" si="2"/>
        <v>1.3567687831099524</v>
      </c>
      <c r="H33" s="4">
        <f>C33*F33</f>
        <v>193.37267226600832</v>
      </c>
      <c r="I33" s="4">
        <f>C33*G33</f>
        <v>191.18228922802339</v>
      </c>
      <c r="J33" s="11">
        <f>LN(H33/D33)</f>
        <v>4.6270191852752522E-3</v>
      </c>
      <c r="K33" s="11">
        <f>LN(I33/D33)</f>
        <v>-6.7648854599976242E-3</v>
      </c>
    </row>
    <row r="34" spans="2:11" x14ac:dyDescent="0.3">
      <c r="B34" s="1">
        <v>46072</v>
      </c>
      <c r="C34" s="4">
        <v>140.21</v>
      </c>
      <c r="D34" s="4">
        <v>191.64</v>
      </c>
      <c r="E34" s="8">
        <f t="shared" si="0"/>
        <v>1.3668069324584551</v>
      </c>
      <c r="F34" s="9">
        <f t="shared" si="1"/>
        <v>1.3721014268139087</v>
      </c>
      <c r="G34" s="9">
        <f t="shared" si="2"/>
        <v>1.3567687831099524</v>
      </c>
      <c r="H34" s="4">
        <f>C34*F34</f>
        <v>192.38234105357816</v>
      </c>
      <c r="I34" s="4">
        <f>C34*G34</f>
        <v>190.23255107984644</v>
      </c>
      <c r="J34" s="11">
        <f>LN(H34/D34)</f>
        <v>3.8661395386066226E-3</v>
      </c>
      <c r="K34" s="11">
        <f>LN(I34/D34)</f>
        <v>-7.371335222523338E-3</v>
      </c>
    </row>
    <row r="35" spans="2:11" x14ac:dyDescent="0.3">
      <c r="B35" s="1">
        <v>46073</v>
      </c>
      <c r="C35" s="4">
        <v>140.88</v>
      </c>
      <c r="D35" s="4">
        <v>192.93</v>
      </c>
      <c r="E35" s="8">
        <f t="shared" si="0"/>
        <v>1.3694633730834753</v>
      </c>
      <c r="F35" s="9">
        <f t="shared" si="1"/>
        <v>1.3719212271632786</v>
      </c>
      <c r="G35" s="9">
        <f t="shared" si="2"/>
        <v>1.3567687831099524</v>
      </c>
      <c r="H35" s="4">
        <f>C35*F35</f>
        <v>193.27626248276269</v>
      </c>
      <c r="I35" s="4">
        <f>C35*G35</f>
        <v>191.14158616453008</v>
      </c>
      <c r="J35" s="11">
        <f>LN(H35/D35)</f>
        <v>1.7931484244568376E-3</v>
      </c>
      <c r="K35" s="11">
        <f>LN(I35/D35)</f>
        <v>-9.312986567573206E-3</v>
      </c>
    </row>
    <row r="36" spans="2:11" x14ac:dyDescent="0.3">
      <c r="B36" s="1">
        <v>46076</v>
      </c>
      <c r="C36" s="4">
        <v>138.52000000000001</v>
      </c>
      <c r="D36" s="4">
        <v>189.8</v>
      </c>
      <c r="E36" s="8">
        <f t="shared" si="0"/>
        <v>1.3701992492058908</v>
      </c>
      <c r="F36" s="9">
        <f t="shared" si="1"/>
        <v>1.3716049438450908</v>
      </c>
      <c r="G36" s="9">
        <f t="shared" si="2"/>
        <v>1.3567687831099524</v>
      </c>
      <c r="H36" s="4">
        <f>C36*F36</f>
        <v>189.994716821422</v>
      </c>
      <c r="I36" s="4">
        <f>C36*G36</f>
        <v>187.93961183639061</v>
      </c>
      <c r="J36" s="11">
        <f>LN(H36/D36)</f>
        <v>1.0253793950169817E-3</v>
      </c>
      <c r="K36" s="11">
        <f>LN(I36/D36)</f>
        <v>-9.850188582248608E-3</v>
      </c>
    </row>
    <row r="37" spans="2:11" x14ac:dyDescent="0.3">
      <c r="B37" s="1">
        <v>46077</v>
      </c>
      <c r="C37" s="4">
        <v>140.32</v>
      </c>
      <c r="D37" s="4">
        <v>192.22</v>
      </c>
      <c r="E37" s="8">
        <f t="shared" si="0"/>
        <v>1.3698688711516533</v>
      </c>
      <c r="F37" s="9">
        <f t="shared" si="1"/>
        <v>1.3712183216852583</v>
      </c>
      <c r="G37" s="9">
        <f t="shared" si="2"/>
        <v>1.3567687831099524</v>
      </c>
      <c r="H37" s="4">
        <f>C37*F37</f>
        <v>192.40935489887542</v>
      </c>
      <c r="I37" s="4">
        <f>C37*G37</f>
        <v>190.38179564598852</v>
      </c>
      <c r="J37" s="11">
        <f>LN(H37/D37)</f>
        <v>9.8460978997729365E-4</v>
      </c>
      <c r="K37" s="11">
        <f>LN(I37/D37)</f>
        <v>-9.6090427119076942E-3</v>
      </c>
    </row>
    <row r="38" spans="2:11" x14ac:dyDescent="0.3">
      <c r="B38" s="1">
        <v>46078</v>
      </c>
      <c r="C38" s="4">
        <v>143.01</v>
      </c>
      <c r="D38" s="4">
        <v>195.98</v>
      </c>
      <c r="E38" s="8">
        <f t="shared" si="0"/>
        <v>1.3703936787637228</v>
      </c>
      <c r="F38" s="9">
        <f t="shared" si="1"/>
        <v>1.3709436793823095</v>
      </c>
      <c r="G38" s="9">
        <f t="shared" si="2"/>
        <v>1.3567687831099524</v>
      </c>
      <c r="H38" s="4">
        <f>C38*F38</f>
        <v>196.05865558846406</v>
      </c>
      <c r="I38" s="4">
        <f>C38*G38</f>
        <v>194.03150367255429</v>
      </c>
      <c r="J38" s="11">
        <f>LN(H38/D38)</f>
        <v>4.0126445899267034E-4</v>
      </c>
      <c r="K38" s="11">
        <f>LN(I38/D38)</f>
        <v>-9.9920772634706188E-3</v>
      </c>
    </row>
    <row r="39" spans="2:11" x14ac:dyDescent="0.3">
      <c r="B39" s="1">
        <v>46079</v>
      </c>
      <c r="C39" s="4">
        <v>141.01</v>
      </c>
      <c r="D39" s="4">
        <v>193.2</v>
      </c>
      <c r="E39" s="8">
        <f t="shared" si="0"/>
        <v>1.370115594638678</v>
      </c>
      <c r="F39" s="9">
        <f t="shared" si="1"/>
        <v>1.3708573529693662</v>
      </c>
      <c r="G39" s="9">
        <f t="shared" si="2"/>
        <v>1.3567687831099524</v>
      </c>
      <c r="H39" s="4">
        <f>C39*F39</f>
        <v>193.30459534221032</v>
      </c>
      <c r="I39" s="4">
        <f>C39*G39</f>
        <v>191.31796610633438</v>
      </c>
      <c r="J39" s="11">
        <f>LN(H39/D39)</f>
        <v>5.4123726353649544E-4</v>
      </c>
      <c r="K39" s="11">
        <f>LN(I39/D39)</f>
        <v>-9.7891338699211995E-3</v>
      </c>
    </row>
    <row r="40" spans="2:11" x14ac:dyDescent="0.3">
      <c r="B40" s="1">
        <v>46080</v>
      </c>
      <c r="C40" s="4">
        <v>138.76</v>
      </c>
      <c r="D40" s="4">
        <v>189.58</v>
      </c>
      <c r="E40" s="8">
        <f t="shared" si="0"/>
        <v>1.3662438743153649</v>
      </c>
      <c r="F40" s="9">
        <f t="shared" si="1"/>
        <v>1.3704386962732058</v>
      </c>
      <c r="G40" s="9">
        <f t="shared" si="2"/>
        <v>1.3567687831099524</v>
      </c>
      <c r="H40" s="4">
        <f>C40*F40</f>
        <v>190.16207349487001</v>
      </c>
      <c r="I40" s="4">
        <f>C40*G40</f>
        <v>188.26523634433698</v>
      </c>
      <c r="J40" s="11">
        <f>LN(H40/D40)</f>
        <v>3.065627916217486E-3</v>
      </c>
      <c r="K40" s="11">
        <f>LN(I40/D40)</f>
        <v>-6.959298863989034E-3</v>
      </c>
    </row>
    <row r="41" spans="2:11" x14ac:dyDescent="0.3">
      <c r="B41" s="1">
        <v>46083</v>
      </c>
      <c r="C41" s="4">
        <v>139.54</v>
      </c>
      <c r="D41" s="4">
        <v>191.17</v>
      </c>
      <c r="E41" s="8">
        <f t="shared" si="0"/>
        <v>1.3700014332807797</v>
      </c>
      <c r="F41" s="9">
        <f t="shared" si="1"/>
        <v>1.3700028491160046</v>
      </c>
      <c r="G41" s="9">
        <f t="shared" si="2"/>
        <v>1.3567687831099524</v>
      </c>
      <c r="H41" s="4">
        <f>C41*F41</f>
        <v>191.17019756564727</v>
      </c>
      <c r="I41" s="4">
        <f>C41*G41</f>
        <v>189.32351599516275</v>
      </c>
      <c r="J41" s="11">
        <f>LN(H41/D41)</f>
        <v>1.0334547533324484E-6</v>
      </c>
      <c r="K41" s="11">
        <f>LN(I41/D41)</f>
        <v>-9.7058079704787463E-3</v>
      </c>
    </row>
    <row r="42" spans="2:11" x14ac:dyDescent="0.3">
      <c r="B42" s="1">
        <v>46084</v>
      </c>
      <c r="C42" s="4">
        <v>137.5</v>
      </c>
      <c r="D42" s="4">
        <v>188.91</v>
      </c>
      <c r="E42" s="8">
        <f t="shared" si="0"/>
        <v>1.3738909090909091</v>
      </c>
      <c r="F42" s="9">
        <f t="shared" si="1"/>
        <v>1.3699861182384561</v>
      </c>
      <c r="G42" s="9">
        <f t="shared" si="2"/>
        <v>1.3567687831099524</v>
      </c>
      <c r="H42" s="4">
        <f>C42*F42</f>
        <v>188.37309125778771</v>
      </c>
      <c r="I42" s="4">
        <f>C42*G42</f>
        <v>186.55570767761844</v>
      </c>
      <c r="J42" s="11">
        <f>LN(H42/D42)</f>
        <v>-2.8461869460971638E-3</v>
      </c>
      <c r="K42" s="11">
        <f>LN(I42/D42)</f>
        <v>-1.2540816002777407E-2</v>
      </c>
    </row>
    <row r="43" spans="2:11" x14ac:dyDescent="0.3">
      <c r="B43" s="1">
        <v>46085</v>
      </c>
      <c r="C43" s="4">
        <v>139.84</v>
      </c>
      <c r="D43" s="4">
        <v>191.44</v>
      </c>
      <c r="E43" s="8">
        <f t="shared" si="0"/>
        <v>1.3689931350114417</v>
      </c>
      <c r="F43" s="9">
        <f t="shared" si="1"/>
        <v>1.3698406173313704</v>
      </c>
      <c r="G43" s="9">
        <f t="shared" si="2"/>
        <v>1.3567687831099524</v>
      </c>
      <c r="H43" s="4">
        <f>C43*F43</f>
        <v>191.55851192761884</v>
      </c>
      <c r="I43" s="4">
        <f>C43*G43</f>
        <v>189.73054663009574</v>
      </c>
      <c r="J43" s="11">
        <f>LN(H43/D43)</f>
        <v>6.1886366505609915E-4</v>
      </c>
      <c r="K43" s="11">
        <f>LN(I43/D43)</f>
        <v>-8.9695536335348096E-3</v>
      </c>
    </row>
    <row r="44" spans="2:11" x14ac:dyDescent="0.3">
      <c r="B44" s="1">
        <v>46086</v>
      </c>
      <c r="C44" s="4">
        <v>140.18</v>
      </c>
      <c r="D44" s="4">
        <v>191.71</v>
      </c>
      <c r="E44" s="8">
        <f t="shared" si="0"/>
        <v>1.367598801540876</v>
      </c>
      <c r="F44" s="9">
        <f t="shared" si="1"/>
        <v>1.3692986054825527</v>
      </c>
      <c r="G44" s="9">
        <f t="shared" si="2"/>
        <v>1.3567687831099524</v>
      </c>
      <c r="H44" s="4">
        <f>C44*F44</f>
        <v>191.94827851654424</v>
      </c>
      <c r="I44" s="4">
        <f>C44*G44</f>
        <v>190.19184801635313</v>
      </c>
      <c r="J44" s="11">
        <f>LN(H44/D44)</f>
        <v>1.2421394794473026E-3</v>
      </c>
      <c r="K44" s="11">
        <f>LN(I44/D44)</f>
        <v>-7.9505244004216182E-3</v>
      </c>
    </row>
    <row r="45" spans="2:11" x14ac:dyDescent="0.3">
      <c r="B45" s="1">
        <v>46087</v>
      </c>
      <c r="C45" s="4">
        <v>137.29</v>
      </c>
      <c r="D45" s="4">
        <v>188.34</v>
      </c>
      <c r="E45" s="8">
        <f t="shared" si="0"/>
        <v>1.3718406293247871</v>
      </c>
      <c r="F45" s="9">
        <f t="shared" si="1"/>
        <v>1.3690452487603382</v>
      </c>
      <c r="G45" s="9">
        <f t="shared" si="2"/>
        <v>1.3567687831099524</v>
      </c>
      <c r="H45" s="4">
        <f>C45*F45</f>
        <v>187.9562222023068</v>
      </c>
      <c r="I45" s="4">
        <f>C45*G45</f>
        <v>186.27078623316535</v>
      </c>
      <c r="J45" s="11">
        <f>LN(H45/D45)</f>
        <v>-2.0397649942407955E-3</v>
      </c>
      <c r="K45" s="11">
        <f>LN(I45/D45)</f>
        <v>-1.1047385113045994E-2</v>
      </c>
    </row>
    <row r="46" spans="2:11" x14ac:dyDescent="0.3">
      <c r="B46" s="1">
        <v>46090</v>
      </c>
      <c r="C46" s="4">
        <v>139.76</v>
      </c>
      <c r="D46" s="4">
        <v>191.75</v>
      </c>
      <c r="E46" s="8">
        <f t="shared" si="0"/>
        <v>1.3719948483113911</v>
      </c>
      <c r="F46" s="9">
        <f t="shared" si="1"/>
        <v>1.3690947183777784</v>
      </c>
      <c r="G46" s="9">
        <f t="shared" si="2"/>
        <v>1.3567687831099524</v>
      </c>
      <c r="H46" s="4">
        <f>C46*F46</f>
        <v>191.34467784047831</v>
      </c>
      <c r="I46" s="4">
        <f>C46*G46</f>
        <v>189.62200512744693</v>
      </c>
      <c r="J46" s="11">
        <f>LN(H46/D46)</f>
        <v>-2.1160425044112943E-3</v>
      </c>
      <c r="K46" s="11">
        <f>LN(I46/D46)</f>
        <v>-1.1159796362206844E-2</v>
      </c>
    </row>
    <row r="47" spans="2:11" x14ac:dyDescent="0.3">
      <c r="B47" s="1">
        <v>46091</v>
      </c>
      <c r="C47" s="4">
        <v>139.76</v>
      </c>
      <c r="D47" s="4">
        <v>191.75</v>
      </c>
      <c r="E47" s="8">
        <f t="shared" si="0"/>
        <v>1.3719948483113911</v>
      </c>
      <c r="F47" s="9">
        <f t="shared" si="1"/>
        <v>1.3692187021606306</v>
      </c>
      <c r="G47" s="9">
        <f t="shared" si="2"/>
        <v>1.3567687831099524</v>
      </c>
      <c r="H47" s="4">
        <f>C47*F47</f>
        <v>191.36200581396972</v>
      </c>
      <c r="I47" s="4">
        <f>C47*G47</f>
        <v>189.62200512744693</v>
      </c>
      <c r="J47" s="11">
        <f>LN(H47/D47)</f>
        <v>-2.0254876526496633E-3</v>
      </c>
      <c r="K47" s="11">
        <f>LN(I47/D47)</f>
        <v>-1.1159796362206844E-2</v>
      </c>
    </row>
    <row r="48" spans="2:11" x14ac:dyDescent="0.3">
      <c r="B48" s="1">
        <v>46092</v>
      </c>
      <c r="C48" s="4">
        <v>140.43</v>
      </c>
      <c r="D48" s="4">
        <v>192.67</v>
      </c>
      <c r="E48" s="8">
        <f t="shared" si="0"/>
        <v>1.3720002848394217</v>
      </c>
      <c r="F48" s="9">
        <f t="shared" si="1"/>
        <v>1.3693129289595996</v>
      </c>
      <c r="G48" s="9">
        <f t="shared" si="2"/>
        <v>1.3567687831099524</v>
      </c>
      <c r="H48" s="4">
        <f>C48*F48</f>
        <v>192.29261461379659</v>
      </c>
      <c r="I48" s="4">
        <f>C48*G48</f>
        <v>190.53104021213062</v>
      </c>
      <c r="J48" s="11">
        <f>LN(H48/D48)</f>
        <v>-1.9606345799260036E-3</v>
      </c>
      <c r="K48" s="11">
        <f>LN(I48/D48)</f>
        <v>-1.1163758853222135E-2</v>
      </c>
    </row>
    <row r="49" spans="1:11" x14ac:dyDescent="0.3">
      <c r="B49" s="1">
        <v>46093</v>
      </c>
      <c r="C49" s="4">
        <v>137.84</v>
      </c>
      <c r="D49" s="4">
        <v>189.04</v>
      </c>
      <c r="E49" s="8">
        <f t="shared" si="0"/>
        <v>1.3714451538015089</v>
      </c>
      <c r="F49" s="9">
        <f t="shared" si="1"/>
        <v>1.3695141997293421</v>
      </c>
      <c r="G49" s="9">
        <f t="shared" si="2"/>
        <v>1.3567687831099524</v>
      </c>
      <c r="H49" s="4">
        <f>C49*F49</f>
        <v>188.77383729069251</v>
      </c>
      <c r="I49" s="4">
        <f>C49*G49</f>
        <v>187.01700906387583</v>
      </c>
      <c r="J49" s="11">
        <f>LN(H49/D49)</f>
        <v>-1.4089624416499422E-3</v>
      </c>
      <c r="K49" s="11">
        <f>LN(I49/D49)</f>
        <v>-1.0759062599620551E-2</v>
      </c>
    </row>
    <row r="50" spans="1:11" x14ac:dyDescent="0.3">
      <c r="B50" s="1">
        <v>46094</v>
      </c>
      <c r="C50" s="4">
        <v>136.80000000000001</v>
      </c>
      <c r="D50" s="4">
        <v>187.24</v>
      </c>
      <c r="E50" s="8">
        <f t="shared" si="0"/>
        <v>1.3687134502923977</v>
      </c>
      <c r="F50" s="9">
        <f t="shared" si="1"/>
        <v>1.3694239042818901</v>
      </c>
      <c r="G50" s="9">
        <f t="shared" si="2"/>
        <v>1.3567687831099524</v>
      </c>
      <c r="H50" s="4">
        <f>C50*F50</f>
        <v>187.33719010576257</v>
      </c>
      <c r="I50" s="4">
        <f>C50*G50</f>
        <v>185.6059695294415</v>
      </c>
      <c r="J50" s="11">
        <f>LN(H50/D50)</f>
        <v>5.1893233496768309E-4</v>
      </c>
      <c r="K50" s="11">
        <f>LN(I50/D50)</f>
        <v>-8.7652331840620563E-3</v>
      </c>
    </row>
    <row r="51" spans="1:11" x14ac:dyDescent="0.3">
      <c r="B51" s="1">
        <v>46097</v>
      </c>
      <c r="C51" s="4">
        <v>138.78</v>
      </c>
      <c r="D51" s="4">
        <v>189.87</v>
      </c>
      <c r="E51" s="8">
        <f t="shared" si="0"/>
        <v>1.3681366191093818</v>
      </c>
      <c r="F51" s="9">
        <f t="shared" si="1"/>
        <v>1.3695661895222546</v>
      </c>
      <c r="G51" s="9">
        <f t="shared" si="2"/>
        <v>1.3567687831099524</v>
      </c>
      <c r="H51" s="4">
        <f>C51*F51</f>
        <v>190.06839578189849</v>
      </c>
      <c r="I51" s="4">
        <f>C51*G51</f>
        <v>188.29237171999921</v>
      </c>
      <c r="J51" s="11">
        <f>LN(H51/D51)</f>
        <v>1.0443577281650769E-3</v>
      </c>
      <c r="K51" s="11">
        <f>LN(I51/D51)</f>
        <v>-8.3437039245630989E-3</v>
      </c>
    </row>
    <row r="52" spans="1:11" x14ac:dyDescent="0.3">
      <c r="A52" s="6">
        <v>6.9825999999999999E-2</v>
      </c>
      <c r="B52" s="1">
        <v>46098</v>
      </c>
      <c r="C52" s="4">
        <v>139.54</v>
      </c>
      <c r="D52" s="4">
        <f>+A52+190.81</f>
        <v>190.87982600000001</v>
      </c>
      <c r="E52" s="8">
        <f t="shared" si="0"/>
        <v>1.3679219291959297</v>
      </c>
      <c r="F52" s="9">
        <f t="shared" si="1"/>
        <v>1.3696800949869266</v>
      </c>
      <c r="G52" s="9">
        <f t="shared" si="2"/>
        <v>1.3567687831099524</v>
      </c>
      <c r="H52" s="4">
        <f>C52*F52</f>
        <v>191.12516045447572</v>
      </c>
      <c r="I52" s="4">
        <f>C52*G52</f>
        <v>189.32351599516275</v>
      </c>
      <c r="J52" s="11">
        <f>LN(H52/D52)</f>
        <v>1.2844569935212106E-3</v>
      </c>
      <c r="K52" s="11">
        <f>LN(I52/D52)</f>
        <v>-8.1867702112654941E-3</v>
      </c>
    </row>
    <row r="53" spans="1:11" x14ac:dyDescent="0.3">
      <c r="B53" s="1">
        <v>46099</v>
      </c>
      <c r="C53" s="4">
        <v>137.96</v>
      </c>
      <c r="D53" s="4">
        <f>+A52+188.65</f>
        <v>188.71982600000001</v>
      </c>
      <c r="E53" s="8">
        <f t="shared" si="0"/>
        <v>1.3679314728906931</v>
      </c>
      <c r="F53" s="9">
        <f t="shared" si="1"/>
        <v>1.3697777544309075</v>
      </c>
      <c r="G53" s="9">
        <f t="shared" si="2"/>
        <v>1.3567687831099524</v>
      </c>
      <c r="H53" s="4">
        <f>C53*F53</f>
        <v>188.97453900128801</v>
      </c>
      <c r="I53" s="4">
        <f>C53*G53</f>
        <v>187.17982131784905</v>
      </c>
      <c r="J53" s="11">
        <f>LN(H53/D53)</f>
        <v>1.3487786078127154E-3</v>
      </c>
      <c r="K53" s="11">
        <f>LN(I53/D53)</f>
        <v>-8.1937469701488901E-3</v>
      </c>
    </row>
    <row r="54" spans="1:11" x14ac:dyDescent="0.3">
      <c r="B54" s="1">
        <v>46100</v>
      </c>
      <c r="C54" s="4">
        <v>138.43</v>
      </c>
      <c r="D54" s="4">
        <f>+A52+188.68</f>
        <v>188.74982600000001</v>
      </c>
      <c r="E54" s="8">
        <f t="shared" si="0"/>
        <v>1.3635037636350502</v>
      </c>
      <c r="F54" s="9">
        <f t="shared" si="1"/>
        <v>1.3696125959897372</v>
      </c>
      <c r="G54" s="9">
        <f t="shared" si="2"/>
        <v>1.3567687831099524</v>
      </c>
      <c r="H54" s="4">
        <f>C54*F54</f>
        <v>189.59547166285932</v>
      </c>
      <c r="I54" s="4">
        <f>C54*G54</f>
        <v>187.81750264591074</v>
      </c>
      <c r="J54" s="11">
        <f>LN(H54/D54)</f>
        <v>4.4702396265899952E-3</v>
      </c>
      <c r="K54" s="11">
        <f>LN(I54/D54)</f>
        <v>-4.9517055154031948E-3</v>
      </c>
    </row>
    <row r="55" spans="1:11" x14ac:dyDescent="0.3">
      <c r="B55" s="1">
        <v>46101</v>
      </c>
      <c r="C55" s="4">
        <v>135.29</v>
      </c>
      <c r="D55" s="4">
        <f>+A52+184.48</f>
        <v>184.549826</v>
      </c>
      <c r="E55" s="8">
        <f t="shared" si="0"/>
        <v>1.3641054475570995</v>
      </c>
      <c r="F55" s="9">
        <f t="shared" si="1"/>
        <v>1.3693446997134187</v>
      </c>
      <c r="G55" s="9">
        <f t="shared" si="2"/>
        <v>1.3567687831099524</v>
      </c>
      <c r="H55" s="4">
        <f>C55*F55</f>
        <v>185.25864442422841</v>
      </c>
      <c r="I55" s="4">
        <f>C55*G55</f>
        <v>183.55724866694544</v>
      </c>
      <c r="J55" s="11">
        <f>LN(H55/D55)</f>
        <v>3.8334400044313863E-3</v>
      </c>
      <c r="K55" s="11">
        <f>LN(I55/D55)</f>
        <v>-5.3928859670162371E-3</v>
      </c>
    </row>
    <row r="56" spans="1:11" x14ac:dyDescent="0.3">
      <c r="A56" s="6" t="s">
        <v>20</v>
      </c>
      <c r="B56" s="1">
        <v>46104</v>
      </c>
      <c r="C56" s="4">
        <v>136.94999999999999</v>
      </c>
      <c r="D56" s="4">
        <v>186.91</v>
      </c>
      <c r="E56" s="8">
        <f t="shared" si="0"/>
        <v>1.3648046732384083</v>
      </c>
      <c r="F56" s="9">
        <f t="shared" si="1"/>
        <v>1.3690749709150443</v>
      </c>
      <c r="G56" s="9">
        <f t="shared" si="2"/>
        <v>1.3567687831099524</v>
      </c>
      <c r="H56" s="4">
        <f>C56*F56</f>
        <v>187.49481726681529</v>
      </c>
      <c r="I56" s="4">
        <f>C56*G56</f>
        <v>185.80948484690796</v>
      </c>
      <c r="J56" s="11">
        <f>LN(H56/D56)</f>
        <v>3.1239862067011363E-3</v>
      </c>
      <c r="K56" s="11">
        <f>LN(I56/D56)</f>
        <v>-5.9053438096417265E-3</v>
      </c>
    </row>
    <row r="57" spans="1:11" x14ac:dyDescent="0.3">
      <c r="B57" s="1">
        <v>46105</v>
      </c>
      <c r="C57" s="4">
        <v>136.15</v>
      </c>
      <c r="D57" s="4">
        <v>184.88</v>
      </c>
      <c r="E57" s="8">
        <f t="shared" si="0"/>
        <v>1.3579140653690782</v>
      </c>
      <c r="F57" s="9">
        <f t="shared" si="1"/>
        <v>1.3684772306259156</v>
      </c>
      <c r="G57" s="9">
        <f t="shared" si="2"/>
        <v>1.3567687831099524</v>
      </c>
      <c r="H57" s="4">
        <f>C57*F57</f>
        <v>186.31817494971841</v>
      </c>
      <c r="I57" s="4">
        <f>C57*G57</f>
        <v>184.72406982042003</v>
      </c>
      <c r="J57" s="11">
        <f>LN(H57/D57)</f>
        <v>7.7488643157349471E-3</v>
      </c>
      <c r="K57" s="11">
        <f>LN(I57/D57)</f>
        <v>-8.437687869988843E-4</v>
      </c>
    </row>
    <row r="58" spans="1:11" x14ac:dyDescent="0.3">
      <c r="B58" s="1">
        <v>46106</v>
      </c>
      <c r="C58" s="4">
        <v>136.76</v>
      </c>
      <c r="D58" s="4">
        <v>185.94</v>
      </c>
      <c r="E58" s="8">
        <f t="shared" si="0"/>
        <v>1.3596080725358293</v>
      </c>
      <c r="F58" s="9">
        <f t="shared" si="1"/>
        <v>1.3679379503145206</v>
      </c>
      <c r="G58" s="9">
        <f t="shared" si="2"/>
        <v>1.3567687831099524</v>
      </c>
      <c r="H58" s="4">
        <f>C58*F58</f>
        <v>187.07919408501382</v>
      </c>
      <c r="I58" s="4">
        <f>C58*G58</f>
        <v>185.55169877811707</v>
      </c>
      <c r="J58" s="11">
        <f>LN(H58/D58)</f>
        <v>6.1079839578223371E-3</v>
      </c>
      <c r="K58" s="11">
        <f>LN(I58/D58)</f>
        <v>-2.0904981972537876E-3</v>
      </c>
    </row>
    <row r="59" spans="1:11" x14ac:dyDescent="0.3">
      <c r="B59" s="1">
        <v>46107</v>
      </c>
      <c r="C59" s="4">
        <v>132.5</v>
      </c>
      <c r="D59" s="4">
        <v>180.01</v>
      </c>
      <c r="E59" s="8">
        <f t="shared" si="0"/>
        <v>1.3585660377358491</v>
      </c>
      <c r="F59" s="9">
        <f t="shared" si="1"/>
        <v>1.3673604724693793</v>
      </c>
      <c r="G59" s="9">
        <f t="shared" si="2"/>
        <v>1.3567687831099524</v>
      </c>
      <c r="H59" s="4">
        <f>C59*F59</f>
        <v>181.17526260219276</v>
      </c>
      <c r="I59" s="4">
        <f>C59*G59</f>
        <v>179.7718637620687</v>
      </c>
      <c r="J59" s="11">
        <f>LN(H59/D59)</f>
        <v>6.4524595311338442E-3</v>
      </c>
      <c r="K59" s="11">
        <f>LN(I59/D59)</f>
        <v>-1.3237814169785509E-3</v>
      </c>
    </row>
    <row r="60" spans="1:11" x14ac:dyDescent="0.3">
      <c r="B60" s="1">
        <v>46108</v>
      </c>
      <c r="C60" s="4">
        <v>129.91999999999999</v>
      </c>
      <c r="D60" s="4">
        <v>176.09</v>
      </c>
      <c r="E60" s="8">
        <f t="shared" si="0"/>
        <v>1.3553725369458129</v>
      </c>
      <c r="F60" s="9">
        <f t="shared" si="1"/>
        <v>1.3668169056009014</v>
      </c>
      <c r="G60" s="9">
        <f t="shared" si="2"/>
        <v>1.3567687831099524</v>
      </c>
      <c r="H60" s="4">
        <f>C60*F60</f>
        <v>177.57685237566909</v>
      </c>
      <c r="I60" s="4">
        <f>C60*G60</f>
        <v>176.271400301645</v>
      </c>
      <c r="J60" s="11">
        <f>LN(H60/D60)</f>
        <v>8.4082583683606979E-3</v>
      </c>
      <c r="K60" s="11">
        <f>LN(I60/D60)</f>
        <v>1.0296265000386455E-3</v>
      </c>
    </row>
    <row r="61" spans="1:11" x14ac:dyDescent="0.3">
      <c r="B61" s="1">
        <v>46111</v>
      </c>
      <c r="C61" s="4">
        <v>127.5</v>
      </c>
      <c r="D61" s="4">
        <v>173.53</v>
      </c>
      <c r="E61" s="8">
        <f t="shared" si="0"/>
        <v>1.3610196078431374</v>
      </c>
      <c r="F61" s="9">
        <f t="shared" si="1"/>
        <v>1.3663678143290194</v>
      </c>
      <c r="G61" s="9">
        <f t="shared" si="2"/>
        <v>1.3567687831099524</v>
      </c>
      <c r="H61" s="4">
        <f>C61*F61</f>
        <v>174.21189632694998</v>
      </c>
      <c r="I61" s="4">
        <f>C61*G61</f>
        <v>172.98801984651894</v>
      </c>
      <c r="J61" s="11">
        <f>LN(H61/D61)</f>
        <v>3.9218581837353163E-3</v>
      </c>
      <c r="K61" s="11">
        <f>LN(I61/D61)</f>
        <v>-3.1281524445738594E-3</v>
      </c>
    </row>
    <row r="62" spans="1:11" x14ac:dyDescent="0.3">
      <c r="B62" s="1">
        <v>46112</v>
      </c>
      <c r="C62" s="4">
        <v>132.9</v>
      </c>
      <c r="D62" s="4">
        <v>181.42</v>
      </c>
      <c r="E62" s="8">
        <f t="shared" si="0"/>
        <v>1.3650865312264859</v>
      </c>
      <c r="F62" s="9">
        <f t="shared" si="1"/>
        <v>1.3659275954357981</v>
      </c>
      <c r="G62" s="9">
        <f t="shared" si="2"/>
        <v>1.3567687831099524</v>
      </c>
      <c r="H62" s="4">
        <f>C62*F62</f>
        <v>181.53177743341757</v>
      </c>
      <c r="I62" s="4">
        <f>C62*G62</f>
        <v>180.31457127531269</v>
      </c>
      <c r="J62" s="11">
        <f>LN(H62/D62)</f>
        <v>6.1593547077705793E-4</v>
      </c>
      <c r="K62" s="11">
        <f>LN(I62/D62)</f>
        <v>-6.1118414082406121E-3</v>
      </c>
    </row>
    <row r="63" spans="1:11" x14ac:dyDescent="0.3">
      <c r="B63" s="1">
        <v>46113</v>
      </c>
      <c r="C63" s="4">
        <v>134.91</v>
      </c>
      <c r="D63" s="4">
        <v>184.42</v>
      </c>
      <c r="E63" s="8">
        <f t="shared" si="0"/>
        <v>1.3669853976725224</v>
      </c>
      <c r="F63" s="9">
        <f t="shared" si="1"/>
        <v>1.3658272085688521</v>
      </c>
      <c r="G63" s="9">
        <f t="shared" si="2"/>
        <v>1.3567687831099524</v>
      </c>
      <c r="H63" s="4">
        <f>C63*F63</f>
        <v>184.26374870802383</v>
      </c>
      <c r="I63" s="4">
        <f>C63*G63</f>
        <v>183.04167652936368</v>
      </c>
      <c r="J63" s="11">
        <f>LN(H63/D63)</f>
        <v>-8.4761697188260471E-4</v>
      </c>
      <c r="K63" s="11">
        <f>LN(I63/D63)</f>
        <v>-7.5018976009116672E-3</v>
      </c>
    </row>
    <row r="64" spans="1:11" x14ac:dyDescent="0.3">
      <c r="B64" s="1">
        <v>46114</v>
      </c>
      <c r="C64" s="4">
        <v>135.99</v>
      </c>
      <c r="D64" s="4">
        <v>185.38</v>
      </c>
      <c r="E64" s="8">
        <f t="shared" si="0"/>
        <v>1.363188469740422</v>
      </c>
      <c r="F64" s="9">
        <f t="shared" si="1"/>
        <v>1.3656066919788297</v>
      </c>
      <c r="G64" s="9">
        <f t="shared" si="2"/>
        <v>1.3567687831099524</v>
      </c>
      <c r="H64" s="4">
        <f>C64*F64</f>
        <v>185.70885404220107</v>
      </c>
      <c r="I64" s="4">
        <f>C64*G64</f>
        <v>184.50698681512245</v>
      </c>
      <c r="J64" s="11">
        <f>LN(H64/D64)</f>
        <v>1.7723740538415605E-3</v>
      </c>
      <c r="K64" s="11">
        <f>LN(I64/D64)</f>
        <v>-4.7204407674611981E-3</v>
      </c>
    </row>
    <row r="65" spans="2:11" x14ac:dyDescent="0.3">
      <c r="B65" s="1">
        <v>46118</v>
      </c>
      <c r="C65" s="4">
        <v>136.78</v>
      </c>
      <c r="D65" s="4">
        <v>186.55</v>
      </c>
      <c r="E65" s="8">
        <f t="shared" si="0"/>
        <v>1.3638689866939613</v>
      </c>
      <c r="F65" s="9">
        <f t="shared" si="1"/>
        <v>1.3652081098472881</v>
      </c>
      <c r="G65" s="9">
        <f t="shared" si="2"/>
        <v>1.3567687831099524</v>
      </c>
      <c r="H65" s="4">
        <f>C65*F65</f>
        <v>186.73316526491206</v>
      </c>
      <c r="I65" s="4">
        <f>C65*G65</f>
        <v>185.5788341537793</v>
      </c>
      <c r="J65" s="11">
        <f>LN(H65/D65)</f>
        <v>9.8137444522866245E-4</v>
      </c>
      <c r="K65" s="11">
        <f>LN(I65/D65)</f>
        <v>-5.2195259378591766E-3</v>
      </c>
    </row>
    <row r="66" spans="2:11" x14ac:dyDescent="0.3">
      <c r="B66" s="1">
        <v>46119</v>
      </c>
      <c r="C66" s="4">
        <v>137.43</v>
      </c>
      <c r="D66" s="4">
        <v>187.31</v>
      </c>
      <c r="E66" s="8">
        <f t="shared" si="0"/>
        <v>1.3629484100996871</v>
      </c>
      <c r="F66" s="9">
        <f t="shared" si="1"/>
        <v>1.3647557879367032</v>
      </c>
      <c r="G66" s="9">
        <f t="shared" si="2"/>
        <v>1.3567687831099524</v>
      </c>
      <c r="H66" s="4">
        <f>C66*F66</f>
        <v>187.55838793614112</v>
      </c>
      <c r="I66" s="4">
        <f>C66*G66</f>
        <v>186.46073386280077</v>
      </c>
      <c r="J66" s="11">
        <f>LN(H66/D66)</f>
        <v>1.3252009531096059E-3</v>
      </c>
      <c r="K66" s="11">
        <f>LN(I66/D66)</f>
        <v>-4.5443236816827088E-3</v>
      </c>
    </row>
    <row r="67" spans="2:11" x14ac:dyDescent="0.3">
      <c r="B67" s="1">
        <v>46120</v>
      </c>
      <c r="C67" s="4">
        <v>141.69</v>
      </c>
      <c r="D67" s="4">
        <v>193.1</v>
      </c>
      <c r="E67" s="8">
        <f t="shared" ref="E67:E130" si="3">D67/C67</f>
        <v>1.3628343566941916</v>
      </c>
      <c r="F67" s="9">
        <f t="shared" si="1"/>
        <v>1.3642977633558431</v>
      </c>
      <c r="G67" s="9">
        <f t="shared" si="2"/>
        <v>1.3567687831099524</v>
      </c>
      <c r="H67" s="4">
        <f>C67*F67</f>
        <v>193.30735008988941</v>
      </c>
      <c r="I67" s="4">
        <f>C67*G67</f>
        <v>192.24056887884916</v>
      </c>
      <c r="J67" s="11">
        <f>LN(H67/D67)</f>
        <v>1.0732203191442719E-3</v>
      </c>
      <c r="K67" s="11">
        <f>LN(I67/D67)</f>
        <v>-4.4606387989755249E-3</v>
      </c>
    </row>
    <row r="68" spans="2:11" x14ac:dyDescent="0.3">
      <c r="B68" s="1">
        <v>46121</v>
      </c>
      <c r="C68" s="4">
        <v>142.07</v>
      </c>
      <c r="D68" s="4">
        <v>193.64</v>
      </c>
      <c r="E68" s="8">
        <f t="shared" si="3"/>
        <v>1.3629900753149855</v>
      </c>
      <c r="F68" s="9">
        <f t="shared" si="1"/>
        <v>1.3638472528796215</v>
      </c>
      <c r="G68" s="9">
        <f t="shared" si="2"/>
        <v>1.3567687831099524</v>
      </c>
      <c r="H68" s="4">
        <f>C68*F68</f>
        <v>193.76177921660781</v>
      </c>
      <c r="I68" s="4">
        <f>C68*G68</f>
        <v>192.75614101643092</v>
      </c>
      <c r="J68" s="11">
        <f>LN(H68/D68)</f>
        <v>6.2869727064900711E-4</v>
      </c>
      <c r="K68" s="11">
        <f>LN(I68/D68)</f>
        <v>-4.5748931281501919E-3</v>
      </c>
    </row>
    <row r="69" spans="2:11" x14ac:dyDescent="0.3">
      <c r="B69" s="1">
        <v>46122</v>
      </c>
      <c r="C69" s="4">
        <v>142.62</v>
      </c>
      <c r="D69" s="4">
        <v>194.27</v>
      </c>
      <c r="E69" s="8">
        <f t="shared" si="3"/>
        <v>1.3621511709437666</v>
      </c>
      <c r="F69" s="9">
        <f t="shared" si="1"/>
        <v>1.3633825537367343</v>
      </c>
      <c r="G69" s="9">
        <f t="shared" si="2"/>
        <v>1.3567687831099524</v>
      </c>
      <c r="H69" s="4">
        <f>C69*F69</f>
        <v>194.44561981393306</v>
      </c>
      <c r="I69" s="4">
        <f>C69*G69</f>
        <v>193.50236384714142</v>
      </c>
      <c r="J69" s="11">
        <f>LN(H69/D69)</f>
        <v>9.0359026975145079E-4</v>
      </c>
      <c r="K69" s="11">
        <f>LN(I69/D69)</f>
        <v>-3.9592153911740119E-3</v>
      </c>
    </row>
    <row r="70" spans="2:11" x14ac:dyDescent="0.3">
      <c r="B70" s="1">
        <v>46125</v>
      </c>
      <c r="C70" s="4">
        <v>145.61000000000001</v>
      </c>
      <c r="D70" s="4">
        <v>197.94</v>
      </c>
      <c r="E70" s="8">
        <f t="shared" si="3"/>
        <v>1.3593846576471396</v>
      </c>
      <c r="F70" s="9">
        <f t="shared" si="1"/>
        <v>1.3629161141044714</v>
      </c>
      <c r="G70" s="9">
        <f t="shared" si="2"/>
        <v>1.3567687831099524</v>
      </c>
      <c r="H70" s="4">
        <f>C70*F70</f>
        <v>198.4542153747521</v>
      </c>
      <c r="I70" s="4">
        <f>C70*G70</f>
        <v>197.55910250864019</v>
      </c>
      <c r="J70" s="11">
        <f>LN(H70/D70)</f>
        <v>2.5944660302813197E-3</v>
      </c>
      <c r="K70" s="11">
        <f>LN(I70/D70)</f>
        <v>-1.9261616863741132E-3</v>
      </c>
    </row>
    <row r="71" spans="2:11" x14ac:dyDescent="0.3">
      <c r="B71" s="1">
        <v>46126</v>
      </c>
      <c r="C71" s="4">
        <v>147.94</v>
      </c>
      <c r="D71" s="4">
        <v>201.83</v>
      </c>
      <c r="E71" s="8">
        <f t="shared" si="3"/>
        <v>1.3642692983642017</v>
      </c>
      <c r="F71" s="9">
        <f t="shared" si="1"/>
        <v>1.3627227480672128</v>
      </c>
      <c r="G71" s="9">
        <f t="shared" si="2"/>
        <v>1.3567687831099524</v>
      </c>
      <c r="H71" s="4">
        <f>C71*F71</f>
        <v>201.60120334906347</v>
      </c>
      <c r="I71" s="4">
        <f>C71*G71</f>
        <v>200.72037377328635</v>
      </c>
      <c r="J71" s="11">
        <f>LN(H71/D71)</f>
        <v>-1.1342537392581345E-3</v>
      </c>
      <c r="K71" s="11">
        <f>LN(I71/D71)</f>
        <v>-5.5129946929485026E-3</v>
      </c>
    </row>
    <row r="72" spans="2:11" x14ac:dyDescent="0.3">
      <c r="B72" s="1">
        <v>46127</v>
      </c>
      <c r="C72" s="4">
        <v>150.30000000000001</v>
      </c>
      <c r="D72" s="4">
        <v>205.23</v>
      </c>
      <c r="E72" s="8">
        <f t="shared" si="3"/>
        <v>1.3654690618762473</v>
      </c>
      <c r="F72" s="9">
        <f t="shared" si="1"/>
        <v>1.3626001047012286</v>
      </c>
      <c r="G72" s="9">
        <f t="shared" si="2"/>
        <v>1.3567687831099524</v>
      </c>
      <c r="H72" s="4">
        <f>C72*F72</f>
        <v>204.79879573659468</v>
      </c>
      <c r="I72" s="4">
        <f>C72*G72</f>
        <v>203.92234810142585</v>
      </c>
      <c r="J72" s="11">
        <f>LN(H72/D72)</f>
        <v>-2.1032884853607156E-3</v>
      </c>
      <c r="K72" s="11">
        <f>LN(I72/D72)</f>
        <v>-6.3920266227297301E-3</v>
      </c>
    </row>
    <row r="73" spans="2:11" x14ac:dyDescent="0.3">
      <c r="B73" s="1">
        <v>46128</v>
      </c>
      <c r="C73" s="4">
        <v>152.02000000000001</v>
      </c>
      <c r="D73" s="4">
        <v>206.56</v>
      </c>
      <c r="E73" s="8">
        <f t="shared" si="3"/>
        <v>1.3587685830811735</v>
      </c>
      <c r="F73" s="9">
        <f t="shared" si="1"/>
        <v>1.3621419602107525</v>
      </c>
      <c r="G73" s="9">
        <f t="shared" si="2"/>
        <v>1.3567687831099524</v>
      </c>
      <c r="H73" s="4">
        <f>C73*F73</f>
        <v>207.0728207912386</v>
      </c>
      <c r="I73" s="4">
        <f>C73*G73</f>
        <v>206.25599040837497</v>
      </c>
      <c r="J73" s="11">
        <f>LN(H73/D73)</f>
        <v>2.4795955650213342E-3</v>
      </c>
      <c r="K73" s="11">
        <f>LN(I73/D73)</f>
        <v>-1.4728579010802633E-3</v>
      </c>
    </row>
    <row r="74" spans="2:11" x14ac:dyDescent="0.3">
      <c r="B74" s="1">
        <v>46129</v>
      </c>
      <c r="C74" s="4">
        <v>154.35</v>
      </c>
      <c r="D74" s="4">
        <v>210.07</v>
      </c>
      <c r="E74" s="8">
        <f t="shared" si="3"/>
        <v>1.3609977324263038</v>
      </c>
      <c r="F74" s="9">
        <f t="shared" si="1"/>
        <v>1.3620166586503148</v>
      </c>
      <c r="G74" s="9">
        <f t="shared" si="2"/>
        <v>1.3567687831099524</v>
      </c>
      <c r="H74" s="4">
        <f>C74*F74</f>
        <v>210.22727126267608</v>
      </c>
      <c r="I74" s="4">
        <f>C74*G74</f>
        <v>209.41726167302116</v>
      </c>
      <c r="J74" s="11">
        <f>LN(H74/D74)</f>
        <v>7.4838111389071923E-4</v>
      </c>
      <c r="K74" s="11">
        <f>LN(I74/D74)</f>
        <v>-3.1120795000629939E-3</v>
      </c>
    </row>
    <row r="75" spans="2:11" x14ac:dyDescent="0.3">
      <c r="B75" s="1">
        <v>46132</v>
      </c>
      <c r="C75" s="4">
        <v>154.56</v>
      </c>
      <c r="D75" s="4">
        <v>210.43</v>
      </c>
      <c r="E75" s="8">
        <f t="shared" si="3"/>
        <v>1.3614777432712215</v>
      </c>
      <c r="F75" s="9">
        <f t="shared" si="1"/>
        <v>1.3618852734360214</v>
      </c>
      <c r="G75" s="9">
        <f t="shared" si="2"/>
        <v>1.3567687831099524</v>
      </c>
      <c r="H75" s="4">
        <f>C75*F75</f>
        <v>210.49298786227146</v>
      </c>
      <c r="I75" s="4">
        <f>C75*G75</f>
        <v>209.70218311747425</v>
      </c>
      <c r="J75" s="11">
        <f>LN(H75/D75)</f>
        <v>2.9928449886521018E-4</v>
      </c>
      <c r="K75" s="11">
        <f>LN(I75/D75)</f>
        <v>-3.4647077269665061E-3</v>
      </c>
    </row>
    <row r="76" spans="2:11" x14ac:dyDescent="0.3">
      <c r="B76" s="1">
        <v>46133</v>
      </c>
      <c r="C76" s="4">
        <v>154.69</v>
      </c>
      <c r="D76" s="4">
        <v>209.44</v>
      </c>
      <c r="E76" s="8">
        <f t="shared" si="3"/>
        <v>1.3539336737992114</v>
      </c>
      <c r="F76" s="9">
        <f t="shared" si="1"/>
        <v>1.3613417234640615</v>
      </c>
      <c r="G76" s="9">
        <f t="shared" si="2"/>
        <v>1.3567687831099524</v>
      </c>
      <c r="H76" s="4">
        <f>C76*F76</f>
        <v>210.58595120265565</v>
      </c>
      <c r="I76" s="4">
        <f>C76*G76</f>
        <v>209.87856305927855</v>
      </c>
      <c r="J76" s="11">
        <f>LN(H76/D76)</f>
        <v>5.4565868737465181E-3</v>
      </c>
      <c r="K76" s="11">
        <f>LN(I76/D76)</f>
        <v>2.0917901463414338E-3</v>
      </c>
    </row>
    <row r="77" spans="2:11" x14ac:dyDescent="0.3">
      <c r="B77" s="1">
        <v>46134</v>
      </c>
      <c r="C77" s="4">
        <v>158.09</v>
      </c>
      <c r="D77" s="4">
        <v>214.13</v>
      </c>
      <c r="E77" s="8">
        <f t="shared" si="3"/>
        <v>1.3544816243911695</v>
      </c>
      <c r="F77" s="9">
        <f t="shared" si="1"/>
        <v>1.3611701014151663</v>
      </c>
      <c r="G77" s="9">
        <f t="shared" si="2"/>
        <v>1.3567687831099524</v>
      </c>
      <c r="H77" s="4">
        <f>C77*F77</f>
        <v>215.18738133272365</v>
      </c>
      <c r="I77" s="4">
        <f>C77*G77</f>
        <v>214.49157692185238</v>
      </c>
      <c r="J77" s="11">
        <f>LN(H77/D77)</f>
        <v>4.9258824205690903E-3</v>
      </c>
      <c r="K77" s="11">
        <f>LN(I77/D77)</f>
        <v>1.6871619493287425E-3</v>
      </c>
    </row>
    <row r="78" spans="2:11" x14ac:dyDescent="0.3">
      <c r="B78" s="1">
        <v>46135</v>
      </c>
      <c r="C78" s="4">
        <v>155.84</v>
      </c>
      <c r="D78" s="4">
        <v>211.56</v>
      </c>
      <c r="E78" s="8">
        <f t="shared" si="3"/>
        <v>1.3575462012320327</v>
      </c>
      <c r="F78" s="9">
        <f t="shared" si="1"/>
        <v>1.3610670078499763</v>
      </c>
      <c r="G78" s="9">
        <f t="shared" si="2"/>
        <v>1.3567687831099524</v>
      </c>
      <c r="H78" s="4">
        <f>C78*F78</f>
        <v>212.1086825033403</v>
      </c>
      <c r="I78" s="4">
        <f>C78*G78</f>
        <v>211.43884715985499</v>
      </c>
      <c r="J78" s="11">
        <f>LN(H78/D78)</f>
        <v>2.5901504300575623E-3</v>
      </c>
      <c r="K78" s="11">
        <f>LN(I78/D78)</f>
        <v>-5.7282824419652113E-4</v>
      </c>
    </row>
    <row r="79" spans="2:11" x14ac:dyDescent="0.3">
      <c r="B79" s="1">
        <v>46136</v>
      </c>
      <c r="C79" s="4">
        <v>160.22</v>
      </c>
      <c r="D79" s="4">
        <v>217.17</v>
      </c>
      <c r="E79" s="8">
        <f t="shared" si="3"/>
        <v>1.3554487579578078</v>
      </c>
      <c r="F79" s="9">
        <f t="shared" si="1"/>
        <v>1.3609111438610744</v>
      </c>
      <c r="G79" s="9">
        <f t="shared" si="2"/>
        <v>1.3567687831099524</v>
      </c>
      <c r="H79" s="4">
        <f>C79*F79</f>
        <v>218.04518346942135</v>
      </c>
      <c r="I79" s="4">
        <f>C79*G79</f>
        <v>217.38149442987657</v>
      </c>
      <c r="J79" s="11">
        <f>LN(H79/D79)</f>
        <v>4.0218479609911949E-3</v>
      </c>
      <c r="K79" s="11">
        <f>LN(I79/D79)</f>
        <v>9.7339187316865835E-4</v>
      </c>
    </row>
    <row r="80" spans="2:11" x14ac:dyDescent="0.3">
      <c r="B80" s="1">
        <v>46139</v>
      </c>
      <c r="C80" s="4">
        <v>160.57</v>
      </c>
      <c r="D80" s="4">
        <v>218.42</v>
      </c>
      <c r="E80" s="8">
        <f t="shared" si="3"/>
        <v>1.3602790060409791</v>
      </c>
      <c r="F80" s="9">
        <f t="shared" si="1"/>
        <v>1.3611564673158325</v>
      </c>
      <c r="G80" s="9">
        <f t="shared" si="2"/>
        <v>1.3567687831099524</v>
      </c>
      <c r="H80" s="4">
        <f>C80*F80</f>
        <v>218.56089395690321</v>
      </c>
      <c r="I80" s="4">
        <f>C80*G80</f>
        <v>217.85636350396504</v>
      </c>
      <c r="J80" s="11">
        <f>LN(H80/D80)</f>
        <v>6.4485181724900393E-4</v>
      </c>
      <c r="K80" s="11">
        <f>LN(I80/D80)</f>
        <v>-2.5838521486313574E-3</v>
      </c>
    </row>
    <row r="81" spans="2:11" x14ac:dyDescent="0.3">
      <c r="B81" s="1">
        <v>46140</v>
      </c>
      <c r="C81" s="4">
        <v>157.85</v>
      </c>
      <c r="D81" s="4">
        <v>215.31</v>
      </c>
      <c r="E81" s="8">
        <f t="shared" si="3"/>
        <v>1.3640164713335445</v>
      </c>
      <c r="F81" s="9">
        <f t="shared" si="1"/>
        <v>1.3613063104903529</v>
      </c>
      <c r="G81" s="9">
        <f t="shared" si="2"/>
        <v>1.3567687831099524</v>
      </c>
      <c r="H81" s="4">
        <f>C81*F81</f>
        <v>214.8822011109022</v>
      </c>
      <c r="I81" s="4">
        <f>C81*G81</f>
        <v>214.16595241390598</v>
      </c>
      <c r="J81" s="11">
        <f>LN(H81/D81)</f>
        <v>-1.9888739452298123E-3</v>
      </c>
      <c r="K81" s="11">
        <f>LN(I81/D81)</f>
        <v>-5.3276570467318514E-3</v>
      </c>
    </row>
    <row r="82" spans="2:11" x14ac:dyDescent="0.3">
      <c r="B82" s="1">
        <v>46141</v>
      </c>
      <c r="C82" s="4">
        <v>159.11000000000001</v>
      </c>
      <c r="D82" s="4">
        <v>215.94</v>
      </c>
      <c r="E82" s="8">
        <f t="shared" si="3"/>
        <v>1.3571742819433095</v>
      </c>
      <c r="F82" s="9">
        <f t="shared" si="1"/>
        <v>1.3609106980261942</v>
      </c>
      <c r="G82" s="9">
        <f t="shared" si="2"/>
        <v>1.3567687831099524</v>
      </c>
      <c r="H82" s="4">
        <f>C82*F82</f>
        <v>216.53450116294778</v>
      </c>
      <c r="I82" s="4">
        <f>C82*G82</f>
        <v>215.87548108062455</v>
      </c>
      <c r="J82" s="11">
        <f>LN(H82/D82)</f>
        <v>2.7493021476111632E-3</v>
      </c>
      <c r="K82" s="11">
        <f>LN(I82/D82)</f>
        <v>-2.9882633987136442E-4</v>
      </c>
    </row>
    <row r="83" spans="2:11" x14ac:dyDescent="0.3">
      <c r="B83" s="1">
        <v>46142</v>
      </c>
      <c r="C83" s="4">
        <v>159.5</v>
      </c>
      <c r="D83" s="4">
        <v>218.11</v>
      </c>
      <c r="E83" s="8">
        <f t="shared" si="3"/>
        <v>1.367460815047022</v>
      </c>
      <c r="F83" s="9">
        <f t="shared" si="1"/>
        <v>1.360934468894919</v>
      </c>
      <c r="G83" s="9">
        <f t="shared" si="2"/>
        <v>1.3567687831099524</v>
      </c>
      <c r="H83" s="4">
        <f>C83*F83</f>
        <v>217.06904778873957</v>
      </c>
      <c r="I83" s="4">
        <f>C83*G83</f>
        <v>216.40462090603742</v>
      </c>
      <c r="J83" s="11">
        <f>LN(H83/D83)</f>
        <v>-4.7840271809861902E-3</v>
      </c>
      <c r="K83" s="11">
        <f>LN(I83/D83)</f>
        <v>-7.8496223995041508E-3</v>
      </c>
    </row>
    <row r="84" spans="2:11" x14ac:dyDescent="0.3">
      <c r="B84" s="1">
        <v>46143</v>
      </c>
      <c r="C84" s="4">
        <v>161.87</v>
      </c>
      <c r="D84" s="4">
        <v>221.01</v>
      </c>
      <c r="E84" s="8">
        <f t="shared" si="3"/>
        <v>1.3653549144375114</v>
      </c>
      <c r="F84" s="9">
        <f t="shared" si="1"/>
        <v>1.3610427911297733</v>
      </c>
      <c r="G84" s="9">
        <f t="shared" si="2"/>
        <v>1.3567687831099524</v>
      </c>
      <c r="H84" s="4">
        <f>C84*F84</f>
        <v>220.31199660017643</v>
      </c>
      <c r="I84" s="4">
        <f>C84*G84</f>
        <v>219.62016292200801</v>
      </c>
      <c r="J84" s="11">
        <f>LN(H84/D84)</f>
        <v>-3.163241294223974E-3</v>
      </c>
      <c r="K84" s="11">
        <f>LN(I84/D84)</f>
        <v>-6.3084273576050455E-3</v>
      </c>
    </row>
    <row r="85" spans="2:11" x14ac:dyDescent="0.3">
      <c r="B85" s="1">
        <v>46146</v>
      </c>
      <c r="C85" s="4">
        <v>162.05000000000001</v>
      </c>
      <c r="D85" s="4">
        <v>221.03</v>
      </c>
      <c r="E85" s="8">
        <f t="shared" si="3"/>
        <v>1.3639617402036408</v>
      </c>
      <c r="F85" s="9">
        <f t="shared" ref="F85:F148" si="4">AVERAGE(E66:E85)</f>
        <v>1.3610474288052574</v>
      </c>
      <c r="G85" s="9">
        <f t="shared" si="2"/>
        <v>1.3567687831099524</v>
      </c>
      <c r="H85" s="4">
        <f>C85*F85</f>
        <v>220.55773583789198</v>
      </c>
      <c r="I85" s="4">
        <f>C85*G85</f>
        <v>219.86438130296781</v>
      </c>
      <c r="J85" s="11">
        <f>LN(H85/D85)</f>
        <v>-2.1389377640425753E-3</v>
      </c>
      <c r="K85" s="11">
        <f>LN(I85/D85)</f>
        <v>-5.2875312644365758E-3</v>
      </c>
    </row>
    <row r="86" spans="2:11" x14ac:dyDescent="0.3">
      <c r="B86" s="1">
        <v>46147</v>
      </c>
      <c r="C86" s="4">
        <v>165.63</v>
      </c>
      <c r="D86" s="4">
        <v>225.18</v>
      </c>
      <c r="E86" s="8">
        <f t="shared" si="3"/>
        <v>1.3595363158848035</v>
      </c>
      <c r="F86" s="9">
        <f t="shared" si="4"/>
        <v>1.3608768240945133</v>
      </c>
      <c r="G86" s="9">
        <f t="shared" ref="G86:G149" si="5">G85</f>
        <v>1.3567687831099524</v>
      </c>
      <c r="H86" s="4">
        <f>C86*F86</f>
        <v>225.40202837477423</v>
      </c>
      <c r="I86" s="4">
        <f>C86*G86</f>
        <v>224.7216135465014</v>
      </c>
      <c r="J86" s="11">
        <f>LN(H86/D86)</f>
        <v>9.8551819097358407E-4</v>
      </c>
      <c r="K86" s="11">
        <f>LN(I86/D86)</f>
        <v>-2.0377193515639671E-3</v>
      </c>
    </row>
    <row r="87" spans="2:11" x14ac:dyDescent="0.3">
      <c r="B87" s="1">
        <v>46148</v>
      </c>
      <c r="C87" s="4">
        <v>170.03</v>
      </c>
      <c r="D87" s="4">
        <v>232.12</v>
      </c>
      <c r="E87" s="8">
        <f t="shared" si="3"/>
        <v>1.3651708522025525</v>
      </c>
      <c r="F87" s="9">
        <f t="shared" si="4"/>
        <v>1.3609936488699312</v>
      </c>
      <c r="G87" s="9">
        <f t="shared" si="5"/>
        <v>1.3567687831099524</v>
      </c>
      <c r="H87" s="4">
        <f>C87*F87</f>
        <v>231.40975011735441</v>
      </c>
      <c r="I87" s="4">
        <f>C87*G87</f>
        <v>230.69139619218521</v>
      </c>
      <c r="J87" s="11">
        <f>LN(H87/D87)</f>
        <v>-3.0645301118895772E-3</v>
      </c>
      <c r="K87" s="11">
        <f>LN(I87/D87)</f>
        <v>-6.17360919365536E-3</v>
      </c>
    </row>
    <row r="88" spans="2:11" x14ac:dyDescent="0.3">
      <c r="B88" s="1">
        <v>46149</v>
      </c>
      <c r="C88" s="4">
        <v>169.69</v>
      </c>
      <c r="D88" s="4">
        <v>232.26</v>
      </c>
      <c r="E88" s="8">
        <f t="shared" si="3"/>
        <v>1.3687312157463609</v>
      </c>
      <c r="F88" s="9">
        <f t="shared" si="4"/>
        <v>1.3612807058915002</v>
      </c>
      <c r="G88" s="9">
        <f t="shared" si="5"/>
        <v>1.3567687831099524</v>
      </c>
      <c r="H88" s="4">
        <f>C88*F88</f>
        <v>230.99572298272867</v>
      </c>
      <c r="I88" s="4">
        <f>C88*G88</f>
        <v>230.23009480592782</v>
      </c>
      <c r="J88" s="11">
        <f>LN(H88/D88)</f>
        <v>-5.4582386935099272E-3</v>
      </c>
      <c r="K88" s="11">
        <f>LN(I88/D88)</f>
        <v>-8.77821277351927E-3</v>
      </c>
    </row>
    <row r="89" spans="2:11" x14ac:dyDescent="0.3">
      <c r="B89" s="1">
        <v>46150</v>
      </c>
      <c r="C89" s="4">
        <v>175.52</v>
      </c>
      <c r="D89" s="4">
        <v>238.64</v>
      </c>
      <c r="E89" s="8">
        <f t="shared" si="3"/>
        <v>1.3596171376481312</v>
      </c>
      <c r="F89" s="9">
        <f t="shared" si="4"/>
        <v>1.3611540042267183</v>
      </c>
      <c r="G89" s="9">
        <f t="shared" si="5"/>
        <v>1.3567687831099524</v>
      </c>
      <c r="H89" s="4">
        <f>C89*F89</f>
        <v>238.90975082187362</v>
      </c>
      <c r="I89" s="4">
        <f>C89*G89</f>
        <v>238.14005681145886</v>
      </c>
      <c r="J89" s="11">
        <f>LN(H89/D89)</f>
        <v>1.1297287878355286E-3</v>
      </c>
      <c r="K89" s="11">
        <f>LN(I89/D89)</f>
        <v>-2.097165620215198E-3</v>
      </c>
    </row>
    <row r="90" spans="2:11" x14ac:dyDescent="0.3">
      <c r="B90" s="1">
        <v>46153</v>
      </c>
      <c r="C90" s="4">
        <v>177.88</v>
      </c>
      <c r="D90" s="4">
        <v>240.04</v>
      </c>
      <c r="E90" s="8">
        <f t="shared" si="3"/>
        <v>1.3494490667865977</v>
      </c>
      <c r="F90" s="9">
        <f t="shared" si="4"/>
        <v>1.3606572246836912</v>
      </c>
      <c r="G90" s="9">
        <f t="shared" si="5"/>
        <v>1.3567687831099524</v>
      </c>
      <c r="H90" s="4">
        <f>C90*F90</f>
        <v>242.03370712673498</v>
      </c>
      <c r="I90" s="4">
        <f>C90*G90</f>
        <v>241.34203113959833</v>
      </c>
      <c r="J90" s="11">
        <f>LN(H90/D90)</f>
        <v>8.2714259836942985E-3</v>
      </c>
      <c r="K90" s="11">
        <f>LN(I90/D90)</f>
        <v>5.4095675805413525E-3</v>
      </c>
    </row>
    <row r="91" spans="2:11" x14ac:dyDescent="0.3">
      <c r="B91" s="1">
        <v>46154</v>
      </c>
      <c r="C91" s="4">
        <v>175.2</v>
      </c>
      <c r="D91" s="4">
        <v>237.07</v>
      </c>
      <c r="E91" s="8">
        <f t="shared" si="3"/>
        <v>1.3531392694063928</v>
      </c>
      <c r="F91" s="9">
        <f t="shared" si="4"/>
        <v>1.3601007232358007</v>
      </c>
      <c r="G91" s="9">
        <f t="shared" si="5"/>
        <v>1.3567687831099524</v>
      </c>
      <c r="H91" s="4">
        <f>C91*F91</f>
        <v>238.28964671091225</v>
      </c>
      <c r="I91" s="4">
        <f>C91*G91</f>
        <v>237.70589080086364</v>
      </c>
      <c r="J91" s="11">
        <f>LN(H91/D91)</f>
        <v>5.1314805355098083E-3</v>
      </c>
      <c r="K91" s="11">
        <f>LN(I91/D91)</f>
        <v>2.678700386507657E-3</v>
      </c>
    </row>
    <row r="92" spans="2:11" x14ac:dyDescent="0.3">
      <c r="B92" s="1">
        <v>46155</v>
      </c>
      <c r="C92" s="4">
        <v>176.85</v>
      </c>
      <c r="D92" s="4">
        <v>240.66</v>
      </c>
      <c r="E92" s="8">
        <f t="shared" si="3"/>
        <v>1.3608142493638677</v>
      </c>
      <c r="F92" s="9">
        <f t="shared" si="4"/>
        <v>1.3598679826101818</v>
      </c>
      <c r="G92" s="9">
        <f t="shared" si="5"/>
        <v>1.3567687831099524</v>
      </c>
      <c r="H92" s="4">
        <f>C92*F92</f>
        <v>240.49265272461065</v>
      </c>
      <c r="I92" s="4">
        <f>C92*G92</f>
        <v>239.94455929299508</v>
      </c>
      <c r="J92" s="11">
        <f>LN(H92/D92)</f>
        <v>-6.956099324803446E-4</v>
      </c>
      <c r="K92" s="11">
        <f>LN(I92/D92)</f>
        <v>-2.9772552991691303E-3</v>
      </c>
    </row>
    <row r="93" spans="2:11" x14ac:dyDescent="0.3">
      <c r="B93" s="1">
        <v>46156</v>
      </c>
      <c r="C93" s="4">
        <v>179.5</v>
      </c>
      <c r="D93" s="4">
        <v>243.06</v>
      </c>
      <c r="E93" s="8">
        <f t="shared" si="3"/>
        <v>1.3540947075208913</v>
      </c>
      <c r="F93" s="9">
        <f t="shared" si="4"/>
        <v>1.3596342888321677</v>
      </c>
      <c r="G93" s="9">
        <f t="shared" si="5"/>
        <v>1.3567687831099524</v>
      </c>
      <c r="H93" s="4">
        <f>C93*F93</f>
        <v>244.05435484537412</v>
      </c>
      <c r="I93" s="4">
        <f>C93*G93</f>
        <v>243.53999656823646</v>
      </c>
      <c r="J93" s="11">
        <f>LN(H93/D93)</f>
        <v>4.0826398016701269E-3</v>
      </c>
      <c r="K93" s="11">
        <f>LN(I93/D93)</f>
        <v>1.9728595450370845E-3</v>
      </c>
    </row>
    <row r="94" spans="2:11" x14ac:dyDescent="0.3">
      <c r="B94" s="1">
        <v>46157</v>
      </c>
      <c r="C94" s="4">
        <v>176.26</v>
      </c>
      <c r="D94" s="4">
        <v>238.8</v>
      </c>
      <c r="E94" s="8">
        <f t="shared" si="3"/>
        <v>1.3548167479859301</v>
      </c>
      <c r="F94" s="9">
        <f t="shared" si="4"/>
        <v>1.3593252396101489</v>
      </c>
      <c r="G94" s="9">
        <f t="shared" si="5"/>
        <v>1.3567687831099524</v>
      </c>
      <c r="H94" s="4">
        <f>C94*F94</f>
        <v>239.59466673368485</v>
      </c>
      <c r="I94" s="4">
        <f>C94*G94</f>
        <v>239.14406571096021</v>
      </c>
      <c r="J94" s="11">
        <f>LN(H94/D94)</f>
        <v>3.3222254337288764E-3</v>
      </c>
      <c r="K94" s="11">
        <f>LN(I94/D94)</f>
        <v>1.4397742124249188E-3</v>
      </c>
    </row>
    <row r="95" spans="2:11" x14ac:dyDescent="0.3">
      <c r="B95" s="1">
        <v>46160</v>
      </c>
      <c r="C95" s="4">
        <v>174.36</v>
      </c>
      <c r="D95" s="4">
        <v>236.39</v>
      </c>
      <c r="E95" s="8">
        <f t="shared" si="3"/>
        <v>1.3557582014223444</v>
      </c>
      <c r="F95" s="9">
        <f t="shared" si="4"/>
        <v>1.3590392625177046</v>
      </c>
      <c r="G95" s="9">
        <f t="shared" si="5"/>
        <v>1.3567687831099524</v>
      </c>
      <c r="H95" s="4">
        <f>C95*F95</f>
        <v>236.96208581258699</v>
      </c>
      <c r="I95" s="4">
        <f>C95*G95</f>
        <v>236.56620502305131</v>
      </c>
      <c r="J95" s="11">
        <f>LN(H95/D95)</f>
        <v>2.417169410584005E-3</v>
      </c>
      <c r="K95" s="11">
        <f>LN(I95/D95)</f>
        <v>7.4512197676004292E-4</v>
      </c>
    </row>
    <row r="96" spans="2:11" x14ac:dyDescent="0.3">
      <c r="B96" s="1">
        <v>46161</v>
      </c>
      <c r="C96" s="4">
        <v>173.24</v>
      </c>
      <c r="D96" s="4">
        <v>234.56</v>
      </c>
      <c r="E96" s="8">
        <f t="shared" si="3"/>
        <v>1.3539598245208959</v>
      </c>
      <c r="F96" s="9">
        <f t="shared" si="4"/>
        <v>1.3590405700537891</v>
      </c>
      <c r="G96" s="9">
        <f t="shared" si="5"/>
        <v>1.3567687831099524</v>
      </c>
      <c r="H96" s="4">
        <f>C96*F96</f>
        <v>235.44018835611843</v>
      </c>
      <c r="I96" s="4">
        <f>C96*G96</f>
        <v>235.04662398596818</v>
      </c>
      <c r="J96" s="11">
        <f>LN(H96/D96)</f>
        <v>3.7454852441031689E-3</v>
      </c>
      <c r="K96" s="11">
        <f>LN(I96/D96)</f>
        <v>2.0724757074971406E-3</v>
      </c>
    </row>
    <row r="97" spans="2:11" x14ac:dyDescent="0.3">
      <c r="B97" s="1">
        <v>46162</v>
      </c>
      <c r="C97" s="4">
        <v>177.14</v>
      </c>
      <c r="D97" s="4">
        <v>239.33</v>
      </c>
      <c r="E97" s="8">
        <f t="shared" si="3"/>
        <v>1.3510782431974711</v>
      </c>
      <c r="F97" s="9">
        <f t="shared" si="4"/>
        <v>1.3588704009941042</v>
      </c>
      <c r="G97" s="9">
        <f t="shared" si="5"/>
        <v>1.3567687831099524</v>
      </c>
      <c r="H97" s="4">
        <f>C97*F97</f>
        <v>240.71030283209561</v>
      </c>
      <c r="I97" s="4">
        <f>C97*G97</f>
        <v>240.33802224009696</v>
      </c>
      <c r="J97" s="11">
        <f>LN(H97/D97)</f>
        <v>5.7507947896182614E-3</v>
      </c>
      <c r="K97" s="11">
        <f>LN(I97/D97)</f>
        <v>4.2030057342714311E-3</v>
      </c>
    </row>
    <row r="98" spans="2:11" x14ac:dyDescent="0.3">
      <c r="B98" s="1">
        <v>46163</v>
      </c>
      <c r="C98" s="4">
        <v>178.6</v>
      </c>
      <c r="D98" s="4">
        <v>240.08</v>
      </c>
      <c r="E98" s="8">
        <f t="shared" si="3"/>
        <v>1.3442329227323628</v>
      </c>
      <c r="F98" s="9">
        <f t="shared" si="4"/>
        <v>1.3582047370691206</v>
      </c>
      <c r="G98" s="9">
        <f t="shared" si="5"/>
        <v>1.3567687831099524</v>
      </c>
      <c r="H98" s="4">
        <f>C98*F98</f>
        <v>242.57536604054494</v>
      </c>
      <c r="I98" s="4">
        <f>C98*G98</f>
        <v>242.31890466343751</v>
      </c>
      <c r="J98" s="11">
        <f>LN(H98/D98)</f>
        <v>1.0340248756964595E-2</v>
      </c>
      <c r="K98" s="11">
        <f>LN(I98/D98)</f>
        <v>9.2824453696446485E-3</v>
      </c>
    </row>
    <row r="99" spans="2:11" x14ac:dyDescent="0.3">
      <c r="B99" s="1">
        <v>46164</v>
      </c>
      <c r="C99" s="4">
        <v>180.39</v>
      </c>
      <c r="D99" s="4">
        <v>241.77</v>
      </c>
      <c r="E99" s="8">
        <f t="shared" si="3"/>
        <v>1.3402627640113089</v>
      </c>
      <c r="F99" s="9">
        <f t="shared" si="4"/>
        <v>1.3574454373717957</v>
      </c>
      <c r="G99" s="9">
        <f t="shared" si="5"/>
        <v>1.3567687831099524</v>
      </c>
      <c r="H99" s="4">
        <f>C99*F99</f>
        <v>244.8695824474982</v>
      </c>
      <c r="I99" s="4">
        <f>C99*G99</f>
        <v>244.7475207852043</v>
      </c>
      <c r="J99" s="11">
        <f>LN(H99/D99)</f>
        <v>1.2738891268624413E-2</v>
      </c>
      <c r="K99" s="11">
        <f>LN(I99/D99)</f>
        <v>1.224029077441491E-2</v>
      </c>
    </row>
    <row r="100" spans="2:11" x14ac:dyDescent="0.3">
      <c r="B100" s="1">
        <v>46168</v>
      </c>
      <c r="C100" s="4">
        <v>185.14</v>
      </c>
      <c r="D100" s="4">
        <v>247.42</v>
      </c>
      <c r="E100" s="8">
        <f t="shared" si="3"/>
        <v>1.3363940801555581</v>
      </c>
      <c r="F100" s="9">
        <f t="shared" si="4"/>
        <v>1.3562511910775248</v>
      </c>
      <c r="G100" s="9">
        <f t="shared" si="5"/>
        <v>1.3567687831099524</v>
      </c>
      <c r="H100" s="4">
        <f>C100*F100</f>
        <v>251.09634551609292</v>
      </c>
      <c r="I100" s="4">
        <f>C100*G100</f>
        <v>251.19217250497658</v>
      </c>
      <c r="J100" s="11">
        <f>LN(H100/D100)</f>
        <v>1.4749414724469728E-2</v>
      </c>
      <c r="K100" s="11">
        <f>LN(I100/D100)</f>
        <v>1.5130976263737432E-2</v>
      </c>
    </row>
    <row r="101" spans="2:11" x14ac:dyDescent="0.3">
      <c r="B101" s="1">
        <v>46169</v>
      </c>
      <c r="C101" s="4">
        <v>184.43</v>
      </c>
      <c r="D101" s="4">
        <v>246.33</v>
      </c>
      <c r="E101" s="8">
        <f t="shared" si="3"/>
        <v>1.335628693813371</v>
      </c>
      <c r="F101" s="9">
        <f t="shared" si="4"/>
        <v>1.354831802201516</v>
      </c>
      <c r="G101" s="9">
        <f t="shared" si="5"/>
        <v>1.3567687831099524</v>
      </c>
      <c r="H101" s="4">
        <f>C101*F101</f>
        <v>249.87162928002562</v>
      </c>
      <c r="I101" s="4">
        <f>C101*G101</f>
        <v>250.22886666896852</v>
      </c>
      <c r="J101" s="11">
        <f>LN(H101/D101)</f>
        <v>1.4275202716061365E-2</v>
      </c>
      <c r="K101" s="11">
        <f>LN(I101/D101)</f>
        <v>1.5703865365265041E-2</v>
      </c>
    </row>
    <row r="102" spans="2:11" x14ac:dyDescent="0.3">
      <c r="B102" s="1">
        <v>46170</v>
      </c>
      <c r="C102" s="4">
        <v>186.85</v>
      </c>
      <c r="D102" s="4">
        <v>249.53</v>
      </c>
      <c r="E102" s="8">
        <f t="shared" si="3"/>
        <v>1.3354562483275354</v>
      </c>
      <c r="F102" s="9">
        <f t="shared" si="4"/>
        <v>1.3537459005207273</v>
      </c>
      <c r="G102" s="9">
        <f t="shared" si="5"/>
        <v>1.3567687831099524</v>
      </c>
      <c r="H102" s="4">
        <f>C102*F102</f>
        <v>252.94742151229789</v>
      </c>
      <c r="I102" s="4">
        <f>C102*G102</f>
        <v>253.51224712409461</v>
      </c>
      <c r="J102" s="11">
        <f>LN(H102/D102)</f>
        <v>1.3602498576206481E-2</v>
      </c>
      <c r="K102" s="11">
        <f>LN(I102/D102)</f>
        <v>1.5832985546622658E-2</v>
      </c>
    </row>
    <row r="103" spans="2:11" x14ac:dyDescent="0.3">
      <c r="B103" s="1">
        <v>46171</v>
      </c>
      <c r="C103" s="4">
        <v>191.02</v>
      </c>
      <c r="D103" s="4">
        <v>252.92</v>
      </c>
      <c r="E103" s="8">
        <f t="shared" si="3"/>
        <v>1.3240498377133283</v>
      </c>
      <c r="F103" s="9">
        <f t="shared" si="4"/>
        <v>1.3515753516540427</v>
      </c>
      <c r="G103" s="9">
        <f t="shared" si="5"/>
        <v>1.3567687831099524</v>
      </c>
      <c r="H103" s="4">
        <f>C103*F103</f>
        <v>258.17792367295527</v>
      </c>
      <c r="I103" s="4">
        <f>C103*G103</f>
        <v>259.16997294966313</v>
      </c>
      <c r="J103" s="11">
        <f>LN(H103/D103)</f>
        <v>2.057574068738444E-2</v>
      </c>
      <c r="K103" s="11">
        <f>LN(I103/D103)</f>
        <v>2.4410879475536825E-2</v>
      </c>
    </row>
    <row r="104" spans="2:11" x14ac:dyDescent="0.3">
      <c r="B104" s="1">
        <v>46174</v>
      </c>
      <c r="C104" s="4">
        <v>195.76</v>
      </c>
      <c r="D104" s="4">
        <v>257.97000000000003</v>
      </c>
      <c r="E104" s="8">
        <f t="shared" si="3"/>
        <v>1.3177870862280345</v>
      </c>
      <c r="F104" s="9">
        <f t="shared" si="4"/>
        <v>1.3491969602435689</v>
      </c>
      <c r="G104" s="9">
        <f t="shared" si="5"/>
        <v>1.3567687831099524</v>
      </c>
      <c r="H104" s="4">
        <f>C104*F104</f>
        <v>264.11879693728105</v>
      </c>
      <c r="I104" s="4">
        <f>C104*G104</f>
        <v>265.60105698160424</v>
      </c>
      <c r="J104" s="11">
        <f>LN(H104/D104)</f>
        <v>2.3555691239775928E-2</v>
      </c>
      <c r="K104" s="11">
        <f>LN(I104/D104)</f>
        <v>2.9152098102858869E-2</v>
      </c>
    </row>
    <row r="105" spans="2:11" x14ac:dyDescent="0.3">
      <c r="B105" s="1">
        <v>46175</v>
      </c>
      <c r="C105" s="4">
        <v>198.21</v>
      </c>
      <c r="D105" s="4">
        <v>259.94</v>
      </c>
      <c r="E105" s="8">
        <f t="shared" si="3"/>
        <v>1.3114373644114827</v>
      </c>
      <c r="F105" s="9">
        <f t="shared" si="4"/>
        <v>1.3465707414539609</v>
      </c>
      <c r="G105" s="9">
        <f t="shared" si="5"/>
        <v>1.3567687831099524</v>
      </c>
      <c r="H105" s="4">
        <f>C105*F105</f>
        <v>266.90378666358959</v>
      </c>
      <c r="I105" s="4">
        <f>C105*G105</f>
        <v>268.92514050022368</v>
      </c>
      <c r="J105" s="11">
        <f>LN(H105/D105)</f>
        <v>2.6437408730726857E-2</v>
      </c>
      <c r="K105" s="11">
        <f>LN(I105/D105)</f>
        <v>3.39822176158193E-2</v>
      </c>
    </row>
    <row r="106" spans="2:11" x14ac:dyDescent="0.3">
      <c r="B106" s="1">
        <v>46176</v>
      </c>
      <c r="C106" s="4">
        <v>196.23</v>
      </c>
      <c r="D106" s="4">
        <v>257.56</v>
      </c>
      <c r="E106" s="8">
        <f t="shared" si="3"/>
        <v>1.3125414054935536</v>
      </c>
      <c r="F106" s="9">
        <f t="shared" si="4"/>
        <v>1.3442209959343985</v>
      </c>
      <c r="G106" s="9">
        <f t="shared" si="5"/>
        <v>1.3567687831099524</v>
      </c>
      <c r="H106" s="4">
        <f>C106*F106</f>
        <v>263.776486032207</v>
      </c>
      <c r="I106" s="4">
        <f>C106*G106</f>
        <v>266.23873830966596</v>
      </c>
      <c r="J106" s="11">
        <f>LN(H106/D106)</f>
        <v>2.3849398053637273E-2</v>
      </c>
      <c r="K106" s="11">
        <f>LN(I106/D106)</f>
        <v>3.3140716030606095E-2</v>
      </c>
    </row>
    <row r="107" spans="2:11" x14ac:dyDescent="0.3">
      <c r="B107" s="1">
        <v>46177</v>
      </c>
      <c r="C107" s="4">
        <v>193.17</v>
      </c>
      <c r="D107" s="4">
        <v>256.42</v>
      </c>
      <c r="E107" s="8">
        <f t="shared" si="3"/>
        <v>1.3274317958275097</v>
      </c>
      <c r="F107" s="9">
        <f t="shared" si="4"/>
        <v>1.3423340431156465</v>
      </c>
      <c r="G107" s="9">
        <f t="shared" si="5"/>
        <v>1.3567687831099524</v>
      </c>
      <c r="H107" s="4">
        <f>C107*F107</f>
        <v>259.2986671086494</v>
      </c>
      <c r="I107" s="4">
        <f>C107*G107</f>
        <v>262.08702583334951</v>
      </c>
      <c r="J107" s="11">
        <f>LN(H107/D107)</f>
        <v>1.1163827062268622E-2</v>
      </c>
      <c r="K107" s="11">
        <f>LN(I107/D107)</f>
        <v>2.1859883153004824E-2</v>
      </c>
    </row>
    <row r="108" spans="2:11" x14ac:dyDescent="0.3">
      <c r="B108" s="1">
        <v>46178</v>
      </c>
      <c r="C108" s="4">
        <v>180.3</v>
      </c>
      <c r="D108" s="4">
        <v>241.25</v>
      </c>
      <c r="E108" s="8">
        <f t="shared" si="3"/>
        <v>1.3380476982806433</v>
      </c>
      <c r="F108" s="9">
        <f t="shared" si="4"/>
        <v>1.3407998672423607</v>
      </c>
      <c r="G108" s="9">
        <f t="shared" si="5"/>
        <v>1.3567687831099524</v>
      </c>
      <c r="H108" s="4">
        <f>C108*F108</f>
        <v>241.74621606379765</v>
      </c>
      <c r="I108" s="4">
        <f>C108*G108</f>
        <v>244.62541159472443</v>
      </c>
      <c r="J108" s="11">
        <f>LN(H108/D108)</f>
        <v>2.0547417221005869E-3</v>
      </c>
      <c r="K108" s="11">
        <f>LN(I108/D108)</f>
        <v>1.3894368049533926E-2</v>
      </c>
    </row>
    <row r="109" spans="2:11" x14ac:dyDescent="0.3">
      <c r="B109" s="1">
        <v>46181</v>
      </c>
      <c r="C109" s="4">
        <v>184.18</v>
      </c>
      <c r="D109" s="4">
        <v>245.13</v>
      </c>
      <c r="E109" s="8">
        <f t="shared" si="3"/>
        <v>1.3309262677815179</v>
      </c>
      <c r="F109" s="9">
        <f t="shared" si="4"/>
        <v>1.3393653237490297</v>
      </c>
      <c r="G109" s="9">
        <f t="shared" si="5"/>
        <v>1.3567687831099524</v>
      </c>
      <c r="H109" s="4">
        <f>C109*F109</f>
        <v>246.68430532809631</v>
      </c>
      <c r="I109" s="4">
        <f>C109*G109</f>
        <v>249.88967447319104</v>
      </c>
      <c r="J109" s="11">
        <f>LN(H109/D109)</f>
        <v>6.3207209956754919E-3</v>
      </c>
      <c r="K109" s="11">
        <f>LN(I109/D109)</f>
        <v>1.9230836287852868E-2</v>
      </c>
    </row>
    <row r="110" spans="2:11" x14ac:dyDescent="0.3">
      <c r="B110" s="1">
        <v>46182</v>
      </c>
      <c r="C110" s="4">
        <v>180.77</v>
      </c>
      <c r="D110" s="4">
        <v>241.08</v>
      </c>
      <c r="E110" s="8">
        <f t="shared" si="3"/>
        <v>1.3336283675388616</v>
      </c>
      <c r="F110" s="9">
        <f t="shared" si="4"/>
        <v>1.3385742887866432</v>
      </c>
      <c r="G110" s="9">
        <f t="shared" si="5"/>
        <v>1.3567687831099524</v>
      </c>
      <c r="H110" s="4">
        <f>C110*F110</f>
        <v>241.97407418396151</v>
      </c>
      <c r="I110" s="4">
        <f>C110*G110</f>
        <v>245.26309292278611</v>
      </c>
      <c r="J110" s="11">
        <f>LN(H110/D110)</f>
        <v>3.701760331623605E-3</v>
      </c>
      <c r="K110" s="11">
        <f>LN(I110/D110)</f>
        <v>1.7202654431277425E-2</v>
      </c>
    </row>
    <row r="111" spans="2:11" x14ac:dyDescent="0.3">
      <c r="B111" s="1">
        <v>46183</v>
      </c>
      <c r="C111" s="4">
        <v>176.63</v>
      </c>
      <c r="D111" s="4">
        <v>235.4</v>
      </c>
      <c r="E111" s="8">
        <f t="shared" si="3"/>
        <v>1.3327294344109155</v>
      </c>
      <c r="F111" s="9">
        <f t="shared" si="4"/>
        <v>1.3375537970368692</v>
      </c>
      <c r="G111" s="9">
        <f t="shared" si="5"/>
        <v>1.3567687831099524</v>
      </c>
      <c r="H111" s="4">
        <f>C111*F111</f>
        <v>236.2521271706222</v>
      </c>
      <c r="I111" s="4">
        <f>C111*G111</f>
        <v>239.64607016071088</v>
      </c>
      <c r="J111" s="11">
        <f>LN(H111/D111)</f>
        <v>3.6133754039545441E-3</v>
      </c>
      <c r="K111" s="11">
        <f>LN(I111/D111)</f>
        <v>1.7876932400533389E-2</v>
      </c>
    </row>
    <row r="112" spans="2:11" x14ac:dyDescent="0.3">
      <c r="B112" s="1">
        <v>46184</v>
      </c>
      <c r="C112" s="4">
        <v>183.21</v>
      </c>
      <c r="D112" s="4">
        <v>243.35</v>
      </c>
      <c r="E112" s="8">
        <f t="shared" si="3"/>
        <v>1.3282571912013537</v>
      </c>
      <c r="F112" s="9">
        <f t="shared" si="4"/>
        <v>1.3359259441287434</v>
      </c>
      <c r="G112" s="9">
        <f t="shared" si="5"/>
        <v>1.3567687831099524</v>
      </c>
      <c r="H112" s="4">
        <f>C112*F112</f>
        <v>244.75499222382709</v>
      </c>
      <c r="I112" s="4">
        <f>C112*G112</f>
        <v>248.5736087535744</v>
      </c>
      <c r="J112" s="11">
        <f>LN(H112/D112)</f>
        <v>5.7569421604271361E-3</v>
      </c>
      <c r="K112" s="11">
        <f>LN(I112/D112)</f>
        <v>2.123827768304767E-2</v>
      </c>
    </row>
    <row r="113" spans="1:11" x14ac:dyDescent="0.3">
      <c r="B113" s="1">
        <v>46185</v>
      </c>
      <c r="C113" s="4">
        <v>184.8</v>
      </c>
      <c r="D113" s="4">
        <v>244.83</v>
      </c>
      <c r="E113" s="8">
        <f t="shared" si="3"/>
        <v>1.3248376623376623</v>
      </c>
      <c r="F113" s="9">
        <f t="shared" si="4"/>
        <v>1.3344630918695821</v>
      </c>
      <c r="G113" s="9">
        <f t="shared" si="5"/>
        <v>1.3567687831099524</v>
      </c>
      <c r="H113" s="4">
        <f>C113*F113</f>
        <v>246.60877937749879</v>
      </c>
      <c r="I113" s="4">
        <f>C113*G113</f>
        <v>250.73087111871922</v>
      </c>
      <c r="J113" s="11">
        <f>LN(H113/D113)</f>
        <v>7.2390996402777533E-3</v>
      </c>
      <c r="K113" s="11">
        <f>LN(I113/D113)</f>
        <v>2.3816045117680221E-2</v>
      </c>
    </row>
    <row r="114" spans="1:11" x14ac:dyDescent="0.3">
      <c r="B114" s="1">
        <v>46188</v>
      </c>
      <c r="C114" s="4">
        <v>191.79</v>
      </c>
      <c r="D114" s="4">
        <v>253.97</v>
      </c>
      <c r="E114" s="8">
        <f t="shared" si="3"/>
        <v>1.3242087700088638</v>
      </c>
      <c r="F114" s="9">
        <f t="shared" si="4"/>
        <v>1.3329326929707286</v>
      </c>
      <c r="G114" s="9">
        <f t="shared" si="5"/>
        <v>1.3567687831099524</v>
      </c>
      <c r="H114" s="4">
        <f>C114*F114</f>
        <v>255.64316118485601</v>
      </c>
      <c r="I114" s="4">
        <f>C114*G114</f>
        <v>260.21468491265779</v>
      </c>
      <c r="J114" s="11">
        <f>LN(H114/D114)</f>
        <v>6.5664206665773765E-3</v>
      </c>
      <c r="K114" s="11">
        <f>LN(I114/D114)</f>
        <v>2.429085169935E-2</v>
      </c>
    </row>
    <row r="115" spans="1:11" x14ac:dyDescent="0.3">
      <c r="B115" s="1">
        <v>46189</v>
      </c>
      <c r="C115" s="4">
        <v>186.44</v>
      </c>
      <c r="D115" s="4">
        <v>248.07</v>
      </c>
      <c r="E115" s="8">
        <f t="shared" si="3"/>
        <v>1.3305621111349495</v>
      </c>
      <c r="F115" s="9">
        <f t="shared" si="4"/>
        <v>1.3316728884563585</v>
      </c>
      <c r="G115" s="9">
        <f t="shared" si="5"/>
        <v>1.3567687831099524</v>
      </c>
      <c r="H115" s="4">
        <f>C115*F115</f>
        <v>248.27709332380346</v>
      </c>
      <c r="I115" s="4">
        <f>C115*G115</f>
        <v>252.95597192301952</v>
      </c>
      <c r="J115" s="11">
        <f>LN(H115/D115)</f>
        <v>8.3446982406587284E-4</v>
      </c>
      <c r="K115" s="11">
        <f>LN(I115/D115)</f>
        <v>1.950448516171286E-2</v>
      </c>
    </row>
    <row r="116" spans="1:11" x14ac:dyDescent="0.3">
      <c r="B116" s="1">
        <v>46190</v>
      </c>
      <c r="C116" s="4">
        <v>185.8</v>
      </c>
      <c r="D116" s="4">
        <v>246.39</v>
      </c>
      <c r="E116" s="8">
        <f t="shared" si="3"/>
        <v>1.3261033369214208</v>
      </c>
      <c r="F116" s="9">
        <f t="shared" si="4"/>
        <v>1.3302800640763848</v>
      </c>
      <c r="G116" s="9">
        <f t="shared" si="5"/>
        <v>1.3567687831099524</v>
      </c>
      <c r="H116" s="4">
        <f>C116*F116</f>
        <v>247.16603590539231</v>
      </c>
      <c r="I116" s="4">
        <f>C116*G116</f>
        <v>252.08763990182916</v>
      </c>
      <c r="J116" s="11">
        <f>LN(H116/D116)</f>
        <v>3.1446745190156456E-3</v>
      </c>
      <c r="K116" s="11">
        <f>LN(I116/D116)</f>
        <v>2.2861158018885379E-2</v>
      </c>
    </row>
    <row r="117" spans="1:11" x14ac:dyDescent="0.3">
      <c r="A117" s="6">
        <v>7.1818999999999994E-2</v>
      </c>
      <c r="B117" s="1">
        <v>46191</v>
      </c>
      <c r="C117" s="4">
        <v>191.44</v>
      </c>
      <c r="D117" s="4">
        <f>A117+253.57</f>
        <v>253.641819</v>
      </c>
      <c r="E117" s="8">
        <f t="shared" si="3"/>
        <v>1.3249154774341831</v>
      </c>
      <c r="F117" s="9">
        <f t="shared" si="4"/>
        <v>1.3289719257882202</v>
      </c>
      <c r="G117" s="9">
        <f t="shared" si="5"/>
        <v>1.3567687831099524</v>
      </c>
      <c r="H117" s="4">
        <f>C117*F117</f>
        <v>254.41838547289689</v>
      </c>
      <c r="I117" s="4">
        <f>C117*G117</f>
        <v>259.73981583856931</v>
      </c>
      <c r="J117" s="11">
        <f>LN(H117/D117)</f>
        <v>3.0569884073684199E-3</v>
      </c>
      <c r="K117" s="11">
        <f>LN(I117/D117)</f>
        <v>2.375731127159102E-2</v>
      </c>
    </row>
    <row r="118" spans="1:11" x14ac:dyDescent="0.3">
      <c r="A118" s="6" t="s">
        <v>20</v>
      </c>
      <c r="B118" s="1">
        <v>46195</v>
      </c>
      <c r="C118" s="4">
        <v>192.15</v>
      </c>
      <c r="D118" s="4">
        <v>253.28</v>
      </c>
      <c r="E118" s="8">
        <f t="shared" si="3"/>
        <v>1.3181368722352329</v>
      </c>
      <c r="F118" s="9">
        <f t="shared" si="4"/>
        <v>1.3276671232633639</v>
      </c>
      <c r="G118" s="9">
        <f t="shared" si="5"/>
        <v>1.3567687831099524</v>
      </c>
      <c r="H118" s="4">
        <f>C118*F118</f>
        <v>255.11123773505537</v>
      </c>
      <c r="I118" s="4">
        <f>C118*G118</f>
        <v>260.70312167457735</v>
      </c>
      <c r="J118" s="11">
        <f>LN(H118/D118)</f>
        <v>7.204080318626003E-3</v>
      </c>
      <c r="K118" s="11">
        <f>LN(I118/D118)</f>
        <v>2.8886698937508552E-2</v>
      </c>
    </row>
    <row r="119" spans="1:11" x14ac:dyDescent="0.3">
      <c r="B119" s="1">
        <v>46196</v>
      </c>
      <c r="C119" s="4">
        <v>184.19</v>
      </c>
      <c r="D119" s="4">
        <v>243.37</v>
      </c>
      <c r="E119" s="8">
        <f t="shared" si="3"/>
        <v>1.3212986589934308</v>
      </c>
      <c r="F119" s="9">
        <f t="shared" si="4"/>
        <v>1.3267189180124701</v>
      </c>
      <c r="G119" s="9">
        <f t="shared" si="5"/>
        <v>1.3567687831099524</v>
      </c>
      <c r="H119" s="4">
        <f>C119*F119</f>
        <v>244.36835750871685</v>
      </c>
      <c r="I119" s="4">
        <f>C119*G119</f>
        <v>249.90324216102212</v>
      </c>
      <c r="J119" s="11">
        <f>LN(H119/D119)</f>
        <v>4.0938297661972994E-3</v>
      </c>
      <c r="K119" s="11">
        <f>LN(I119/D119)</f>
        <v>2.6490892536369198E-2</v>
      </c>
    </row>
    <row r="120" spans="1:11" x14ac:dyDescent="0.3">
      <c r="B120" s="1">
        <v>46197</v>
      </c>
      <c r="C120" s="4">
        <v>183.05</v>
      </c>
      <c r="D120" s="4">
        <v>242.19</v>
      </c>
      <c r="E120" s="8">
        <f t="shared" si="3"/>
        <v>1.3230811253755803</v>
      </c>
      <c r="F120" s="9">
        <f t="shared" si="4"/>
        <v>1.3260532702734715</v>
      </c>
      <c r="G120" s="9">
        <f t="shared" si="5"/>
        <v>1.3567687831099524</v>
      </c>
      <c r="H120" s="4">
        <f>C120*F120</f>
        <v>242.73405112355897</v>
      </c>
      <c r="I120" s="4">
        <f>C120*G120</f>
        <v>248.35652574827679</v>
      </c>
      <c r="J120" s="11">
        <f>LN(H120/D120)</f>
        <v>2.2438621081773144E-3</v>
      </c>
      <c r="K120" s="11">
        <f>LN(I120/D120)</f>
        <v>2.5142775550569148E-2</v>
      </c>
    </row>
    <row r="121" spans="1:11" x14ac:dyDescent="0.3">
      <c r="B121" s="1">
        <v>46198</v>
      </c>
      <c r="C121" s="4">
        <v>184.57</v>
      </c>
      <c r="D121" s="4">
        <v>243.99</v>
      </c>
      <c r="E121" s="8">
        <f t="shared" si="3"/>
        <v>1.3219374762962564</v>
      </c>
      <c r="F121" s="9">
        <f t="shared" si="4"/>
        <v>1.3253687093976156</v>
      </c>
      <c r="G121" s="9">
        <f t="shared" si="5"/>
        <v>1.3567687831099524</v>
      </c>
      <c r="H121" s="4">
        <f>C121*F121</f>
        <v>244.6233026935179</v>
      </c>
      <c r="I121" s="4">
        <f>C121*G121</f>
        <v>250.41881429860391</v>
      </c>
      <c r="J121" s="11">
        <f>LN(H121/D121)</f>
        <v>2.5922464438139156E-3</v>
      </c>
      <c r="K121" s="11">
        <f>LN(I121/D121)</f>
        <v>2.6007532531764008E-2</v>
      </c>
    </row>
    <row r="122" spans="1:11" x14ac:dyDescent="0.3">
      <c r="B122" s="1">
        <v>46199</v>
      </c>
      <c r="C122" s="4">
        <v>181.11</v>
      </c>
      <c r="D122" s="4">
        <v>239.66</v>
      </c>
      <c r="E122" s="8">
        <f t="shared" si="3"/>
        <v>1.3232841919275578</v>
      </c>
      <c r="F122" s="9">
        <f t="shared" si="4"/>
        <v>1.3247601065776169</v>
      </c>
      <c r="G122" s="9">
        <f t="shared" si="5"/>
        <v>1.3567687831099524</v>
      </c>
      <c r="H122" s="4">
        <f>C122*F122</f>
        <v>239.9273029022722</v>
      </c>
      <c r="I122" s="4">
        <f>C122*G122</f>
        <v>245.7243943090435</v>
      </c>
      <c r="J122" s="11">
        <f>LN(H122/D122)</f>
        <v>1.1147206288984403E-3</v>
      </c>
      <c r="K122" s="11">
        <f>LN(I122/D122)</f>
        <v>2.4989307281431745E-2</v>
      </c>
    </row>
    <row r="123" spans="1:11" x14ac:dyDescent="0.3">
      <c r="B123" s="1">
        <v>46202</v>
      </c>
      <c r="C123" s="4">
        <v>185.41</v>
      </c>
      <c r="D123" s="4">
        <v>246.21</v>
      </c>
      <c r="E123" s="8">
        <f t="shared" si="3"/>
        <v>1.3279219028099887</v>
      </c>
      <c r="F123" s="9">
        <f t="shared" si="4"/>
        <v>1.32495370983245</v>
      </c>
      <c r="G123" s="9">
        <f t="shared" si="5"/>
        <v>1.3567687831099524</v>
      </c>
      <c r="H123" s="4">
        <f>C123*F123</f>
        <v>245.65966734003456</v>
      </c>
      <c r="I123" s="4">
        <f>C123*G123</f>
        <v>251.55850007641627</v>
      </c>
      <c r="J123" s="11">
        <f>LN(H123/D123)</f>
        <v>-2.2377183475673339E-3</v>
      </c>
      <c r="K123" s="11">
        <f>LN(I123/D123)</f>
        <v>2.1490736859389608E-2</v>
      </c>
    </row>
    <row r="124" spans="1:11" x14ac:dyDescent="0.3">
      <c r="B124" s="1">
        <v>46203</v>
      </c>
      <c r="C124" s="4">
        <v>190.52</v>
      </c>
      <c r="D124" s="4">
        <v>252.23</v>
      </c>
      <c r="E124" s="8">
        <f t="shared" si="3"/>
        <v>1.3239030023094687</v>
      </c>
      <c r="F124" s="9">
        <f t="shared" si="4"/>
        <v>1.3252595056365217</v>
      </c>
      <c r="G124" s="9">
        <f t="shared" si="5"/>
        <v>1.3567687831099524</v>
      </c>
      <c r="H124" s="4">
        <f>C124*F124</f>
        <v>252.48844101387013</v>
      </c>
      <c r="I124" s="4">
        <f>C124*G124</f>
        <v>258.49158855810816</v>
      </c>
      <c r="J124" s="11">
        <f>LN(H124/D124)</f>
        <v>1.0240998364882872E-3</v>
      </c>
      <c r="K124" s="11">
        <f>LN(I124/D124)</f>
        <v>2.4521784323833812E-2</v>
      </c>
    </row>
    <row r="125" spans="1:11" x14ac:dyDescent="0.3">
      <c r="B125" s="1">
        <v>46204</v>
      </c>
      <c r="C125" s="4">
        <v>185.62</v>
      </c>
      <c r="D125" s="4">
        <v>248.75</v>
      </c>
      <c r="E125" s="8">
        <f t="shared" si="3"/>
        <v>1.3401034371296197</v>
      </c>
      <c r="F125" s="9">
        <f t="shared" si="4"/>
        <v>1.3266928092724286</v>
      </c>
      <c r="G125" s="9">
        <f t="shared" si="5"/>
        <v>1.3567687831099524</v>
      </c>
      <c r="H125" s="4">
        <f>C125*F125</f>
        <v>246.2607192571482</v>
      </c>
      <c r="I125" s="4">
        <f>C125*G125</f>
        <v>251.84342152086938</v>
      </c>
      <c r="J125" s="11">
        <f>LN(H125/D125)</f>
        <v>-1.0057566955639124E-2</v>
      </c>
      <c r="K125" s="11">
        <f>LN(I125/D125)</f>
        <v>1.2359175187902281E-2</v>
      </c>
    </row>
    <row r="126" spans="1:11" x14ac:dyDescent="0.3">
      <c r="B126" s="1">
        <v>46205</v>
      </c>
      <c r="C126" s="4">
        <v>180.59</v>
      </c>
      <c r="D126" s="4">
        <v>243.48</v>
      </c>
      <c r="E126" s="8">
        <f t="shared" si="3"/>
        <v>1.348247411263082</v>
      </c>
      <c r="F126" s="9">
        <f t="shared" si="4"/>
        <v>1.3284781095609051</v>
      </c>
      <c r="G126" s="9">
        <f t="shared" si="5"/>
        <v>1.3567687831099524</v>
      </c>
      <c r="H126" s="4">
        <f>C126*F126</f>
        <v>239.90986180560384</v>
      </c>
      <c r="I126" s="4">
        <f>C126*G126</f>
        <v>245.01887454182631</v>
      </c>
      <c r="J126" s="11">
        <f>LN(H126/D126)</f>
        <v>-1.4771526639975009E-2</v>
      </c>
      <c r="K126" s="11">
        <f>LN(I126/D126)</f>
        <v>6.3004428978858471E-3</v>
      </c>
    </row>
    <row r="127" spans="1:11" x14ac:dyDescent="0.3">
      <c r="B127" s="1">
        <v>46209</v>
      </c>
      <c r="C127" s="4">
        <v>183.57</v>
      </c>
      <c r="D127" s="4">
        <v>247.39</v>
      </c>
      <c r="E127" s="8">
        <f t="shared" si="3"/>
        <v>1.3476602930762107</v>
      </c>
      <c r="F127" s="9">
        <f t="shared" si="4"/>
        <v>1.3294895344233399</v>
      </c>
      <c r="G127" s="9">
        <f t="shared" si="5"/>
        <v>1.3567687831099524</v>
      </c>
      <c r="H127" s="4">
        <f>C127*F127</f>
        <v>244.05439383409251</v>
      </c>
      <c r="I127" s="4">
        <f>C127*G127</f>
        <v>249.06204551549396</v>
      </c>
      <c r="J127" s="11">
        <f>LN(H127/D127)</f>
        <v>-1.3574912771041569E-2</v>
      </c>
      <c r="K127" s="11">
        <f>LN(I127/D127)</f>
        <v>6.7360054323218248E-3</v>
      </c>
    </row>
    <row r="128" spans="1:11" x14ac:dyDescent="0.3">
      <c r="B128" s="1">
        <v>46210</v>
      </c>
      <c r="C128" s="4">
        <v>179.18</v>
      </c>
      <c r="D128" s="4">
        <v>243.28</v>
      </c>
      <c r="E128" s="8">
        <f t="shared" si="3"/>
        <v>1.3577408192878668</v>
      </c>
      <c r="F128" s="9">
        <f t="shared" si="4"/>
        <v>1.3304741904737012</v>
      </c>
      <c r="G128" s="9">
        <f t="shared" si="5"/>
        <v>1.3567687831099524</v>
      </c>
      <c r="H128" s="4">
        <f>C128*F128</f>
        <v>238.39436544907778</v>
      </c>
      <c r="I128" s="4">
        <f>C128*G128</f>
        <v>243.10583055764127</v>
      </c>
      <c r="J128" s="11">
        <f>LN(H128/D128)</f>
        <v>-2.0286743318473167E-2</v>
      </c>
      <c r="K128" s="11">
        <f>LN(I128/D128)</f>
        <v>-7.1617814031913602E-4</v>
      </c>
    </row>
    <row r="129" spans="2:11" x14ac:dyDescent="0.3">
      <c r="B129" s="1">
        <v>46211</v>
      </c>
      <c r="C129" s="4">
        <v>181.4</v>
      </c>
      <c r="D129" s="4">
        <v>245.1</v>
      </c>
      <c r="E129" s="8">
        <f t="shared" si="3"/>
        <v>1.3511576626240351</v>
      </c>
      <c r="F129" s="9">
        <f t="shared" si="4"/>
        <v>1.331485760215827</v>
      </c>
      <c r="G129" s="9">
        <f t="shared" si="5"/>
        <v>1.3567687831099524</v>
      </c>
      <c r="H129" s="4">
        <f>C129*F129</f>
        <v>241.53151690315102</v>
      </c>
      <c r="I129" s="4">
        <f>C129*G129</f>
        <v>246.11785725614538</v>
      </c>
      <c r="J129" s="11">
        <f>LN(H129/D129)</f>
        <v>-1.4666321181494321E-2</v>
      </c>
      <c r="K129" s="11">
        <f>LN(I129/D129)</f>
        <v>4.1442252063272119E-3</v>
      </c>
    </row>
    <row r="130" spans="2:11" x14ac:dyDescent="0.3">
      <c r="B130" s="1">
        <v>46212</v>
      </c>
      <c r="C130" s="4">
        <v>185.35</v>
      </c>
      <c r="D130" s="4">
        <v>249.28</v>
      </c>
      <c r="E130" s="8">
        <f t="shared" si="3"/>
        <v>1.3449150256271918</v>
      </c>
      <c r="F130" s="9">
        <f t="shared" si="4"/>
        <v>1.3320500931202435</v>
      </c>
      <c r="G130" s="9">
        <f t="shared" si="5"/>
        <v>1.3567687831099524</v>
      </c>
      <c r="H130" s="4">
        <f>C130*F130</f>
        <v>246.89548475983713</v>
      </c>
      <c r="I130" s="4">
        <f>C130*G130</f>
        <v>251.47709394942967</v>
      </c>
      <c r="J130" s="11">
        <f>LN(H130/D130)</f>
        <v>-9.6116542269568082E-3</v>
      </c>
      <c r="K130" s="11">
        <f>LN(I130/D130)</f>
        <v>8.7751449737154992E-3</v>
      </c>
    </row>
    <row r="131" spans="2:11" x14ac:dyDescent="0.3">
      <c r="B131" s="1">
        <v>46213</v>
      </c>
      <c r="C131" s="4">
        <v>185.78</v>
      </c>
      <c r="D131" s="4">
        <v>250.08</v>
      </c>
      <c r="E131" s="8">
        <f t="shared" ref="E131:E163" si="6">D131/C131</f>
        <v>1.3461083001399505</v>
      </c>
      <c r="F131" s="9">
        <f t="shared" si="4"/>
        <v>1.332719036406695</v>
      </c>
      <c r="G131" s="9">
        <f t="shared" si="5"/>
        <v>1.3567687831099524</v>
      </c>
      <c r="H131" s="4">
        <f>C131*F131</f>
        <v>247.5925425836358</v>
      </c>
      <c r="I131" s="4">
        <f>C131*G131</f>
        <v>252.06050452616697</v>
      </c>
      <c r="J131" s="11">
        <f>LN(H131/D131)</f>
        <v>-9.9964451223001956E-3</v>
      </c>
      <c r="K131" s="11">
        <f>LN(I131/D131)</f>
        <v>7.8882893455660321E-3</v>
      </c>
    </row>
    <row r="132" spans="2:11" x14ac:dyDescent="0.3">
      <c r="B132" s="1">
        <v>46216</v>
      </c>
      <c r="C132" s="4">
        <v>181.28</v>
      </c>
      <c r="D132" s="4">
        <v>244.77</v>
      </c>
      <c r="E132" s="8">
        <f t="shared" si="6"/>
        <v>1.3502316857899384</v>
      </c>
      <c r="F132" s="9">
        <f t="shared" si="4"/>
        <v>1.3338177611361244</v>
      </c>
      <c r="G132" s="9">
        <f t="shared" si="5"/>
        <v>1.3567687831099524</v>
      </c>
      <c r="H132" s="4">
        <f>C132*F132</f>
        <v>241.79448373875664</v>
      </c>
      <c r="I132" s="4">
        <f>C132*G132</f>
        <v>245.95504500217217</v>
      </c>
      <c r="J132" s="11">
        <f>LN(H132/D132)</f>
        <v>-1.2230869510286879E-2</v>
      </c>
      <c r="K132" s="11">
        <f>LN(I132/D132)</f>
        <v>4.8297812302352016E-3</v>
      </c>
    </row>
    <row r="133" spans="2:11" x14ac:dyDescent="0.3">
      <c r="B133" s="1">
        <v>46217</v>
      </c>
      <c r="C133" s="4">
        <v>183.62</v>
      </c>
      <c r="D133" s="4">
        <v>248.19</v>
      </c>
      <c r="E133" s="8">
        <f t="shared" si="6"/>
        <v>1.3516501470428057</v>
      </c>
      <c r="F133" s="9">
        <f t="shared" si="4"/>
        <v>1.3351583853713815</v>
      </c>
      <c r="G133" s="9">
        <f t="shared" si="5"/>
        <v>1.3567687831099524</v>
      </c>
      <c r="H133" s="4">
        <f>C133*F133</f>
        <v>245.16178272189308</v>
      </c>
      <c r="I133" s="4">
        <f>C133*G133</f>
        <v>249.12988395464947</v>
      </c>
      <c r="J133" s="11">
        <f>LN(H133/D133)</f>
        <v>-1.2276251612062387E-2</v>
      </c>
      <c r="K133" s="11">
        <f>LN(I133/D133)</f>
        <v>3.7798009047103702E-3</v>
      </c>
    </row>
    <row r="134" spans="2:11" x14ac:dyDescent="0.3">
      <c r="B134" s="1">
        <v>46218</v>
      </c>
      <c r="C134" s="4">
        <v>181.58</v>
      </c>
      <c r="D134" s="4">
        <v>248.45</v>
      </c>
      <c r="E134" s="8">
        <f t="shared" si="6"/>
        <v>1.368267430333737</v>
      </c>
      <c r="F134" s="9">
        <f t="shared" si="4"/>
        <v>1.3373613183876252</v>
      </c>
      <c r="G134" s="9">
        <f t="shared" si="5"/>
        <v>1.3567687831099524</v>
      </c>
      <c r="H134" s="4">
        <f>C134*F134</f>
        <v>242.83806819282501</v>
      </c>
      <c r="I134" s="4">
        <f>C134*G134</f>
        <v>246.36207563710516</v>
      </c>
      <c r="J134" s="11">
        <f>LN(H134/D134)</f>
        <v>-2.2846782879404039E-2</v>
      </c>
      <c r="K134" s="11">
        <f>LN(I134/D134)</f>
        <v>-8.4393120453606484E-3</v>
      </c>
    </row>
    <row r="135" spans="2:11" x14ac:dyDescent="0.3">
      <c r="B135" s="1">
        <v>46219</v>
      </c>
      <c r="C135" s="4">
        <v>177.52</v>
      </c>
      <c r="D135" s="4">
        <v>242.7</v>
      </c>
      <c r="E135" s="8">
        <f t="shared" si="6"/>
        <v>1.367169896349707</v>
      </c>
      <c r="F135" s="9">
        <f t="shared" si="4"/>
        <v>1.3391917076483633</v>
      </c>
      <c r="G135" s="9">
        <f t="shared" si="5"/>
        <v>1.3567687831099524</v>
      </c>
      <c r="H135" s="4">
        <f>C135*F135</f>
        <v>237.73331194173747</v>
      </c>
      <c r="I135" s="4">
        <f>C135*G135</f>
        <v>240.85359437767877</v>
      </c>
      <c r="J135" s="11">
        <f>LN(H135/D135)</f>
        <v>-2.0676605393158576E-2</v>
      </c>
      <c r="K135" s="11">
        <f>LN(I135/D135)</f>
        <v>-7.6368560488593402E-3</v>
      </c>
    </row>
    <row r="136" spans="2:11" x14ac:dyDescent="0.3">
      <c r="B136" s="1">
        <v>46220</v>
      </c>
      <c r="C136" s="4">
        <v>175.59</v>
      </c>
      <c r="D136" s="4">
        <v>239.24</v>
      </c>
      <c r="E136" s="8">
        <f t="shared" si="6"/>
        <v>1.3624921692579304</v>
      </c>
      <c r="F136" s="9">
        <f t="shared" si="4"/>
        <v>1.3410111492651888</v>
      </c>
      <c r="G136" s="9">
        <f t="shared" si="5"/>
        <v>1.3567687831099524</v>
      </c>
      <c r="H136" s="4">
        <f>C136*F136</f>
        <v>235.46814769947451</v>
      </c>
      <c r="I136" s="4">
        <f>C136*G136</f>
        <v>238.23503062627654</v>
      </c>
      <c r="J136" s="11">
        <f>LN(H136/D136)</f>
        <v>-1.5891581797565994E-2</v>
      </c>
      <c r="K136" s="11">
        <f>LN(I136/D136)</f>
        <v>-4.2095221457593823E-3</v>
      </c>
    </row>
    <row r="137" spans="2:11" x14ac:dyDescent="0.3">
      <c r="B137" s="1">
        <v>46223</v>
      </c>
      <c r="C137" s="4">
        <v>175.71</v>
      </c>
      <c r="D137" s="4">
        <v>239.97</v>
      </c>
      <c r="E137" s="8">
        <f t="shared" si="6"/>
        <v>1.3657162369813898</v>
      </c>
      <c r="F137" s="9">
        <f t="shared" si="4"/>
        <v>1.3430511872425488</v>
      </c>
      <c r="G137" s="9">
        <f t="shared" si="5"/>
        <v>1.3567687831099524</v>
      </c>
      <c r="H137" s="4">
        <f>C137*F137</f>
        <v>235.98752411038825</v>
      </c>
      <c r="I137" s="4">
        <f>C137*G137</f>
        <v>238.39784288024975</v>
      </c>
      <c r="J137" s="11">
        <f>LN(H137/D137)</f>
        <v>-1.6734975839610242E-2</v>
      </c>
      <c r="K137" s="11">
        <f>LN(I137/D137)</f>
        <v>-6.5730286996818288E-3</v>
      </c>
    </row>
    <row r="138" spans="2:11" x14ac:dyDescent="0.3">
      <c r="B138" s="1">
        <v>46224</v>
      </c>
      <c r="C138" s="4">
        <v>180.78</v>
      </c>
      <c r="D138" s="4">
        <v>244.45</v>
      </c>
      <c r="E138" s="8">
        <f t="shared" si="6"/>
        <v>1.3521960393848875</v>
      </c>
      <c r="F138" s="9">
        <f t="shared" si="4"/>
        <v>1.3447541456000316</v>
      </c>
      <c r="G138" s="9">
        <f t="shared" si="5"/>
        <v>1.3567687831099524</v>
      </c>
      <c r="H138" s="4">
        <f>C138*F138</f>
        <v>243.1046544415737</v>
      </c>
      <c r="I138" s="4">
        <f>C138*G138</f>
        <v>245.2766606106172</v>
      </c>
      <c r="J138" s="11">
        <f>LN(H138/D138)</f>
        <v>-5.5187616844080342E-3</v>
      </c>
      <c r="K138" s="11">
        <f>LN(I138/D138)</f>
        <v>3.3760114049681484E-3</v>
      </c>
    </row>
    <row r="139" spans="2:11" x14ac:dyDescent="0.3">
      <c r="B139" s="1">
        <v>46225</v>
      </c>
      <c r="C139" s="4">
        <v>180.27</v>
      </c>
      <c r="D139" s="4">
        <v>243.28</v>
      </c>
      <c r="E139" s="8">
        <f t="shared" si="6"/>
        <v>1.3495312586675541</v>
      </c>
      <c r="F139" s="9">
        <f t="shared" si="4"/>
        <v>1.346165775583738</v>
      </c>
      <c r="G139" s="9">
        <f t="shared" si="5"/>
        <v>1.3567687831099524</v>
      </c>
      <c r="H139" s="4">
        <f>C139*F139</f>
        <v>242.67330436448046</v>
      </c>
      <c r="I139" s="4">
        <f>C139*G139</f>
        <v>244.58470853123114</v>
      </c>
      <c r="J139" s="11">
        <f>LN(H139/D139)</f>
        <v>-2.4969310642919277E-3</v>
      </c>
      <c r="K139" s="11">
        <f>LN(I139/D139)</f>
        <v>5.3486617041949448E-3</v>
      </c>
    </row>
    <row r="140" spans="2:11" x14ac:dyDescent="0.3">
      <c r="B140" s="1">
        <v>46226</v>
      </c>
      <c r="C140" s="4">
        <v>178.45</v>
      </c>
      <c r="D140" s="4">
        <v>238.54</v>
      </c>
      <c r="E140" s="8">
        <f t="shared" si="6"/>
        <v>1.3367329784253292</v>
      </c>
      <c r="F140" s="9">
        <f t="shared" si="4"/>
        <v>1.3468483682362253</v>
      </c>
      <c r="G140" s="9">
        <f t="shared" si="5"/>
        <v>1.3567687831099524</v>
      </c>
      <c r="H140" s="4">
        <f>C140*F140</f>
        <v>240.3450913117544</v>
      </c>
      <c r="I140" s="4">
        <f>C140*G140</f>
        <v>242.11538934597098</v>
      </c>
      <c r="J140" s="11">
        <f>LN(H140/D140)</f>
        <v>7.5387598968670319E-3</v>
      </c>
      <c r="K140" s="11">
        <f>LN(I140/D140)</f>
        <v>1.4877416845004014E-2</v>
      </c>
    </row>
    <row r="141" spans="2:11" x14ac:dyDescent="0.3">
      <c r="B141" s="1">
        <v>46227</v>
      </c>
      <c r="C141" s="4">
        <v>175.88</v>
      </c>
      <c r="D141" s="4">
        <v>236.08</v>
      </c>
      <c r="E141" s="8">
        <f t="shared" si="6"/>
        <v>1.3422788264725951</v>
      </c>
      <c r="F141" s="9">
        <f t="shared" si="4"/>
        <v>1.3478654357450421</v>
      </c>
      <c r="G141" s="9">
        <f t="shared" si="5"/>
        <v>1.3567687831099524</v>
      </c>
      <c r="H141" s="4">
        <f>C141*F141</f>
        <v>237.06257283883801</v>
      </c>
      <c r="I141" s="4">
        <f>C141*G141</f>
        <v>238.62849357337842</v>
      </c>
      <c r="J141" s="11">
        <f>LN(H141/D141)</f>
        <v>4.1533960702283077E-3</v>
      </c>
      <c r="K141" s="11">
        <f>LN(I141/D141)</f>
        <v>1.0737191737283047E-2</v>
      </c>
    </row>
    <row r="142" spans="2:11" x14ac:dyDescent="0.3">
      <c r="B142" s="1">
        <v>46230</v>
      </c>
      <c r="C142" s="4">
        <v>174.3</v>
      </c>
      <c r="D142" s="4">
        <v>235.05</v>
      </c>
      <c r="E142" s="8">
        <f t="shared" si="6"/>
        <v>1.3485370051635113</v>
      </c>
      <c r="F142" s="9">
        <f t="shared" si="4"/>
        <v>1.3491280764068396</v>
      </c>
      <c r="G142" s="9">
        <f t="shared" si="5"/>
        <v>1.3567687831099524</v>
      </c>
      <c r="H142" s="4">
        <f>C142*F142</f>
        <v>235.15302371771216</v>
      </c>
      <c r="I142" s="4">
        <f>C142*G142</f>
        <v>236.48479889606472</v>
      </c>
      <c r="J142" s="11">
        <f>LN(H142/D142)</f>
        <v>4.3820951446121382E-4</v>
      </c>
      <c r="K142" s="11">
        <f>LN(I142/D142)</f>
        <v>6.0856731151934448E-3</v>
      </c>
    </row>
    <row r="143" spans="2:11" x14ac:dyDescent="0.3">
      <c r="B143" s="1">
        <v>46231</v>
      </c>
      <c r="C143" s="4">
        <v>171.09</v>
      </c>
      <c r="D143" s="4">
        <v>232.2</v>
      </c>
      <c r="E143" s="8">
        <f t="shared" si="6"/>
        <v>1.35718043135192</v>
      </c>
      <c r="F143" s="9">
        <f t="shared" si="4"/>
        <v>1.3505910028339365</v>
      </c>
      <c r="G143" s="9">
        <f t="shared" si="5"/>
        <v>1.3567687831099524</v>
      </c>
      <c r="H143" s="4">
        <f>C143*F143</f>
        <v>231.07261467485822</v>
      </c>
      <c r="I143" s="4">
        <f>C143*G143</f>
        <v>232.12957110228177</v>
      </c>
      <c r="J143" s="11">
        <f>LN(H143/D143)</f>
        <v>-4.8670588975582661E-3</v>
      </c>
      <c r="K143" s="11">
        <f>LN(I143/D143)</f>
        <v>-3.0335736787609778E-4</v>
      </c>
    </row>
    <row r="144" spans="2:11" x14ac:dyDescent="0.3">
      <c r="B144" s="1">
        <v>46232</v>
      </c>
      <c r="C144" s="4">
        <v>166.57</v>
      </c>
      <c r="D144" s="4">
        <v>227.34</v>
      </c>
      <c r="E144" s="8">
        <f t="shared" si="6"/>
        <v>1.3648316023293512</v>
      </c>
      <c r="F144" s="9">
        <f t="shared" si="4"/>
        <v>1.3526374328349304</v>
      </c>
      <c r="G144" s="9">
        <f t="shared" si="5"/>
        <v>1.3567687831099524</v>
      </c>
      <c r="H144" s="4">
        <f>C144*F144</f>
        <v>225.30881718731436</v>
      </c>
      <c r="I144" s="4">
        <f>C144*G144</f>
        <v>225.99697620262475</v>
      </c>
      <c r="J144" s="11">
        <f>LN(H144/D144)</f>
        <v>-8.9747122673823933E-3</v>
      </c>
      <c r="K144" s="11">
        <f>LN(I144/D144)</f>
        <v>-5.9250747101904843E-3</v>
      </c>
    </row>
    <row r="145" spans="2:11" x14ac:dyDescent="0.3">
      <c r="B145" s="1">
        <v>46233</v>
      </c>
      <c r="C145" s="4">
        <v>175.73</v>
      </c>
      <c r="D145" s="4">
        <v>236.96</v>
      </c>
      <c r="E145" s="8">
        <f t="shared" si="6"/>
        <v>1.3484322540260629</v>
      </c>
      <c r="F145" s="9">
        <f t="shared" si="4"/>
        <v>1.3530538736797524</v>
      </c>
      <c r="G145" s="9">
        <f t="shared" si="5"/>
        <v>1.3567687831099524</v>
      </c>
      <c r="H145" s="4">
        <f>C145*F145</f>
        <v>237.77215722174287</v>
      </c>
      <c r="I145" s="4">
        <f>C145*G145</f>
        <v>238.42497825591192</v>
      </c>
      <c r="J145" s="11">
        <f>LN(H145/D145)</f>
        <v>3.4215420283274663E-3</v>
      </c>
      <c r="K145" s="11">
        <f>LN(I145/D145)</f>
        <v>6.1633537466237714E-3</v>
      </c>
    </row>
    <row r="146" spans="2:11" x14ac:dyDescent="0.3">
      <c r="B146" s="1">
        <v>46234</v>
      </c>
      <c r="C146" s="4">
        <v>175.35</v>
      </c>
      <c r="D146" s="4">
        <v>238.04</v>
      </c>
      <c r="E146" s="8">
        <f t="shared" si="6"/>
        <v>1.3575135443398916</v>
      </c>
      <c r="F146" s="9">
        <f t="shared" si="4"/>
        <v>1.353517180333593</v>
      </c>
      <c r="G146" s="9">
        <f t="shared" si="5"/>
        <v>1.3567687831099524</v>
      </c>
      <c r="H146" s="4">
        <f>C146*F146</f>
        <v>237.33923757149552</v>
      </c>
      <c r="I146" s="4">
        <f>C146*G146</f>
        <v>237.90940611833014</v>
      </c>
      <c r="J146" s="11">
        <f>LN(H146/D146)</f>
        <v>-2.9482269342360513E-3</v>
      </c>
      <c r="K146" s="11">
        <f>LN(I146/D146)</f>
        <v>-5.4877213110651757E-4</v>
      </c>
    </row>
    <row r="147" spans="2:11" x14ac:dyDescent="0.3">
      <c r="B147" s="1">
        <v>46237</v>
      </c>
      <c r="C147" s="4">
        <v>178.04</v>
      </c>
      <c r="D147" s="4">
        <v>243.68</v>
      </c>
      <c r="E147" s="8">
        <f t="shared" si="6"/>
        <v>1.3686811952370255</v>
      </c>
      <c r="F147" s="9">
        <f t="shared" si="4"/>
        <v>1.3545682254416338</v>
      </c>
      <c r="G147" s="9">
        <f t="shared" si="5"/>
        <v>1.3567687831099524</v>
      </c>
      <c r="H147" s="4">
        <f>C147*F147</f>
        <v>241.16732685762847</v>
      </c>
      <c r="I147" s="4">
        <f>C147*G147</f>
        <v>241.55911414489591</v>
      </c>
      <c r="J147" s="11">
        <f>LN(H147/D147)</f>
        <v>-1.0364894258731048E-2</v>
      </c>
      <c r="K147" s="11">
        <f>LN(I147/D147)</f>
        <v>-8.7416669398404836E-3</v>
      </c>
    </row>
    <row r="148" spans="2:11" x14ac:dyDescent="0.3">
      <c r="B148" s="1">
        <v>46238</v>
      </c>
      <c r="C148" s="4">
        <v>186.9</v>
      </c>
      <c r="D148" s="4">
        <v>253.55</v>
      </c>
      <c r="E148" s="8">
        <f t="shared" si="6"/>
        <v>1.3566078116639915</v>
      </c>
      <c r="F148" s="9">
        <f t="shared" si="4"/>
        <v>1.3545115750604402</v>
      </c>
      <c r="G148" s="9">
        <f t="shared" si="5"/>
        <v>1.3567687831099524</v>
      </c>
      <c r="H148" s="4">
        <f>C148*F148</f>
        <v>253.15821337879629</v>
      </c>
      <c r="I148" s="4">
        <f>C148*G148</f>
        <v>253.58008556325012</v>
      </c>
      <c r="J148" s="11">
        <f>LN(H148/D148)</f>
        <v>-1.5463996396119797E-3</v>
      </c>
      <c r="K148" s="11">
        <f>LN(I148/D148)</f>
        <v>1.1865027984682854E-4</v>
      </c>
    </row>
    <row r="149" spans="2:11" x14ac:dyDescent="0.3">
      <c r="B149" s="1">
        <v>46239</v>
      </c>
      <c r="C149" s="4">
        <v>185.91</v>
      </c>
      <c r="D149" s="4">
        <v>251.27</v>
      </c>
      <c r="E149" s="8">
        <f t="shared" si="6"/>
        <v>1.3515679629928461</v>
      </c>
      <c r="F149" s="9">
        <f t="shared" ref="F149:F163" si="7">AVERAGE(E130:E149)</f>
        <v>1.3545320900788806</v>
      </c>
      <c r="G149" s="9">
        <f t="shared" si="5"/>
        <v>1.3567687831099524</v>
      </c>
      <c r="H149" s="4">
        <f>C149*F149</f>
        <v>251.82106086656469</v>
      </c>
      <c r="I149" s="4">
        <f>C149*G149</f>
        <v>252.23688446797124</v>
      </c>
      <c r="J149" s="11">
        <f>LN(H149/D149)</f>
        <v>2.1907011665115821E-3</v>
      </c>
      <c r="K149" s="11">
        <f>LN(I149/D149)</f>
        <v>3.8406055062184365E-3</v>
      </c>
    </row>
    <row r="150" spans="2:11" x14ac:dyDescent="0.3">
      <c r="B150" s="1">
        <v>46240</v>
      </c>
      <c r="C150" s="4">
        <v>185.33</v>
      </c>
      <c r="D150" s="4">
        <v>250.59</v>
      </c>
      <c r="E150" s="8">
        <f t="shared" si="6"/>
        <v>1.3521286354071116</v>
      </c>
      <c r="F150" s="9">
        <f t="shared" si="7"/>
        <v>1.3548927705678768</v>
      </c>
      <c r="G150" s="9">
        <f t="shared" ref="G150:G172" si="8">G149</f>
        <v>1.3567687831099524</v>
      </c>
      <c r="H150" s="4">
        <f>C150*F150</f>
        <v>251.10227716934463</v>
      </c>
      <c r="I150" s="4">
        <f>C150*G150</f>
        <v>251.4499585737675</v>
      </c>
      <c r="J150" s="11">
        <f>LN(H150/D150)</f>
        <v>2.0421974612631275E-3</v>
      </c>
      <c r="K150" s="11">
        <f>LN(I150/D150)</f>
        <v>3.4258604326519167E-3</v>
      </c>
    </row>
    <row r="151" spans="2:11" x14ac:dyDescent="0.3">
      <c r="B151" s="1">
        <v>46241</v>
      </c>
      <c r="C151" s="4">
        <v>187.97</v>
      </c>
      <c r="D151" s="4">
        <v>254.05</v>
      </c>
      <c r="E151" s="8">
        <f t="shared" si="6"/>
        <v>1.3515454593818164</v>
      </c>
      <c r="F151" s="9">
        <f t="shared" si="7"/>
        <v>1.3551646285299701</v>
      </c>
      <c r="G151" s="9">
        <f t="shared" si="8"/>
        <v>1.3567687831099524</v>
      </c>
      <c r="H151" s="4">
        <f>C151*F151</f>
        <v>254.73029522477847</v>
      </c>
      <c r="I151" s="4">
        <f>C151*G151</f>
        <v>255.03182816117774</v>
      </c>
      <c r="J151" s="11">
        <f>LN(H151/D151)</f>
        <v>2.6742216103447132E-3</v>
      </c>
      <c r="K151" s="11">
        <f>LN(I151/D151)</f>
        <v>3.8572556481206461E-3</v>
      </c>
    </row>
    <row r="152" spans="2:11" x14ac:dyDescent="0.3">
      <c r="B152" s="1">
        <v>46244</v>
      </c>
      <c r="C152" s="4">
        <v>186.32</v>
      </c>
      <c r="D152" s="4">
        <v>252.38</v>
      </c>
      <c r="E152" s="8">
        <f t="shared" si="6"/>
        <v>1.3545513095749249</v>
      </c>
      <c r="F152" s="9">
        <f t="shared" si="7"/>
        <v>1.3553806097192196</v>
      </c>
      <c r="G152" s="9">
        <f t="shared" si="8"/>
        <v>1.3567687831099524</v>
      </c>
      <c r="H152" s="4">
        <f>C152*F152</f>
        <v>252.53451520288499</v>
      </c>
      <c r="I152" s="4">
        <f>C152*G152</f>
        <v>252.79315966904633</v>
      </c>
      <c r="J152" s="11">
        <f>LN(H152/D152)</f>
        <v>6.1204502170565092E-4</v>
      </c>
      <c r="K152" s="11">
        <f>LN(I152/D152)</f>
        <v>1.6357154106786613E-3</v>
      </c>
    </row>
    <row r="153" spans="2:11" x14ac:dyDescent="0.3">
      <c r="B153" s="1">
        <v>46245</v>
      </c>
      <c r="C153" s="4">
        <v>186.09</v>
      </c>
      <c r="D153" s="4">
        <v>251.02</v>
      </c>
      <c r="E153" s="8">
        <f t="shared" si="6"/>
        <v>1.3489171906066957</v>
      </c>
      <c r="F153" s="9">
        <f t="shared" si="7"/>
        <v>1.3552439618974141</v>
      </c>
      <c r="G153" s="9">
        <f t="shared" si="8"/>
        <v>1.3567687831099524</v>
      </c>
      <c r="H153" s="4">
        <f>C153*F153</f>
        <v>252.19734886948982</v>
      </c>
      <c r="I153" s="4">
        <f>C153*G153</f>
        <v>252.48110284893104</v>
      </c>
      <c r="J153" s="11">
        <f>LN(H153/D153)</f>
        <v>4.6792942269699989E-3</v>
      </c>
      <c r="K153" s="11">
        <f>LN(I153/D153)</f>
        <v>5.803788480193443E-3</v>
      </c>
    </row>
    <row r="154" spans="2:11" x14ac:dyDescent="0.3">
      <c r="B154" s="1">
        <v>46246</v>
      </c>
      <c r="C154" s="4">
        <v>188.86</v>
      </c>
      <c r="D154" s="4">
        <v>253.08</v>
      </c>
      <c r="E154" s="8">
        <f t="shared" si="6"/>
        <v>1.340040241448692</v>
      </c>
      <c r="F154" s="9">
        <f t="shared" si="7"/>
        <v>1.3538326024531617</v>
      </c>
      <c r="G154" s="9">
        <f t="shared" si="8"/>
        <v>1.3567687831099524</v>
      </c>
      <c r="H154" s="4">
        <f>C154*F154</f>
        <v>255.68482529930415</v>
      </c>
      <c r="I154" s="4">
        <f>C154*G154</f>
        <v>256.23935237814561</v>
      </c>
      <c r="J154" s="11">
        <f>LN(H154/D154)</f>
        <v>1.0239890537071295E-2</v>
      </c>
      <c r="K154" s="11">
        <f>LN(I154/D154)</f>
        <v>1.2406333615597284E-2</v>
      </c>
    </row>
    <row r="155" spans="2:11" x14ac:dyDescent="0.3">
      <c r="B155" s="1">
        <v>46247</v>
      </c>
      <c r="C155" s="4">
        <v>190.77</v>
      </c>
      <c r="D155" s="4">
        <v>256.58999999999997</v>
      </c>
      <c r="E155" s="8">
        <f t="shared" si="6"/>
        <v>1.3450228023274098</v>
      </c>
      <c r="F155" s="9">
        <f t="shared" si="7"/>
        <v>1.3527252477520471</v>
      </c>
      <c r="G155" s="9">
        <f t="shared" si="8"/>
        <v>1.3567687831099524</v>
      </c>
      <c r="H155" s="4">
        <f>C155*F155</f>
        <v>258.05939551365805</v>
      </c>
      <c r="I155" s="4">
        <f>C155*G155</f>
        <v>258.83078075388562</v>
      </c>
      <c r="J155" s="11">
        <f>LN(H155/D155)</f>
        <v>5.7102933345891341E-3</v>
      </c>
      <c r="K155" s="11">
        <f>LN(I155/D155)</f>
        <v>8.6950117459837842E-3</v>
      </c>
    </row>
    <row r="156" spans="2:11" x14ac:dyDescent="0.3">
      <c r="B156" s="1">
        <v>46248</v>
      </c>
      <c r="C156" s="4">
        <v>190.01</v>
      </c>
      <c r="D156" s="4">
        <v>255.5</v>
      </c>
      <c r="E156" s="8">
        <f t="shared" si="6"/>
        <v>1.3446660702068314</v>
      </c>
      <c r="F156" s="9">
        <f t="shared" si="7"/>
        <v>1.3518339427994921</v>
      </c>
      <c r="G156" s="9">
        <f t="shared" si="8"/>
        <v>1.3567687831099524</v>
      </c>
      <c r="H156" s="4">
        <f>C156*F156</f>
        <v>256.86196747133147</v>
      </c>
      <c r="I156" s="4">
        <f>C156*G156</f>
        <v>257.79963647872205</v>
      </c>
      <c r="J156" s="11">
        <f>LN(H156/D156)</f>
        <v>5.3164394148888568E-3</v>
      </c>
      <c r="K156" s="11">
        <f>LN(I156/D156)</f>
        <v>8.9602707700391221E-3</v>
      </c>
    </row>
    <row r="157" spans="2:11" x14ac:dyDescent="0.3">
      <c r="B157" s="1">
        <v>46251</v>
      </c>
      <c r="C157" s="4">
        <v>190.32</v>
      </c>
      <c r="D157" s="4">
        <v>254.79</v>
      </c>
      <c r="E157" s="8">
        <f t="shared" si="6"/>
        <v>1.3387452711223202</v>
      </c>
      <c r="F157" s="9">
        <f t="shared" si="7"/>
        <v>1.3504853945065385</v>
      </c>
      <c r="G157" s="9">
        <f t="shared" si="8"/>
        <v>1.3567687831099524</v>
      </c>
      <c r="H157" s="4">
        <f>C157*F157</f>
        <v>257.0243802824844</v>
      </c>
      <c r="I157" s="4">
        <f>C157*G157</f>
        <v>258.22023480148613</v>
      </c>
      <c r="J157" s="11">
        <f>LN(H157/D157)</f>
        <v>8.7312688481916041E-3</v>
      </c>
      <c r="K157" s="11">
        <f>LN(I157/D157)</f>
        <v>1.3373167594032296E-2</v>
      </c>
    </row>
    <row r="158" spans="2:11" x14ac:dyDescent="0.3">
      <c r="B158" s="1">
        <v>46252</v>
      </c>
      <c r="C158" s="4">
        <v>185.62</v>
      </c>
      <c r="D158" s="4">
        <v>249.58</v>
      </c>
      <c r="E158" s="8">
        <f t="shared" si="6"/>
        <v>1.3445749380454692</v>
      </c>
      <c r="F158" s="9">
        <f t="shared" si="7"/>
        <v>1.3501043394395675</v>
      </c>
      <c r="G158" s="9">
        <f t="shared" si="8"/>
        <v>1.3567687831099524</v>
      </c>
      <c r="H158" s="4">
        <f>C158*F158</f>
        <v>250.60636748677254</v>
      </c>
      <c r="I158" s="4">
        <f>C158*G158</f>
        <v>251.84342152086938</v>
      </c>
      <c r="J158" s="11">
        <f>LN(H158/D158)</f>
        <v>4.1039460250301071E-3</v>
      </c>
      <c r="K158" s="11">
        <f>LN(I158/D158)</f>
        <v>9.0280461468962361E-3</v>
      </c>
    </row>
    <row r="159" spans="2:11" x14ac:dyDescent="0.3">
      <c r="B159" s="1">
        <v>46253</v>
      </c>
      <c r="C159" s="4">
        <v>183.64</v>
      </c>
      <c r="D159" s="4">
        <v>247.8</v>
      </c>
      <c r="E159" s="8">
        <f t="shared" si="6"/>
        <v>1.3493792202134614</v>
      </c>
      <c r="F159" s="9">
        <f t="shared" si="7"/>
        <v>1.3500967375168629</v>
      </c>
      <c r="G159" s="9">
        <f t="shared" si="8"/>
        <v>1.3567687831099524</v>
      </c>
      <c r="H159" s="4">
        <f>C159*F159</f>
        <v>247.93176487759669</v>
      </c>
      <c r="I159" s="4">
        <f>C159*G159</f>
        <v>249.15701933031164</v>
      </c>
      <c r="J159" s="11">
        <f>LN(H159/D159)</f>
        <v>5.3159748894536041E-4</v>
      </c>
      <c r="K159" s="11">
        <f>LN(I159/D159)</f>
        <v>5.4613282453368408E-3</v>
      </c>
    </row>
    <row r="160" spans="2:11" x14ac:dyDescent="0.3">
      <c r="B160" s="1">
        <v>46254</v>
      </c>
      <c r="C160" s="4">
        <v>183.1</v>
      </c>
      <c r="D160" s="4">
        <v>246.8</v>
      </c>
      <c r="E160" s="8">
        <f t="shared" si="6"/>
        <v>1.3478973238667395</v>
      </c>
      <c r="F160" s="9">
        <f t="shared" si="7"/>
        <v>1.3506549547889333</v>
      </c>
      <c r="G160" s="9">
        <f t="shared" si="8"/>
        <v>1.3567687831099524</v>
      </c>
      <c r="H160" s="4">
        <f>C160*F160</f>
        <v>247.30492222185367</v>
      </c>
      <c r="I160" s="4">
        <f>C160*G160</f>
        <v>248.42436418743227</v>
      </c>
      <c r="J160" s="11">
        <f>LN(H160/D160)</f>
        <v>2.0437861470425193E-3</v>
      </c>
      <c r="K160" s="11">
        <f>LN(I160/D160)</f>
        <v>6.5601377085898584E-3</v>
      </c>
    </row>
    <row r="161" spans="2:11" x14ac:dyDescent="0.3">
      <c r="B161" s="1">
        <v>46255</v>
      </c>
      <c r="C161" s="4">
        <v>183.31</v>
      </c>
      <c r="D161" s="4">
        <v>247.25</v>
      </c>
      <c r="E161" s="8">
        <f t="shared" si="6"/>
        <v>1.3488080301129235</v>
      </c>
      <c r="F161" s="9">
        <f t="shared" si="7"/>
        <v>1.3509814149709496</v>
      </c>
      <c r="G161" s="9">
        <f t="shared" si="8"/>
        <v>1.3567687831099524</v>
      </c>
      <c r="H161" s="4">
        <f>C161*F161</f>
        <v>247.64840317832477</v>
      </c>
      <c r="I161" s="4">
        <f>C161*G161</f>
        <v>248.70928563188539</v>
      </c>
      <c r="J161" s="11">
        <f>LN(H161/D161)</f>
        <v>1.6100406137053306E-3</v>
      </c>
      <c r="K161" s="11">
        <f>LN(I161/D161)</f>
        <v>5.8847162878097135E-3</v>
      </c>
    </row>
    <row r="162" spans="2:11" x14ac:dyDescent="0.3">
      <c r="B162" s="1">
        <v>46258</v>
      </c>
      <c r="C162" s="4">
        <v>180.05</v>
      </c>
      <c r="D162" s="4">
        <v>244.11</v>
      </c>
      <c r="E162" s="8">
        <f t="shared" si="6"/>
        <v>1.3557900583171341</v>
      </c>
      <c r="F162" s="9">
        <f t="shared" si="7"/>
        <v>1.3513440676286306</v>
      </c>
      <c r="G162" s="9">
        <f t="shared" si="8"/>
        <v>1.3567687831099524</v>
      </c>
      <c r="H162" s="4">
        <f>C162*F162</f>
        <v>243.30949937653494</v>
      </c>
      <c r="I162" s="4">
        <f>C162*G162</f>
        <v>244.28621939894694</v>
      </c>
      <c r="J162" s="11">
        <f>LN(H162/D162)</f>
        <v>-3.284650467208927E-3</v>
      </c>
      <c r="K162" s="11">
        <f>LN(I162/D162)</f>
        <v>7.2162477756631952E-4</v>
      </c>
    </row>
    <row r="163" spans="2:11" x14ac:dyDescent="0.3">
      <c r="B163" s="1">
        <v>46259</v>
      </c>
      <c r="C163" s="4">
        <v>181.74</v>
      </c>
      <c r="D163" s="4">
        <v>246.04</v>
      </c>
      <c r="E163" s="8">
        <f t="shared" si="6"/>
        <v>1.3538021349180147</v>
      </c>
      <c r="F163" s="9">
        <f t="shared" si="7"/>
        <v>1.3511751528069356</v>
      </c>
      <c r="G163" s="9">
        <f t="shared" si="8"/>
        <v>1.3567687831099524</v>
      </c>
      <c r="H163" s="4">
        <f>C163*F163</f>
        <v>245.5625722711325</v>
      </c>
      <c r="I163" s="4">
        <f>C163*G163</f>
        <v>246.57915864240277</v>
      </c>
      <c r="J163" s="11">
        <f>LN(H163/D163)</f>
        <v>-1.9423327130263369E-3</v>
      </c>
      <c r="K163" s="11">
        <f>LN(I163/D163)</f>
        <v>2.1889479863912895E-3</v>
      </c>
    </row>
    <row r="164" spans="2:11" x14ac:dyDescent="0.3">
      <c r="C164" s="4">
        <v>182.84</v>
      </c>
      <c r="D164" s="4">
        <v>246.67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9446-EBF6-4C2C-AF14-86C76299FD67}">
  <dimension ref="A1:K164"/>
  <sheetViews>
    <sheetView workbookViewId="0">
      <selection sqref="A1:A1048576"/>
    </sheetView>
  </sheetViews>
  <sheetFormatPr defaultRowHeight="14.4" x14ac:dyDescent="0.3"/>
  <cols>
    <col min="1" max="1" width="8.21875" style="6" customWidth="1"/>
    <col min="2" max="2" width="10.33203125" style="1" bestFit="1" customWidth="1"/>
    <col min="3" max="4" width="8.88671875" style="4"/>
    <col min="5" max="5" width="10.6640625" style="8" bestFit="1" customWidth="1"/>
    <col min="7" max="7" width="10.33203125" style="1" bestFit="1" customWidth="1"/>
    <col min="8" max="9" width="8.88671875" style="4"/>
    <col min="10" max="11" width="8.88671875" style="11"/>
  </cols>
  <sheetData>
    <row r="1" spans="2:11" s="3" customFormat="1" x14ac:dyDescent="0.3">
      <c r="B1" s="2" t="s">
        <v>0</v>
      </c>
      <c r="C1" s="5" t="s">
        <v>17</v>
      </c>
      <c r="D1" s="5" t="s">
        <v>6</v>
      </c>
      <c r="E1" s="7" t="str">
        <f>_xlfn.CONCAT(D1,"/",C1)</f>
        <v>IYH/XLV</v>
      </c>
      <c r="F1" s="3" t="s">
        <v>13</v>
      </c>
      <c r="G1" s="1"/>
      <c r="H1" s="10" t="s">
        <v>9</v>
      </c>
      <c r="I1" s="10" t="s">
        <v>10</v>
      </c>
      <c r="J1" s="10" t="s">
        <v>11</v>
      </c>
      <c r="K1" s="10" t="s">
        <v>12</v>
      </c>
    </row>
    <row r="2" spans="2:11" x14ac:dyDescent="0.3">
      <c r="B2" s="1">
        <v>46024</v>
      </c>
      <c r="C2" s="4">
        <v>155.51</v>
      </c>
      <c r="D2" s="4">
        <v>65.36</v>
      </c>
      <c r="E2" s="8">
        <f>D2/C2</f>
        <v>0.42029451482219793</v>
      </c>
    </row>
    <row r="3" spans="2:11" x14ac:dyDescent="0.3">
      <c r="B3" s="1">
        <v>46027</v>
      </c>
      <c r="C3" s="4">
        <v>155.04</v>
      </c>
      <c r="D3" s="4">
        <v>65.22</v>
      </c>
      <c r="E3" s="8">
        <f t="shared" ref="E3:E66" si="0">D3/C3</f>
        <v>0.42066563467492263</v>
      </c>
    </row>
    <row r="4" spans="2:11" x14ac:dyDescent="0.3">
      <c r="B4" s="1">
        <v>46028</v>
      </c>
      <c r="C4" s="4">
        <v>158.09</v>
      </c>
      <c r="D4" s="4">
        <v>66.58</v>
      </c>
      <c r="E4" s="8">
        <f t="shared" si="0"/>
        <v>0.42115250806502624</v>
      </c>
    </row>
    <row r="5" spans="2:11" x14ac:dyDescent="0.3">
      <c r="B5" s="1">
        <v>46029</v>
      </c>
      <c r="C5" s="4">
        <v>159.66</v>
      </c>
      <c r="D5" s="4">
        <v>67.33</v>
      </c>
      <c r="E5" s="8">
        <f t="shared" si="0"/>
        <v>0.42170863084053611</v>
      </c>
    </row>
    <row r="6" spans="2:11" x14ac:dyDescent="0.3">
      <c r="B6" s="1">
        <v>46030</v>
      </c>
      <c r="C6" s="4">
        <v>158.12</v>
      </c>
      <c r="D6" s="4">
        <v>66.63</v>
      </c>
      <c r="E6" s="8">
        <f t="shared" si="0"/>
        <v>0.42138881861877053</v>
      </c>
    </row>
    <row r="7" spans="2:11" x14ac:dyDescent="0.3">
      <c r="B7" s="1">
        <v>46031</v>
      </c>
      <c r="C7" s="4">
        <v>157.31</v>
      </c>
      <c r="D7" s="4">
        <v>66.319999999999993</v>
      </c>
      <c r="E7" s="8">
        <f t="shared" si="0"/>
        <v>0.42158794736507527</v>
      </c>
    </row>
    <row r="8" spans="2:11" x14ac:dyDescent="0.3">
      <c r="B8" s="1">
        <v>46034</v>
      </c>
      <c r="C8" s="4">
        <v>157.38</v>
      </c>
      <c r="D8" s="4">
        <v>66.19</v>
      </c>
      <c r="E8" s="8">
        <f t="shared" si="0"/>
        <v>0.42057440589655609</v>
      </c>
    </row>
    <row r="9" spans="2:11" x14ac:dyDescent="0.3">
      <c r="B9" s="1">
        <v>46035</v>
      </c>
      <c r="C9" s="4">
        <v>156.74</v>
      </c>
      <c r="D9" s="4">
        <v>65.930000000000007</v>
      </c>
      <c r="E9" s="8">
        <f t="shared" si="0"/>
        <v>0.42063289524052572</v>
      </c>
    </row>
    <row r="10" spans="2:11" x14ac:dyDescent="0.3">
      <c r="B10" s="1">
        <v>46036</v>
      </c>
      <c r="C10" s="4">
        <v>157.86000000000001</v>
      </c>
      <c r="D10" s="4">
        <v>66.36</v>
      </c>
      <c r="E10" s="8">
        <f t="shared" si="0"/>
        <v>0.42037248194602811</v>
      </c>
    </row>
    <row r="11" spans="2:11" x14ac:dyDescent="0.3">
      <c r="B11" s="1">
        <v>46037</v>
      </c>
      <c r="C11" s="4">
        <v>156.96</v>
      </c>
      <c r="D11" s="4">
        <v>65.95</v>
      </c>
      <c r="E11" s="8">
        <f t="shared" si="0"/>
        <v>0.42017074413863403</v>
      </c>
      <c r="F11" s="9"/>
      <c r="G11" s="9"/>
    </row>
    <row r="12" spans="2:11" x14ac:dyDescent="0.3">
      <c r="B12" s="1">
        <v>46038</v>
      </c>
      <c r="C12" s="4">
        <v>155.74</v>
      </c>
      <c r="D12" s="4">
        <v>65.47</v>
      </c>
      <c r="E12" s="8">
        <f t="shared" si="0"/>
        <v>0.42038012071401049</v>
      </c>
      <c r="F12" s="9"/>
      <c r="G12" s="9"/>
    </row>
    <row r="13" spans="2:11" x14ac:dyDescent="0.3">
      <c r="B13" s="1">
        <v>46042</v>
      </c>
      <c r="C13" s="4">
        <v>155.4</v>
      </c>
      <c r="D13" s="4">
        <v>65.36</v>
      </c>
      <c r="E13" s="8">
        <f t="shared" si="0"/>
        <v>0.42059202059202055</v>
      </c>
      <c r="F13" s="9"/>
      <c r="G13" s="9"/>
    </row>
    <row r="14" spans="2:11" x14ac:dyDescent="0.3">
      <c r="B14" s="1">
        <v>46043</v>
      </c>
      <c r="C14" s="4">
        <v>158.26</v>
      </c>
      <c r="D14" s="4">
        <v>66.53</v>
      </c>
      <c r="E14" s="8">
        <f t="shared" si="0"/>
        <v>0.42038417793504362</v>
      </c>
      <c r="F14" s="9"/>
      <c r="G14" s="9"/>
    </row>
    <row r="15" spans="2:11" x14ac:dyDescent="0.3">
      <c r="B15" s="1">
        <v>46044</v>
      </c>
      <c r="C15" s="4">
        <v>158.29</v>
      </c>
      <c r="D15" s="4">
        <v>66.59</v>
      </c>
      <c r="E15" s="8">
        <f t="shared" si="0"/>
        <v>0.4206835554993999</v>
      </c>
      <c r="F15" s="9"/>
      <c r="G15" s="9"/>
    </row>
    <row r="16" spans="2:11" x14ac:dyDescent="0.3">
      <c r="B16" s="1">
        <v>46045</v>
      </c>
      <c r="C16" s="4">
        <v>157.47999999999999</v>
      </c>
      <c r="D16" s="4">
        <v>66.17</v>
      </c>
      <c r="E16" s="8">
        <f t="shared" si="0"/>
        <v>0.42018034036068075</v>
      </c>
      <c r="F16" s="9"/>
      <c r="G16" s="9"/>
    </row>
    <row r="17" spans="2:11" x14ac:dyDescent="0.3">
      <c r="B17" s="1">
        <v>46048</v>
      </c>
      <c r="C17" s="4">
        <v>158.1</v>
      </c>
      <c r="D17" s="4">
        <v>66.38</v>
      </c>
      <c r="E17" s="8">
        <f t="shared" si="0"/>
        <v>0.41986084756483238</v>
      </c>
      <c r="F17" s="9"/>
      <c r="G17" s="9"/>
    </row>
    <row r="18" spans="2:11" x14ac:dyDescent="0.3">
      <c r="B18" s="1">
        <v>46049</v>
      </c>
      <c r="C18" s="4">
        <v>155.44999999999999</v>
      </c>
      <c r="D18" s="4">
        <v>65.42</v>
      </c>
      <c r="E18" s="8">
        <f t="shared" si="0"/>
        <v>0.42084271469926027</v>
      </c>
      <c r="F18" s="9"/>
      <c r="G18" s="9"/>
    </row>
    <row r="19" spans="2:11" x14ac:dyDescent="0.3">
      <c r="B19" s="1">
        <v>46050</v>
      </c>
      <c r="C19" s="4">
        <v>154.31</v>
      </c>
      <c r="D19" s="4">
        <v>64.87</v>
      </c>
      <c r="E19" s="8">
        <f t="shared" si="0"/>
        <v>0.4203875315922494</v>
      </c>
      <c r="F19" s="9"/>
      <c r="G19" s="9"/>
    </row>
    <row r="20" spans="2:11" x14ac:dyDescent="0.3">
      <c r="B20" s="1">
        <v>46051</v>
      </c>
      <c r="C20" s="4">
        <v>153.82</v>
      </c>
      <c r="D20" s="4">
        <v>64.680000000000007</v>
      </c>
      <c r="E20" s="8">
        <f t="shared" si="0"/>
        <v>0.42049148355220395</v>
      </c>
      <c r="F20" s="9"/>
      <c r="G20" s="9"/>
    </row>
    <row r="21" spans="2:11" x14ac:dyDescent="0.3">
      <c r="B21" s="1">
        <v>46052</v>
      </c>
      <c r="C21" s="4">
        <v>154.74</v>
      </c>
      <c r="D21" s="4">
        <v>64.97</v>
      </c>
      <c r="E21" s="8">
        <f t="shared" si="0"/>
        <v>0.41986558097453791</v>
      </c>
      <c r="F21" s="9">
        <f t="shared" ref="F21:F84" si="1">AVERAGE(E2:E21)</f>
        <v>0.42061084775462565</v>
      </c>
      <c r="G21" s="9">
        <f>AVERAGE(E:E)</f>
        <v>0.42024831369866478</v>
      </c>
      <c r="H21" s="4">
        <f>C21*F21</f>
        <v>65.08532258155077</v>
      </c>
      <c r="I21" s="4">
        <f>C21*G21</f>
        <v>65.029224061731398</v>
      </c>
      <c r="J21" s="11">
        <f>LN(H21/D21)</f>
        <v>1.7734393254596002E-3</v>
      </c>
      <c r="K21" s="11">
        <f>LN(I21/D21)</f>
        <v>9.1114491268849825E-4</v>
      </c>
    </row>
    <row r="22" spans="2:11" x14ac:dyDescent="0.3">
      <c r="B22" s="1">
        <v>46055</v>
      </c>
      <c r="C22" s="4">
        <v>155.69</v>
      </c>
      <c r="D22" s="4">
        <v>65.27</v>
      </c>
      <c r="E22" s="8">
        <f t="shared" si="0"/>
        <v>0.41923052219153445</v>
      </c>
      <c r="F22" s="9">
        <f t="shared" si="1"/>
        <v>0.42055764812309232</v>
      </c>
      <c r="G22" s="9">
        <f t="shared" ref="G22:G85" si="2">G21</f>
        <v>0.42024831369866478</v>
      </c>
      <c r="H22" s="4">
        <f>C22*F22</f>
        <v>65.476620236284248</v>
      </c>
      <c r="I22" s="4">
        <f>C22*G22</f>
        <v>65.428459959745112</v>
      </c>
      <c r="J22" s="11">
        <f>LN(H22/D22)</f>
        <v>3.1606233172871445E-3</v>
      </c>
      <c r="K22" s="11">
        <f>LN(I22/D22)</f>
        <v>2.4248187382764782E-3</v>
      </c>
    </row>
    <row r="23" spans="2:11" x14ac:dyDescent="0.3">
      <c r="B23" s="1">
        <v>46056</v>
      </c>
      <c r="C23" s="4">
        <v>154.1</v>
      </c>
      <c r="D23" s="4">
        <v>64.62</v>
      </c>
      <c r="E23" s="8">
        <f t="shared" si="0"/>
        <v>0.41933809214795592</v>
      </c>
      <c r="F23" s="9">
        <f t="shared" si="1"/>
        <v>0.42049127099674405</v>
      </c>
      <c r="G23" s="9">
        <f t="shared" si="2"/>
        <v>0.42024831369866478</v>
      </c>
      <c r="H23" s="4">
        <f>C23*F23</f>
        <v>64.797704860598259</v>
      </c>
      <c r="I23" s="4">
        <f>C23*G23</f>
        <v>64.760265140964236</v>
      </c>
      <c r="J23" s="11">
        <f>LN(H23/D23)</f>
        <v>2.7462235166874739E-3</v>
      </c>
      <c r="K23" s="11">
        <f>LN(I23/D23)</f>
        <v>2.1682626135371436E-3</v>
      </c>
    </row>
    <row r="24" spans="2:11" x14ac:dyDescent="0.3">
      <c r="B24" s="1">
        <v>46057</v>
      </c>
      <c r="C24" s="4">
        <v>156.03</v>
      </c>
      <c r="D24" s="4">
        <v>65.510000000000005</v>
      </c>
      <c r="E24" s="8">
        <f t="shared" si="0"/>
        <v>0.41985515605973212</v>
      </c>
      <c r="F24" s="9">
        <f t="shared" si="1"/>
        <v>0.4204264033964793</v>
      </c>
      <c r="G24" s="9">
        <f t="shared" si="2"/>
        <v>0.42024831369866478</v>
      </c>
      <c r="H24" s="4">
        <f>C24*F24</f>
        <v>65.599131721952659</v>
      </c>
      <c r="I24" s="4">
        <f>C24*G24</f>
        <v>65.571344386402671</v>
      </c>
      <c r="J24" s="11">
        <f>LN(H24/D24)</f>
        <v>1.3596571728188291E-3</v>
      </c>
      <c r="K24" s="11">
        <f>LN(I24/D24)</f>
        <v>9.3597439312531692E-4</v>
      </c>
    </row>
    <row r="25" spans="2:11" x14ac:dyDescent="0.3">
      <c r="B25" s="1">
        <v>46058</v>
      </c>
      <c r="C25" s="4">
        <v>154.84</v>
      </c>
      <c r="D25" s="4">
        <v>64.680000000000007</v>
      </c>
      <c r="E25" s="8">
        <f t="shared" si="0"/>
        <v>0.41772151898734183</v>
      </c>
      <c r="F25" s="9">
        <f t="shared" si="1"/>
        <v>0.42022704780381959</v>
      </c>
      <c r="G25" s="9">
        <f t="shared" si="2"/>
        <v>0.42024831369866478</v>
      </c>
      <c r="H25" s="4">
        <f>C25*F25</f>
        <v>65.067956081943422</v>
      </c>
      <c r="I25" s="4">
        <f>C25*G25</f>
        <v>65.071248893101256</v>
      </c>
      <c r="J25" s="11">
        <f>LN(H25/D25)</f>
        <v>5.9801672387722405E-3</v>
      </c>
      <c r="K25" s="11">
        <f>LN(I25/D25)</f>
        <v>6.030771684360595E-3</v>
      </c>
    </row>
    <row r="26" spans="2:11" x14ac:dyDescent="0.3">
      <c r="B26" s="1">
        <v>46059</v>
      </c>
      <c r="C26" s="4">
        <v>157.71</v>
      </c>
      <c r="D26" s="4">
        <v>65.86</v>
      </c>
      <c r="E26" s="8">
        <f t="shared" si="0"/>
        <v>0.41760192758861198</v>
      </c>
      <c r="F26" s="9">
        <f t="shared" si="1"/>
        <v>0.42003770325231171</v>
      </c>
      <c r="G26" s="9">
        <f t="shared" si="2"/>
        <v>0.42024831369866478</v>
      </c>
      <c r="H26" s="4">
        <f>C26*F26</f>
        <v>66.244146179922083</v>
      </c>
      <c r="I26" s="4">
        <f>C26*G26</f>
        <v>66.277361553416426</v>
      </c>
      <c r="J26" s="11">
        <f>LN(H26/D26)</f>
        <v>5.8158244658325538E-3</v>
      </c>
      <c r="K26" s="11">
        <f>LN(I26/D26)</f>
        <v>6.3171072350677229E-3</v>
      </c>
    </row>
    <row r="27" spans="2:11" x14ac:dyDescent="0.3">
      <c r="B27" s="1">
        <v>46062</v>
      </c>
      <c r="C27" s="4">
        <v>156.32</v>
      </c>
      <c r="D27" s="4">
        <v>65.25</v>
      </c>
      <c r="E27" s="8">
        <f t="shared" si="0"/>
        <v>0.41741299897645856</v>
      </c>
      <c r="F27" s="9">
        <f t="shared" si="1"/>
        <v>0.41982895583288082</v>
      </c>
      <c r="G27" s="9">
        <f t="shared" si="2"/>
        <v>0.42024831369866478</v>
      </c>
      <c r="H27" s="4">
        <f>C27*F27</f>
        <v>65.627662375795921</v>
      </c>
      <c r="I27" s="4">
        <f>C27*G27</f>
        <v>65.693216397375281</v>
      </c>
      <c r="J27" s="11">
        <f>LN(H27/D27)</f>
        <v>5.7712434220014595E-3</v>
      </c>
      <c r="K27" s="11">
        <f>LN(I27/D27)</f>
        <v>6.7696227754892877E-3</v>
      </c>
    </row>
    <row r="28" spans="2:11" x14ac:dyDescent="0.3">
      <c r="B28" s="1">
        <v>46063</v>
      </c>
      <c r="C28" s="4">
        <v>155.33000000000001</v>
      </c>
      <c r="D28" s="4">
        <v>64.91</v>
      </c>
      <c r="E28" s="8">
        <f t="shared" si="0"/>
        <v>0.41788450395931237</v>
      </c>
      <c r="F28" s="9">
        <f t="shared" si="1"/>
        <v>0.41969446073601863</v>
      </c>
      <c r="G28" s="9">
        <f t="shared" si="2"/>
        <v>0.42024831369866478</v>
      </c>
      <c r="H28" s="4">
        <f>C28*F28</f>
        <v>65.191140586125783</v>
      </c>
      <c r="I28" s="4">
        <f>C28*G28</f>
        <v>65.277170566813609</v>
      </c>
      <c r="J28" s="11">
        <f>LN(H28/D28)</f>
        <v>4.3218840737347082E-3</v>
      </c>
      <c r="K28" s="11">
        <f>LN(I28/D28)</f>
        <v>5.6406716382583454E-3</v>
      </c>
    </row>
    <row r="29" spans="2:11" x14ac:dyDescent="0.3">
      <c r="B29" s="1">
        <v>46064</v>
      </c>
      <c r="C29" s="4">
        <v>156.25</v>
      </c>
      <c r="D29" s="4">
        <v>65.23</v>
      </c>
      <c r="E29" s="8">
        <f t="shared" si="0"/>
        <v>0.41747200000000001</v>
      </c>
      <c r="F29" s="9">
        <f t="shared" si="1"/>
        <v>0.41953641597399238</v>
      </c>
      <c r="G29" s="9">
        <f t="shared" si="2"/>
        <v>0.42024831369866478</v>
      </c>
      <c r="H29" s="4">
        <f>C29*F29</f>
        <v>65.552564995936308</v>
      </c>
      <c r="I29" s="4">
        <f>C29*G29</f>
        <v>65.663799015416373</v>
      </c>
      <c r="J29" s="11">
        <f>LN(H29/D29)</f>
        <v>4.9328540089198271E-3</v>
      </c>
      <c r="K29" s="11">
        <f>LN(I29/D29)</f>
        <v>6.6282834923255861E-3</v>
      </c>
    </row>
    <row r="30" spans="2:11" x14ac:dyDescent="0.3">
      <c r="B30" s="1">
        <v>46065</v>
      </c>
      <c r="C30" s="4">
        <v>156</v>
      </c>
      <c r="D30" s="4">
        <v>65.09</v>
      </c>
      <c r="E30" s="8">
        <f t="shared" si="0"/>
        <v>0.41724358974358977</v>
      </c>
      <c r="F30" s="9">
        <f t="shared" si="1"/>
        <v>0.41937997136387051</v>
      </c>
      <c r="G30" s="9">
        <f t="shared" si="2"/>
        <v>0.42024831369866478</v>
      </c>
      <c r="H30" s="4">
        <f>C30*F30</f>
        <v>65.423275532763796</v>
      </c>
      <c r="I30" s="4">
        <f>C30*G30</f>
        <v>65.558736936991707</v>
      </c>
      <c r="J30" s="11">
        <f>LN(H30/D30)</f>
        <v>5.1071625596432009E-3</v>
      </c>
      <c r="K30" s="11">
        <f>LN(I30/D30)</f>
        <v>7.1755603490604343E-3</v>
      </c>
    </row>
    <row r="31" spans="2:11" x14ac:dyDescent="0.3">
      <c r="B31" s="1">
        <v>46066</v>
      </c>
      <c r="C31" s="4">
        <v>157.66999999999999</v>
      </c>
      <c r="D31" s="4">
        <v>65.75</v>
      </c>
      <c r="E31" s="8">
        <f t="shared" si="0"/>
        <v>0.41701021120060888</v>
      </c>
      <c r="F31" s="9">
        <f t="shared" si="1"/>
        <v>0.41922194471696922</v>
      </c>
      <c r="G31" s="9">
        <f t="shared" si="2"/>
        <v>0.42024831369866478</v>
      </c>
      <c r="H31" s="4">
        <f>C31*F31</f>
        <v>66.098724023524525</v>
      </c>
      <c r="I31" s="4">
        <f>C31*G31</f>
        <v>66.260551620868469</v>
      </c>
      <c r="J31" s="11">
        <f>LN(H31/D31)</f>
        <v>5.2897718846201371E-3</v>
      </c>
      <c r="K31" s="11">
        <f>LN(I31/D31)</f>
        <v>7.7350508753357061E-3</v>
      </c>
    </row>
    <row r="32" spans="2:11" x14ac:dyDescent="0.3">
      <c r="B32" s="1">
        <v>46070</v>
      </c>
      <c r="C32" s="4">
        <v>157.37</v>
      </c>
      <c r="D32" s="4">
        <v>65.709999999999994</v>
      </c>
      <c r="E32" s="8">
        <f t="shared" si="0"/>
        <v>0.4175509944716273</v>
      </c>
      <c r="F32" s="9">
        <f t="shared" si="1"/>
        <v>0.41908048840485013</v>
      </c>
      <c r="G32" s="9">
        <f t="shared" si="2"/>
        <v>0.42024831369866478</v>
      </c>
      <c r="H32" s="4">
        <f>C32*F32</f>
        <v>65.95069646027126</v>
      </c>
      <c r="I32" s="4">
        <f>C32*G32</f>
        <v>66.134477126758881</v>
      </c>
      <c r="J32" s="11">
        <f>LN(H32/D32)</f>
        <v>3.6563186264635299E-3</v>
      </c>
      <c r="K32" s="11">
        <f>LN(I32/D32)</f>
        <v>6.4390803868160738E-3</v>
      </c>
    </row>
    <row r="33" spans="2:11" x14ac:dyDescent="0.3">
      <c r="B33" s="1">
        <v>46071</v>
      </c>
      <c r="C33" s="4">
        <v>157.66999999999999</v>
      </c>
      <c r="D33" s="4">
        <v>65.84</v>
      </c>
      <c r="E33" s="8">
        <f t="shared" si="0"/>
        <v>0.41758102365700517</v>
      </c>
      <c r="F33" s="9">
        <f t="shared" si="1"/>
        <v>0.4189299385580994</v>
      </c>
      <c r="G33" s="9">
        <f t="shared" si="2"/>
        <v>0.42024831369866478</v>
      </c>
      <c r="H33" s="4">
        <f>C33*F33</f>
        <v>66.052683412455522</v>
      </c>
      <c r="I33" s="4">
        <f>C33*G33</f>
        <v>66.260551620868469</v>
      </c>
      <c r="J33" s="11">
        <f>LN(H33/D33)</f>
        <v>3.2251007607238345E-3</v>
      </c>
      <c r="K33" s="11">
        <f>LN(I33/D33)</f>
        <v>6.3671655643953813E-3</v>
      </c>
    </row>
    <row r="34" spans="2:11" x14ac:dyDescent="0.3">
      <c r="B34" s="1">
        <v>46072</v>
      </c>
      <c r="C34" s="4">
        <v>157.26</v>
      </c>
      <c r="D34" s="4">
        <v>65.73</v>
      </c>
      <c r="E34" s="8">
        <f t="shared" si="0"/>
        <v>0.41797024036627245</v>
      </c>
      <c r="F34" s="9">
        <f t="shared" si="1"/>
        <v>0.41880924167966083</v>
      </c>
      <c r="G34" s="9">
        <f t="shared" si="2"/>
        <v>0.42024831369866478</v>
      </c>
      <c r="H34" s="4">
        <f>C34*F34</f>
        <v>65.86194134654346</v>
      </c>
      <c r="I34" s="4">
        <f>C34*G34</f>
        <v>66.088249812252016</v>
      </c>
      <c r="J34" s="11">
        <f>LN(H34/D34)</f>
        <v>2.0053111065568433E-3</v>
      </c>
      <c r="K34" s="11">
        <f>LN(I34/D34)</f>
        <v>5.4355249717043183E-3</v>
      </c>
    </row>
    <row r="35" spans="2:11" x14ac:dyDescent="0.3">
      <c r="B35" s="1">
        <v>46073</v>
      </c>
      <c r="C35" s="4">
        <v>156.82</v>
      </c>
      <c r="D35" s="4">
        <v>65.58</v>
      </c>
      <c r="E35" s="8">
        <f t="shared" si="0"/>
        <v>0.41818645580920799</v>
      </c>
      <c r="F35" s="9">
        <f t="shared" si="1"/>
        <v>0.41868438669515118</v>
      </c>
      <c r="G35" s="9">
        <f t="shared" si="2"/>
        <v>0.42024831369866478</v>
      </c>
      <c r="H35" s="4">
        <f>C35*F35</f>
        <v>65.658085521533607</v>
      </c>
      <c r="I35" s="4">
        <f>C35*G35</f>
        <v>65.903340554224613</v>
      </c>
      <c r="J35" s="11">
        <f>LN(H35/D35)</f>
        <v>1.1899827772978322E-3</v>
      </c>
      <c r="K35" s="11">
        <f>LN(I35/D35)</f>
        <v>4.9183600700930894E-3</v>
      </c>
    </row>
    <row r="36" spans="2:11" x14ac:dyDescent="0.3">
      <c r="B36" s="1">
        <v>46076</v>
      </c>
      <c r="C36" s="4">
        <v>158.54</v>
      </c>
      <c r="D36" s="4">
        <v>66.2</v>
      </c>
      <c r="E36" s="8">
        <f t="shared" si="0"/>
        <v>0.41756023716412266</v>
      </c>
      <c r="F36" s="9">
        <f t="shared" si="1"/>
        <v>0.41855338153532323</v>
      </c>
      <c r="G36" s="9">
        <f t="shared" si="2"/>
        <v>0.42024831369866478</v>
      </c>
      <c r="H36" s="4">
        <f>C36*F36</f>
        <v>66.357453108610144</v>
      </c>
      <c r="I36" s="4">
        <f>C36*G36</f>
        <v>66.626167653786311</v>
      </c>
      <c r="J36" s="11">
        <f>LN(H36/D36)</f>
        <v>2.3756217242803671E-3</v>
      </c>
      <c r="K36" s="11">
        <f>LN(I36/D36)</f>
        <v>6.4169451498666047E-3</v>
      </c>
    </row>
    <row r="37" spans="2:11" x14ac:dyDescent="0.3">
      <c r="B37" s="1">
        <v>46077</v>
      </c>
      <c r="C37" s="4">
        <v>157.87</v>
      </c>
      <c r="D37" s="4">
        <v>66.02</v>
      </c>
      <c r="E37" s="8">
        <f t="shared" si="0"/>
        <v>0.41819218344207254</v>
      </c>
      <c r="F37" s="9">
        <f t="shared" si="1"/>
        <v>0.41846994832918527</v>
      </c>
      <c r="G37" s="9">
        <f t="shared" si="2"/>
        <v>0.42024831369866478</v>
      </c>
      <c r="H37" s="4">
        <f>C37*F37</f>
        <v>66.063850742728476</v>
      </c>
      <c r="I37" s="4">
        <f>C37*G37</f>
        <v>66.344601283608213</v>
      </c>
      <c r="J37" s="11">
        <f>LN(H37/D37)</f>
        <v>6.6398343314415882E-4</v>
      </c>
      <c r="K37" s="11">
        <f>LN(I37/D37)</f>
        <v>4.9046638024081374E-3</v>
      </c>
    </row>
    <row r="38" spans="2:11" x14ac:dyDescent="0.3">
      <c r="B38" s="1">
        <v>46078</v>
      </c>
      <c r="C38" s="4">
        <v>157.83000000000001</v>
      </c>
      <c r="D38" s="4">
        <v>65.94</v>
      </c>
      <c r="E38" s="8">
        <f t="shared" si="0"/>
        <v>0.41779129443071655</v>
      </c>
      <c r="F38" s="9">
        <f t="shared" si="1"/>
        <v>0.41831737731575813</v>
      </c>
      <c r="G38" s="9">
        <f t="shared" si="2"/>
        <v>0.42024831369866478</v>
      </c>
      <c r="H38" s="4">
        <f>C38*F38</f>
        <v>66.023031661746117</v>
      </c>
      <c r="I38" s="4">
        <f>C38*G38</f>
        <v>66.32779135106027</v>
      </c>
      <c r="J38" s="11">
        <f>LN(H38/D38)</f>
        <v>1.2584080807768218E-3</v>
      </c>
      <c r="K38" s="11">
        <f>LN(I38/D38)</f>
        <v>5.8637474510601665E-3</v>
      </c>
    </row>
    <row r="39" spans="2:11" x14ac:dyDescent="0.3">
      <c r="B39" s="1">
        <v>46079</v>
      </c>
      <c r="C39" s="4">
        <v>157.41999999999999</v>
      </c>
      <c r="D39" s="4">
        <v>65.77</v>
      </c>
      <c r="E39" s="8">
        <f t="shared" si="0"/>
        <v>0.4177995172150934</v>
      </c>
      <c r="F39" s="9">
        <f t="shared" si="1"/>
        <v>0.41818797659690032</v>
      </c>
      <c r="G39" s="9">
        <f t="shared" si="2"/>
        <v>0.42024831369866478</v>
      </c>
      <c r="H39" s="4">
        <f>C39*F39</f>
        <v>65.831151275884039</v>
      </c>
      <c r="I39" s="4">
        <f>C39*G39</f>
        <v>66.155489542443803</v>
      </c>
      <c r="J39" s="11">
        <f>LN(H39/D39)</f>
        <v>9.2934263404870568E-4</v>
      </c>
      <c r="K39" s="11">
        <f>LN(I39/D39)</f>
        <v>5.8440660848639104E-3</v>
      </c>
    </row>
    <row r="40" spans="2:11" x14ac:dyDescent="0.3">
      <c r="B40" s="1">
        <v>46080</v>
      </c>
      <c r="C40" s="4">
        <v>160.19999999999999</v>
      </c>
      <c r="D40" s="4">
        <v>66.84</v>
      </c>
      <c r="E40" s="8">
        <f t="shared" si="0"/>
        <v>0.4172284644194757</v>
      </c>
      <c r="F40" s="9">
        <f t="shared" si="1"/>
        <v>0.41802482564026383</v>
      </c>
      <c r="G40" s="9">
        <f t="shared" si="2"/>
        <v>0.42024831369866478</v>
      </c>
      <c r="H40" s="4">
        <f>C40*F40</f>
        <v>66.967577067570261</v>
      </c>
      <c r="I40" s="4">
        <f>C40*G40</f>
        <v>67.323779854526094</v>
      </c>
      <c r="J40" s="11">
        <f>LN(H40/D40)</f>
        <v>1.9068741699653571E-3</v>
      </c>
      <c r="K40" s="11">
        <f>LN(I40/D40)</f>
        <v>7.2118115908853019E-3</v>
      </c>
    </row>
    <row r="41" spans="2:11" x14ac:dyDescent="0.3">
      <c r="B41" s="1">
        <v>46083</v>
      </c>
      <c r="C41" s="4">
        <v>158.53</v>
      </c>
      <c r="D41" s="4">
        <v>66.08</v>
      </c>
      <c r="E41" s="8">
        <f t="shared" si="0"/>
        <v>0.41682962215353558</v>
      </c>
      <c r="F41" s="9">
        <f t="shared" si="1"/>
        <v>0.41787302769921375</v>
      </c>
      <c r="G41" s="9">
        <f t="shared" si="2"/>
        <v>0.42024831369866478</v>
      </c>
      <c r="H41" s="4">
        <f>C41*F41</f>
        <v>66.245411081156362</v>
      </c>
      <c r="I41" s="4">
        <f>C41*G41</f>
        <v>66.621965170649332</v>
      </c>
      <c r="J41" s="11">
        <f>LN(H41/D41)</f>
        <v>2.5000665550336913E-3</v>
      </c>
      <c r="K41" s="11">
        <f>LN(I41/D41)</f>
        <v>8.1682013262333424E-3</v>
      </c>
    </row>
    <row r="42" spans="2:11" x14ac:dyDescent="0.3">
      <c r="B42" s="1">
        <v>46084</v>
      </c>
      <c r="C42" s="4">
        <v>156.74</v>
      </c>
      <c r="D42" s="4">
        <v>65.36</v>
      </c>
      <c r="E42" s="8">
        <f t="shared" si="0"/>
        <v>0.41699629960444046</v>
      </c>
      <c r="F42" s="9">
        <f t="shared" si="1"/>
        <v>0.4177613165698591</v>
      </c>
      <c r="G42" s="9">
        <f t="shared" si="2"/>
        <v>0.42024831369866478</v>
      </c>
      <c r="H42" s="4">
        <f>C42*F42</f>
        <v>65.479908759159713</v>
      </c>
      <c r="I42" s="4">
        <f>C42*G42</f>
        <v>65.869720689128727</v>
      </c>
      <c r="J42" s="11">
        <f>LN(H42/D42)</f>
        <v>1.8329085348174465E-3</v>
      </c>
      <c r="K42" s="11">
        <f>LN(I42/D42)</f>
        <v>7.7684117567907449E-3</v>
      </c>
    </row>
    <row r="43" spans="2:11" x14ac:dyDescent="0.3">
      <c r="B43" s="1">
        <v>46085</v>
      </c>
      <c r="C43" s="4">
        <v>157.05000000000001</v>
      </c>
      <c r="D43" s="4">
        <v>65.510000000000005</v>
      </c>
      <c r="E43" s="8">
        <f t="shared" si="0"/>
        <v>0.41712830308818849</v>
      </c>
      <c r="F43" s="9">
        <f t="shared" si="1"/>
        <v>0.41765082711687063</v>
      </c>
      <c r="G43" s="9">
        <f t="shared" si="2"/>
        <v>0.42024831369866478</v>
      </c>
      <c r="H43" s="4">
        <f>C43*F43</f>
        <v>65.592062398704542</v>
      </c>
      <c r="I43" s="4">
        <f>C43*G43</f>
        <v>65.999997666375307</v>
      </c>
      <c r="J43" s="11">
        <f>LN(H43/D43)</f>
        <v>1.2518858654174221E-3</v>
      </c>
      <c r="K43" s="11">
        <f>LN(I43/D43)</f>
        <v>7.4519039246898604E-3</v>
      </c>
    </row>
    <row r="44" spans="2:11" x14ac:dyDescent="0.3">
      <c r="B44" s="1">
        <v>46086</v>
      </c>
      <c r="C44" s="4">
        <v>153.91</v>
      </c>
      <c r="D44" s="4">
        <v>64.290000000000006</v>
      </c>
      <c r="E44" s="8">
        <f t="shared" si="0"/>
        <v>0.41771164966538893</v>
      </c>
      <c r="F44" s="9">
        <f t="shared" si="1"/>
        <v>0.41754365179715353</v>
      </c>
      <c r="G44" s="9">
        <f t="shared" si="2"/>
        <v>0.42024831369866478</v>
      </c>
      <c r="H44" s="4">
        <f>C44*F44</f>
        <v>64.264143448099901</v>
      </c>
      <c r="I44" s="4">
        <f>C44*G44</f>
        <v>64.680417961361499</v>
      </c>
      <c r="J44" s="11">
        <f>LN(H44/D44)</f>
        <v>-4.0226711571093561E-4</v>
      </c>
      <c r="K44" s="11">
        <f>LN(I44/D44)</f>
        <v>6.0543985220867869E-3</v>
      </c>
    </row>
    <row r="45" spans="2:11" x14ac:dyDescent="0.3">
      <c r="B45" s="1">
        <v>46087</v>
      </c>
      <c r="C45" s="4">
        <v>152.69999999999999</v>
      </c>
      <c r="D45" s="4">
        <v>63.81</v>
      </c>
      <c r="E45" s="8">
        <f t="shared" si="0"/>
        <v>0.41787819253438119</v>
      </c>
      <c r="F45" s="9">
        <f t="shared" si="1"/>
        <v>0.41755148547450549</v>
      </c>
      <c r="G45" s="9">
        <f t="shared" si="2"/>
        <v>0.42024831369866478</v>
      </c>
      <c r="H45" s="4">
        <f>C45*F45</f>
        <v>63.760111831956984</v>
      </c>
      <c r="I45" s="4">
        <f>C45*G45</f>
        <v>64.171917501786112</v>
      </c>
      <c r="J45" s="11">
        <f>LN(H45/D45)</f>
        <v>-7.8212944818761994E-4</v>
      </c>
      <c r="K45" s="11">
        <f>LN(I45/D45)</f>
        <v>5.6557750281507006E-3</v>
      </c>
    </row>
    <row r="46" spans="2:11" x14ac:dyDescent="0.3">
      <c r="B46" s="1">
        <v>46090</v>
      </c>
      <c r="C46" s="4">
        <v>154.26</v>
      </c>
      <c r="D46" s="4">
        <v>64.45</v>
      </c>
      <c r="E46" s="8">
        <f t="shared" si="0"/>
        <v>0.41780111500064832</v>
      </c>
      <c r="F46" s="9">
        <f t="shared" si="1"/>
        <v>0.41756144484510732</v>
      </c>
      <c r="G46" s="9">
        <f t="shared" si="2"/>
        <v>0.42024831369866478</v>
      </c>
      <c r="H46" s="4">
        <f>C46*F46</f>
        <v>64.413028481806251</v>
      </c>
      <c r="I46" s="4">
        <f>C46*G46</f>
        <v>64.827504871156023</v>
      </c>
      <c r="J46" s="11">
        <f>LN(H46/D46)</f>
        <v>-5.7381111780104097E-4</v>
      </c>
      <c r="K46" s="11">
        <f>LN(I46/D46)</f>
        <v>5.8402418044760217E-3</v>
      </c>
    </row>
    <row r="47" spans="2:11" x14ac:dyDescent="0.3">
      <c r="B47" s="1">
        <v>46091</v>
      </c>
      <c r="C47" s="4">
        <v>153.15</v>
      </c>
      <c r="D47" s="4">
        <v>64.05</v>
      </c>
      <c r="E47" s="8">
        <f t="shared" si="0"/>
        <v>0.4182174338883447</v>
      </c>
      <c r="F47" s="9">
        <f t="shared" si="1"/>
        <v>0.41760166659070153</v>
      </c>
      <c r="G47" s="9">
        <f t="shared" si="2"/>
        <v>0.42024831369866478</v>
      </c>
      <c r="H47" s="4">
        <f>C47*F47</f>
        <v>63.955695238365941</v>
      </c>
      <c r="I47" s="4">
        <f>C47*G47</f>
        <v>64.361029242950508</v>
      </c>
      <c r="J47" s="11">
        <f>LN(H47/D47)</f>
        <v>-1.4734466075138105E-3</v>
      </c>
      <c r="K47" s="11">
        <f>LN(I47/D47)</f>
        <v>4.844285619860448E-3</v>
      </c>
    </row>
    <row r="48" spans="2:11" x14ac:dyDescent="0.3">
      <c r="B48" s="1">
        <v>46092</v>
      </c>
      <c r="C48" s="4">
        <v>152.85</v>
      </c>
      <c r="D48" s="4">
        <v>63.88</v>
      </c>
      <c r="E48" s="8">
        <f t="shared" si="0"/>
        <v>0.41792607131174359</v>
      </c>
      <c r="F48" s="9">
        <f t="shared" si="1"/>
        <v>0.4176037449583232</v>
      </c>
      <c r="G48" s="9">
        <f t="shared" si="2"/>
        <v>0.42024831369866478</v>
      </c>
      <c r="H48" s="4">
        <f>C48*F48</f>
        <v>63.830732416879698</v>
      </c>
      <c r="I48" s="4">
        <f>C48*G48</f>
        <v>64.234954748840906</v>
      </c>
      <c r="J48" s="11">
        <f>LN(H48/D48)</f>
        <v>-7.7154965181025861E-4</v>
      </c>
      <c r="K48" s="11">
        <f>LN(I48/D48)</f>
        <v>5.5412056738512053E-3</v>
      </c>
    </row>
    <row r="49" spans="1:11" x14ac:dyDescent="0.3">
      <c r="B49" s="1">
        <v>46093</v>
      </c>
      <c r="C49" s="4">
        <v>150.16</v>
      </c>
      <c r="D49" s="4">
        <v>62.65</v>
      </c>
      <c r="E49" s="8">
        <f t="shared" si="0"/>
        <v>0.41722163026105485</v>
      </c>
      <c r="F49" s="9">
        <f t="shared" si="1"/>
        <v>0.41759122647137586</v>
      </c>
      <c r="G49" s="9">
        <f t="shared" si="2"/>
        <v>0.42024831369866478</v>
      </c>
      <c r="H49" s="4">
        <f>C49*F49</f>
        <v>62.705498566941799</v>
      </c>
      <c r="I49" s="4">
        <f>C49*G49</f>
        <v>63.104486784991501</v>
      </c>
      <c r="J49" s="11">
        <f>LN(H49/D49)</f>
        <v>8.854588941423449E-4</v>
      </c>
      <c r="K49" s="11">
        <f>LN(I49/D49)</f>
        <v>7.2281916199955663E-3</v>
      </c>
    </row>
    <row r="50" spans="1:11" x14ac:dyDescent="0.3">
      <c r="B50" s="1">
        <v>46094</v>
      </c>
      <c r="C50" s="4">
        <v>149.79</v>
      </c>
      <c r="D50" s="4">
        <v>62.51</v>
      </c>
      <c r="E50" s="8">
        <f t="shared" si="0"/>
        <v>0.41731757794245278</v>
      </c>
      <c r="F50" s="9">
        <f t="shared" si="1"/>
        <v>0.41759492588131908</v>
      </c>
      <c r="G50" s="9">
        <f t="shared" si="2"/>
        <v>0.42024831369866478</v>
      </c>
      <c r="H50" s="4">
        <f>C50*F50</f>
        <v>62.551543947762781</v>
      </c>
      <c r="I50" s="4">
        <f>C50*G50</f>
        <v>62.948994908922991</v>
      </c>
      <c r="J50" s="11">
        <f>LN(H50/D50)</f>
        <v>6.6437608203924914E-4</v>
      </c>
      <c r="K50" s="11">
        <f>LN(I50/D50)</f>
        <v>6.9982499207259319E-3</v>
      </c>
    </row>
    <row r="51" spans="1:11" x14ac:dyDescent="0.3">
      <c r="B51" s="1">
        <v>46097</v>
      </c>
      <c r="C51" s="4">
        <v>151.01</v>
      </c>
      <c r="D51" s="4">
        <v>63.03</v>
      </c>
      <c r="E51" s="8">
        <f t="shared" si="0"/>
        <v>0.41738957684921529</v>
      </c>
      <c r="F51" s="9">
        <f t="shared" si="1"/>
        <v>0.41761389416374933</v>
      </c>
      <c r="G51" s="9">
        <f t="shared" si="2"/>
        <v>0.42024831369866478</v>
      </c>
      <c r="H51" s="4">
        <f>C51*F51</f>
        <v>63.063874157667783</v>
      </c>
      <c r="I51" s="4">
        <f>C51*G51</f>
        <v>63.461697851635364</v>
      </c>
      <c r="J51" s="11">
        <f>LN(H51/D51)</f>
        <v>5.3728476040500086E-4</v>
      </c>
      <c r="K51" s="11">
        <f>LN(I51/D51)</f>
        <v>6.8257369464984645E-3</v>
      </c>
    </row>
    <row r="52" spans="1:11" x14ac:dyDescent="0.3">
      <c r="A52" s="6">
        <v>0.19481999999999999</v>
      </c>
      <c r="B52" s="1">
        <v>46098</v>
      </c>
      <c r="C52" s="4">
        <v>149.63999999999999</v>
      </c>
      <c r="D52" s="4">
        <f>+A52+62.34</f>
        <v>62.534820000000003</v>
      </c>
      <c r="E52" s="8">
        <f t="shared" si="0"/>
        <v>0.41790176423416203</v>
      </c>
      <c r="F52" s="9">
        <f t="shared" si="1"/>
        <v>0.41763143265187608</v>
      </c>
      <c r="G52" s="9">
        <f t="shared" si="2"/>
        <v>0.42024831369866478</v>
      </c>
      <c r="H52" s="4">
        <f>C52*F52</f>
        <v>62.494367582026733</v>
      </c>
      <c r="I52" s="4">
        <f>C52*G52</f>
        <v>62.88595766186819</v>
      </c>
      <c r="J52" s="11">
        <f>LN(H52/D52)</f>
        <v>-6.4708761477411147E-4</v>
      </c>
      <c r="K52" s="11">
        <f>LN(I52/D52)</f>
        <v>5.5993685551400697E-3</v>
      </c>
    </row>
    <row r="53" spans="1:11" x14ac:dyDescent="0.3">
      <c r="B53" s="1">
        <v>46099</v>
      </c>
      <c r="C53" s="4">
        <v>147.13999999999999</v>
      </c>
      <c r="D53" s="4">
        <f>+A52+61.39</f>
        <v>61.584820000000001</v>
      </c>
      <c r="E53" s="8">
        <f t="shared" si="0"/>
        <v>0.4185457387522088</v>
      </c>
      <c r="F53" s="9">
        <f t="shared" si="1"/>
        <v>0.41767966840663628</v>
      </c>
      <c r="G53" s="9">
        <f t="shared" si="2"/>
        <v>0.42024831369866478</v>
      </c>
      <c r="H53" s="4">
        <f>C53*F53</f>
        <v>61.457386409352459</v>
      </c>
      <c r="I53" s="4">
        <f>C53*G53</f>
        <v>61.835336877621529</v>
      </c>
      <c r="J53" s="11">
        <f>LN(H53/D53)</f>
        <v>-2.0713808688972114E-3</v>
      </c>
      <c r="K53" s="11">
        <f>LN(I53/D53)</f>
        <v>4.0595835884017087E-3</v>
      </c>
    </row>
    <row r="54" spans="1:11" x14ac:dyDescent="0.3">
      <c r="B54" s="1">
        <v>46100</v>
      </c>
      <c r="C54" s="4">
        <v>146.61000000000001</v>
      </c>
      <c r="D54" s="4">
        <f>+A52+61.18</f>
        <v>61.37482</v>
      </c>
      <c r="E54" s="8">
        <f t="shared" si="0"/>
        <v>0.41862642384557663</v>
      </c>
      <c r="F54" s="9">
        <f t="shared" si="1"/>
        <v>0.41771247758060148</v>
      </c>
      <c r="G54" s="9">
        <f t="shared" si="2"/>
        <v>0.42024831369866478</v>
      </c>
      <c r="H54" s="4">
        <f>C54*F54</f>
        <v>61.240826338091992</v>
      </c>
      <c r="I54" s="4">
        <f>C54*G54</f>
        <v>61.612605271361247</v>
      </c>
      <c r="J54" s="11">
        <f>LN(H54/D54)</f>
        <v>-2.1855891845474328E-3</v>
      </c>
      <c r="K54" s="11">
        <f>LN(I54/D54)</f>
        <v>3.8668273138326974E-3</v>
      </c>
    </row>
    <row r="55" spans="1:11" x14ac:dyDescent="0.3">
      <c r="B55" s="1">
        <v>46101</v>
      </c>
      <c r="C55" s="4">
        <v>145.33000000000001</v>
      </c>
      <c r="D55" s="4">
        <f>+A52+60.62</f>
        <v>60.814819999999997</v>
      </c>
      <c r="E55" s="8">
        <f t="shared" si="0"/>
        <v>0.4184601940411477</v>
      </c>
      <c r="F55" s="9">
        <f t="shared" si="1"/>
        <v>0.41772616449219846</v>
      </c>
      <c r="G55" s="9">
        <f t="shared" si="2"/>
        <v>0.42024831369866478</v>
      </c>
      <c r="H55" s="4">
        <f>C55*F55</f>
        <v>60.708143485651206</v>
      </c>
      <c r="I55" s="4">
        <f>C55*G55</f>
        <v>61.074687429826959</v>
      </c>
      <c r="J55" s="11">
        <f>LN(H55/D55)</f>
        <v>-1.7556606371359274E-3</v>
      </c>
      <c r="K55" s="11">
        <f>LN(I55/D55)</f>
        <v>4.2639900519821725E-3</v>
      </c>
    </row>
    <row r="56" spans="1:11" x14ac:dyDescent="0.3">
      <c r="A56" s="6" t="s">
        <v>20</v>
      </c>
      <c r="B56" s="1">
        <v>46104</v>
      </c>
      <c r="C56" s="4">
        <v>144.77000000000001</v>
      </c>
      <c r="D56" s="4">
        <v>60.7</v>
      </c>
      <c r="E56" s="8">
        <f t="shared" si="0"/>
        <v>0.41928576362506043</v>
      </c>
      <c r="F56" s="9">
        <f t="shared" si="1"/>
        <v>0.41781244081524543</v>
      </c>
      <c r="G56" s="9">
        <f t="shared" si="2"/>
        <v>0.42024831369866478</v>
      </c>
      <c r="H56" s="4">
        <f>C56*F56</f>
        <v>60.486707056823086</v>
      </c>
      <c r="I56" s="4">
        <f>C56*G56</f>
        <v>60.839348374155705</v>
      </c>
      <c r="J56" s="11">
        <f>LN(H56/D56)</f>
        <v>-3.5200752392479683E-3</v>
      </c>
      <c r="K56" s="11">
        <f>LN(I56/D56)</f>
        <v>2.2930587843190959E-3</v>
      </c>
    </row>
    <row r="57" spans="1:11" x14ac:dyDescent="0.3">
      <c r="B57" s="1">
        <v>46105</v>
      </c>
      <c r="C57" s="4">
        <v>144.79</v>
      </c>
      <c r="D57" s="4">
        <v>60.62</v>
      </c>
      <c r="E57" s="8">
        <f t="shared" si="0"/>
        <v>0.41867532288141446</v>
      </c>
      <c r="F57" s="9">
        <f t="shared" si="1"/>
        <v>0.41783659778721249</v>
      </c>
      <c r="G57" s="9">
        <f t="shared" si="2"/>
        <v>0.42024831369866478</v>
      </c>
      <c r="H57" s="4">
        <f>C57*F57</f>
        <v>60.498560993610496</v>
      </c>
      <c r="I57" s="4">
        <f>C57*G57</f>
        <v>60.847753340429669</v>
      </c>
      <c r="J57" s="11">
        <f>LN(H57/D57)</f>
        <v>-2.0052921053129338E-3</v>
      </c>
      <c r="K57" s="11">
        <f>LN(I57/D57)</f>
        <v>3.7500258474926712E-3</v>
      </c>
    </row>
    <row r="58" spans="1:11" x14ac:dyDescent="0.3">
      <c r="B58" s="1">
        <v>46106</v>
      </c>
      <c r="C58" s="4">
        <v>146.24</v>
      </c>
      <c r="D58" s="4">
        <v>61.34</v>
      </c>
      <c r="E58" s="8">
        <f t="shared" si="0"/>
        <v>0.41944748358862144</v>
      </c>
      <c r="F58" s="9">
        <f t="shared" si="1"/>
        <v>0.41791940724510768</v>
      </c>
      <c r="G58" s="9">
        <f t="shared" si="2"/>
        <v>0.42024831369866478</v>
      </c>
      <c r="H58" s="4">
        <f>C58*F58</f>
        <v>61.116534115524551</v>
      </c>
      <c r="I58" s="4">
        <f>C58*G58</f>
        <v>61.457113395292744</v>
      </c>
      <c r="J58" s="11">
        <f>LN(H58/D58)</f>
        <v>-3.6497216607557169E-3</v>
      </c>
      <c r="K58" s="11">
        <f>LN(I58/D58)</f>
        <v>1.90742970355383E-3</v>
      </c>
    </row>
    <row r="59" spans="1:11" x14ac:dyDescent="0.3">
      <c r="B59" s="1">
        <v>46107</v>
      </c>
      <c r="C59" s="4">
        <v>145.74</v>
      </c>
      <c r="D59" s="4">
        <v>61.14</v>
      </c>
      <c r="E59" s="8">
        <f t="shared" si="0"/>
        <v>0.41951420337587481</v>
      </c>
      <c r="F59" s="9">
        <f t="shared" si="1"/>
        <v>0.41800514155314683</v>
      </c>
      <c r="G59" s="9">
        <f t="shared" si="2"/>
        <v>0.42024831369866478</v>
      </c>
      <c r="H59" s="4">
        <f>C59*F59</f>
        <v>60.920069329955624</v>
      </c>
      <c r="I59" s="4">
        <f>C59*G59</f>
        <v>61.246989238443412</v>
      </c>
      <c r="J59" s="11">
        <f>LN(H59/D59)</f>
        <v>-3.6036503872019288E-3</v>
      </c>
      <c r="K59" s="11">
        <f>LN(I59/D59)</f>
        <v>1.7483764632671517E-3</v>
      </c>
    </row>
    <row r="60" spans="1:11" x14ac:dyDescent="0.3">
      <c r="B60" s="1">
        <v>46108</v>
      </c>
      <c r="C60" s="4">
        <v>143.26</v>
      </c>
      <c r="D60" s="4">
        <v>60.06</v>
      </c>
      <c r="E60" s="8">
        <f t="shared" si="0"/>
        <v>0.41923774954627951</v>
      </c>
      <c r="F60" s="9">
        <f t="shared" si="1"/>
        <v>0.41810560580948702</v>
      </c>
      <c r="G60" s="9">
        <f t="shared" si="2"/>
        <v>0.42024831369866478</v>
      </c>
      <c r="H60" s="4">
        <f>C60*F60</f>
        <v>59.89780908826711</v>
      </c>
      <c r="I60" s="4">
        <f>C60*G60</f>
        <v>60.204773420470715</v>
      </c>
      <c r="J60" s="11">
        <f>LN(H60/D60)</f>
        <v>-2.7041342585123061E-3</v>
      </c>
      <c r="K60" s="11">
        <f>LN(I60/D60)</f>
        <v>2.407579314940231E-3</v>
      </c>
    </row>
    <row r="61" spans="1:11" x14ac:dyDescent="0.3">
      <c r="B61" s="1">
        <v>46111</v>
      </c>
      <c r="C61" s="4">
        <v>143.82</v>
      </c>
      <c r="D61" s="4">
        <v>60.35</v>
      </c>
      <c r="E61" s="8">
        <f t="shared" si="0"/>
        <v>0.4196217494089835</v>
      </c>
      <c r="F61" s="9">
        <f t="shared" si="1"/>
        <v>0.41824521217225941</v>
      </c>
      <c r="G61" s="9">
        <f t="shared" si="2"/>
        <v>0.42024831369866478</v>
      </c>
      <c r="H61" s="4">
        <f>C61*F61</f>
        <v>60.152026414614348</v>
      </c>
      <c r="I61" s="4">
        <f>C61*G61</f>
        <v>60.440112476141962</v>
      </c>
      <c r="J61" s="11">
        <f>LN(H61/D61)</f>
        <v>-3.2858163368041618E-3</v>
      </c>
      <c r="K61" s="11">
        <f>LN(I61/D61)</f>
        <v>1.4920508146268302E-3</v>
      </c>
    </row>
    <row r="62" spans="1:11" x14ac:dyDescent="0.3">
      <c r="B62" s="1">
        <v>46112</v>
      </c>
      <c r="C62" s="4">
        <v>146.61000000000001</v>
      </c>
      <c r="D62" s="4">
        <v>61.64</v>
      </c>
      <c r="E62" s="8">
        <f t="shared" si="0"/>
        <v>0.4204351681331423</v>
      </c>
      <c r="F62" s="9">
        <f t="shared" si="1"/>
        <v>0.41841715559869447</v>
      </c>
      <c r="G62" s="9">
        <f t="shared" si="2"/>
        <v>0.42024831369866478</v>
      </c>
      <c r="H62" s="4">
        <f>C62*F62</f>
        <v>61.344139182324604</v>
      </c>
      <c r="I62" s="4">
        <f>C62*G62</f>
        <v>61.612605271361247</v>
      </c>
      <c r="J62" s="11">
        <f>LN(H62/D62)</f>
        <v>-4.811374708811645E-3</v>
      </c>
      <c r="K62" s="11">
        <f>LN(I62/D62)</f>
        <v>-4.4452981792235743E-4</v>
      </c>
    </row>
    <row r="63" spans="1:11" x14ac:dyDescent="0.3">
      <c r="B63" s="1">
        <v>46113</v>
      </c>
      <c r="C63" s="4">
        <v>147.72999999999999</v>
      </c>
      <c r="D63" s="4">
        <v>62.12</v>
      </c>
      <c r="E63" s="8">
        <f t="shared" si="0"/>
        <v>0.42049685236580248</v>
      </c>
      <c r="F63" s="9">
        <f t="shared" si="1"/>
        <v>0.41858558306257515</v>
      </c>
      <c r="G63" s="9">
        <f t="shared" si="2"/>
        <v>0.42024831369866478</v>
      </c>
      <c r="H63" s="4">
        <f>C63*F63</f>
        <v>61.837648185834226</v>
      </c>
      <c r="I63" s="4">
        <f>C63*G63</f>
        <v>62.08328338270374</v>
      </c>
      <c r="J63" s="11">
        <f>LN(H63/D63)</f>
        <v>-4.5556253546088004E-3</v>
      </c>
      <c r="K63" s="11">
        <f>LN(I63/D63)</f>
        <v>-5.912342631502138E-4</v>
      </c>
    </row>
    <row r="64" spans="1:11" x14ac:dyDescent="0.3">
      <c r="B64" s="1">
        <v>46114</v>
      </c>
      <c r="C64" s="4">
        <v>146.81</v>
      </c>
      <c r="D64" s="4">
        <v>61.65</v>
      </c>
      <c r="E64" s="8">
        <f t="shared" si="0"/>
        <v>0.41993052244397516</v>
      </c>
      <c r="F64" s="9">
        <f t="shared" si="1"/>
        <v>0.41869652670150453</v>
      </c>
      <c r="G64" s="9">
        <f t="shared" si="2"/>
        <v>0.42024831369866478</v>
      </c>
      <c r="H64" s="4">
        <f>C64*F64</f>
        <v>61.46883708504788</v>
      </c>
      <c r="I64" s="4">
        <f>C64*G64</f>
        <v>61.696654934100977</v>
      </c>
      <c r="J64" s="11">
        <f>LN(H64/D64)</f>
        <v>-2.9428972850989925E-3</v>
      </c>
      <c r="K64" s="11">
        <f>LN(I64/D64)</f>
        <v>7.5648482483514125E-4</v>
      </c>
    </row>
    <row r="65" spans="2:11" x14ac:dyDescent="0.3">
      <c r="B65" s="1">
        <v>46118</v>
      </c>
      <c r="C65" s="4">
        <v>146.28</v>
      </c>
      <c r="D65" s="4">
        <v>61.5</v>
      </c>
      <c r="E65" s="8">
        <f t="shared" si="0"/>
        <v>0.42042657916324855</v>
      </c>
      <c r="F65" s="9">
        <f t="shared" si="1"/>
        <v>0.41882394603294781</v>
      </c>
      <c r="G65" s="9">
        <f t="shared" si="2"/>
        <v>0.42024831369866478</v>
      </c>
      <c r="H65" s="4">
        <f>C65*F65</f>
        <v>61.265566825699608</v>
      </c>
      <c r="I65" s="4">
        <f>C65*G65</f>
        <v>61.473923327840687</v>
      </c>
      <c r="J65" s="11">
        <f>LN(H65/D65)</f>
        <v>-3.819205422529295E-3</v>
      </c>
      <c r="K65" s="11">
        <f>LN(I65/D65)</f>
        <v>-4.2410084747220586E-4</v>
      </c>
    </row>
    <row r="66" spans="2:11" x14ac:dyDescent="0.3">
      <c r="B66" s="1">
        <v>46119</v>
      </c>
      <c r="C66" s="4">
        <v>146.57</v>
      </c>
      <c r="D66" s="4">
        <v>61.53</v>
      </c>
      <c r="E66" s="8">
        <f t="shared" si="0"/>
        <v>0.41979941324964182</v>
      </c>
      <c r="F66" s="9">
        <f t="shared" si="1"/>
        <v>0.41892386094539746</v>
      </c>
      <c r="G66" s="9">
        <f t="shared" si="2"/>
        <v>0.42024831369866478</v>
      </c>
      <c r="H66" s="4">
        <f>C66*F66</f>
        <v>61.401670298766902</v>
      </c>
      <c r="I66" s="4">
        <f>C66*G66</f>
        <v>61.595795338813296</v>
      </c>
      <c r="J66" s="11">
        <f>LN(H66/D66)</f>
        <v>-2.0878224063335372E-3</v>
      </c>
      <c r="K66" s="11">
        <f>LN(I66/D66)</f>
        <v>1.0687499706297976E-3</v>
      </c>
    </row>
    <row r="67" spans="2:11" x14ac:dyDescent="0.3">
      <c r="B67" s="1">
        <v>46120</v>
      </c>
      <c r="C67" s="4">
        <v>149.66999999999999</v>
      </c>
      <c r="D67" s="4">
        <v>62.81</v>
      </c>
      <c r="E67" s="8">
        <f t="shared" ref="E67:E130" si="3">D67/C67</f>
        <v>0.41965657780450327</v>
      </c>
      <c r="F67" s="9">
        <f t="shared" si="1"/>
        <v>0.4189958181412054</v>
      </c>
      <c r="G67" s="9">
        <f t="shared" si="2"/>
        <v>0.42024831369866478</v>
      </c>
      <c r="H67" s="4">
        <f>C67*F67</f>
        <v>62.711104101194209</v>
      </c>
      <c r="I67" s="4">
        <f>C67*G67</f>
        <v>62.898565111279154</v>
      </c>
      <c r="J67" s="11">
        <f>LN(H67/D67)</f>
        <v>-1.5757656049548872E-3</v>
      </c>
      <c r="K67" s="11">
        <f>LN(I67/D67)</f>
        <v>1.4090547585857021E-3</v>
      </c>
    </row>
    <row r="68" spans="2:11" x14ac:dyDescent="0.3">
      <c r="B68" s="1">
        <v>46121</v>
      </c>
      <c r="C68" s="4">
        <v>149.33000000000001</v>
      </c>
      <c r="D68" s="4">
        <v>62.61</v>
      </c>
      <c r="E68" s="8">
        <f t="shared" si="3"/>
        <v>0.41927275162392014</v>
      </c>
      <c r="F68" s="9">
        <f t="shared" si="1"/>
        <v>0.41906315215681433</v>
      </c>
      <c r="G68" s="9">
        <f t="shared" si="2"/>
        <v>0.42024831369866478</v>
      </c>
      <c r="H68" s="4">
        <f>C68*F68</f>
        <v>62.57870051157709</v>
      </c>
      <c r="I68" s="4">
        <f>C68*G68</f>
        <v>62.755680684621616</v>
      </c>
      <c r="J68" s="11">
        <f>LN(H68/D68)</f>
        <v>-5.0003696734890327E-4</v>
      </c>
      <c r="K68" s="11">
        <f>LN(I68/D68)</f>
        <v>2.3240929957775982E-3</v>
      </c>
    </row>
    <row r="69" spans="2:11" x14ac:dyDescent="0.3">
      <c r="B69" s="1">
        <v>46122</v>
      </c>
      <c r="C69" s="4">
        <v>147.31</v>
      </c>
      <c r="D69" s="4">
        <v>61.79</v>
      </c>
      <c r="E69" s="8">
        <f t="shared" si="3"/>
        <v>0.41945556988663363</v>
      </c>
      <c r="F69" s="9">
        <f t="shared" si="1"/>
        <v>0.41917484913809322</v>
      </c>
      <c r="G69" s="9">
        <f t="shared" si="2"/>
        <v>0.42024831369866478</v>
      </c>
      <c r="H69" s="4">
        <f>C69*F69</f>
        <v>61.74864702653251</v>
      </c>
      <c r="I69" s="4">
        <f>C69*G69</f>
        <v>61.906779090950309</v>
      </c>
      <c r="J69" s="11">
        <f>LN(H69/D69)</f>
        <v>-6.6947430633799076E-4</v>
      </c>
      <c r="K69" s="11">
        <f>LN(I69/D69)</f>
        <v>1.8881514377782867E-3</v>
      </c>
    </row>
    <row r="70" spans="2:11" x14ac:dyDescent="0.3">
      <c r="B70" s="1">
        <v>46125</v>
      </c>
      <c r="C70" s="4">
        <v>147.97</v>
      </c>
      <c r="D70" s="4">
        <v>62.22</v>
      </c>
      <c r="E70" s="8">
        <f t="shared" si="3"/>
        <v>0.42049063999459352</v>
      </c>
      <c r="F70" s="9">
        <f t="shared" si="1"/>
        <v>0.41933350224070026</v>
      </c>
      <c r="G70" s="9">
        <f t="shared" si="2"/>
        <v>0.42024831369866478</v>
      </c>
      <c r="H70" s="4">
        <f>C70*F70</f>
        <v>62.048778326556416</v>
      </c>
      <c r="I70" s="4">
        <f>C70*G70</f>
        <v>62.184142977991428</v>
      </c>
      <c r="J70" s="11">
        <f>LN(H70/D70)</f>
        <v>-2.7556685452279732E-3</v>
      </c>
      <c r="K70" s="11">
        <f>LN(I70/D70)</f>
        <v>-5.764602712286114E-4</v>
      </c>
    </row>
    <row r="71" spans="2:11" x14ac:dyDescent="0.3">
      <c r="B71" s="1">
        <v>46126</v>
      </c>
      <c r="C71" s="4">
        <v>148.83000000000001</v>
      </c>
      <c r="D71" s="4">
        <v>62.64</v>
      </c>
      <c r="E71" s="8">
        <f t="shared" si="3"/>
        <v>0.42088288651481554</v>
      </c>
      <c r="F71" s="9">
        <f t="shared" si="1"/>
        <v>0.41950816772398031</v>
      </c>
      <c r="G71" s="9">
        <f t="shared" si="2"/>
        <v>0.42024831369866478</v>
      </c>
      <c r="H71" s="4">
        <f>C71*F71</f>
        <v>62.435400602359998</v>
      </c>
      <c r="I71" s="4">
        <f>C71*G71</f>
        <v>62.545556527772284</v>
      </c>
      <c r="J71" s="11">
        <f>LN(H71/D71)</f>
        <v>-3.2716198253005709E-3</v>
      </c>
      <c r="K71" s="11">
        <f>LN(I71/D71)</f>
        <v>-1.508856017660978E-3</v>
      </c>
    </row>
    <row r="72" spans="2:11" x14ac:dyDescent="0.3">
      <c r="B72" s="1">
        <v>46127</v>
      </c>
      <c r="C72" s="4">
        <v>147.77000000000001</v>
      </c>
      <c r="D72" s="4">
        <v>62.29</v>
      </c>
      <c r="E72" s="8">
        <f t="shared" si="3"/>
        <v>0.42153346416728699</v>
      </c>
      <c r="F72" s="9">
        <f t="shared" si="1"/>
        <v>0.41968975272063658</v>
      </c>
      <c r="G72" s="9">
        <f t="shared" si="2"/>
        <v>0.42024831369866478</v>
      </c>
      <c r="H72" s="4">
        <f>C72*F72</f>
        <v>62.017554759528473</v>
      </c>
      <c r="I72" s="4">
        <f>C72*G72</f>
        <v>62.100093315251698</v>
      </c>
      <c r="J72" s="11">
        <f>LN(H72/D72)</f>
        <v>-4.3834130151734667E-3</v>
      </c>
      <c r="K72" s="11">
        <f>LN(I72/D72)</f>
        <v>-3.053407666692068E-3</v>
      </c>
    </row>
    <row r="73" spans="2:11" x14ac:dyDescent="0.3">
      <c r="B73" s="1">
        <v>46128</v>
      </c>
      <c r="C73" s="4">
        <v>146.61000000000001</v>
      </c>
      <c r="D73" s="4">
        <v>61.73</v>
      </c>
      <c r="E73" s="8">
        <f t="shared" si="3"/>
        <v>0.42104904167519264</v>
      </c>
      <c r="F73" s="9">
        <f t="shared" si="1"/>
        <v>0.41981491786678571</v>
      </c>
      <c r="G73" s="9">
        <f t="shared" si="2"/>
        <v>0.42024831369866478</v>
      </c>
      <c r="H73" s="4">
        <f>C73*F73</f>
        <v>61.549065108449462</v>
      </c>
      <c r="I73" s="4">
        <f>C73*G73</f>
        <v>61.612605271361247</v>
      </c>
      <c r="J73" s="11">
        <f>LN(H73/D73)</f>
        <v>-2.9353730304307072E-3</v>
      </c>
      <c r="K73" s="11">
        <f>LN(I73/D73)</f>
        <v>-1.9035557718118821E-3</v>
      </c>
    </row>
    <row r="74" spans="2:11" x14ac:dyDescent="0.3">
      <c r="B74" s="1">
        <v>46129</v>
      </c>
      <c r="C74" s="4">
        <v>148.80000000000001</v>
      </c>
      <c r="D74" s="4">
        <v>62.65</v>
      </c>
      <c r="E74" s="8">
        <f t="shared" si="3"/>
        <v>0.42103494623655907</v>
      </c>
      <c r="F74" s="9">
        <f t="shared" si="1"/>
        <v>0.41993534398633486</v>
      </c>
      <c r="G74" s="9">
        <f t="shared" si="2"/>
        <v>0.42024831369866478</v>
      </c>
      <c r="H74" s="4">
        <f>C74*F74</f>
        <v>62.486379185166633</v>
      </c>
      <c r="I74" s="4">
        <f>C74*G74</f>
        <v>62.532949078361327</v>
      </c>
      <c r="J74" s="11">
        <f>LN(H74/D74)</f>
        <v>-2.615081387910521E-3</v>
      </c>
      <c r="K74" s="11">
        <f>LN(I74/D74)</f>
        <v>-1.8700782592662875E-3</v>
      </c>
    </row>
    <row r="75" spans="2:11" x14ac:dyDescent="0.3">
      <c r="B75" s="1">
        <v>46132</v>
      </c>
      <c r="C75" s="4">
        <v>147.41999999999999</v>
      </c>
      <c r="D75" s="4">
        <v>62.08</v>
      </c>
      <c r="E75" s="8">
        <f t="shared" si="3"/>
        <v>0.42110975444308779</v>
      </c>
      <c r="F75" s="9">
        <f t="shared" si="1"/>
        <v>0.42006782200643189</v>
      </c>
      <c r="G75" s="9">
        <f t="shared" si="2"/>
        <v>0.42024831369866478</v>
      </c>
      <c r="H75" s="4">
        <f>C75*F75</f>
        <v>61.926398320188184</v>
      </c>
      <c r="I75" s="4">
        <f>C75*G75</f>
        <v>61.95300640545716</v>
      </c>
      <c r="J75" s="11">
        <f>LN(H75/D75)</f>
        <v>-2.4773198874967852E-3</v>
      </c>
      <c r="K75" s="11">
        <f>LN(I75/D75)</f>
        <v>-2.0477394300011521E-3</v>
      </c>
    </row>
    <row r="76" spans="2:11" x14ac:dyDescent="0.3">
      <c r="B76" s="1">
        <v>46133</v>
      </c>
      <c r="C76" s="4">
        <v>145.91999999999999</v>
      </c>
      <c r="D76" s="4">
        <v>61.44</v>
      </c>
      <c r="E76" s="8">
        <f t="shared" si="3"/>
        <v>0.4210526315789474</v>
      </c>
      <c r="F76" s="9">
        <f t="shared" si="1"/>
        <v>0.4201561654041262</v>
      </c>
      <c r="G76" s="9">
        <f t="shared" si="2"/>
        <v>0.42024831369866478</v>
      </c>
      <c r="H76" s="4">
        <f>C76*F76</f>
        <v>61.309187655770089</v>
      </c>
      <c r="I76" s="4">
        <f>C76*G76</f>
        <v>61.322633934909156</v>
      </c>
      <c r="J76" s="11">
        <f>LN(H76/D76)</f>
        <v>-2.1313769361567744E-3</v>
      </c>
      <c r="K76" s="11">
        <f>LN(I76/D76)</f>
        <v>-1.9120818295761074E-3</v>
      </c>
    </row>
    <row r="77" spans="2:11" x14ac:dyDescent="0.3">
      <c r="B77" s="1">
        <v>46134</v>
      </c>
      <c r="C77" s="4">
        <v>146.38</v>
      </c>
      <c r="D77" s="4">
        <v>61.7</v>
      </c>
      <c r="E77" s="8">
        <f t="shared" si="3"/>
        <v>0.42150567017352103</v>
      </c>
      <c r="F77" s="9">
        <f t="shared" si="1"/>
        <v>0.42029768276873158</v>
      </c>
      <c r="G77" s="9">
        <f t="shared" si="2"/>
        <v>0.42024831369866478</v>
      </c>
      <c r="H77" s="4">
        <f>C77*F77</f>
        <v>61.523174803686928</v>
      </c>
      <c r="I77" s="4">
        <f>C77*G77</f>
        <v>61.515948159210545</v>
      </c>
      <c r="J77" s="11">
        <f>LN(H77/D77)</f>
        <v>-2.8700010037744882E-3</v>
      </c>
      <c r="K77" s="11">
        <f>LN(I77/D77)</f>
        <v>-2.9874700544417869E-3</v>
      </c>
    </row>
    <row r="78" spans="2:11" x14ac:dyDescent="0.3">
      <c r="B78" s="1">
        <v>46135</v>
      </c>
      <c r="C78" s="4">
        <v>146.24</v>
      </c>
      <c r="D78" s="4">
        <v>61.44</v>
      </c>
      <c r="E78" s="8">
        <f t="shared" si="3"/>
        <v>0.42013129102844637</v>
      </c>
      <c r="F78" s="9">
        <f t="shared" si="1"/>
        <v>0.42033187314072284</v>
      </c>
      <c r="G78" s="9">
        <f t="shared" si="2"/>
        <v>0.42024831369866478</v>
      </c>
      <c r="H78" s="4">
        <f>C78*F78</f>
        <v>61.469333128099315</v>
      </c>
      <c r="I78" s="4">
        <f>C78*G78</f>
        <v>61.457113395292744</v>
      </c>
      <c r="J78" s="11">
        <f>LN(H78/D78)</f>
        <v>4.7731328304673052E-4</v>
      </c>
      <c r="K78" s="11">
        <f>LN(I78/D78)</f>
        <v>2.7849955024276897E-4</v>
      </c>
    </row>
    <row r="79" spans="2:11" x14ac:dyDescent="0.3">
      <c r="B79" s="1">
        <v>46136</v>
      </c>
      <c r="C79" s="4">
        <v>144.18</v>
      </c>
      <c r="D79" s="4">
        <v>60.66</v>
      </c>
      <c r="E79" s="8">
        <f t="shared" si="3"/>
        <v>0.42072409488139823</v>
      </c>
      <c r="F79" s="9">
        <f t="shared" si="1"/>
        <v>0.42039236771599892</v>
      </c>
      <c r="G79" s="9">
        <f t="shared" si="2"/>
        <v>0.42024831369866478</v>
      </c>
      <c r="H79" s="4">
        <f>C79*F79</f>
        <v>60.612171577292727</v>
      </c>
      <c r="I79" s="4">
        <f>C79*G79</f>
        <v>60.591401869073493</v>
      </c>
      <c r="J79" s="11">
        <f>LN(H79/D79)</f>
        <v>-7.8877824260904382E-4</v>
      </c>
      <c r="K79" s="11">
        <f>LN(I79/D79)</f>
        <v>-1.1315026001829124E-3</v>
      </c>
    </row>
    <row r="80" spans="2:11" x14ac:dyDescent="0.3">
      <c r="B80" s="1">
        <v>46139</v>
      </c>
      <c r="C80" s="4">
        <v>143.46</v>
      </c>
      <c r="D80" s="4">
        <v>60.33</v>
      </c>
      <c r="E80" s="8">
        <f t="shared" si="3"/>
        <v>0.42053534086156419</v>
      </c>
      <c r="F80" s="9">
        <f t="shared" si="1"/>
        <v>0.4204572472817632</v>
      </c>
      <c r="G80" s="9">
        <f t="shared" si="2"/>
        <v>0.42024831369866478</v>
      </c>
      <c r="H80" s="4">
        <f>C80*F80</f>
        <v>60.318796695041755</v>
      </c>
      <c r="I80" s="4">
        <f>C80*G80</f>
        <v>60.288823083210453</v>
      </c>
      <c r="J80" s="11">
        <f>LN(H80/D80)</f>
        <v>-1.8571764157349408E-4</v>
      </c>
      <c r="K80" s="11">
        <f>LN(I80/D80)</f>
        <v>-6.8276107056249155E-4</v>
      </c>
    </row>
    <row r="81" spans="2:11" x14ac:dyDescent="0.3">
      <c r="B81" s="1">
        <v>46140</v>
      </c>
      <c r="C81" s="4">
        <v>143.84</v>
      </c>
      <c r="D81" s="4">
        <v>60.39</v>
      </c>
      <c r="E81" s="8">
        <f t="shared" si="3"/>
        <v>0.41984149054505004</v>
      </c>
      <c r="F81" s="9">
        <f t="shared" si="1"/>
        <v>0.42046823433856656</v>
      </c>
      <c r="G81" s="9">
        <f t="shared" si="2"/>
        <v>0.42024831369866478</v>
      </c>
      <c r="H81" s="4">
        <f>C81*F81</f>
        <v>60.480150827259415</v>
      </c>
      <c r="I81" s="4">
        <f>C81*G81</f>
        <v>60.448517442415941</v>
      </c>
      <c r="J81" s="11">
        <f>LN(H81/D81)</f>
        <v>1.4916973853193029E-3</v>
      </c>
      <c r="K81" s="11">
        <f>LN(I81/D81)</f>
        <v>9.6852308731979863E-4</v>
      </c>
    </row>
    <row r="82" spans="2:11" x14ac:dyDescent="0.3">
      <c r="B82" s="1">
        <v>46141</v>
      </c>
      <c r="C82" s="4">
        <v>142.84</v>
      </c>
      <c r="D82" s="4">
        <v>59.98</v>
      </c>
      <c r="E82" s="8">
        <f t="shared" si="3"/>
        <v>0.41991038924670959</v>
      </c>
      <c r="F82" s="9">
        <f t="shared" si="1"/>
        <v>0.42044199539424493</v>
      </c>
      <c r="G82" s="9">
        <f t="shared" si="2"/>
        <v>0.42024831369866478</v>
      </c>
      <c r="H82" s="4">
        <f>C82*F82</f>
        <v>60.055934622113945</v>
      </c>
      <c r="I82" s="4">
        <f>C82*G82</f>
        <v>60.028269128717277</v>
      </c>
      <c r="J82" s="11">
        <f>LN(H82/D82)</f>
        <v>1.2651983338526022E-3</v>
      </c>
      <c r="K82" s="11">
        <f>LN(I82/D82)</f>
        <v>8.0443008920406337E-4</v>
      </c>
    </row>
    <row r="83" spans="2:11" x14ac:dyDescent="0.3">
      <c r="B83" s="1">
        <v>46142</v>
      </c>
      <c r="C83" s="4">
        <v>145.99</v>
      </c>
      <c r="D83" s="4">
        <v>61.28</v>
      </c>
      <c r="E83" s="8">
        <f t="shared" si="3"/>
        <v>0.41975477772450165</v>
      </c>
      <c r="F83" s="9">
        <f t="shared" si="1"/>
        <v>0.42040489166217981</v>
      </c>
      <c r="G83" s="9">
        <f t="shared" si="2"/>
        <v>0.42024831369866478</v>
      </c>
      <c r="H83" s="4">
        <f>C83*F83</f>
        <v>61.374910133761638</v>
      </c>
      <c r="I83" s="4">
        <f>C83*G83</f>
        <v>61.352051316868078</v>
      </c>
      <c r="J83" s="11">
        <f>LN(H83/D83)</f>
        <v>1.5475964655803785E-3</v>
      </c>
      <c r="K83" s="11">
        <f>LN(I83/D83)</f>
        <v>1.175081463372193E-3</v>
      </c>
    </row>
    <row r="84" spans="2:11" x14ac:dyDescent="0.3">
      <c r="B84" s="1">
        <v>46143</v>
      </c>
      <c r="C84" s="4">
        <v>145.16</v>
      </c>
      <c r="D84" s="4">
        <v>61.07</v>
      </c>
      <c r="E84" s="8">
        <f t="shared" si="3"/>
        <v>0.42070818407274735</v>
      </c>
      <c r="F84" s="9">
        <f t="shared" si="1"/>
        <v>0.42044377474361844</v>
      </c>
      <c r="G84" s="9">
        <f t="shared" si="2"/>
        <v>0.42024831369866478</v>
      </c>
      <c r="H84" s="4">
        <f>C84*F84</f>
        <v>61.031618341783648</v>
      </c>
      <c r="I84" s="4">
        <f>C84*G84</f>
        <v>61.003245216498179</v>
      </c>
      <c r="J84" s="11">
        <f>LN(H84/D84)</f>
        <v>-6.2868387826101448E-4</v>
      </c>
      <c r="K84" s="11">
        <f>LN(I84/D84)</f>
        <v>-1.0936842063543522E-3</v>
      </c>
    </row>
    <row r="85" spans="2:11" x14ac:dyDescent="0.3">
      <c r="B85" s="1">
        <v>46146</v>
      </c>
      <c r="C85" s="4">
        <v>144.72999999999999</v>
      </c>
      <c r="D85" s="4">
        <v>60.97</v>
      </c>
      <c r="E85" s="8">
        <f t="shared" si="3"/>
        <v>0.42126718717612105</v>
      </c>
      <c r="F85" s="9">
        <f t="shared" ref="F85:F148" si="4">AVERAGE(E66:E85)</f>
        <v>0.42048580514426204</v>
      </c>
      <c r="G85" s="9">
        <f t="shared" si="2"/>
        <v>0.42024831369866478</v>
      </c>
      <c r="H85" s="4">
        <f>C85*F85</f>
        <v>60.856910578529039</v>
      </c>
      <c r="I85" s="4">
        <f>C85*G85</f>
        <v>60.822538441607747</v>
      </c>
      <c r="J85" s="11">
        <f>LN(H85/D85)</f>
        <v>-1.8565594976856267E-3</v>
      </c>
      <c r="K85" s="11">
        <f>LN(I85/D85)</f>
        <v>-2.4215215863922428E-3</v>
      </c>
    </row>
    <row r="86" spans="2:11" x14ac:dyDescent="0.3">
      <c r="B86" s="1">
        <v>46147</v>
      </c>
      <c r="C86" s="4">
        <v>145.30000000000001</v>
      </c>
      <c r="D86" s="4">
        <v>61.19</v>
      </c>
      <c r="E86" s="8">
        <f t="shared" si="3"/>
        <v>0.4211286992429456</v>
      </c>
      <c r="F86" s="9">
        <f t="shared" si="4"/>
        <v>0.42055226944392726</v>
      </c>
      <c r="G86" s="9">
        <f t="shared" ref="G86:G149" si="5">G85</f>
        <v>0.42024831369866478</v>
      </c>
      <c r="H86" s="4">
        <f>C86*F86</f>
        <v>61.106244750202634</v>
      </c>
      <c r="I86" s="4">
        <f>C86*G86</f>
        <v>61.062079980415994</v>
      </c>
      <c r="J86" s="11">
        <f>LN(H86/D86)</f>
        <v>-1.369711115217554E-3</v>
      </c>
      <c r="K86" s="11">
        <f>LN(I86/D86)</f>
        <v>-2.0927262143924786E-3</v>
      </c>
    </row>
    <row r="87" spans="2:11" x14ac:dyDescent="0.3">
      <c r="B87" s="1">
        <v>46148</v>
      </c>
      <c r="C87" s="4">
        <v>145.4</v>
      </c>
      <c r="D87" s="4">
        <v>61.46</v>
      </c>
      <c r="E87" s="8">
        <f t="shared" si="3"/>
        <v>0.42269601100412652</v>
      </c>
      <c r="F87" s="9">
        <f t="shared" si="4"/>
        <v>0.42070424110390842</v>
      </c>
      <c r="G87" s="9">
        <f t="shared" si="5"/>
        <v>0.42024831369866478</v>
      </c>
      <c r="H87" s="4">
        <f>C87*F87</f>
        <v>61.170396656508288</v>
      </c>
      <c r="I87" s="4">
        <f>C87*G87</f>
        <v>61.104104811785859</v>
      </c>
      <c r="J87" s="11">
        <f>LN(H87/D87)</f>
        <v>-4.7231989747208688E-3</v>
      </c>
      <c r="K87" s="11">
        <f>LN(I87/D87)</f>
        <v>-5.8075109191001485E-3</v>
      </c>
    </row>
    <row r="88" spans="2:11" x14ac:dyDescent="0.3">
      <c r="B88" s="1">
        <v>46149</v>
      </c>
      <c r="C88" s="4">
        <v>144.72</v>
      </c>
      <c r="D88" s="4">
        <v>60.95</v>
      </c>
      <c r="E88" s="8">
        <f t="shared" si="3"/>
        <v>0.42115809839690438</v>
      </c>
      <c r="F88" s="9">
        <f t="shared" si="4"/>
        <v>0.42079850844255767</v>
      </c>
      <c r="G88" s="9">
        <f t="shared" si="5"/>
        <v>0.42024831369866478</v>
      </c>
      <c r="H88" s="4">
        <f>C88*F88</f>
        <v>60.897960141806948</v>
      </c>
      <c r="I88" s="4">
        <f>C88*G88</f>
        <v>60.818335958470769</v>
      </c>
      <c r="J88" s="11">
        <f>LN(H88/D88)</f>
        <v>-8.5417698083077652E-4</v>
      </c>
      <c r="K88" s="11">
        <f>LN(I88/D88)</f>
        <v>-2.1625341564214763E-3</v>
      </c>
    </row>
    <row r="89" spans="2:11" x14ac:dyDescent="0.3">
      <c r="B89" s="1">
        <v>46150</v>
      </c>
      <c r="C89" s="4">
        <v>143.49</v>
      </c>
      <c r="D89" s="4">
        <v>60.42</v>
      </c>
      <c r="E89" s="8">
        <f t="shared" si="3"/>
        <v>0.42107463934768974</v>
      </c>
      <c r="F89" s="9">
        <f t="shared" si="4"/>
        <v>0.42087946191561043</v>
      </c>
      <c r="G89" s="9">
        <f t="shared" si="5"/>
        <v>0.42024831369866478</v>
      </c>
      <c r="H89" s="4">
        <f>C89*F89</f>
        <v>60.391993990270947</v>
      </c>
      <c r="I89" s="4">
        <f>C89*G89</f>
        <v>60.30143053262141</v>
      </c>
      <c r="J89" s="11">
        <f>LN(H89/D89)</f>
        <v>-4.6362963321295041E-4</v>
      </c>
      <c r="K89" s="11">
        <f>LN(I89/D89)</f>
        <v>-1.9643489143912588E-3</v>
      </c>
    </row>
    <row r="90" spans="2:11" x14ac:dyDescent="0.3">
      <c r="B90" s="1">
        <v>46153</v>
      </c>
      <c r="C90" s="4">
        <v>143.04</v>
      </c>
      <c r="D90" s="4">
        <v>60.23</v>
      </c>
      <c r="E90" s="8">
        <f t="shared" si="3"/>
        <v>0.42107102908277405</v>
      </c>
      <c r="F90" s="9">
        <f t="shared" si="4"/>
        <v>0.4209084813700194</v>
      </c>
      <c r="G90" s="9">
        <f t="shared" si="5"/>
        <v>0.42024831369866478</v>
      </c>
      <c r="H90" s="4">
        <f>C90*F90</f>
        <v>60.206749175167573</v>
      </c>
      <c r="I90" s="4">
        <f>C90*G90</f>
        <v>60.112318791457007</v>
      </c>
      <c r="J90" s="11">
        <f>LN(H90/D90)</f>
        <v>-3.8610848068401855E-4</v>
      </c>
      <c r="K90" s="11">
        <f>LN(I90/D90)</f>
        <v>-1.955774946606331E-3</v>
      </c>
    </row>
    <row r="91" spans="2:11" x14ac:dyDescent="0.3">
      <c r="B91" s="1">
        <v>46154</v>
      </c>
      <c r="C91" s="4">
        <v>145.85</v>
      </c>
      <c r="D91" s="4">
        <v>61.39</v>
      </c>
      <c r="E91" s="8">
        <f t="shared" si="3"/>
        <v>0.42091189578333904</v>
      </c>
      <c r="F91" s="9">
        <f t="shared" si="4"/>
        <v>0.42090993183344561</v>
      </c>
      <c r="G91" s="9">
        <f t="shared" si="5"/>
        <v>0.42024831369866478</v>
      </c>
      <c r="H91" s="4">
        <f>C91*F91</f>
        <v>61.389713557908038</v>
      </c>
      <c r="I91" s="4">
        <f>C91*G91</f>
        <v>61.293216552950256</v>
      </c>
      <c r="J91" s="11">
        <f>LN(H91/D91)</f>
        <v>-4.6659514615553562E-6</v>
      </c>
      <c r="K91" s="11">
        <f>LN(I91/D91)</f>
        <v>-1.5777784418551997E-3</v>
      </c>
    </row>
    <row r="92" spans="2:11" x14ac:dyDescent="0.3">
      <c r="B92" s="1">
        <v>46155</v>
      </c>
      <c r="C92" s="4">
        <v>146.71</v>
      </c>
      <c r="D92" s="4">
        <v>61.73</v>
      </c>
      <c r="E92" s="8">
        <f t="shared" si="3"/>
        <v>0.42076204757685226</v>
      </c>
      <c r="F92" s="9">
        <f t="shared" si="4"/>
        <v>0.42087136100392392</v>
      </c>
      <c r="G92" s="9">
        <f t="shared" si="5"/>
        <v>0.42024831369866478</v>
      </c>
      <c r="H92" s="4">
        <f>C92*F92</f>
        <v>61.746037372885681</v>
      </c>
      <c r="I92" s="4">
        <f>C92*G92</f>
        <v>61.654630102731112</v>
      </c>
      <c r="J92" s="11">
        <f>LN(H92/D92)</f>
        <v>2.597649441475594E-4</v>
      </c>
      <c r="K92" s="11">
        <f>LN(I92/D92)</f>
        <v>-1.2217065704323632E-3</v>
      </c>
    </row>
    <row r="93" spans="2:11" x14ac:dyDescent="0.3">
      <c r="B93" s="1">
        <v>46156</v>
      </c>
      <c r="C93" s="4">
        <v>146.63</v>
      </c>
      <c r="D93" s="4">
        <v>61.67</v>
      </c>
      <c r="E93" s="8">
        <f t="shared" si="3"/>
        <v>0.42058241833185572</v>
      </c>
      <c r="F93" s="9">
        <f t="shared" si="4"/>
        <v>0.42084802983675706</v>
      </c>
      <c r="G93" s="9">
        <f t="shared" si="5"/>
        <v>0.42024831369866478</v>
      </c>
      <c r="H93" s="4">
        <f>C93*F93</f>
        <v>61.708946614963686</v>
      </c>
      <c r="I93" s="4">
        <f>C93*G93</f>
        <v>61.621010237635211</v>
      </c>
      <c r="J93" s="11">
        <f>LN(H93/D93)</f>
        <v>6.3133325945539747E-4</v>
      </c>
      <c r="K93" s="11">
        <f>LN(I93/D93)</f>
        <v>-7.9470133059433791E-4</v>
      </c>
    </row>
    <row r="94" spans="2:11" x14ac:dyDescent="0.3">
      <c r="B94" s="1">
        <v>46157</v>
      </c>
      <c r="C94" s="4">
        <v>145.1</v>
      </c>
      <c r="D94" s="4">
        <v>60.91</v>
      </c>
      <c r="E94" s="8">
        <f t="shared" si="3"/>
        <v>0.41977946243969677</v>
      </c>
      <c r="F94" s="9">
        <f t="shared" si="4"/>
        <v>0.42078525564691394</v>
      </c>
      <c r="G94" s="9">
        <f t="shared" si="5"/>
        <v>0.42024831369866478</v>
      </c>
      <c r="H94" s="4">
        <f>C94*F94</f>
        <v>61.055940594367208</v>
      </c>
      <c r="I94" s="4">
        <f>C94*G94</f>
        <v>60.978030317676257</v>
      </c>
      <c r="J94" s="11">
        <f>LN(H94/D94)</f>
        <v>2.3931380073400842E-3</v>
      </c>
      <c r="K94" s="11">
        <f>LN(I94/D94)</f>
        <v>1.11627572556831E-3</v>
      </c>
    </row>
    <row r="95" spans="2:11" x14ac:dyDescent="0.3">
      <c r="B95" s="1">
        <v>46160</v>
      </c>
      <c r="C95" s="4">
        <v>145.72</v>
      </c>
      <c r="D95" s="4">
        <v>61.15</v>
      </c>
      <c r="E95" s="8">
        <f t="shared" si="3"/>
        <v>0.41964040625857807</v>
      </c>
      <c r="F95" s="9">
        <f t="shared" si="4"/>
        <v>0.42071178823768846</v>
      </c>
      <c r="G95" s="9">
        <f t="shared" si="5"/>
        <v>0.42024831369866478</v>
      </c>
      <c r="H95" s="4">
        <f>C95*F95</f>
        <v>61.306121781995962</v>
      </c>
      <c r="I95" s="4">
        <f>C95*G95</f>
        <v>61.238584272169433</v>
      </c>
      <c r="J95" s="11">
        <f>LN(H95/D95)</f>
        <v>2.5498417606574196E-3</v>
      </c>
      <c r="K95" s="11">
        <f>LN(I95/D95)</f>
        <v>1.4475906910011516E-3</v>
      </c>
    </row>
    <row r="96" spans="2:11" x14ac:dyDescent="0.3">
      <c r="B96" s="1">
        <v>46161</v>
      </c>
      <c r="C96" s="4">
        <v>147.32</v>
      </c>
      <c r="D96" s="4">
        <v>61.84</v>
      </c>
      <c r="E96" s="8">
        <f t="shared" si="3"/>
        <v>0.41976649470540323</v>
      </c>
      <c r="F96" s="9">
        <f t="shared" si="4"/>
        <v>0.42064748139401126</v>
      </c>
      <c r="G96" s="9">
        <f t="shared" si="5"/>
        <v>0.42024831369866478</v>
      </c>
      <c r="H96" s="4">
        <f>C96*F96</f>
        <v>61.969786958965734</v>
      </c>
      <c r="I96" s="4">
        <f>C96*G96</f>
        <v>61.910981574087295</v>
      </c>
      <c r="J96" s="11">
        <f>LN(H96/D96)</f>
        <v>2.0965548797702988E-3</v>
      </c>
      <c r="K96" s="11">
        <f>LN(I96/D96)</f>
        <v>1.1471679815174818E-3</v>
      </c>
    </row>
    <row r="97" spans="2:11" x14ac:dyDescent="0.3">
      <c r="B97" s="1">
        <v>46162</v>
      </c>
      <c r="C97" s="4">
        <v>147.13</v>
      </c>
      <c r="D97" s="4">
        <v>61.89</v>
      </c>
      <c r="E97" s="8">
        <f t="shared" si="3"/>
        <v>0.42064840617141308</v>
      </c>
      <c r="F97" s="9">
        <f t="shared" si="4"/>
        <v>0.42060461819390582</v>
      </c>
      <c r="G97" s="9">
        <f t="shared" si="5"/>
        <v>0.42024831369866478</v>
      </c>
      <c r="H97" s="4">
        <f>C97*F97</f>
        <v>61.883557474869363</v>
      </c>
      <c r="I97" s="4">
        <f>C97*G97</f>
        <v>61.831134394484543</v>
      </c>
      <c r="J97" s="11">
        <f>LN(H97/D97)</f>
        <v>-1.0410180119067165E-4</v>
      </c>
      <c r="K97" s="11">
        <f>LN(I97/D97)</f>
        <v>-9.5158535759520943E-4</v>
      </c>
    </row>
    <row r="98" spans="2:11" x14ac:dyDescent="0.3">
      <c r="B98" s="1">
        <v>46163</v>
      </c>
      <c r="C98" s="4">
        <v>148.15</v>
      </c>
      <c r="D98" s="4">
        <v>62.29</v>
      </c>
      <c r="E98" s="8">
        <f t="shared" si="3"/>
        <v>0.42045224434694561</v>
      </c>
      <c r="F98" s="9">
        <f t="shared" si="4"/>
        <v>0.42062066585983082</v>
      </c>
      <c r="G98" s="9">
        <f t="shared" si="5"/>
        <v>0.42024831369866478</v>
      </c>
      <c r="H98" s="4">
        <f>C98*F98</f>
        <v>62.314951647133938</v>
      </c>
      <c r="I98" s="4">
        <f>C98*G98</f>
        <v>62.259787674457186</v>
      </c>
      <c r="J98" s="11">
        <f>LN(H98/D98)</f>
        <v>4.0049206933779528E-4</v>
      </c>
      <c r="K98" s="11">
        <f>LN(I98/D98)</f>
        <v>-4.851445626604405E-4</v>
      </c>
    </row>
    <row r="99" spans="2:11" x14ac:dyDescent="0.3">
      <c r="B99" s="1">
        <v>46164</v>
      </c>
      <c r="C99" s="4">
        <v>149.88999999999999</v>
      </c>
      <c r="D99" s="4">
        <v>62.98</v>
      </c>
      <c r="E99" s="8">
        <f t="shared" si="3"/>
        <v>0.42017479484955633</v>
      </c>
      <c r="F99" s="9">
        <f t="shared" si="4"/>
        <v>0.4205932008582387</v>
      </c>
      <c r="G99" s="9">
        <f t="shared" si="5"/>
        <v>0.42024831369866478</v>
      </c>
      <c r="H99" s="4">
        <f>C99*F99</f>
        <v>63.042714876641391</v>
      </c>
      <c r="I99" s="4">
        <f>C99*G99</f>
        <v>62.991019740292856</v>
      </c>
      <c r="J99" s="11">
        <f>LN(H99/D99)</f>
        <v>9.9529488600468745E-4</v>
      </c>
      <c r="K99" s="11">
        <f>LN(I99/D99)</f>
        <v>1.749567534451342E-4</v>
      </c>
    </row>
    <row r="100" spans="2:11" x14ac:dyDescent="0.3">
      <c r="B100" s="1">
        <v>46168</v>
      </c>
      <c r="C100" s="4">
        <v>148.51</v>
      </c>
      <c r="D100" s="4">
        <v>62.5</v>
      </c>
      <c r="E100" s="8">
        <f t="shared" si="3"/>
        <v>0.42084708100464618</v>
      </c>
      <c r="F100" s="9">
        <f t="shared" si="4"/>
        <v>0.42060878786539285</v>
      </c>
      <c r="G100" s="9">
        <f t="shared" si="5"/>
        <v>0.42024831369866478</v>
      </c>
      <c r="H100" s="4">
        <f>C100*F100</f>
        <v>62.464611085889487</v>
      </c>
      <c r="I100" s="4">
        <f>C100*G100</f>
        <v>62.411077067388703</v>
      </c>
      <c r="J100" s="11">
        <f>LN(H100/D100)</f>
        <v>-5.6638299033674136E-4</v>
      </c>
      <c r="K100" s="11">
        <f>LN(I100/D100)</f>
        <v>-1.4237800156826524E-3</v>
      </c>
    </row>
    <row r="101" spans="2:11" x14ac:dyDescent="0.3">
      <c r="B101" s="1">
        <v>46169</v>
      </c>
      <c r="C101" s="4">
        <v>148.79</v>
      </c>
      <c r="D101" s="4">
        <v>62.6</v>
      </c>
      <c r="E101" s="8">
        <f t="shared" si="3"/>
        <v>0.42072719940856246</v>
      </c>
      <c r="F101" s="9">
        <f t="shared" si="4"/>
        <v>0.42065307330856838</v>
      </c>
      <c r="G101" s="9">
        <f t="shared" si="5"/>
        <v>0.42024831369866478</v>
      </c>
      <c r="H101" s="4">
        <f>C101*F101</f>
        <v>62.588970777581885</v>
      </c>
      <c r="I101" s="4">
        <f>C101*G101</f>
        <v>62.528746595224327</v>
      </c>
      <c r="J101" s="11">
        <f>LN(H101/D101)</f>
        <v>-1.762011841481841E-4</v>
      </c>
      <c r="K101" s="11">
        <f>LN(I101/D101)</f>
        <v>-1.1388815826275313E-3</v>
      </c>
    </row>
    <row r="102" spans="2:11" x14ac:dyDescent="0.3">
      <c r="B102" s="1">
        <v>46170</v>
      </c>
      <c r="C102" s="4">
        <v>150.88</v>
      </c>
      <c r="D102" s="4">
        <v>63.52</v>
      </c>
      <c r="E102" s="8">
        <f t="shared" si="3"/>
        <v>0.42099681866383887</v>
      </c>
      <c r="F102" s="9">
        <f t="shared" si="4"/>
        <v>0.42070739477942487</v>
      </c>
      <c r="G102" s="9">
        <f t="shared" si="5"/>
        <v>0.42024831369866478</v>
      </c>
      <c r="H102" s="4">
        <f>C102*F102</f>
        <v>63.476331724319621</v>
      </c>
      <c r="I102" s="4">
        <f>C102*G102</f>
        <v>63.407065570854542</v>
      </c>
      <c r="J102" s="11">
        <f>LN(H102/D102)</f>
        <v>-6.877092717327743E-4</v>
      </c>
      <c r="K102" s="11">
        <f>LN(I102/D102)</f>
        <v>-1.7795173699135147E-3</v>
      </c>
    </row>
    <row r="103" spans="2:11" x14ac:dyDescent="0.3">
      <c r="B103" s="1">
        <v>46171</v>
      </c>
      <c r="C103" s="4">
        <v>149.47</v>
      </c>
      <c r="D103" s="4">
        <v>63.03</v>
      </c>
      <c r="E103" s="8">
        <f t="shared" si="3"/>
        <v>0.42168997123168528</v>
      </c>
      <c r="F103" s="9">
        <f t="shared" si="4"/>
        <v>0.42080415445478403</v>
      </c>
      <c r="G103" s="9">
        <f t="shared" si="5"/>
        <v>0.42024831369866478</v>
      </c>
      <c r="H103" s="4">
        <f>C103*F103</f>
        <v>62.897596966356566</v>
      </c>
      <c r="I103" s="4">
        <f>C103*G103</f>
        <v>62.814515448539424</v>
      </c>
      <c r="J103" s="11">
        <f>LN(H103/D103)</f>
        <v>-2.1028445809035778E-3</v>
      </c>
      <c r="K103" s="11">
        <f>LN(I103/D103)</f>
        <v>-3.4246190434762246E-3</v>
      </c>
    </row>
    <row r="104" spans="2:11" x14ac:dyDescent="0.3">
      <c r="B104" s="1">
        <v>46174</v>
      </c>
      <c r="C104" s="4">
        <v>147.84</v>
      </c>
      <c r="D104" s="4">
        <v>62.3</v>
      </c>
      <c r="E104" s="8">
        <f t="shared" si="3"/>
        <v>0.42140151515151514</v>
      </c>
      <c r="F104" s="9">
        <f t="shared" si="4"/>
        <v>0.42083882100872233</v>
      </c>
      <c r="G104" s="9">
        <f t="shared" si="5"/>
        <v>0.42024831369866478</v>
      </c>
      <c r="H104" s="4">
        <f>C104*F104</f>
        <v>62.21681129792951</v>
      </c>
      <c r="I104" s="4">
        <f>C104*G104</f>
        <v>62.129510697210605</v>
      </c>
      <c r="J104" s="11">
        <f>LN(H104/D104)</f>
        <v>-1.3361844650592286E-3</v>
      </c>
      <c r="K104" s="11">
        <f>LN(I104/D104)</f>
        <v>-2.740337216213922E-3</v>
      </c>
    </row>
    <row r="105" spans="2:11" x14ac:dyDescent="0.3">
      <c r="B105" s="1">
        <v>46175</v>
      </c>
      <c r="C105" s="4">
        <v>146.4</v>
      </c>
      <c r="D105" s="4">
        <v>61.59</v>
      </c>
      <c r="E105" s="8">
        <f t="shared" si="3"/>
        <v>0.4206967213114754</v>
      </c>
      <c r="F105" s="9">
        <f t="shared" si="4"/>
        <v>0.42081029771549011</v>
      </c>
      <c r="G105" s="9">
        <f t="shared" si="5"/>
        <v>0.42024831369866478</v>
      </c>
      <c r="H105" s="4">
        <f>C105*F105</f>
        <v>61.606627585547756</v>
      </c>
      <c r="I105" s="4">
        <f>C105*G105</f>
        <v>61.524353125484524</v>
      </c>
      <c r="J105" s="11">
        <f>LN(H105/D105)</f>
        <v>2.6993572753714772E-4</v>
      </c>
      <c r="K105" s="11">
        <f>LN(I105/D105)</f>
        <v>-1.0664374879213966E-3</v>
      </c>
    </row>
    <row r="106" spans="2:11" x14ac:dyDescent="0.3">
      <c r="B106" s="1">
        <v>46176</v>
      </c>
      <c r="C106" s="4">
        <v>147.55000000000001</v>
      </c>
      <c r="D106" s="4">
        <v>62.18</v>
      </c>
      <c r="E106" s="8">
        <f t="shared" si="3"/>
        <v>0.42141646899356144</v>
      </c>
      <c r="F106" s="9">
        <f t="shared" si="4"/>
        <v>0.42082468620302088</v>
      </c>
      <c r="G106" s="9">
        <f t="shared" si="5"/>
        <v>0.42024831369866478</v>
      </c>
      <c r="H106" s="4">
        <f>C106*F106</f>
        <v>62.092682449255733</v>
      </c>
      <c r="I106" s="4">
        <f>C106*G106</f>
        <v>62.007638686237989</v>
      </c>
      <c r="J106" s="11">
        <f>LN(H106/D106)</f>
        <v>-1.4052575898827406E-3</v>
      </c>
      <c r="K106" s="11">
        <f>LN(I106/D106)</f>
        <v>-2.7758225578398922E-3</v>
      </c>
    </row>
    <row r="107" spans="2:11" x14ac:dyDescent="0.3">
      <c r="B107" s="1">
        <v>46177</v>
      </c>
      <c r="C107" s="4">
        <v>152.08000000000001</v>
      </c>
      <c r="D107" s="4">
        <v>63.98</v>
      </c>
      <c r="E107" s="8">
        <f t="shared" si="3"/>
        <v>0.4206996317727511</v>
      </c>
      <c r="F107" s="9">
        <f t="shared" si="4"/>
        <v>0.42072486724145219</v>
      </c>
      <c r="G107" s="9">
        <f t="shared" si="5"/>
        <v>0.42024831369866478</v>
      </c>
      <c r="H107" s="4">
        <f>C107*F107</f>
        <v>63.983837810080054</v>
      </c>
      <c r="I107" s="4">
        <f>C107*G107</f>
        <v>63.911363547292943</v>
      </c>
      <c r="J107" s="11">
        <f>LN(H107/D107)</f>
        <v>5.99827286660298E-5</v>
      </c>
      <c r="K107" s="11">
        <f>LN(I107/D107)</f>
        <v>-1.0733556573787287E-3</v>
      </c>
    </row>
    <row r="108" spans="2:11" x14ac:dyDescent="0.3">
      <c r="B108" s="1">
        <v>46178</v>
      </c>
      <c r="C108" s="4">
        <v>153.01</v>
      </c>
      <c r="D108" s="4">
        <v>64.239999999999995</v>
      </c>
      <c r="E108" s="8">
        <f t="shared" si="3"/>
        <v>0.41984184040258804</v>
      </c>
      <c r="F108" s="9">
        <f t="shared" si="4"/>
        <v>0.42065905434173639</v>
      </c>
      <c r="G108" s="9">
        <f t="shared" si="5"/>
        <v>0.42024831369866478</v>
      </c>
      <c r="H108" s="4">
        <f>C108*F108</f>
        <v>64.365041904829084</v>
      </c>
      <c r="I108" s="4">
        <f>C108*G108</f>
        <v>64.302194479032693</v>
      </c>
      <c r="J108" s="11">
        <f>LN(H108/D108)</f>
        <v>1.9445885228150136E-3</v>
      </c>
      <c r="K108" s="11">
        <f>LN(I108/D108)</f>
        <v>9.6768977903523583E-4</v>
      </c>
    </row>
    <row r="109" spans="2:11" x14ac:dyDescent="0.3">
      <c r="B109" s="1">
        <v>46181</v>
      </c>
      <c r="C109" s="4">
        <v>152.65</v>
      </c>
      <c r="D109" s="4">
        <v>64.06</v>
      </c>
      <c r="E109" s="8">
        <f t="shared" si="3"/>
        <v>0.41965280052407467</v>
      </c>
      <c r="F109" s="9">
        <f t="shared" si="4"/>
        <v>0.42058796240055563</v>
      </c>
      <c r="G109" s="9">
        <f t="shared" si="5"/>
        <v>0.42024831369866478</v>
      </c>
      <c r="H109" s="4">
        <f>C109*F109</f>
        <v>64.202752460444813</v>
      </c>
      <c r="I109" s="4">
        <f>C109*G109</f>
        <v>64.150905086101176</v>
      </c>
      <c r="J109" s="11">
        <f>LN(H109/D109)</f>
        <v>2.2259388115245223E-3</v>
      </c>
      <c r="K109" s="11">
        <f>LN(I109/D109)</f>
        <v>1.4180556836939997E-3</v>
      </c>
    </row>
    <row r="110" spans="2:11" x14ac:dyDescent="0.3">
      <c r="B110" s="1">
        <v>46182</v>
      </c>
      <c r="C110" s="4">
        <v>154.57</v>
      </c>
      <c r="D110" s="4">
        <v>64.930000000000007</v>
      </c>
      <c r="E110" s="8">
        <f t="shared" si="3"/>
        <v>0.42006857734359843</v>
      </c>
      <c r="F110" s="9">
        <f t="shared" si="4"/>
        <v>0.42053783981359683</v>
      </c>
      <c r="G110" s="9">
        <f t="shared" si="5"/>
        <v>0.42024831369866478</v>
      </c>
      <c r="H110" s="4">
        <f>C110*F110</f>
        <v>65.002533899987654</v>
      </c>
      <c r="I110" s="4">
        <f>C110*G110</f>
        <v>64.957781848402618</v>
      </c>
      <c r="J110" s="11">
        <f>LN(H110/D110)</f>
        <v>1.1164856921543952E-3</v>
      </c>
      <c r="K110" s="11">
        <f>LN(I110/D110)</f>
        <v>4.2778232765125886E-4</v>
      </c>
    </row>
    <row r="111" spans="2:11" x14ac:dyDescent="0.3">
      <c r="B111" s="1">
        <v>46183</v>
      </c>
      <c r="C111" s="4">
        <v>152.85</v>
      </c>
      <c r="D111" s="4">
        <v>64.09</v>
      </c>
      <c r="E111" s="8">
        <f t="shared" si="3"/>
        <v>0.41929996728819108</v>
      </c>
      <c r="F111" s="9">
        <f t="shared" si="4"/>
        <v>0.4204572433888395</v>
      </c>
      <c r="G111" s="9">
        <f t="shared" si="5"/>
        <v>0.42024831369866478</v>
      </c>
      <c r="H111" s="4">
        <f>C111*F111</f>
        <v>64.266889651984116</v>
      </c>
      <c r="I111" s="4">
        <f>C111*G111</f>
        <v>64.234954748840906</v>
      </c>
      <c r="J111" s="11">
        <f>LN(H111/D111)</f>
        <v>2.7562176747302136E-3</v>
      </c>
      <c r="K111" s="11">
        <f>LN(I111/D111)</f>
        <v>2.2591835045272296E-3</v>
      </c>
    </row>
    <row r="112" spans="2:11" x14ac:dyDescent="0.3">
      <c r="B112" s="1">
        <v>46184</v>
      </c>
      <c r="C112" s="4">
        <v>154.09</v>
      </c>
      <c r="D112" s="4">
        <v>64.61</v>
      </c>
      <c r="E112" s="8">
        <f t="shared" si="3"/>
        <v>0.41930040885196962</v>
      </c>
      <c r="F112" s="9">
        <f t="shared" si="4"/>
        <v>0.42038416145259533</v>
      </c>
      <c r="G112" s="9">
        <f t="shared" si="5"/>
        <v>0.42024831369866478</v>
      </c>
      <c r="H112" s="4">
        <f>C112*F112</f>
        <v>64.776995438230415</v>
      </c>
      <c r="I112" s="4">
        <f>C112*G112</f>
        <v>64.756062657827258</v>
      </c>
      <c r="J112" s="11">
        <f>LN(H112/D112)</f>
        <v>2.5813340883755666E-3</v>
      </c>
      <c r="K112" s="11">
        <f>LN(I112/D112)</f>
        <v>2.2581304075073778E-3</v>
      </c>
    </row>
    <row r="113" spans="1:11" x14ac:dyDescent="0.3">
      <c r="B113" s="1">
        <v>46185</v>
      </c>
      <c r="C113" s="4">
        <v>153.81</v>
      </c>
      <c r="D113" s="4">
        <v>64.48</v>
      </c>
      <c r="E113" s="8">
        <f t="shared" si="3"/>
        <v>0.41921851635134261</v>
      </c>
      <c r="F113" s="9">
        <f t="shared" si="4"/>
        <v>0.42031596635356971</v>
      </c>
      <c r="G113" s="9">
        <f t="shared" si="5"/>
        <v>0.42024831369866478</v>
      </c>
      <c r="H113" s="4">
        <f>C113*F113</f>
        <v>64.648798784842555</v>
      </c>
      <c r="I113" s="4">
        <f>C113*G113</f>
        <v>64.638393129991627</v>
      </c>
      <c r="J113" s="11">
        <f>LN(H113/D113)</f>
        <v>2.6144265660204436E-3</v>
      </c>
      <c r="K113" s="11">
        <f>LN(I113/D113)</f>
        <v>2.4534569491654014E-3</v>
      </c>
    </row>
    <row r="114" spans="1:11" x14ac:dyDescent="0.3">
      <c r="B114" s="1">
        <v>46188</v>
      </c>
      <c r="C114" s="4">
        <v>152.88999999999999</v>
      </c>
      <c r="D114" s="4">
        <v>64.02</v>
      </c>
      <c r="E114" s="8">
        <f t="shared" si="3"/>
        <v>0.41873242200274707</v>
      </c>
      <c r="F114" s="9">
        <f t="shared" si="4"/>
        <v>0.42026361433172221</v>
      </c>
      <c r="G114" s="9">
        <f t="shared" si="5"/>
        <v>0.42024831369866478</v>
      </c>
      <c r="H114" s="4">
        <f>C114*F114</f>
        <v>64.254103995177005</v>
      </c>
      <c r="I114" s="4">
        <f>C114*G114</f>
        <v>64.251764681388849</v>
      </c>
      <c r="J114" s="11">
        <f>LN(H114/D114)</f>
        <v>3.6500626049803353E-3</v>
      </c>
      <c r="K114" s="11">
        <f>LN(I114/D114)</f>
        <v>3.6136547146245991E-3</v>
      </c>
    </row>
    <row r="115" spans="1:11" x14ac:dyDescent="0.3">
      <c r="B115" s="1">
        <v>46189</v>
      </c>
      <c r="C115" s="4">
        <v>152.94</v>
      </c>
      <c r="D115" s="4">
        <v>63.97</v>
      </c>
      <c r="E115" s="8">
        <f t="shared" si="3"/>
        <v>0.41826860206616973</v>
      </c>
      <c r="F115" s="9">
        <f t="shared" si="4"/>
        <v>0.42019502412210186</v>
      </c>
      <c r="G115" s="9">
        <f t="shared" si="5"/>
        <v>0.42024831369866478</v>
      </c>
      <c r="H115" s="4">
        <f>C115*F115</f>
        <v>64.264626989234259</v>
      </c>
      <c r="I115" s="4">
        <f>C115*G115</f>
        <v>64.272777097073785</v>
      </c>
      <c r="J115" s="11">
        <f>LN(H115/D115)</f>
        <v>4.5951318232533411E-3</v>
      </c>
      <c r="K115" s="11">
        <f>LN(I115/D115)</f>
        <v>4.7219448378521553E-3</v>
      </c>
    </row>
    <row r="116" spans="1:11" x14ac:dyDescent="0.3">
      <c r="B116" s="1">
        <v>46190</v>
      </c>
      <c r="C116" s="4">
        <v>150.71</v>
      </c>
      <c r="D116" s="4">
        <v>63.13</v>
      </c>
      <c r="E116" s="8">
        <f t="shared" si="3"/>
        <v>0.41888394930661532</v>
      </c>
      <c r="F116" s="9">
        <f t="shared" si="4"/>
        <v>0.42015089685216245</v>
      </c>
      <c r="G116" s="9">
        <f t="shared" si="5"/>
        <v>0.42024831369866478</v>
      </c>
      <c r="H116" s="4">
        <f>C116*F116</f>
        <v>63.320941664589405</v>
      </c>
      <c r="I116" s="4">
        <f>C116*G116</f>
        <v>63.335623357525769</v>
      </c>
      <c r="J116" s="11">
        <f>LN(H116/D116)</f>
        <v>3.0200140417969814E-3</v>
      </c>
      <c r="K116" s="11">
        <f>LN(I116/D116)</f>
        <v>3.2518487358701082E-3</v>
      </c>
    </row>
    <row r="117" spans="1:11" x14ac:dyDescent="0.3">
      <c r="A117" s="6">
        <v>0.16336000000000001</v>
      </c>
      <c r="B117" s="1">
        <v>46191</v>
      </c>
      <c r="C117" s="4">
        <v>149.4</v>
      </c>
      <c r="D117" s="4">
        <f>A117+62.68</f>
        <v>62.843359999999997</v>
      </c>
      <c r="E117" s="8">
        <f t="shared" si="3"/>
        <v>0.42063828647925028</v>
      </c>
      <c r="F117" s="9">
        <f t="shared" si="4"/>
        <v>0.42015039086755424</v>
      </c>
      <c r="G117" s="9">
        <f t="shared" si="5"/>
        <v>0.42024831369866478</v>
      </c>
      <c r="H117" s="4">
        <f>C117*F117</f>
        <v>62.770468395612603</v>
      </c>
      <c r="I117" s="4">
        <f>C117*G117</f>
        <v>62.785098066580517</v>
      </c>
      <c r="J117" s="11">
        <f>LN(H117/D117)</f>
        <v>-1.1605666907849197E-3</v>
      </c>
      <c r="K117" s="11">
        <f>LN(I117/D117)</f>
        <v>-9.2752770340510319E-4</v>
      </c>
    </row>
    <row r="118" spans="1:11" x14ac:dyDescent="0.3">
      <c r="A118" s="6" t="s">
        <v>20</v>
      </c>
      <c r="B118" s="1">
        <v>46195</v>
      </c>
      <c r="C118" s="4">
        <v>150.06</v>
      </c>
      <c r="D118" s="4">
        <v>63.18</v>
      </c>
      <c r="E118" s="8">
        <f t="shared" si="3"/>
        <v>0.42103158736505397</v>
      </c>
      <c r="F118" s="9">
        <f t="shared" si="4"/>
        <v>0.42017935801845968</v>
      </c>
      <c r="G118" s="9">
        <f t="shared" si="5"/>
        <v>0.42024831369866478</v>
      </c>
      <c r="H118" s="4">
        <f>C118*F118</f>
        <v>63.05211446425006</v>
      </c>
      <c r="I118" s="4">
        <f>C118*G118</f>
        <v>63.062461953621636</v>
      </c>
      <c r="J118" s="11">
        <f>LN(H118/D118)</f>
        <v>-2.026197216853742E-3</v>
      </c>
      <c r="K118" s="11">
        <f>LN(I118/D118)</f>
        <v>-1.8621005725369994E-3</v>
      </c>
    </row>
    <row r="119" spans="1:11" x14ac:dyDescent="0.3">
      <c r="B119" s="1">
        <v>46196</v>
      </c>
      <c r="C119" s="4">
        <v>152.18</v>
      </c>
      <c r="D119" s="4">
        <v>64.03</v>
      </c>
      <c r="E119" s="8">
        <f t="shared" si="3"/>
        <v>0.42075174135891708</v>
      </c>
      <c r="F119" s="9">
        <f t="shared" si="4"/>
        <v>0.42020820534392767</v>
      </c>
      <c r="G119" s="9">
        <f t="shared" si="5"/>
        <v>0.42024831369866478</v>
      </c>
      <c r="H119" s="4">
        <f>C119*F119</f>
        <v>63.947284689238913</v>
      </c>
      <c r="I119" s="4">
        <f>C119*G119</f>
        <v>63.953388378662808</v>
      </c>
      <c r="J119" s="11">
        <f>LN(H119/D119)</f>
        <v>-1.29265630974711E-3</v>
      </c>
      <c r="K119" s="11">
        <f>LN(I119/D119)</f>
        <v>-1.197212098514719E-3</v>
      </c>
    </row>
    <row r="120" spans="1:11" x14ac:dyDescent="0.3">
      <c r="B120" s="1">
        <v>46197</v>
      </c>
      <c r="C120" s="4">
        <v>153.35</v>
      </c>
      <c r="D120" s="4">
        <v>64.64</v>
      </c>
      <c r="E120" s="8">
        <f t="shared" si="3"/>
        <v>0.42151940006521033</v>
      </c>
      <c r="F120" s="9">
        <f t="shared" si="4"/>
        <v>0.42024182129695598</v>
      </c>
      <c r="G120" s="9">
        <f t="shared" si="5"/>
        <v>0.42024831369866478</v>
      </c>
      <c r="H120" s="4">
        <f>C120*F120</f>
        <v>64.444083295888191</v>
      </c>
      <c r="I120" s="4">
        <f>C120*G120</f>
        <v>64.445078905690238</v>
      </c>
      <c r="J120" s="11">
        <f>LN(H120/D120)</f>
        <v>-3.0354920536180825E-3</v>
      </c>
      <c r="K120" s="11">
        <f>LN(I120/D120)</f>
        <v>-3.0200429687600233E-3</v>
      </c>
    </row>
    <row r="121" spans="1:11" x14ac:dyDescent="0.3">
      <c r="B121" s="1">
        <v>46198</v>
      </c>
      <c r="C121" s="4">
        <v>155.63</v>
      </c>
      <c r="D121" s="4">
        <v>65.66</v>
      </c>
      <c r="E121" s="8">
        <f t="shared" si="3"/>
        <v>0.42189809162757824</v>
      </c>
      <c r="F121" s="9">
        <f t="shared" si="4"/>
        <v>0.42030036590790676</v>
      </c>
      <c r="G121" s="9">
        <f t="shared" si="5"/>
        <v>0.42024831369866478</v>
      </c>
      <c r="H121" s="4">
        <f>C121*F121</f>
        <v>65.411345946247522</v>
      </c>
      <c r="I121" s="4">
        <f>C121*G121</f>
        <v>65.403245060923197</v>
      </c>
      <c r="J121" s="11">
        <f>LN(H121/D121)</f>
        <v>-3.7941832405193883E-3</v>
      </c>
      <c r="K121" s="11">
        <f>LN(I121/D121)</f>
        <v>-3.918036172708559E-3</v>
      </c>
    </row>
    <row r="122" spans="1:11" x14ac:dyDescent="0.3">
      <c r="B122" s="1">
        <v>46199</v>
      </c>
      <c r="C122" s="4">
        <v>160.34</v>
      </c>
      <c r="D122" s="4">
        <v>67.64</v>
      </c>
      <c r="E122" s="8">
        <f t="shared" si="3"/>
        <v>0.42185356118248724</v>
      </c>
      <c r="F122" s="9">
        <f t="shared" si="4"/>
        <v>0.4203432030338391</v>
      </c>
      <c r="G122" s="9">
        <f t="shared" si="5"/>
        <v>0.42024831369866478</v>
      </c>
      <c r="H122" s="4">
        <f>C122*F122</f>
        <v>67.397829174445761</v>
      </c>
      <c r="I122" s="4">
        <f>C122*G122</f>
        <v>67.38261461844391</v>
      </c>
      <c r="J122" s="11">
        <f>LN(H122/D122)</f>
        <v>-3.5867147250865602E-3</v>
      </c>
      <c r="K122" s="11">
        <f>LN(I122/D122)</f>
        <v>-3.8124827317546251E-3</v>
      </c>
    </row>
    <row r="123" spans="1:11" x14ac:dyDescent="0.3">
      <c r="B123" s="1">
        <v>46202</v>
      </c>
      <c r="C123" s="4">
        <v>160.74</v>
      </c>
      <c r="D123" s="4">
        <v>67.930000000000007</v>
      </c>
      <c r="E123" s="8">
        <f t="shared" si="3"/>
        <v>0.42260793828542992</v>
      </c>
      <c r="F123" s="9">
        <f t="shared" si="4"/>
        <v>0.4203891013865263</v>
      </c>
      <c r="G123" s="9">
        <f t="shared" si="5"/>
        <v>0.42024831369866478</v>
      </c>
      <c r="H123" s="4">
        <f>C123*F123</f>
        <v>67.573344156870235</v>
      </c>
      <c r="I123" s="4">
        <f>C123*G123</f>
        <v>67.550713943923384</v>
      </c>
      <c r="J123" s="11">
        <f>LN(H123/D123)</f>
        <v>-5.2641751238263661E-3</v>
      </c>
      <c r="K123" s="11">
        <f>LN(I123/D123)</f>
        <v>-5.599129734818767E-3</v>
      </c>
    </row>
    <row r="124" spans="1:11" x14ac:dyDescent="0.3">
      <c r="B124" s="1">
        <v>46203</v>
      </c>
      <c r="C124" s="4">
        <v>158.66</v>
      </c>
      <c r="D124" s="4">
        <v>67.010000000000005</v>
      </c>
      <c r="E124" s="8">
        <f t="shared" si="3"/>
        <v>0.42234967855792266</v>
      </c>
      <c r="F124" s="9">
        <f t="shared" si="4"/>
        <v>0.42043650955684669</v>
      </c>
      <c r="G124" s="9">
        <f t="shared" si="5"/>
        <v>0.42024831369866478</v>
      </c>
      <c r="H124" s="4">
        <f>C124*F124</f>
        <v>66.706456606289294</v>
      </c>
      <c r="I124" s="4">
        <f>C124*G124</f>
        <v>66.676597451430155</v>
      </c>
      <c r="J124" s="11">
        <f>LN(H124/D124)</f>
        <v>-4.5401130543937891E-3</v>
      </c>
      <c r="K124" s="11">
        <f>LN(I124/D124)</f>
        <v>-4.9878334274030718E-3</v>
      </c>
    </row>
    <row r="125" spans="1:11" x14ac:dyDescent="0.3">
      <c r="B125" s="1">
        <v>46204</v>
      </c>
      <c r="C125" s="4">
        <v>159.54</v>
      </c>
      <c r="D125" s="4">
        <v>67.44</v>
      </c>
      <c r="E125" s="8">
        <f t="shared" si="3"/>
        <v>0.42271530650620537</v>
      </c>
      <c r="F125" s="9">
        <f t="shared" si="4"/>
        <v>0.42053743881658318</v>
      </c>
      <c r="G125" s="9">
        <f t="shared" si="5"/>
        <v>0.42024831369866478</v>
      </c>
      <c r="H125" s="4">
        <f>C125*F125</f>
        <v>67.092542988797675</v>
      </c>
      <c r="I125" s="4">
        <f>C125*G125</f>
        <v>67.046415967484975</v>
      </c>
      <c r="J125" s="11">
        <f>LN(H125/D125)</f>
        <v>-5.165408696475215E-3</v>
      </c>
      <c r="K125" s="11">
        <f>LN(I125/D125)</f>
        <v>-5.8531585267971352E-3</v>
      </c>
    </row>
    <row r="126" spans="1:11" x14ac:dyDescent="0.3">
      <c r="B126" s="1">
        <v>46205</v>
      </c>
      <c r="C126" s="4">
        <v>163.74</v>
      </c>
      <c r="D126" s="4">
        <v>69.209999999999994</v>
      </c>
      <c r="E126" s="8">
        <f t="shared" si="3"/>
        <v>0.42268230120923411</v>
      </c>
      <c r="F126" s="9">
        <f t="shared" si="4"/>
        <v>0.4206007304273669</v>
      </c>
      <c r="G126" s="9">
        <f t="shared" si="5"/>
        <v>0.42024831369866478</v>
      </c>
      <c r="H126" s="4">
        <f>C126*F126</f>
        <v>68.86916360017706</v>
      </c>
      <c r="I126" s="4">
        <f>C126*G126</f>
        <v>68.811458885019377</v>
      </c>
      <c r="J126" s="11">
        <f>LN(H126/D126)</f>
        <v>-4.9368359886396802E-3</v>
      </c>
      <c r="K126" s="11">
        <f>LN(I126/D126)</f>
        <v>-5.7750762216502525E-3</v>
      </c>
    </row>
    <row r="127" spans="1:11" x14ac:dyDescent="0.3">
      <c r="B127" s="1">
        <v>46209</v>
      </c>
      <c r="C127" s="4">
        <v>161.96</v>
      </c>
      <c r="D127" s="4">
        <v>68.569999999999993</v>
      </c>
      <c r="E127" s="8">
        <f t="shared" si="3"/>
        <v>0.42337614225734743</v>
      </c>
      <c r="F127" s="9">
        <f t="shared" si="4"/>
        <v>0.42073455595159659</v>
      </c>
      <c r="G127" s="9">
        <f t="shared" si="5"/>
        <v>0.42024831369866478</v>
      </c>
      <c r="H127" s="4">
        <f>C127*F127</f>
        <v>68.14216868192058</v>
      </c>
      <c r="I127" s="4">
        <f>C127*G127</f>
        <v>68.06341688663575</v>
      </c>
      <c r="J127" s="11">
        <f>LN(H127/D127)</f>
        <v>-6.2588827146096817E-3</v>
      </c>
      <c r="K127" s="11">
        <f>LN(I127/D127)</f>
        <v>-7.4152494484932005E-3</v>
      </c>
    </row>
    <row r="128" spans="1:11" x14ac:dyDescent="0.3">
      <c r="B128" s="1">
        <v>46210</v>
      </c>
      <c r="C128" s="4">
        <v>164.44</v>
      </c>
      <c r="D128" s="4">
        <v>69.569999999999993</v>
      </c>
      <c r="E128" s="8">
        <f t="shared" si="3"/>
        <v>0.42307224519581604</v>
      </c>
      <c r="F128" s="9">
        <f t="shared" si="4"/>
        <v>0.42089607619125813</v>
      </c>
      <c r="G128" s="9">
        <f t="shared" si="5"/>
        <v>0.42024831369866478</v>
      </c>
      <c r="H128" s="4">
        <f>C128*F128</f>
        <v>69.212150768890481</v>
      </c>
      <c r="I128" s="4">
        <f>C128*G128</f>
        <v>69.105632704608439</v>
      </c>
      <c r="J128" s="11">
        <f>LN(H128/D128)</f>
        <v>-5.157003580079516E-3</v>
      </c>
      <c r="K128" s="11">
        <f>LN(I128/D128)</f>
        <v>-6.6971972220527783E-3</v>
      </c>
    </row>
    <row r="129" spans="2:11" x14ac:dyDescent="0.3">
      <c r="B129" s="1">
        <v>46211</v>
      </c>
      <c r="C129" s="4">
        <v>162.30000000000001</v>
      </c>
      <c r="D129" s="4">
        <v>68.56</v>
      </c>
      <c r="E129" s="8">
        <f t="shared" si="3"/>
        <v>0.42242760320394329</v>
      </c>
      <c r="F129" s="9">
        <f t="shared" si="4"/>
        <v>0.42103481632525153</v>
      </c>
      <c r="G129" s="9">
        <f t="shared" si="5"/>
        <v>0.42024831369866478</v>
      </c>
      <c r="H129" s="4">
        <f>C129*F129</f>
        <v>68.33395068958832</v>
      </c>
      <c r="I129" s="4">
        <f>C129*G129</f>
        <v>68.206301313293295</v>
      </c>
      <c r="J129" s="11">
        <f>LN(H129/D129)</f>
        <v>-3.3025493782563226E-3</v>
      </c>
      <c r="K129" s="11">
        <f>LN(I129/D129)</f>
        <v>-5.1723190851594323E-3</v>
      </c>
    </row>
    <row r="130" spans="2:11" x14ac:dyDescent="0.3">
      <c r="B130" s="1">
        <v>46212</v>
      </c>
      <c r="C130" s="4">
        <v>162.16999999999999</v>
      </c>
      <c r="D130" s="4">
        <v>68.62</v>
      </c>
      <c r="E130" s="8">
        <f t="shared" si="3"/>
        <v>0.42313621508293769</v>
      </c>
      <c r="F130" s="9">
        <f t="shared" si="4"/>
        <v>0.42118819821221842</v>
      </c>
      <c r="G130" s="9">
        <f t="shared" si="5"/>
        <v>0.42024831369866478</v>
      </c>
      <c r="H130" s="4">
        <f>C130*F130</f>
        <v>68.304090104075456</v>
      </c>
      <c r="I130" s="4">
        <f>C130*G130</f>
        <v>68.151669032512459</v>
      </c>
      <c r="J130" s="11">
        <f>LN(H130/D130)</f>
        <v>-4.6143882530667842E-3</v>
      </c>
      <c r="K130" s="11">
        <f>LN(I130/D130)</f>
        <v>-6.8483890152013843E-3</v>
      </c>
    </row>
    <row r="131" spans="2:11" x14ac:dyDescent="0.3">
      <c r="B131" s="1">
        <v>46213</v>
      </c>
      <c r="C131" s="4">
        <v>160.84</v>
      </c>
      <c r="D131" s="4">
        <v>67.89</v>
      </c>
      <c r="E131" s="8">
        <f t="shared" ref="E131:E163" si="6">D131/C131</f>
        <v>0.42209649340959959</v>
      </c>
      <c r="F131" s="9">
        <f t="shared" si="4"/>
        <v>0.42132802451828893</v>
      </c>
      <c r="G131" s="9">
        <f t="shared" si="5"/>
        <v>0.42024831369866478</v>
      </c>
      <c r="H131" s="4">
        <f>C131*F131</f>
        <v>67.766399463521594</v>
      </c>
      <c r="I131" s="4">
        <f>C131*G131</f>
        <v>67.592738775293242</v>
      </c>
      <c r="J131" s="11">
        <f>LN(H131/D131)</f>
        <v>-1.8222593430141628E-3</v>
      </c>
      <c r="K131" s="11">
        <f>LN(I131/D131)</f>
        <v>-4.388185600662977E-3</v>
      </c>
    </row>
    <row r="132" spans="2:11" x14ac:dyDescent="0.3">
      <c r="B132" s="1">
        <v>46216</v>
      </c>
      <c r="C132" s="4">
        <v>161.41</v>
      </c>
      <c r="D132" s="4">
        <v>68</v>
      </c>
      <c r="E132" s="8">
        <f t="shared" si="6"/>
        <v>0.42128740474567872</v>
      </c>
      <c r="F132" s="9">
        <f t="shared" si="4"/>
        <v>0.42142737431297428</v>
      </c>
      <c r="G132" s="9">
        <f t="shared" si="5"/>
        <v>0.42024831369866478</v>
      </c>
      <c r="H132" s="4">
        <f>C132*F132</f>
        <v>68.022592487857182</v>
      </c>
      <c r="I132" s="4">
        <f>C132*G132</f>
        <v>67.832280314101482</v>
      </c>
      <c r="J132" s="11">
        <f>LN(H132/D132)</f>
        <v>3.3218728818084237E-4</v>
      </c>
      <c r="K132" s="11">
        <f>LN(I132/D132)</f>
        <v>-2.4695127070989823E-3</v>
      </c>
    </row>
    <row r="133" spans="2:11" x14ac:dyDescent="0.3">
      <c r="B133" s="1">
        <v>46217</v>
      </c>
      <c r="C133" s="4">
        <v>158.29</v>
      </c>
      <c r="D133" s="4">
        <v>66.739999999999995</v>
      </c>
      <c r="E133" s="8">
        <f t="shared" si="6"/>
        <v>0.42163118327121107</v>
      </c>
      <c r="F133" s="9">
        <f t="shared" si="4"/>
        <v>0.42154800765896772</v>
      </c>
      <c r="G133" s="9">
        <f t="shared" si="5"/>
        <v>0.42024831369866478</v>
      </c>
      <c r="H133" s="4">
        <f>C133*F133</f>
        <v>66.726834132337999</v>
      </c>
      <c r="I133" s="4">
        <f>C133*G133</f>
        <v>66.521105575361645</v>
      </c>
      <c r="J133" s="11">
        <f>LN(H133/D133)</f>
        <v>-1.9729047729784562E-4</v>
      </c>
      <c r="K133" s="11">
        <f>LN(I133/D133)</f>
        <v>-3.2851989417615047E-3</v>
      </c>
    </row>
    <row r="134" spans="2:11" x14ac:dyDescent="0.3">
      <c r="B134" s="1">
        <v>46218</v>
      </c>
      <c r="C134" s="4">
        <v>158.29</v>
      </c>
      <c r="D134" s="4">
        <v>66.81</v>
      </c>
      <c r="E134" s="8">
        <f t="shared" si="6"/>
        <v>0.422073409564723</v>
      </c>
      <c r="F134" s="9">
        <f t="shared" si="4"/>
        <v>0.42171505703706658</v>
      </c>
      <c r="G134" s="9">
        <f t="shared" si="5"/>
        <v>0.42024831369866478</v>
      </c>
      <c r="H134" s="4">
        <f>C134*F134</f>
        <v>66.75327637839726</v>
      </c>
      <c r="I134" s="4">
        <f>C134*G134</f>
        <v>66.521105575361645</v>
      </c>
      <c r="J134" s="11">
        <f>LN(H134/D134)</f>
        <v>-8.4938954106466744E-4</v>
      </c>
      <c r="K134" s="11">
        <f>LN(I134/D134)</f>
        <v>-4.3334955559196286E-3</v>
      </c>
    </row>
    <row r="135" spans="2:11" x14ac:dyDescent="0.3">
      <c r="B135" s="1">
        <v>46219</v>
      </c>
      <c r="C135" s="4">
        <v>161.80000000000001</v>
      </c>
      <c r="D135" s="4">
        <v>68.12</v>
      </c>
      <c r="E135" s="8">
        <f t="shared" si="6"/>
        <v>0.42101359703337454</v>
      </c>
      <c r="F135" s="9">
        <f t="shared" si="4"/>
        <v>0.42185230678542673</v>
      </c>
      <c r="G135" s="9">
        <f t="shared" si="5"/>
        <v>0.42024831369866478</v>
      </c>
      <c r="H135" s="4">
        <f>C135*F135</f>
        <v>68.255703237882045</v>
      </c>
      <c r="I135" s="4">
        <f>C135*G135</f>
        <v>67.996177156443963</v>
      </c>
      <c r="J135" s="11">
        <f>LN(H135/D135)</f>
        <v>1.9901387043228173E-3</v>
      </c>
      <c r="K135" s="11">
        <f>LN(I135/D135)</f>
        <v>-1.8193704862767915E-3</v>
      </c>
    </row>
    <row r="136" spans="2:11" x14ac:dyDescent="0.3">
      <c r="B136" s="1">
        <v>46220</v>
      </c>
      <c r="C136" s="4">
        <v>161.09</v>
      </c>
      <c r="D136" s="4">
        <v>67.8</v>
      </c>
      <c r="E136" s="8">
        <f t="shared" si="6"/>
        <v>0.42088273635855727</v>
      </c>
      <c r="F136" s="9">
        <f t="shared" si="4"/>
        <v>0.42195224613802385</v>
      </c>
      <c r="G136" s="9">
        <f t="shared" si="5"/>
        <v>0.42024831369866478</v>
      </c>
      <c r="H136" s="4">
        <f>C136*F136</f>
        <v>67.972287330374257</v>
      </c>
      <c r="I136" s="4">
        <f>C136*G136</f>
        <v>67.697800853717908</v>
      </c>
      <c r="J136" s="11">
        <f>LN(H136/D136)</f>
        <v>2.537887903861411E-3</v>
      </c>
      <c r="K136" s="11">
        <f>LN(I136/D136)</f>
        <v>-1.5084992526561995E-3</v>
      </c>
    </row>
    <row r="137" spans="2:11" x14ac:dyDescent="0.3">
      <c r="B137" s="1">
        <v>46223</v>
      </c>
      <c r="C137" s="4">
        <v>159.25</v>
      </c>
      <c r="D137" s="4">
        <v>66.989999999999995</v>
      </c>
      <c r="E137" s="8">
        <f t="shared" si="6"/>
        <v>0.42065934065934063</v>
      </c>
      <c r="F137" s="9">
        <f t="shared" si="4"/>
        <v>0.42195329884702842</v>
      </c>
      <c r="G137" s="9">
        <f t="shared" si="5"/>
        <v>0.42024831369866478</v>
      </c>
      <c r="H137" s="4">
        <f>C137*F137</f>
        <v>67.196062841389278</v>
      </c>
      <c r="I137" s="4">
        <f>C137*G137</f>
        <v>66.924543956512366</v>
      </c>
      <c r="J137" s="11">
        <f>LN(H137/D137)</f>
        <v>3.0713026227422724E-3</v>
      </c>
      <c r="K137" s="11">
        <f>LN(I137/D137)</f>
        <v>-9.7757938408396874E-4</v>
      </c>
    </row>
    <row r="138" spans="2:11" x14ac:dyDescent="0.3">
      <c r="B138" s="1">
        <v>46224</v>
      </c>
      <c r="C138" s="4">
        <v>160.25</v>
      </c>
      <c r="D138" s="4">
        <v>67.42</v>
      </c>
      <c r="E138" s="8">
        <f t="shared" si="6"/>
        <v>0.42071762870514823</v>
      </c>
      <c r="F138" s="9">
        <f t="shared" si="4"/>
        <v>0.4219376009140331</v>
      </c>
      <c r="G138" s="9">
        <f t="shared" si="5"/>
        <v>0.42024831369866478</v>
      </c>
      <c r="H138" s="4">
        <f>C138*F138</f>
        <v>67.615500546473797</v>
      </c>
      <c r="I138" s="4">
        <f>C138*G138</f>
        <v>67.34479227021103</v>
      </c>
      <c r="J138" s="11">
        <f>LN(H138/D138)</f>
        <v>2.8955449829899944E-3</v>
      </c>
      <c r="K138" s="11">
        <f>LN(I138/D138)</f>
        <v>-1.1161333213158069E-3</v>
      </c>
    </row>
    <row r="139" spans="2:11" x14ac:dyDescent="0.3">
      <c r="B139" s="1">
        <v>46225</v>
      </c>
      <c r="C139" s="4">
        <v>159.43</v>
      </c>
      <c r="D139" s="4">
        <v>67.12</v>
      </c>
      <c r="E139" s="8">
        <f t="shared" si="6"/>
        <v>0.42099981182964313</v>
      </c>
      <c r="F139" s="9">
        <f t="shared" si="4"/>
        <v>0.42195000443756941</v>
      </c>
      <c r="G139" s="9">
        <f t="shared" si="5"/>
        <v>0.42024831369866478</v>
      </c>
      <c r="H139" s="4">
        <f>C139*F139</f>
        <v>67.271489207481693</v>
      </c>
      <c r="I139" s="4">
        <f>C139*G139</f>
        <v>67.000188652978125</v>
      </c>
      <c r="J139" s="11">
        <f>LN(H139/D139)</f>
        <v>2.2544473989749079E-3</v>
      </c>
      <c r="K139" s="11">
        <f>LN(I139/D139)</f>
        <v>-1.7866270558574741E-3</v>
      </c>
    </row>
    <row r="140" spans="2:11" x14ac:dyDescent="0.3">
      <c r="B140" s="1">
        <v>46226</v>
      </c>
      <c r="C140" s="4">
        <v>161.44</v>
      </c>
      <c r="D140" s="4">
        <v>67.98</v>
      </c>
      <c r="E140" s="8">
        <f t="shared" si="6"/>
        <v>0.42108523290386524</v>
      </c>
      <c r="F140" s="9">
        <f t="shared" si="4"/>
        <v>0.421928296079502</v>
      </c>
      <c r="G140" s="9">
        <f t="shared" si="5"/>
        <v>0.42024831369866478</v>
      </c>
      <c r="H140" s="4">
        <f>C140*F140</f>
        <v>68.116104119074805</v>
      </c>
      <c r="I140" s="4">
        <f>C140*G140</f>
        <v>67.844887763512446</v>
      </c>
      <c r="J140" s="11">
        <f>LN(H140/D140)</f>
        <v>2.0001184505491886E-3</v>
      </c>
      <c r="K140" s="11">
        <f>LN(I140/D140)</f>
        <v>-1.9895069788516849E-3</v>
      </c>
    </row>
    <row r="141" spans="2:11" x14ac:dyDescent="0.3">
      <c r="B141" s="1">
        <v>46227</v>
      </c>
      <c r="C141" s="4">
        <v>162.57</v>
      </c>
      <c r="D141" s="4">
        <v>68.41</v>
      </c>
      <c r="E141" s="8">
        <f t="shared" si="6"/>
        <v>0.42080334625084581</v>
      </c>
      <c r="F141" s="9">
        <f t="shared" si="4"/>
        <v>0.42187355881066546</v>
      </c>
      <c r="G141" s="9">
        <f t="shared" si="5"/>
        <v>0.42024831369866478</v>
      </c>
      <c r="H141" s="4">
        <f>C141*F141</f>
        <v>68.583984455849887</v>
      </c>
      <c r="I141" s="4">
        <f>C141*G141</f>
        <v>68.319768357991933</v>
      </c>
      <c r="J141" s="11">
        <f>LN(H141/D141)</f>
        <v>2.5400319595515197E-3</v>
      </c>
      <c r="K141" s="11">
        <f>LN(I141/D141)</f>
        <v>-1.319853842954632E-3</v>
      </c>
    </row>
    <row r="142" spans="2:11" x14ac:dyDescent="0.3">
      <c r="B142" s="1">
        <v>46230</v>
      </c>
      <c r="C142" s="4">
        <v>163.4</v>
      </c>
      <c r="D142" s="4">
        <v>68.72</v>
      </c>
      <c r="E142" s="8">
        <f t="shared" si="6"/>
        <v>0.420563035495716</v>
      </c>
      <c r="F142" s="9">
        <f t="shared" si="4"/>
        <v>0.4218090325263269</v>
      </c>
      <c r="G142" s="9">
        <f t="shared" si="5"/>
        <v>0.42024831369866478</v>
      </c>
      <c r="H142" s="4">
        <f>C142*F142</f>
        <v>68.923595914801822</v>
      </c>
      <c r="I142" s="4">
        <f>C142*G142</f>
        <v>68.668574458361832</v>
      </c>
      <c r="J142" s="11">
        <f>LN(H142/D142)</f>
        <v>2.9583078229092094E-3</v>
      </c>
      <c r="K142" s="11">
        <f>LN(I142/D142)</f>
        <v>-7.4861456627793815E-4</v>
      </c>
    </row>
    <row r="143" spans="2:11" x14ac:dyDescent="0.3">
      <c r="B143" s="1">
        <v>46231</v>
      </c>
      <c r="C143" s="4">
        <v>167.26</v>
      </c>
      <c r="D143" s="4">
        <v>70.290000000000006</v>
      </c>
      <c r="E143" s="8">
        <f t="shared" si="6"/>
        <v>0.42024393160349161</v>
      </c>
      <c r="F143" s="9">
        <f t="shared" si="4"/>
        <v>0.42169083219223003</v>
      </c>
      <c r="G143" s="9">
        <f t="shared" si="5"/>
        <v>0.42024831369866478</v>
      </c>
      <c r="H143" s="4">
        <f>C143*F143</f>
        <v>70.532008592472394</v>
      </c>
      <c r="I143" s="4">
        <f>C143*G143</f>
        <v>70.290732949238674</v>
      </c>
      <c r="J143" s="11">
        <f>LN(H143/D143)</f>
        <v>3.4370881816006486E-3</v>
      </c>
      <c r="K143" s="11">
        <f>LN(I143/D143)</f>
        <v>1.0427449385092134E-5</v>
      </c>
    </row>
    <row r="144" spans="2:11" x14ac:dyDescent="0.3">
      <c r="B144" s="1">
        <v>46232</v>
      </c>
      <c r="C144" s="4">
        <v>166.24</v>
      </c>
      <c r="D144" s="4">
        <v>69.87</v>
      </c>
      <c r="E144" s="8">
        <f t="shared" si="6"/>
        <v>0.42029595765158806</v>
      </c>
      <c r="F144" s="9">
        <f t="shared" si="4"/>
        <v>0.42158814614691326</v>
      </c>
      <c r="G144" s="9">
        <f t="shared" si="5"/>
        <v>0.42024831369866478</v>
      </c>
      <c r="H144" s="4">
        <f>C144*F144</f>
        <v>70.084813415462861</v>
      </c>
      <c r="I144" s="4">
        <f>C144*G144</f>
        <v>69.862079669266038</v>
      </c>
      <c r="J144" s="11">
        <f>LN(H144/D144)</f>
        <v>3.0697562864752076E-3</v>
      </c>
      <c r="K144" s="11">
        <f>LN(I144/D144)</f>
        <v>-1.1336452962265265E-4</v>
      </c>
    </row>
    <row r="145" spans="2:11" x14ac:dyDescent="0.3">
      <c r="B145" s="1">
        <v>46233</v>
      </c>
      <c r="C145" s="4">
        <v>163.52000000000001</v>
      </c>
      <c r="D145" s="4">
        <v>68.819999999999993</v>
      </c>
      <c r="E145" s="8">
        <f t="shared" si="6"/>
        <v>0.42086594911937369</v>
      </c>
      <c r="F145" s="9">
        <f t="shared" si="4"/>
        <v>0.42149567827757178</v>
      </c>
      <c r="G145" s="9">
        <f t="shared" si="5"/>
        <v>0.42024831369866478</v>
      </c>
      <c r="H145" s="4">
        <f>C145*F145</f>
        <v>68.922973311948539</v>
      </c>
      <c r="I145" s="4">
        <f>C145*G145</f>
        <v>68.719004256005675</v>
      </c>
      <c r="J145" s="11">
        <f>LN(H145/D145)</f>
        <v>1.4951518564685616E-3</v>
      </c>
      <c r="K145" s="11">
        <f>LN(I145/D145)</f>
        <v>-1.4686126701750795E-3</v>
      </c>
    </row>
    <row r="146" spans="2:11" x14ac:dyDescent="0.3">
      <c r="B146" s="1">
        <v>46234</v>
      </c>
      <c r="C146" s="4">
        <v>162.55000000000001</v>
      </c>
      <c r="D146" s="4">
        <v>68.34</v>
      </c>
      <c r="E146" s="8">
        <f t="shared" si="6"/>
        <v>0.4204244847739157</v>
      </c>
      <c r="F146" s="9">
        <f t="shared" si="4"/>
        <v>0.42138278745580582</v>
      </c>
      <c r="G146" s="9">
        <f t="shared" si="5"/>
        <v>0.42024831369866478</v>
      </c>
      <c r="H146" s="4">
        <f>C146*F146</f>
        <v>68.495772100941238</v>
      </c>
      <c r="I146" s="4">
        <f>C146*G146</f>
        <v>68.311363391717961</v>
      </c>
      <c r="J146" s="11">
        <f>LN(H146/D146)</f>
        <v>2.2767755220624523E-3</v>
      </c>
      <c r="K146" s="11">
        <f>LN(I146/D146)</f>
        <v>-4.1911925341203519E-4</v>
      </c>
    </row>
    <row r="147" spans="2:11" x14ac:dyDescent="0.3">
      <c r="B147" s="1">
        <v>46237</v>
      </c>
      <c r="C147" s="4">
        <v>162.24</v>
      </c>
      <c r="D147" s="4">
        <v>68.239999999999995</v>
      </c>
      <c r="E147" s="8">
        <f t="shared" si="6"/>
        <v>0.420611439842209</v>
      </c>
      <c r="F147" s="9">
        <f t="shared" si="4"/>
        <v>0.42124455233504898</v>
      </c>
      <c r="G147" s="9">
        <f t="shared" si="5"/>
        <v>0.42024831369866478</v>
      </c>
      <c r="H147" s="4">
        <f>C147*F147</f>
        <v>68.342716170838344</v>
      </c>
      <c r="I147" s="4">
        <f>C147*G147</f>
        <v>68.18108641447138</v>
      </c>
      <c r="J147" s="11">
        <f>LN(H147/D147)</f>
        <v>1.5040876778911921E-3</v>
      </c>
      <c r="K147" s="11">
        <f>LN(I147/D147)</f>
        <v>-8.6370209678576836E-4</v>
      </c>
    </row>
    <row r="148" spans="2:11" x14ac:dyDescent="0.3">
      <c r="B148" s="1">
        <v>46238</v>
      </c>
      <c r="C148" s="4">
        <v>162.1</v>
      </c>
      <c r="D148" s="4">
        <v>68.239999999999995</v>
      </c>
      <c r="E148" s="8">
        <f t="shared" si="6"/>
        <v>0.42097470697100553</v>
      </c>
      <c r="F148" s="9">
        <f t="shared" si="4"/>
        <v>0.42113967542380842</v>
      </c>
      <c r="G148" s="9">
        <f t="shared" si="5"/>
        <v>0.42024831369866478</v>
      </c>
      <c r="H148" s="4">
        <f>C148*F148</f>
        <v>68.266741386199342</v>
      </c>
      <c r="I148" s="4">
        <f>C148*G148</f>
        <v>68.122251650553551</v>
      </c>
      <c r="J148" s="11">
        <f>LN(H148/D148)</f>
        <v>3.917958376249231E-4</v>
      </c>
      <c r="K148" s="11">
        <f>LN(I148/D148)</f>
        <v>-1.7269937579739343E-3</v>
      </c>
    </row>
    <row r="149" spans="2:11" x14ac:dyDescent="0.3">
      <c r="B149" s="1">
        <v>46239</v>
      </c>
      <c r="C149" s="4">
        <v>164.16</v>
      </c>
      <c r="D149" s="4">
        <v>69.099999999999994</v>
      </c>
      <c r="E149" s="8">
        <f t="shared" si="6"/>
        <v>0.42093079922027288</v>
      </c>
      <c r="F149" s="9">
        <f t="shared" ref="F149:F163" si="7">AVERAGE(E130:E149)</f>
        <v>0.4210648352246249</v>
      </c>
      <c r="G149" s="9">
        <f t="shared" si="5"/>
        <v>0.42024831369866478</v>
      </c>
      <c r="H149" s="4">
        <f>C149*F149</f>
        <v>69.122003350474415</v>
      </c>
      <c r="I149" s="4">
        <f>C149*G149</f>
        <v>68.987963176772809</v>
      </c>
      <c r="J149" s="11">
        <f>LN(H149/D149)</f>
        <v>3.1837696064190819E-4</v>
      </c>
      <c r="K149" s="11">
        <f>LN(I149/D149)</f>
        <v>-1.622688107399986E-3</v>
      </c>
    </row>
    <row r="150" spans="2:11" x14ac:dyDescent="0.3">
      <c r="B150" s="1">
        <v>46240</v>
      </c>
      <c r="C150" s="4">
        <v>164.45</v>
      </c>
      <c r="D150" s="4">
        <v>69.239999999999995</v>
      </c>
      <c r="E150" s="8">
        <f t="shared" si="6"/>
        <v>0.42103982973548193</v>
      </c>
      <c r="F150" s="9">
        <f t="shared" si="7"/>
        <v>0.42096001595725208</v>
      </c>
      <c r="G150" s="9">
        <f t="shared" ref="G150:G172" si="8">G149</f>
        <v>0.42024831369866478</v>
      </c>
      <c r="H150" s="4">
        <f>C150*F150</f>
        <v>69.226874624170094</v>
      </c>
      <c r="I150" s="4">
        <f>C150*G150</f>
        <v>69.109835187745418</v>
      </c>
      <c r="J150" s="11">
        <f>LN(H150/D150)</f>
        <v>-1.8958145628454585E-4</v>
      </c>
      <c r="K150" s="11">
        <f>LN(I150/D150)</f>
        <v>-1.8816769891231006E-3</v>
      </c>
    </row>
    <row r="151" spans="2:11" x14ac:dyDescent="0.3">
      <c r="B151" s="1">
        <v>46241</v>
      </c>
      <c r="C151" s="4">
        <v>165.68</v>
      </c>
      <c r="D151" s="4">
        <v>70</v>
      </c>
      <c r="E151" s="8">
        <f t="shared" si="6"/>
        <v>0.42250120714630612</v>
      </c>
      <c r="F151" s="9">
        <f t="shared" si="7"/>
        <v>0.42098025164408737</v>
      </c>
      <c r="G151" s="9">
        <f t="shared" si="8"/>
        <v>0.42024831369866478</v>
      </c>
      <c r="H151" s="4">
        <f>C151*F151</f>
        <v>69.748008092392396</v>
      </c>
      <c r="I151" s="4">
        <f>C151*G151</f>
        <v>69.626740613594777</v>
      </c>
      <c r="J151" s="11">
        <f>LN(H151/D151)</f>
        <v>-3.6063795708288771E-3</v>
      </c>
      <c r="K151" s="11">
        <f>LN(I151/D151)</f>
        <v>-5.3465442782108762E-3</v>
      </c>
    </row>
    <row r="152" spans="2:11" x14ac:dyDescent="0.3">
      <c r="B152" s="1">
        <v>46244</v>
      </c>
      <c r="C152" s="4">
        <v>168.44</v>
      </c>
      <c r="D152" s="4">
        <v>71.14</v>
      </c>
      <c r="E152" s="8">
        <f t="shared" si="6"/>
        <v>0.42234623604844457</v>
      </c>
      <c r="F152" s="9">
        <f t="shared" si="7"/>
        <v>0.42103319320922566</v>
      </c>
      <c r="G152" s="9">
        <f t="shared" si="8"/>
        <v>0.42024831369866478</v>
      </c>
      <c r="H152" s="4">
        <f>C152*F152</f>
        <v>70.918831064161964</v>
      </c>
      <c r="I152" s="4">
        <f>C152*G152</f>
        <v>70.786625959403096</v>
      </c>
      <c r="J152" s="11">
        <f>LN(H152/D152)</f>
        <v>-3.1137679069643395E-3</v>
      </c>
      <c r="K152" s="11">
        <f>LN(I152/D152)</f>
        <v>-4.9796825427627124E-3</v>
      </c>
    </row>
    <row r="153" spans="2:11" x14ac:dyDescent="0.3">
      <c r="B153" s="1">
        <v>46245</v>
      </c>
      <c r="C153" s="4">
        <v>168.01</v>
      </c>
      <c r="D153" s="4">
        <v>70.89</v>
      </c>
      <c r="E153" s="8">
        <f t="shared" si="6"/>
        <v>0.4219391702874829</v>
      </c>
      <c r="F153" s="9">
        <f t="shared" si="7"/>
        <v>0.42104859256003929</v>
      </c>
      <c r="G153" s="9">
        <f t="shared" si="8"/>
        <v>0.42024831369866478</v>
      </c>
      <c r="H153" s="4">
        <f>C153*F153</f>
        <v>70.740374036012199</v>
      </c>
      <c r="I153" s="4">
        <f>C153*G153</f>
        <v>70.605919184512672</v>
      </c>
      <c r="J153" s="11">
        <f>LN(H153/D153)</f>
        <v>-2.1129086281362441E-3</v>
      </c>
      <c r="K153" s="11">
        <f>LN(I153/D153)</f>
        <v>-4.0153977417956817E-3</v>
      </c>
    </row>
    <row r="154" spans="2:11" x14ac:dyDescent="0.3">
      <c r="B154" s="1">
        <v>46246</v>
      </c>
      <c r="C154" s="4">
        <v>168.44</v>
      </c>
      <c r="D154" s="4">
        <v>71.17</v>
      </c>
      <c r="E154" s="8">
        <f t="shared" si="6"/>
        <v>0.42252434101163622</v>
      </c>
      <c r="F154" s="9">
        <f t="shared" si="7"/>
        <v>0.42107113913238498</v>
      </c>
      <c r="G154" s="9">
        <f t="shared" si="8"/>
        <v>0.42024831369866478</v>
      </c>
      <c r="H154" s="4">
        <f>C154*F154</f>
        <v>70.925222675458926</v>
      </c>
      <c r="I154" s="4">
        <f>C154*G154</f>
        <v>70.786625959403096</v>
      </c>
      <c r="J154" s="11">
        <f>LN(H154/D154)</f>
        <v>-3.4452610306549142E-3</v>
      </c>
      <c r="K154" s="11">
        <f>LN(I154/D154)</f>
        <v>-5.4012973336332515E-3</v>
      </c>
    </row>
    <row r="155" spans="2:11" x14ac:dyDescent="0.3">
      <c r="B155" s="1">
        <v>46247</v>
      </c>
      <c r="C155" s="4">
        <v>168.38</v>
      </c>
      <c r="D155" s="4">
        <v>71.11</v>
      </c>
      <c r="E155" s="8">
        <f t="shared" si="6"/>
        <v>0.4223185651502554</v>
      </c>
      <c r="F155" s="9">
        <f t="shared" si="7"/>
        <v>0.42113638753822907</v>
      </c>
      <c r="G155" s="9">
        <f t="shared" si="8"/>
        <v>0.42024831369866478</v>
      </c>
      <c r="H155" s="4">
        <f>C155*F155</f>
        <v>70.910944933687006</v>
      </c>
      <c r="I155" s="4">
        <f>C155*G155</f>
        <v>70.761411060581167</v>
      </c>
      <c r="J155" s="11">
        <f>LN(H155/D155)</f>
        <v>-2.8031808512592763E-3</v>
      </c>
      <c r="K155" s="11">
        <f>LN(I155/D155)</f>
        <v>-4.9141633020892816E-3</v>
      </c>
    </row>
    <row r="156" spans="2:11" x14ac:dyDescent="0.3">
      <c r="B156" s="1">
        <v>46248</v>
      </c>
      <c r="C156" s="4">
        <v>167.37</v>
      </c>
      <c r="D156" s="4">
        <v>70.650000000000006</v>
      </c>
      <c r="E156" s="8">
        <f t="shared" si="6"/>
        <v>0.42211865925793157</v>
      </c>
      <c r="F156" s="9">
        <f t="shared" si="7"/>
        <v>0.42119818368319767</v>
      </c>
      <c r="G156" s="9">
        <f t="shared" si="8"/>
        <v>0.42024831369866478</v>
      </c>
      <c r="H156" s="4">
        <f>C156*F156</f>
        <v>70.495940003056802</v>
      </c>
      <c r="I156" s="4">
        <f>C156*G156</f>
        <v>70.336960263745524</v>
      </c>
      <c r="J156" s="11">
        <f>LN(H156/D156)</f>
        <v>-2.1829895797245004E-3</v>
      </c>
      <c r="K156" s="11">
        <f>LN(I156/D156)</f>
        <v>-4.4406979211704415E-3</v>
      </c>
    </row>
    <row r="157" spans="2:11" x14ac:dyDescent="0.3">
      <c r="B157" s="1">
        <v>46251</v>
      </c>
      <c r="C157" s="4">
        <v>167.05</v>
      </c>
      <c r="D157" s="4">
        <v>70.599999999999994</v>
      </c>
      <c r="E157" s="8">
        <f t="shared" si="6"/>
        <v>0.4226279557018856</v>
      </c>
      <c r="F157" s="9">
        <f t="shared" si="7"/>
        <v>0.4212966144353249</v>
      </c>
      <c r="G157" s="9">
        <f t="shared" si="8"/>
        <v>0.42024831369866478</v>
      </c>
      <c r="H157" s="4">
        <f>C157*F157</f>
        <v>70.377599441421026</v>
      </c>
      <c r="I157" s="4">
        <f>C157*G157</f>
        <v>70.202480803361951</v>
      </c>
      <c r="J157" s="11">
        <f>LN(H157/D157)</f>
        <v>-3.1551217208420248E-3</v>
      </c>
      <c r="K157" s="11">
        <f>LN(I157/D157)</f>
        <v>-5.6464950126113985E-3</v>
      </c>
    </row>
    <row r="158" spans="2:11" x14ac:dyDescent="0.3">
      <c r="B158" s="1">
        <v>46252</v>
      </c>
      <c r="C158" s="4">
        <v>169.73</v>
      </c>
      <c r="D158" s="4">
        <v>71.67</v>
      </c>
      <c r="E158" s="8">
        <f t="shared" si="6"/>
        <v>0.42225888175337306</v>
      </c>
      <c r="F158" s="9">
        <f t="shared" si="7"/>
        <v>0.42137367708773621</v>
      </c>
      <c r="G158" s="9">
        <f t="shared" si="8"/>
        <v>0.42024831369866478</v>
      </c>
      <c r="H158" s="4">
        <f>C158*F158</f>
        <v>71.519754212101461</v>
      </c>
      <c r="I158" s="4">
        <f>C158*G158</f>
        <v>71.32874628407437</v>
      </c>
      <c r="J158" s="11">
        <f>LN(H158/D158)</f>
        <v>-2.0985557781653848E-3</v>
      </c>
      <c r="K158" s="11">
        <f>LN(I158/D158)</f>
        <v>-4.7728301485684896E-3</v>
      </c>
    </row>
    <row r="159" spans="2:11" x14ac:dyDescent="0.3">
      <c r="B159" s="1">
        <v>46253</v>
      </c>
      <c r="C159" s="4">
        <v>175.68</v>
      </c>
      <c r="D159" s="4">
        <v>74.33</v>
      </c>
      <c r="E159" s="8">
        <f t="shared" si="6"/>
        <v>0.4230988160291439</v>
      </c>
      <c r="F159" s="9">
        <f t="shared" si="7"/>
        <v>0.42147862729771124</v>
      </c>
      <c r="G159" s="9">
        <f t="shared" si="8"/>
        <v>0.42024831369866478</v>
      </c>
      <c r="H159" s="4">
        <f>C159*F159</f>
        <v>74.045365243661919</v>
      </c>
      <c r="I159" s="4">
        <f>C159*G159</f>
        <v>73.829223750581434</v>
      </c>
      <c r="J159" s="11">
        <f>LN(H159/D159)</f>
        <v>-3.8366895343706579E-3</v>
      </c>
      <c r="K159" s="11">
        <f>LN(I159/D159)</f>
        <v>-6.7599997322168254E-3</v>
      </c>
    </row>
    <row r="160" spans="2:11" x14ac:dyDescent="0.3">
      <c r="B160" s="1">
        <v>46254</v>
      </c>
      <c r="C160" s="4">
        <v>172.39</v>
      </c>
      <c r="D160" s="4">
        <v>72.98</v>
      </c>
      <c r="E160" s="8">
        <f t="shared" si="6"/>
        <v>0.42334242125413313</v>
      </c>
      <c r="F160" s="9">
        <f t="shared" si="7"/>
        <v>0.42159148671522456</v>
      </c>
      <c r="G160" s="9">
        <f t="shared" si="8"/>
        <v>0.42024831369866478</v>
      </c>
      <c r="H160" s="4">
        <f>C160*F160</f>
        <v>72.678156394837558</v>
      </c>
      <c r="I160" s="4">
        <f>C160*G160</f>
        <v>72.446606798512818</v>
      </c>
      <c r="J160" s="11">
        <f>LN(H160/D160)</f>
        <v>-4.1445538609769751E-3</v>
      </c>
      <c r="K160" s="11">
        <f>LN(I160/D160)</f>
        <v>-7.3355984175949296E-3</v>
      </c>
    </row>
    <row r="161" spans="2:11" x14ac:dyDescent="0.3">
      <c r="B161" s="1">
        <v>46255</v>
      </c>
      <c r="C161" s="4">
        <v>174.62</v>
      </c>
      <c r="D161" s="4">
        <v>73.89</v>
      </c>
      <c r="E161" s="8">
        <f t="shared" si="6"/>
        <v>0.42314740579544152</v>
      </c>
      <c r="F161" s="9">
        <f t="shared" si="7"/>
        <v>0.42170868969245445</v>
      </c>
      <c r="G161" s="9">
        <f t="shared" si="8"/>
        <v>0.42024831369866478</v>
      </c>
      <c r="H161" s="4">
        <f>C161*F161</f>
        <v>73.638771394096395</v>
      </c>
      <c r="I161" s="4">
        <f>C161*G161</f>
        <v>73.383760538060841</v>
      </c>
      <c r="J161" s="11">
        <f>LN(H161/D161)</f>
        <v>-3.4058285224895274E-3</v>
      </c>
      <c r="K161" s="11">
        <f>LN(I161/D161)</f>
        <v>-6.8748357340752964E-3</v>
      </c>
    </row>
    <row r="162" spans="2:11" x14ac:dyDescent="0.3">
      <c r="B162" s="1">
        <v>46258</v>
      </c>
      <c r="C162" s="4">
        <v>174.7</v>
      </c>
      <c r="D162" s="4">
        <v>73.84</v>
      </c>
      <c r="E162" s="8">
        <f t="shared" si="6"/>
        <v>0.422667429879794</v>
      </c>
      <c r="F162" s="9">
        <f t="shared" si="7"/>
        <v>0.42181390941165836</v>
      </c>
      <c r="G162" s="9">
        <f t="shared" si="8"/>
        <v>0.42024831369866478</v>
      </c>
      <c r="H162" s="4">
        <f>C162*F162</f>
        <v>73.690889974216716</v>
      </c>
      <c r="I162" s="4">
        <f>C162*G162</f>
        <v>73.417380403156727</v>
      </c>
      <c r="J162" s="11">
        <f>LN(H162/D162)</f>
        <v>-2.0214082160345285E-3</v>
      </c>
      <c r="K162" s="11">
        <f>LN(I162/D162)</f>
        <v>-5.7398923707666118E-3</v>
      </c>
    </row>
    <row r="163" spans="2:11" x14ac:dyDescent="0.3">
      <c r="B163" s="1">
        <v>46259</v>
      </c>
      <c r="C163" s="4">
        <v>175.29</v>
      </c>
      <c r="D163" s="4">
        <v>74.13</v>
      </c>
      <c r="E163" s="8">
        <f t="shared" si="6"/>
        <v>0.42289919561868905</v>
      </c>
      <c r="F163" s="9">
        <f t="shared" si="7"/>
        <v>0.42194667261241819</v>
      </c>
      <c r="G163" s="9">
        <f t="shared" si="8"/>
        <v>0.42024831369866478</v>
      </c>
      <c r="H163" s="4">
        <f>C163*F163</f>
        <v>73.963032242230781</v>
      </c>
      <c r="I163" s="4">
        <f>C163*G163</f>
        <v>73.665326908238939</v>
      </c>
      <c r="J163" s="11">
        <f>LN(H163/D163)</f>
        <v>-2.2549045824526597E-3</v>
      </c>
      <c r="K163" s="11">
        <f>LN(I163/D163)</f>
        <v>-6.2880827503536746E-3</v>
      </c>
    </row>
    <row r="164" spans="2:11" x14ac:dyDescent="0.3">
      <c r="C164" s="4">
        <v>173.54</v>
      </c>
      <c r="D164" s="4">
        <v>73.400000000000006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DEE5-BADE-4422-8FA0-93FD5DB16791}">
  <dimension ref="A1:K164"/>
  <sheetViews>
    <sheetView tabSelected="1" workbookViewId="0">
      <selection activeCell="M6" sqref="M6"/>
    </sheetView>
  </sheetViews>
  <sheetFormatPr defaultRowHeight="14.4" x14ac:dyDescent="0.3"/>
  <cols>
    <col min="1" max="1" width="8.21875" style="6" customWidth="1"/>
    <col min="2" max="2" width="10.33203125" style="1" bestFit="1" customWidth="1"/>
    <col min="3" max="4" width="8.88671875" style="4"/>
    <col min="5" max="5" width="10.6640625" style="8" bestFit="1" customWidth="1"/>
    <col min="7" max="7" width="10.33203125" style="1" bestFit="1" customWidth="1"/>
    <col min="8" max="9" width="8.88671875" style="4"/>
    <col min="10" max="11" width="8.88671875" style="11"/>
  </cols>
  <sheetData>
    <row r="1" spans="2:11" s="3" customFormat="1" x14ac:dyDescent="0.3">
      <c r="B1" s="2" t="s">
        <v>0</v>
      </c>
      <c r="C1" s="5" t="s">
        <v>16</v>
      </c>
      <c r="D1" s="5" t="s">
        <v>7</v>
      </c>
      <c r="E1" s="7" t="str">
        <f>_xlfn.CONCAT(D1,"/",C1)</f>
        <v>IYR/XLRE</v>
      </c>
      <c r="F1" s="3" t="s">
        <v>13</v>
      </c>
      <c r="G1" s="1"/>
      <c r="H1" s="10" t="s">
        <v>9</v>
      </c>
      <c r="I1" s="10" t="s">
        <v>10</v>
      </c>
      <c r="J1" s="10" t="s">
        <v>11</v>
      </c>
      <c r="K1" s="10" t="s">
        <v>12</v>
      </c>
    </row>
    <row r="2" spans="2:11" x14ac:dyDescent="0.3">
      <c r="B2" s="1">
        <v>46024</v>
      </c>
      <c r="C2" s="4">
        <v>40.380000000000003</v>
      </c>
      <c r="D2" s="4">
        <v>93.99</v>
      </c>
      <c r="E2" s="8">
        <f>D2/C2</f>
        <v>2.3276374442793459</v>
      </c>
    </row>
    <row r="3" spans="2:11" x14ac:dyDescent="0.3">
      <c r="B3" s="1">
        <v>46027</v>
      </c>
      <c r="C3" s="4">
        <v>40.43</v>
      </c>
      <c r="D3" s="4">
        <v>94.13</v>
      </c>
      <c r="E3" s="8">
        <f t="shared" ref="E3:E66" si="0">D3/C3</f>
        <v>2.3282216176106849</v>
      </c>
    </row>
    <row r="4" spans="2:11" x14ac:dyDescent="0.3">
      <c r="B4" s="1">
        <v>46028</v>
      </c>
      <c r="C4" s="4">
        <v>40.700000000000003</v>
      </c>
      <c r="D4" s="4">
        <v>94.79</v>
      </c>
      <c r="E4" s="8">
        <f t="shared" si="0"/>
        <v>2.328992628992629</v>
      </c>
    </row>
    <row r="5" spans="2:11" x14ac:dyDescent="0.3">
      <c r="B5" s="1">
        <v>46029</v>
      </c>
      <c r="C5" s="4">
        <v>40.14</v>
      </c>
      <c r="D5" s="4">
        <v>93.78</v>
      </c>
      <c r="E5" s="8">
        <f t="shared" si="0"/>
        <v>2.3363228699551568</v>
      </c>
    </row>
    <row r="6" spans="2:11" x14ac:dyDescent="0.3">
      <c r="B6" s="1">
        <v>46030</v>
      </c>
      <c r="C6" s="4">
        <v>40.44</v>
      </c>
      <c r="D6" s="4">
        <v>94.58</v>
      </c>
      <c r="E6" s="8">
        <f t="shared" si="0"/>
        <v>2.3387734915924829</v>
      </c>
    </row>
    <row r="7" spans="2:11" x14ac:dyDescent="0.3">
      <c r="B7" s="1">
        <v>46031</v>
      </c>
      <c r="C7" s="4">
        <v>40.5</v>
      </c>
      <c r="D7" s="4">
        <v>94.74</v>
      </c>
      <c r="E7" s="8">
        <f t="shared" si="0"/>
        <v>2.3392592592592591</v>
      </c>
    </row>
    <row r="8" spans="2:11" x14ac:dyDescent="0.3">
      <c r="B8" s="1">
        <v>46034</v>
      </c>
      <c r="C8" s="4">
        <v>40.619999999999997</v>
      </c>
      <c r="D8" s="4">
        <v>94.89</v>
      </c>
      <c r="E8" s="8">
        <f t="shared" si="0"/>
        <v>2.3360413589364848</v>
      </c>
    </row>
    <row r="9" spans="2:11" x14ac:dyDescent="0.3">
      <c r="B9" s="1">
        <v>46035</v>
      </c>
      <c r="C9" s="4">
        <v>40.93</v>
      </c>
      <c r="D9" s="4">
        <v>95.43</v>
      </c>
      <c r="E9" s="8">
        <f t="shared" si="0"/>
        <v>2.3315416564866847</v>
      </c>
    </row>
    <row r="10" spans="2:11" x14ac:dyDescent="0.3">
      <c r="B10" s="1">
        <v>46036</v>
      </c>
      <c r="C10" s="4">
        <v>41.39</v>
      </c>
      <c r="D10" s="4">
        <v>96.35</v>
      </c>
      <c r="E10" s="8">
        <f t="shared" si="0"/>
        <v>2.327856970282677</v>
      </c>
    </row>
    <row r="11" spans="2:11" x14ac:dyDescent="0.3">
      <c r="B11" s="1">
        <v>46037</v>
      </c>
      <c r="C11" s="4">
        <v>41.7</v>
      </c>
      <c r="D11" s="4">
        <v>97.03</v>
      </c>
      <c r="E11" s="8">
        <f t="shared" si="0"/>
        <v>2.3268585131894484</v>
      </c>
      <c r="F11" s="9"/>
      <c r="G11" s="9"/>
    </row>
    <row r="12" spans="2:11" x14ac:dyDescent="0.3">
      <c r="B12" s="1">
        <v>46038</v>
      </c>
      <c r="C12" s="4">
        <v>42.21</v>
      </c>
      <c r="D12" s="4">
        <v>98.31</v>
      </c>
      <c r="E12" s="8">
        <f t="shared" si="0"/>
        <v>2.3290689410092393</v>
      </c>
      <c r="F12" s="9"/>
      <c r="G12" s="9"/>
    </row>
    <row r="13" spans="2:11" x14ac:dyDescent="0.3">
      <c r="B13" s="1">
        <v>46042</v>
      </c>
      <c r="C13" s="4">
        <v>41.4</v>
      </c>
      <c r="D13" s="4">
        <v>96.41</v>
      </c>
      <c r="E13" s="8">
        <f t="shared" si="0"/>
        <v>2.3287439613526568</v>
      </c>
      <c r="F13" s="9"/>
      <c r="G13" s="9"/>
    </row>
    <row r="14" spans="2:11" x14ac:dyDescent="0.3">
      <c r="B14" s="1">
        <v>46043</v>
      </c>
      <c r="C14" s="4">
        <v>41.55</v>
      </c>
      <c r="D14" s="4">
        <v>96.65</v>
      </c>
      <c r="E14" s="8">
        <f t="shared" si="0"/>
        <v>2.3261131167268356</v>
      </c>
      <c r="F14" s="9"/>
      <c r="G14" s="9"/>
    </row>
    <row r="15" spans="2:11" x14ac:dyDescent="0.3">
      <c r="B15" s="1">
        <v>46044</v>
      </c>
      <c r="C15" s="4">
        <v>41.14</v>
      </c>
      <c r="D15" s="4">
        <v>95.76</v>
      </c>
      <c r="E15" s="8">
        <f t="shared" si="0"/>
        <v>2.3276616431696646</v>
      </c>
      <c r="F15" s="9"/>
      <c r="G15" s="9"/>
    </row>
    <row r="16" spans="2:11" x14ac:dyDescent="0.3">
      <c r="B16" s="1">
        <v>46045</v>
      </c>
      <c r="C16" s="4">
        <v>41.25</v>
      </c>
      <c r="D16" s="4">
        <v>96.04</v>
      </c>
      <c r="E16" s="8">
        <f t="shared" si="0"/>
        <v>2.3282424242424242</v>
      </c>
      <c r="F16" s="9"/>
      <c r="G16" s="9"/>
    </row>
    <row r="17" spans="2:11" x14ac:dyDescent="0.3">
      <c r="B17" s="1">
        <v>46048</v>
      </c>
      <c r="C17" s="4">
        <v>41.22</v>
      </c>
      <c r="D17" s="4">
        <v>95.94</v>
      </c>
      <c r="E17" s="8">
        <f t="shared" si="0"/>
        <v>2.3275109170305677</v>
      </c>
      <c r="F17" s="9"/>
      <c r="G17" s="9"/>
    </row>
    <row r="18" spans="2:11" x14ac:dyDescent="0.3">
      <c r="B18" s="1">
        <v>46049</v>
      </c>
      <c r="C18" s="4">
        <v>41.25</v>
      </c>
      <c r="D18" s="4">
        <v>96.03</v>
      </c>
      <c r="E18" s="8">
        <f t="shared" si="0"/>
        <v>2.3279999999999998</v>
      </c>
      <c r="F18" s="9"/>
      <c r="G18" s="9"/>
    </row>
    <row r="19" spans="2:11" x14ac:dyDescent="0.3">
      <c r="B19" s="1">
        <v>46050</v>
      </c>
      <c r="C19" s="4">
        <v>40.85</v>
      </c>
      <c r="D19" s="4">
        <v>95.08</v>
      </c>
      <c r="E19" s="8">
        <f t="shared" si="0"/>
        <v>2.3275397796817625</v>
      </c>
      <c r="F19" s="9"/>
      <c r="G19" s="9"/>
    </row>
    <row r="20" spans="2:11" x14ac:dyDescent="0.3">
      <c r="B20" s="1">
        <v>46051</v>
      </c>
      <c r="C20" s="4">
        <v>41.37</v>
      </c>
      <c r="D20" s="4">
        <v>96.27</v>
      </c>
      <c r="E20" s="8">
        <f t="shared" si="0"/>
        <v>2.3270485859318346</v>
      </c>
      <c r="F20" s="9"/>
      <c r="G20" s="9"/>
    </row>
    <row r="21" spans="2:11" x14ac:dyDescent="0.3">
      <c r="B21" s="1">
        <v>46052</v>
      </c>
      <c r="C21" s="4">
        <v>41.43</v>
      </c>
      <c r="D21" s="4">
        <v>96.21</v>
      </c>
      <c r="E21" s="8">
        <f t="shared" si="0"/>
        <v>2.3222302679217957</v>
      </c>
      <c r="F21" s="9">
        <f t="shared" ref="F21:F84" si="1">AVERAGE(E2:E21)</f>
        <v>2.329683272382582</v>
      </c>
      <c r="G21" s="9">
        <f>AVERAGE(E:E)</f>
        <v>2.3166920145259846</v>
      </c>
      <c r="H21" s="4">
        <f>C21*F21</f>
        <v>96.518777974810376</v>
      </c>
      <c r="I21" s="4">
        <f>C21*G21</f>
        <v>95.980550161811536</v>
      </c>
      <c r="J21" s="11">
        <f>LN(H21/D21)</f>
        <v>3.2042774540511358E-3</v>
      </c>
      <c r="K21" s="11">
        <f>LN(I21/D21)</f>
        <v>-2.3877339131220254E-3</v>
      </c>
    </row>
    <row r="22" spans="2:11" x14ac:dyDescent="0.3">
      <c r="B22" s="1">
        <v>46055</v>
      </c>
      <c r="C22" s="4">
        <v>40.96</v>
      </c>
      <c r="D22" s="4">
        <v>95.23</v>
      </c>
      <c r="E22" s="8">
        <f t="shared" si="0"/>
        <v>2.324951171875</v>
      </c>
      <c r="F22" s="9">
        <f t="shared" si="1"/>
        <v>2.3295489587623646</v>
      </c>
      <c r="G22" s="9">
        <f t="shared" ref="G22:G85" si="2">G21</f>
        <v>2.3166920145259846</v>
      </c>
      <c r="H22" s="4">
        <f>C22*F22</f>
        <v>95.418325350906457</v>
      </c>
      <c r="I22" s="4">
        <f>C22*G22</f>
        <v>94.891704914984331</v>
      </c>
      <c r="J22" s="11">
        <f>LN(H22/D22)</f>
        <v>1.9756314335780752E-3</v>
      </c>
      <c r="K22" s="11">
        <f>LN(I22/D22)</f>
        <v>-3.5587251039615065E-3</v>
      </c>
    </row>
    <row r="23" spans="2:11" x14ac:dyDescent="0.3">
      <c r="B23" s="1">
        <v>46056</v>
      </c>
      <c r="C23" s="4">
        <v>40.81</v>
      </c>
      <c r="D23" s="4">
        <v>95</v>
      </c>
      <c r="E23" s="8">
        <f t="shared" si="0"/>
        <v>2.3278608184268559</v>
      </c>
      <c r="F23" s="9">
        <f t="shared" si="1"/>
        <v>2.3295309188031736</v>
      </c>
      <c r="G23" s="9">
        <f t="shared" si="2"/>
        <v>2.3166920145259846</v>
      </c>
      <c r="H23" s="4">
        <f>C23*F23</f>
        <v>95.068156796357528</v>
      </c>
      <c r="I23" s="4">
        <f>C23*G23</f>
        <v>94.544201112805439</v>
      </c>
      <c r="J23" s="11">
        <f>LN(H23/D23)</f>
        <v>7.1718272463639583E-4</v>
      </c>
      <c r="K23" s="11">
        <f>LN(I23/D23)</f>
        <v>-4.8094298120856908E-3</v>
      </c>
    </row>
    <row r="24" spans="2:11" x14ac:dyDescent="0.3">
      <c r="B24" s="1">
        <v>46057</v>
      </c>
      <c r="C24" s="4">
        <v>41.46</v>
      </c>
      <c r="D24" s="4">
        <v>96.36</v>
      </c>
      <c r="E24" s="8">
        <f t="shared" si="0"/>
        <v>2.3241678726483355</v>
      </c>
      <c r="F24" s="9">
        <f t="shared" si="1"/>
        <v>2.3292896809859593</v>
      </c>
      <c r="G24" s="9">
        <f t="shared" si="2"/>
        <v>2.3166920145259846</v>
      </c>
      <c r="H24" s="4">
        <f>C24*F24</f>
        <v>96.572350173677876</v>
      </c>
      <c r="I24" s="4">
        <f>C24*G24</f>
        <v>96.050050922247323</v>
      </c>
      <c r="J24" s="11">
        <f>LN(H24/D24)</f>
        <v>2.2012924140017709E-3</v>
      </c>
      <c r="K24" s="11">
        <f>LN(I24/D24)</f>
        <v>-3.2217583682962818E-3</v>
      </c>
    </row>
    <row r="25" spans="2:11" x14ac:dyDescent="0.3">
      <c r="B25" s="1">
        <v>46058</v>
      </c>
      <c r="C25" s="4">
        <v>41.23</v>
      </c>
      <c r="D25" s="4">
        <v>96.14</v>
      </c>
      <c r="E25" s="8">
        <f t="shared" si="0"/>
        <v>2.3317972350230418</v>
      </c>
      <c r="F25" s="9">
        <f t="shared" si="1"/>
        <v>2.3290633992393528</v>
      </c>
      <c r="G25" s="9">
        <f t="shared" si="2"/>
        <v>2.3166920145259846</v>
      </c>
      <c r="H25" s="4">
        <f>C25*F25</f>
        <v>96.027283950638505</v>
      </c>
      <c r="I25" s="4">
        <f>C25*G25</f>
        <v>95.517211758906342</v>
      </c>
      <c r="J25" s="11">
        <f>LN(H25/D25)</f>
        <v>-1.1731035582189595E-3</v>
      </c>
      <c r="K25" s="11">
        <f>LN(I25/D25)</f>
        <v>-6.4990033762652452E-3</v>
      </c>
    </row>
    <row r="26" spans="2:11" x14ac:dyDescent="0.3">
      <c r="B26" s="1">
        <v>46059</v>
      </c>
      <c r="C26" s="4">
        <v>41.99</v>
      </c>
      <c r="D26" s="4">
        <v>97.66</v>
      </c>
      <c r="E26" s="8">
        <f t="shared" si="0"/>
        <v>2.3257918552036196</v>
      </c>
      <c r="F26" s="9">
        <f t="shared" si="1"/>
        <v>2.3284143174199095</v>
      </c>
      <c r="G26" s="9">
        <f t="shared" si="2"/>
        <v>2.3166920145259846</v>
      </c>
      <c r="H26" s="4">
        <f>C26*F26</f>
        <v>97.770117188462009</v>
      </c>
      <c r="I26" s="4">
        <f>C26*G26</f>
        <v>97.277897689946101</v>
      </c>
      <c r="J26" s="11">
        <f>LN(H26/D26)</f>
        <v>1.126921497053118E-3</v>
      </c>
      <c r="K26" s="11">
        <f>LN(I26/D26)</f>
        <v>-3.9202515666713657E-3</v>
      </c>
    </row>
    <row r="27" spans="2:11" x14ac:dyDescent="0.3">
      <c r="B27" s="1">
        <v>46062</v>
      </c>
      <c r="C27" s="4">
        <v>42.25</v>
      </c>
      <c r="D27" s="4">
        <v>98.06</v>
      </c>
      <c r="E27" s="8">
        <f t="shared" si="0"/>
        <v>2.3209467455621304</v>
      </c>
      <c r="F27" s="9">
        <f t="shared" si="1"/>
        <v>2.3274986917350531</v>
      </c>
      <c r="G27" s="9">
        <f t="shared" si="2"/>
        <v>2.3166920145259846</v>
      </c>
      <c r="H27" s="4">
        <f>C27*F27</f>
        <v>98.336819725805995</v>
      </c>
      <c r="I27" s="4">
        <f>C27*G27</f>
        <v>97.880237613722855</v>
      </c>
      <c r="J27" s="11">
        <f>LN(H27/D27)</f>
        <v>2.8189856588200154E-3</v>
      </c>
      <c r="K27" s="11">
        <f>LN(I27/D27)</f>
        <v>-1.8348700491634764E-3</v>
      </c>
    </row>
    <row r="28" spans="2:11" x14ac:dyDescent="0.3">
      <c r="B28" s="1">
        <v>46063</v>
      </c>
      <c r="C28" s="4">
        <v>42.84</v>
      </c>
      <c r="D28" s="4">
        <v>99.32</v>
      </c>
      <c r="E28" s="8">
        <f t="shared" si="0"/>
        <v>2.318394024276377</v>
      </c>
      <c r="F28" s="9">
        <f t="shared" si="1"/>
        <v>2.326616325002048</v>
      </c>
      <c r="G28" s="9">
        <f t="shared" si="2"/>
        <v>2.3166920145259846</v>
      </c>
      <c r="H28" s="4">
        <f>C28*F28</f>
        <v>99.672243363087745</v>
      </c>
      <c r="I28" s="4">
        <f>C28*G28</f>
        <v>99.247085902293193</v>
      </c>
      <c r="J28" s="11">
        <f>LN(H28/D28)</f>
        <v>3.5402759930704638E-3</v>
      </c>
      <c r="K28" s="11">
        <f>LN(I28/D28)</f>
        <v>-7.3440268967681381E-4</v>
      </c>
    </row>
    <row r="29" spans="2:11" x14ac:dyDescent="0.3">
      <c r="B29" s="1">
        <v>46064</v>
      </c>
      <c r="C29" s="4">
        <v>42.8</v>
      </c>
      <c r="D29" s="4">
        <v>98.93</v>
      </c>
      <c r="E29" s="8">
        <f t="shared" si="0"/>
        <v>2.3114485981308412</v>
      </c>
      <c r="F29" s="9">
        <f t="shared" si="1"/>
        <v>2.3256116720842557</v>
      </c>
      <c r="G29" s="9">
        <f t="shared" si="2"/>
        <v>2.3166920145259846</v>
      </c>
      <c r="H29" s="4">
        <f>C29*F29</f>
        <v>99.53617956520614</v>
      </c>
      <c r="I29" s="4">
        <f>C29*G29</f>
        <v>99.154418221712135</v>
      </c>
      <c r="J29" s="11">
        <f>LN(H29/D29)</f>
        <v>6.1086624586322111E-3</v>
      </c>
      <c r="K29" s="11">
        <f>LN(I29/D29)</f>
        <v>2.2658856233606704E-3</v>
      </c>
    </row>
    <row r="30" spans="2:11" x14ac:dyDescent="0.3">
      <c r="B30" s="1">
        <v>46065</v>
      </c>
      <c r="C30" s="4">
        <v>42.87</v>
      </c>
      <c r="D30" s="4">
        <v>98.87</v>
      </c>
      <c r="E30" s="8">
        <f t="shared" si="0"/>
        <v>2.3062747842313973</v>
      </c>
      <c r="F30" s="9">
        <f t="shared" si="1"/>
        <v>2.3245325627816915</v>
      </c>
      <c r="G30" s="9">
        <f t="shared" si="2"/>
        <v>2.3166920145259846</v>
      </c>
      <c r="H30" s="4">
        <f>C30*F30</f>
        <v>99.65271096645111</v>
      </c>
      <c r="I30" s="4">
        <f>C30*G30</f>
        <v>99.316586662728952</v>
      </c>
      <c r="J30" s="11">
        <f>LN(H30/D30)</f>
        <v>7.8853952613127717E-3</v>
      </c>
      <c r="K30" s="11">
        <f>LN(I30/D30)</f>
        <v>4.506737071584839E-3</v>
      </c>
    </row>
    <row r="31" spans="2:11" x14ac:dyDescent="0.3">
      <c r="B31" s="1">
        <v>46066</v>
      </c>
      <c r="C31" s="4">
        <v>43.5</v>
      </c>
      <c r="D31" s="4">
        <v>100.22</v>
      </c>
      <c r="E31" s="8">
        <f t="shared" si="0"/>
        <v>2.3039080459770114</v>
      </c>
      <c r="F31" s="9">
        <f t="shared" si="1"/>
        <v>2.3233850394210696</v>
      </c>
      <c r="G31" s="9">
        <f t="shared" si="2"/>
        <v>2.3166920145259846</v>
      </c>
      <c r="H31" s="4">
        <f>C31*F31</f>
        <v>101.06724921481653</v>
      </c>
      <c r="I31" s="4">
        <f>C31*G31</f>
        <v>100.77610263188033</v>
      </c>
      <c r="J31" s="11">
        <f>LN(H31/D31)</f>
        <v>8.4183595507607636E-3</v>
      </c>
      <c r="K31" s="11">
        <f>LN(I31/D31)</f>
        <v>5.5334809338006292E-3</v>
      </c>
    </row>
    <row r="32" spans="2:11" x14ac:dyDescent="0.3">
      <c r="B32" s="1">
        <v>46070</v>
      </c>
      <c r="C32" s="4">
        <v>43.94</v>
      </c>
      <c r="D32" s="4">
        <v>101.21</v>
      </c>
      <c r="E32" s="8">
        <f t="shared" si="0"/>
        <v>2.3033682294037323</v>
      </c>
      <c r="F32" s="9">
        <f t="shared" si="1"/>
        <v>2.3221000038407942</v>
      </c>
      <c r="G32" s="9">
        <f t="shared" si="2"/>
        <v>2.3166920145259846</v>
      </c>
      <c r="H32" s="4">
        <f>C32*F32</f>
        <v>102.03307416876449</v>
      </c>
      <c r="I32" s="4">
        <f>C32*G32</f>
        <v>101.79544711827175</v>
      </c>
      <c r="J32" s="11">
        <f>LN(H32/D32)</f>
        <v>8.0994510801803768E-3</v>
      </c>
      <c r="K32" s="11">
        <f>LN(I32/D32)</f>
        <v>5.7678131263950985E-3</v>
      </c>
    </row>
    <row r="33" spans="2:11" x14ac:dyDescent="0.3">
      <c r="B33" s="1">
        <v>46071</v>
      </c>
      <c r="C33" s="4">
        <v>43.35</v>
      </c>
      <c r="D33" s="4">
        <v>100.01</v>
      </c>
      <c r="E33" s="8">
        <f t="shared" si="0"/>
        <v>2.3070357554786622</v>
      </c>
      <c r="F33" s="9">
        <f t="shared" si="1"/>
        <v>2.3210145935470945</v>
      </c>
      <c r="G33" s="9">
        <f t="shared" si="2"/>
        <v>2.3166920145259846</v>
      </c>
      <c r="H33" s="4">
        <f>C33*F33</f>
        <v>100.61598263026654</v>
      </c>
      <c r="I33" s="4">
        <f>C33*G33</f>
        <v>100.42859882970144</v>
      </c>
      <c r="J33" s="11">
        <f>LN(H33/D33)</f>
        <v>6.0409371225051299E-3</v>
      </c>
      <c r="K33" s="11">
        <f>LN(I33/D33)</f>
        <v>4.1768346088670227E-3</v>
      </c>
    </row>
    <row r="34" spans="2:11" x14ac:dyDescent="0.3">
      <c r="B34" s="1">
        <v>46072</v>
      </c>
      <c r="C34" s="4">
        <v>43.2</v>
      </c>
      <c r="D34" s="4">
        <v>99.83</v>
      </c>
      <c r="E34" s="8">
        <f t="shared" si="0"/>
        <v>2.3108796296296292</v>
      </c>
      <c r="F34" s="9">
        <f t="shared" si="1"/>
        <v>2.3202529191922343</v>
      </c>
      <c r="G34" s="9">
        <f t="shared" si="2"/>
        <v>2.3166920145259846</v>
      </c>
      <c r="H34" s="4">
        <f>C34*F34</f>
        <v>100.23492610910453</v>
      </c>
      <c r="I34" s="4">
        <f>C34*G34</f>
        <v>100.08109502752254</v>
      </c>
      <c r="J34" s="11">
        <f>LN(H34/D34)</f>
        <v>4.0479525312443199E-3</v>
      </c>
      <c r="K34" s="11">
        <f>LN(I34/D34)</f>
        <v>2.5120682724715545E-3</v>
      </c>
    </row>
    <row r="35" spans="2:11" x14ac:dyDescent="0.3">
      <c r="B35" s="1">
        <v>46073</v>
      </c>
      <c r="C35" s="4">
        <v>43.56</v>
      </c>
      <c r="D35" s="4">
        <v>100.54</v>
      </c>
      <c r="E35" s="8">
        <f t="shared" si="0"/>
        <v>2.308080808080808</v>
      </c>
      <c r="F35" s="9">
        <f t="shared" si="1"/>
        <v>2.3192738774377917</v>
      </c>
      <c r="G35" s="9">
        <f t="shared" si="2"/>
        <v>2.3166920145259846</v>
      </c>
      <c r="H35" s="4">
        <f>C35*F35</f>
        <v>101.02757010119021</v>
      </c>
      <c r="I35" s="4">
        <f>C35*G35</f>
        <v>100.91510415275189</v>
      </c>
      <c r="J35" s="11">
        <f>LN(H35/D35)</f>
        <v>4.8377926258566795E-3</v>
      </c>
      <c r="K35" s="11">
        <f>LN(I35/D35)</f>
        <v>3.7239521710713199E-3</v>
      </c>
    </row>
    <row r="36" spans="2:11" x14ac:dyDescent="0.3">
      <c r="B36" s="1">
        <v>46076</v>
      </c>
      <c r="C36" s="4">
        <v>43.61</v>
      </c>
      <c r="D36" s="4">
        <v>100.51</v>
      </c>
      <c r="E36" s="8">
        <f t="shared" si="0"/>
        <v>2.304746617748223</v>
      </c>
      <c r="F36" s="9">
        <f t="shared" si="1"/>
        <v>2.3180990871130813</v>
      </c>
      <c r="G36" s="9">
        <f t="shared" si="2"/>
        <v>2.3166920145259846</v>
      </c>
      <c r="H36" s="4">
        <f>C36*F36</f>
        <v>101.09230118900147</v>
      </c>
      <c r="I36" s="4">
        <f>C36*G36</f>
        <v>101.03093875347818</v>
      </c>
      <c r="J36" s="11">
        <f>LN(H36/D36)</f>
        <v>5.7767476352035821E-3</v>
      </c>
      <c r="K36" s="11">
        <f>LN(I36/D36)</f>
        <v>5.1695691887673444E-3</v>
      </c>
    </row>
    <row r="37" spans="2:11" x14ac:dyDescent="0.3">
      <c r="B37" s="1">
        <v>46077</v>
      </c>
      <c r="C37" s="4">
        <v>43.73</v>
      </c>
      <c r="D37" s="4">
        <v>100.76</v>
      </c>
      <c r="E37" s="8">
        <f t="shared" si="0"/>
        <v>2.3041390349874229</v>
      </c>
      <c r="F37" s="9">
        <f t="shared" si="1"/>
        <v>2.3169304930109242</v>
      </c>
      <c r="G37" s="9">
        <f t="shared" si="2"/>
        <v>2.3166920145259846</v>
      </c>
      <c r="H37" s="4">
        <f>C37*F37</f>
        <v>101.3193704593677</v>
      </c>
      <c r="I37" s="4">
        <f>C37*G37</f>
        <v>101.3089417952213</v>
      </c>
      <c r="J37" s="11">
        <f>LN(H37/D37)</f>
        <v>5.5361602401813974E-3</v>
      </c>
      <c r="K37" s="11">
        <f>LN(I37/D37)</f>
        <v>5.4332263111605212E-3</v>
      </c>
    </row>
    <row r="38" spans="2:11" x14ac:dyDescent="0.3">
      <c r="B38" s="1">
        <v>46078</v>
      </c>
      <c r="C38" s="4">
        <v>43.44</v>
      </c>
      <c r="D38" s="4">
        <v>100.37</v>
      </c>
      <c r="E38" s="8">
        <f t="shared" si="0"/>
        <v>2.3105432780847148</v>
      </c>
      <c r="F38" s="9">
        <f t="shared" si="1"/>
        <v>2.3160576569151599</v>
      </c>
      <c r="G38" s="9">
        <f t="shared" si="2"/>
        <v>2.3166920145259846</v>
      </c>
      <c r="H38" s="4">
        <f>C38*F38</f>
        <v>100.60954461639454</v>
      </c>
      <c r="I38" s="4">
        <f>C38*G38</f>
        <v>100.63710111100876</v>
      </c>
      <c r="J38" s="11">
        <f>LN(H38/D38)</f>
        <v>2.3837722419315045E-3</v>
      </c>
      <c r="K38" s="11">
        <f>LN(I38/D38)</f>
        <v>2.6576301707116556E-3</v>
      </c>
    </row>
    <row r="39" spans="2:11" x14ac:dyDescent="0.3">
      <c r="B39" s="1">
        <v>46079</v>
      </c>
      <c r="C39" s="4">
        <v>43.63</v>
      </c>
      <c r="D39" s="4">
        <v>101.05</v>
      </c>
      <c r="E39" s="8">
        <f t="shared" si="0"/>
        <v>2.3160669264267706</v>
      </c>
      <c r="F39" s="9">
        <f t="shared" si="1"/>
        <v>2.3154840142524105</v>
      </c>
      <c r="G39" s="9">
        <f t="shared" si="2"/>
        <v>2.3166920145259846</v>
      </c>
      <c r="H39" s="4">
        <f>C39*F39</f>
        <v>101.02456754183268</v>
      </c>
      <c r="I39" s="4">
        <f>C39*G39</f>
        <v>101.07727259376871</v>
      </c>
      <c r="J39" s="11">
        <f>LN(H39/D39)</f>
        <v>-2.5171359870735185E-4</v>
      </c>
      <c r="K39" s="11">
        <f>LN(I39/D39)</f>
        <v>2.6985565662913154E-4</v>
      </c>
    </row>
    <row r="40" spans="2:11" x14ac:dyDescent="0.3">
      <c r="B40" s="1">
        <v>46080</v>
      </c>
      <c r="C40" s="4">
        <v>43.84</v>
      </c>
      <c r="D40" s="4">
        <v>101.28</v>
      </c>
      <c r="E40" s="8">
        <f t="shared" si="0"/>
        <v>2.3102189781021898</v>
      </c>
      <c r="F40" s="9">
        <f t="shared" si="1"/>
        <v>2.314642533860928</v>
      </c>
      <c r="G40" s="9">
        <f t="shared" si="2"/>
        <v>2.3166920145259846</v>
      </c>
      <c r="H40" s="4">
        <f>C40*F40</f>
        <v>101.47392868446309</v>
      </c>
      <c r="I40" s="4">
        <f>C40*G40</f>
        <v>101.56377791681918</v>
      </c>
      <c r="J40" s="11">
        <f>LN(H40/D40)</f>
        <v>1.9129468401363559E-3</v>
      </c>
      <c r="K40" s="11">
        <f>LN(I40/D40)</f>
        <v>2.7979966146349767E-3</v>
      </c>
    </row>
    <row r="41" spans="2:11" x14ac:dyDescent="0.3">
      <c r="B41" s="1">
        <v>46083</v>
      </c>
      <c r="C41" s="4">
        <v>43.92</v>
      </c>
      <c r="D41" s="4">
        <v>101.54</v>
      </c>
      <c r="E41" s="8">
        <f t="shared" si="0"/>
        <v>2.3119307832422589</v>
      </c>
      <c r="F41" s="9">
        <f t="shared" si="1"/>
        <v>2.314127559626951</v>
      </c>
      <c r="G41" s="9">
        <f t="shared" si="2"/>
        <v>2.3166920145259846</v>
      </c>
      <c r="H41" s="4">
        <f>C41*F41</f>
        <v>101.63648241881569</v>
      </c>
      <c r="I41" s="4">
        <f>C41*G41</f>
        <v>101.74911327798125</v>
      </c>
      <c r="J41" s="11">
        <f>LN(H41/D41)</f>
        <v>9.4974009707583188E-4</v>
      </c>
      <c r="K41" s="11">
        <f>LN(I41/D41)</f>
        <v>2.0573000527677092E-3</v>
      </c>
    </row>
    <row r="42" spans="2:11" x14ac:dyDescent="0.3">
      <c r="B42" s="1">
        <v>46084</v>
      </c>
      <c r="C42" s="4">
        <v>43.7</v>
      </c>
      <c r="D42" s="4">
        <v>100.96</v>
      </c>
      <c r="E42" s="8">
        <f t="shared" si="0"/>
        <v>2.3102974828375284</v>
      </c>
      <c r="F42" s="9">
        <f t="shared" si="1"/>
        <v>2.3133948751750775</v>
      </c>
      <c r="G42" s="9">
        <f t="shared" si="2"/>
        <v>2.3166920145259846</v>
      </c>
      <c r="H42" s="4">
        <f>C42*F42</f>
        <v>101.09535604515089</v>
      </c>
      <c r="I42" s="4">
        <f>C42*G42</f>
        <v>101.23944103478553</v>
      </c>
      <c r="J42" s="11">
        <f>LN(H42/D42)</f>
        <v>1.3397919070073842E-3</v>
      </c>
      <c r="K42" s="11">
        <f>LN(I42/D42)</f>
        <v>2.7640156793823333E-3</v>
      </c>
    </row>
    <row r="43" spans="2:11" x14ac:dyDescent="0.3">
      <c r="B43" s="1">
        <v>46085</v>
      </c>
      <c r="C43" s="4">
        <v>43.76</v>
      </c>
      <c r="D43" s="4">
        <v>101.06</v>
      </c>
      <c r="E43" s="8">
        <f t="shared" si="0"/>
        <v>2.3094149908592323</v>
      </c>
      <c r="F43" s="9">
        <f t="shared" si="1"/>
        <v>2.3124725837966964</v>
      </c>
      <c r="G43" s="9">
        <f t="shared" si="2"/>
        <v>2.3166920145259846</v>
      </c>
      <c r="H43" s="4">
        <f>C43*F43</f>
        <v>101.19380026694343</v>
      </c>
      <c r="I43" s="4">
        <f>C43*G43</f>
        <v>101.37844255565709</v>
      </c>
      <c r="J43" s="11">
        <f>LN(H43/D43)</f>
        <v>1.3230929286448545E-3</v>
      </c>
      <c r="K43" s="11">
        <f>LN(I43/D43)</f>
        <v>3.1460706207040064E-3</v>
      </c>
    </row>
    <row r="44" spans="2:11" x14ac:dyDescent="0.3">
      <c r="B44" s="1">
        <v>46086</v>
      </c>
      <c r="C44" s="4">
        <v>43.34</v>
      </c>
      <c r="D44" s="4">
        <v>100.18</v>
      </c>
      <c r="E44" s="8">
        <f t="shared" si="0"/>
        <v>2.3114905399169356</v>
      </c>
      <c r="F44" s="9">
        <f t="shared" si="1"/>
        <v>2.3118387171601267</v>
      </c>
      <c r="G44" s="9">
        <f t="shared" si="2"/>
        <v>2.3166920145259846</v>
      </c>
      <c r="H44" s="4">
        <f>C44*F44</f>
        <v>100.1950900017199</v>
      </c>
      <c r="I44" s="4">
        <f>C44*G44</f>
        <v>100.40543190955619</v>
      </c>
      <c r="J44" s="11">
        <f>LN(H44/D44)</f>
        <v>1.50617541814113E-4</v>
      </c>
      <c r="K44" s="11">
        <f>LN(I44/D44)</f>
        <v>2.2477405494830448E-3</v>
      </c>
    </row>
    <row r="45" spans="2:11" x14ac:dyDescent="0.3">
      <c r="B45" s="1">
        <v>46087</v>
      </c>
      <c r="C45" s="4">
        <v>42.89</v>
      </c>
      <c r="D45" s="4">
        <v>99.02</v>
      </c>
      <c r="E45" s="8">
        <f t="shared" si="0"/>
        <v>2.3086966658894847</v>
      </c>
      <c r="F45" s="9">
        <f t="shared" si="1"/>
        <v>2.3106836887034485</v>
      </c>
      <c r="G45" s="9">
        <f t="shared" si="2"/>
        <v>2.3166920145259846</v>
      </c>
      <c r="H45" s="4">
        <f>C45*F45</f>
        <v>99.105223408490914</v>
      </c>
      <c r="I45" s="4">
        <f>C45*G45</f>
        <v>99.362920503019481</v>
      </c>
      <c r="J45" s="11">
        <f>LN(H45/D45)</f>
        <v>8.6029847468183747E-4</v>
      </c>
      <c r="K45" s="11">
        <f>LN(I45/D45)</f>
        <v>3.4571609662529695E-3</v>
      </c>
    </row>
    <row r="46" spans="2:11" x14ac:dyDescent="0.3">
      <c r="B46" s="1">
        <v>46090</v>
      </c>
      <c r="C46" s="4">
        <v>42.98</v>
      </c>
      <c r="D46" s="4">
        <v>99.23</v>
      </c>
      <c r="E46" s="8">
        <f t="shared" si="0"/>
        <v>2.3087482550023268</v>
      </c>
      <c r="F46" s="9">
        <f t="shared" si="1"/>
        <v>2.3098315086933843</v>
      </c>
      <c r="G46" s="9">
        <f t="shared" si="2"/>
        <v>2.3166920145259846</v>
      </c>
      <c r="H46" s="4">
        <f>C46*F46</f>
        <v>99.276558243641645</v>
      </c>
      <c r="I46" s="4">
        <f>C46*G46</f>
        <v>99.571422784326813</v>
      </c>
      <c r="J46" s="11">
        <f>LN(H46/D46)</f>
        <v>4.6908520209421208E-4</v>
      </c>
      <c r="K46" s="11">
        <f>LN(I46/D46)</f>
        <v>3.4348156589549981E-3</v>
      </c>
    </row>
    <row r="47" spans="2:11" x14ac:dyDescent="0.3">
      <c r="B47" s="1">
        <v>46091</v>
      </c>
      <c r="C47" s="4">
        <v>42.92</v>
      </c>
      <c r="D47" s="4">
        <v>99.12</v>
      </c>
      <c r="E47" s="8">
        <f t="shared" si="0"/>
        <v>2.3094128611369991</v>
      </c>
      <c r="F47" s="9">
        <f t="shared" si="1"/>
        <v>2.3092548144721272</v>
      </c>
      <c r="G47" s="9">
        <f t="shared" si="2"/>
        <v>2.3166920145259846</v>
      </c>
      <c r="H47" s="4">
        <f>C47*F47</f>
        <v>99.113216637143708</v>
      </c>
      <c r="I47" s="4">
        <f>C47*G47</f>
        <v>99.432421263455268</v>
      </c>
      <c r="J47" s="11">
        <f>LN(H47/D47)</f>
        <v>-6.8438206008200879E-5</v>
      </c>
      <c r="K47" s="11">
        <f>LN(I47/D47)</f>
        <v>3.1469928123515033E-3</v>
      </c>
    </row>
    <row r="48" spans="2:11" x14ac:dyDescent="0.3">
      <c r="B48" s="1">
        <v>46092</v>
      </c>
      <c r="C48" s="4">
        <v>42.41</v>
      </c>
      <c r="D48" s="4">
        <v>98.01</v>
      </c>
      <c r="E48" s="8">
        <f t="shared" si="0"/>
        <v>2.3110115538788025</v>
      </c>
      <c r="F48" s="9">
        <f t="shared" si="1"/>
        <v>2.3088856909522484</v>
      </c>
      <c r="G48" s="9">
        <f t="shared" si="2"/>
        <v>2.3166920145259846</v>
      </c>
      <c r="H48" s="4">
        <f>C48*F48</f>
        <v>97.919842153284847</v>
      </c>
      <c r="I48" s="4">
        <f>C48*G48</f>
        <v>98.250908336047004</v>
      </c>
      <c r="J48" s="11">
        <f>LN(H48/D48)</f>
        <v>-9.203075150543596E-4</v>
      </c>
      <c r="K48" s="11">
        <f>LN(I48/D48)</f>
        <v>2.4549815761514878E-3</v>
      </c>
    </row>
    <row r="49" spans="1:11" x14ac:dyDescent="0.3">
      <c r="B49" s="1">
        <v>46093</v>
      </c>
      <c r="C49" s="4">
        <v>42.14</v>
      </c>
      <c r="D49" s="4">
        <v>97.32</v>
      </c>
      <c r="E49" s="8">
        <f t="shared" si="0"/>
        <v>2.3094447081158043</v>
      </c>
      <c r="F49" s="9">
        <f t="shared" si="1"/>
        <v>2.3087854964514967</v>
      </c>
      <c r="G49" s="9">
        <f t="shared" si="2"/>
        <v>2.3166920145259846</v>
      </c>
      <c r="H49" s="4">
        <f>C49*F49</f>
        <v>97.292220820466071</v>
      </c>
      <c r="I49" s="4">
        <f>C49*G49</f>
        <v>97.625401492124993</v>
      </c>
      <c r="J49" s="11">
        <f>LN(H49/D49)</f>
        <v>-2.8548237726770594E-4</v>
      </c>
      <c r="K49" s="11">
        <f>LN(I49/D49)</f>
        <v>3.1332028314619343E-3</v>
      </c>
    </row>
    <row r="50" spans="1:11" x14ac:dyDescent="0.3">
      <c r="B50" s="1">
        <v>46094</v>
      </c>
      <c r="C50" s="4">
        <v>42.25</v>
      </c>
      <c r="D50" s="4">
        <v>97.5</v>
      </c>
      <c r="E50" s="8">
        <f t="shared" si="0"/>
        <v>2.3076923076923075</v>
      </c>
      <c r="F50" s="9">
        <f t="shared" si="1"/>
        <v>2.3088563726245424</v>
      </c>
      <c r="G50" s="9">
        <f t="shared" si="2"/>
        <v>2.3166920145259846</v>
      </c>
      <c r="H50" s="4">
        <f>C50*F50</f>
        <v>97.54918174338691</v>
      </c>
      <c r="I50" s="4">
        <f>C50*G50</f>
        <v>97.880237613722855</v>
      </c>
      <c r="J50" s="11">
        <f>LN(H50/D50)</f>
        <v>5.0430095619617514E-4</v>
      </c>
      <c r="K50" s="11">
        <f>LN(I50/D50)</f>
        <v>3.8922881701222078E-3</v>
      </c>
    </row>
    <row r="51" spans="1:11" x14ac:dyDescent="0.3">
      <c r="B51" s="1">
        <v>46097</v>
      </c>
      <c r="C51" s="4">
        <v>42.58</v>
      </c>
      <c r="D51" s="4">
        <v>98.25</v>
      </c>
      <c r="E51" s="8">
        <f t="shared" si="0"/>
        <v>2.307421324565524</v>
      </c>
      <c r="F51" s="9">
        <f t="shared" si="1"/>
        <v>2.3090320365539672</v>
      </c>
      <c r="G51" s="9">
        <f t="shared" si="2"/>
        <v>2.3166920145259846</v>
      </c>
      <c r="H51" s="4">
        <f>C51*F51</f>
        <v>98.318584116467918</v>
      </c>
      <c r="I51" s="4">
        <f>C51*G51</f>
        <v>98.644745978516426</v>
      </c>
      <c r="J51" s="11">
        <f>LN(H51/D51)</f>
        <v>6.9781363648968239E-4</v>
      </c>
      <c r="K51" s="11">
        <f>LN(I51/D51)</f>
        <v>4.0097210867036616E-3</v>
      </c>
    </row>
    <row r="52" spans="1:11" x14ac:dyDescent="0.3">
      <c r="A52" s="6">
        <v>0.27537</v>
      </c>
      <c r="B52" s="1">
        <v>46098</v>
      </c>
      <c r="C52" s="4">
        <v>42.72</v>
      </c>
      <c r="D52" s="4">
        <f>+A52+98.37</f>
        <v>98.64537</v>
      </c>
      <c r="E52" s="8">
        <f t="shared" si="0"/>
        <v>2.3091144662921348</v>
      </c>
      <c r="F52" s="9">
        <f t="shared" si="1"/>
        <v>2.3093193483983874</v>
      </c>
      <c r="G52" s="9">
        <f t="shared" si="2"/>
        <v>2.3166920145259846</v>
      </c>
      <c r="H52" s="4">
        <f>C52*F52</f>
        <v>98.654122563579108</v>
      </c>
      <c r="I52" s="4">
        <f>C52*G52</f>
        <v>98.96908286055006</v>
      </c>
      <c r="J52" s="11">
        <f>LN(H52/D52)</f>
        <v>8.8723629960968546E-5</v>
      </c>
      <c r="K52" s="11">
        <f>LN(I52/D52)</f>
        <v>3.2762092591210974E-3</v>
      </c>
    </row>
    <row r="53" spans="1:11" x14ac:dyDescent="0.3">
      <c r="B53" s="1">
        <v>46099</v>
      </c>
      <c r="C53" s="4">
        <v>42.02</v>
      </c>
      <c r="D53" s="4">
        <f>+A52+96.84</f>
        <v>97.115369999999999</v>
      </c>
      <c r="E53" s="8">
        <f t="shared" si="0"/>
        <v>2.3111701570680627</v>
      </c>
      <c r="F53" s="9">
        <f t="shared" si="1"/>
        <v>2.309526068477858</v>
      </c>
      <c r="G53" s="9">
        <f t="shared" si="2"/>
        <v>2.3166920145259846</v>
      </c>
      <c r="H53" s="4">
        <f>C53*F53</f>
        <v>97.046285397439604</v>
      </c>
      <c r="I53" s="4">
        <f>C53*G53</f>
        <v>97.347398450381874</v>
      </c>
      <c r="J53" s="11">
        <f>LN(H53/D53)</f>
        <v>-7.1161945271184645E-4</v>
      </c>
      <c r="K53" s="11">
        <f>LN(I53/D53)</f>
        <v>2.3863545946778203E-3</v>
      </c>
    </row>
    <row r="54" spans="1:11" x14ac:dyDescent="0.3">
      <c r="B54" s="1">
        <v>46100</v>
      </c>
      <c r="C54" s="4">
        <v>41.92</v>
      </c>
      <c r="D54" s="4">
        <f>+A52+96.47</f>
        <v>96.745369999999994</v>
      </c>
      <c r="E54" s="8">
        <f t="shared" si="0"/>
        <v>2.3078571087786259</v>
      </c>
      <c r="F54" s="9">
        <f t="shared" si="1"/>
        <v>2.3093749424353081</v>
      </c>
      <c r="G54" s="9">
        <f t="shared" si="2"/>
        <v>2.3166920145259846</v>
      </c>
      <c r="H54" s="4">
        <f>C54*F54</f>
        <v>96.808997586888111</v>
      </c>
      <c r="I54" s="4">
        <f>C54*G54</f>
        <v>97.115729248929284</v>
      </c>
      <c r="J54" s="11">
        <f>LN(H54/D54)</f>
        <v>6.5746477305944889E-4</v>
      </c>
      <c r="K54" s="11">
        <f>LN(I54/D54)</f>
        <v>3.8208769158954024E-3</v>
      </c>
    </row>
    <row r="55" spans="1:11" x14ac:dyDescent="0.3">
      <c r="B55" s="1">
        <v>46101</v>
      </c>
      <c r="C55" s="4">
        <v>40.590000000000003</v>
      </c>
      <c r="D55" s="4">
        <f>+A52+93.45</f>
        <v>93.725369999999998</v>
      </c>
      <c r="E55" s="8">
        <f t="shared" si="0"/>
        <v>2.3090753880266073</v>
      </c>
      <c r="F55" s="9">
        <f t="shared" si="1"/>
        <v>2.3094246714325979</v>
      </c>
      <c r="G55" s="9">
        <f t="shared" si="2"/>
        <v>2.3166920145259846</v>
      </c>
      <c r="H55" s="4">
        <f>C55*F55</f>
        <v>93.739547413449159</v>
      </c>
      <c r="I55" s="4">
        <f>C55*G55</f>
        <v>94.03452886960973</v>
      </c>
      <c r="J55" s="11">
        <f>LN(H55/D55)</f>
        <v>1.5125404445601412E-4</v>
      </c>
      <c r="K55" s="11">
        <f>LN(I55/D55)</f>
        <v>3.2931328879719419E-3</v>
      </c>
    </row>
    <row r="56" spans="1:11" x14ac:dyDescent="0.3">
      <c r="A56" s="6" t="s">
        <v>20</v>
      </c>
      <c r="B56" s="1">
        <v>46104</v>
      </c>
      <c r="C56" s="4">
        <v>40.619999999999997</v>
      </c>
      <c r="D56" s="4">
        <v>94.11</v>
      </c>
      <c r="E56" s="8">
        <f t="shared" si="0"/>
        <v>2.3168389955686854</v>
      </c>
      <c r="F56" s="9">
        <f t="shared" si="1"/>
        <v>2.3100292903236213</v>
      </c>
      <c r="G56" s="9">
        <f t="shared" si="2"/>
        <v>2.3166920145259846</v>
      </c>
      <c r="H56" s="4">
        <f>C56*F56</f>
        <v>93.833389772945495</v>
      </c>
      <c r="I56" s="4">
        <f>C56*G56</f>
        <v>94.104029630045488</v>
      </c>
      <c r="J56" s="11">
        <f>LN(H56/D56)</f>
        <v>-2.9435504713681317E-3</v>
      </c>
      <c r="K56" s="11">
        <f>LN(I56/D56)</f>
        <v>-6.3442347717113532E-5</v>
      </c>
    </row>
    <row r="57" spans="1:11" x14ac:dyDescent="0.3">
      <c r="B57" s="1">
        <v>46105</v>
      </c>
      <c r="C57" s="4">
        <v>40.29</v>
      </c>
      <c r="D57" s="4">
        <v>93.49</v>
      </c>
      <c r="E57" s="8">
        <f t="shared" si="0"/>
        <v>2.3204269049391906</v>
      </c>
      <c r="F57" s="9">
        <f t="shared" si="1"/>
        <v>2.3108436838212092</v>
      </c>
      <c r="G57" s="9">
        <f t="shared" si="2"/>
        <v>2.3166920145259846</v>
      </c>
      <c r="H57" s="4">
        <f>C57*F57</f>
        <v>93.103892021156511</v>
      </c>
      <c r="I57" s="4">
        <f>C57*G57</f>
        <v>93.339521265251918</v>
      </c>
      <c r="J57" s="11">
        <f>LN(H57/D57)</f>
        <v>-4.1384905554734059E-3</v>
      </c>
      <c r="K57" s="11">
        <f>LN(I57/D57)</f>
        <v>-1.610867129227629E-3</v>
      </c>
    </row>
    <row r="58" spans="1:11" x14ac:dyDescent="0.3">
      <c r="B58" s="1">
        <v>46106</v>
      </c>
      <c r="C58" s="4">
        <v>40.270000000000003</v>
      </c>
      <c r="D58" s="4">
        <v>93.49</v>
      </c>
      <c r="E58" s="8">
        <f t="shared" si="0"/>
        <v>2.3215793394586539</v>
      </c>
      <c r="F58" s="9">
        <f t="shared" si="1"/>
        <v>2.3113954868899063</v>
      </c>
      <c r="G58" s="9">
        <f t="shared" si="2"/>
        <v>2.3166920145259846</v>
      </c>
      <c r="H58" s="4">
        <f>C58*F58</f>
        <v>93.079896257056532</v>
      </c>
      <c r="I58" s="4">
        <f>C58*G58</f>
        <v>93.293187424961403</v>
      </c>
      <c r="J58" s="11">
        <f>LN(H58/D58)</f>
        <v>-4.396254826517074E-3</v>
      </c>
      <c r="K58" s="11">
        <f>LN(I58/D58)</f>
        <v>-2.1073914691206474E-3</v>
      </c>
    </row>
    <row r="59" spans="1:11" x14ac:dyDescent="0.3">
      <c r="B59" s="1">
        <v>46107</v>
      </c>
      <c r="C59" s="4">
        <v>40.29</v>
      </c>
      <c r="D59" s="4">
        <v>93.34</v>
      </c>
      <c r="E59" s="8">
        <f t="shared" si="0"/>
        <v>2.3167038967485731</v>
      </c>
      <c r="F59" s="9">
        <f t="shared" si="1"/>
        <v>2.3114273354059964</v>
      </c>
      <c r="G59" s="9">
        <f t="shared" si="2"/>
        <v>2.3166920145259846</v>
      </c>
      <c r="H59" s="4">
        <f>C59*F59</f>
        <v>93.127407343507599</v>
      </c>
      <c r="I59" s="4">
        <f>C59*G59</f>
        <v>93.339521265251918</v>
      </c>
      <c r="J59" s="11">
        <f>LN(H59/D59)</f>
        <v>-2.2802134875307932E-3</v>
      </c>
      <c r="K59" s="11">
        <f>LN(I59/D59)</f>
        <v>-5.1289476729009155E-6</v>
      </c>
    </row>
    <row r="60" spans="1:11" x14ac:dyDescent="0.3">
      <c r="B60" s="1">
        <v>46108</v>
      </c>
      <c r="C60" s="4">
        <v>40.01</v>
      </c>
      <c r="D60" s="4">
        <v>92.61</v>
      </c>
      <c r="E60" s="8">
        <f t="shared" si="0"/>
        <v>2.3146713321669585</v>
      </c>
      <c r="F60" s="9">
        <f t="shared" si="1"/>
        <v>2.3116499531092347</v>
      </c>
      <c r="G60" s="9">
        <f t="shared" si="2"/>
        <v>2.3166920145259846</v>
      </c>
      <c r="H60" s="4">
        <f>C60*F60</f>
        <v>92.489114623900477</v>
      </c>
      <c r="I60" s="4">
        <f>C60*G60</f>
        <v>92.690847501184635</v>
      </c>
      <c r="J60" s="11">
        <f>LN(H60/D60)</f>
        <v>-1.3061693302186689E-3</v>
      </c>
      <c r="K60" s="11">
        <f>LN(I60/D60)</f>
        <v>8.726080577066669E-4</v>
      </c>
    </row>
    <row r="61" spans="1:11" x14ac:dyDescent="0.3">
      <c r="B61" s="1">
        <v>46111</v>
      </c>
      <c r="C61" s="4">
        <v>40.21</v>
      </c>
      <c r="D61" s="4">
        <v>93.06</v>
      </c>
      <c r="E61" s="8">
        <f t="shared" si="0"/>
        <v>2.3143496642626213</v>
      </c>
      <c r="F61" s="9">
        <f t="shared" si="1"/>
        <v>2.3117708971602529</v>
      </c>
      <c r="G61" s="9">
        <f t="shared" si="2"/>
        <v>2.3166920145259846</v>
      </c>
      <c r="H61" s="4">
        <f>C61*F61</f>
        <v>92.956307774813766</v>
      </c>
      <c r="I61" s="4">
        <f>C61*G61</f>
        <v>93.154185904089843</v>
      </c>
      <c r="J61" s="11">
        <f>LN(H61/D61)</f>
        <v>-1.114872530983005E-3</v>
      </c>
      <c r="K61" s="11">
        <f>LN(I61/D61)</f>
        <v>1.0115868634210606E-3</v>
      </c>
    </row>
    <row r="62" spans="1:11" x14ac:dyDescent="0.3">
      <c r="B62" s="1">
        <v>46112</v>
      </c>
      <c r="C62" s="4">
        <v>40.83</v>
      </c>
      <c r="D62" s="4">
        <v>94.56</v>
      </c>
      <c r="E62" s="8">
        <f t="shared" si="0"/>
        <v>2.3159441587068335</v>
      </c>
      <c r="F62" s="9">
        <f t="shared" si="1"/>
        <v>2.3120532309537181</v>
      </c>
      <c r="G62" s="9">
        <f t="shared" si="2"/>
        <v>2.3166920145259846</v>
      </c>
      <c r="H62" s="4">
        <f>C62*F62</f>
        <v>94.401133419840306</v>
      </c>
      <c r="I62" s="4">
        <f>C62*G62</f>
        <v>94.590534953095954</v>
      </c>
      <c r="J62" s="11">
        <f>LN(H62/D62)</f>
        <v>-1.6814740123063817E-3</v>
      </c>
      <c r="K62" s="11">
        <f>LN(I62/D62)</f>
        <v>3.2286404443705887E-4</v>
      </c>
    </row>
    <row r="63" spans="1:11" x14ac:dyDescent="0.3">
      <c r="B63" s="1">
        <v>46113</v>
      </c>
      <c r="C63" s="4">
        <v>40.950000000000003</v>
      </c>
      <c r="D63" s="4">
        <v>94.88</v>
      </c>
      <c r="E63" s="8">
        <f t="shared" si="0"/>
        <v>2.3169719169719167</v>
      </c>
      <c r="F63" s="9">
        <f t="shared" si="1"/>
        <v>2.3124310772593524</v>
      </c>
      <c r="G63" s="9">
        <f t="shared" si="2"/>
        <v>2.3166920145259846</v>
      </c>
      <c r="H63" s="4">
        <f>C63*F63</f>
        <v>94.694052613770481</v>
      </c>
      <c r="I63" s="4">
        <f>C63*G63</f>
        <v>94.868537994839073</v>
      </c>
      <c r="J63" s="11">
        <f>LN(H63/D63)</f>
        <v>-1.9617394184425923E-3</v>
      </c>
      <c r="K63" s="11">
        <f>LN(I63/D63)</f>
        <v>-1.2081257959597552E-4</v>
      </c>
    </row>
    <row r="64" spans="1:11" x14ac:dyDescent="0.3">
      <c r="B64" s="1">
        <v>46114</v>
      </c>
      <c r="C64" s="4">
        <v>41.61</v>
      </c>
      <c r="D64" s="4">
        <v>96.25</v>
      </c>
      <c r="E64" s="8">
        <f t="shared" si="0"/>
        <v>2.3131458783946166</v>
      </c>
      <c r="F64" s="9">
        <f t="shared" si="1"/>
        <v>2.3125138441832362</v>
      </c>
      <c r="G64" s="9">
        <f t="shared" si="2"/>
        <v>2.3166920145259846</v>
      </c>
      <c r="H64" s="4">
        <f>C64*F64</f>
        <v>96.223701056464463</v>
      </c>
      <c r="I64" s="4">
        <f>C64*G64</f>
        <v>96.397554724426215</v>
      </c>
      <c r="J64" s="11">
        <f>LN(H64/D64)</f>
        <v>-2.7327311268859872E-4</v>
      </c>
      <c r="K64" s="11">
        <f>LN(I64/D64)</f>
        <v>1.5318621976970087E-3</v>
      </c>
    </row>
    <row r="65" spans="2:11" x14ac:dyDescent="0.3">
      <c r="B65" s="1">
        <v>46118</v>
      </c>
      <c r="C65" s="4">
        <v>41.76</v>
      </c>
      <c r="D65" s="4">
        <v>96.37</v>
      </c>
      <c r="E65" s="8">
        <f t="shared" si="0"/>
        <v>2.307710727969349</v>
      </c>
      <c r="F65" s="9">
        <f t="shared" si="1"/>
        <v>2.3124645472872296</v>
      </c>
      <c r="G65" s="9">
        <f t="shared" si="2"/>
        <v>2.3166920145259846</v>
      </c>
      <c r="H65" s="4">
        <f>C65*F65</f>
        <v>96.568519494714707</v>
      </c>
      <c r="I65" s="4">
        <f>C65*G65</f>
        <v>96.745058526605106</v>
      </c>
      <c r="J65" s="11">
        <f>LN(H65/D65)</f>
        <v>2.0578530952912485E-3</v>
      </c>
      <c r="K65" s="11">
        <f>LN(I65/D65)</f>
        <v>3.8843060819278431E-3</v>
      </c>
    </row>
    <row r="66" spans="2:11" x14ac:dyDescent="0.3">
      <c r="B66" s="1">
        <v>46119</v>
      </c>
      <c r="C66" s="4">
        <v>41.72</v>
      </c>
      <c r="D66" s="4">
        <v>96.46</v>
      </c>
      <c r="E66" s="8">
        <f t="shared" si="0"/>
        <v>2.3120805369127515</v>
      </c>
      <c r="F66" s="9">
        <f t="shared" si="1"/>
        <v>2.3126311613827513</v>
      </c>
      <c r="G66" s="9">
        <f t="shared" si="2"/>
        <v>2.3166920145259846</v>
      </c>
      <c r="H66" s="4">
        <f>C66*F66</f>
        <v>96.482972052888385</v>
      </c>
      <c r="I66" s="4">
        <f>C66*G66</f>
        <v>96.652390846024076</v>
      </c>
      <c r="J66" s="11">
        <f>LN(H66/D66)</f>
        <v>2.3812272354374958E-4</v>
      </c>
      <c r="K66" s="11">
        <f>LN(I66/D66)</f>
        <v>1.9925278624867713E-3</v>
      </c>
    </row>
    <row r="67" spans="2:11" x14ac:dyDescent="0.3">
      <c r="B67" s="1">
        <v>46120</v>
      </c>
      <c r="C67" s="4">
        <v>42.44</v>
      </c>
      <c r="D67" s="4">
        <v>98.19</v>
      </c>
      <c r="E67" s="8">
        <f t="shared" ref="E67:E130" si="3">D67/C67</f>
        <v>2.3136192271442035</v>
      </c>
      <c r="F67" s="9">
        <f t="shared" si="1"/>
        <v>2.3128414796831107</v>
      </c>
      <c r="G67" s="9">
        <f t="shared" si="2"/>
        <v>2.3166920145259846</v>
      </c>
      <c r="H67" s="4">
        <f>C67*F67</f>
        <v>98.15699239775121</v>
      </c>
      <c r="I67" s="4">
        <f>C67*G67</f>
        <v>98.320409096482777</v>
      </c>
      <c r="J67" s="11">
        <f>LN(H67/D67)</f>
        <v>-3.3621704266151086E-4</v>
      </c>
      <c r="K67" s="11">
        <f>LN(I67/D67)</f>
        <v>1.3272489353243707E-3</v>
      </c>
    </row>
    <row r="68" spans="2:11" x14ac:dyDescent="0.3">
      <c r="B68" s="1">
        <v>46121</v>
      </c>
      <c r="C68" s="4">
        <v>42.73</v>
      </c>
      <c r="D68" s="4">
        <v>98.9</v>
      </c>
      <c r="E68" s="8">
        <f t="shared" si="3"/>
        <v>2.3145331149075594</v>
      </c>
      <c r="F68" s="9">
        <f t="shared" si="1"/>
        <v>2.3130175577345491</v>
      </c>
      <c r="G68" s="9">
        <f t="shared" si="2"/>
        <v>2.3166920145259846</v>
      </c>
      <c r="H68" s="4">
        <f>C68*F68</f>
        <v>98.835240241997269</v>
      </c>
      <c r="I68" s="4">
        <f>C68*G68</f>
        <v>98.992249780695317</v>
      </c>
      <c r="J68" s="11">
        <f>LN(H68/D68)</f>
        <v>-6.5501485965657703E-4</v>
      </c>
      <c r="K68" s="11">
        <f>LN(I68/D68)</f>
        <v>9.3232339800774849E-4</v>
      </c>
    </row>
    <row r="69" spans="2:11" x14ac:dyDescent="0.3">
      <c r="B69" s="1">
        <v>46122</v>
      </c>
      <c r="C69" s="4">
        <v>42.82</v>
      </c>
      <c r="D69" s="4">
        <v>99.02</v>
      </c>
      <c r="E69" s="8">
        <f t="shared" si="3"/>
        <v>2.3124708080336291</v>
      </c>
      <c r="F69" s="9">
        <f t="shared" si="1"/>
        <v>2.3131688627304401</v>
      </c>
      <c r="G69" s="9">
        <f t="shared" si="2"/>
        <v>2.3166920145259846</v>
      </c>
      <c r="H69" s="4">
        <f>C69*F69</f>
        <v>99.049890702117452</v>
      </c>
      <c r="I69" s="4">
        <f>C69*G69</f>
        <v>99.200752062002664</v>
      </c>
      <c r="J69" s="11">
        <f>LN(H69/D69)</f>
        <v>3.0181974896236163E-4</v>
      </c>
      <c r="K69" s="11">
        <f>LN(I69/D69)</f>
        <v>1.8237455990007135E-3</v>
      </c>
    </row>
    <row r="70" spans="2:11" x14ac:dyDescent="0.3">
      <c r="B70" s="1">
        <v>46125</v>
      </c>
      <c r="C70" s="4">
        <v>43.02</v>
      </c>
      <c r="D70" s="4">
        <v>99.45</v>
      </c>
      <c r="E70" s="8">
        <f t="shared" si="3"/>
        <v>2.3117154811715479</v>
      </c>
      <c r="F70" s="9">
        <f t="shared" si="1"/>
        <v>2.3133700214044026</v>
      </c>
      <c r="G70" s="9">
        <f t="shared" si="2"/>
        <v>2.3166920145259846</v>
      </c>
      <c r="H70" s="4">
        <f>C70*F70</f>
        <v>99.521178320817413</v>
      </c>
      <c r="I70" s="4">
        <f>C70*G70</f>
        <v>99.664090464907872</v>
      </c>
      <c r="J70" s="11">
        <f>LN(H70/D70)</f>
        <v>7.1546366116327187E-4</v>
      </c>
      <c r="K70" s="11">
        <f>LN(I70/D70)</f>
        <v>2.1504309103437718E-3</v>
      </c>
    </row>
    <row r="71" spans="2:11" x14ac:dyDescent="0.3">
      <c r="B71" s="1">
        <v>46126</v>
      </c>
      <c r="C71" s="4">
        <v>43.43</v>
      </c>
      <c r="D71" s="4">
        <v>100.42</v>
      </c>
      <c r="E71" s="8">
        <f t="shared" si="3"/>
        <v>2.3122265714943588</v>
      </c>
      <c r="F71" s="9">
        <f t="shared" si="1"/>
        <v>2.3136102837508443</v>
      </c>
      <c r="G71" s="9">
        <f t="shared" si="2"/>
        <v>2.3166920145259846</v>
      </c>
      <c r="H71" s="4">
        <f>C71*F71</f>
        <v>100.48009462329917</v>
      </c>
      <c r="I71" s="4">
        <f>C71*G71</f>
        <v>100.61393419086352</v>
      </c>
      <c r="J71" s="11">
        <f>LN(H71/D71)</f>
        <v>5.982538256561296E-4</v>
      </c>
      <c r="K71" s="11">
        <f>LN(I71/D71)</f>
        <v>1.9293683109119419E-3</v>
      </c>
    </row>
    <row r="72" spans="2:11" x14ac:dyDescent="0.3">
      <c r="B72" s="1">
        <v>46127</v>
      </c>
      <c r="C72" s="4">
        <v>43.41</v>
      </c>
      <c r="D72" s="4">
        <v>100.47</v>
      </c>
      <c r="E72" s="8">
        <f t="shared" si="3"/>
        <v>2.3144436765722185</v>
      </c>
      <c r="F72" s="9">
        <f t="shared" si="1"/>
        <v>2.3138767442648485</v>
      </c>
      <c r="G72" s="9">
        <f t="shared" si="2"/>
        <v>2.3166920145259846</v>
      </c>
      <c r="H72" s="4">
        <f>C72*F72</f>
        <v>100.44538946853706</v>
      </c>
      <c r="I72" s="4">
        <f>C72*G72</f>
        <v>100.56760035057299</v>
      </c>
      <c r="J72" s="11">
        <f>LN(H72/D72)</f>
        <v>-2.4498403682389811E-4</v>
      </c>
      <c r="K72" s="11">
        <f>LN(I72/D72)</f>
        <v>9.7096620801999237E-4</v>
      </c>
    </row>
    <row r="73" spans="2:11" x14ac:dyDescent="0.3">
      <c r="B73" s="1">
        <v>46128</v>
      </c>
      <c r="C73" s="4">
        <v>43.81</v>
      </c>
      <c r="D73" s="4">
        <v>101.36</v>
      </c>
      <c r="E73" s="8">
        <f t="shared" si="3"/>
        <v>2.3136270257931977</v>
      </c>
      <c r="F73" s="9">
        <f t="shared" si="1"/>
        <v>2.313999587701105</v>
      </c>
      <c r="G73" s="9">
        <f t="shared" si="2"/>
        <v>2.3166920145259846</v>
      </c>
      <c r="H73" s="4">
        <f>C73*F73</f>
        <v>101.37632193718542</v>
      </c>
      <c r="I73" s="4">
        <f>C73*G73</f>
        <v>101.49427715638339</v>
      </c>
      <c r="J73" s="11">
        <f>LN(H73/D73)</f>
        <v>1.6101640855201036E-4</v>
      </c>
      <c r="K73" s="11">
        <f>LN(I73/D73)</f>
        <v>1.3238781836642686E-3</v>
      </c>
    </row>
    <row r="74" spans="2:11" x14ac:dyDescent="0.3">
      <c r="B74" s="1">
        <v>46129</v>
      </c>
      <c r="C74" s="4">
        <v>44.48</v>
      </c>
      <c r="D74" s="4">
        <v>102.98</v>
      </c>
      <c r="E74" s="8">
        <f t="shared" si="3"/>
        <v>2.315197841726619</v>
      </c>
      <c r="F74" s="9">
        <f t="shared" si="1"/>
        <v>2.3143666243485046</v>
      </c>
      <c r="G74" s="9">
        <f t="shared" si="2"/>
        <v>2.3166920145259846</v>
      </c>
      <c r="H74" s="4">
        <f>C74*F74</f>
        <v>102.94302745102148</v>
      </c>
      <c r="I74" s="4">
        <f>C74*G74</f>
        <v>103.04646080611579</v>
      </c>
      <c r="J74" s="11">
        <f>LN(H74/D74)</f>
        <v>-3.5909096552700417E-4</v>
      </c>
      <c r="K74" s="11">
        <f>LN(I74/D74)</f>
        <v>6.451676950723149E-4</v>
      </c>
    </row>
    <row r="75" spans="2:11" x14ac:dyDescent="0.3">
      <c r="B75" s="1">
        <v>46132</v>
      </c>
      <c r="C75" s="4">
        <v>44.64</v>
      </c>
      <c r="D75" s="4">
        <v>103.23</v>
      </c>
      <c r="E75" s="8">
        <f t="shared" si="3"/>
        <v>2.3125</v>
      </c>
      <c r="F75" s="9">
        <f t="shared" si="1"/>
        <v>2.3145378549471745</v>
      </c>
      <c r="G75" s="9">
        <f t="shared" si="2"/>
        <v>2.3166920145259846</v>
      </c>
      <c r="H75" s="4">
        <f>C75*F75</f>
        <v>103.32096984484187</v>
      </c>
      <c r="I75" s="4">
        <f>C75*G75</f>
        <v>103.41713152843995</v>
      </c>
      <c r="J75" s="11">
        <f>LN(H75/D75)</f>
        <v>8.8084651252988617E-4</v>
      </c>
      <c r="K75" s="11">
        <f>LN(I75/D75)</f>
        <v>1.8111219662975901E-3</v>
      </c>
    </row>
    <row r="76" spans="2:11" x14ac:dyDescent="0.3">
      <c r="B76" s="1">
        <v>46133</v>
      </c>
      <c r="C76" s="4">
        <v>43.78</v>
      </c>
      <c r="D76" s="4">
        <v>101.45</v>
      </c>
      <c r="E76" s="8">
        <f t="shared" si="3"/>
        <v>2.3172681589767019</v>
      </c>
      <c r="F76" s="9">
        <f t="shared" si="1"/>
        <v>2.314559313117575</v>
      </c>
      <c r="G76" s="9">
        <f t="shared" si="2"/>
        <v>2.3166920145259846</v>
      </c>
      <c r="H76" s="4">
        <f>C76*F76</f>
        <v>101.33140672828743</v>
      </c>
      <c r="I76" s="4">
        <f>C76*G76</f>
        <v>101.4247763959476</v>
      </c>
      <c r="J76" s="11">
        <f>LN(H76/D76)</f>
        <v>-1.1696662642476261E-3</v>
      </c>
      <c r="K76" s="11">
        <f>LN(I76/D76)</f>
        <v>-2.4866180636609652E-4</v>
      </c>
    </row>
    <row r="77" spans="2:11" x14ac:dyDescent="0.3">
      <c r="B77" s="1">
        <v>46134</v>
      </c>
      <c r="C77" s="4">
        <v>43.46</v>
      </c>
      <c r="D77" s="4">
        <v>100.63</v>
      </c>
      <c r="E77" s="8">
        <f t="shared" si="3"/>
        <v>2.3154624942475839</v>
      </c>
      <c r="F77" s="9">
        <f t="shared" si="1"/>
        <v>2.3143110925829946</v>
      </c>
      <c r="G77" s="9">
        <f t="shared" si="2"/>
        <v>2.3166920145259846</v>
      </c>
      <c r="H77" s="4">
        <f>C77*F77</f>
        <v>100.57996008365694</v>
      </c>
      <c r="I77" s="4">
        <f>C77*G77</f>
        <v>100.68343495129929</v>
      </c>
      <c r="J77" s="11">
        <f>LN(H77/D77)</f>
        <v>-4.9739006313496547E-4</v>
      </c>
      <c r="K77" s="11">
        <f>LN(I77/D77)</f>
        <v>5.3086325378264151E-4</v>
      </c>
    </row>
    <row r="78" spans="2:11" x14ac:dyDescent="0.3">
      <c r="B78" s="1">
        <v>46135</v>
      </c>
      <c r="C78" s="4">
        <v>43.96</v>
      </c>
      <c r="D78" s="4">
        <v>101.66</v>
      </c>
      <c r="E78" s="8">
        <f t="shared" si="3"/>
        <v>2.3125568698817105</v>
      </c>
      <c r="F78" s="9">
        <f t="shared" si="1"/>
        <v>2.3138599691041479</v>
      </c>
      <c r="G78" s="9">
        <f t="shared" si="2"/>
        <v>2.3166920145259846</v>
      </c>
      <c r="H78" s="4">
        <f>C78*F78</f>
        <v>101.71728424181835</v>
      </c>
      <c r="I78" s="4">
        <f>C78*G78</f>
        <v>101.84178095856228</v>
      </c>
      <c r="J78" s="11">
        <f>LN(H78/D78)</f>
        <v>5.6332980889962068E-4</v>
      </c>
      <c r="K78" s="11">
        <f>LN(I78/D78)</f>
        <v>1.7865298874050282E-3</v>
      </c>
    </row>
    <row r="79" spans="2:11" x14ac:dyDescent="0.3">
      <c r="B79" s="1">
        <v>46136</v>
      </c>
      <c r="C79" s="4">
        <v>43.83</v>
      </c>
      <c r="D79" s="4">
        <v>101.41</v>
      </c>
      <c r="E79" s="8">
        <f t="shared" si="3"/>
        <v>2.3137120693588864</v>
      </c>
      <c r="F79" s="9">
        <f t="shared" si="1"/>
        <v>2.313710377734663</v>
      </c>
      <c r="G79" s="9">
        <f t="shared" si="2"/>
        <v>2.3166920145259846</v>
      </c>
      <c r="H79" s="4">
        <f>C79*F79</f>
        <v>101.40992585611028</v>
      </c>
      <c r="I79" s="4">
        <f>C79*G79</f>
        <v>101.54061099667391</v>
      </c>
      <c r="J79" s="11">
        <f>LN(H79/D79)</f>
        <v>-7.3113023195736328E-7</v>
      </c>
      <c r="K79" s="11">
        <f>LN(I79/D79)</f>
        <v>1.2871211775535624E-3</v>
      </c>
    </row>
    <row r="80" spans="2:11" x14ac:dyDescent="0.3">
      <c r="B80" s="1">
        <v>46139</v>
      </c>
      <c r="C80" s="4">
        <v>43.49</v>
      </c>
      <c r="D80" s="4">
        <v>100.83</v>
      </c>
      <c r="E80" s="8">
        <f t="shared" si="3"/>
        <v>2.3184640147160267</v>
      </c>
      <c r="F80" s="9">
        <f t="shared" si="1"/>
        <v>2.3139000118621169</v>
      </c>
      <c r="G80" s="9">
        <f t="shared" si="2"/>
        <v>2.3166920145259846</v>
      </c>
      <c r="H80" s="4">
        <f>C80*F80</f>
        <v>100.63151151588347</v>
      </c>
      <c r="I80" s="4">
        <f>C80*G80</f>
        <v>100.75293571173508</v>
      </c>
      <c r="J80" s="11">
        <f>LN(H80/D80)</f>
        <v>-1.9704860431902327E-3</v>
      </c>
      <c r="K80" s="11">
        <f>LN(I80/D80)</f>
        <v>-7.6459142483611129E-4</v>
      </c>
    </row>
    <row r="81" spans="2:11" x14ac:dyDescent="0.3">
      <c r="B81" s="1">
        <v>46140</v>
      </c>
      <c r="C81" s="4">
        <v>43.91</v>
      </c>
      <c r="D81" s="4">
        <v>101.74</v>
      </c>
      <c r="E81" s="8">
        <f t="shared" si="3"/>
        <v>2.3170120701434755</v>
      </c>
      <c r="F81" s="9">
        <f t="shared" si="1"/>
        <v>2.3140331321561591</v>
      </c>
      <c r="G81" s="9">
        <f t="shared" si="2"/>
        <v>2.3166920145259846</v>
      </c>
      <c r="H81" s="4">
        <f>C81*F81</f>
        <v>101.60919483297694</v>
      </c>
      <c r="I81" s="4">
        <f>C81*G81</f>
        <v>101.72594635783598</v>
      </c>
      <c r="J81" s="11">
        <f>LN(H81/D81)</f>
        <v>-1.2865080205685449E-3</v>
      </c>
      <c r="K81" s="11">
        <f>LN(I81/D81)</f>
        <v>-1.3814245025201824E-4</v>
      </c>
    </row>
    <row r="82" spans="2:11" x14ac:dyDescent="0.3">
      <c r="B82" s="1">
        <v>46141</v>
      </c>
      <c r="C82" s="4">
        <v>43.64</v>
      </c>
      <c r="D82" s="4">
        <v>100.9</v>
      </c>
      <c r="E82" s="8">
        <f t="shared" si="3"/>
        <v>2.3120989917506876</v>
      </c>
      <c r="F82" s="9">
        <f t="shared" si="1"/>
        <v>2.3138408738083518</v>
      </c>
      <c r="G82" s="9">
        <f t="shared" si="2"/>
        <v>2.3166920145259846</v>
      </c>
      <c r="H82" s="4">
        <f>C82*F82</f>
        <v>100.97601573299647</v>
      </c>
      <c r="I82" s="4">
        <f>C82*G82</f>
        <v>101.10043951391397</v>
      </c>
      <c r="J82" s="11">
        <f>LN(H82/D82)</f>
        <v>7.5309329157457962E-4</v>
      </c>
      <c r="K82" s="11">
        <f>LN(I82/D82)</f>
        <v>1.9845459760475465E-3</v>
      </c>
    </row>
    <row r="83" spans="2:11" x14ac:dyDescent="0.3">
      <c r="B83" s="1">
        <v>46142</v>
      </c>
      <c r="C83" s="4">
        <v>44.4</v>
      </c>
      <c r="D83" s="4">
        <v>102.63</v>
      </c>
      <c r="E83" s="8">
        <f t="shared" si="3"/>
        <v>2.3114864864864866</v>
      </c>
      <c r="F83" s="9">
        <f t="shared" si="1"/>
        <v>2.3135666022840811</v>
      </c>
      <c r="G83" s="9">
        <f t="shared" si="2"/>
        <v>2.3166920145259846</v>
      </c>
      <c r="H83" s="4">
        <f>C83*F83</f>
        <v>102.7223571414132</v>
      </c>
      <c r="I83" s="4">
        <f>C83*G83</f>
        <v>102.86112544495371</v>
      </c>
      <c r="J83" s="11">
        <f>LN(H83/D83)</f>
        <v>8.9949926970418444E-4</v>
      </c>
      <c r="K83" s="11">
        <f>LN(I83/D83)</f>
        <v>2.2494941512968972E-3</v>
      </c>
    </row>
    <row r="84" spans="2:11" x14ac:dyDescent="0.3">
      <c r="B84" s="1">
        <v>46143</v>
      </c>
      <c r="C84" s="4">
        <v>44.32</v>
      </c>
      <c r="D84" s="4">
        <v>102.36</v>
      </c>
      <c r="E84" s="8">
        <f t="shared" si="3"/>
        <v>2.3095667870036101</v>
      </c>
      <c r="F84" s="9">
        <f t="shared" si="1"/>
        <v>2.3133876477145305</v>
      </c>
      <c r="G84" s="9">
        <f t="shared" si="2"/>
        <v>2.3166920145259846</v>
      </c>
      <c r="H84" s="4">
        <f>C84*F84</f>
        <v>102.529340546708</v>
      </c>
      <c r="I84" s="4">
        <f>C84*G84</f>
        <v>102.67579008379164</v>
      </c>
      <c r="J84" s="11">
        <f>LN(H84/D84)</f>
        <v>1.6529955615544501E-3</v>
      </c>
      <c r="K84" s="11">
        <f>LN(I84/D84)</f>
        <v>3.0803435181810672E-3</v>
      </c>
    </row>
    <row r="85" spans="2:11" x14ac:dyDescent="0.3">
      <c r="B85" s="1">
        <v>46146</v>
      </c>
      <c r="C85" s="4">
        <v>44.08</v>
      </c>
      <c r="D85" s="4">
        <v>101.63</v>
      </c>
      <c r="E85" s="8">
        <f t="shared" si="3"/>
        <v>2.3055807622504538</v>
      </c>
      <c r="F85" s="9">
        <f t="shared" ref="F85:F148" si="4">AVERAGE(E66:E85)</f>
        <v>2.3132811494285859</v>
      </c>
      <c r="G85" s="9">
        <f t="shared" si="2"/>
        <v>2.3166920145259846</v>
      </c>
      <c r="H85" s="4">
        <f>C85*F85</f>
        <v>101.96943306681206</v>
      </c>
      <c r="I85" s="4">
        <f>C85*G85</f>
        <v>102.1197840003054</v>
      </c>
      <c r="J85" s="11">
        <f>LN(H85/D85)</f>
        <v>3.3343254072579513E-3</v>
      </c>
      <c r="K85" s="11">
        <f>LN(I85/D85)</f>
        <v>4.807710065724718E-3</v>
      </c>
    </row>
    <row r="86" spans="2:11" x14ac:dyDescent="0.3">
      <c r="B86" s="1">
        <v>46147</v>
      </c>
      <c r="C86" s="4">
        <v>44.17</v>
      </c>
      <c r="D86" s="4">
        <v>101.94</v>
      </c>
      <c r="E86" s="8">
        <f t="shared" si="3"/>
        <v>2.3079012904686436</v>
      </c>
      <c r="F86" s="9">
        <f t="shared" si="4"/>
        <v>2.3130721871063802</v>
      </c>
      <c r="G86" s="9">
        <f t="shared" ref="G86:G149" si="5">G85</f>
        <v>2.3166920145259846</v>
      </c>
      <c r="H86" s="4">
        <f>C86*F86</f>
        <v>102.16839850448882</v>
      </c>
      <c r="I86" s="4">
        <f>C86*G86</f>
        <v>102.32828628161275</v>
      </c>
      <c r="J86" s="11">
        <f>LN(H86/D86)</f>
        <v>2.2380127568874622E-3</v>
      </c>
      <c r="K86" s="11">
        <f>LN(I86/D86)</f>
        <v>3.8017330672803626E-3</v>
      </c>
    </row>
    <row r="87" spans="2:11" x14ac:dyDescent="0.3">
      <c r="B87" s="1">
        <v>46148</v>
      </c>
      <c r="C87" s="4">
        <v>44.74</v>
      </c>
      <c r="D87" s="4">
        <v>103.28</v>
      </c>
      <c r="E87" s="8">
        <f t="shared" si="3"/>
        <v>2.3084488153777381</v>
      </c>
      <c r="F87" s="9">
        <f t="shared" si="4"/>
        <v>2.312813666518057</v>
      </c>
      <c r="G87" s="9">
        <f t="shared" si="5"/>
        <v>2.3166920145259846</v>
      </c>
      <c r="H87" s="4">
        <f>C87*F87</f>
        <v>103.47528344001788</v>
      </c>
      <c r="I87" s="4">
        <f>C87*G87</f>
        <v>103.64880072989256</v>
      </c>
      <c r="J87" s="11">
        <f>LN(H87/D87)</f>
        <v>1.8890303052003675E-3</v>
      </c>
      <c r="K87" s="11">
        <f>LN(I87/D87)</f>
        <v>3.5645218943373318E-3</v>
      </c>
    </row>
    <row r="88" spans="2:11" x14ac:dyDescent="0.3">
      <c r="B88" s="1">
        <v>46149</v>
      </c>
      <c r="C88" s="4">
        <v>44.4</v>
      </c>
      <c r="D88" s="4">
        <v>102.56</v>
      </c>
      <c r="E88" s="8">
        <f t="shared" si="3"/>
        <v>2.3099099099099099</v>
      </c>
      <c r="F88" s="9">
        <f t="shared" si="4"/>
        <v>2.3125825062681744</v>
      </c>
      <c r="G88" s="9">
        <f t="shared" si="5"/>
        <v>2.3166920145259846</v>
      </c>
      <c r="H88" s="4">
        <f>C88*F88</f>
        <v>102.67866327830694</v>
      </c>
      <c r="I88" s="4">
        <f>C88*G88</f>
        <v>102.86112544495371</v>
      </c>
      <c r="J88" s="11">
        <f>LN(H88/D88)</f>
        <v>1.1563444200414017E-3</v>
      </c>
      <c r="K88" s="11">
        <f>LN(I88/D88)</f>
        <v>2.9317886365599595E-3</v>
      </c>
    </row>
    <row r="89" spans="2:11" x14ac:dyDescent="0.3">
      <c r="B89" s="1">
        <v>46150</v>
      </c>
      <c r="C89" s="4">
        <v>44.41</v>
      </c>
      <c r="D89" s="4">
        <v>102.77</v>
      </c>
      <c r="E89" s="8">
        <f t="shared" si="3"/>
        <v>2.314118441792389</v>
      </c>
      <c r="F89" s="9">
        <f t="shared" si="4"/>
        <v>2.312664887956112</v>
      </c>
      <c r="G89" s="9">
        <f t="shared" si="5"/>
        <v>2.3166920145259846</v>
      </c>
      <c r="H89" s="4">
        <f>C89*F89</f>
        <v>102.70544767413092</v>
      </c>
      <c r="I89" s="4">
        <f>C89*G89</f>
        <v>102.88429236509897</v>
      </c>
      <c r="J89" s="11">
        <f>LN(H89/D89)</f>
        <v>-6.2832157051825443E-4</v>
      </c>
      <c r="K89" s="11">
        <f>LN(I89/D89)</f>
        <v>1.1115000377699305E-3</v>
      </c>
    </row>
    <row r="90" spans="2:11" x14ac:dyDescent="0.3">
      <c r="B90" s="1">
        <v>46153</v>
      </c>
      <c r="C90" s="4">
        <v>44.57</v>
      </c>
      <c r="D90" s="4">
        <v>102.84</v>
      </c>
      <c r="E90" s="8">
        <f t="shared" si="3"/>
        <v>2.3073816468476553</v>
      </c>
      <c r="F90" s="9">
        <f t="shared" si="4"/>
        <v>2.3124481962399175</v>
      </c>
      <c r="G90" s="9">
        <f t="shared" si="5"/>
        <v>2.3166920145259846</v>
      </c>
      <c r="H90" s="4">
        <f>C90*F90</f>
        <v>103.06581610641312</v>
      </c>
      <c r="I90" s="4">
        <f>C90*G90</f>
        <v>103.25496308742314</v>
      </c>
      <c r="J90" s="11">
        <f>LN(H90/D90)</f>
        <v>2.1933930883171861E-3</v>
      </c>
      <c r="K90" s="11">
        <f>LN(I90/D90)</f>
        <v>4.0269169315165299E-3</v>
      </c>
    </row>
    <row r="91" spans="2:11" x14ac:dyDescent="0.3">
      <c r="B91" s="1">
        <v>46154</v>
      </c>
      <c r="C91" s="4">
        <v>44.58</v>
      </c>
      <c r="D91" s="4">
        <v>102.85</v>
      </c>
      <c r="E91" s="8">
        <f t="shared" si="3"/>
        <v>2.3070883804396591</v>
      </c>
      <c r="F91" s="9">
        <f t="shared" si="4"/>
        <v>2.3121912866871828</v>
      </c>
      <c r="G91" s="9">
        <f t="shared" si="5"/>
        <v>2.3166920145259846</v>
      </c>
      <c r="H91" s="4">
        <f>C91*F91</f>
        <v>103.0774875605146</v>
      </c>
      <c r="I91" s="4">
        <f>C91*G91</f>
        <v>103.27813000756839</v>
      </c>
      <c r="J91" s="11">
        <f>LN(H91/D91)</f>
        <v>2.2093957028097612E-3</v>
      </c>
      <c r="K91" s="11">
        <f>LN(I91/D91)</f>
        <v>4.1540242294974749E-3</v>
      </c>
    </row>
    <row r="92" spans="2:11" x14ac:dyDescent="0.3">
      <c r="B92" s="1">
        <v>46155</v>
      </c>
      <c r="C92" s="4">
        <v>44.21</v>
      </c>
      <c r="D92" s="4">
        <v>102.01</v>
      </c>
      <c r="E92" s="8">
        <f t="shared" si="3"/>
        <v>2.307396516625198</v>
      </c>
      <c r="F92" s="9">
        <f t="shared" si="4"/>
        <v>2.3118389286898315</v>
      </c>
      <c r="G92" s="9">
        <f t="shared" si="5"/>
        <v>2.3166920145259846</v>
      </c>
      <c r="H92" s="4">
        <f>C92*F92</f>
        <v>102.20639903737745</v>
      </c>
      <c r="I92" s="4">
        <f>C92*G92</f>
        <v>102.42095396219378</v>
      </c>
      <c r="J92" s="11">
        <f>LN(H92/D92)</f>
        <v>1.9234410052616085E-3</v>
      </c>
      <c r="K92" s="11">
        <f>LN(I92/D92)</f>
        <v>4.0204725144651144E-3</v>
      </c>
    </row>
    <row r="93" spans="2:11" x14ac:dyDescent="0.3">
      <c r="B93" s="1">
        <v>46156</v>
      </c>
      <c r="C93" s="4">
        <v>43.91</v>
      </c>
      <c r="D93" s="4">
        <v>101.33</v>
      </c>
      <c r="E93" s="8">
        <f t="shared" si="3"/>
        <v>2.3076747893418359</v>
      </c>
      <c r="F93" s="9">
        <f t="shared" si="4"/>
        <v>2.3115413168672636</v>
      </c>
      <c r="G93" s="9">
        <f t="shared" si="5"/>
        <v>2.3166920145259846</v>
      </c>
      <c r="H93" s="4">
        <f>C93*F93</f>
        <v>101.49977922364154</v>
      </c>
      <c r="I93" s="4">
        <f>C93*G93</f>
        <v>101.72594635783598</v>
      </c>
      <c r="J93" s="11">
        <f>LN(H93/D93)</f>
        <v>1.6741058827136846E-3</v>
      </c>
      <c r="K93" s="11">
        <f>LN(I93/D93)</f>
        <v>3.8998794841407047E-3</v>
      </c>
    </row>
    <row r="94" spans="2:11" x14ac:dyDescent="0.3">
      <c r="B94" s="1">
        <v>46157</v>
      </c>
      <c r="C94" s="4">
        <v>43.23</v>
      </c>
      <c r="D94" s="4">
        <v>99.8</v>
      </c>
      <c r="E94" s="8">
        <f t="shared" si="3"/>
        <v>2.3085820032384921</v>
      </c>
      <c r="F94" s="9">
        <f t="shared" si="4"/>
        <v>2.3112105249428572</v>
      </c>
      <c r="G94" s="9">
        <f t="shared" si="5"/>
        <v>2.3166920145259846</v>
      </c>
      <c r="H94" s="4">
        <f>C94*F94</f>
        <v>99.91363099327971</v>
      </c>
      <c r="I94" s="4">
        <f>C94*G94</f>
        <v>100.15059578795831</v>
      </c>
      <c r="J94" s="11">
        <f>LN(H94/D94)</f>
        <v>1.1379394083052758E-3</v>
      </c>
      <c r="K94" s="11">
        <f>LN(I94/D94)</f>
        <v>3.5068277328628278E-3</v>
      </c>
    </row>
    <row r="95" spans="2:11" x14ac:dyDescent="0.3">
      <c r="B95" s="1">
        <v>46160</v>
      </c>
      <c r="C95" s="4">
        <v>43.75</v>
      </c>
      <c r="D95" s="4">
        <v>100.91</v>
      </c>
      <c r="E95" s="8">
        <f t="shared" si="3"/>
        <v>2.3065142857142855</v>
      </c>
      <c r="F95" s="9">
        <f t="shared" si="4"/>
        <v>2.3109112392285711</v>
      </c>
      <c r="G95" s="9">
        <f t="shared" si="5"/>
        <v>2.3166920145259846</v>
      </c>
      <c r="H95" s="4">
        <f>C95*F95</f>
        <v>101.10236671624999</v>
      </c>
      <c r="I95" s="4">
        <f>C95*G95</f>
        <v>101.35527563551183</v>
      </c>
      <c r="J95" s="11">
        <f>LN(H95/D95)</f>
        <v>1.9045049322674724E-3</v>
      </c>
      <c r="K95" s="11">
        <f>LN(I95/D95)</f>
        <v>4.4028946979268518E-3</v>
      </c>
    </row>
    <row r="96" spans="2:11" x14ac:dyDescent="0.3">
      <c r="B96" s="1">
        <v>46161</v>
      </c>
      <c r="C96" s="4">
        <v>43.94</v>
      </c>
      <c r="D96" s="4">
        <v>101.26</v>
      </c>
      <c r="E96" s="8">
        <f t="shared" si="3"/>
        <v>2.3045061447428314</v>
      </c>
      <c r="F96" s="9">
        <f t="shared" si="4"/>
        <v>2.3102731385168775</v>
      </c>
      <c r="G96" s="9">
        <f t="shared" si="5"/>
        <v>2.3166920145259846</v>
      </c>
      <c r="H96" s="4">
        <f>C96*F96</f>
        <v>101.51340170643159</v>
      </c>
      <c r="I96" s="4">
        <f>C96*G96</f>
        <v>101.79544711827175</v>
      </c>
      <c r="J96" s="11">
        <f>LN(H96/D96)</f>
        <v>2.4993597405926177E-3</v>
      </c>
      <c r="K96" s="11">
        <f>LN(I96/D96)</f>
        <v>5.2739127854416097E-3</v>
      </c>
    </row>
    <row r="97" spans="2:11" x14ac:dyDescent="0.3">
      <c r="B97" s="1">
        <v>46162</v>
      </c>
      <c r="C97" s="4">
        <v>44.43</v>
      </c>
      <c r="D97" s="4">
        <v>102.41</v>
      </c>
      <c r="E97" s="8">
        <f t="shared" si="3"/>
        <v>2.304974116587891</v>
      </c>
      <c r="F97" s="9">
        <f t="shared" si="4"/>
        <v>2.3097487196338933</v>
      </c>
      <c r="G97" s="9">
        <f t="shared" si="5"/>
        <v>2.3166920145259846</v>
      </c>
      <c r="H97" s="4">
        <f>C97*F97</f>
        <v>102.62213561333388</v>
      </c>
      <c r="I97" s="4">
        <f>C97*G97</f>
        <v>102.9306262053895</v>
      </c>
      <c r="J97" s="11">
        <f>LN(H97/D97)</f>
        <v>2.0692920980003781E-3</v>
      </c>
      <c r="K97" s="11">
        <f>LN(I97/D97)</f>
        <v>5.0708652312117875E-3</v>
      </c>
    </row>
    <row r="98" spans="2:11" x14ac:dyDescent="0.3">
      <c r="B98" s="1">
        <v>46163</v>
      </c>
      <c r="C98" s="4">
        <v>44.5</v>
      </c>
      <c r="D98" s="4">
        <v>102.56</v>
      </c>
      <c r="E98" s="8">
        <f t="shared" si="3"/>
        <v>2.3047191011235957</v>
      </c>
      <c r="F98" s="9">
        <f t="shared" si="4"/>
        <v>2.3093568311959873</v>
      </c>
      <c r="G98" s="9">
        <f t="shared" si="5"/>
        <v>2.3166920145259846</v>
      </c>
      <c r="H98" s="4">
        <f>C98*F98</f>
        <v>102.76637898822143</v>
      </c>
      <c r="I98" s="4">
        <f>C98*G98</f>
        <v>103.09279464640632</v>
      </c>
      <c r="J98" s="11">
        <f>LN(H98/D98)</f>
        <v>2.0102537115647794E-3</v>
      </c>
      <c r="K98" s="11">
        <f>LN(I98/D98)</f>
        <v>5.1815083705754354E-3</v>
      </c>
    </row>
    <row r="99" spans="2:11" x14ac:dyDescent="0.3">
      <c r="B99" s="1">
        <v>46164</v>
      </c>
      <c r="C99" s="4">
        <v>44.56</v>
      </c>
      <c r="D99" s="4">
        <v>102.72</v>
      </c>
      <c r="E99" s="8">
        <f t="shared" si="3"/>
        <v>2.3052064631956912</v>
      </c>
      <c r="F99" s="9">
        <f t="shared" si="4"/>
        <v>2.3089315508878276</v>
      </c>
      <c r="G99" s="9">
        <f t="shared" si="5"/>
        <v>2.3166920145259846</v>
      </c>
      <c r="H99" s="4">
        <f>C99*F99</f>
        <v>102.88598990756161</v>
      </c>
      <c r="I99" s="4">
        <f>C99*G99</f>
        <v>103.23179616727788</v>
      </c>
      <c r="J99" s="11">
        <f>LN(H99/D99)</f>
        <v>1.614641126928896E-3</v>
      </c>
      <c r="K99" s="11">
        <f>LN(I99/D99)</f>
        <v>4.9700680481184053E-3</v>
      </c>
    </row>
    <row r="100" spans="2:11" x14ac:dyDescent="0.3">
      <c r="B100" s="1">
        <v>46168</v>
      </c>
      <c r="C100" s="4">
        <v>44.71</v>
      </c>
      <c r="D100" s="4">
        <v>103.12</v>
      </c>
      <c r="E100" s="8">
        <f t="shared" si="3"/>
        <v>2.3064191456050103</v>
      </c>
      <c r="F100" s="9">
        <f t="shared" si="4"/>
        <v>2.3083293074322766</v>
      </c>
      <c r="G100" s="9">
        <f t="shared" si="5"/>
        <v>2.3166920145259846</v>
      </c>
      <c r="H100" s="4">
        <f>C100*F100</f>
        <v>103.20540333529709</v>
      </c>
      <c r="I100" s="4">
        <f>C100*G100</f>
        <v>103.57929996945677</v>
      </c>
      <c r="J100" s="11">
        <f>LN(H100/D100)</f>
        <v>8.2785094606894127E-4</v>
      </c>
      <c r="K100" s="11">
        <f>LN(I100/D100)</f>
        <v>4.4441439856981501E-3</v>
      </c>
    </row>
    <row r="101" spans="2:11" x14ac:dyDescent="0.3">
      <c r="B101" s="1">
        <v>46169</v>
      </c>
      <c r="C101" s="4">
        <v>44.63</v>
      </c>
      <c r="D101" s="4">
        <v>102.79</v>
      </c>
      <c r="E101" s="8">
        <f t="shared" si="3"/>
        <v>2.303159309881246</v>
      </c>
      <c r="F101" s="9">
        <f t="shared" si="4"/>
        <v>2.307636669419165</v>
      </c>
      <c r="G101" s="9">
        <f t="shared" si="5"/>
        <v>2.3166920145259846</v>
      </c>
      <c r="H101" s="4">
        <f>C101*F101</f>
        <v>102.98982455617734</v>
      </c>
      <c r="I101" s="4">
        <f>C101*G101</f>
        <v>103.3939646082947</v>
      </c>
      <c r="J101" s="11">
        <f>LN(H101/D101)</f>
        <v>1.9421206079559719E-3</v>
      </c>
      <c r="K101" s="11">
        <f>LN(I101/D101)</f>
        <v>5.8585189870887146E-3</v>
      </c>
    </row>
    <row r="102" spans="2:11" x14ac:dyDescent="0.3">
      <c r="B102" s="1">
        <v>46170</v>
      </c>
      <c r="C102" s="4">
        <v>44.41</v>
      </c>
      <c r="D102" s="4">
        <v>102.31</v>
      </c>
      <c r="E102" s="8">
        <f t="shared" si="3"/>
        <v>2.3037604143210992</v>
      </c>
      <c r="F102" s="9">
        <f t="shared" si="4"/>
        <v>2.3072197405476862</v>
      </c>
      <c r="G102" s="9">
        <f t="shared" si="5"/>
        <v>2.3166920145259846</v>
      </c>
      <c r="H102" s="4">
        <f>C102*F102</f>
        <v>102.46362867772274</v>
      </c>
      <c r="I102" s="4">
        <f>C102*G102</f>
        <v>102.88429236509897</v>
      </c>
      <c r="J102" s="11">
        <f>LN(H102/D102)</f>
        <v>1.500473547676301E-3</v>
      </c>
      <c r="K102" s="11">
        <f>LN(I102/D102)</f>
        <v>5.5975617839030389E-3</v>
      </c>
    </row>
    <row r="103" spans="2:11" x14ac:dyDescent="0.3">
      <c r="B103" s="1">
        <v>46171</v>
      </c>
      <c r="C103" s="4">
        <v>43.99</v>
      </c>
      <c r="D103" s="4">
        <v>101.43</v>
      </c>
      <c r="E103" s="8">
        <f t="shared" si="3"/>
        <v>2.3057513071152536</v>
      </c>
      <c r="F103" s="9">
        <f t="shared" si="4"/>
        <v>2.306932981579124</v>
      </c>
      <c r="G103" s="9">
        <f t="shared" si="5"/>
        <v>2.3166920145259846</v>
      </c>
      <c r="H103" s="4">
        <f>C103*F103</f>
        <v>101.48198185966567</v>
      </c>
      <c r="I103" s="4">
        <f>C103*G103</f>
        <v>101.91128171899807</v>
      </c>
      <c r="J103" s="11">
        <f>LN(H103/D103)</f>
        <v>5.1235871165810709E-4</v>
      </c>
      <c r="K103" s="11">
        <f>LN(I103/D103)</f>
        <v>4.7337423434648442E-3</v>
      </c>
    </row>
    <row r="104" spans="2:11" x14ac:dyDescent="0.3">
      <c r="B104" s="1">
        <v>46174</v>
      </c>
      <c r="C104" s="4">
        <v>43.27</v>
      </c>
      <c r="D104" s="4">
        <v>99.6</v>
      </c>
      <c r="E104" s="8">
        <f t="shared" si="3"/>
        <v>2.301825745320083</v>
      </c>
      <c r="F104" s="9">
        <f t="shared" si="4"/>
        <v>2.3065459294949475</v>
      </c>
      <c r="G104" s="9">
        <f t="shared" si="5"/>
        <v>2.3166920145259846</v>
      </c>
      <c r="H104" s="4">
        <f>C104*F104</f>
        <v>99.804242369246381</v>
      </c>
      <c r="I104" s="4">
        <f>C104*G104</f>
        <v>100.24326346853937</v>
      </c>
      <c r="J104" s="11">
        <f>LN(H104/D104)</f>
        <v>2.0485265332797174E-3</v>
      </c>
      <c r="K104" s="11">
        <f>LN(I104/D104)</f>
        <v>6.4377020169818829E-3</v>
      </c>
    </row>
    <row r="105" spans="2:11" x14ac:dyDescent="0.3">
      <c r="B105" s="1">
        <v>46175</v>
      </c>
      <c r="C105" s="4">
        <v>43.49</v>
      </c>
      <c r="D105" s="4">
        <v>99.99</v>
      </c>
      <c r="E105" s="8">
        <f t="shared" si="3"/>
        <v>2.2991492297079787</v>
      </c>
      <c r="F105" s="9">
        <f t="shared" si="4"/>
        <v>2.3062243528678237</v>
      </c>
      <c r="G105" s="9">
        <f t="shared" si="5"/>
        <v>2.3166920145259846</v>
      </c>
      <c r="H105" s="4">
        <f>C105*F105</f>
        <v>100.29769710622166</v>
      </c>
      <c r="I105" s="4">
        <f>C105*G105</f>
        <v>100.75293571173508</v>
      </c>
      <c r="J105" s="11">
        <f>LN(H105/D105)</f>
        <v>3.0725536589351738E-3</v>
      </c>
      <c r="K105" s="11">
        <f>LN(I105/D105)</f>
        <v>7.6011579925299964E-3</v>
      </c>
    </row>
    <row r="106" spans="2:11" x14ac:dyDescent="0.3">
      <c r="B106" s="1">
        <v>46176</v>
      </c>
      <c r="C106" s="4">
        <v>43.51</v>
      </c>
      <c r="D106" s="4">
        <v>100</v>
      </c>
      <c r="E106" s="8">
        <f t="shared" si="3"/>
        <v>2.2983222247759136</v>
      </c>
      <c r="F106" s="9">
        <f t="shared" si="4"/>
        <v>2.3057453995831874</v>
      </c>
      <c r="G106" s="9">
        <f t="shared" si="5"/>
        <v>2.3166920145259846</v>
      </c>
      <c r="H106" s="4">
        <f>C106*F106</f>
        <v>100.32298233586448</v>
      </c>
      <c r="I106" s="4">
        <f>C106*G106</f>
        <v>100.79926955202559</v>
      </c>
      <c r="J106" s="11">
        <f>LN(H106/D106)</f>
        <v>3.2246186829583156E-3</v>
      </c>
      <c r="K106" s="11">
        <f>LN(I106/D106)</f>
        <v>7.9609231152381037E-3</v>
      </c>
    </row>
    <row r="107" spans="2:11" x14ac:dyDescent="0.3">
      <c r="B107" s="1">
        <v>46177</v>
      </c>
      <c r="C107" s="4">
        <v>44.4</v>
      </c>
      <c r="D107" s="4">
        <v>101.79</v>
      </c>
      <c r="E107" s="8">
        <f t="shared" si="3"/>
        <v>2.2925675675675676</v>
      </c>
      <c r="F107" s="9">
        <f t="shared" si="4"/>
        <v>2.3049513371926791</v>
      </c>
      <c r="G107" s="9">
        <f t="shared" si="5"/>
        <v>2.3166920145259846</v>
      </c>
      <c r="H107" s="4">
        <f>C107*F107</f>
        <v>102.33983937135494</v>
      </c>
      <c r="I107" s="4">
        <f>C107*G107</f>
        <v>102.86112544495371</v>
      </c>
      <c r="J107" s="11">
        <f>LN(H107/D107)</f>
        <v>5.3871663526901701E-3</v>
      </c>
      <c r="K107" s="11">
        <f>LN(I107/D107)</f>
        <v>1.0467914344671217E-2</v>
      </c>
    </row>
    <row r="108" spans="2:11" x14ac:dyDescent="0.3">
      <c r="B108" s="1">
        <v>46178</v>
      </c>
      <c r="C108" s="4">
        <v>44.7</v>
      </c>
      <c r="D108" s="4">
        <v>102.54</v>
      </c>
      <c r="E108" s="8">
        <f t="shared" si="3"/>
        <v>2.293959731543624</v>
      </c>
      <c r="F108" s="9">
        <f t="shared" si="4"/>
        <v>2.3041538282743645</v>
      </c>
      <c r="G108" s="9">
        <f t="shared" si="5"/>
        <v>2.3166920145259846</v>
      </c>
      <c r="H108" s="4">
        <f>C108*F108</f>
        <v>102.9956761238641</v>
      </c>
      <c r="I108" s="4">
        <f>C108*G108</f>
        <v>103.55613304931151</v>
      </c>
      <c r="J108" s="11">
        <f>LN(H108/D108)</f>
        <v>4.4340416129622778E-3</v>
      </c>
      <c r="K108" s="11">
        <f>LN(I108/D108)</f>
        <v>9.8608476347093223E-3</v>
      </c>
    </row>
    <row r="109" spans="2:11" x14ac:dyDescent="0.3">
      <c r="B109" s="1">
        <v>46181</v>
      </c>
      <c r="C109" s="4">
        <v>44.03</v>
      </c>
      <c r="D109" s="4">
        <v>101.08</v>
      </c>
      <c r="E109" s="8">
        <f t="shared" si="3"/>
        <v>2.2957074721780604</v>
      </c>
      <c r="F109" s="9">
        <f t="shared" si="4"/>
        <v>2.3032332797936483</v>
      </c>
      <c r="G109" s="9">
        <f t="shared" si="5"/>
        <v>2.3166920145259846</v>
      </c>
      <c r="H109" s="4">
        <f>C109*F109</f>
        <v>101.41136130931434</v>
      </c>
      <c r="I109" s="4">
        <f>C109*G109</f>
        <v>102.0039493995791</v>
      </c>
      <c r="J109" s="11">
        <f>LN(H109/D109)</f>
        <v>3.2728468311321911E-3</v>
      </c>
      <c r="K109" s="11">
        <f>LN(I109/D109)</f>
        <v>9.0992496184097143E-3</v>
      </c>
    </row>
    <row r="110" spans="2:11" x14ac:dyDescent="0.3">
      <c r="B110" s="1">
        <v>46182</v>
      </c>
      <c r="C110" s="4">
        <v>44.97</v>
      </c>
      <c r="D110" s="4">
        <v>103.49</v>
      </c>
      <c r="E110" s="8">
        <f t="shared" si="3"/>
        <v>2.3013119857682898</v>
      </c>
      <c r="F110" s="9">
        <f t="shared" si="4"/>
        <v>2.3029297967396802</v>
      </c>
      <c r="G110" s="9">
        <f t="shared" si="5"/>
        <v>2.3166920145259846</v>
      </c>
      <c r="H110" s="4">
        <f>C110*F110</f>
        <v>103.56275295938342</v>
      </c>
      <c r="I110" s="4">
        <f>C110*G110</f>
        <v>104.18163989323352</v>
      </c>
      <c r="J110" s="11">
        <f>LN(H110/D110)</f>
        <v>7.02748080744525E-4</v>
      </c>
      <c r="K110" s="11">
        <f>LN(I110/D110)</f>
        <v>6.6609234732751352E-3</v>
      </c>
    </row>
    <row r="111" spans="2:11" x14ac:dyDescent="0.3">
      <c r="B111" s="1">
        <v>46183</v>
      </c>
      <c r="C111" s="4">
        <v>44.99</v>
      </c>
      <c r="D111" s="4">
        <v>103.52</v>
      </c>
      <c r="E111" s="8">
        <f t="shared" si="3"/>
        <v>2.3009557679484329</v>
      </c>
      <c r="F111" s="9">
        <f t="shared" si="4"/>
        <v>2.3026231661151186</v>
      </c>
      <c r="G111" s="9">
        <f t="shared" si="5"/>
        <v>2.3166920145259846</v>
      </c>
      <c r="H111" s="4">
        <f>C111*F111</f>
        <v>103.5950162435192</v>
      </c>
      <c r="I111" s="4">
        <f>C111*G111</f>
        <v>104.22797373352405</v>
      </c>
      <c r="J111" s="11">
        <f>LN(H111/D111)</f>
        <v>7.2439215813641837E-4</v>
      </c>
      <c r="K111" s="11">
        <f>LN(I111/D111)</f>
        <v>6.8157244712314762E-3</v>
      </c>
    </row>
    <row r="112" spans="2:11" x14ac:dyDescent="0.3">
      <c r="B112" s="1">
        <v>46184</v>
      </c>
      <c r="C112" s="4">
        <v>44.92</v>
      </c>
      <c r="D112" s="4">
        <v>103.45</v>
      </c>
      <c r="E112" s="8">
        <f t="shared" si="3"/>
        <v>2.3029830810329472</v>
      </c>
      <c r="F112" s="9">
        <f t="shared" si="4"/>
        <v>2.3024024943355061</v>
      </c>
      <c r="G112" s="9">
        <f t="shared" si="5"/>
        <v>2.3166920145259846</v>
      </c>
      <c r="H112" s="4">
        <f>C112*F112</f>
        <v>103.42392004555094</v>
      </c>
      <c r="I112" s="4">
        <f>C112*G112</f>
        <v>104.06580529250724</v>
      </c>
      <c r="J112" s="11">
        <f>LN(H112/D112)</f>
        <v>-2.5213380769778521E-4</v>
      </c>
      <c r="K112" s="11">
        <f>LN(I112/D112)</f>
        <v>5.9350380494311511E-3</v>
      </c>
    </row>
    <row r="113" spans="1:11" x14ac:dyDescent="0.3">
      <c r="B113" s="1">
        <v>46185</v>
      </c>
      <c r="C113" s="4">
        <v>45.36</v>
      </c>
      <c r="D113" s="4">
        <v>104.37</v>
      </c>
      <c r="E113" s="8">
        <f t="shared" si="3"/>
        <v>2.300925925925926</v>
      </c>
      <c r="F113" s="9">
        <f t="shared" si="4"/>
        <v>2.3020650511647105</v>
      </c>
      <c r="G113" s="9">
        <f t="shared" si="5"/>
        <v>2.3166920145259846</v>
      </c>
      <c r="H113" s="4">
        <f>C113*F113</f>
        <v>104.42167072083127</v>
      </c>
      <c r="I113" s="4">
        <f>C113*G113</f>
        <v>105.08514977889867</v>
      </c>
      <c r="J113" s="11">
        <f>LN(H113/D113)</f>
        <v>4.9495003040796821E-4</v>
      </c>
      <c r="K113" s="11">
        <f>LN(I113/D113)</f>
        <v>6.8286939582770743E-3</v>
      </c>
    </row>
    <row r="114" spans="1:11" x14ac:dyDescent="0.3">
      <c r="B114" s="1">
        <v>46188</v>
      </c>
      <c r="C114" s="4">
        <v>44.99</v>
      </c>
      <c r="D114" s="4">
        <v>103.08</v>
      </c>
      <c r="E114" s="8">
        <f t="shared" si="3"/>
        <v>2.2911758168481882</v>
      </c>
      <c r="F114" s="9">
        <f t="shared" si="4"/>
        <v>2.3011947418451952</v>
      </c>
      <c r="G114" s="9">
        <f t="shared" si="5"/>
        <v>2.3166920145259846</v>
      </c>
      <c r="H114" s="4">
        <f>C114*F114</f>
        <v>103.53075143561534</v>
      </c>
      <c r="I114" s="4">
        <f>C114*G114</f>
        <v>104.22797373352405</v>
      </c>
      <c r="J114" s="11">
        <f>LN(H114/D114)</f>
        <v>4.3632981111987705E-3</v>
      </c>
      <c r="K114" s="11">
        <f>LN(I114/D114)</f>
        <v>1.1075169439657502E-2</v>
      </c>
    </row>
    <row r="115" spans="1:11" x14ac:dyDescent="0.3">
      <c r="B115" s="1">
        <v>46189</v>
      </c>
      <c r="C115" s="4">
        <v>45.1</v>
      </c>
      <c r="D115" s="4">
        <v>103.34</v>
      </c>
      <c r="E115" s="8">
        <f t="shared" si="3"/>
        <v>2.2913525498891354</v>
      </c>
      <c r="F115" s="9">
        <f t="shared" si="4"/>
        <v>2.3004366550539377</v>
      </c>
      <c r="G115" s="9">
        <f t="shared" si="5"/>
        <v>2.3166920145259846</v>
      </c>
      <c r="H115" s="4">
        <f>C115*F115</f>
        <v>103.7496931429326</v>
      </c>
      <c r="I115" s="4">
        <f>C115*G115</f>
        <v>104.48280985512191</v>
      </c>
      <c r="J115" s="11">
        <f>LN(H115/D115)</f>
        <v>3.9566785889142159E-3</v>
      </c>
      <c r="K115" s="11">
        <f>LN(I115/D115)</f>
        <v>1.0998036020334978E-2</v>
      </c>
    </row>
    <row r="116" spans="1:11" x14ac:dyDescent="0.3">
      <c r="B116" s="1">
        <v>46190</v>
      </c>
      <c r="C116" s="4">
        <v>43.97</v>
      </c>
      <c r="D116" s="4">
        <v>100.62</v>
      </c>
      <c r="E116" s="8">
        <f t="shared" si="3"/>
        <v>2.2883784398453493</v>
      </c>
      <c r="F116" s="9">
        <f t="shared" si="4"/>
        <v>2.2996302698090636</v>
      </c>
      <c r="G116" s="9">
        <f t="shared" si="5"/>
        <v>2.3166920145259846</v>
      </c>
      <c r="H116" s="4">
        <f>C116*F116</f>
        <v>101.11474296350453</v>
      </c>
      <c r="I116" s="4">
        <f>C116*G116</f>
        <v>101.86494787870754</v>
      </c>
      <c r="J116" s="11">
        <f>LN(H116/D116)</f>
        <v>4.9048958856923487E-3</v>
      </c>
      <c r="K116" s="11">
        <f>LN(I116/D116)</f>
        <v>1.2296850500287058E-2</v>
      </c>
    </row>
    <row r="117" spans="1:11" x14ac:dyDescent="0.3">
      <c r="A117" s="6">
        <v>0.51000999999999996</v>
      </c>
      <c r="B117" s="1">
        <v>46191</v>
      </c>
      <c r="C117" s="4">
        <v>43.86</v>
      </c>
      <c r="D117" s="4">
        <f>+A117+100.45</f>
        <v>100.96001</v>
      </c>
      <c r="E117" s="8">
        <f t="shared" si="3"/>
        <v>2.3018698130414958</v>
      </c>
      <c r="F117" s="9">
        <f t="shared" si="4"/>
        <v>2.2994750546317446</v>
      </c>
      <c r="G117" s="9">
        <f t="shared" si="5"/>
        <v>2.3166920145259846</v>
      </c>
      <c r="H117" s="4">
        <f>C117*F117</f>
        <v>100.85497589614832</v>
      </c>
      <c r="I117" s="4">
        <f>C117*G117</f>
        <v>101.61011175710968</v>
      </c>
      <c r="J117" s="11">
        <f>LN(H117/D117)</f>
        <v>-1.0408950838676004E-3</v>
      </c>
      <c r="K117" s="11">
        <f>LN(I117/D117)</f>
        <v>6.418557518456481E-3</v>
      </c>
    </row>
    <row r="118" spans="1:11" x14ac:dyDescent="0.3">
      <c r="A118" s="6" t="s">
        <v>20</v>
      </c>
      <c r="B118" s="1">
        <v>46195</v>
      </c>
      <c r="C118" s="4">
        <v>44.02</v>
      </c>
      <c r="D118" s="4">
        <v>101.61</v>
      </c>
      <c r="E118" s="8">
        <f t="shared" si="3"/>
        <v>2.308268968650613</v>
      </c>
      <c r="F118" s="9">
        <f t="shared" si="4"/>
        <v>2.2996525480080954</v>
      </c>
      <c r="G118" s="9">
        <f t="shared" si="5"/>
        <v>2.3166920145259846</v>
      </c>
      <c r="H118" s="4">
        <f>C118*F118</f>
        <v>101.23070516331637</v>
      </c>
      <c r="I118" s="4">
        <f>C118*G118</f>
        <v>101.98078247943386</v>
      </c>
      <c r="J118" s="11">
        <f>LN(H118/D118)</f>
        <v>-3.7398339594371011E-3</v>
      </c>
      <c r="K118" s="11">
        <f>LN(I118/D118)</f>
        <v>3.6424329712664762E-3</v>
      </c>
    </row>
    <row r="119" spans="1:11" x14ac:dyDescent="0.3">
      <c r="B119" s="1">
        <v>46196</v>
      </c>
      <c r="C119" s="4">
        <v>44.64</v>
      </c>
      <c r="D119" s="4">
        <v>102.99</v>
      </c>
      <c r="E119" s="8">
        <f t="shared" si="3"/>
        <v>2.3071236559139785</v>
      </c>
      <c r="F119" s="9">
        <f t="shared" si="4"/>
        <v>2.2997484076440093</v>
      </c>
      <c r="G119" s="9">
        <f t="shared" si="5"/>
        <v>2.3166920145259846</v>
      </c>
      <c r="H119" s="4">
        <f>C119*F119</f>
        <v>102.66076891722858</v>
      </c>
      <c r="I119" s="4">
        <f>C119*G119</f>
        <v>103.41713152843995</v>
      </c>
      <c r="J119" s="11">
        <f>LN(H119/D119)</f>
        <v>-3.2018490937178084E-3</v>
      </c>
      <c r="K119" s="11">
        <f>LN(I119/D119)</f>
        <v>4.1387343060859776E-3</v>
      </c>
    </row>
    <row r="120" spans="1:11" x14ac:dyDescent="0.3">
      <c r="B120" s="1">
        <v>46197</v>
      </c>
      <c r="C120" s="4">
        <v>44.51</v>
      </c>
      <c r="D120" s="4">
        <v>102.85</v>
      </c>
      <c r="E120" s="8">
        <f t="shared" si="3"/>
        <v>2.310716692878005</v>
      </c>
      <c r="F120" s="9">
        <f t="shared" si="4"/>
        <v>2.2999632850076597</v>
      </c>
      <c r="G120" s="9">
        <f t="shared" si="5"/>
        <v>2.3166920145259846</v>
      </c>
      <c r="H120" s="4">
        <f>C120*F120</f>
        <v>102.37136581569092</v>
      </c>
      <c r="I120" s="4">
        <f>C120*G120</f>
        <v>103.11596156655158</v>
      </c>
      <c r="J120" s="11">
        <f>LN(H120/D120)</f>
        <v>-4.6645733036578766E-3</v>
      </c>
      <c r="K120" s="11">
        <f>LN(I120/D120)</f>
        <v>2.5825792995376011E-3</v>
      </c>
    </row>
    <row r="121" spans="1:11" x14ac:dyDescent="0.3">
      <c r="B121" s="1">
        <v>46198</v>
      </c>
      <c r="C121" s="4">
        <v>44.59</v>
      </c>
      <c r="D121" s="4">
        <v>103.1</v>
      </c>
      <c r="E121" s="8">
        <f t="shared" si="3"/>
        <v>2.3121776183000669</v>
      </c>
      <c r="F121" s="9">
        <f t="shared" si="4"/>
        <v>2.3004142004286008</v>
      </c>
      <c r="G121" s="9">
        <f t="shared" si="5"/>
        <v>2.3166920145259846</v>
      </c>
      <c r="H121" s="4">
        <f>C121*F121</f>
        <v>102.57546919711132</v>
      </c>
      <c r="I121" s="4">
        <f>C121*G121</f>
        <v>103.30129692771366</v>
      </c>
      <c r="J121" s="11">
        <f>LN(H121/D121)</f>
        <v>-5.1005785192978961E-3</v>
      </c>
      <c r="K121" s="11">
        <f>LN(I121/D121)</f>
        <v>1.9505399872119186E-3</v>
      </c>
    </row>
    <row r="122" spans="1:11" x14ac:dyDescent="0.3">
      <c r="B122" s="1">
        <v>46199</v>
      </c>
      <c r="C122" s="4">
        <v>45.24</v>
      </c>
      <c r="D122" s="4">
        <v>104.64</v>
      </c>
      <c r="E122" s="8">
        <f t="shared" si="3"/>
        <v>2.3129973474801062</v>
      </c>
      <c r="F122" s="9">
        <f t="shared" si="4"/>
        <v>2.3008760470865512</v>
      </c>
      <c r="G122" s="9">
        <f t="shared" si="5"/>
        <v>2.3166920145259846</v>
      </c>
      <c r="H122" s="4">
        <f>C122*F122</f>
        <v>104.09163237019558</v>
      </c>
      <c r="I122" s="4">
        <f>C122*G122</f>
        <v>104.80714673715555</v>
      </c>
      <c r="J122" s="11">
        <f>LN(H122/D122)</f>
        <v>-5.2542960084299662E-3</v>
      </c>
      <c r="K122" s="11">
        <f>LN(I122/D122)</f>
        <v>1.5960759097718733E-3</v>
      </c>
    </row>
    <row r="123" spans="1:11" x14ac:dyDescent="0.3">
      <c r="B123" s="1">
        <v>46202</v>
      </c>
      <c r="C123" s="4">
        <v>44.92</v>
      </c>
      <c r="D123" s="4">
        <v>104.09</v>
      </c>
      <c r="E123" s="8">
        <f t="shared" si="3"/>
        <v>2.3172306322350846</v>
      </c>
      <c r="F123" s="9">
        <f t="shared" si="4"/>
        <v>2.3014500133425431</v>
      </c>
      <c r="G123" s="9">
        <f t="shared" si="5"/>
        <v>2.3166920145259846</v>
      </c>
      <c r="H123" s="4">
        <f>C123*F123</f>
        <v>103.38113459934704</v>
      </c>
      <c r="I123" s="4">
        <f>C123*G123</f>
        <v>104.06580529250724</v>
      </c>
      <c r="J123" s="11">
        <f>LN(H123/D123)</f>
        <v>-6.8334147824965401E-3</v>
      </c>
      <c r="K123" s="11">
        <f>LN(I123/D123)</f>
        <v>-2.3246728639370721E-4</v>
      </c>
    </row>
    <row r="124" spans="1:11" x14ac:dyDescent="0.3">
      <c r="B124" s="1">
        <v>46203</v>
      </c>
      <c r="C124" s="4">
        <v>44.03</v>
      </c>
      <c r="D124" s="4">
        <v>102.25</v>
      </c>
      <c r="E124" s="8">
        <f t="shared" si="3"/>
        <v>2.3222802634567339</v>
      </c>
      <c r="F124" s="9">
        <f t="shared" si="4"/>
        <v>2.3024727392493753</v>
      </c>
      <c r="G124" s="9">
        <f t="shared" si="5"/>
        <v>2.3166920145259846</v>
      </c>
      <c r="H124" s="4">
        <f>C124*F124</f>
        <v>101.37787470914999</v>
      </c>
      <c r="I124" s="4">
        <f>C124*G124</f>
        <v>102.0039493995791</v>
      </c>
      <c r="J124" s="11">
        <f>LN(H124/D124)</f>
        <v>-8.5659257091201813E-3</v>
      </c>
      <c r="K124" s="11">
        <f>LN(I124/D124)</f>
        <v>-2.4092627845078421E-3</v>
      </c>
    </row>
    <row r="125" spans="1:11" x14ac:dyDescent="0.3">
      <c r="B125" s="1">
        <v>46204</v>
      </c>
      <c r="C125" s="4">
        <v>44.18</v>
      </c>
      <c r="D125" s="4">
        <v>102.71</v>
      </c>
      <c r="E125" s="8">
        <f t="shared" si="3"/>
        <v>2.324807605251245</v>
      </c>
      <c r="F125" s="9">
        <f t="shared" si="4"/>
        <v>2.3037556580265384</v>
      </c>
      <c r="G125" s="9">
        <f t="shared" si="5"/>
        <v>2.3166920145259846</v>
      </c>
      <c r="H125" s="4">
        <f>C125*F125</f>
        <v>101.77992497161246</v>
      </c>
      <c r="I125" s="4">
        <f>C125*G125</f>
        <v>102.35145320175801</v>
      </c>
      <c r="J125" s="11">
        <f>LN(H125/D125)</f>
        <v>-9.0965991796830171E-3</v>
      </c>
      <c r="K125" s="11">
        <f>LN(I125/D125)</f>
        <v>-3.496972815000895E-3</v>
      </c>
    </row>
    <row r="126" spans="1:11" x14ac:dyDescent="0.3">
      <c r="B126" s="1">
        <v>46205</v>
      </c>
      <c r="C126" s="4">
        <v>44.68</v>
      </c>
      <c r="D126" s="4">
        <v>104.01</v>
      </c>
      <c r="E126" s="8">
        <f t="shared" si="3"/>
        <v>2.3278871978513878</v>
      </c>
      <c r="F126" s="9">
        <f t="shared" si="4"/>
        <v>2.305233906680312</v>
      </c>
      <c r="G126" s="9">
        <f t="shared" si="5"/>
        <v>2.3166920145259846</v>
      </c>
      <c r="H126" s="4">
        <f>C126*F126</f>
        <v>102.99785095047633</v>
      </c>
      <c r="I126" s="4">
        <f>C126*G126</f>
        <v>103.509799209021</v>
      </c>
      <c r="J126" s="11">
        <f>LN(H126/D126)</f>
        <v>-9.7789249115562121E-3</v>
      </c>
      <c r="K126" s="11">
        <f>LN(I126/D126)</f>
        <v>-4.8207617933009785E-3</v>
      </c>
    </row>
    <row r="127" spans="1:11" x14ac:dyDescent="0.3">
      <c r="B127" s="1">
        <v>46209</v>
      </c>
      <c r="C127" s="4">
        <v>44.29</v>
      </c>
      <c r="D127" s="4">
        <v>103.23</v>
      </c>
      <c r="E127" s="8">
        <f t="shared" si="3"/>
        <v>2.3307744411831113</v>
      </c>
      <c r="F127" s="9">
        <f t="shared" si="4"/>
        <v>2.3071442503610893</v>
      </c>
      <c r="G127" s="9">
        <f t="shared" si="5"/>
        <v>2.3166920145259846</v>
      </c>
      <c r="H127" s="4">
        <f>C127*F127</f>
        <v>102.18341884849264</v>
      </c>
      <c r="I127" s="4">
        <f>C127*G127</f>
        <v>102.60628932335585</v>
      </c>
      <c r="J127" s="11">
        <f>LN(H127/D127)</f>
        <v>-1.0190086057542491E-2</v>
      </c>
      <c r="K127" s="11">
        <f>LN(I127/D127)</f>
        <v>-6.060278171651134E-3</v>
      </c>
    </row>
    <row r="128" spans="1:11" x14ac:dyDescent="0.3">
      <c r="B128" s="1">
        <v>46210</v>
      </c>
      <c r="C128" s="4">
        <v>44.89</v>
      </c>
      <c r="D128" s="4">
        <v>104.51</v>
      </c>
      <c r="E128" s="8">
        <f t="shared" si="3"/>
        <v>2.3281354421920248</v>
      </c>
      <c r="F128" s="9">
        <f t="shared" si="4"/>
        <v>2.3088530358935095</v>
      </c>
      <c r="G128" s="9">
        <f t="shared" si="5"/>
        <v>2.3166920145259846</v>
      </c>
      <c r="H128" s="4">
        <f>C128*F128</f>
        <v>103.64441278125965</v>
      </c>
      <c r="I128" s="4">
        <f>C128*G128</f>
        <v>103.99630453207145</v>
      </c>
      <c r="J128" s="11">
        <f>LN(H128/D128)</f>
        <v>-8.3168278445885473E-3</v>
      </c>
      <c r="K128" s="11">
        <f>LN(I128/D128)</f>
        <v>-4.9273954418308161E-3</v>
      </c>
    </row>
    <row r="129" spans="2:11" x14ac:dyDescent="0.3">
      <c r="B129" s="1">
        <v>46211</v>
      </c>
      <c r="C129" s="4">
        <v>44.15</v>
      </c>
      <c r="D129" s="4">
        <v>102.79</v>
      </c>
      <c r="E129" s="8">
        <f t="shared" si="3"/>
        <v>2.3281993204983014</v>
      </c>
      <c r="F129" s="9">
        <f t="shared" si="4"/>
        <v>2.3104776283095205</v>
      </c>
      <c r="G129" s="9">
        <f t="shared" si="5"/>
        <v>2.3166920145259846</v>
      </c>
      <c r="H129" s="4">
        <f>C129*F129</f>
        <v>102.00758728986533</v>
      </c>
      <c r="I129" s="4">
        <f>C129*G129</f>
        <v>102.28195244132222</v>
      </c>
      <c r="J129" s="11">
        <f>LN(H129/D129)</f>
        <v>-7.6408763122429429E-3</v>
      </c>
      <c r="K129" s="11">
        <f>LN(I129/D129)</f>
        <v>-4.9548326041208264E-3</v>
      </c>
    </row>
    <row r="130" spans="2:11" x14ac:dyDescent="0.3">
      <c r="B130" s="1">
        <v>46212</v>
      </c>
      <c r="C130" s="4">
        <v>44.23</v>
      </c>
      <c r="D130" s="4">
        <v>103</v>
      </c>
      <c r="E130" s="8">
        <f t="shared" si="3"/>
        <v>2.3287361519330774</v>
      </c>
      <c r="F130" s="9">
        <f t="shared" si="4"/>
        <v>2.3118488366177603</v>
      </c>
      <c r="G130" s="9">
        <f t="shared" si="5"/>
        <v>2.3166920145259846</v>
      </c>
      <c r="H130" s="4">
        <f>C130*F130</f>
        <v>102.25307404360353</v>
      </c>
      <c r="I130" s="4">
        <f>C130*G130</f>
        <v>102.46728780248429</v>
      </c>
      <c r="J130" s="11">
        <f>LN(H130/D130)</f>
        <v>-7.2781297625149552E-3</v>
      </c>
      <c r="K130" s="11">
        <f>LN(I130/D130)</f>
        <v>-5.1853839786596282E-3</v>
      </c>
    </row>
    <row r="131" spans="2:11" x14ac:dyDescent="0.3">
      <c r="B131" s="1">
        <v>46213</v>
      </c>
      <c r="C131" s="4">
        <v>44.45</v>
      </c>
      <c r="D131" s="4">
        <v>103.32</v>
      </c>
      <c r="E131" s="8">
        <f t="shared" ref="E131:E163" si="6">D131/C131</f>
        <v>2.3244094488188973</v>
      </c>
      <c r="F131" s="9">
        <f t="shared" si="4"/>
        <v>2.3130215206612834</v>
      </c>
      <c r="G131" s="9">
        <f t="shared" si="5"/>
        <v>2.3166920145259846</v>
      </c>
      <c r="H131" s="4">
        <f>C131*F131</f>
        <v>102.81380659339405</v>
      </c>
      <c r="I131" s="4">
        <f>C131*G131</f>
        <v>102.97696004568002</v>
      </c>
      <c r="J131" s="11">
        <f>LN(H131/D131)</f>
        <v>-4.9113188415248867E-3</v>
      </c>
      <c r="K131" s="11">
        <f>LN(I131/D131)</f>
        <v>-3.3256938969852593E-3</v>
      </c>
    </row>
    <row r="132" spans="2:11" x14ac:dyDescent="0.3">
      <c r="B132" s="1">
        <v>46216</v>
      </c>
      <c r="C132" s="4">
        <v>44.7</v>
      </c>
      <c r="D132" s="4">
        <v>103.91</v>
      </c>
      <c r="E132" s="8">
        <f t="shared" si="6"/>
        <v>2.324608501118568</v>
      </c>
      <c r="F132" s="9">
        <f t="shared" si="4"/>
        <v>2.3141027916655643</v>
      </c>
      <c r="G132" s="9">
        <f t="shared" si="5"/>
        <v>2.3166920145259846</v>
      </c>
      <c r="H132" s="4">
        <f>C132*F132</f>
        <v>103.44039478745073</v>
      </c>
      <c r="I132" s="4">
        <f>C132*G132</f>
        <v>103.55613304931151</v>
      </c>
      <c r="J132" s="11">
        <f>LN(H132/D132)</f>
        <v>-4.5295888242193657E-3</v>
      </c>
      <c r="K132" s="11">
        <f>LN(I132/D132)</f>
        <v>-3.4113258742913466E-3</v>
      </c>
    </row>
    <row r="133" spans="2:11" x14ac:dyDescent="0.3">
      <c r="B133" s="1">
        <v>46217</v>
      </c>
      <c r="C133" s="4">
        <v>44.48</v>
      </c>
      <c r="D133" s="4">
        <v>103.59</v>
      </c>
      <c r="E133" s="8">
        <f t="shared" si="6"/>
        <v>2.3289118705035974</v>
      </c>
      <c r="F133" s="9">
        <f t="shared" si="4"/>
        <v>2.3155020888944482</v>
      </c>
      <c r="G133" s="9">
        <f t="shared" si="5"/>
        <v>2.3166920145259846</v>
      </c>
      <c r="H133" s="4">
        <f>C133*F133</f>
        <v>102.99353291402505</v>
      </c>
      <c r="I133" s="4">
        <f>C133*G133</f>
        <v>103.04646080611579</v>
      </c>
      <c r="J133" s="11">
        <f>LN(H133/D133)</f>
        <v>-5.7746010540515678E-3</v>
      </c>
      <c r="K133" s="11">
        <f>LN(I133/D133)</f>
        <v>-5.2608377569430091E-3</v>
      </c>
    </row>
    <row r="134" spans="2:11" x14ac:dyDescent="0.3">
      <c r="B134" s="1">
        <v>46218</v>
      </c>
      <c r="C134" s="4">
        <v>44.56</v>
      </c>
      <c r="D134" s="4">
        <v>103.83</v>
      </c>
      <c r="E134" s="8">
        <f t="shared" si="6"/>
        <v>2.3301166965888687</v>
      </c>
      <c r="F134" s="9">
        <f t="shared" si="4"/>
        <v>2.3174491328814826</v>
      </c>
      <c r="G134" s="9">
        <f t="shared" si="5"/>
        <v>2.3166920145259846</v>
      </c>
      <c r="H134" s="4">
        <f>C134*F134</f>
        <v>103.26553336119886</v>
      </c>
      <c r="I134" s="4">
        <f>C134*G134</f>
        <v>103.23179616727788</v>
      </c>
      <c r="J134" s="11">
        <f>LN(H134/D134)</f>
        <v>-5.4512816135504323E-3</v>
      </c>
      <c r="K134" s="11">
        <f>LN(I134/D134)</f>
        <v>-5.7780383255931194E-3</v>
      </c>
    </row>
    <row r="135" spans="2:11" x14ac:dyDescent="0.3">
      <c r="B135" s="1">
        <v>46219</v>
      </c>
      <c r="C135" s="4">
        <v>45.46</v>
      </c>
      <c r="D135" s="4">
        <v>106.25</v>
      </c>
      <c r="E135" s="8">
        <f t="shared" si="6"/>
        <v>2.3372195336559614</v>
      </c>
      <c r="F135" s="9">
        <f t="shared" si="4"/>
        <v>2.3197424820698238</v>
      </c>
      <c r="G135" s="9">
        <f t="shared" si="5"/>
        <v>2.3166920145259846</v>
      </c>
      <c r="H135" s="4">
        <f>C135*F135</f>
        <v>105.45549323489419</v>
      </c>
      <c r="I135" s="4">
        <f>C135*G135</f>
        <v>105.31681898035126</v>
      </c>
      <c r="J135" s="11">
        <f>LN(H135/D135)</f>
        <v>-7.5058089706018889E-3</v>
      </c>
      <c r="K135" s="11">
        <f>LN(I135/D135)</f>
        <v>-8.8216770093882905E-3</v>
      </c>
    </row>
    <row r="136" spans="2:11" x14ac:dyDescent="0.3">
      <c r="B136" s="1">
        <v>46220</v>
      </c>
      <c r="C136" s="4">
        <v>45.42</v>
      </c>
      <c r="D136" s="4">
        <v>106.09</v>
      </c>
      <c r="E136" s="8">
        <f t="shared" si="6"/>
        <v>2.3357551739321885</v>
      </c>
      <c r="F136" s="9">
        <f t="shared" si="4"/>
        <v>2.3221113187741658</v>
      </c>
      <c r="G136" s="9">
        <f t="shared" si="5"/>
        <v>2.3166920145259846</v>
      </c>
      <c r="H136" s="4">
        <f>C136*F136</f>
        <v>105.47029609872261</v>
      </c>
      <c r="I136" s="4">
        <f>C136*G136</f>
        <v>105.22415129977023</v>
      </c>
      <c r="J136" s="11">
        <f>LN(H136/D136)</f>
        <v>-5.8584307653161138E-3</v>
      </c>
      <c r="K136" s="11">
        <f>LN(I136/D136)</f>
        <v>-8.194941423026984E-3</v>
      </c>
    </row>
    <row r="137" spans="2:11" x14ac:dyDescent="0.3">
      <c r="B137" s="1">
        <v>46223</v>
      </c>
      <c r="C137" s="4">
        <v>45.23</v>
      </c>
      <c r="D137" s="4">
        <v>105.55</v>
      </c>
      <c r="E137" s="8">
        <f t="shared" si="6"/>
        <v>2.3336281229272609</v>
      </c>
      <c r="F137" s="9">
        <f t="shared" si="4"/>
        <v>2.3236992342684539</v>
      </c>
      <c r="G137" s="9">
        <f t="shared" si="5"/>
        <v>2.3166920145259846</v>
      </c>
      <c r="H137" s="4">
        <f>C137*F137</f>
        <v>105.10091636596216</v>
      </c>
      <c r="I137" s="4">
        <f>C137*G137</f>
        <v>104.78397981701028</v>
      </c>
      <c r="J137" s="11">
        <f>LN(H137/D137)</f>
        <v>-4.2637774583576243E-3</v>
      </c>
      <c r="K137" s="11">
        <f>LN(I137/D137)</f>
        <v>-7.2838784338370129E-3</v>
      </c>
    </row>
    <row r="138" spans="2:11" x14ac:dyDescent="0.3">
      <c r="B138" s="1">
        <v>46224</v>
      </c>
      <c r="C138" s="4">
        <v>45.2</v>
      </c>
      <c r="D138" s="4">
        <v>105.52</v>
      </c>
      <c r="E138" s="8">
        <f t="shared" si="6"/>
        <v>2.3345132743362829</v>
      </c>
      <c r="F138" s="9">
        <f t="shared" si="4"/>
        <v>2.3250114495527372</v>
      </c>
      <c r="G138" s="9">
        <f t="shared" si="5"/>
        <v>2.3166920145259846</v>
      </c>
      <c r="H138" s="4">
        <f>C138*F138</f>
        <v>105.09051751978373</v>
      </c>
      <c r="I138" s="4">
        <f>C138*G138</f>
        <v>104.7144790565745</v>
      </c>
      <c r="J138" s="11">
        <f>LN(H138/D138)</f>
        <v>-4.0784580048676671E-3</v>
      </c>
      <c r="K138" s="11">
        <f>LN(I138/D138)</f>
        <v>-7.6631092001327918E-3</v>
      </c>
    </row>
    <row r="139" spans="2:11" x14ac:dyDescent="0.3">
      <c r="B139" s="1">
        <v>46225</v>
      </c>
      <c r="C139" s="4">
        <v>45.01</v>
      </c>
      <c r="D139" s="4">
        <v>104.95</v>
      </c>
      <c r="E139" s="8">
        <f t="shared" si="6"/>
        <v>2.331704065763164</v>
      </c>
      <c r="F139" s="9">
        <f t="shared" si="4"/>
        <v>2.3262404700451969</v>
      </c>
      <c r="G139" s="9">
        <f t="shared" si="5"/>
        <v>2.3166920145259846</v>
      </c>
      <c r="H139" s="4">
        <f>C139*F139</f>
        <v>104.7040835567343</v>
      </c>
      <c r="I139" s="4">
        <f>C139*G139</f>
        <v>104.27430757381457</v>
      </c>
      <c r="J139" s="11">
        <f>LN(H139/D139)</f>
        <v>-2.3459266986320987E-3</v>
      </c>
      <c r="K139" s="11">
        <f>LN(I139/D139)</f>
        <v>-6.4590465910598863E-3</v>
      </c>
    </row>
    <row r="140" spans="2:11" x14ac:dyDescent="0.3">
      <c r="B140" s="1">
        <v>46226</v>
      </c>
      <c r="C140" s="4">
        <v>44.95</v>
      </c>
      <c r="D140" s="4">
        <v>104.71</v>
      </c>
      <c r="E140" s="8">
        <f t="shared" si="6"/>
        <v>2.3294771968854278</v>
      </c>
      <c r="F140" s="9">
        <f t="shared" si="4"/>
        <v>2.3271784952455672</v>
      </c>
      <c r="G140" s="9">
        <f t="shared" si="5"/>
        <v>2.3166920145259846</v>
      </c>
      <c r="H140" s="4">
        <f>C140*F140</f>
        <v>104.60667336128826</v>
      </c>
      <c r="I140" s="4">
        <f>C140*G140</f>
        <v>104.13530605294301</v>
      </c>
      <c r="J140" s="11">
        <f>LN(H140/D140)</f>
        <v>-9.8727583852062243E-4</v>
      </c>
      <c r="K140" s="11">
        <f>LN(I140/D140)</f>
        <v>-5.5035510110005501E-3</v>
      </c>
    </row>
    <row r="141" spans="2:11" x14ac:dyDescent="0.3">
      <c r="B141" s="1">
        <v>46227</v>
      </c>
      <c r="C141" s="4">
        <v>45.95</v>
      </c>
      <c r="D141" s="4">
        <v>107</v>
      </c>
      <c r="E141" s="8">
        <f t="shared" si="6"/>
        <v>2.3286180631120783</v>
      </c>
      <c r="F141" s="9">
        <f t="shared" si="4"/>
        <v>2.328000517486168</v>
      </c>
      <c r="G141" s="9">
        <f t="shared" si="5"/>
        <v>2.3166920145259846</v>
      </c>
      <c r="H141" s="4">
        <f>C141*F141</f>
        <v>106.97162377848943</v>
      </c>
      <c r="I141" s="4">
        <f>C141*G141</f>
        <v>106.45199806746901</v>
      </c>
      <c r="J141" s="11">
        <f>LN(H141/D141)</f>
        <v>-2.6523350317043682E-4</v>
      </c>
      <c r="K141" s="11">
        <f>LN(I141/D141)</f>
        <v>-5.1346732894692135E-3</v>
      </c>
    </row>
    <row r="142" spans="2:11" x14ac:dyDescent="0.3">
      <c r="B142" s="1">
        <v>46230</v>
      </c>
      <c r="C142" s="4">
        <v>45.76</v>
      </c>
      <c r="D142" s="4">
        <v>106.64</v>
      </c>
      <c r="E142" s="8">
        <f t="shared" si="6"/>
        <v>2.3304195804195804</v>
      </c>
      <c r="F142" s="9">
        <f t="shared" si="4"/>
        <v>2.3288716291331424</v>
      </c>
      <c r="G142" s="9">
        <f t="shared" si="5"/>
        <v>2.3166920145259846</v>
      </c>
      <c r="H142" s="4">
        <f>C142*F142</f>
        <v>106.56916574913259</v>
      </c>
      <c r="I142" s="4">
        <f>C142*G142</f>
        <v>106.01182658470906</v>
      </c>
      <c r="J142" s="11">
        <f>LN(H142/D142)</f>
        <v>-6.6445786441367001E-4</v>
      </c>
      <c r="K142" s="11">
        <f>LN(I142/D142)</f>
        <v>-5.9080164281700145E-3</v>
      </c>
    </row>
    <row r="143" spans="2:11" x14ac:dyDescent="0.3">
      <c r="B143" s="1">
        <v>46231</v>
      </c>
      <c r="C143" s="4">
        <v>46.01</v>
      </c>
      <c r="D143" s="4">
        <v>107.26</v>
      </c>
      <c r="E143" s="8">
        <f t="shared" si="6"/>
        <v>2.3312323407954794</v>
      </c>
      <c r="F143" s="9">
        <f t="shared" si="4"/>
        <v>2.3295717145611619</v>
      </c>
      <c r="G143" s="9">
        <f t="shared" si="5"/>
        <v>2.3166920145259846</v>
      </c>
      <c r="H143" s="4">
        <f>C143*F143</f>
        <v>107.18359458695905</v>
      </c>
      <c r="I143" s="4">
        <f>C143*G143</f>
        <v>106.59099958834055</v>
      </c>
      <c r="J143" s="11">
        <f>LN(H143/D143)</f>
        <v>-7.1259219862702234E-4</v>
      </c>
      <c r="K143" s="11">
        <f>LN(I143/D143)</f>
        <v>-6.2567170166611249E-3</v>
      </c>
    </row>
    <row r="144" spans="2:11" x14ac:dyDescent="0.3">
      <c r="B144" s="1">
        <v>46232</v>
      </c>
      <c r="C144" s="4">
        <v>45.96</v>
      </c>
      <c r="D144" s="4">
        <v>107.01</v>
      </c>
      <c r="E144" s="8">
        <f t="shared" si="6"/>
        <v>2.3283289817232378</v>
      </c>
      <c r="F144" s="9">
        <f t="shared" si="4"/>
        <v>2.3298741504744873</v>
      </c>
      <c r="G144" s="9">
        <f t="shared" si="5"/>
        <v>2.3166920145259846</v>
      </c>
      <c r="H144" s="4">
        <f>C144*F144</f>
        <v>107.08101595580744</v>
      </c>
      <c r="I144" s="4">
        <f>C144*G144</f>
        <v>106.47516498761425</v>
      </c>
      <c r="J144" s="11">
        <f>LN(H144/D144)</f>
        <v>6.6341838862366757E-4</v>
      </c>
      <c r="K144" s="11">
        <f>LN(I144/D144)</f>
        <v>-5.0105226876141391E-3</v>
      </c>
    </row>
    <row r="145" spans="2:11" x14ac:dyDescent="0.3">
      <c r="B145" s="1">
        <v>46233</v>
      </c>
      <c r="C145" s="4">
        <v>45.3</v>
      </c>
      <c r="D145" s="4">
        <v>105.67</v>
      </c>
      <c r="E145" s="8">
        <f t="shared" si="6"/>
        <v>2.3326710816777045</v>
      </c>
      <c r="F145" s="9">
        <f t="shared" si="4"/>
        <v>2.3302673242958098</v>
      </c>
      <c r="G145" s="9">
        <f t="shared" si="5"/>
        <v>2.3166920145259846</v>
      </c>
      <c r="H145" s="4">
        <f>C145*F145</f>
        <v>105.56110979060018</v>
      </c>
      <c r="I145" s="4">
        <f>C145*G145</f>
        <v>104.94614825802709</v>
      </c>
      <c r="J145" s="11">
        <f>LN(H145/D145)</f>
        <v>-1.0310055100630614E-3</v>
      </c>
      <c r="K145" s="11">
        <f>LN(I145/D145)</f>
        <v>-6.8736855932103914E-3</v>
      </c>
    </row>
    <row r="146" spans="2:11" x14ac:dyDescent="0.3">
      <c r="B146" s="1">
        <v>46234</v>
      </c>
      <c r="C146" s="4">
        <v>45.07</v>
      </c>
      <c r="D146" s="4">
        <v>105.09</v>
      </c>
      <c r="E146" s="8">
        <f t="shared" si="6"/>
        <v>2.3317062347459507</v>
      </c>
      <c r="F146" s="9">
        <f t="shared" si="4"/>
        <v>2.3304582761405381</v>
      </c>
      <c r="G146" s="9">
        <f t="shared" si="5"/>
        <v>2.3166920145259846</v>
      </c>
      <c r="H146" s="4">
        <f>C146*F146</f>
        <v>105.03375450565406</v>
      </c>
      <c r="I146" s="4">
        <f>C146*G146</f>
        <v>104.41330909468613</v>
      </c>
      <c r="J146" s="11">
        <f>LN(H146/D146)</f>
        <v>-5.3535589844778053E-4</v>
      </c>
      <c r="K146" s="11">
        <f>LN(I146/D146)</f>
        <v>-6.4599768042074386E-3</v>
      </c>
    </row>
    <row r="147" spans="2:11" x14ac:dyDescent="0.3">
      <c r="B147" s="1">
        <v>46237</v>
      </c>
      <c r="C147" s="4">
        <v>45.18</v>
      </c>
      <c r="D147" s="4">
        <v>105.23</v>
      </c>
      <c r="E147" s="8">
        <f t="shared" si="6"/>
        <v>2.3291279327135901</v>
      </c>
      <c r="F147" s="9">
        <f t="shared" si="4"/>
        <v>2.3303759507170621</v>
      </c>
      <c r="G147" s="9">
        <f t="shared" si="5"/>
        <v>2.3166920145259846</v>
      </c>
      <c r="H147" s="4">
        <f>C147*F147</f>
        <v>105.28638545339686</v>
      </c>
      <c r="I147" s="4">
        <f>C147*G147</f>
        <v>104.66814521628399</v>
      </c>
      <c r="J147" s="11">
        <f>LN(H147/D147)</f>
        <v>5.3568708795544162E-4</v>
      </c>
      <c r="K147" s="11">
        <f>LN(I147/D147)</f>
        <v>-5.3536073421228134E-3</v>
      </c>
    </row>
    <row r="148" spans="2:11" x14ac:dyDescent="0.3">
      <c r="B148" s="1">
        <v>46238</v>
      </c>
      <c r="C148" s="4">
        <v>45.17</v>
      </c>
      <c r="D148" s="4">
        <v>105.12</v>
      </c>
      <c r="E148" s="8">
        <f t="shared" si="6"/>
        <v>2.3272083241089216</v>
      </c>
      <c r="F148" s="9">
        <f t="shared" si="4"/>
        <v>2.3303295948129072</v>
      </c>
      <c r="G148" s="9">
        <f t="shared" si="5"/>
        <v>2.3166920145259846</v>
      </c>
      <c r="H148" s="4">
        <f>C148*F148</f>
        <v>105.26098779769903</v>
      </c>
      <c r="I148" s="4">
        <f>C148*G148</f>
        <v>104.64497829613873</v>
      </c>
      <c r="J148" s="11">
        <f>LN(H148/D148)</f>
        <v>1.340309504971325E-3</v>
      </c>
      <c r="K148" s="11">
        <f>LN(I148/D148)</f>
        <v>-4.5290926990467642E-3</v>
      </c>
    </row>
    <row r="149" spans="2:11" x14ac:dyDescent="0.3">
      <c r="B149" s="1">
        <v>46239</v>
      </c>
      <c r="C149" s="4">
        <v>45.2</v>
      </c>
      <c r="D149" s="4">
        <v>105.14</v>
      </c>
      <c r="E149" s="8">
        <f t="shared" si="6"/>
        <v>2.3261061946902655</v>
      </c>
      <c r="F149" s="9">
        <f t="shared" ref="F149:F163" si="7">AVERAGE(E130:E149)</f>
        <v>2.3302249385225053</v>
      </c>
      <c r="G149" s="9">
        <f t="shared" si="5"/>
        <v>2.3166920145259846</v>
      </c>
      <c r="H149" s="4">
        <f>C149*F149</f>
        <v>105.32616722121725</v>
      </c>
      <c r="I149" s="4">
        <f>C149*G149</f>
        <v>104.7144790565745</v>
      </c>
      <c r="J149" s="11">
        <f>LN(H149/D149)</f>
        <v>1.7690945032078486E-3</v>
      </c>
      <c r="K149" s="11">
        <f>LN(I149/D149)</f>
        <v>-4.0553961823756417E-3</v>
      </c>
    </row>
    <row r="150" spans="2:11" x14ac:dyDescent="0.3">
      <c r="B150" s="1">
        <v>46240</v>
      </c>
      <c r="C150" s="4">
        <v>44.81</v>
      </c>
      <c r="D150" s="4">
        <v>104.19</v>
      </c>
      <c r="E150" s="8">
        <f t="shared" si="6"/>
        <v>2.3251506360187455</v>
      </c>
      <c r="F150" s="9">
        <f t="shared" si="7"/>
        <v>2.3300456627267883</v>
      </c>
      <c r="G150" s="9">
        <f t="shared" ref="G150:G172" si="8">G149</f>
        <v>2.3166920145259846</v>
      </c>
      <c r="H150" s="4">
        <f>C150*F150</f>
        <v>104.40934614678739</v>
      </c>
      <c r="I150" s="4">
        <f>C150*G150</f>
        <v>103.81096917090937</v>
      </c>
      <c r="J150" s="11">
        <f>LN(H150/D150)</f>
        <v>2.1030384963543688E-3</v>
      </c>
      <c r="K150" s="11">
        <f>LN(I150/D150)</f>
        <v>-3.6445142552997815E-3</v>
      </c>
    </row>
    <row r="151" spans="2:11" x14ac:dyDescent="0.3">
      <c r="B151" s="1">
        <v>46241</v>
      </c>
      <c r="C151" s="4">
        <v>44.98</v>
      </c>
      <c r="D151" s="4">
        <v>104.69</v>
      </c>
      <c r="E151" s="8">
        <f t="shared" si="6"/>
        <v>2.3274788795020012</v>
      </c>
      <c r="F151" s="9">
        <f t="shared" si="7"/>
        <v>2.3301991342609445</v>
      </c>
      <c r="G151" s="9">
        <f t="shared" si="8"/>
        <v>2.3166920145259846</v>
      </c>
      <c r="H151" s="4">
        <f>C151*F151</f>
        <v>104.81235705905728</v>
      </c>
      <c r="I151" s="4">
        <f>C151*G151</f>
        <v>104.20480681337878</v>
      </c>
      <c r="J151" s="11">
        <f>LN(H151/D151)</f>
        <v>1.1680734736053328E-3</v>
      </c>
      <c r="K151" s="11">
        <f>LN(I151/D151)</f>
        <v>-4.6453434293531716E-3</v>
      </c>
    </row>
    <row r="152" spans="2:11" x14ac:dyDescent="0.3">
      <c r="B152" s="1">
        <v>46244</v>
      </c>
      <c r="C152" s="4">
        <v>44.4</v>
      </c>
      <c r="D152" s="4">
        <v>103.35</v>
      </c>
      <c r="E152" s="8">
        <f t="shared" si="6"/>
        <v>2.3277027027027026</v>
      </c>
      <c r="F152" s="9">
        <f t="shared" si="7"/>
        <v>2.3303538443401512</v>
      </c>
      <c r="G152" s="9">
        <f t="shared" si="8"/>
        <v>2.3166920145259846</v>
      </c>
      <c r="H152" s="4">
        <f>C152*F152</f>
        <v>103.46771068870271</v>
      </c>
      <c r="I152" s="4">
        <f>C152*G152</f>
        <v>102.86112544495371</v>
      </c>
      <c r="J152" s="11">
        <f>LN(H152/D152)</f>
        <v>1.1383038814316061E-3</v>
      </c>
      <c r="K152" s="11">
        <f>LN(I152/D152)</f>
        <v>-4.7415043188573655E-3</v>
      </c>
    </row>
    <row r="153" spans="2:11" x14ac:dyDescent="0.3">
      <c r="B153" s="1">
        <v>46245</v>
      </c>
      <c r="C153" s="4">
        <v>44.08</v>
      </c>
      <c r="D153" s="4">
        <v>102.57</v>
      </c>
      <c r="E153" s="8">
        <f t="shared" si="6"/>
        <v>2.3269056261343013</v>
      </c>
      <c r="F153" s="9">
        <f t="shared" si="7"/>
        <v>2.3302535321216862</v>
      </c>
      <c r="G153" s="9">
        <f t="shared" si="8"/>
        <v>2.3166920145259846</v>
      </c>
      <c r="H153" s="4">
        <f>C153*F153</f>
        <v>102.71757569592393</v>
      </c>
      <c r="I153" s="4">
        <f>C153*G153</f>
        <v>102.1197840003054</v>
      </c>
      <c r="J153" s="11">
        <f>LN(H153/D153)</f>
        <v>1.437746252738104E-3</v>
      </c>
      <c r="K153" s="11">
        <f>LN(I153/D153)</f>
        <v>-4.3990151039197496E-3</v>
      </c>
    </row>
    <row r="154" spans="2:11" x14ac:dyDescent="0.3">
      <c r="B154" s="1">
        <v>46246</v>
      </c>
      <c r="C154" s="4">
        <v>44.49</v>
      </c>
      <c r="D154" s="4">
        <v>103.51</v>
      </c>
      <c r="E154" s="8">
        <f t="shared" si="6"/>
        <v>2.3265902449988762</v>
      </c>
      <c r="F154" s="9">
        <f t="shared" si="7"/>
        <v>2.3300772095421864</v>
      </c>
      <c r="G154" s="9">
        <f t="shared" si="8"/>
        <v>2.3166920145259846</v>
      </c>
      <c r="H154" s="4">
        <f>C154*F154</f>
        <v>103.66513505253188</v>
      </c>
      <c r="I154" s="4">
        <f>C154*G154</f>
        <v>103.06962772626106</v>
      </c>
      <c r="J154" s="11">
        <f>LN(H154/D154)</f>
        <v>1.497622593447083E-3</v>
      </c>
      <c r="K154" s="11">
        <f>LN(I154/D154)</f>
        <v>-4.2634692069675626E-3</v>
      </c>
    </row>
    <row r="155" spans="2:11" x14ac:dyDescent="0.3">
      <c r="B155" s="1">
        <v>46247</v>
      </c>
      <c r="C155" s="4">
        <v>45.12</v>
      </c>
      <c r="D155" s="4">
        <v>104.89</v>
      </c>
      <c r="E155" s="8">
        <f t="shared" si="6"/>
        <v>2.324689716312057</v>
      </c>
      <c r="F155" s="9">
        <f t="shared" si="7"/>
        <v>2.3294507186749911</v>
      </c>
      <c r="G155" s="9">
        <f t="shared" si="8"/>
        <v>2.3166920145259846</v>
      </c>
      <c r="H155" s="4">
        <f>C155*F155</f>
        <v>105.1048164266156</v>
      </c>
      <c r="I155" s="4">
        <f>C155*G155</f>
        <v>104.52914369541242</v>
      </c>
      <c r="J155" s="11">
        <f>LN(H155/D155)</f>
        <v>2.0459219441938078E-3</v>
      </c>
      <c r="K155" s="11">
        <f>LN(I155/D155)</f>
        <v>-3.446262412968415E-3</v>
      </c>
    </row>
    <row r="156" spans="2:11" x14ac:dyDescent="0.3">
      <c r="B156" s="1">
        <v>46248</v>
      </c>
      <c r="C156" s="4">
        <v>45.27</v>
      </c>
      <c r="D156" s="4">
        <v>105.06</v>
      </c>
      <c r="E156" s="8">
        <f t="shared" si="6"/>
        <v>2.3207422133863487</v>
      </c>
      <c r="F156" s="9">
        <f t="shared" si="7"/>
        <v>2.3287000706476984</v>
      </c>
      <c r="G156" s="9">
        <f t="shared" si="8"/>
        <v>2.3166920145259846</v>
      </c>
      <c r="H156" s="4">
        <f>C156*F156</f>
        <v>105.42025219822131</v>
      </c>
      <c r="I156" s="4">
        <f>C156*G156</f>
        <v>104.87664749759134</v>
      </c>
      <c r="J156" s="11">
        <f>LN(H156/D156)</f>
        <v>3.4231482169314008E-3</v>
      </c>
      <c r="K156" s="11">
        <f>LN(I156/D156)</f>
        <v>-1.7467417072074046E-3</v>
      </c>
    </row>
    <row r="157" spans="2:11" x14ac:dyDescent="0.3">
      <c r="B157" s="1">
        <v>46251</v>
      </c>
      <c r="C157" s="4">
        <v>44.83</v>
      </c>
      <c r="D157" s="4">
        <v>104.15</v>
      </c>
      <c r="E157" s="8">
        <f t="shared" si="6"/>
        <v>2.3232210573276824</v>
      </c>
      <c r="F157" s="9">
        <f t="shared" si="7"/>
        <v>2.3281797173677199</v>
      </c>
      <c r="G157" s="9">
        <f t="shared" si="8"/>
        <v>2.3166920145259846</v>
      </c>
      <c r="H157" s="4">
        <f>C157*F157</f>
        <v>104.37229672959488</v>
      </c>
      <c r="I157" s="4">
        <f>C157*G157</f>
        <v>103.85730301119989</v>
      </c>
      <c r="J157" s="11">
        <f>LN(H157/D157)</f>
        <v>2.1321155319423829E-3</v>
      </c>
      <c r="K157" s="11">
        <f>LN(I157/D157)</f>
        <v>-2.8142971688920899E-3</v>
      </c>
    </row>
    <row r="158" spans="2:11" x14ac:dyDescent="0.3">
      <c r="B158" s="1">
        <v>46252</v>
      </c>
      <c r="C158" s="4">
        <v>44.63</v>
      </c>
      <c r="D158" s="4">
        <v>103.76</v>
      </c>
      <c r="E158" s="8">
        <f t="shared" si="6"/>
        <v>2.3248935693479722</v>
      </c>
      <c r="F158" s="9">
        <f t="shared" si="7"/>
        <v>2.327698732118304</v>
      </c>
      <c r="G158" s="9">
        <f t="shared" si="8"/>
        <v>2.3166920145259846</v>
      </c>
      <c r="H158" s="4">
        <f>C158*F158</f>
        <v>103.88519441443991</v>
      </c>
      <c r="I158" s="4">
        <f>C158*G158</f>
        <v>103.3939646082947</v>
      </c>
      <c r="J158" s="11">
        <f>LN(H158/D158)</f>
        <v>1.2058495258038514E-3</v>
      </c>
      <c r="K158" s="11">
        <f>LN(I158/D158)</f>
        <v>-3.5339489962690879E-3</v>
      </c>
    </row>
    <row r="159" spans="2:11" x14ac:dyDescent="0.3">
      <c r="B159" s="1">
        <v>46253</v>
      </c>
      <c r="C159" s="4">
        <v>44.99</v>
      </c>
      <c r="D159" s="4">
        <v>104.79</v>
      </c>
      <c r="E159" s="8">
        <f t="shared" si="6"/>
        <v>2.3291842631695934</v>
      </c>
      <c r="F159" s="9">
        <f t="shared" si="7"/>
        <v>2.3275727419886256</v>
      </c>
      <c r="G159" s="9">
        <f t="shared" si="8"/>
        <v>2.3166920145259846</v>
      </c>
      <c r="H159" s="4">
        <f>C159*F159</f>
        <v>104.71749766206827</v>
      </c>
      <c r="I159" s="4">
        <f>C159*G159</f>
        <v>104.22797373352405</v>
      </c>
      <c r="J159" s="11">
        <f>LN(H159/D159)</f>
        <v>-6.921216818973517E-4</v>
      </c>
      <c r="K159" s="11">
        <f>LN(I159/D159)</f>
        <v>-5.3777922630285765E-3</v>
      </c>
    </row>
    <row r="160" spans="2:11" x14ac:dyDescent="0.3">
      <c r="B160" s="1">
        <v>46254</v>
      </c>
      <c r="C160" s="4">
        <v>45.08</v>
      </c>
      <c r="D160" s="4">
        <v>104.78</v>
      </c>
      <c r="E160" s="8">
        <f t="shared" si="6"/>
        <v>2.3243123336291038</v>
      </c>
      <c r="F160" s="9">
        <f t="shared" si="7"/>
        <v>2.3273144988258094</v>
      </c>
      <c r="G160" s="9">
        <f t="shared" si="8"/>
        <v>2.3166920145259846</v>
      </c>
      <c r="H160" s="4">
        <f>C160*F160</f>
        <v>104.91533760706749</v>
      </c>
      <c r="I160" s="4">
        <f>C160*G160</f>
        <v>104.43647601483138</v>
      </c>
      <c r="J160" s="11">
        <f>LN(H160/D160)</f>
        <v>1.2908024317868142E-3</v>
      </c>
      <c r="K160" s="11">
        <f>LN(I160/D160)</f>
        <v>-3.2839124377573355E-3</v>
      </c>
    </row>
    <row r="161" spans="2:11" x14ac:dyDescent="0.3">
      <c r="B161" s="1">
        <v>46255</v>
      </c>
      <c r="C161" s="4">
        <v>45.08</v>
      </c>
      <c r="D161" s="4">
        <v>104.73</v>
      </c>
      <c r="E161" s="8">
        <f t="shared" si="6"/>
        <v>2.323203194321207</v>
      </c>
      <c r="F161" s="9">
        <f t="shared" si="7"/>
        <v>2.3270437553862657</v>
      </c>
      <c r="G161" s="9">
        <f t="shared" si="8"/>
        <v>2.3166920145259846</v>
      </c>
      <c r="H161" s="4">
        <f>C161*F161</f>
        <v>104.90313249281286</v>
      </c>
      <c r="I161" s="4">
        <f>C161*G161</f>
        <v>104.43647601483138</v>
      </c>
      <c r="J161" s="11">
        <f>LN(H161/D161)</f>
        <v>1.6517668759483391E-3</v>
      </c>
      <c r="K161" s="11">
        <f>LN(I161/D161)</f>
        <v>-2.8066082427380991E-3</v>
      </c>
    </row>
    <row r="162" spans="2:11" x14ac:dyDescent="0.3">
      <c r="B162" s="1">
        <v>46258</v>
      </c>
      <c r="C162" s="4">
        <v>45.33</v>
      </c>
      <c r="D162" s="4">
        <v>105.39</v>
      </c>
      <c r="E162" s="8">
        <f t="shared" si="6"/>
        <v>2.324950363997353</v>
      </c>
      <c r="F162" s="9">
        <f t="shared" si="7"/>
        <v>2.3267702945651547</v>
      </c>
      <c r="G162" s="9">
        <f t="shared" si="8"/>
        <v>2.3166920145259846</v>
      </c>
      <c r="H162" s="4">
        <f>C162*F162</f>
        <v>105.47249745263846</v>
      </c>
      <c r="I162" s="4">
        <f>C162*G162</f>
        <v>105.01564901846288</v>
      </c>
      <c r="J162" s="11">
        <f>LN(H162/D162)</f>
        <v>7.8247633262719504E-4</v>
      </c>
      <c r="K162" s="11">
        <f>LN(I162/D162)</f>
        <v>-3.5583776223466748E-3</v>
      </c>
    </row>
    <row r="163" spans="2:11" x14ac:dyDescent="0.3">
      <c r="B163" s="1">
        <v>46259</v>
      </c>
      <c r="C163" s="4">
        <v>45.36</v>
      </c>
      <c r="D163" s="4">
        <v>105.46</v>
      </c>
      <c r="E163" s="8">
        <f t="shared" si="6"/>
        <v>2.3249559082892417</v>
      </c>
      <c r="F163" s="9">
        <f t="shared" si="7"/>
        <v>2.3264564729398427</v>
      </c>
      <c r="G163" s="9">
        <f t="shared" si="8"/>
        <v>2.3166920145259846</v>
      </c>
      <c r="H163" s="4">
        <f>C163*F163</f>
        <v>105.52806561255126</v>
      </c>
      <c r="I163" s="4">
        <f>C163*G163</f>
        <v>105.08514977889867</v>
      </c>
      <c r="J163" s="11">
        <f>LN(H163/D163)</f>
        <v>6.4520819900342201E-4</v>
      </c>
      <c r="K163" s="11">
        <f>LN(I163/D163)</f>
        <v>-3.5607623120861446E-3</v>
      </c>
    </row>
    <row r="164" spans="2:11" x14ac:dyDescent="0.3">
      <c r="C164" s="4">
        <v>45.09</v>
      </c>
      <c r="D164" s="4">
        <v>104.74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919E-1908-4EF4-8BCF-FF6ACABDE4FB}">
  <dimension ref="A1:K164"/>
  <sheetViews>
    <sheetView workbookViewId="0">
      <selection activeCell="R5" sqref="R5"/>
    </sheetView>
  </sheetViews>
  <sheetFormatPr defaultRowHeight="14.4" x14ac:dyDescent="0.3"/>
  <cols>
    <col min="1" max="1" width="8.21875" style="6" customWidth="1"/>
    <col min="2" max="2" width="10.33203125" style="1" bestFit="1" customWidth="1"/>
    <col min="3" max="4" width="8.88671875" style="4"/>
    <col min="5" max="5" width="10.6640625" style="8" bestFit="1" customWidth="1"/>
    <col min="7" max="7" width="10.33203125" style="1" bestFit="1" customWidth="1"/>
    <col min="8" max="9" width="8.88671875" style="4"/>
    <col min="10" max="11" width="8.88671875" style="11"/>
  </cols>
  <sheetData>
    <row r="1" spans="2:11" s="3" customFormat="1" x14ac:dyDescent="0.3">
      <c r="B1" s="2" t="s">
        <v>0</v>
      </c>
      <c r="C1" s="5" t="s">
        <v>19</v>
      </c>
      <c r="D1" s="5" t="s">
        <v>4</v>
      </c>
      <c r="E1" s="7" t="str">
        <f>_xlfn.CONCAT(D1,"/",C1)</f>
        <v>IYE/XLE</v>
      </c>
      <c r="F1" s="3" t="s">
        <v>13</v>
      </c>
      <c r="G1" s="1"/>
      <c r="H1" s="10" t="s">
        <v>9</v>
      </c>
      <c r="I1" s="10" t="s">
        <v>10</v>
      </c>
      <c r="J1" s="10" t="s">
        <v>11</v>
      </c>
      <c r="K1" s="10" t="s">
        <v>12</v>
      </c>
    </row>
    <row r="2" spans="2:11" x14ac:dyDescent="0.3">
      <c r="B2" s="1">
        <v>46024</v>
      </c>
      <c r="C2" s="4">
        <v>45.65</v>
      </c>
      <c r="D2" s="4">
        <v>48.55</v>
      </c>
      <c r="E2" s="8">
        <f>D2/C2</f>
        <v>1.0635268346111719</v>
      </c>
    </row>
    <row r="3" spans="2:11" x14ac:dyDescent="0.3">
      <c r="B3" s="1">
        <v>46027</v>
      </c>
      <c r="C3" s="4">
        <v>46.89</v>
      </c>
      <c r="D3" s="4">
        <v>49.73</v>
      </c>
      <c r="E3" s="8">
        <f t="shared" ref="E3:E66" si="0">D3/C3</f>
        <v>1.0605672851354233</v>
      </c>
    </row>
    <row r="4" spans="2:11" x14ac:dyDescent="0.3">
      <c r="B4" s="1">
        <v>46028</v>
      </c>
      <c r="C4" s="4">
        <v>45.64</v>
      </c>
      <c r="D4" s="4">
        <v>48.44</v>
      </c>
      <c r="E4" s="8">
        <f t="shared" si="0"/>
        <v>1.0613496932515336</v>
      </c>
    </row>
    <row r="5" spans="2:11" x14ac:dyDescent="0.3">
      <c r="B5" s="1">
        <v>46029</v>
      </c>
      <c r="C5" s="4">
        <v>45.13</v>
      </c>
      <c r="D5" s="4">
        <v>47.87</v>
      </c>
      <c r="E5" s="8">
        <f t="shared" si="0"/>
        <v>1.0607134943496563</v>
      </c>
    </row>
    <row r="6" spans="2:11" x14ac:dyDescent="0.3">
      <c r="B6" s="1">
        <v>46030</v>
      </c>
      <c r="C6" s="4">
        <v>46.55</v>
      </c>
      <c r="D6" s="4">
        <v>49.29</v>
      </c>
      <c r="E6" s="8">
        <f t="shared" si="0"/>
        <v>1.0588614393125673</v>
      </c>
    </row>
    <row r="7" spans="2:11" x14ac:dyDescent="0.3">
      <c r="B7" s="1">
        <v>46031</v>
      </c>
      <c r="C7" s="4">
        <v>46.67</v>
      </c>
      <c r="D7" s="4">
        <v>49.39</v>
      </c>
      <c r="E7" s="8">
        <f t="shared" si="0"/>
        <v>1.058281551317763</v>
      </c>
    </row>
    <row r="8" spans="2:11" x14ac:dyDescent="0.3">
      <c r="B8" s="1">
        <v>46034</v>
      </c>
      <c r="C8" s="4">
        <v>46.34</v>
      </c>
      <c r="D8" s="4">
        <v>49.07</v>
      </c>
      <c r="E8" s="8">
        <f t="shared" si="0"/>
        <v>1.0589123867069485</v>
      </c>
    </row>
    <row r="9" spans="2:11" x14ac:dyDescent="0.3">
      <c r="B9" s="1">
        <v>46035</v>
      </c>
      <c r="C9" s="4">
        <v>47</v>
      </c>
      <c r="D9" s="4">
        <v>49.77</v>
      </c>
      <c r="E9" s="8">
        <f t="shared" si="0"/>
        <v>1.058936170212766</v>
      </c>
    </row>
    <row r="10" spans="2:11" x14ac:dyDescent="0.3">
      <c r="B10" s="1">
        <v>46036</v>
      </c>
      <c r="C10" s="4">
        <v>48.06</v>
      </c>
      <c r="D10" s="4">
        <v>50.84</v>
      </c>
      <c r="E10" s="8">
        <f t="shared" si="0"/>
        <v>1.0578443612151478</v>
      </c>
    </row>
    <row r="11" spans="2:11" x14ac:dyDescent="0.3">
      <c r="B11" s="1">
        <v>46037</v>
      </c>
      <c r="C11" s="4">
        <v>47.61</v>
      </c>
      <c r="D11" s="4">
        <v>50.43</v>
      </c>
      <c r="E11" s="8">
        <f t="shared" si="0"/>
        <v>1.0592312539382482</v>
      </c>
      <c r="F11" s="9"/>
      <c r="G11" s="9"/>
    </row>
    <row r="12" spans="2:11" x14ac:dyDescent="0.3">
      <c r="B12" s="1">
        <v>46038</v>
      </c>
      <c r="C12" s="4">
        <v>47.69</v>
      </c>
      <c r="D12" s="4">
        <v>50.55</v>
      </c>
      <c r="E12" s="8">
        <f t="shared" si="0"/>
        <v>1.0599706437408261</v>
      </c>
      <c r="F12" s="9"/>
      <c r="G12" s="9"/>
    </row>
    <row r="13" spans="2:11" x14ac:dyDescent="0.3">
      <c r="B13" s="1">
        <v>46042</v>
      </c>
      <c r="C13" s="4">
        <v>47.6</v>
      </c>
      <c r="D13" s="4">
        <v>50.42</v>
      </c>
      <c r="E13" s="8">
        <f t="shared" si="0"/>
        <v>1.0592436974789916</v>
      </c>
      <c r="F13" s="9"/>
      <c r="G13" s="9"/>
    </row>
    <row r="14" spans="2:11" x14ac:dyDescent="0.3">
      <c r="B14" s="1">
        <v>46043</v>
      </c>
      <c r="C14" s="4">
        <v>48.75</v>
      </c>
      <c r="D14" s="4">
        <v>51.63</v>
      </c>
      <c r="E14" s="8">
        <f t="shared" si="0"/>
        <v>1.059076923076923</v>
      </c>
      <c r="F14" s="9"/>
      <c r="G14" s="9"/>
    </row>
    <row r="15" spans="2:11" x14ac:dyDescent="0.3">
      <c r="B15" s="1">
        <v>46044</v>
      </c>
      <c r="C15" s="4">
        <v>48.91</v>
      </c>
      <c r="D15" s="4">
        <v>51.77</v>
      </c>
      <c r="E15" s="8">
        <f t="shared" si="0"/>
        <v>1.0584747495399716</v>
      </c>
      <c r="F15" s="9"/>
      <c r="G15" s="9"/>
    </row>
    <row r="16" spans="2:11" x14ac:dyDescent="0.3">
      <c r="B16" s="1">
        <v>46045</v>
      </c>
      <c r="C16" s="4">
        <v>49.19</v>
      </c>
      <c r="D16" s="4">
        <v>52.06</v>
      </c>
      <c r="E16" s="8">
        <f t="shared" si="0"/>
        <v>1.058345192112218</v>
      </c>
      <c r="F16" s="9"/>
      <c r="G16" s="9"/>
    </row>
    <row r="17" spans="2:11" x14ac:dyDescent="0.3">
      <c r="B17" s="1">
        <v>46048</v>
      </c>
      <c r="C17" s="4">
        <v>49.22</v>
      </c>
      <c r="D17" s="4">
        <v>52.09</v>
      </c>
      <c r="E17" s="8">
        <f t="shared" si="0"/>
        <v>1.0583096302316133</v>
      </c>
      <c r="F17" s="9"/>
      <c r="G17" s="9"/>
    </row>
    <row r="18" spans="2:11" x14ac:dyDescent="0.3">
      <c r="B18" s="1">
        <v>46049</v>
      </c>
      <c r="C18" s="4">
        <v>49.67</v>
      </c>
      <c r="D18" s="4">
        <v>52.57</v>
      </c>
      <c r="E18" s="8">
        <f t="shared" si="0"/>
        <v>1.0583853432655526</v>
      </c>
      <c r="F18" s="9"/>
      <c r="G18" s="9"/>
    </row>
    <row r="19" spans="2:11" x14ac:dyDescent="0.3">
      <c r="B19" s="1">
        <v>46050</v>
      </c>
      <c r="C19" s="4">
        <v>50.05</v>
      </c>
      <c r="D19" s="4">
        <v>52.98</v>
      </c>
      <c r="E19" s="8">
        <f t="shared" si="0"/>
        <v>1.0585414585414585</v>
      </c>
      <c r="F19" s="9"/>
      <c r="G19" s="9"/>
    </row>
    <row r="20" spans="2:11" x14ac:dyDescent="0.3">
      <c r="B20" s="1">
        <v>46051</v>
      </c>
      <c r="C20" s="4">
        <v>50.51</v>
      </c>
      <c r="D20" s="4">
        <v>53.46</v>
      </c>
      <c r="E20" s="8">
        <f t="shared" si="0"/>
        <v>1.0584042763809147</v>
      </c>
      <c r="F20" s="9"/>
      <c r="G20" s="9"/>
    </row>
    <row r="21" spans="2:11" x14ac:dyDescent="0.3">
      <c r="B21" s="1">
        <v>46052</v>
      </c>
      <c r="C21" s="4">
        <v>51.05</v>
      </c>
      <c r="D21" s="4">
        <v>53.97</v>
      </c>
      <c r="E21" s="8">
        <f t="shared" si="0"/>
        <v>1.0571988246816846</v>
      </c>
      <c r="F21" s="9">
        <f t="shared" ref="F21:F84" si="1">AVERAGE(E2:E21)</f>
        <v>1.0592087604550691</v>
      </c>
      <c r="G21" s="9">
        <f>AVERAGE(E:E)</f>
        <v>1.0598195971521724</v>
      </c>
      <c r="H21" s="4">
        <f>C21*F21</f>
        <v>54.072607221231273</v>
      </c>
      <c r="I21" s="4">
        <f>C21*G21</f>
        <v>54.103790434618404</v>
      </c>
      <c r="J21" s="11">
        <f>LN(H21/D21)</f>
        <v>1.8993849689107934E-3</v>
      </c>
      <c r="K21" s="11">
        <f>LN(I21/D21)</f>
        <v>2.4759102540299924E-3</v>
      </c>
    </row>
    <row r="22" spans="2:11" x14ac:dyDescent="0.3">
      <c r="B22" s="1">
        <v>46055</v>
      </c>
      <c r="C22" s="4">
        <v>50.05</v>
      </c>
      <c r="D22" s="4">
        <v>52.98</v>
      </c>
      <c r="E22" s="8">
        <f t="shared" si="0"/>
        <v>1.0585414585414585</v>
      </c>
      <c r="F22" s="9">
        <f t="shared" si="1"/>
        <v>1.0589594916515837</v>
      </c>
      <c r="G22" s="9">
        <f t="shared" ref="G22:G85" si="2">G21</f>
        <v>1.0598195971521724</v>
      </c>
      <c r="H22" s="4">
        <f>C22*F22</f>
        <v>53.000922557161758</v>
      </c>
      <c r="I22" s="4">
        <f>C22*G22</f>
        <v>53.043970837466226</v>
      </c>
      <c r="J22" s="11">
        <f>LN(H22/D22)</f>
        <v>3.9483629560379575E-4</v>
      </c>
      <c r="K22" s="11">
        <f>LN(I22/D22)</f>
        <v>1.2067241912127663E-3</v>
      </c>
    </row>
    <row r="23" spans="2:11" x14ac:dyDescent="0.3">
      <c r="B23" s="1">
        <v>46056</v>
      </c>
      <c r="C23" s="4">
        <v>51.67</v>
      </c>
      <c r="D23" s="4">
        <v>54.62</v>
      </c>
      <c r="E23" s="8">
        <f t="shared" si="0"/>
        <v>1.0570930907683374</v>
      </c>
      <c r="F23" s="9">
        <f t="shared" si="1"/>
        <v>1.0587857819332291</v>
      </c>
      <c r="G23" s="9">
        <f t="shared" si="2"/>
        <v>1.0598195971521724</v>
      </c>
      <c r="H23" s="4">
        <f>C23*F23</f>
        <v>54.70746135248995</v>
      </c>
      <c r="I23" s="4">
        <f>C23*G23</f>
        <v>54.760878584852755</v>
      </c>
      <c r="J23" s="11">
        <f>LN(H23/D23)</f>
        <v>1.599989061597808E-3</v>
      </c>
      <c r="K23" s="11">
        <f>LN(I23/D23)</f>
        <v>2.5759285274411445E-3</v>
      </c>
    </row>
    <row r="24" spans="2:11" x14ac:dyDescent="0.3">
      <c r="B24" s="1">
        <v>46057</v>
      </c>
      <c r="C24" s="4">
        <v>52.83</v>
      </c>
      <c r="D24" s="4">
        <v>55.83</v>
      </c>
      <c r="E24" s="8">
        <f t="shared" si="0"/>
        <v>1.0567859170925611</v>
      </c>
      <c r="F24" s="9">
        <f t="shared" si="1"/>
        <v>1.0585575931252804</v>
      </c>
      <c r="G24" s="9">
        <f t="shared" si="2"/>
        <v>1.0598195971521724</v>
      </c>
      <c r="H24" s="4">
        <f>C24*F24</f>
        <v>55.923597644808559</v>
      </c>
      <c r="I24" s="4">
        <f>C24*G24</f>
        <v>55.99026931754927</v>
      </c>
      <c r="J24" s="11">
        <f>LN(H24/D24)</f>
        <v>1.6750720990881937E-3</v>
      </c>
      <c r="K24" s="11">
        <f>LN(I24/D24)</f>
        <v>2.8665541278622723E-3</v>
      </c>
    </row>
    <row r="25" spans="2:11" x14ac:dyDescent="0.3">
      <c r="B25" s="1">
        <v>46058</v>
      </c>
      <c r="C25" s="4">
        <v>52.21</v>
      </c>
      <c r="D25" s="4">
        <v>55.19</v>
      </c>
      <c r="E25" s="8">
        <f t="shared" si="0"/>
        <v>1.0570771882781076</v>
      </c>
      <c r="F25" s="9">
        <f t="shared" si="1"/>
        <v>1.0583757778217031</v>
      </c>
      <c r="G25" s="9">
        <f t="shared" si="2"/>
        <v>1.0598195971521724</v>
      </c>
      <c r="H25" s="4">
        <f>C25*F25</f>
        <v>55.257799360071118</v>
      </c>
      <c r="I25" s="4">
        <f>C25*G25</f>
        <v>55.333181167314926</v>
      </c>
      <c r="J25" s="11">
        <f>LN(H25/D25)</f>
        <v>1.2277178717921527E-3</v>
      </c>
      <c r="K25" s="11">
        <f>LN(I25/D25)</f>
        <v>2.5909722449579328E-3</v>
      </c>
    </row>
    <row r="26" spans="2:11" x14ac:dyDescent="0.3">
      <c r="B26" s="1">
        <v>46059</v>
      </c>
      <c r="C26" s="4">
        <v>53.25</v>
      </c>
      <c r="D26" s="4">
        <v>56.24</v>
      </c>
      <c r="E26" s="8">
        <f t="shared" si="0"/>
        <v>1.0561502347417842</v>
      </c>
      <c r="F26" s="9">
        <f t="shared" si="1"/>
        <v>1.058240217593164</v>
      </c>
      <c r="G26" s="9">
        <f t="shared" si="2"/>
        <v>1.0598195971521724</v>
      </c>
      <c r="H26" s="4">
        <f>C26*F26</f>
        <v>56.351291586835984</v>
      </c>
      <c r="I26" s="4">
        <f>C26*G26</f>
        <v>56.435393548353183</v>
      </c>
      <c r="J26" s="11">
        <f>LN(H26/D26)</f>
        <v>1.9769135163680649E-3</v>
      </c>
      <c r="K26" s="11">
        <f>LN(I26/D26)</f>
        <v>3.4682593610318802E-3</v>
      </c>
    </row>
    <row r="27" spans="2:11" x14ac:dyDescent="0.3">
      <c r="B27" s="1">
        <v>46062</v>
      </c>
      <c r="C27" s="4">
        <v>53.64</v>
      </c>
      <c r="D27" s="4">
        <v>56.69</v>
      </c>
      <c r="E27" s="8">
        <f t="shared" si="0"/>
        <v>1.0568605518269947</v>
      </c>
      <c r="F27" s="9">
        <f t="shared" si="1"/>
        <v>1.0581691676186256</v>
      </c>
      <c r="G27" s="9">
        <f t="shared" si="2"/>
        <v>1.0598195971521724</v>
      </c>
      <c r="H27" s="4">
        <f>C27*F27</f>
        <v>56.760194151063075</v>
      </c>
      <c r="I27" s="4">
        <f>C27*G27</f>
        <v>56.848723191242527</v>
      </c>
      <c r="J27" s="11">
        <f>LN(H27/D27)</f>
        <v>1.2374445111445445E-3</v>
      </c>
      <c r="K27" s="11">
        <f>LN(I27/D27)</f>
        <v>2.7959323511723465E-3</v>
      </c>
    </row>
    <row r="28" spans="2:11" x14ac:dyDescent="0.3">
      <c r="B28" s="1">
        <v>46063</v>
      </c>
      <c r="C28" s="4">
        <v>53.58</v>
      </c>
      <c r="D28" s="4">
        <v>56.64</v>
      </c>
      <c r="E28" s="8">
        <f t="shared" si="0"/>
        <v>1.0571108622620382</v>
      </c>
      <c r="F28" s="9">
        <f t="shared" si="1"/>
        <v>1.05807909139638</v>
      </c>
      <c r="G28" s="9">
        <f t="shared" si="2"/>
        <v>1.0598195971521724</v>
      </c>
      <c r="H28" s="4">
        <f>C28*F28</f>
        <v>56.691877717018038</v>
      </c>
      <c r="I28" s="4">
        <f>C28*G28</f>
        <v>56.785134015413398</v>
      </c>
      <c r="J28" s="11">
        <f>LN(H28/D28)</f>
        <v>9.1550094618542523E-4</v>
      </c>
      <c r="K28" s="11">
        <f>LN(I28/D28)</f>
        <v>2.5591170049050972E-3</v>
      </c>
    </row>
    <row r="29" spans="2:11" x14ac:dyDescent="0.3">
      <c r="B29" s="1">
        <v>46064</v>
      </c>
      <c r="C29" s="4">
        <v>54.98</v>
      </c>
      <c r="D29" s="4">
        <v>58.07</v>
      </c>
      <c r="E29" s="8">
        <f t="shared" si="0"/>
        <v>1.0562022553655877</v>
      </c>
      <c r="F29" s="9">
        <f t="shared" si="1"/>
        <v>1.057942395654021</v>
      </c>
      <c r="G29" s="9">
        <f t="shared" si="2"/>
        <v>1.0598195971521724</v>
      </c>
      <c r="H29" s="4">
        <f>C29*F29</f>
        <v>58.165672913058074</v>
      </c>
      <c r="I29" s="4">
        <f>C29*G29</f>
        <v>58.268881451426438</v>
      </c>
      <c r="J29" s="11">
        <f>LN(H29/D29)</f>
        <v>1.6461888552109054E-3</v>
      </c>
      <c r="K29" s="11">
        <f>LN(I29/D29)</f>
        <v>3.4190056270478157E-3</v>
      </c>
    </row>
    <row r="30" spans="2:11" x14ac:dyDescent="0.3">
      <c r="B30" s="1">
        <v>46065</v>
      </c>
      <c r="C30" s="4">
        <v>53.98</v>
      </c>
      <c r="D30" s="4">
        <v>56.98</v>
      </c>
      <c r="E30" s="8">
        <f t="shared" si="0"/>
        <v>1.0555761393108558</v>
      </c>
      <c r="F30" s="9">
        <f t="shared" si="1"/>
        <v>1.0578289845588063</v>
      </c>
      <c r="G30" s="9">
        <f t="shared" si="2"/>
        <v>1.0598195971521724</v>
      </c>
      <c r="H30" s="4">
        <f>C30*F30</f>
        <v>57.10160858648436</v>
      </c>
      <c r="I30" s="4">
        <f>C30*G30</f>
        <v>57.209061854274267</v>
      </c>
      <c r="J30" s="11">
        <f>LN(H30/D30)</f>
        <v>2.1319585874165665E-3</v>
      </c>
      <c r="K30" s="11">
        <f>LN(I30/D30)</f>
        <v>4.0119807940031098E-3</v>
      </c>
    </row>
    <row r="31" spans="2:11" x14ac:dyDescent="0.3">
      <c r="B31" s="1">
        <v>46066</v>
      </c>
      <c r="C31" s="4">
        <v>54.35</v>
      </c>
      <c r="D31" s="4">
        <v>57.41</v>
      </c>
      <c r="E31" s="8">
        <f t="shared" si="0"/>
        <v>1.0563017479300827</v>
      </c>
      <c r="F31" s="9">
        <f t="shared" si="1"/>
        <v>1.0576825092583979</v>
      </c>
      <c r="G31" s="9">
        <f t="shared" si="2"/>
        <v>1.0598195971521724</v>
      </c>
      <c r="H31" s="4">
        <f>C31*F31</f>
        <v>57.485044378193926</v>
      </c>
      <c r="I31" s="4">
        <f>C31*G31</f>
        <v>57.601195105220576</v>
      </c>
      <c r="J31" s="11">
        <f>LN(H31/D31)</f>
        <v>1.3063120219274178E-3</v>
      </c>
      <c r="K31" s="11">
        <f>LN(I31/D31)</f>
        <v>3.324811661579987E-3</v>
      </c>
    </row>
    <row r="32" spans="2:11" x14ac:dyDescent="0.3">
      <c r="B32" s="1">
        <v>46070</v>
      </c>
      <c r="C32" s="4">
        <v>53.75</v>
      </c>
      <c r="D32" s="4">
        <v>56.79</v>
      </c>
      <c r="E32" s="8">
        <f t="shared" si="0"/>
        <v>1.0565581395348838</v>
      </c>
      <c r="F32" s="9">
        <f t="shared" si="1"/>
        <v>1.0575118840481008</v>
      </c>
      <c r="G32" s="9">
        <f t="shared" si="2"/>
        <v>1.0598195971521724</v>
      </c>
      <c r="H32" s="4">
        <f>C32*F32</f>
        <v>56.841263767585417</v>
      </c>
      <c r="I32" s="4">
        <f>C32*G32</f>
        <v>56.965303346929268</v>
      </c>
      <c r="J32" s="11">
        <f>LN(H32/D32)</f>
        <v>9.0228286412699882E-4</v>
      </c>
      <c r="K32" s="11">
        <f>LN(I32/D32)</f>
        <v>3.0821153923377659E-3</v>
      </c>
    </row>
    <row r="33" spans="2:11" x14ac:dyDescent="0.3">
      <c r="B33" s="1">
        <v>46071</v>
      </c>
      <c r="C33" s="4">
        <v>54.78</v>
      </c>
      <c r="D33" s="4">
        <v>57.9</v>
      </c>
      <c r="E33" s="8">
        <f t="shared" si="0"/>
        <v>1.0569550930996714</v>
      </c>
      <c r="F33" s="9">
        <f t="shared" si="1"/>
        <v>1.0573974538291346</v>
      </c>
      <c r="G33" s="9">
        <f t="shared" si="2"/>
        <v>1.0598195971521724</v>
      </c>
      <c r="H33" s="4">
        <f>C33*F33</f>
        <v>57.924232520759993</v>
      </c>
      <c r="I33" s="4">
        <f>C33*G33</f>
        <v>58.056917531996007</v>
      </c>
      <c r="J33" s="11">
        <f>LN(H33/D33)</f>
        <v>4.1843611800697735E-4</v>
      </c>
      <c r="K33" s="11">
        <f>LN(I33/D33)</f>
        <v>2.7064815298893756E-3</v>
      </c>
    </row>
    <row r="34" spans="2:11" x14ac:dyDescent="0.3">
      <c r="B34" s="1">
        <v>46072</v>
      </c>
      <c r="C34" s="4">
        <v>55.18</v>
      </c>
      <c r="D34" s="4">
        <v>58.29</v>
      </c>
      <c r="E34" s="8">
        <f t="shared" si="0"/>
        <v>1.0563610003624502</v>
      </c>
      <c r="F34" s="9">
        <f t="shared" si="1"/>
        <v>1.0572616576934111</v>
      </c>
      <c r="G34" s="9">
        <f t="shared" si="2"/>
        <v>1.0598195971521724</v>
      </c>
      <c r="H34" s="4">
        <f>C34*F34</f>
        <v>58.339698271522423</v>
      </c>
      <c r="I34" s="4">
        <f>C34*G34</f>
        <v>58.480845370856876</v>
      </c>
      <c r="J34" s="11">
        <f>LN(H34/D34)</f>
        <v>8.5224047162962054E-4</v>
      </c>
      <c r="K34" s="11">
        <f>LN(I34/D34)</f>
        <v>3.2687190055884002E-3</v>
      </c>
    </row>
    <row r="35" spans="2:11" x14ac:dyDescent="0.3">
      <c r="B35" s="1">
        <v>46073</v>
      </c>
      <c r="C35" s="4">
        <v>54.88</v>
      </c>
      <c r="D35" s="4">
        <v>58.06</v>
      </c>
      <c r="E35" s="8">
        <f t="shared" si="0"/>
        <v>1.0579446064139941</v>
      </c>
      <c r="F35" s="9">
        <f t="shared" si="1"/>
        <v>1.0572351505371123</v>
      </c>
      <c r="G35" s="9">
        <f t="shared" si="2"/>
        <v>1.0598195971521724</v>
      </c>
      <c r="H35" s="4">
        <f>C35*F35</f>
        <v>58.021065061476726</v>
      </c>
      <c r="I35" s="4">
        <f>C35*G35</f>
        <v>58.162899491711229</v>
      </c>
      <c r="J35" s="11">
        <f>LN(H35/D35)</f>
        <v>-6.7082327273148862E-4</v>
      </c>
      <c r="K35" s="11">
        <f>LN(I35/D35)</f>
        <v>1.7707270950528919E-3</v>
      </c>
    </row>
    <row r="36" spans="2:11" x14ac:dyDescent="0.3">
      <c r="B36" s="1">
        <v>46076</v>
      </c>
      <c r="C36" s="4">
        <v>55.15</v>
      </c>
      <c r="D36" s="4">
        <v>58.29</v>
      </c>
      <c r="E36" s="8">
        <f t="shared" si="0"/>
        <v>1.0569356300997281</v>
      </c>
      <c r="F36" s="9">
        <f t="shared" si="1"/>
        <v>1.0571646724364878</v>
      </c>
      <c r="G36" s="9">
        <f t="shared" si="2"/>
        <v>1.0598195971521724</v>
      </c>
      <c r="H36" s="4">
        <f>C36*F36</f>
        <v>58.302631684872303</v>
      </c>
      <c r="I36" s="4">
        <f>C36*G36</f>
        <v>58.449050782942308</v>
      </c>
      <c r="J36" s="11">
        <f>LN(H36/D36)</f>
        <v>2.1668067251217355E-4</v>
      </c>
      <c r="K36" s="11">
        <f>LN(I36/D36)</f>
        <v>2.7248959159598437E-3</v>
      </c>
    </row>
    <row r="37" spans="2:11" x14ac:dyDescent="0.3">
      <c r="B37" s="1">
        <v>46077</v>
      </c>
      <c r="C37" s="4">
        <v>55.1</v>
      </c>
      <c r="D37" s="4">
        <v>58.28</v>
      </c>
      <c r="E37" s="8">
        <f t="shared" si="0"/>
        <v>1.0577132486388385</v>
      </c>
      <c r="F37" s="9">
        <f t="shared" si="1"/>
        <v>1.0571348533568492</v>
      </c>
      <c r="G37" s="9">
        <f t="shared" si="2"/>
        <v>1.0598195971521724</v>
      </c>
      <c r="H37" s="4">
        <f>C37*F37</f>
        <v>58.248130419962393</v>
      </c>
      <c r="I37" s="4">
        <f>C37*G37</f>
        <v>58.396059803084704</v>
      </c>
      <c r="J37" s="11">
        <f>LN(H37/D37)</f>
        <v>-5.4698519091218791E-4</v>
      </c>
      <c r="K37" s="11">
        <f>LN(I37/D37)</f>
        <v>1.989437105771521E-3</v>
      </c>
    </row>
    <row r="38" spans="2:11" x14ac:dyDescent="0.3">
      <c r="B38" s="1">
        <v>46078</v>
      </c>
      <c r="C38" s="4">
        <v>54.87</v>
      </c>
      <c r="D38" s="4">
        <v>57.93</v>
      </c>
      <c r="E38" s="8">
        <f t="shared" si="0"/>
        <v>1.055768179332969</v>
      </c>
      <c r="F38" s="9">
        <f t="shared" si="1"/>
        <v>1.0570039951602201</v>
      </c>
      <c r="G38" s="9">
        <f t="shared" si="2"/>
        <v>1.0598195971521724</v>
      </c>
      <c r="H38" s="4">
        <f>C38*F38</f>
        <v>57.997809214441276</v>
      </c>
      <c r="I38" s="4">
        <f>C38*G38</f>
        <v>58.152301295739697</v>
      </c>
      <c r="J38" s="11">
        <f>LN(H38/D38)</f>
        <v>1.1698525596947117E-3</v>
      </c>
      <c r="K38" s="11">
        <f>LN(I38/D38)</f>
        <v>3.8300682362580442E-3</v>
      </c>
    </row>
    <row r="39" spans="2:11" x14ac:dyDescent="0.3">
      <c r="B39" s="1">
        <v>46079</v>
      </c>
      <c r="C39" s="4">
        <v>55.05</v>
      </c>
      <c r="D39" s="4">
        <v>58.16</v>
      </c>
      <c r="E39" s="8">
        <f t="shared" si="0"/>
        <v>1.0564940962761127</v>
      </c>
      <c r="F39" s="9">
        <f t="shared" si="1"/>
        <v>1.0569016270469525</v>
      </c>
      <c r="G39" s="9">
        <f t="shared" si="2"/>
        <v>1.0598195971521724</v>
      </c>
      <c r="H39" s="4">
        <f>C39*F39</f>
        <v>58.182434568934731</v>
      </c>
      <c r="I39" s="4">
        <f>C39*G39</f>
        <v>58.343068823227092</v>
      </c>
      <c r="J39" s="11">
        <f>LN(H39/D39)</f>
        <v>3.8566442753118962E-4</v>
      </c>
      <c r="K39" s="11">
        <f>LN(I39/D39)</f>
        <v>3.1427322173318783E-3</v>
      </c>
    </row>
    <row r="40" spans="2:11" x14ac:dyDescent="0.3">
      <c r="B40" s="1">
        <v>46080</v>
      </c>
      <c r="C40" s="4">
        <v>55.92</v>
      </c>
      <c r="D40" s="4">
        <v>59.06</v>
      </c>
      <c r="E40" s="8">
        <f t="shared" si="0"/>
        <v>1.0561516452074393</v>
      </c>
      <c r="F40" s="9">
        <f t="shared" si="1"/>
        <v>1.056788995488279</v>
      </c>
      <c r="G40" s="9">
        <f t="shared" si="2"/>
        <v>1.0598195971521724</v>
      </c>
      <c r="H40" s="4">
        <f>C40*F40</f>
        <v>59.095640627704562</v>
      </c>
      <c r="I40" s="4">
        <f>C40*G40</f>
        <v>59.265111872749486</v>
      </c>
      <c r="J40" s="11">
        <f>LN(H40/D40)</f>
        <v>6.0328273108531589E-4</v>
      </c>
      <c r="K40" s="11">
        <f>LN(I40/D40)</f>
        <v>3.4669238836849631E-3</v>
      </c>
    </row>
    <row r="41" spans="2:11" x14ac:dyDescent="0.3">
      <c r="B41" s="1">
        <v>46083</v>
      </c>
      <c r="C41" s="4">
        <v>57.04</v>
      </c>
      <c r="D41" s="4">
        <v>60.29</v>
      </c>
      <c r="E41" s="8">
        <f t="shared" si="0"/>
        <v>1.0569775596072932</v>
      </c>
      <c r="F41" s="9">
        <f t="shared" si="1"/>
        <v>1.0567779322345596</v>
      </c>
      <c r="G41" s="9">
        <f t="shared" si="2"/>
        <v>1.0598195971521724</v>
      </c>
      <c r="H41" s="4">
        <f>C41*F41</f>
        <v>60.278613254659277</v>
      </c>
      <c r="I41" s="4">
        <f>C41*G41</f>
        <v>60.452109821559915</v>
      </c>
      <c r="J41" s="11">
        <f>LN(H41/D41)</f>
        <v>-1.8888407301369362E-4</v>
      </c>
      <c r="K41" s="11">
        <f>LN(I41/D41)</f>
        <v>2.6852258786330659E-3</v>
      </c>
    </row>
    <row r="42" spans="2:11" x14ac:dyDescent="0.3">
      <c r="B42" s="1">
        <v>46084</v>
      </c>
      <c r="C42" s="4">
        <v>56.52</v>
      </c>
      <c r="D42" s="4">
        <v>59.7</v>
      </c>
      <c r="E42" s="8">
        <f t="shared" si="0"/>
        <v>1.0562632696390659</v>
      </c>
      <c r="F42" s="9">
        <f t="shared" si="1"/>
        <v>1.0566640227894397</v>
      </c>
      <c r="G42" s="9">
        <f t="shared" si="2"/>
        <v>1.0598195971521724</v>
      </c>
      <c r="H42" s="4">
        <f>C42*F42</f>
        <v>59.722650568059137</v>
      </c>
      <c r="I42" s="4">
        <f>C42*G42</f>
        <v>59.901003631040787</v>
      </c>
      <c r="J42" s="11">
        <f>LN(H42/D42)</f>
        <v>3.7933454370674228E-4</v>
      </c>
      <c r="K42" s="11">
        <f>LN(I42/D42)</f>
        <v>3.361239691677129E-3</v>
      </c>
    </row>
    <row r="43" spans="2:11" x14ac:dyDescent="0.3">
      <c r="B43" s="1">
        <v>46085</v>
      </c>
      <c r="C43" s="4">
        <v>56.19</v>
      </c>
      <c r="D43" s="4">
        <v>59.37</v>
      </c>
      <c r="E43" s="8">
        <f t="shared" si="0"/>
        <v>1.0565936999466097</v>
      </c>
      <c r="F43" s="9">
        <f t="shared" si="1"/>
        <v>1.0566390532483534</v>
      </c>
      <c r="G43" s="9">
        <f t="shared" si="2"/>
        <v>1.0598195971521724</v>
      </c>
      <c r="H43" s="4">
        <f>C43*F43</f>
        <v>59.372548402024975</v>
      </c>
      <c r="I43" s="4">
        <f>C43*G43</f>
        <v>59.551263163980565</v>
      </c>
      <c r="J43" s="11">
        <f>LN(H43/D43)</f>
        <v>4.2923148604573636E-5</v>
      </c>
      <c r="K43" s="11">
        <f>LN(I43/D43)</f>
        <v>3.048459115429507E-3</v>
      </c>
    </row>
    <row r="44" spans="2:11" x14ac:dyDescent="0.3">
      <c r="B44" s="1">
        <v>46086</v>
      </c>
      <c r="C44" s="4">
        <v>56.48</v>
      </c>
      <c r="D44" s="4">
        <v>59.68</v>
      </c>
      <c r="E44" s="8">
        <f t="shared" si="0"/>
        <v>1.0566572237960341</v>
      </c>
      <c r="F44" s="9">
        <f t="shared" si="1"/>
        <v>1.0566326185835271</v>
      </c>
      <c r="G44" s="9">
        <f t="shared" si="2"/>
        <v>1.0598195971521724</v>
      </c>
      <c r="H44" s="4">
        <f>C44*F44</f>
        <v>59.678610297597608</v>
      </c>
      <c r="I44" s="4">
        <f>C44*G44</f>
        <v>59.858610847154694</v>
      </c>
      <c r="J44" s="11">
        <f>LN(H44/D44)</f>
        <v>-2.3286169284096524E-5</v>
      </c>
      <c r="K44" s="11">
        <f>LN(I44/D44)</f>
        <v>2.9883395633879492E-3</v>
      </c>
    </row>
    <row r="45" spans="2:11" x14ac:dyDescent="0.3">
      <c r="B45" s="1">
        <v>46087</v>
      </c>
      <c r="C45" s="4">
        <v>56.57</v>
      </c>
      <c r="D45" s="4">
        <v>59.75</v>
      </c>
      <c r="E45" s="8">
        <f t="shared" si="0"/>
        <v>1.0562135407459785</v>
      </c>
      <c r="F45" s="9">
        <f t="shared" si="1"/>
        <v>1.0565894362069206</v>
      </c>
      <c r="G45" s="9">
        <f t="shared" si="2"/>
        <v>1.0598195971521724</v>
      </c>
      <c r="H45" s="4">
        <f>C45*F45</f>
        <v>59.771264406225498</v>
      </c>
      <c r="I45" s="4">
        <f>C45*G45</f>
        <v>59.953994610898398</v>
      </c>
      <c r="J45" s="11">
        <f>LN(H45/D45)</f>
        <v>3.5582633024330249E-4</v>
      </c>
      <c r="K45" s="11">
        <f>LN(I45/D45)</f>
        <v>3.4083208173510747E-3</v>
      </c>
    </row>
    <row r="46" spans="2:11" x14ac:dyDescent="0.3">
      <c r="B46" s="1">
        <v>46090</v>
      </c>
      <c r="C46" s="4">
        <v>56.32</v>
      </c>
      <c r="D46" s="4">
        <v>59.5</v>
      </c>
      <c r="E46" s="8">
        <f t="shared" si="0"/>
        <v>1.0564630681818181</v>
      </c>
      <c r="F46" s="9">
        <f t="shared" si="1"/>
        <v>1.0566050778789222</v>
      </c>
      <c r="G46" s="9">
        <f t="shared" si="2"/>
        <v>1.0598195971521724</v>
      </c>
      <c r="H46" s="4">
        <f>C46*F46</f>
        <v>59.5079979861409</v>
      </c>
      <c r="I46" s="4">
        <f>C46*G46</f>
        <v>59.689039711610356</v>
      </c>
      <c r="J46" s="11">
        <f>LN(H46/D46)</f>
        <v>1.3441090159121882E-4</v>
      </c>
      <c r="K46" s="11">
        <f>LN(I46/D46)</f>
        <v>3.1721015721097633E-3</v>
      </c>
    </row>
    <row r="47" spans="2:11" x14ac:dyDescent="0.3">
      <c r="B47" s="1">
        <v>46091</v>
      </c>
      <c r="C47" s="4">
        <v>55.6</v>
      </c>
      <c r="D47" s="4">
        <v>58.78</v>
      </c>
      <c r="E47" s="8">
        <f t="shared" si="0"/>
        <v>1.0571942446043165</v>
      </c>
      <c r="F47" s="9">
        <f t="shared" si="1"/>
        <v>1.0566217625177885</v>
      </c>
      <c r="G47" s="9">
        <f t="shared" si="2"/>
        <v>1.0598195971521724</v>
      </c>
      <c r="H47" s="4">
        <f>C47*F47</f>
        <v>58.748169995989045</v>
      </c>
      <c r="I47" s="4">
        <f>C47*G47</f>
        <v>58.925969601660789</v>
      </c>
      <c r="J47" s="11">
        <f>LN(H47/D47)</f>
        <v>-5.4165745608509533E-4</v>
      </c>
      <c r="K47" s="11">
        <f>LN(I47/D47)</f>
        <v>2.4802425396720945E-3</v>
      </c>
    </row>
    <row r="48" spans="2:11" x14ac:dyDescent="0.3">
      <c r="B48" s="1">
        <v>46092</v>
      </c>
      <c r="C48" s="4">
        <v>56.98</v>
      </c>
      <c r="D48" s="4">
        <v>60.21</v>
      </c>
      <c r="E48" s="8">
        <f t="shared" si="0"/>
        <v>1.0566865566865569</v>
      </c>
      <c r="F48" s="9">
        <f t="shared" si="1"/>
        <v>1.0566005472390145</v>
      </c>
      <c r="G48" s="9">
        <f t="shared" si="2"/>
        <v>1.0598195971521724</v>
      </c>
      <c r="H48" s="4">
        <f>C48*F48</f>
        <v>60.205099181679046</v>
      </c>
      <c r="I48" s="4">
        <f>C48*G48</f>
        <v>60.388520645730786</v>
      </c>
      <c r="J48" s="11">
        <f>LN(H48/D48)</f>
        <v>-8.1398734161494844E-5</v>
      </c>
      <c r="K48" s="11">
        <f>LN(I48/D48)</f>
        <v>2.9605798673126129E-3</v>
      </c>
    </row>
    <row r="49" spans="1:11" x14ac:dyDescent="0.3">
      <c r="B49" s="1">
        <v>46093</v>
      </c>
      <c r="C49" s="4">
        <v>57.51</v>
      </c>
      <c r="D49" s="4">
        <v>60.71</v>
      </c>
      <c r="E49" s="8">
        <f t="shared" si="0"/>
        <v>1.055642496957051</v>
      </c>
      <c r="F49" s="9">
        <f t="shared" si="1"/>
        <v>1.0565725593185875</v>
      </c>
      <c r="G49" s="9">
        <f t="shared" si="2"/>
        <v>1.0598195971521724</v>
      </c>
      <c r="H49" s="4">
        <f>C49*F49</f>
        <v>60.763487886411966</v>
      </c>
      <c r="I49" s="4">
        <f>C49*G49</f>
        <v>60.950225032221432</v>
      </c>
      <c r="J49" s="11">
        <f>LN(H49/D49)</f>
        <v>8.8065125649212971E-4</v>
      </c>
      <c r="K49" s="11">
        <f>LN(I49/D49)</f>
        <v>3.9491188572269497E-3</v>
      </c>
    </row>
    <row r="50" spans="1:11" x14ac:dyDescent="0.3">
      <c r="B50" s="1">
        <v>46094</v>
      </c>
      <c r="C50" s="4">
        <v>57.7</v>
      </c>
      <c r="D50" s="4">
        <v>60.93</v>
      </c>
      <c r="E50" s="8">
        <f t="shared" si="0"/>
        <v>1.0559792027729635</v>
      </c>
      <c r="F50" s="9">
        <f t="shared" si="1"/>
        <v>1.056592712491693</v>
      </c>
      <c r="G50" s="9">
        <f t="shared" si="2"/>
        <v>1.0598195971521724</v>
      </c>
      <c r="H50" s="4">
        <f>C50*F50</f>
        <v>60.965399510770688</v>
      </c>
      <c r="I50" s="4">
        <f>C50*G50</f>
        <v>61.151590755680353</v>
      </c>
      <c r="J50" s="11">
        <f>LN(H50/D50)</f>
        <v>5.8081784723505411E-4</v>
      </c>
      <c r="K50" s="11">
        <f>LN(I50/D50)</f>
        <v>3.6302115275577791E-3</v>
      </c>
    </row>
    <row r="51" spans="1:11" x14ac:dyDescent="0.3">
      <c r="B51" s="1">
        <v>46097</v>
      </c>
      <c r="C51" s="4">
        <v>57.9</v>
      </c>
      <c r="D51" s="4">
        <v>61.16</v>
      </c>
      <c r="E51" s="8">
        <f t="shared" si="0"/>
        <v>1.0563039723661485</v>
      </c>
      <c r="F51" s="9">
        <f t="shared" si="1"/>
        <v>1.0565928237134963</v>
      </c>
      <c r="G51" s="9">
        <f t="shared" si="2"/>
        <v>1.0598195971521724</v>
      </c>
      <c r="H51" s="4">
        <f>C51*F51</f>
        <v>61.176724493011434</v>
      </c>
      <c r="I51" s="4">
        <f>C51*G51</f>
        <v>61.363554675110784</v>
      </c>
      <c r="J51" s="11">
        <f>LN(H51/D51)</f>
        <v>2.7341737626114309E-4</v>
      </c>
      <c r="K51" s="11">
        <f>LN(I51/D51)</f>
        <v>3.3227057919947831E-3</v>
      </c>
    </row>
    <row r="52" spans="1:11" x14ac:dyDescent="0.3">
      <c r="A52" s="6">
        <v>0.30672700000000003</v>
      </c>
      <c r="B52" s="1">
        <v>46098</v>
      </c>
      <c r="C52" s="4">
        <v>58.51</v>
      </c>
      <c r="D52" s="4">
        <f>+A52+61.45</f>
        <v>61.756727000000005</v>
      </c>
      <c r="E52" s="8">
        <f t="shared" si="0"/>
        <v>1.0554901213467784</v>
      </c>
      <c r="F52" s="9">
        <f t="shared" si="1"/>
        <v>1.056539422804091</v>
      </c>
      <c r="G52" s="9">
        <f t="shared" si="2"/>
        <v>1.0598195971521724</v>
      </c>
      <c r="H52" s="4">
        <f>C52*F52</f>
        <v>61.818121628267363</v>
      </c>
      <c r="I52" s="4">
        <f>C52*G52</f>
        <v>62.01004462937361</v>
      </c>
      <c r="J52" s="11">
        <f>LN(H52/D52)</f>
        <v>9.9364286503675846E-4</v>
      </c>
      <c r="K52" s="11">
        <f>LN(I52/D52)</f>
        <v>4.093473228161418E-3</v>
      </c>
    </row>
    <row r="53" spans="1:11" x14ac:dyDescent="0.3">
      <c r="B53" s="1">
        <v>46099</v>
      </c>
      <c r="C53" s="4">
        <v>58.43</v>
      </c>
      <c r="D53" s="4">
        <f>+A52+61.45</f>
        <v>61.756727000000005</v>
      </c>
      <c r="E53" s="8">
        <f t="shared" si="0"/>
        <v>1.0569352558617149</v>
      </c>
      <c r="F53" s="9">
        <f t="shared" si="1"/>
        <v>1.0565384309421932</v>
      </c>
      <c r="G53" s="9">
        <f t="shared" si="2"/>
        <v>1.0598195971521724</v>
      </c>
      <c r="H53" s="4">
        <f>C53*F53</f>
        <v>61.733540519952349</v>
      </c>
      <c r="I53" s="4">
        <f>C53*G53</f>
        <v>61.925259061601437</v>
      </c>
      <c r="J53" s="11">
        <f>LN(H53/D53)</f>
        <v>-3.7551915281709572E-4</v>
      </c>
      <c r="K53" s="11">
        <f>LN(I53/D53)</f>
        <v>2.7252499943621871E-3</v>
      </c>
    </row>
    <row r="54" spans="1:11" x14ac:dyDescent="0.3">
      <c r="B54" s="1">
        <v>46100</v>
      </c>
      <c r="C54" s="4">
        <v>59.36</v>
      </c>
      <c r="D54" s="4">
        <f>+A52+62.48</f>
        <v>62.786726999999999</v>
      </c>
      <c r="E54" s="8">
        <f t="shared" si="0"/>
        <v>1.0577278807277628</v>
      </c>
      <c r="F54" s="9">
        <f t="shared" si="1"/>
        <v>1.0566067749604586</v>
      </c>
      <c r="G54" s="9">
        <f t="shared" si="2"/>
        <v>1.0598195971521724</v>
      </c>
      <c r="H54" s="4">
        <f>C54*F54</f>
        <v>62.720178161652825</v>
      </c>
      <c r="I54" s="4">
        <f>C54*G54</f>
        <v>62.910891286952953</v>
      </c>
      <c r="J54" s="11">
        <f>LN(H54/D54)</f>
        <v>-1.0604810069741876E-3</v>
      </c>
      <c r="K54" s="11">
        <f>LN(I54/D54)</f>
        <v>1.9756035003626409E-3</v>
      </c>
    </row>
    <row r="55" spans="1:11" x14ac:dyDescent="0.3">
      <c r="B55" s="1">
        <v>46101</v>
      </c>
      <c r="C55" s="4">
        <v>59.31</v>
      </c>
      <c r="D55" s="4">
        <f>+A52+62.42</f>
        <v>62.726727000000004</v>
      </c>
      <c r="E55" s="8">
        <f t="shared" si="0"/>
        <v>1.0576079413252404</v>
      </c>
      <c r="F55" s="9">
        <f t="shared" si="1"/>
        <v>1.0565899417060212</v>
      </c>
      <c r="G55" s="9">
        <f t="shared" si="2"/>
        <v>1.0598195971521724</v>
      </c>
      <c r="H55" s="4">
        <f>C55*F55</f>
        <v>62.666349442584121</v>
      </c>
      <c r="I55" s="4">
        <f>C55*G55</f>
        <v>62.857900307095349</v>
      </c>
      <c r="J55" s="11">
        <f>LN(H55/D55)</f>
        <v>-9.6301269248588294E-4</v>
      </c>
      <c r="K55" s="11">
        <f>LN(I55/D55)</f>
        <v>2.0890033694526719E-3</v>
      </c>
    </row>
    <row r="56" spans="1:11" x14ac:dyDescent="0.3">
      <c r="A56" s="6" t="s">
        <v>20</v>
      </c>
      <c r="B56" s="1">
        <v>46104</v>
      </c>
      <c r="C56" s="4">
        <v>59.63</v>
      </c>
      <c r="D56" s="4">
        <v>63.12</v>
      </c>
      <c r="E56" s="8">
        <f t="shared" si="0"/>
        <v>1.0585275867851751</v>
      </c>
      <c r="F56" s="9">
        <f t="shared" si="1"/>
        <v>1.0566695395402934</v>
      </c>
      <c r="G56" s="9">
        <f t="shared" si="2"/>
        <v>1.0598195971521724</v>
      </c>
      <c r="H56" s="4">
        <f>C56*F56</f>
        <v>63.009204642787701</v>
      </c>
      <c r="I56" s="4">
        <f>C56*G56</f>
        <v>63.197042578184046</v>
      </c>
      <c r="J56" s="11">
        <f>LN(H56/D56)</f>
        <v>-1.7568553773719391E-3</v>
      </c>
      <c r="K56" s="11">
        <f>LN(I56/D56)</f>
        <v>1.2198288713025495E-3</v>
      </c>
    </row>
    <row r="57" spans="1:11" x14ac:dyDescent="0.3">
      <c r="B57" s="1">
        <v>46105</v>
      </c>
      <c r="C57" s="4">
        <v>60.84</v>
      </c>
      <c r="D57" s="4">
        <v>64.42</v>
      </c>
      <c r="E57" s="8">
        <f t="shared" si="0"/>
        <v>1.0588428665351741</v>
      </c>
      <c r="F57" s="9">
        <f t="shared" si="1"/>
        <v>1.0567260204351103</v>
      </c>
      <c r="G57" s="9">
        <f t="shared" si="2"/>
        <v>1.0598195971521724</v>
      </c>
      <c r="H57" s="4">
        <f>C57*F57</f>
        <v>64.291211083272117</v>
      </c>
      <c r="I57" s="4">
        <f>C57*G57</f>
        <v>64.47942429073818</v>
      </c>
      <c r="J57" s="11">
        <f>LN(H57/D57)</f>
        <v>-2.0012081096195829E-3</v>
      </c>
      <c r="K57" s="11">
        <f>LN(I57/D57)</f>
        <v>9.2202576194613491E-4</v>
      </c>
    </row>
    <row r="58" spans="1:11" x14ac:dyDescent="0.3">
      <c r="B58" s="1">
        <v>46106</v>
      </c>
      <c r="C58" s="4">
        <v>60.57</v>
      </c>
      <c r="D58" s="4">
        <v>64.150000000000006</v>
      </c>
      <c r="E58" s="8">
        <f t="shared" si="0"/>
        <v>1.059105167574707</v>
      </c>
      <c r="F58" s="9">
        <f t="shared" si="1"/>
        <v>1.0568928698471969</v>
      </c>
      <c r="G58" s="9">
        <f t="shared" si="2"/>
        <v>1.0598195971521724</v>
      </c>
      <c r="H58" s="4">
        <f>C58*F58</f>
        <v>64.01600112664471</v>
      </c>
      <c r="I58" s="4">
        <f>C58*G58</f>
        <v>64.193272999507087</v>
      </c>
      <c r="J58" s="11">
        <f>LN(H58/D58)</f>
        <v>-2.0910213473427086E-3</v>
      </c>
      <c r="K58" s="11">
        <f>LN(I58/D58)</f>
        <v>6.7433220511708362E-4</v>
      </c>
    </row>
    <row r="59" spans="1:11" x14ac:dyDescent="0.3">
      <c r="B59" s="1">
        <v>46107</v>
      </c>
      <c r="C59" s="4">
        <v>61.52</v>
      </c>
      <c r="D59" s="4">
        <v>65.12</v>
      </c>
      <c r="E59" s="8">
        <f t="shared" si="0"/>
        <v>1.05851755526658</v>
      </c>
      <c r="F59" s="9">
        <f t="shared" si="1"/>
        <v>1.0569940427967202</v>
      </c>
      <c r="G59" s="9">
        <f t="shared" si="2"/>
        <v>1.0598195971521724</v>
      </c>
      <c r="H59" s="4">
        <f>C59*F59</f>
        <v>65.026273512854232</v>
      </c>
      <c r="I59" s="4">
        <f>C59*G59</f>
        <v>65.200101616801646</v>
      </c>
      <c r="J59" s="11">
        <f>LN(H59/D59)</f>
        <v>-1.4403255785848848E-3</v>
      </c>
      <c r="K59" s="11">
        <f>LN(I59/D59)</f>
        <v>1.2293057770103014E-3</v>
      </c>
    </row>
    <row r="60" spans="1:11" x14ac:dyDescent="0.3">
      <c r="B60" s="1">
        <v>46108</v>
      </c>
      <c r="C60" s="4">
        <v>62.56</v>
      </c>
      <c r="D60" s="4">
        <v>66.2</v>
      </c>
      <c r="E60" s="8">
        <f t="shared" si="0"/>
        <v>1.0581841432225063</v>
      </c>
      <c r="F60" s="9">
        <f t="shared" si="1"/>
        <v>1.0570956676974734</v>
      </c>
      <c r="G60" s="9">
        <f t="shared" si="2"/>
        <v>1.0598195971521724</v>
      </c>
      <c r="H60" s="4">
        <f>C60*F60</f>
        <v>66.131904971153944</v>
      </c>
      <c r="I60" s="4">
        <f>C60*G60</f>
        <v>66.302313997839917</v>
      </c>
      <c r="J60" s="11">
        <f>LN(H60/D60)</f>
        <v>-1.0291552119830797E-3</v>
      </c>
      <c r="K60" s="11">
        <f>LN(I60/D60)</f>
        <v>1.5443355679999762E-3</v>
      </c>
    </row>
    <row r="61" spans="1:11" x14ac:dyDescent="0.3">
      <c r="B61" s="1">
        <v>46111</v>
      </c>
      <c r="C61" s="4">
        <v>61.96</v>
      </c>
      <c r="D61" s="4">
        <v>65.5</v>
      </c>
      <c r="E61" s="8">
        <f t="shared" si="0"/>
        <v>1.0571336346029696</v>
      </c>
      <c r="F61" s="9">
        <f t="shared" si="1"/>
        <v>1.0571034714472574</v>
      </c>
      <c r="G61" s="9">
        <f t="shared" si="2"/>
        <v>1.0598195971521724</v>
      </c>
      <c r="H61" s="4">
        <f>C61*F61</f>
        <v>65.498131090872064</v>
      </c>
      <c r="I61" s="4">
        <f>C61*G61</f>
        <v>65.666422239548609</v>
      </c>
      <c r="J61" s="11">
        <f>LN(H61/D61)</f>
        <v>-2.853337085799837E-5</v>
      </c>
      <c r="K61" s="11">
        <f>LN(I61/D61)</f>
        <v>2.5375751813684786E-3</v>
      </c>
    </row>
    <row r="62" spans="1:11" x14ac:dyDescent="0.3">
      <c r="B62" s="1">
        <v>46112</v>
      </c>
      <c r="C62" s="4">
        <v>61.26</v>
      </c>
      <c r="D62" s="4">
        <v>64.77</v>
      </c>
      <c r="E62" s="8">
        <f t="shared" si="0"/>
        <v>1.0572967678746328</v>
      </c>
      <c r="F62" s="9">
        <f t="shared" si="1"/>
        <v>1.0571551463590358</v>
      </c>
      <c r="G62" s="9">
        <f t="shared" si="2"/>
        <v>1.0598195971521724</v>
      </c>
      <c r="H62" s="4">
        <f>C62*F62</f>
        <v>64.761324265954528</v>
      </c>
      <c r="I62" s="4">
        <f>C62*G62</f>
        <v>64.924548521542079</v>
      </c>
      <c r="J62" s="11">
        <f>LN(H62/D62)</f>
        <v>-1.3395576873174097E-4</v>
      </c>
      <c r="K62" s="11">
        <f>LN(I62/D62)</f>
        <v>2.3832704837101963E-3</v>
      </c>
    </row>
    <row r="63" spans="1:11" x14ac:dyDescent="0.3">
      <c r="B63" s="1">
        <v>46113</v>
      </c>
      <c r="C63" s="4">
        <v>58.97</v>
      </c>
      <c r="D63" s="4">
        <v>62.46</v>
      </c>
      <c r="E63" s="8">
        <f t="shared" si="0"/>
        <v>1.0591826352382567</v>
      </c>
      <c r="F63" s="9">
        <f t="shared" si="1"/>
        <v>1.0572845931236183</v>
      </c>
      <c r="G63" s="9">
        <f t="shared" si="2"/>
        <v>1.0598195971521724</v>
      </c>
      <c r="H63" s="4">
        <f>C63*F63</f>
        <v>62.348072456499771</v>
      </c>
      <c r="I63" s="4">
        <f>C63*G63</f>
        <v>62.497561644063609</v>
      </c>
      <c r="J63" s="11">
        <f>LN(H63/D63)</f>
        <v>-1.7935950985060243E-3</v>
      </c>
      <c r="K63" s="11">
        <f>LN(I63/D63)</f>
        <v>6.0119043138698596E-4</v>
      </c>
    </row>
    <row r="64" spans="1:11" x14ac:dyDescent="0.3">
      <c r="B64" s="1">
        <v>46114</v>
      </c>
      <c r="C64" s="4">
        <v>59.25</v>
      </c>
      <c r="D64" s="4">
        <v>62.83</v>
      </c>
      <c r="E64" s="8">
        <f t="shared" si="0"/>
        <v>1.06042194092827</v>
      </c>
      <c r="F64" s="9">
        <f t="shared" si="1"/>
        <v>1.05747282898023</v>
      </c>
      <c r="G64" s="9">
        <f t="shared" si="2"/>
        <v>1.0598195971521724</v>
      </c>
      <c r="H64" s="4">
        <f>C64*F64</f>
        <v>62.655265117078628</v>
      </c>
      <c r="I64" s="4">
        <f>C64*G64</f>
        <v>62.79431113126622</v>
      </c>
      <c r="J64" s="11">
        <f>LN(H64/D64)</f>
        <v>-2.7849484271225034E-3</v>
      </c>
      <c r="K64" s="11">
        <f>LN(I64/D64)</f>
        <v>-5.6818412570817922E-4</v>
      </c>
    </row>
    <row r="65" spans="2:11" x14ac:dyDescent="0.3">
      <c r="B65" s="1">
        <v>46118</v>
      </c>
      <c r="C65" s="4">
        <v>59.68</v>
      </c>
      <c r="D65" s="4">
        <v>63.22</v>
      </c>
      <c r="E65" s="8">
        <f t="shared" si="0"/>
        <v>1.0593163538873995</v>
      </c>
      <c r="F65" s="9">
        <f t="shared" si="1"/>
        <v>1.057627969637301</v>
      </c>
      <c r="G65" s="9">
        <f t="shared" si="2"/>
        <v>1.0598195971521724</v>
      </c>
      <c r="H65" s="4">
        <f>C65*F65</f>
        <v>63.119237227954123</v>
      </c>
      <c r="I65" s="4">
        <f>C65*G65</f>
        <v>63.25003355804165</v>
      </c>
      <c r="J65" s="11">
        <f>LN(H65/D65)</f>
        <v>-1.5951147976152372E-3</v>
      </c>
      <c r="K65" s="11">
        <f>LN(I65/D65)</f>
        <v>4.7495138194062278E-4</v>
      </c>
    </row>
    <row r="66" spans="2:11" x14ac:dyDescent="0.3">
      <c r="B66" s="1">
        <v>46119</v>
      </c>
      <c r="C66" s="4">
        <v>60.16</v>
      </c>
      <c r="D66" s="4">
        <v>63.73</v>
      </c>
      <c r="E66" s="8">
        <f t="shared" si="0"/>
        <v>1.0593417553191489</v>
      </c>
      <c r="F66" s="9">
        <f t="shared" si="1"/>
        <v>1.0577719039941678</v>
      </c>
      <c r="G66" s="9">
        <f t="shared" si="2"/>
        <v>1.0598195971521724</v>
      </c>
      <c r="H66" s="4">
        <f>C66*F66</f>
        <v>63.63555774428913</v>
      </c>
      <c r="I66" s="4">
        <f>C66*G66</f>
        <v>63.758746964674692</v>
      </c>
      <c r="J66" s="11">
        <f>LN(H66/D66)</f>
        <v>-1.4830111796715463E-3</v>
      </c>
      <c r="K66" s="11">
        <f>LN(I66/D66)</f>
        <v>4.509725892883481E-4</v>
      </c>
    </row>
    <row r="67" spans="2:11" x14ac:dyDescent="0.3">
      <c r="B67" s="1">
        <v>46120</v>
      </c>
      <c r="C67" s="4">
        <v>58.05</v>
      </c>
      <c r="D67" s="4">
        <v>61.56</v>
      </c>
      <c r="E67" s="8">
        <f t="shared" ref="E67:E130" si="3">D67/C67</f>
        <v>1.0604651162790699</v>
      </c>
      <c r="F67" s="9">
        <f t="shared" si="1"/>
        <v>1.0579354475779053</v>
      </c>
      <c r="G67" s="9">
        <f t="shared" si="2"/>
        <v>1.0598195971521724</v>
      </c>
      <c r="H67" s="4">
        <f>C67*F67</f>
        <v>61.413152731897398</v>
      </c>
      <c r="I67" s="4">
        <f>C67*G67</f>
        <v>61.522527614683611</v>
      </c>
      <c r="J67" s="11">
        <f>LN(H67/D67)</f>
        <v>-2.3882828835472747E-3</v>
      </c>
      <c r="K67" s="11">
        <f>LN(I67/D67)</f>
        <v>-6.0889855287121232E-4</v>
      </c>
    </row>
    <row r="68" spans="2:11" x14ac:dyDescent="0.3">
      <c r="B68" s="1">
        <v>46121</v>
      </c>
      <c r="C68" s="4">
        <v>57.33</v>
      </c>
      <c r="D68" s="4">
        <v>60.82</v>
      </c>
      <c r="E68" s="8">
        <f t="shared" si="3"/>
        <v>1.0608756323042037</v>
      </c>
      <c r="F68" s="9">
        <f t="shared" si="1"/>
        <v>1.0581449013587876</v>
      </c>
      <c r="G68" s="9">
        <f t="shared" si="2"/>
        <v>1.0598195971521724</v>
      </c>
      <c r="H68" s="4">
        <f>C68*F68</f>
        <v>60.663447194899291</v>
      </c>
      <c r="I68" s="4">
        <f>C68*G68</f>
        <v>60.759457504734044</v>
      </c>
      <c r="J68" s="11">
        <f>LN(H68/D68)</f>
        <v>-2.5773534646463172E-3</v>
      </c>
      <c r="K68" s="11">
        <f>LN(I68/D68)</f>
        <v>-9.9593305502044724E-4</v>
      </c>
    </row>
    <row r="69" spans="2:11" x14ac:dyDescent="0.3">
      <c r="B69" s="1">
        <v>46122</v>
      </c>
      <c r="C69" s="4">
        <v>56.94</v>
      </c>
      <c r="D69" s="4">
        <v>60.44</v>
      </c>
      <c r="E69" s="8">
        <f t="shared" si="3"/>
        <v>1.0614682121531436</v>
      </c>
      <c r="F69" s="9">
        <f t="shared" si="1"/>
        <v>1.0584361871185923</v>
      </c>
      <c r="G69" s="9">
        <f t="shared" si="2"/>
        <v>1.0598195971521724</v>
      </c>
      <c r="H69" s="4">
        <f>C69*F69</f>
        <v>60.267356494532642</v>
      </c>
      <c r="I69" s="4">
        <f>C69*G69</f>
        <v>60.3461278618447</v>
      </c>
      <c r="J69" s="11">
        <f>LN(H69/D69)</f>
        <v>-2.860531921242191E-3</v>
      </c>
      <c r="K69" s="11">
        <f>LN(I69/D69)</f>
        <v>-1.5543532807404353E-3</v>
      </c>
    </row>
    <row r="70" spans="2:11" x14ac:dyDescent="0.3">
      <c r="B70" s="1">
        <v>46125</v>
      </c>
      <c r="C70" s="4">
        <v>57.11</v>
      </c>
      <c r="D70" s="4">
        <v>60.6</v>
      </c>
      <c r="E70" s="8">
        <f t="shared" si="3"/>
        <v>1.0611101383295396</v>
      </c>
      <c r="F70" s="9">
        <f t="shared" si="1"/>
        <v>1.0586927338964212</v>
      </c>
      <c r="G70" s="9">
        <f t="shared" si="2"/>
        <v>1.0598195971521724</v>
      </c>
      <c r="H70" s="4">
        <f>C70*F70</f>
        <v>60.461942032824609</v>
      </c>
      <c r="I70" s="4">
        <f>C70*G70</f>
        <v>60.52629719336057</v>
      </c>
      <c r="J70" s="11">
        <f>LN(H70/D70)</f>
        <v>-2.2807832867205741E-3</v>
      </c>
      <c r="K70" s="11">
        <f>LN(I70/D70)</f>
        <v>-1.2169581245904039E-3</v>
      </c>
    </row>
    <row r="71" spans="2:11" x14ac:dyDescent="0.3">
      <c r="B71" s="1">
        <v>46126</v>
      </c>
      <c r="C71" s="4">
        <v>55.95</v>
      </c>
      <c r="D71" s="4">
        <v>59.3</v>
      </c>
      <c r="E71" s="8">
        <f t="shared" si="3"/>
        <v>1.0598748882931188</v>
      </c>
      <c r="F71" s="9">
        <f t="shared" si="1"/>
        <v>1.0588712796927697</v>
      </c>
      <c r="G71" s="9">
        <f t="shared" si="2"/>
        <v>1.0598195971521724</v>
      </c>
      <c r="H71" s="4">
        <f>C71*F71</f>
        <v>59.243848098810467</v>
      </c>
      <c r="I71" s="4">
        <f>C71*G71</f>
        <v>59.296906460664054</v>
      </c>
      <c r="J71" s="11">
        <f>LN(H71/D71)</f>
        <v>-9.4736093504207866E-4</v>
      </c>
      <c r="K71" s="11">
        <f>LN(I71/D71)</f>
        <v>-5.2168971838563338E-5</v>
      </c>
    </row>
    <row r="72" spans="2:11" x14ac:dyDescent="0.3">
      <c r="B72" s="1">
        <v>46127</v>
      </c>
      <c r="C72" s="4">
        <v>55.76</v>
      </c>
      <c r="D72" s="4">
        <v>59.14</v>
      </c>
      <c r="E72" s="8">
        <f t="shared" si="3"/>
        <v>1.0606169296987089</v>
      </c>
      <c r="F72" s="9">
        <f t="shared" si="1"/>
        <v>1.0591276201103663</v>
      </c>
      <c r="G72" s="9">
        <f t="shared" si="2"/>
        <v>1.0598195971521724</v>
      </c>
      <c r="H72" s="4">
        <f>C72*F72</f>
        <v>59.056956097354025</v>
      </c>
      <c r="I72" s="4">
        <f>C72*G72</f>
        <v>59.095540737205134</v>
      </c>
      <c r="J72" s="11">
        <f>LN(H72/D72)</f>
        <v>-1.4051785943107629E-3</v>
      </c>
      <c r="K72" s="11">
        <f>LN(I72/D72)</f>
        <v>-7.5204569815595342E-4</v>
      </c>
    </row>
    <row r="73" spans="2:11" x14ac:dyDescent="0.3">
      <c r="B73" s="1">
        <v>46128</v>
      </c>
      <c r="C73" s="4">
        <v>56.58</v>
      </c>
      <c r="D73" s="4">
        <v>60.05</v>
      </c>
      <c r="E73" s="8">
        <f t="shared" si="3"/>
        <v>1.061329091551785</v>
      </c>
      <c r="F73" s="9">
        <f t="shared" si="1"/>
        <v>1.0593473118948697</v>
      </c>
      <c r="G73" s="9">
        <f t="shared" si="2"/>
        <v>1.0598195971521724</v>
      </c>
      <c r="H73" s="4">
        <f>C73*F73</f>
        <v>59.937870907011728</v>
      </c>
      <c r="I73" s="4">
        <f>C73*G73</f>
        <v>59.964592806869916</v>
      </c>
      <c r="J73" s="11">
        <f>LN(H73/D73)</f>
        <v>-1.8690076718812271E-3</v>
      </c>
      <c r="K73" s="11">
        <f>LN(I73/D73)</f>
        <v>-1.423280378664533E-3</v>
      </c>
    </row>
    <row r="74" spans="2:11" x14ac:dyDescent="0.3">
      <c r="B74" s="1">
        <v>46129</v>
      </c>
      <c r="C74" s="4">
        <v>55.02</v>
      </c>
      <c r="D74" s="4">
        <v>58.31</v>
      </c>
      <c r="E74" s="8">
        <f t="shared" si="3"/>
        <v>1.059796437659033</v>
      </c>
      <c r="F74" s="9">
        <f t="shared" si="1"/>
        <v>1.0594507397414332</v>
      </c>
      <c r="G74" s="9">
        <f t="shared" si="2"/>
        <v>1.0598195971521724</v>
      </c>
      <c r="H74" s="4">
        <f>C74*F74</f>
        <v>58.290979700573658</v>
      </c>
      <c r="I74" s="4">
        <f>C74*G74</f>
        <v>58.311274235312531</v>
      </c>
      <c r="J74" s="11">
        <f>LN(H74/D74)</f>
        <v>-3.2624596540943807E-4</v>
      </c>
      <c r="K74" s="11">
        <f>LN(I74/D74)</f>
        <v>2.1852536270667386E-5</v>
      </c>
    </row>
    <row r="75" spans="2:11" x14ac:dyDescent="0.3">
      <c r="B75" s="1">
        <v>46132</v>
      </c>
      <c r="C75" s="4">
        <v>55.07</v>
      </c>
      <c r="D75" s="4">
        <v>58.44</v>
      </c>
      <c r="E75" s="8">
        <f t="shared" si="3"/>
        <v>1.0611948429271836</v>
      </c>
      <c r="F75" s="9">
        <f t="shared" si="1"/>
        <v>1.0596300848215301</v>
      </c>
      <c r="G75" s="9">
        <f t="shared" si="2"/>
        <v>1.0598195971521724</v>
      </c>
      <c r="H75" s="4">
        <f>C75*F75</f>
        <v>58.353828771121663</v>
      </c>
      <c r="I75" s="4">
        <f>C75*G75</f>
        <v>58.364265215170136</v>
      </c>
      <c r="J75" s="11">
        <f>LN(H75/D75)</f>
        <v>-1.4756129740932928E-3</v>
      </c>
      <c r="K75" s="11">
        <f>LN(I75/D75)</f>
        <v>-1.296781334201758E-3</v>
      </c>
    </row>
    <row r="76" spans="2:11" x14ac:dyDescent="0.3">
      <c r="B76" s="1">
        <v>46133</v>
      </c>
      <c r="C76" s="4">
        <v>55.87</v>
      </c>
      <c r="D76" s="4">
        <v>59.25</v>
      </c>
      <c r="E76" s="8">
        <f t="shared" si="3"/>
        <v>1.0604975836763917</v>
      </c>
      <c r="F76" s="9">
        <f t="shared" si="1"/>
        <v>1.0597285846660909</v>
      </c>
      <c r="G76" s="9">
        <f t="shared" si="2"/>
        <v>1.0598195971521724</v>
      </c>
      <c r="H76" s="4">
        <f>C76*F76</f>
        <v>59.207036025294492</v>
      </c>
      <c r="I76" s="4">
        <f>C76*G76</f>
        <v>59.212120892891875</v>
      </c>
      <c r="J76" s="11">
        <f>LN(H76/D76)</f>
        <v>-7.253934089704601E-4</v>
      </c>
      <c r="K76" s="11">
        <f>LN(I76/D76)</f>
        <v>-6.3951427027633787E-4</v>
      </c>
    </row>
    <row r="77" spans="2:11" x14ac:dyDescent="0.3">
      <c r="B77" s="1">
        <v>46134</v>
      </c>
      <c r="C77" s="4">
        <v>56.54</v>
      </c>
      <c r="D77" s="4">
        <v>59.95</v>
      </c>
      <c r="E77" s="8">
        <f t="shared" si="3"/>
        <v>1.0603112840466926</v>
      </c>
      <c r="F77" s="9">
        <f t="shared" si="1"/>
        <v>1.059802005541667</v>
      </c>
      <c r="G77" s="9">
        <f t="shared" si="2"/>
        <v>1.0598195971521724</v>
      </c>
      <c r="H77" s="4">
        <f>C77*F77</f>
        <v>59.921205393325856</v>
      </c>
      <c r="I77" s="4">
        <f>C77*G77</f>
        <v>59.92220002298383</v>
      </c>
      <c r="J77" s="11">
        <f>LN(H77/D77)</f>
        <v>-4.8042575585196216E-4</v>
      </c>
      <c r="K77" s="11">
        <f>LN(I77/D77)</f>
        <v>-4.6382693417218245E-4</v>
      </c>
    </row>
    <row r="78" spans="2:11" x14ac:dyDescent="0.3">
      <c r="B78" s="1">
        <v>46135</v>
      </c>
      <c r="C78" s="4">
        <v>56.98</v>
      </c>
      <c r="D78" s="4">
        <v>60.37</v>
      </c>
      <c r="E78" s="8">
        <f t="shared" si="3"/>
        <v>1.0594945594945595</v>
      </c>
      <c r="F78" s="9">
        <f t="shared" si="1"/>
        <v>1.0598214751376598</v>
      </c>
      <c r="G78" s="9">
        <f t="shared" si="2"/>
        <v>1.0598195971521724</v>
      </c>
      <c r="H78" s="4">
        <f>C78*F78</f>
        <v>60.388627653343853</v>
      </c>
      <c r="I78" s="4">
        <f>C78*G78</f>
        <v>60.388520645730786</v>
      </c>
      <c r="J78" s="11">
        <f>LN(H78/D78)</f>
        <v>3.0851051976313684E-4</v>
      </c>
      <c r="K78" s="11">
        <f>LN(I78/D78)</f>
        <v>3.0673853533422468E-4</v>
      </c>
    </row>
    <row r="79" spans="2:11" x14ac:dyDescent="0.3">
      <c r="B79" s="1">
        <v>46136</v>
      </c>
      <c r="C79" s="4">
        <v>56.87</v>
      </c>
      <c r="D79" s="4">
        <v>60.31</v>
      </c>
      <c r="E79" s="8">
        <f t="shared" si="3"/>
        <v>1.060488834183225</v>
      </c>
      <c r="F79" s="9">
        <f t="shared" si="1"/>
        <v>1.0599200390834922</v>
      </c>
      <c r="G79" s="9">
        <f t="shared" si="2"/>
        <v>1.0598195971521724</v>
      </c>
      <c r="H79" s="4">
        <f>C79*F79</f>
        <v>60.277652622678197</v>
      </c>
      <c r="I79" s="4">
        <f>C79*G79</f>
        <v>60.271940490044045</v>
      </c>
      <c r="J79" s="11">
        <f>LN(H79/D79)</f>
        <v>-5.3649569245525146E-4</v>
      </c>
      <c r="K79" s="11">
        <f>LN(I79/D79)</f>
        <v>-6.3126387028036401E-4</v>
      </c>
    </row>
    <row r="80" spans="2:11" x14ac:dyDescent="0.3">
      <c r="B80" s="1">
        <v>46139</v>
      </c>
      <c r="C80" s="4">
        <v>56.77</v>
      </c>
      <c r="D80" s="4">
        <v>60.26</v>
      </c>
      <c r="E80" s="8">
        <f t="shared" si="3"/>
        <v>1.0614761317597321</v>
      </c>
      <c r="F80" s="9">
        <f t="shared" si="1"/>
        <v>1.0600846385103533</v>
      </c>
      <c r="G80" s="9">
        <f t="shared" si="2"/>
        <v>1.0598195971521724</v>
      </c>
      <c r="H80" s="4">
        <f>C80*F80</f>
        <v>60.18100492823276</v>
      </c>
      <c r="I80" s="4">
        <f>C80*G80</f>
        <v>60.16595853032883</v>
      </c>
      <c r="J80" s="11">
        <f>LN(H80/D80)</f>
        <v>-1.3117639319218041E-3</v>
      </c>
      <c r="K80" s="11">
        <f>LN(I80/D80)</f>
        <v>-1.561814245613473E-3</v>
      </c>
    </row>
    <row r="81" spans="2:11" x14ac:dyDescent="0.3">
      <c r="B81" s="1">
        <v>46140</v>
      </c>
      <c r="C81" s="4">
        <v>57.71</v>
      </c>
      <c r="D81" s="4">
        <v>61.22</v>
      </c>
      <c r="E81" s="8">
        <f t="shared" si="3"/>
        <v>1.0608213481199098</v>
      </c>
      <c r="F81" s="9">
        <f t="shared" si="1"/>
        <v>1.0602690241862003</v>
      </c>
      <c r="G81" s="9">
        <f t="shared" si="2"/>
        <v>1.0598195971521724</v>
      </c>
      <c r="H81" s="4">
        <f>C81*F81</f>
        <v>61.188125385785618</v>
      </c>
      <c r="I81" s="4">
        <f>C81*G81</f>
        <v>61.162188951651871</v>
      </c>
      <c r="J81" s="11">
        <f>LN(H81/D81)</f>
        <v>-5.2079246919850054E-4</v>
      </c>
      <c r="K81" s="11">
        <f>LN(I81/D81)</f>
        <v>-9.4476252048454092E-4</v>
      </c>
    </row>
    <row r="82" spans="2:11" x14ac:dyDescent="0.3">
      <c r="B82" s="1">
        <v>46141</v>
      </c>
      <c r="C82" s="4">
        <v>59.03</v>
      </c>
      <c r="D82" s="4">
        <v>62.58</v>
      </c>
      <c r="E82" s="8">
        <f t="shared" si="3"/>
        <v>1.0601389124174148</v>
      </c>
      <c r="F82" s="9">
        <f t="shared" si="1"/>
        <v>1.0604111314133395</v>
      </c>
      <c r="G82" s="9">
        <f t="shared" si="2"/>
        <v>1.0598195971521724</v>
      </c>
      <c r="H82" s="4">
        <f>C82*F82</f>
        <v>62.596069087329433</v>
      </c>
      <c r="I82" s="4">
        <f>C82*G82</f>
        <v>62.561150819892738</v>
      </c>
      <c r="J82" s="11">
        <f>LN(H82/D82)</f>
        <v>2.5674376156507747E-4</v>
      </c>
      <c r="K82" s="11">
        <f>LN(I82/D82)</f>
        <v>-3.0124671423123006E-4</v>
      </c>
    </row>
    <row r="83" spans="2:11" x14ac:dyDescent="0.3">
      <c r="B83" s="1">
        <v>46142</v>
      </c>
      <c r="C83" s="4">
        <v>59.65</v>
      </c>
      <c r="D83" s="4">
        <v>63.21</v>
      </c>
      <c r="E83" s="8">
        <f t="shared" si="3"/>
        <v>1.0596814752724224</v>
      </c>
      <c r="F83" s="9">
        <f t="shared" si="1"/>
        <v>1.0604360734150478</v>
      </c>
      <c r="G83" s="9">
        <f t="shared" si="2"/>
        <v>1.0598195971521724</v>
      </c>
      <c r="H83" s="4">
        <f>C83*F83</f>
        <v>63.255011779207599</v>
      </c>
      <c r="I83" s="4">
        <f>C83*G83</f>
        <v>63.218238970127082</v>
      </c>
      <c r="J83" s="11">
        <f>LN(H83/D83)</f>
        <v>7.118456002185461E-4</v>
      </c>
      <c r="K83" s="11">
        <f>LN(I83/D83)</f>
        <v>1.3033433362451429E-4</v>
      </c>
    </row>
    <row r="84" spans="2:11" x14ac:dyDescent="0.3">
      <c r="B84" s="1">
        <v>46143</v>
      </c>
      <c r="C84" s="4">
        <v>58.85</v>
      </c>
      <c r="D84" s="4">
        <v>62.47</v>
      </c>
      <c r="E84" s="8">
        <f t="shared" si="3"/>
        <v>1.0615123194562446</v>
      </c>
      <c r="F84" s="9">
        <f t="shared" si="1"/>
        <v>1.0604905923414465</v>
      </c>
      <c r="G84" s="9">
        <f t="shared" si="2"/>
        <v>1.0598195971521724</v>
      </c>
      <c r="H84" s="4">
        <f>C84*F84</f>
        <v>62.409871359294129</v>
      </c>
      <c r="I84" s="4">
        <f>C84*G84</f>
        <v>62.37038329240535</v>
      </c>
      <c r="J84" s="11">
        <f>LN(H84/D84)</f>
        <v>-9.6298378110112534E-4</v>
      </c>
      <c r="K84" s="11">
        <f>LN(I84/D84)</f>
        <v>-1.5959055252859587E-3</v>
      </c>
    </row>
    <row r="85" spans="2:11" x14ac:dyDescent="0.3">
      <c r="B85" s="1">
        <v>46146</v>
      </c>
      <c r="C85" s="4">
        <v>59.39</v>
      </c>
      <c r="D85" s="4">
        <v>63.02</v>
      </c>
      <c r="E85" s="8">
        <f t="shared" si="3"/>
        <v>1.061121400909244</v>
      </c>
      <c r="F85" s="9">
        <f t="shared" ref="F85:F148" si="4">AVERAGE(E66:E85)</f>
        <v>1.0605808446925387</v>
      </c>
      <c r="G85" s="9">
        <f t="shared" si="2"/>
        <v>1.0598195971521724</v>
      </c>
      <c r="H85" s="4">
        <f>C85*F85</f>
        <v>62.987896366289874</v>
      </c>
      <c r="I85" s="4">
        <f>C85*G85</f>
        <v>62.942685874867522</v>
      </c>
      <c r="J85" s="11">
        <f>LN(H85/D85)</f>
        <v>-5.0954956523399317E-4</v>
      </c>
      <c r="K85" s="11">
        <f>LN(I85/D85)</f>
        <v>-1.2275720274529699E-3</v>
      </c>
    </row>
    <row r="86" spans="2:11" x14ac:dyDescent="0.3">
      <c r="B86" s="1">
        <v>46147</v>
      </c>
      <c r="C86" s="4">
        <v>59.45</v>
      </c>
      <c r="D86" s="4">
        <v>63.09</v>
      </c>
      <c r="E86" s="8">
        <f t="shared" si="3"/>
        <v>1.0612279226240537</v>
      </c>
      <c r="F86" s="9">
        <f t="shared" si="4"/>
        <v>1.060675153057784</v>
      </c>
      <c r="G86" s="9">
        <f t="shared" ref="G86:G149" si="5">G85</f>
        <v>1.0598195971521724</v>
      </c>
      <c r="H86" s="4">
        <f>C86*F86</f>
        <v>63.057137849285262</v>
      </c>
      <c r="I86" s="4">
        <f>C86*G86</f>
        <v>63.006275050696658</v>
      </c>
      <c r="J86" s="11">
        <f>LN(H86/D86)</f>
        <v>-5.2101303316748511E-4</v>
      </c>
      <c r="K86" s="11">
        <f>LN(I86/D86)</f>
        <v>-1.3279529720203723E-3</v>
      </c>
    </row>
    <row r="87" spans="2:11" x14ac:dyDescent="0.3">
      <c r="B87" s="1">
        <v>46148</v>
      </c>
      <c r="C87" s="4">
        <v>57</v>
      </c>
      <c r="D87" s="4">
        <v>60.56</v>
      </c>
      <c r="E87" s="8">
        <f t="shared" si="3"/>
        <v>1.0624561403508772</v>
      </c>
      <c r="F87" s="9">
        <f t="shared" si="4"/>
        <v>1.0607747042613744</v>
      </c>
      <c r="G87" s="9">
        <f t="shared" si="5"/>
        <v>1.0598195971521724</v>
      </c>
      <c r="H87" s="4">
        <f>C87*F87</f>
        <v>60.464158142898341</v>
      </c>
      <c r="I87" s="4">
        <f>C87*G87</f>
        <v>60.409717037673829</v>
      </c>
      <c r="J87" s="11">
        <f>LN(H87/D87)</f>
        <v>-1.583847036952911E-3</v>
      </c>
      <c r="K87" s="11">
        <f>LN(I87/D87)</f>
        <v>-2.484639020736419E-3</v>
      </c>
    </row>
    <row r="88" spans="2:11" x14ac:dyDescent="0.3">
      <c r="B88" s="1">
        <v>46149</v>
      </c>
      <c r="C88" s="4">
        <v>55.95</v>
      </c>
      <c r="D88" s="4">
        <v>59.4</v>
      </c>
      <c r="E88" s="8">
        <f t="shared" si="3"/>
        <v>1.0616621983914207</v>
      </c>
      <c r="F88" s="9">
        <f t="shared" si="4"/>
        <v>1.0608140325657351</v>
      </c>
      <c r="G88" s="9">
        <f t="shared" si="5"/>
        <v>1.0598195971521724</v>
      </c>
      <c r="H88" s="4">
        <f>C88*F88</f>
        <v>59.352545122052881</v>
      </c>
      <c r="I88" s="4">
        <f>C88*G88</f>
        <v>59.296906460664054</v>
      </c>
      <c r="J88" s="11">
        <f>LN(H88/D88)</f>
        <v>-7.992229627475357E-4</v>
      </c>
      <c r="K88" s="11">
        <f>LN(I88/D88)</f>
        <v>-1.7370893367580466E-3</v>
      </c>
    </row>
    <row r="89" spans="2:11" x14ac:dyDescent="0.3">
      <c r="B89" s="1">
        <v>46150</v>
      </c>
      <c r="C89" s="4">
        <v>55.7</v>
      </c>
      <c r="D89" s="4">
        <v>59.09</v>
      </c>
      <c r="E89" s="8">
        <f t="shared" si="3"/>
        <v>1.0608617594254937</v>
      </c>
      <c r="F89" s="9">
        <f t="shared" si="4"/>
        <v>1.0607837099293527</v>
      </c>
      <c r="G89" s="9">
        <f t="shared" si="5"/>
        <v>1.0598195971521724</v>
      </c>
      <c r="H89" s="4">
        <f>C89*F89</f>
        <v>59.085652643064947</v>
      </c>
      <c r="I89" s="4">
        <f>C89*G89</f>
        <v>59.031951561376005</v>
      </c>
      <c r="J89" s="11">
        <f>LN(H89/D89)</f>
        <v>-7.3574494234458031E-5</v>
      </c>
      <c r="K89" s="11">
        <f>LN(I89/D89)</f>
        <v>-9.828561504381004E-4</v>
      </c>
    </row>
    <row r="90" spans="2:11" x14ac:dyDescent="0.3">
      <c r="B90" s="1">
        <v>46153</v>
      </c>
      <c r="C90" s="4">
        <v>57.17</v>
      </c>
      <c r="D90" s="4">
        <v>60.63</v>
      </c>
      <c r="E90" s="8">
        <f t="shared" si="3"/>
        <v>1.0605212524051075</v>
      </c>
      <c r="F90" s="9">
        <f t="shared" si="4"/>
        <v>1.0607542656331308</v>
      </c>
      <c r="G90" s="9">
        <f t="shared" si="5"/>
        <v>1.0598195971521724</v>
      </c>
      <c r="H90" s="4">
        <f>C90*F90</f>
        <v>60.643321366246091</v>
      </c>
      <c r="I90" s="4">
        <f>C90*G90</f>
        <v>60.589886369189699</v>
      </c>
      <c r="J90" s="11">
        <f>LN(H90/D90)</f>
        <v>2.1969162136563036E-4</v>
      </c>
      <c r="K90" s="11">
        <f>LN(I90/D90)</f>
        <v>-6.6183253385265837E-4</v>
      </c>
    </row>
    <row r="91" spans="2:11" x14ac:dyDescent="0.3">
      <c r="B91" s="1">
        <v>46154</v>
      </c>
      <c r="C91" s="4">
        <v>57.57</v>
      </c>
      <c r="D91" s="4">
        <v>61.02</v>
      </c>
      <c r="E91" s="8">
        <f t="shared" si="3"/>
        <v>1.0599270453361127</v>
      </c>
      <c r="F91" s="9">
        <f t="shared" si="4"/>
        <v>1.0607568734852806</v>
      </c>
      <c r="G91" s="9">
        <f t="shared" si="5"/>
        <v>1.0598195971521724</v>
      </c>
      <c r="H91" s="4">
        <f>C91*F91</f>
        <v>61.067773206547606</v>
      </c>
      <c r="I91" s="4">
        <f>C91*G91</f>
        <v>61.013814208050569</v>
      </c>
      <c r="J91" s="11">
        <f>LN(H91/D91)</f>
        <v>7.8260431378466644E-4</v>
      </c>
      <c r="K91" s="11">
        <f>LN(I91/D91)</f>
        <v>-1.0137832689855487E-4</v>
      </c>
    </row>
    <row r="92" spans="2:11" x14ac:dyDescent="0.3">
      <c r="B92" s="1">
        <v>46155</v>
      </c>
      <c r="C92" s="4">
        <v>57.63</v>
      </c>
      <c r="D92" s="4">
        <v>61.1</v>
      </c>
      <c r="E92" s="8">
        <f t="shared" si="3"/>
        <v>1.060211695297588</v>
      </c>
      <c r="F92" s="9">
        <f t="shared" si="4"/>
        <v>1.0607366117652246</v>
      </c>
      <c r="G92" s="9">
        <f t="shared" si="5"/>
        <v>1.0598195971521724</v>
      </c>
      <c r="H92" s="4">
        <f>C92*F92</f>
        <v>61.130250936029896</v>
      </c>
      <c r="I92" s="4">
        <f>C92*G92</f>
        <v>61.077403383879698</v>
      </c>
      <c r="J92" s="11">
        <f>LN(H92/D92)</f>
        <v>4.949828117977739E-4</v>
      </c>
      <c r="K92" s="11">
        <f>LN(I92/D92)</f>
        <v>-3.6989845506792422E-4</v>
      </c>
    </row>
    <row r="93" spans="2:11" x14ac:dyDescent="0.3">
      <c r="B93" s="1">
        <v>46156</v>
      </c>
      <c r="C93" s="4">
        <v>58.07</v>
      </c>
      <c r="D93" s="4">
        <v>61.56</v>
      </c>
      <c r="E93" s="8">
        <f t="shared" si="3"/>
        <v>1.0600998794558292</v>
      </c>
      <c r="F93" s="9">
        <f t="shared" si="4"/>
        <v>1.0606751511604267</v>
      </c>
      <c r="G93" s="9">
        <f t="shared" si="5"/>
        <v>1.0598195971521724</v>
      </c>
      <c r="H93" s="4">
        <f>C93*F93</f>
        <v>61.593406027885976</v>
      </c>
      <c r="I93" s="4">
        <f>C93*G93</f>
        <v>61.543724006626654</v>
      </c>
      <c r="J93" s="11">
        <f>LN(H93/D93)</f>
        <v>5.4251083721950375E-4</v>
      </c>
      <c r="K93" s="11">
        <f>LN(I93/D93)</f>
        <v>-2.6442731281319393E-4</v>
      </c>
    </row>
    <row r="94" spans="2:11" x14ac:dyDescent="0.3">
      <c r="B94" s="1">
        <v>46157</v>
      </c>
      <c r="C94" s="4">
        <v>59.44</v>
      </c>
      <c r="D94" s="4">
        <v>62.96</v>
      </c>
      <c r="E94" s="8">
        <f t="shared" si="3"/>
        <v>1.0592193808882908</v>
      </c>
      <c r="F94" s="9">
        <f t="shared" si="4"/>
        <v>1.0606462983218896</v>
      </c>
      <c r="G94" s="9">
        <f t="shared" si="5"/>
        <v>1.0598195971521724</v>
      </c>
      <c r="H94" s="4">
        <f>C94*F94</f>
        <v>63.044815972253119</v>
      </c>
      <c r="I94" s="4">
        <f>C94*G94</f>
        <v>62.995676854725126</v>
      </c>
      <c r="J94" s="11">
        <f>LN(H94/D94)</f>
        <v>1.3462340214274362E-3</v>
      </c>
      <c r="K94" s="11">
        <f>LN(I94/D94)</f>
        <v>5.6649857426271867E-4</v>
      </c>
    </row>
    <row r="95" spans="2:11" x14ac:dyDescent="0.3">
      <c r="B95" s="1">
        <v>46160</v>
      </c>
      <c r="C95" s="4">
        <v>60.58</v>
      </c>
      <c r="D95" s="4">
        <v>64.09</v>
      </c>
      <c r="E95" s="8">
        <f t="shared" si="3"/>
        <v>1.0579399141630903</v>
      </c>
      <c r="F95" s="9">
        <f t="shared" si="4"/>
        <v>1.060483551883685</v>
      </c>
      <c r="G95" s="9">
        <f t="shared" si="5"/>
        <v>1.0598195971521724</v>
      </c>
      <c r="H95" s="4">
        <f>C95*F95</f>
        <v>64.244093573113645</v>
      </c>
      <c r="I95" s="4">
        <f>C95*G95</f>
        <v>64.203871195478598</v>
      </c>
      <c r="J95" s="11">
        <f>LN(H95/D95)</f>
        <v>2.401445210346553E-3</v>
      </c>
      <c r="K95" s="11">
        <f>LN(I95/D95)</f>
        <v>1.7751623568623171E-3</v>
      </c>
    </row>
    <row r="96" spans="2:11" x14ac:dyDescent="0.3">
      <c r="B96" s="1">
        <v>46161</v>
      </c>
      <c r="C96" s="4">
        <v>61.29</v>
      </c>
      <c r="D96" s="4">
        <v>64.72</v>
      </c>
      <c r="E96" s="8">
        <f t="shared" si="3"/>
        <v>1.0559634524392234</v>
      </c>
      <c r="F96" s="9">
        <f t="shared" si="4"/>
        <v>1.0602568453218266</v>
      </c>
      <c r="G96" s="9">
        <f t="shared" si="5"/>
        <v>1.0598195971521724</v>
      </c>
      <c r="H96" s="4">
        <f>C96*F96</f>
        <v>64.983142049774756</v>
      </c>
      <c r="I96" s="4">
        <f>C96*G96</f>
        <v>64.956343109456654</v>
      </c>
      <c r="J96" s="11">
        <f>LN(H96/D96)</f>
        <v>4.0576104271860787E-3</v>
      </c>
      <c r="K96" s="11">
        <f>LN(I96/D96)</f>
        <v>3.6451270213109822E-3</v>
      </c>
    </row>
    <row r="97" spans="2:11" x14ac:dyDescent="0.3">
      <c r="B97" s="1">
        <v>46162</v>
      </c>
      <c r="C97" s="4">
        <v>59.8</v>
      </c>
      <c r="D97" s="4">
        <v>63.28</v>
      </c>
      <c r="E97" s="8">
        <f t="shared" si="3"/>
        <v>1.0581939799331104</v>
      </c>
      <c r="F97" s="9">
        <f t="shared" si="4"/>
        <v>1.0601509801161473</v>
      </c>
      <c r="G97" s="9">
        <f t="shared" si="5"/>
        <v>1.0598195971521724</v>
      </c>
      <c r="H97" s="4">
        <f>C97*F97</f>
        <v>63.397028610945604</v>
      </c>
      <c r="I97" s="4">
        <f>C97*G97</f>
        <v>63.377211909699909</v>
      </c>
      <c r="J97" s="11">
        <f>LN(H97/D97)</f>
        <v>1.8476695502310119E-3</v>
      </c>
      <c r="K97" s="11">
        <f>LN(I97/D97)</f>
        <v>1.5350397710944192E-3</v>
      </c>
    </row>
    <row r="98" spans="2:11" x14ac:dyDescent="0.3">
      <c r="B98" s="1">
        <v>46163</v>
      </c>
      <c r="C98" s="4">
        <v>59.13</v>
      </c>
      <c r="D98" s="4">
        <v>62.68</v>
      </c>
      <c r="E98" s="8">
        <f t="shared" si="3"/>
        <v>1.0600372061559276</v>
      </c>
      <c r="F98" s="9">
        <f t="shared" si="4"/>
        <v>1.0601781124492158</v>
      </c>
      <c r="G98" s="9">
        <f t="shared" si="5"/>
        <v>1.0598195971521724</v>
      </c>
      <c r="H98" s="4">
        <f>C98*F98</f>
        <v>62.688331789122131</v>
      </c>
      <c r="I98" s="4">
        <f>C98*G98</f>
        <v>62.667132779607961</v>
      </c>
      <c r="J98" s="11">
        <f>LN(H98/D98)</f>
        <v>1.329169657999006E-4</v>
      </c>
      <c r="K98" s="11">
        <f>LN(I98/D98)</f>
        <v>-2.0530538117469822E-4</v>
      </c>
    </row>
    <row r="99" spans="2:11" x14ac:dyDescent="0.3">
      <c r="B99" s="1">
        <v>46164</v>
      </c>
      <c r="C99" s="4">
        <v>59.49</v>
      </c>
      <c r="D99" s="4">
        <v>62.98</v>
      </c>
      <c r="E99" s="8">
        <f t="shared" si="3"/>
        <v>1.0586653219028408</v>
      </c>
      <c r="F99" s="9">
        <f t="shared" si="4"/>
        <v>1.0600869368351966</v>
      </c>
      <c r="G99" s="9">
        <f t="shared" si="5"/>
        <v>1.0598195971521724</v>
      </c>
      <c r="H99" s="4">
        <f>C99*F99</f>
        <v>63.06457187232585</v>
      </c>
      <c r="I99" s="4">
        <f>C99*G99</f>
        <v>63.048667834582744</v>
      </c>
      <c r="J99" s="11">
        <f>LN(H99/D99)</f>
        <v>1.3419361700540624E-3</v>
      </c>
      <c r="K99" s="11">
        <f>LN(I99/D99)</f>
        <v>1.0897178008425653E-3</v>
      </c>
    </row>
    <row r="100" spans="2:11" x14ac:dyDescent="0.3">
      <c r="B100" s="1">
        <v>46168</v>
      </c>
      <c r="C100" s="4">
        <v>57.85</v>
      </c>
      <c r="D100" s="4">
        <v>61.39</v>
      </c>
      <c r="E100" s="8">
        <f t="shared" si="3"/>
        <v>1.0611927398444252</v>
      </c>
      <c r="F100" s="9">
        <f t="shared" si="4"/>
        <v>1.0600727672394314</v>
      </c>
      <c r="G100" s="9">
        <f t="shared" si="5"/>
        <v>1.0598195971521724</v>
      </c>
      <c r="H100" s="4">
        <f>C100*F100</f>
        <v>61.325209584801108</v>
      </c>
      <c r="I100" s="4">
        <f>C100*G100</f>
        <v>61.31056369525318</v>
      </c>
      <c r="J100" s="11">
        <f>LN(H100/D100)</f>
        <v>-1.0559476928468205E-3</v>
      </c>
      <c r="K100" s="11">
        <f>LN(I100/D100)</f>
        <v>-1.2947995258125696E-3</v>
      </c>
    </row>
    <row r="101" spans="2:11" x14ac:dyDescent="0.3">
      <c r="B101" s="1">
        <v>46169</v>
      </c>
      <c r="C101" s="4">
        <v>56.99</v>
      </c>
      <c r="D101" s="4">
        <v>60.43</v>
      </c>
      <c r="E101" s="8">
        <f t="shared" si="3"/>
        <v>1.0603614669240218</v>
      </c>
      <c r="F101" s="9">
        <f t="shared" si="4"/>
        <v>1.0600497731796368</v>
      </c>
      <c r="G101" s="9">
        <f t="shared" si="5"/>
        <v>1.0598195971521724</v>
      </c>
      <c r="H101" s="4">
        <f>C101*F101</f>
        <v>60.412236573507499</v>
      </c>
      <c r="I101" s="4">
        <f>C101*G101</f>
        <v>60.399118841702311</v>
      </c>
      <c r="J101" s="11">
        <f>LN(H101/D101)</f>
        <v>-2.9399367512762068E-4</v>
      </c>
      <c r="K101" s="11">
        <f>LN(I101/D101)</f>
        <v>-5.111542526521003E-4</v>
      </c>
    </row>
    <row r="102" spans="2:11" x14ac:dyDescent="0.3">
      <c r="B102" s="1">
        <v>46170</v>
      </c>
      <c r="C102" s="4">
        <v>56.95</v>
      </c>
      <c r="D102" s="4">
        <v>60.46</v>
      </c>
      <c r="E102" s="8">
        <f t="shared" si="3"/>
        <v>1.0616330114135206</v>
      </c>
      <c r="F102" s="9">
        <f t="shared" si="4"/>
        <v>1.0601244781294421</v>
      </c>
      <c r="G102" s="9">
        <f t="shared" si="5"/>
        <v>1.0598195971521724</v>
      </c>
      <c r="H102" s="4">
        <f>C102*F102</f>
        <v>60.374089029471733</v>
      </c>
      <c r="I102" s="4">
        <f>C102*G102</f>
        <v>60.356726057816225</v>
      </c>
      <c r="J102" s="11">
        <f>LN(H102/D102)</f>
        <v>-1.4219660311788754E-3</v>
      </c>
      <c r="K102" s="11">
        <f>LN(I102/D102)</f>
        <v>-1.7095971842139702E-3</v>
      </c>
    </row>
    <row r="103" spans="2:11" x14ac:dyDescent="0.3">
      <c r="B103" s="1">
        <v>46171</v>
      </c>
      <c r="C103" s="4">
        <v>56.29</v>
      </c>
      <c r="D103" s="4">
        <v>59.84</v>
      </c>
      <c r="E103" s="8">
        <f t="shared" si="3"/>
        <v>1.0630662639900517</v>
      </c>
      <c r="F103" s="9">
        <f t="shared" si="4"/>
        <v>1.0602937175653238</v>
      </c>
      <c r="G103" s="9">
        <f t="shared" si="5"/>
        <v>1.0598195971521724</v>
      </c>
      <c r="H103" s="4">
        <f>C103*F103</f>
        <v>59.683933361752075</v>
      </c>
      <c r="I103" s="4">
        <f>C103*G103</f>
        <v>59.657245123695787</v>
      </c>
      <c r="J103" s="11">
        <f>LN(H103/D103)</f>
        <v>-2.6114724064624719E-3</v>
      </c>
      <c r="K103" s="11">
        <f>LN(I103/D103)</f>
        <v>-3.058731916379862E-3</v>
      </c>
    </row>
    <row r="104" spans="2:11" x14ac:dyDescent="0.3">
      <c r="B104" s="1">
        <v>46174</v>
      </c>
      <c r="C104" s="4">
        <v>57.3</v>
      </c>
      <c r="D104" s="4">
        <v>60.86</v>
      </c>
      <c r="E104" s="8">
        <f t="shared" si="3"/>
        <v>1.0621291448516579</v>
      </c>
      <c r="F104" s="9">
        <f t="shared" si="4"/>
        <v>1.0603245588350942</v>
      </c>
      <c r="G104" s="9">
        <f t="shared" si="5"/>
        <v>1.0598195971521724</v>
      </c>
      <c r="H104" s="4">
        <f>C104*F104</f>
        <v>60.7565972212509</v>
      </c>
      <c r="I104" s="4">
        <f>C104*G104</f>
        <v>60.727662916819476</v>
      </c>
      <c r="J104" s="11">
        <f>LN(H104/D104)</f>
        <v>-1.7004719097287336E-3</v>
      </c>
      <c r="K104" s="11">
        <f>LN(I104/D104)</f>
        <v>-2.1768184742243573E-3</v>
      </c>
    </row>
    <row r="105" spans="2:11" x14ac:dyDescent="0.3">
      <c r="B105" s="1">
        <v>46175</v>
      </c>
      <c r="C105" s="4">
        <v>57.96</v>
      </c>
      <c r="D105" s="4">
        <v>61.56</v>
      </c>
      <c r="E105" s="8">
        <f t="shared" si="3"/>
        <v>1.0621118012422361</v>
      </c>
      <c r="F105" s="9">
        <f t="shared" si="4"/>
        <v>1.0603740788517437</v>
      </c>
      <c r="G105" s="9">
        <f t="shared" si="5"/>
        <v>1.0598195971521724</v>
      </c>
      <c r="H105" s="4">
        <f>C105*F105</f>
        <v>61.459281610247068</v>
      </c>
      <c r="I105" s="4">
        <f>C105*G105</f>
        <v>61.427143850939913</v>
      </c>
      <c r="J105" s="11">
        <f>LN(H105/D105)</f>
        <v>-1.6374410732781113E-3</v>
      </c>
      <c r="K105" s="11">
        <f>LN(I105/D105)</f>
        <v>-2.1604892442900654E-3</v>
      </c>
    </row>
    <row r="106" spans="2:11" x14ac:dyDescent="0.3">
      <c r="B106" s="1">
        <v>46176</v>
      </c>
      <c r="C106" s="4">
        <v>58.71</v>
      </c>
      <c r="D106" s="4">
        <v>62.38</v>
      </c>
      <c r="E106" s="8">
        <f t="shared" si="3"/>
        <v>1.0625106455459037</v>
      </c>
      <c r="F106" s="9">
        <f t="shared" si="4"/>
        <v>1.0604382149978364</v>
      </c>
      <c r="G106" s="9">
        <f t="shared" si="5"/>
        <v>1.0598195971521724</v>
      </c>
      <c r="H106" s="4">
        <f>C106*F106</f>
        <v>62.258327602522975</v>
      </c>
      <c r="I106" s="4">
        <f>C106*G106</f>
        <v>62.222008548804048</v>
      </c>
      <c r="J106" s="11">
        <f>LN(H106/D106)</f>
        <v>-1.952408034794363E-3</v>
      </c>
      <c r="K106" s="11">
        <f>LN(I106/D106)</f>
        <v>-2.5359388296558442E-3</v>
      </c>
    </row>
    <row r="107" spans="2:11" x14ac:dyDescent="0.3">
      <c r="B107" s="1">
        <v>46177</v>
      </c>
      <c r="C107" s="4">
        <v>58.75</v>
      </c>
      <c r="D107" s="4">
        <v>62.4</v>
      </c>
      <c r="E107" s="8">
        <f t="shared" si="3"/>
        <v>1.062127659574468</v>
      </c>
      <c r="F107" s="9">
        <f t="shared" si="4"/>
        <v>1.0604217909590159</v>
      </c>
      <c r="G107" s="9">
        <f t="shared" si="5"/>
        <v>1.0598195971521724</v>
      </c>
      <c r="H107" s="4">
        <f>C107*F107</f>
        <v>62.299780218842187</v>
      </c>
      <c r="I107" s="4">
        <f>C107*G107</f>
        <v>62.264401332690134</v>
      </c>
      <c r="J107" s="11">
        <f>LN(H107/D107)</f>
        <v>-1.6073773756419753E-3</v>
      </c>
      <c r="K107" s="11">
        <f>LN(I107/D107)</f>
        <v>-2.1754200772067787E-3</v>
      </c>
    </row>
    <row r="108" spans="2:11" x14ac:dyDescent="0.3">
      <c r="B108" s="1">
        <v>46178</v>
      </c>
      <c r="C108" s="4">
        <v>57.67</v>
      </c>
      <c r="D108" s="4">
        <v>61.09</v>
      </c>
      <c r="E108" s="8">
        <f t="shared" si="3"/>
        <v>1.059302930466447</v>
      </c>
      <c r="F108" s="9">
        <f t="shared" si="4"/>
        <v>1.0603038275627674</v>
      </c>
      <c r="G108" s="9">
        <f t="shared" si="5"/>
        <v>1.0598195971521724</v>
      </c>
      <c r="H108" s="4">
        <f>C108*F108</f>
        <v>61.147721735544799</v>
      </c>
      <c r="I108" s="4">
        <f>C108*G108</f>
        <v>61.119796167765784</v>
      </c>
      <c r="J108" s="11">
        <f>LN(H108/D108)</f>
        <v>9.4441779535055096E-4</v>
      </c>
      <c r="K108" s="11">
        <f>LN(I108/D108)</f>
        <v>4.8762323955234716E-4</v>
      </c>
    </row>
    <row r="109" spans="2:11" x14ac:dyDescent="0.3">
      <c r="B109" s="1">
        <v>46181</v>
      </c>
      <c r="C109" s="4">
        <v>58.33</v>
      </c>
      <c r="D109" s="4">
        <v>61.76</v>
      </c>
      <c r="E109" s="8">
        <f t="shared" si="3"/>
        <v>1.058803360192011</v>
      </c>
      <c r="F109" s="9">
        <f t="shared" si="4"/>
        <v>1.0602009076010932</v>
      </c>
      <c r="G109" s="9">
        <f t="shared" si="5"/>
        <v>1.0598195971521724</v>
      </c>
      <c r="H109" s="4">
        <f>C109*F109</f>
        <v>61.841518940371763</v>
      </c>
      <c r="I109" s="4">
        <f>C109*G109</f>
        <v>61.819277101886215</v>
      </c>
      <c r="J109" s="11">
        <f>LN(H109/D109)</f>
        <v>1.3190606861521749E-3</v>
      </c>
      <c r="K109" s="11">
        <f>LN(I109/D109)</f>
        <v>9.5933732293224723E-4</v>
      </c>
    </row>
    <row r="110" spans="2:11" x14ac:dyDescent="0.3">
      <c r="B110" s="1">
        <v>46182</v>
      </c>
      <c r="C110" s="4">
        <v>57.39</v>
      </c>
      <c r="D110" s="4">
        <v>60.79</v>
      </c>
      <c r="E110" s="8">
        <f t="shared" si="3"/>
        <v>1.0592437706917581</v>
      </c>
      <c r="F110" s="9">
        <f t="shared" si="4"/>
        <v>1.0601370335154259</v>
      </c>
      <c r="G110" s="9">
        <f t="shared" si="5"/>
        <v>1.0598195971521724</v>
      </c>
      <c r="H110" s="4">
        <f>C110*F110</f>
        <v>60.841264353450292</v>
      </c>
      <c r="I110" s="4">
        <f>C110*G110</f>
        <v>60.823046680563181</v>
      </c>
      <c r="J110" s="11">
        <f>LN(H110/D110)</f>
        <v>8.4294702942250765E-4</v>
      </c>
      <c r="K110" s="11">
        <f>LN(I110/D110)</f>
        <v>5.4347263354694606E-4</v>
      </c>
    </row>
    <row r="111" spans="2:11" x14ac:dyDescent="0.3">
      <c r="B111" s="1">
        <v>46183</v>
      </c>
      <c r="C111" s="4">
        <v>58.25</v>
      </c>
      <c r="D111" s="4">
        <v>61.66</v>
      </c>
      <c r="E111" s="8">
        <f t="shared" si="3"/>
        <v>1.0585407725321887</v>
      </c>
      <c r="F111" s="9">
        <f t="shared" si="4"/>
        <v>1.06006771987523</v>
      </c>
      <c r="G111" s="9">
        <f t="shared" si="5"/>
        <v>1.0598195971521724</v>
      </c>
      <c r="H111" s="4">
        <f>C111*F111</f>
        <v>61.748944682732144</v>
      </c>
      <c r="I111" s="4">
        <f>C111*G111</f>
        <v>61.734491534114042</v>
      </c>
      <c r="J111" s="11">
        <f>LN(H111/D111)</f>
        <v>1.4414627458599455E-3</v>
      </c>
      <c r="K111" s="11">
        <f>LN(I111/D111)</f>
        <v>1.207372261712382E-3</v>
      </c>
    </row>
    <row r="112" spans="2:11" x14ac:dyDescent="0.3">
      <c r="B112" s="1">
        <v>46184</v>
      </c>
      <c r="C112" s="4">
        <v>57.12</v>
      </c>
      <c r="D112" s="4">
        <v>60.53</v>
      </c>
      <c r="E112" s="8">
        <f t="shared" si="3"/>
        <v>1.0596988795518207</v>
      </c>
      <c r="F112" s="9">
        <f t="shared" si="4"/>
        <v>1.0600420790879412</v>
      </c>
      <c r="G112" s="9">
        <f t="shared" si="5"/>
        <v>1.0598195971521724</v>
      </c>
      <c r="H112" s="4">
        <f>C112*F112</f>
        <v>60.549603557503204</v>
      </c>
      <c r="I112" s="4">
        <f>C112*G112</f>
        <v>60.536895389332088</v>
      </c>
      <c r="J112" s="11">
        <f>LN(H112/D112)</f>
        <v>3.2381271656857296E-4</v>
      </c>
      <c r="K112" s="11">
        <f>LN(I112/D112)</f>
        <v>1.1391040163984109E-4</v>
      </c>
    </row>
    <row r="113" spans="1:11" x14ac:dyDescent="0.3">
      <c r="B113" s="1">
        <v>46185</v>
      </c>
      <c r="C113" s="4">
        <v>57.55</v>
      </c>
      <c r="D113" s="4">
        <v>60.99</v>
      </c>
      <c r="E113" s="8">
        <f t="shared" si="3"/>
        <v>1.0597741094700261</v>
      </c>
      <c r="F113" s="9">
        <f t="shared" si="4"/>
        <v>1.0600257905886514</v>
      </c>
      <c r="G113" s="9">
        <f t="shared" si="5"/>
        <v>1.0598195971521724</v>
      </c>
      <c r="H113" s="4">
        <f>C113*F113</f>
        <v>61.004484248376883</v>
      </c>
      <c r="I113" s="4">
        <f>C113*G113</f>
        <v>60.992617816107519</v>
      </c>
      <c r="J113" s="11">
        <f>LN(H113/D113)</f>
        <v>2.3745743152526477E-4</v>
      </c>
      <c r="K113" s="11">
        <f>LN(I113/D113)</f>
        <v>4.2921133433332496E-5</v>
      </c>
    </row>
    <row r="114" spans="1:11" x14ac:dyDescent="0.3">
      <c r="B114" s="1">
        <v>46188</v>
      </c>
      <c r="C114" s="4">
        <v>55.55</v>
      </c>
      <c r="D114" s="4">
        <v>58.63</v>
      </c>
      <c r="E114" s="8">
        <f t="shared" si="3"/>
        <v>1.0554455445544555</v>
      </c>
      <c r="F114" s="9">
        <f t="shared" si="4"/>
        <v>1.0598370987719594</v>
      </c>
      <c r="G114" s="9">
        <f t="shared" si="5"/>
        <v>1.0598195971521724</v>
      </c>
      <c r="H114" s="4">
        <f>C114*F114</f>
        <v>58.873950836782342</v>
      </c>
      <c r="I114" s="4">
        <f>C114*G114</f>
        <v>58.872978621803178</v>
      </c>
      <c r="J114" s="11">
        <f>LN(H114/D114)</f>
        <v>4.1522210196357594E-3</v>
      </c>
      <c r="K114" s="11">
        <f>LN(I114/D114)</f>
        <v>4.1357073834220005E-3</v>
      </c>
    </row>
    <row r="115" spans="1:11" x14ac:dyDescent="0.3">
      <c r="B115" s="1">
        <v>46189</v>
      </c>
      <c r="C115" s="4">
        <v>55.36</v>
      </c>
      <c r="D115" s="4">
        <v>58.37</v>
      </c>
      <c r="E115" s="8">
        <f t="shared" si="3"/>
        <v>1.054371387283237</v>
      </c>
      <c r="F115" s="9">
        <f t="shared" si="4"/>
        <v>1.0596586724279666</v>
      </c>
      <c r="G115" s="9">
        <f t="shared" si="5"/>
        <v>1.0598195971521724</v>
      </c>
      <c r="H115" s="4">
        <f>C115*F115</f>
        <v>58.662704105612235</v>
      </c>
      <c r="I115" s="4">
        <f>C115*G115</f>
        <v>58.671612898344264</v>
      </c>
      <c r="J115" s="11">
        <f>LN(H115/D115)</f>
        <v>5.0021012188301581E-3</v>
      </c>
      <c r="K115" s="11">
        <f>LN(I115/D115)</f>
        <v>5.1539543676212751E-3</v>
      </c>
    </row>
    <row r="116" spans="1:11" x14ac:dyDescent="0.3">
      <c r="B116" s="1">
        <v>46190</v>
      </c>
      <c r="C116" s="4">
        <v>54.67</v>
      </c>
      <c r="D116" s="4">
        <v>57.71</v>
      </c>
      <c r="E116" s="8">
        <f t="shared" si="3"/>
        <v>1.0556063654655203</v>
      </c>
      <c r="F116" s="9">
        <f t="shared" si="4"/>
        <v>1.0596408180792816</v>
      </c>
      <c r="G116" s="9">
        <f t="shared" si="5"/>
        <v>1.0598195971521724</v>
      </c>
      <c r="H116" s="4">
        <f>C116*F116</f>
        <v>57.930563524394323</v>
      </c>
      <c r="I116" s="4">
        <f>C116*G116</f>
        <v>57.940337376309266</v>
      </c>
      <c r="J116" s="11">
        <f>LN(H116/D116)</f>
        <v>3.8146440164784899E-3</v>
      </c>
      <c r="K116" s="11">
        <f>LN(I116/D116)</f>
        <v>3.9833464579396381E-3</v>
      </c>
    </row>
    <row r="117" spans="1:11" x14ac:dyDescent="0.3">
      <c r="A117" s="6">
        <v>0.30908999999999998</v>
      </c>
      <c r="B117" s="1">
        <v>46191</v>
      </c>
      <c r="C117" s="4">
        <v>53.77</v>
      </c>
      <c r="D117" s="4">
        <f>+A117+56.77</f>
        <v>57.079090000000001</v>
      </c>
      <c r="E117" s="8">
        <f t="shared" si="3"/>
        <v>1.0615415659289567</v>
      </c>
      <c r="F117" s="9">
        <f t="shared" si="4"/>
        <v>1.0598081973790738</v>
      </c>
      <c r="G117" s="9">
        <f t="shared" si="5"/>
        <v>1.0598195971521724</v>
      </c>
      <c r="H117" s="4">
        <f>C117*F117</f>
        <v>56.985886773072806</v>
      </c>
      <c r="I117" s="4">
        <f>C117*G117</f>
        <v>56.986499738872318</v>
      </c>
      <c r="J117" s="11">
        <f>LN(H117/D117)</f>
        <v>-1.6342132406760251E-3</v>
      </c>
      <c r="K117" s="11">
        <f>LN(I117/D117)</f>
        <v>-1.6234568492680471E-3</v>
      </c>
    </row>
    <row r="118" spans="1:11" x14ac:dyDescent="0.3">
      <c r="A118" s="6" t="s">
        <v>20</v>
      </c>
      <c r="B118" s="1">
        <v>46195</v>
      </c>
      <c r="C118" s="4">
        <v>54.06</v>
      </c>
      <c r="D118" s="4">
        <v>57.53</v>
      </c>
      <c r="E118" s="8">
        <f t="shared" si="3"/>
        <v>1.064187939326674</v>
      </c>
      <c r="F118" s="9">
        <f t="shared" si="4"/>
        <v>1.0600157340376111</v>
      </c>
      <c r="G118" s="9">
        <f t="shared" si="5"/>
        <v>1.0598195971521724</v>
      </c>
      <c r="H118" s="4">
        <f>C118*F118</f>
        <v>57.304450582073258</v>
      </c>
      <c r="I118" s="4">
        <f>C118*G118</f>
        <v>57.293847422046447</v>
      </c>
      <c r="J118" s="11">
        <f>LN(H118/D118)</f>
        <v>-3.9282585813787711E-3</v>
      </c>
      <c r="K118" s="11">
        <f>LN(I118/D118)</f>
        <v>-4.1133077529936987E-3</v>
      </c>
    </row>
    <row r="119" spans="1:11" x14ac:dyDescent="0.3">
      <c r="B119" s="1">
        <v>46196</v>
      </c>
      <c r="C119" s="4">
        <v>54.46</v>
      </c>
      <c r="D119" s="4">
        <v>57.86</v>
      </c>
      <c r="E119" s="8">
        <f t="shared" si="3"/>
        <v>1.0624311421226589</v>
      </c>
      <c r="F119" s="9">
        <f t="shared" si="4"/>
        <v>1.060204025048602</v>
      </c>
      <c r="G119" s="9">
        <f t="shared" si="5"/>
        <v>1.0598195971521724</v>
      </c>
      <c r="H119" s="4">
        <f>C119*F119</f>
        <v>57.738711204146867</v>
      </c>
      <c r="I119" s="4">
        <f>C119*G119</f>
        <v>57.71777526090731</v>
      </c>
      <c r="J119" s="11">
        <f>LN(H119/D119)</f>
        <v>-2.0984462386718426E-3</v>
      </c>
      <c r="K119" s="11">
        <f>LN(I119/D119)</f>
        <v>-2.4611100284686782E-3</v>
      </c>
    </row>
    <row r="120" spans="1:11" x14ac:dyDescent="0.3">
      <c r="B120" s="1">
        <v>46197</v>
      </c>
      <c r="C120" s="4">
        <v>53.57</v>
      </c>
      <c r="D120" s="4">
        <v>56.91</v>
      </c>
      <c r="E120" s="8">
        <f t="shared" si="3"/>
        <v>1.062348329288781</v>
      </c>
      <c r="F120" s="9">
        <f t="shared" si="4"/>
        <v>1.0602618045208199</v>
      </c>
      <c r="G120" s="9">
        <f t="shared" si="5"/>
        <v>1.0598195971521724</v>
      </c>
      <c r="H120" s="4">
        <f>C120*F120</f>
        <v>56.79822486818032</v>
      </c>
      <c r="I120" s="4">
        <f>C120*G120</f>
        <v>56.77453581944188</v>
      </c>
      <c r="J120" s="11">
        <f>LN(H120/D120)</f>
        <v>-1.9659996970597809E-3</v>
      </c>
      <c r="K120" s="11">
        <f>LN(I120/D120)</f>
        <v>-2.3831604482567117E-3</v>
      </c>
    </row>
    <row r="121" spans="1:11" x14ac:dyDescent="0.3">
      <c r="B121" s="1">
        <v>46198</v>
      </c>
      <c r="C121" s="4">
        <v>54.09</v>
      </c>
      <c r="D121" s="4">
        <v>57.5</v>
      </c>
      <c r="E121" s="8">
        <f t="shared" si="3"/>
        <v>1.0630430763542245</v>
      </c>
      <c r="F121" s="9">
        <f t="shared" si="4"/>
        <v>1.0603958849923298</v>
      </c>
      <c r="G121" s="9">
        <f t="shared" si="5"/>
        <v>1.0598195971521724</v>
      </c>
      <c r="H121" s="4">
        <f>C121*F121</f>
        <v>57.356813419235124</v>
      </c>
      <c r="I121" s="4">
        <f>C121*G121</f>
        <v>57.325642009961008</v>
      </c>
      <c r="J121" s="11">
        <f>LN(H121/D121)</f>
        <v>-2.493307113088733E-3</v>
      </c>
      <c r="K121" s="11">
        <f>LN(I121/D121)</f>
        <v>-3.0369196460623168E-3</v>
      </c>
    </row>
    <row r="122" spans="1:11" x14ac:dyDescent="0.3">
      <c r="B122" s="1">
        <v>46199</v>
      </c>
      <c r="C122" s="4">
        <v>53.84</v>
      </c>
      <c r="D122" s="4">
        <v>57.22</v>
      </c>
      <c r="E122" s="8">
        <f t="shared" si="3"/>
        <v>1.062778603268945</v>
      </c>
      <c r="F122" s="9">
        <f t="shared" si="4"/>
        <v>1.060453164585101</v>
      </c>
      <c r="G122" s="9">
        <f t="shared" si="5"/>
        <v>1.0598195971521724</v>
      </c>
      <c r="H122" s="4">
        <f>C122*F122</f>
        <v>57.094798381261839</v>
      </c>
      <c r="I122" s="4">
        <f>C122*G122</f>
        <v>57.060687110672966</v>
      </c>
      <c r="J122" s="11">
        <f>LN(H122/D122)</f>
        <v>-2.1904717599571175E-3</v>
      </c>
      <c r="K122" s="11">
        <f>LN(I122/D122)</f>
        <v>-2.7881000115849591E-3</v>
      </c>
    </row>
    <row r="123" spans="1:11" x14ac:dyDescent="0.3">
      <c r="B123" s="1">
        <v>46202</v>
      </c>
      <c r="C123" s="4">
        <v>53.58</v>
      </c>
      <c r="D123" s="4">
        <v>56.97</v>
      </c>
      <c r="E123" s="8">
        <f t="shared" si="3"/>
        <v>1.0632698768197089</v>
      </c>
      <c r="F123" s="9">
        <f t="shared" si="4"/>
        <v>1.0604633452265841</v>
      </c>
      <c r="G123" s="9">
        <f t="shared" si="5"/>
        <v>1.0598195971521724</v>
      </c>
      <c r="H123" s="4">
        <f>C123*F123</f>
        <v>56.819626037240376</v>
      </c>
      <c r="I123" s="4">
        <f>C123*G123</f>
        <v>56.785134015413398</v>
      </c>
      <c r="J123" s="11">
        <f>LN(H123/D123)</f>
        <v>-2.6430186218809877E-3</v>
      </c>
      <c r="K123" s="11">
        <f>LN(I123/D123)</f>
        <v>-3.2502471019347024E-3</v>
      </c>
    </row>
    <row r="124" spans="1:11" x14ac:dyDescent="0.3">
      <c r="B124" s="1">
        <v>46203</v>
      </c>
      <c r="C124" s="4">
        <v>53.11</v>
      </c>
      <c r="D124" s="4">
        <v>56.59</v>
      </c>
      <c r="E124" s="8">
        <f t="shared" si="3"/>
        <v>1.0655243833553003</v>
      </c>
      <c r="F124" s="9">
        <f t="shared" si="4"/>
        <v>1.0606331071517661</v>
      </c>
      <c r="G124" s="9">
        <f t="shared" si="5"/>
        <v>1.0598195971521724</v>
      </c>
      <c r="H124" s="4">
        <f>C124*F124</f>
        <v>56.330224320830297</v>
      </c>
      <c r="I124" s="4">
        <f>C124*G124</f>
        <v>56.287018804751881</v>
      </c>
      <c r="J124" s="11">
        <f>LN(H124/D124)</f>
        <v>-4.6010559935289429E-3</v>
      </c>
      <c r="K124" s="11">
        <f>LN(I124/D124)</f>
        <v>-5.3683544462179208E-3</v>
      </c>
    </row>
    <row r="125" spans="1:11" x14ac:dyDescent="0.3">
      <c r="B125" s="1">
        <v>46204</v>
      </c>
      <c r="C125" s="4">
        <v>52.81</v>
      </c>
      <c r="D125" s="4">
        <v>56.29</v>
      </c>
      <c r="E125" s="8">
        <f t="shared" si="3"/>
        <v>1.0658966104904373</v>
      </c>
      <c r="F125" s="9">
        <f t="shared" si="4"/>
        <v>1.060822347614176</v>
      </c>
      <c r="G125" s="9">
        <f t="shared" si="5"/>
        <v>1.0598195971521724</v>
      </c>
      <c r="H125" s="4">
        <f>C125*F125</f>
        <v>56.022028177504637</v>
      </c>
      <c r="I125" s="4">
        <f>C125*G125</f>
        <v>55.969072925606227</v>
      </c>
      <c r="J125" s="11">
        <f>LN(H125/D125)</f>
        <v>-4.7719257740883626E-3</v>
      </c>
      <c r="K125" s="11">
        <f>LN(I125/D125)</f>
        <v>-5.717630483186565E-3</v>
      </c>
    </row>
    <row r="126" spans="1:11" x14ac:dyDescent="0.3">
      <c r="B126" s="1">
        <v>46205</v>
      </c>
      <c r="C126" s="4">
        <v>53.22</v>
      </c>
      <c r="D126" s="4">
        <v>56.75</v>
      </c>
      <c r="E126" s="8">
        <f t="shared" si="3"/>
        <v>1.0663284479518977</v>
      </c>
      <c r="F126" s="9">
        <f t="shared" si="4"/>
        <v>1.0610132377344759</v>
      </c>
      <c r="G126" s="9">
        <f t="shared" si="5"/>
        <v>1.0598195971521724</v>
      </c>
      <c r="H126" s="4">
        <f>C126*F126</f>
        <v>56.467124512228807</v>
      </c>
      <c r="I126" s="4">
        <f>C126*G126</f>
        <v>56.403598960438615</v>
      </c>
      <c r="J126" s="11">
        <f>LN(H126/D126)</f>
        <v>-4.9970545996372131E-3</v>
      </c>
      <c r="K126" s="11">
        <f>LN(I126/D126)</f>
        <v>-6.1226885380622322E-3</v>
      </c>
    </row>
    <row r="127" spans="1:11" x14ac:dyDescent="0.3">
      <c r="B127" s="1">
        <v>46209</v>
      </c>
      <c r="C127" s="4">
        <v>53.13</v>
      </c>
      <c r="D127" s="4">
        <v>56.67</v>
      </c>
      <c r="E127" s="8">
        <f t="shared" si="3"/>
        <v>1.0666290231507622</v>
      </c>
      <c r="F127" s="9">
        <f t="shared" si="4"/>
        <v>1.0612383059132906</v>
      </c>
      <c r="G127" s="9">
        <f t="shared" si="5"/>
        <v>1.0598195971521724</v>
      </c>
      <c r="H127" s="4">
        <f>C127*F127</f>
        <v>56.383591193173132</v>
      </c>
      <c r="I127" s="4">
        <f>C127*G127</f>
        <v>56.308215196694924</v>
      </c>
      <c r="J127" s="11">
        <f>LN(H127/D127)</f>
        <v>-5.0667902989444931E-3</v>
      </c>
      <c r="K127" s="11">
        <f>LN(I127/D127)</f>
        <v>-6.4045274447692389E-3</v>
      </c>
    </row>
    <row r="128" spans="1:11" x14ac:dyDescent="0.3">
      <c r="B128" s="1">
        <v>46210</v>
      </c>
      <c r="C128" s="4">
        <v>54.64</v>
      </c>
      <c r="D128" s="4">
        <v>58.21</v>
      </c>
      <c r="E128" s="8">
        <f t="shared" si="3"/>
        <v>1.0653367496339678</v>
      </c>
      <c r="F128" s="9">
        <f t="shared" si="4"/>
        <v>1.0615399968716666</v>
      </c>
      <c r="G128" s="9">
        <f t="shared" si="5"/>
        <v>1.0598195971521724</v>
      </c>
      <c r="H128" s="4">
        <f>C128*F128</f>
        <v>58.002545429067858</v>
      </c>
      <c r="I128" s="4">
        <f>C128*G128</f>
        <v>57.908542788394705</v>
      </c>
      <c r="J128" s="11">
        <f>LN(H128/D128)</f>
        <v>-3.5702649921517358E-3</v>
      </c>
      <c r="K128" s="11">
        <f>LN(I128/D128)</f>
        <v>-5.1922437472027424E-3</v>
      </c>
    </row>
    <row r="129" spans="2:11" x14ac:dyDescent="0.3">
      <c r="B129" s="1">
        <v>46211</v>
      </c>
      <c r="C129" s="4">
        <v>55.6</v>
      </c>
      <c r="D129" s="4">
        <v>59.12</v>
      </c>
      <c r="E129" s="8">
        <f t="shared" si="3"/>
        <v>1.0633093525179855</v>
      </c>
      <c r="F129" s="9">
        <f t="shared" si="4"/>
        <v>1.0617652964879654</v>
      </c>
      <c r="G129" s="9">
        <f t="shared" si="5"/>
        <v>1.0598195971521724</v>
      </c>
      <c r="H129" s="4">
        <f>C129*F129</f>
        <v>59.034150484730873</v>
      </c>
      <c r="I129" s="4">
        <f>C129*G129</f>
        <v>58.925969601660789</v>
      </c>
      <c r="J129" s="11">
        <f>LN(H129/D129)</f>
        <v>-1.4531784118372037E-3</v>
      </c>
      <c r="K129" s="11">
        <f>LN(I129/D129)</f>
        <v>-3.2873731095027525E-3</v>
      </c>
    </row>
    <row r="130" spans="2:11" x14ac:dyDescent="0.3">
      <c r="B130" s="1">
        <v>46212</v>
      </c>
      <c r="C130" s="4">
        <v>54.82</v>
      </c>
      <c r="D130" s="4">
        <v>58.32</v>
      </c>
      <c r="E130" s="8">
        <f t="shared" si="3"/>
        <v>1.0638453119299525</v>
      </c>
      <c r="F130" s="9">
        <f t="shared" si="4"/>
        <v>1.0619953735498751</v>
      </c>
      <c r="G130" s="9">
        <f t="shared" si="5"/>
        <v>1.0598195971521724</v>
      </c>
      <c r="H130" s="4">
        <f>C130*F130</f>
        <v>58.218586378004147</v>
      </c>
      <c r="I130" s="4">
        <f>C130*G130</f>
        <v>58.099310315882093</v>
      </c>
      <c r="J130" s="11">
        <f>LN(H130/D130)</f>
        <v>-1.740430371554738E-3</v>
      </c>
      <c r="K130" s="11">
        <f>LN(I130/D130)</f>
        <v>-3.7912945518561768E-3</v>
      </c>
    </row>
    <row r="131" spans="2:11" x14ac:dyDescent="0.3">
      <c r="B131" s="1">
        <v>46213</v>
      </c>
      <c r="C131" s="4">
        <v>55.08</v>
      </c>
      <c r="D131" s="4">
        <v>58.6</v>
      </c>
      <c r="E131" s="8">
        <f t="shared" ref="E131:E163" si="6">D131/C131</f>
        <v>1.0639070442992011</v>
      </c>
      <c r="F131" s="9">
        <f t="shared" si="4"/>
        <v>1.0622636871382258</v>
      </c>
      <c r="G131" s="9">
        <f t="shared" si="5"/>
        <v>1.0598195971521724</v>
      </c>
      <c r="H131" s="4">
        <f>C131*F131</f>
        <v>58.509483887573474</v>
      </c>
      <c r="I131" s="4">
        <f>C131*G131</f>
        <v>58.374863411141654</v>
      </c>
      <c r="J131" s="11">
        <f>LN(H131/D131)</f>
        <v>-1.5458377485175266E-3</v>
      </c>
      <c r="K131" s="11">
        <f>LN(I131/D131)</f>
        <v>-3.8493204486061386E-3</v>
      </c>
    </row>
    <row r="132" spans="2:11" x14ac:dyDescent="0.3">
      <c r="B132" s="1">
        <v>46216</v>
      </c>
      <c r="C132" s="4">
        <v>56.74</v>
      </c>
      <c r="D132" s="4">
        <v>60.27</v>
      </c>
      <c r="E132" s="8">
        <f t="shared" si="6"/>
        <v>1.0622136059217484</v>
      </c>
      <c r="F132" s="9">
        <f t="shared" si="4"/>
        <v>1.0623894234567222</v>
      </c>
      <c r="G132" s="9">
        <f t="shared" si="5"/>
        <v>1.0598195971521724</v>
      </c>
      <c r="H132" s="4">
        <f>C132*F132</f>
        <v>60.279975886934416</v>
      </c>
      <c r="I132" s="4">
        <f>C132*G132</f>
        <v>60.134163942414268</v>
      </c>
      <c r="J132" s="11">
        <f>LN(H132/D132)</f>
        <v>1.6550624558473115E-4</v>
      </c>
      <c r="K132" s="11">
        <f>LN(I132/D132)</f>
        <v>-2.256335840340685E-3</v>
      </c>
    </row>
    <row r="133" spans="2:11" x14ac:dyDescent="0.3">
      <c r="B133" s="1">
        <v>46217</v>
      </c>
      <c r="C133" s="4">
        <v>56.95</v>
      </c>
      <c r="D133" s="4">
        <v>60.5</v>
      </c>
      <c r="E133" s="8">
        <f t="shared" si="6"/>
        <v>1.0623353819139596</v>
      </c>
      <c r="F133" s="9">
        <f t="shared" si="4"/>
        <v>1.0625174870789187</v>
      </c>
      <c r="G133" s="9">
        <f t="shared" si="5"/>
        <v>1.0598195971521724</v>
      </c>
      <c r="H133" s="4">
        <f>C133*F133</f>
        <v>60.510370889144426</v>
      </c>
      <c r="I133" s="4">
        <f>C133*G133</f>
        <v>60.356726057816225</v>
      </c>
      <c r="J133" s="11">
        <f>LN(H133/D133)</f>
        <v>1.714049646094952E-4</v>
      </c>
      <c r="K133" s="11">
        <f>LN(I133/D133)</f>
        <v>-2.3709728696977299E-3</v>
      </c>
    </row>
    <row r="134" spans="2:11" x14ac:dyDescent="0.3">
      <c r="B134" s="1">
        <v>46218</v>
      </c>
      <c r="C134" s="4">
        <v>56.5</v>
      </c>
      <c r="D134" s="4">
        <v>60.02</v>
      </c>
      <c r="E134" s="8">
        <f t="shared" si="6"/>
        <v>1.0623008849557523</v>
      </c>
      <c r="F134" s="9">
        <f t="shared" si="4"/>
        <v>1.0628602540989835</v>
      </c>
      <c r="G134" s="9">
        <f t="shared" si="5"/>
        <v>1.0598195971521724</v>
      </c>
      <c r="H134" s="4">
        <f>C134*F134</f>
        <v>60.05160435659257</v>
      </c>
      <c r="I134" s="4">
        <f>C134*G134</f>
        <v>59.879807239097744</v>
      </c>
      <c r="J134" s="11">
        <f>LN(H134/D134)</f>
        <v>5.2642516924418644E-4</v>
      </c>
      <c r="K134" s="11">
        <f>LN(I134/D134)</f>
        <v>-2.3384995859190428E-3</v>
      </c>
    </row>
    <row r="135" spans="2:11" x14ac:dyDescent="0.3">
      <c r="B135" s="1">
        <v>46219</v>
      </c>
      <c r="C135" s="4">
        <v>57.02</v>
      </c>
      <c r="D135" s="4">
        <v>60.53</v>
      </c>
      <c r="E135" s="8">
        <f t="shared" si="6"/>
        <v>1.0615573482988425</v>
      </c>
      <c r="F135" s="9">
        <f t="shared" si="4"/>
        <v>1.0632195521497638</v>
      </c>
      <c r="G135" s="9">
        <f t="shared" si="5"/>
        <v>1.0598195971521724</v>
      </c>
      <c r="H135" s="4">
        <f>C135*F135</f>
        <v>60.624778863579536</v>
      </c>
      <c r="I135" s="4">
        <f>C135*G135</f>
        <v>60.430913429616879</v>
      </c>
      <c r="J135" s="11">
        <f>LN(H135/D135)</f>
        <v>1.5645917363397237E-3</v>
      </c>
      <c r="K135" s="11">
        <f>LN(I135/D135)</f>
        <v>-1.6383241451629941E-3</v>
      </c>
    </row>
    <row r="136" spans="2:11" x14ac:dyDescent="0.3">
      <c r="B136" s="1">
        <v>46220</v>
      </c>
      <c r="C136" s="4">
        <v>57.68</v>
      </c>
      <c r="D136" s="4">
        <v>61.25</v>
      </c>
      <c r="E136" s="8">
        <f t="shared" si="6"/>
        <v>1.0618932038834952</v>
      </c>
      <c r="F136" s="9">
        <f t="shared" si="4"/>
        <v>1.0635338940706627</v>
      </c>
      <c r="G136" s="9">
        <f t="shared" si="5"/>
        <v>1.0598195971521724</v>
      </c>
      <c r="H136" s="4">
        <f>C136*F136</f>
        <v>61.34463500999582</v>
      </c>
      <c r="I136" s="4">
        <f>C136*G136</f>
        <v>61.13039436373731</v>
      </c>
      <c r="J136" s="11">
        <f>LN(H136/D136)</f>
        <v>1.543869008382456E-3</v>
      </c>
      <c r="K136" s="11">
        <f>LN(I136/D136)</f>
        <v>-1.9546541742358828E-3</v>
      </c>
    </row>
    <row r="137" spans="2:11" x14ac:dyDescent="0.3">
      <c r="B137" s="1">
        <v>46223</v>
      </c>
      <c r="C137" s="4">
        <v>57.94</v>
      </c>
      <c r="D137" s="4">
        <v>61.53</v>
      </c>
      <c r="E137" s="8">
        <f t="shared" si="6"/>
        <v>1.0619606489471869</v>
      </c>
      <c r="F137" s="9">
        <f t="shared" si="4"/>
        <v>1.0635548482215742</v>
      </c>
      <c r="G137" s="9">
        <f t="shared" si="5"/>
        <v>1.0598195971521724</v>
      </c>
      <c r="H137" s="4">
        <f>C137*F137</f>
        <v>61.622367905958008</v>
      </c>
      <c r="I137" s="4">
        <f>C137*G137</f>
        <v>61.40594745899687</v>
      </c>
      <c r="J137" s="11">
        <f>LN(H137/D137)</f>
        <v>1.500059233110177E-3</v>
      </c>
      <c r="K137" s="11">
        <f>LN(I137/D137)</f>
        <v>-2.0181661372878101E-3</v>
      </c>
    </row>
    <row r="138" spans="2:11" x14ac:dyDescent="0.3">
      <c r="B138" s="1">
        <v>46224</v>
      </c>
      <c r="C138" s="4">
        <v>58.5</v>
      </c>
      <c r="D138" s="4">
        <v>62.18</v>
      </c>
      <c r="E138" s="8">
        <f t="shared" si="6"/>
        <v>1.0629059829059828</v>
      </c>
      <c r="F138" s="9">
        <f t="shared" si="4"/>
        <v>1.0634907504005393</v>
      </c>
      <c r="G138" s="9">
        <f t="shared" si="5"/>
        <v>1.0598195971521724</v>
      </c>
      <c r="H138" s="4">
        <f>C138*F138</f>
        <v>62.214208898431551</v>
      </c>
      <c r="I138" s="4">
        <f>C138*G138</f>
        <v>61.999446433402085</v>
      </c>
      <c r="J138" s="11">
        <f>LN(H138/D138)</f>
        <v>5.5000790787395064E-4</v>
      </c>
      <c r="K138" s="11">
        <f>LN(I138/D138)</f>
        <v>-2.9079481188901612E-3</v>
      </c>
    </row>
    <row r="139" spans="2:11" x14ac:dyDescent="0.3">
      <c r="B139" s="1">
        <v>46225</v>
      </c>
      <c r="C139" s="4">
        <v>59.2</v>
      </c>
      <c r="D139" s="4">
        <v>62.94</v>
      </c>
      <c r="E139" s="8">
        <f t="shared" si="6"/>
        <v>1.0631756756756756</v>
      </c>
      <c r="F139" s="9">
        <f t="shared" si="4"/>
        <v>1.0635279770781902</v>
      </c>
      <c r="G139" s="9">
        <f t="shared" si="5"/>
        <v>1.0598195971521724</v>
      </c>
      <c r="H139" s="4">
        <f>C139*F139</f>
        <v>62.960856243028864</v>
      </c>
      <c r="I139" s="4">
        <f>C139*G139</f>
        <v>62.741320151408608</v>
      </c>
      <c r="J139" s="11">
        <f>LN(H139/D139)</f>
        <v>3.3131217438882982E-4</v>
      </c>
      <c r="K139" s="11">
        <f>LN(I139/D139)</f>
        <v>-3.1616474723939404E-3</v>
      </c>
    </row>
    <row r="140" spans="2:11" x14ac:dyDescent="0.3">
      <c r="B140" s="1">
        <v>46226</v>
      </c>
      <c r="C140" s="4">
        <v>59.38</v>
      </c>
      <c r="D140" s="4">
        <v>63.23</v>
      </c>
      <c r="E140" s="8">
        <f t="shared" si="6"/>
        <v>1.0648366453351297</v>
      </c>
      <c r="F140" s="9">
        <f t="shared" si="4"/>
        <v>1.0636523928805077</v>
      </c>
      <c r="G140" s="9">
        <f t="shared" si="5"/>
        <v>1.0598195971521724</v>
      </c>
      <c r="H140" s="4">
        <f>C140*F140</f>
        <v>63.159679089244548</v>
      </c>
      <c r="I140" s="4">
        <f>C140*G140</f>
        <v>62.932087678896004</v>
      </c>
      <c r="J140" s="11">
        <f>LN(H140/D140)</f>
        <v>-1.1127636135857273E-3</v>
      </c>
      <c r="K140" s="11">
        <f>LN(I140/D140)</f>
        <v>-4.7227004610012032E-3</v>
      </c>
    </row>
    <row r="141" spans="2:11" x14ac:dyDescent="0.3">
      <c r="B141" s="1">
        <v>46227</v>
      </c>
      <c r="C141" s="4">
        <v>59.62</v>
      </c>
      <c r="D141" s="4">
        <v>63.35</v>
      </c>
      <c r="E141" s="8">
        <f t="shared" si="6"/>
        <v>1.0625628983562563</v>
      </c>
      <c r="F141" s="9">
        <f t="shared" si="4"/>
        <v>1.0636283839806091</v>
      </c>
      <c r="G141" s="9">
        <f t="shared" si="5"/>
        <v>1.0598195971521724</v>
      </c>
      <c r="H141" s="4">
        <f>C141*F141</f>
        <v>63.413524252923914</v>
      </c>
      <c r="I141" s="4">
        <f>C141*G141</f>
        <v>63.186444382212521</v>
      </c>
      <c r="J141" s="11">
        <f>LN(H141/D141)</f>
        <v>1.002248219522164E-3</v>
      </c>
      <c r="K141" s="11">
        <f>LN(I141/D141)</f>
        <v>-2.5851162433159496E-3</v>
      </c>
    </row>
    <row r="142" spans="2:11" x14ac:dyDescent="0.3">
      <c r="B142" s="1">
        <v>46230</v>
      </c>
      <c r="C142" s="4">
        <v>58.36</v>
      </c>
      <c r="D142" s="4">
        <v>62.04</v>
      </c>
      <c r="E142" s="8">
        <f t="shared" si="6"/>
        <v>1.0630568882796436</v>
      </c>
      <c r="F142" s="9">
        <f t="shared" si="4"/>
        <v>1.0636422982311442</v>
      </c>
      <c r="G142" s="9">
        <f t="shared" si="5"/>
        <v>1.0598195971521724</v>
      </c>
      <c r="H142" s="4">
        <f>C142*F142</f>
        <v>62.074164524769571</v>
      </c>
      <c r="I142" s="4">
        <f>C142*G142</f>
        <v>61.851071689800783</v>
      </c>
      <c r="J142" s="11">
        <f>LN(H142/D142)</f>
        <v>5.5053386957550792E-4</v>
      </c>
      <c r="K142" s="11">
        <f>LN(I142/D142)</f>
        <v>-3.0499123798463359E-3</v>
      </c>
    </row>
    <row r="143" spans="2:11" x14ac:dyDescent="0.3">
      <c r="B143" s="1">
        <v>46231</v>
      </c>
      <c r="C143" s="4">
        <v>57.57</v>
      </c>
      <c r="D143" s="4">
        <v>61.1</v>
      </c>
      <c r="E143" s="8">
        <f t="shared" si="6"/>
        <v>1.0613166579815876</v>
      </c>
      <c r="F143" s="9">
        <f t="shared" si="4"/>
        <v>1.0635446372892381</v>
      </c>
      <c r="G143" s="9">
        <f t="shared" si="5"/>
        <v>1.0598195971521724</v>
      </c>
      <c r="H143" s="4">
        <f>C143*F143</f>
        <v>61.22826476874144</v>
      </c>
      <c r="I143" s="4">
        <f>C143*G143</f>
        <v>61.013814208050569</v>
      </c>
      <c r="J143" s="11">
        <f>LN(H143/D143)</f>
        <v>2.0970593507444106E-3</v>
      </c>
      <c r="K143" s="11">
        <f>LN(I143/D143)</f>
        <v>-1.4115652159246391E-3</v>
      </c>
    </row>
    <row r="144" spans="2:11" x14ac:dyDescent="0.3">
      <c r="B144" s="1">
        <v>46232</v>
      </c>
      <c r="C144" s="4">
        <v>58.65</v>
      </c>
      <c r="D144" s="4">
        <v>62.24</v>
      </c>
      <c r="E144" s="8">
        <f t="shared" si="6"/>
        <v>1.0612105711849957</v>
      </c>
      <c r="F144" s="9">
        <f t="shared" si="4"/>
        <v>1.063328946680723</v>
      </c>
      <c r="G144" s="9">
        <f t="shared" si="5"/>
        <v>1.0598195971521724</v>
      </c>
      <c r="H144" s="4">
        <f>C144*F144</f>
        <v>62.3642427228244</v>
      </c>
      <c r="I144" s="4">
        <f>C144*G144</f>
        <v>62.158419372974912</v>
      </c>
      <c r="J144" s="11">
        <f>LN(H144/D144)</f>
        <v>1.9941979708518729E-3</v>
      </c>
      <c r="K144" s="11">
        <f>LN(I144/D144)</f>
        <v>-1.3116024967449748E-3</v>
      </c>
    </row>
    <row r="145" spans="2:11" x14ac:dyDescent="0.3">
      <c r="B145" s="1">
        <v>46233</v>
      </c>
      <c r="C145" s="4">
        <v>58.96</v>
      </c>
      <c r="D145" s="4">
        <v>62.56</v>
      </c>
      <c r="E145" s="8">
        <f t="shared" si="6"/>
        <v>1.0610583446404342</v>
      </c>
      <c r="F145" s="9">
        <f t="shared" si="4"/>
        <v>1.0630870333882227</v>
      </c>
      <c r="G145" s="9">
        <f t="shared" si="5"/>
        <v>1.0598195971521724</v>
      </c>
      <c r="H145" s="4">
        <f>C145*F145</f>
        <v>62.679611488569613</v>
      </c>
      <c r="I145" s="4">
        <f>C145*G145</f>
        <v>62.486963448092091</v>
      </c>
      <c r="J145" s="11">
        <f>LN(H145/D145)</f>
        <v>1.910122899863746E-3</v>
      </c>
      <c r="K145" s="11">
        <f>LN(I145/D145)</f>
        <v>-1.1681460820677117E-3</v>
      </c>
    </row>
    <row r="146" spans="2:11" x14ac:dyDescent="0.3">
      <c r="B146" s="1">
        <v>46234</v>
      </c>
      <c r="C146" s="4">
        <v>59.55</v>
      </c>
      <c r="D146" s="4">
        <v>63.14</v>
      </c>
      <c r="E146" s="8">
        <f t="shared" si="6"/>
        <v>1.060285474391268</v>
      </c>
      <c r="F146" s="9">
        <f t="shared" si="4"/>
        <v>1.0627848847101915</v>
      </c>
      <c r="G146" s="9">
        <f t="shared" si="5"/>
        <v>1.0598195971521724</v>
      </c>
      <c r="H146" s="4">
        <f>C146*F146</f>
        <v>63.2888398844919</v>
      </c>
      <c r="I146" s="4">
        <f>C146*G146</f>
        <v>63.112257010411867</v>
      </c>
      <c r="J146" s="11">
        <f>LN(H146/D146)</f>
        <v>2.3545253343983719E-3</v>
      </c>
      <c r="K146" s="11">
        <f>LN(I146/D146)</f>
        <v>-4.3948505462970374E-4</v>
      </c>
    </row>
    <row r="147" spans="2:11" x14ac:dyDescent="0.3">
      <c r="B147" s="1">
        <v>46237</v>
      </c>
      <c r="C147" s="4">
        <v>58.79</v>
      </c>
      <c r="D147" s="4">
        <v>62.47</v>
      </c>
      <c r="E147" s="8">
        <f t="shared" si="6"/>
        <v>1.0625956795373364</v>
      </c>
      <c r="F147" s="9">
        <f t="shared" si="4"/>
        <v>1.06258321752952</v>
      </c>
      <c r="G147" s="9">
        <f t="shared" si="5"/>
        <v>1.0598195971521724</v>
      </c>
      <c r="H147" s="4">
        <f>C147*F147</f>
        <v>62.469267358560479</v>
      </c>
      <c r="I147" s="4">
        <f>C147*G147</f>
        <v>62.306794116576214</v>
      </c>
      <c r="J147" s="11">
        <f>LN(H147/D147)</f>
        <v>-1.1727961192922325E-5</v>
      </c>
      <c r="K147" s="11">
        <f>LN(I147/D147)</f>
        <v>-2.6159668174082209E-3</v>
      </c>
    </row>
    <row r="148" spans="2:11" x14ac:dyDescent="0.3">
      <c r="B148" s="1">
        <v>46238</v>
      </c>
      <c r="C148" s="4">
        <v>58.52</v>
      </c>
      <c r="D148" s="4">
        <v>62.25</v>
      </c>
      <c r="E148" s="8">
        <f t="shared" si="6"/>
        <v>1.063738892686261</v>
      </c>
      <c r="F148" s="9">
        <f t="shared" si="4"/>
        <v>1.0625033246821345</v>
      </c>
      <c r="G148" s="9">
        <f t="shared" si="5"/>
        <v>1.0598195971521724</v>
      </c>
      <c r="H148" s="4">
        <f>C148*F148</f>
        <v>62.177694560398514</v>
      </c>
      <c r="I148" s="4">
        <f>C148*G148</f>
        <v>62.020642825345135</v>
      </c>
      <c r="J148" s="11">
        <f>LN(H148/D148)</f>
        <v>-1.1622082687570737E-3</v>
      </c>
      <c r="K148" s="11">
        <f>LN(I148/D148)</f>
        <v>-3.6912569189866185E-3</v>
      </c>
    </row>
    <row r="149" spans="2:11" x14ac:dyDescent="0.3">
      <c r="B149" s="1">
        <v>46239</v>
      </c>
      <c r="C149" s="4">
        <v>57.31</v>
      </c>
      <c r="D149" s="4">
        <v>60.91</v>
      </c>
      <c r="E149" s="8">
        <f t="shared" si="6"/>
        <v>1.0628162624323851</v>
      </c>
      <c r="F149" s="9">
        <f t="shared" ref="F149:F163" si="7">AVERAGE(E130:E149)</f>
        <v>1.0624786701778546</v>
      </c>
      <c r="G149" s="9">
        <f t="shared" si="5"/>
        <v>1.0598195971521724</v>
      </c>
      <c r="H149" s="4">
        <f>C149*F149</f>
        <v>60.890652587892845</v>
      </c>
      <c r="I149" s="4">
        <f>C149*G149</f>
        <v>60.738261112791008</v>
      </c>
      <c r="J149" s="11">
        <f>LN(H149/D149)</f>
        <v>-3.1768979654543423E-4</v>
      </c>
      <c r="K149" s="11">
        <f>LN(I149/D149)</f>
        <v>-2.8235340108402371E-3</v>
      </c>
    </row>
    <row r="150" spans="2:11" x14ac:dyDescent="0.3">
      <c r="B150" s="1">
        <v>46240</v>
      </c>
      <c r="C150" s="4">
        <v>58.16</v>
      </c>
      <c r="D150" s="4">
        <v>61.91</v>
      </c>
      <c r="E150" s="8">
        <f t="shared" si="6"/>
        <v>1.0644773039889959</v>
      </c>
      <c r="F150" s="9">
        <f t="shared" si="7"/>
        <v>1.0625102697808066</v>
      </c>
      <c r="G150" s="9">
        <f t="shared" ref="G150:G172" si="8">G149</f>
        <v>1.0598195971521724</v>
      </c>
      <c r="H150" s="4">
        <f>C150*F150</f>
        <v>61.79559729045171</v>
      </c>
      <c r="I150" s="4">
        <f>C150*G150</f>
        <v>61.639107770370344</v>
      </c>
      <c r="J150" s="11">
        <f>LN(H150/D150)</f>
        <v>-1.8495968601010499E-3</v>
      </c>
      <c r="K150" s="11">
        <f>LN(I150/D150)</f>
        <v>-4.3851820319700452E-3</v>
      </c>
    </row>
    <row r="151" spans="2:11" x14ac:dyDescent="0.3">
      <c r="B151" s="1">
        <v>46241</v>
      </c>
      <c r="C151" s="4">
        <v>57.5</v>
      </c>
      <c r="D151" s="4">
        <v>61.23</v>
      </c>
      <c r="E151" s="8">
        <f t="shared" si="6"/>
        <v>1.0648695652173912</v>
      </c>
      <c r="F151" s="9">
        <f t="shared" si="7"/>
        <v>1.0625583958267164</v>
      </c>
      <c r="G151" s="9">
        <f t="shared" si="8"/>
        <v>1.0598195971521724</v>
      </c>
      <c r="H151" s="4">
        <f>C151*F151</f>
        <v>61.097107760036195</v>
      </c>
      <c r="I151" s="4">
        <f>C151*G151</f>
        <v>60.939626836249914</v>
      </c>
      <c r="J151" s="11">
        <f>LN(H151/D151)</f>
        <v>-2.1727366023256527E-3</v>
      </c>
      <c r="K151" s="11">
        <f>LN(I151/D151)</f>
        <v>-4.7536154126515094E-3</v>
      </c>
    </row>
    <row r="152" spans="2:11" x14ac:dyDescent="0.3">
      <c r="B152" s="1">
        <v>46244</v>
      </c>
      <c r="C152" s="4">
        <v>60.18</v>
      </c>
      <c r="D152" s="4">
        <v>63.99</v>
      </c>
      <c r="E152" s="8">
        <f t="shared" si="6"/>
        <v>1.0633100697906281</v>
      </c>
      <c r="F152" s="9">
        <f t="shared" si="7"/>
        <v>1.0626132190201605</v>
      </c>
      <c r="G152" s="9">
        <f t="shared" si="8"/>
        <v>1.0598195971521724</v>
      </c>
      <c r="H152" s="4">
        <f>C152*F152</f>
        <v>63.948063520633255</v>
      </c>
      <c r="I152" s="4">
        <f>C152*G152</f>
        <v>63.779943356617736</v>
      </c>
      <c r="J152" s="11">
        <f>LN(H152/D152)</f>
        <v>-6.5557473225210164E-4</v>
      </c>
      <c r="K152" s="11">
        <f>LN(I152/D152)</f>
        <v>-3.2880476755630214E-3</v>
      </c>
    </row>
    <row r="153" spans="2:11" x14ac:dyDescent="0.3">
      <c r="B153" s="1">
        <v>46245</v>
      </c>
      <c r="C153" s="4">
        <v>60.93</v>
      </c>
      <c r="D153" s="4">
        <v>64.67</v>
      </c>
      <c r="E153" s="8">
        <f t="shared" si="6"/>
        <v>1.0613819136714262</v>
      </c>
      <c r="F153" s="9">
        <f t="shared" si="7"/>
        <v>1.0625655456080336</v>
      </c>
      <c r="G153" s="9">
        <f t="shared" si="8"/>
        <v>1.0598195971521724</v>
      </c>
      <c r="H153" s="4">
        <f>C153*F153</f>
        <v>64.742118693897481</v>
      </c>
      <c r="I153" s="4">
        <f>C153*G153</f>
        <v>64.574808054481863</v>
      </c>
      <c r="J153" s="11">
        <f>LN(H153/D153)</f>
        <v>1.1145586996192305E-3</v>
      </c>
      <c r="K153" s="11">
        <f>LN(I153/D153)</f>
        <v>-1.4730489241917444E-3</v>
      </c>
    </row>
    <row r="154" spans="2:11" x14ac:dyDescent="0.3">
      <c r="B154" s="1">
        <v>46246</v>
      </c>
      <c r="C154" s="4">
        <v>61.03</v>
      </c>
      <c r="D154" s="4">
        <v>64.8</v>
      </c>
      <c r="E154" s="8">
        <f t="shared" si="6"/>
        <v>1.0617728985744714</v>
      </c>
      <c r="F154" s="9">
        <f t="shared" si="7"/>
        <v>1.0625391462889697</v>
      </c>
      <c r="G154" s="9">
        <f t="shared" si="8"/>
        <v>1.0598195971521724</v>
      </c>
      <c r="H154" s="4">
        <f>C154*F154</f>
        <v>64.846764098015825</v>
      </c>
      <c r="I154" s="4">
        <f>C154*G154</f>
        <v>64.680790014197086</v>
      </c>
      <c r="J154" s="11">
        <f>LN(H154/D154)</f>
        <v>7.2140790199110591E-4</v>
      </c>
      <c r="K154" s="11">
        <f>LN(I154/D154)</f>
        <v>-1.8413545279185246E-3</v>
      </c>
    </row>
    <row r="155" spans="2:11" x14ac:dyDescent="0.3">
      <c r="B155" s="1">
        <v>46247</v>
      </c>
      <c r="C155" s="4">
        <v>61.06</v>
      </c>
      <c r="D155" s="4">
        <v>64.77</v>
      </c>
      <c r="E155" s="8">
        <f t="shared" si="6"/>
        <v>1.0607599082869308</v>
      </c>
      <c r="F155" s="9">
        <f t="shared" si="7"/>
        <v>1.0624992742883739</v>
      </c>
      <c r="G155" s="9">
        <f t="shared" si="8"/>
        <v>1.0598195971521724</v>
      </c>
      <c r="H155" s="4">
        <f>C155*F155</f>
        <v>64.876205688048117</v>
      </c>
      <c r="I155" s="4">
        <f>C155*G155</f>
        <v>64.712584602111647</v>
      </c>
      <c r="J155" s="11">
        <f>LN(H155/D155)</f>
        <v>1.638392905401038E-3</v>
      </c>
      <c r="K155" s="11">
        <f>LN(I155/D155)</f>
        <v>-8.8684361418705073E-4</v>
      </c>
    </row>
    <row r="156" spans="2:11" x14ac:dyDescent="0.3">
      <c r="B156" s="1">
        <v>46248</v>
      </c>
      <c r="C156" s="4">
        <v>61.91</v>
      </c>
      <c r="D156" s="4">
        <v>65.66</v>
      </c>
      <c r="E156" s="8">
        <f t="shared" si="6"/>
        <v>1.0605717977709579</v>
      </c>
      <c r="F156" s="9">
        <f t="shared" si="7"/>
        <v>1.0624332039827471</v>
      </c>
      <c r="G156" s="9">
        <f t="shared" si="8"/>
        <v>1.0598195971521724</v>
      </c>
      <c r="H156" s="4">
        <f>C156*F156</f>
        <v>65.775239658571863</v>
      </c>
      <c r="I156" s="4">
        <f>C156*G156</f>
        <v>65.613431259690998</v>
      </c>
      <c r="J156" s="11">
        <f>LN(H156/D156)</f>
        <v>1.7535584581589224E-3</v>
      </c>
      <c r="K156" s="11">
        <f>LN(I156/D156)</f>
        <v>-7.0949226839899871E-4</v>
      </c>
    </row>
    <row r="157" spans="2:11" x14ac:dyDescent="0.3">
      <c r="B157" s="1">
        <v>46251</v>
      </c>
      <c r="C157" s="4">
        <v>62.58</v>
      </c>
      <c r="D157" s="4">
        <v>66.260000000000005</v>
      </c>
      <c r="E157" s="8">
        <f t="shared" si="6"/>
        <v>1.0588047299456695</v>
      </c>
      <c r="F157" s="9">
        <f t="shared" si="7"/>
        <v>1.0622754080326713</v>
      </c>
      <c r="G157" s="9">
        <f t="shared" si="8"/>
        <v>1.0598195971521724</v>
      </c>
      <c r="H157" s="4">
        <f>C157*F157</f>
        <v>66.47719503468457</v>
      </c>
      <c r="I157" s="4">
        <f>C157*G157</f>
        <v>66.323510389782953</v>
      </c>
      <c r="J157" s="11">
        <f>LN(H157/D157)</f>
        <v>3.2725601662445267E-3</v>
      </c>
      <c r="K157" s="11">
        <f>LN(I157/D157)</f>
        <v>9.5804364289292954E-4</v>
      </c>
    </row>
    <row r="158" spans="2:11" x14ac:dyDescent="0.3">
      <c r="B158" s="1">
        <v>46252</v>
      </c>
      <c r="C158" s="4">
        <v>63.68</v>
      </c>
      <c r="D158" s="4">
        <v>67.31</v>
      </c>
      <c r="E158" s="8">
        <f t="shared" si="6"/>
        <v>1.0570037688442211</v>
      </c>
      <c r="F158" s="9">
        <f t="shared" si="7"/>
        <v>1.0619802973295833</v>
      </c>
      <c r="G158" s="9">
        <f t="shared" si="8"/>
        <v>1.0598195971521724</v>
      </c>
      <c r="H158" s="4">
        <f>C158*F158</f>
        <v>67.62690533394786</v>
      </c>
      <c r="I158" s="4">
        <f>C158*G158</f>
        <v>67.489311946650346</v>
      </c>
      <c r="J158" s="11">
        <f>LN(H158/D158)</f>
        <v>4.6970977407998693E-3</v>
      </c>
      <c r="K158" s="11">
        <f>LN(I158/D158)</f>
        <v>2.6604297874126236E-3</v>
      </c>
    </row>
    <row r="159" spans="2:11" x14ac:dyDescent="0.3">
      <c r="B159" s="1">
        <v>46253</v>
      </c>
      <c r="C159" s="4">
        <v>63.58</v>
      </c>
      <c r="D159" s="4">
        <v>67.290000000000006</v>
      </c>
      <c r="E159" s="8">
        <f t="shared" si="6"/>
        <v>1.058351682919157</v>
      </c>
      <c r="F159" s="9">
        <f t="shared" si="7"/>
        <v>1.0617390976917573</v>
      </c>
      <c r="G159" s="9">
        <f t="shared" si="8"/>
        <v>1.0598195971521724</v>
      </c>
      <c r="H159" s="4">
        <f>C159*F159</f>
        <v>67.505371831241931</v>
      </c>
      <c r="I159" s="4">
        <f>C159*G159</f>
        <v>67.383329986935124</v>
      </c>
      <c r="J159" s="11">
        <f>LN(H159/D159)</f>
        <v>3.1955401967891884E-3</v>
      </c>
      <c r="K159" s="11">
        <f>LN(I159/D159)</f>
        <v>1.386020556336615E-3</v>
      </c>
    </row>
    <row r="160" spans="2:11" x14ac:dyDescent="0.3">
      <c r="B160" s="1">
        <v>46254</v>
      </c>
      <c r="C160" s="4">
        <v>63.75</v>
      </c>
      <c r="D160" s="4">
        <v>67.48</v>
      </c>
      <c r="E160" s="8">
        <f t="shared" si="6"/>
        <v>1.0585098039215688</v>
      </c>
      <c r="F160" s="9">
        <f t="shared" si="7"/>
        <v>1.0614227556210794</v>
      </c>
      <c r="G160" s="9">
        <f t="shared" si="8"/>
        <v>1.0598195971521724</v>
      </c>
      <c r="H160" s="4">
        <f>C160*F160</f>
        <v>67.665700670843805</v>
      </c>
      <c r="I160" s="4">
        <f>C160*G160</f>
        <v>67.563499318450994</v>
      </c>
      <c r="J160" s="11">
        <f>LN(H160/D160)</f>
        <v>2.7481567936720303E-3</v>
      </c>
      <c r="K160" s="11">
        <f>LN(I160/D160)</f>
        <v>1.236628634674644E-3</v>
      </c>
    </row>
    <row r="161" spans="2:11" x14ac:dyDescent="0.3">
      <c r="B161" s="1">
        <v>46255</v>
      </c>
      <c r="C161" s="4">
        <v>63.64</v>
      </c>
      <c r="D161" s="4">
        <v>67.36</v>
      </c>
      <c r="E161" s="8">
        <f t="shared" si="6"/>
        <v>1.0584538026398491</v>
      </c>
      <c r="F161" s="9">
        <f t="shared" si="7"/>
        <v>1.061217300835259</v>
      </c>
      <c r="G161" s="9">
        <f t="shared" si="8"/>
        <v>1.0598195971521724</v>
      </c>
      <c r="H161" s="4">
        <f>C161*F161</f>
        <v>67.53586902515589</v>
      </c>
      <c r="I161" s="4">
        <f>C161*G161</f>
        <v>67.44691916276426</v>
      </c>
      <c r="J161" s="11">
        <f>LN(H161/D161)</f>
        <v>2.6074797704416404E-3</v>
      </c>
      <c r="K161" s="11">
        <f>LN(I161/D161)</f>
        <v>1.2895358094217636E-3</v>
      </c>
    </row>
    <row r="162" spans="2:11" x14ac:dyDescent="0.3">
      <c r="B162" s="1">
        <v>46258</v>
      </c>
      <c r="C162" s="4">
        <v>63.11</v>
      </c>
      <c r="D162" s="4">
        <v>66.81</v>
      </c>
      <c r="E162" s="8">
        <f t="shared" si="6"/>
        <v>1.05862779274283</v>
      </c>
      <c r="F162" s="9">
        <f t="shared" si="7"/>
        <v>1.0609958460584183</v>
      </c>
      <c r="G162" s="9">
        <f t="shared" si="8"/>
        <v>1.0598195971521724</v>
      </c>
      <c r="H162" s="4">
        <f>C162*F162</f>
        <v>66.959447844746776</v>
      </c>
      <c r="I162" s="4">
        <f>C162*G162</f>
        <v>66.8852147762736</v>
      </c>
      <c r="J162" s="11">
        <f>LN(H162/D162)</f>
        <v>2.2344101636398799E-3</v>
      </c>
      <c r="K162" s="11">
        <f>LN(I162/D162)</f>
        <v>1.1251679326689935E-3</v>
      </c>
    </row>
    <row r="163" spans="2:11" x14ac:dyDescent="0.3">
      <c r="B163" s="1">
        <v>46259</v>
      </c>
      <c r="C163" s="4">
        <v>62.06</v>
      </c>
      <c r="D163" s="4">
        <v>65.73</v>
      </c>
      <c r="E163" s="8">
        <f t="shared" si="6"/>
        <v>1.0591363196906221</v>
      </c>
      <c r="F163" s="9">
        <f t="shared" si="7"/>
        <v>1.06088682914387</v>
      </c>
      <c r="G163" s="9">
        <f t="shared" si="8"/>
        <v>1.0598195971521724</v>
      </c>
      <c r="H163" s="4">
        <f>C163*F163</f>
        <v>65.83863661666858</v>
      </c>
      <c r="I163" s="4">
        <f>C163*G163</f>
        <v>65.772404199263818</v>
      </c>
      <c r="J163" s="11">
        <f>LN(H163/D163)</f>
        <v>1.6514063556660684E-3</v>
      </c>
      <c r="K163" s="11">
        <f>LN(I163/D163)</f>
        <v>6.4491901865602593E-4</v>
      </c>
    </row>
    <row r="164" spans="2:11" x14ac:dyDescent="0.3">
      <c r="C164" s="4">
        <v>62.43</v>
      </c>
      <c r="D164" s="4">
        <v>66.05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Financials</vt:lpstr>
      <vt:lpstr>Utilities</vt:lpstr>
      <vt:lpstr>Tech</vt:lpstr>
      <vt:lpstr>Healthcare</vt:lpstr>
      <vt:lpstr>RE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2026-08-30T00:57:32Z</dcterms:created>
  <dcterms:modified xsi:type="dcterms:W3CDTF">2026-08-30T20:57:00Z</dcterms:modified>
</cp:coreProperties>
</file>