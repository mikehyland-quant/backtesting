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098CA80C-BD4F-4CC4-8F4B-A1A5A53D5C68}" xr6:coauthVersionLast="47" xr6:coauthVersionMax="47" xr10:uidLastSave="{00000000-0000-0000-0000-000000000000}"/>
  <bookViews>
    <workbookView xWindow="-108" yWindow="-108" windowWidth="23256" windowHeight="12456" xr2:uid="{05E7B20C-6A7F-4455-A275-6C2A7956E76C}"/>
  </bookViews>
  <sheets>
    <sheet name="BWX_IGOV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AT156" i="1"/>
  <c r="AS156" i="1"/>
  <c r="AI156" i="1"/>
  <c r="AH156" i="1"/>
  <c r="AD156" i="1"/>
  <c r="AC156" i="1"/>
  <c r="AT155" i="1"/>
  <c r="AS155" i="1"/>
  <c r="AI155" i="1"/>
  <c r="AH155" i="1"/>
  <c r="AD155" i="1"/>
  <c r="AC155" i="1"/>
  <c r="AT154" i="1"/>
  <c r="AS154" i="1"/>
  <c r="AI154" i="1"/>
  <c r="AH154" i="1"/>
  <c r="AK155" i="1" s="1"/>
  <c r="AD154" i="1"/>
  <c r="AC154" i="1"/>
  <c r="AT153" i="1"/>
  <c r="AS153" i="1"/>
  <c r="AV154" i="1" s="1"/>
  <c r="AU155" i="1" s="1"/>
  <c r="AI153" i="1"/>
  <c r="AH153" i="1"/>
  <c r="AD153" i="1"/>
  <c r="AC153" i="1"/>
  <c r="AT152" i="1"/>
  <c r="AS152" i="1"/>
  <c r="AV153" i="1" s="1"/>
  <c r="AX153" i="1" s="1"/>
  <c r="AK152" i="1"/>
  <c r="AI152" i="1"/>
  <c r="AH152" i="1"/>
  <c r="AD152" i="1"/>
  <c r="AC152" i="1"/>
  <c r="AT151" i="1"/>
  <c r="AS151" i="1"/>
  <c r="AI151" i="1"/>
  <c r="AH151" i="1"/>
  <c r="AD151" i="1"/>
  <c r="AC151" i="1"/>
  <c r="AT150" i="1"/>
  <c r="AS150" i="1"/>
  <c r="AI150" i="1"/>
  <c r="AH150" i="1"/>
  <c r="AK151" i="1" s="1"/>
  <c r="AD150" i="1"/>
  <c r="AC150" i="1"/>
  <c r="AT149" i="1"/>
  <c r="AS149" i="1"/>
  <c r="AI149" i="1"/>
  <c r="AH149" i="1"/>
  <c r="AD149" i="1"/>
  <c r="AC149" i="1"/>
  <c r="AT148" i="1"/>
  <c r="AS148" i="1"/>
  <c r="AI148" i="1"/>
  <c r="AH148" i="1"/>
  <c r="AD148" i="1"/>
  <c r="AC148" i="1"/>
  <c r="AT147" i="1"/>
  <c r="AS147" i="1"/>
  <c r="AI147" i="1"/>
  <c r="AH147" i="1"/>
  <c r="AK148" i="1" s="1"/>
  <c r="AD147" i="1"/>
  <c r="AC147" i="1"/>
  <c r="AT146" i="1"/>
  <c r="AS146" i="1"/>
  <c r="AL146" i="1"/>
  <c r="AN146" i="1" s="1"/>
  <c r="AJ146" i="1"/>
  <c r="AI146" i="1"/>
  <c r="AH146" i="1"/>
  <c r="AK147" i="1" s="1"/>
  <c r="AD146" i="1"/>
  <c r="AM146" i="1" s="1"/>
  <c r="AC146" i="1"/>
  <c r="AT145" i="1"/>
  <c r="AS145" i="1"/>
  <c r="AV146" i="1" s="1"/>
  <c r="AX146" i="1" s="1"/>
  <c r="AI145" i="1"/>
  <c r="AH145" i="1"/>
  <c r="AD145" i="1"/>
  <c r="AC145" i="1"/>
  <c r="AT144" i="1"/>
  <c r="AS144" i="1"/>
  <c r="AI144" i="1"/>
  <c r="AH144" i="1"/>
  <c r="AD144" i="1"/>
  <c r="AC144" i="1"/>
  <c r="AT143" i="1"/>
  <c r="AS143" i="1"/>
  <c r="AI143" i="1"/>
  <c r="AH143" i="1"/>
  <c r="AD143" i="1"/>
  <c r="AC143" i="1"/>
  <c r="AT142" i="1"/>
  <c r="AS142" i="1"/>
  <c r="AV143" i="1" s="1"/>
  <c r="AI142" i="1"/>
  <c r="AH142" i="1"/>
  <c r="AD142" i="1"/>
  <c r="AC142" i="1"/>
  <c r="AV141" i="1"/>
  <c r="AT141" i="1"/>
  <c r="AS141" i="1"/>
  <c r="AI141" i="1"/>
  <c r="AH141" i="1"/>
  <c r="AD141" i="1"/>
  <c r="AC141" i="1"/>
  <c r="AT140" i="1"/>
  <c r="AS140" i="1"/>
  <c r="AI140" i="1"/>
  <c r="AH140" i="1"/>
  <c r="AD140" i="1"/>
  <c r="AC140" i="1"/>
  <c r="AT139" i="1"/>
  <c r="AS139" i="1"/>
  <c r="AV140" i="1" s="1"/>
  <c r="AI139" i="1"/>
  <c r="AH139" i="1"/>
  <c r="AD139" i="1"/>
  <c r="AC139" i="1"/>
  <c r="AT138" i="1"/>
  <c r="AS138" i="1"/>
  <c r="AV139" i="1" s="1"/>
  <c r="AW139" i="1" s="1"/>
  <c r="AI138" i="1"/>
  <c r="AH138" i="1"/>
  <c r="AD138" i="1"/>
  <c r="AC138" i="1"/>
  <c r="AT137" i="1"/>
  <c r="AS137" i="1"/>
  <c r="AV138" i="1" s="1"/>
  <c r="AX138" i="1" s="1"/>
  <c r="AI137" i="1"/>
  <c r="AH137" i="1"/>
  <c r="AD137" i="1"/>
  <c r="AC137" i="1"/>
  <c r="AT136" i="1"/>
  <c r="AS136" i="1"/>
  <c r="AV137" i="1" s="1"/>
  <c r="AI136" i="1"/>
  <c r="AH136" i="1"/>
  <c r="AD136" i="1"/>
  <c r="AC136" i="1"/>
  <c r="AT135" i="1"/>
  <c r="AS135" i="1"/>
  <c r="AV136" i="1" s="1"/>
  <c r="AU137" i="1" s="1"/>
  <c r="AI135" i="1"/>
  <c r="AH135" i="1"/>
  <c r="AD135" i="1"/>
  <c r="AC135" i="1"/>
  <c r="AT134" i="1"/>
  <c r="AS134" i="1"/>
  <c r="AV135" i="1" s="1"/>
  <c r="AI134" i="1"/>
  <c r="AH134" i="1"/>
  <c r="AD134" i="1"/>
  <c r="AC134" i="1"/>
  <c r="AT133" i="1"/>
  <c r="AS133" i="1"/>
  <c r="AV134" i="1" s="1"/>
  <c r="AI133" i="1"/>
  <c r="AH133" i="1"/>
  <c r="AD133" i="1"/>
  <c r="AC133" i="1"/>
  <c r="AT132" i="1"/>
  <c r="AS132" i="1"/>
  <c r="AV133" i="1" s="1"/>
  <c r="AX133" i="1" s="1"/>
  <c r="AI132" i="1"/>
  <c r="AH132" i="1"/>
  <c r="AD132" i="1"/>
  <c r="AC132" i="1"/>
  <c r="AT131" i="1"/>
  <c r="AS131" i="1"/>
  <c r="AI131" i="1"/>
  <c r="AH131" i="1"/>
  <c r="AD131" i="1"/>
  <c r="AC131" i="1"/>
  <c r="AT130" i="1"/>
  <c r="AS130" i="1"/>
  <c r="AI130" i="1"/>
  <c r="AH130" i="1"/>
  <c r="AD130" i="1"/>
  <c r="AC130" i="1"/>
  <c r="AT129" i="1"/>
  <c r="AS129" i="1"/>
  <c r="AV130" i="1" s="1"/>
  <c r="AW130" i="1" s="1"/>
  <c r="AI129" i="1"/>
  <c r="AH129" i="1"/>
  <c r="AD129" i="1"/>
  <c r="AC129" i="1"/>
  <c r="AT128" i="1"/>
  <c r="AS128" i="1"/>
  <c r="AV129" i="1" s="1"/>
  <c r="AX129" i="1" s="1"/>
  <c r="AI128" i="1"/>
  <c r="AH128" i="1"/>
  <c r="AD128" i="1"/>
  <c r="AC128" i="1"/>
  <c r="AT127" i="1"/>
  <c r="AS127" i="1"/>
  <c r="AI127" i="1"/>
  <c r="AH127" i="1"/>
  <c r="AD127" i="1"/>
  <c r="AC127" i="1"/>
  <c r="AT126" i="1"/>
  <c r="AS126" i="1"/>
  <c r="AV127" i="1" s="1"/>
  <c r="AU128" i="1" s="1"/>
  <c r="AI126" i="1"/>
  <c r="AH126" i="1"/>
  <c r="AD126" i="1"/>
  <c r="AC126" i="1"/>
  <c r="AT125" i="1"/>
  <c r="AS125" i="1"/>
  <c r="AV126" i="1" s="1"/>
  <c r="AI125" i="1"/>
  <c r="AH125" i="1"/>
  <c r="AD125" i="1"/>
  <c r="AC125" i="1"/>
  <c r="AT124" i="1"/>
  <c r="AS124" i="1"/>
  <c r="AI124" i="1"/>
  <c r="AH124" i="1"/>
  <c r="AK125" i="1" s="1"/>
  <c r="AD124" i="1"/>
  <c r="AC124" i="1"/>
  <c r="AT123" i="1"/>
  <c r="AS123" i="1"/>
  <c r="AI123" i="1"/>
  <c r="AH123" i="1"/>
  <c r="AD123" i="1"/>
  <c r="AC123" i="1"/>
  <c r="AT122" i="1"/>
  <c r="AS122" i="1"/>
  <c r="AV123" i="1" s="1"/>
  <c r="AX123" i="1" s="1"/>
  <c r="AI122" i="1"/>
  <c r="AH122" i="1"/>
  <c r="AD122" i="1"/>
  <c r="AC122" i="1"/>
  <c r="AT121" i="1"/>
  <c r="AS121" i="1"/>
  <c r="AI121" i="1"/>
  <c r="AH121" i="1"/>
  <c r="AD121" i="1"/>
  <c r="AC121" i="1"/>
  <c r="AT120" i="1"/>
  <c r="AS120" i="1"/>
  <c r="AI120" i="1"/>
  <c r="AH120" i="1"/>
  <c r="AD120" i="1"/>
  <c r="AC120" i="1"/>
  <c r="AT119" i="1"/>
  <c r="AS119" i="1"/>
  <c r="AV120" i="1" s="1"/>
  <c r="AI119" i="1"/>
  <c r="AH119" i="1"/>
  <c r="AD119" i="1"/>
  <c r="AC119" i="1"/>
  <c r="AT118" i="1"/>
  <c r="AS118" i="1"/>
  <c r="AV119" i="1" s="1"/>
  <c r="AX119" i="1" s="1"/>
  <c r="AI118" i="1"/>
  <c r="AH118" i="1"/>
  <c r="AD118" i="1"/>
  <c r="AC118" i="1"/>
  <c r="AT117" i="1"/>
  <c r="AS117" i="1"/>
  <c r="AI117" i="1"/>
  <c r="AH117" i="1"/>
  <c r="AD117" i="1"/>
  <c r="AC117" i="1"/>
  <c r="AT116" i="1"/>
  <c r="AS116" i="1"/>
  <c r="AV117" i="1" s="1"/>
  <c r="AI116" i="1"/>
  <c r="AH116" i="1"/>
  <c r="AD116" i="1"/>
  <c r="AC116" i="1"/>
  <c r="AT115" i="1"/>
  <c r="AS115" i="1"/>
  <c r="AV116" i="1" s="1"/>
  <c r="AX116" i="1" s="1"/>
  <c r="AI115" i="1"/>
  <c r="AH115" i="1"/>
  <c r="AD115" i="1"/>
  <c r="AC115" i="1"/>
  <c r="AT114" i="1"/>
  <c r="AS114" i="1"/>
  <c r="AV115" i="1" s="1"/>
  <c r="AI114" i="1"/>
  <c r="AH114" i="1"/>
  <c r="AD114" i="1"/>
  <c r="AC114" i="1"/>
  <c r="AT113" i="1"/>
  <c r="AS113" i="1"/>
  <c r="AV114" i="1" s="1"/>
  <c r="AU115" i="1" s="1"/>
  <c r="AI113" i="1"/>
  <c r="AH113" i="1"/>
  <c r="AD113" i="1"/>
  <c r="AC113" i="1"/>
  <c r="AT112" i="1"/>
  <c r="AS112" i="1"/>
  <c r="AV113" i="1" s="1"/>
  <c r="AI112" i="1"/>
  <c r="AH112" i="1"/>
  <c r="AD112" i="1"/>
  <c r="AC112" i="1"/>
  <c r="AT111" i="1"/>
  <c r="AS111" i="1"/>
  <c r="AV112" i="1" s="1"/>
  <c r="AI111" i="1"/>
  <c r="AH111" i="1"/>
  <c r="AD111" i="1"/>
  <c r="AC111" i="1"/>
  <c r="AT110" i="1"/>
  <c r="AS110" i="1"/>
  <c r="AV111" i="1" s="1"/>
  <c r="AI110" i="1"/>
  <c r="AH110" i="1"/>
  <c r="AD110" i="1"/>
  <c r="AC110" i="1"/>
  <c r="AT109" i="1"/>
  <c r="AS109" i="1"/>
  <c r="AI109" i="1"/>
  <c r="AH109" i="1"/>
  <c r="AK110" i="1" s="1"/>
  <c r="AJ110" i="1" s="1"/>
  <c r="AD109" i="1"/>
  <c r="AC109" i="1"/>
  <c r="AT108" i="1"/>
  <c r="AS108" i="1"/>
  <c r="AI108" i="1"/>
  <c r="AH108" i="1"/>
  <c r="AK109" i="1" s="1"/>
  <c r="AJ109" i="1" s="1"/>
  <c r="AD108" i="1"/>
  <c r="AC108" i="1"/>
  <c r="AT107" i="1"/>
  <c r="AS107" i="1"/>
  <c r="AI107" i="1"/>
  <c r="AH107" i="1"/>
  <c r="AK108" i="1" s="1"/>
  <c r="AD107" i="1"/>
  <c r="AC107" i="1"/>
  <c r="AT106" i="1"/>
  <c r="AS106" i="1"/>
  <c r="AI106" i="1"/>
  <c r="AH106" i="1"/>
  <c r="AK107" i="1" s="1"/>
  <c r="AD106" i="1"/>
  <c r="AC106" i="1"/>
  <c r="AT105" i="1"/>
  <c r="AS105" i="1"/>
  <c r="AV106" i="1" s="1"/>
  <c r="AU107" i="1" s="1"/>
  <c r="AI105" i="1"/>
  <c r="AH105" i="1"/>
  <c r="AK106" i="1" s="1"/>
  <c r="AD105" i="1"/>
  <c r="AC105" i="1"/>
  <c r="AT104" i="1"/>
  <c r="AS104" i="1"/>
  <c r="AI104" i="1"/>
  <c r="AH104" i="1"/>
  <c r="AD104" i="1"/>
  <c r="AC104" i="1"/>
  <c r="AT103" i="1"/>
  <c r="AS103" i="1"/>
  <c r="AV104" i="1" s="1"/>
  <c r="AN103" i="1"/>
  <c r="AM103" i="1"/>
  <c r="AL103" i="1"/>
  <c r="AJ103" i="1"/>
  <c r="AI103" i="1"/>
  <c r="AH103" i="1"/>
  <c r="AK104" i="1" s="1"/>
  <c r="AD103" i="1"/>
  <c r="AC103" i="1"/>
  <c r="AT102" i="1"/>
  <c r="AS102" i="1"/>
  <c r="AV103" i="1" s="1"/>
  <c r="AI102" i="1"/>
  <c r="AH102" i="1"/>
  <c r="AD102" i="1"/>
  <c r="AC102" i="1"/>
  <c r="AT101" i="1"/>
  <c r="AS101" i="1"/>
  <c r="AK101" i="1"/>
  <c r="AI101" i="1"/>
  <c r="AH101" i="1"/>
  <c r="AK102" i="1" s="1"/>
  <c r="AM102" i="1" s="1"/>
  <c r="AD101" i="1"/>
  <c r="AC101" i="1"/>
  <c r="AT100" i="1"/>
  <c r="AS100" i="1"/>
  <c r="AV101" i="1" s="1"/>
  <c r="AU102" i="1" s="1"/>
  <c r="AI100" i="1"/>
  <c r="AH100" i="1"/>
  <c r="AD100" i="1"/>
  <c r="AC100" i="1"/>
  <c r="AT99" i="1"/>
  <c r="AS99" i="1"/>
  <c r="AI99" i="1"/>
  <c r="AH99" i="1"/>
  <c r="AK100" i="1" s="1"/>
  <c r="AD99" i="1"/>
  <c r="AC99" i="1"/>
  <c r="AT98" i="1"/>
  <c r="AS98" i="1"/>
  <c r="AK98" i="1"/>
  <c r="AJ98" i="1" s="1"/>
  <c r="AI98" i="1"/>
  <c r="AH98" i="1"/>
  <c r="AK99" i="1" s="1"/>
  <c r="AL99" i="1" s="1"/>
  <c r="AD98" i="1"/>
  <c r="AC98" i="1"/>
  <c r="AT97" i="1"/>
  <c r="AS97" i="1"/>
  <c r="AI97" i="1"/>
  <c r="AH97" i="1"/>
  <c r="AD97" i="1"/>
  <c r="AC97" i="1"/>
  <c r="AT96" i="1"/>
  <c r="AS96" i="1"/>
  <c r="AI96" i="1"/>
  <c r="AH96" i="1"/>
  <c r="AD96" i="1"/>
  <c r="AC96" i="1"/>
  <c r="AT95" i="1"/>
  <c r="AS95" i="1"/>
  <c r="AI95" i="1"/>
  <c r="AH95" i="1"/>
  <c r="AD95" i="1"/>
  <c r="AC95" i="1"/>
  <c r="AT94" i="1"/>
  <c r="AS94" i="1"/>
  <c r="AV95" i="1" s="1"/>
  <c r="AI94" i="1"/>
  <c r="AH94" i="1"/>
  <c r="AD94" i="1"/>
  <c r="AC94" i="1"/>
  <c r="AT93" i="1"/>
  <c r="AS93" i="1"/>
  <c r="AV94" i="1" s="1"/>
  <c r="AI93" i="1"/>
  <c r="AH93" i="1"/>
  <c r="AD93" i="1"/>
  <c r="AC93" i="1"/>
  <c r="AT92" i="1"/>
  <c r="AS92" i="1"/>
  <c r="AI92" i="1"/>
  <c r="AH92" i="1"/>
  <c r="AK93" i="1" s="1"/>
  <c r="AD92" i="1"/>
  <c r="AC92" i="1"/>
  <c r="AT91" i="1"/>
  <c r="AS91" i="1"/>
  <c r="AI91" i="1"/>
  <c r="AH91" i="1"/>
  <c r="AK92" i="1" s="1"/>
  <c r="AD91" i="1"/>
  <c r="AC91" i="1"/>
  <c r="AT90" i="1"/>
  <c r="AS90" i="1"/>
  <c r="AI90" i="1"/>
  <c r="AH90" i="1"/>
  <c r="AK91" i="1" s="1"/>
  <c r="AD90" i="1"/>
  <c r="AC90" i="1"/>
  <c r="AT89" i="1"/>
  <c r="AS89" i="1"/>
  <c r="AI89" i="1"/>
  <c r="AH89" i="1"/>
  <c r="AK90" i="1" s="1"/>
  <c r="AJ90" i="1" s="1"/>
  <c r="AD89" i="1"/>
  <c r="AC89" i="1"/>
  <c r="AT88" i="1"/>
  <c r="AS88" i="1"/>
  <c r="AI88" i="1"/>
  <c r="AH88" i="1"/>
  <c r="AD88" i="1"/>
  <c r="AC88" i="1"/>
  <c r="AT87" i="1"/>
  <c r="AS87" i="1"/>
  <c r="AV88" i="1" s="1"/>
  <c r="AI87" i="1"/>
  <c r="AH87" i="1"/>
  <c r="AK88" i="1" s="1"/>
  <c r="AD87" i="1"/>
  <c r="AC87" i="1"/>
  <c r="AT86" i="1"/>
  <c r="AS86" i="1"/>
  <c r="AV87" i="1" s="1"/>
  <c r="AI86" i="1"/>
  <c r="AH86" i="1"/>
  <c r="AK87" i="1" s="1"/>
  <c r="AD86" i="1"/>
  <c r="AC86" i="1"/>
  <c r="AT85" i="1"/>
  <c r="AS85" i="1"/>
  <c r="AV86" i="1" s="1"/>
  <c r="AX86" i="1" s="1"/>
  <c r="AI85" i="1"/>
  <c r="AH85" i="1"/>
  <c r="AD85" i="1"/>
  <c r="AC85" i="1"/>
  <c r="AU84" i="1"/>
  <c r="AT84" i="1"/>
  <c r="AS84" i="1"/>
  <c r="AV85" i="1" s="1"/>
  <c r="AU86" i="1" s="1"/>
  <c r="AI84" i="1"/>
  <c r="AH84" i="1"/>
  <c r="AD84" i="1"/>
  <c r="AC84" i="1"/>
  <c r="AX83" i="1"/>
  <c r="AT83" i="1"/>
  <c r="AS83" i="1"/>
  <c r="AI83" i="1"/>
  <c r="AH83" i="1"/>
  <c r="AD83" i="1"/>
  <c r="AC83" i="1"/>
  <c r="AW83" i="1" s="1"/>
  <c r="AY83" i="1" s="1"/>
  <c r="AT82" i="1"/>
  <c r="AS82" i="1"/>
  <c r="AI82" i="1"/>
  <c r="AH82" i="1"/>
  <c r="AK83" i="1" s="1"/>
  <c r="AM83" i="1" s="1"/>
  <c r="AD82" i="1"/>
  <c r="AC82" i="1"/>
  <c r="AT81" i="1"/>
  <c r="AS81" i="1"/>
  <c r="AI81" i="1"/>
  <c r="AH81" i="1"/>
  <c r="AK82" i="1" s="1"/>
  <c r="AD81" i="1"/>
  <c r="AC81" i="1"/>
  <c r="AT80" i="1"/>
  <c r="AS80" i="1"/>
  <c r="AI80" i="1"/>
  <c r="AH80" i="1"/>
  <c r="AD80" i="1"/>
  <c r="AC80" i="1"/>
  <c r="AT79" i="1"/>
  <c r="AS79" i="1"/>
  <c r="AI79" i="1"/>
  <c r="AH79" i="1"/>
  <c r="AK80" i="1" s="1"/>
  <c r="AM80" i="1" s="1"/>
  <c r="AD79" i="1"/>
  <c r="AC79" i="1"/>
  <c r="AT78" i="1"/>
  <c r="AS78" i="1"/>
  <c r="AI78" i="1"/>
  <c r="AH78" i="1"/>
  <c r="AK79" i="1" s="1"/>
  <c r="AD78" i="1"/>
  <c r="AC78" i="1"/>
  <c r="AT77" i="1"/>
  <c r="AS77" i="1"/>
  <c r="AI77" i="1"/>
  <c r="AH77" i="1"/>
  <c r="AK78" i="1" s="1"/>
  <c r="AM78" i="1" s="1"/>
  <c r="AD77" i="1"/>
  <c r="AC77" i="1"/>
  <c r="AT76" i="1"/>
  <c r="AS76" i="1"/>
  <c r="AI76" i="1"/>
  <c r="AH76" i="1"/>
  <c r="AD76" i="1"/>
  <c r="AC76" i="1"/>
  <c r="AT75" i="1"/>
  <c r="AS75" i="1"/>
  <c r="AI75" i="1"/>
  <c r="AH75" i="1"/>
  <c r="AD75" i="1"/>
  <c r="AC75" i="1"/>
  <c r="AT74" i="1"/>
  <c r="AS74" i="1"/>
  <c r="AI74" i="1"/>
  <c r="AH74" i="1"/>
  <c r="AK75" i="1" s="1"/>
  <c r="AD74" i="1"/>
  <c r="AC74" i="1"/>
  <c r="AT73" i="1"/>
  <c r="AS73" i="1"/>
  <c r="AV74" i="1" s="1"/>
  <c r="AI73" i="1"/>
  <c r="AH73" i="1"/>
  <c r="AK74" i="1" s="1"/>
  <c r="AD73" i="1"/>
  <c r="AC73" i="1"/>
  <c r="AT72" i="1"/>
  <c r="AS72" i="1"/>
  <c r="AI72" i="1"/>
  <c r="AH72" i="1"/>
  <c r="AK73" i="1" s="1"/>
  <c r="AJ73" i="1" s="1"/>
  <c r="AD72" i="1"/>
  <c r="AC72" i="1"/>
  <c r="AT71" i="1"/>
  <c r="AS71" i="1"/>
  <c r="AI71" i="1"/>
  <c r="AH71" i="1"/>
  <c r="AK72" i="1" s="1"/>
  <c r="AL72" i="1" s="1"/>
  <c r="AD71" i="1"/>
  <c r="AC71" i="1"/>
  <c r="AT70" i="1"/>
  <c r="AS70" i="1"/>
  <c r="AI70" i="1"/>
  <c r="AH70" i="1"/>
  <c r="AD70" i="1"/>
  <c r="AC70" i="1"/>
  <c r="AT69" i="1"/>
  <c r="AS69" i="1"/>
  <c r="AI69" i="1"/>
  <c r="AH69" i="1"/>
  <c r="AK70" i="1" s="1"/>
  <c r="AM70" i="1" s="1"/>
  <c r="AD69" i="1"/>
  <c r="AC69" i="1"/>
  <c r="AT68" i="1"/>
  <c r="AS68" i="1"/>
  <c r="AI68" i="1"/>
  <c r="AH68" i="1"/>
  <c r="AD68" i="1"/>
  <c r="AC68" i="1"/>
  <c r="AT67" i="1"/>
  <c r="AS67" i="1"/>
  <c r="AI67" i="1"/>
  <c r="AH67" i="1"/>
  <c r="AK68" i="1" s="1"/>
  <c r="AJ68" i="1" s="1"/>
  <c r="AD67" i="1"/>
  <c r="AC67" i="1"/>
  <c r="AT66" i="1"/>
  <c r="AS66" i="1"/>
  <c r="AI66" i="1"/>
  <c r="AH66" i="1"/>
  <c r="AD66" i="1"/>
  <c r="AC66" i="1"/>
  <c r="AT65" i="1"/>
  <c r="AS65" i="1"/>
  <c r="AV66" i="1" s="1"/>
  <c r="AI65" i="1"/>
  <c r="AH65" i="1"/>
  <c r="AD65" i="1"/>
  <c r="AC65" i="1"/>
  <c r="AT64" i="1"/>
  <c r="AS64" i="1"/>
  <c r="AI64" i="1"/>
  <c r="AH64" i="1"/>
  <c r="AK65" i="1" s="1"/>
  <c r="AJ65" i="1" s="1"/>
  <c r="AD64" i="1"/>
  <c r="AC64" i="1"/>
  <c r="AU63" i="1"/>
  <c r="AT63" i="1"/>
  <c r="AS63" i="1"/>
  <c r="AV64" i="1" s="1"/>
  <c r="AU65" i="1" s="1"/>
  <c r="AI63" i="1"/>
  <c r="AH63" i="1"/>
  <c r="AD63" i="1"/>
  <c r="AC63" i="1"/>
  <c r="AW62" i="1"/>
  <c r="AT62" i="1"/>
  <c r="AS62" i="1"/>
  <c r="AI62" i="1"/>
  <c r="AH62" i="1"/>
  <c r="AK63" i="1" s="1"/>
  <c r="AD62" i="1"/>
  <c r="AX62" i="1" s="1"/>
  <c r="AY62" i="1" s="1"/>
  <c r="AC62" i="1"/>
  <c r="AT61" i="1"/>
  <c r="AS61" i="1"/>
  <c r="AI61" i="1"/>
  <c r="AH61" i="1"/>
  <c r="AD61" i="1"/>
  <c r="AC61" i="1"/>
  <c r="AT60" i="1"/>
  <c r="AS60" i="1"/>
  <c r="AI60" i="1"/>
  <c r="AH60" i="1"/>
  <c r="AD60" i="1"/>
  <c r="AC60" i="1"/>
  <c r="AT59" i="1"/>
  <c r="AS59" i="1"/>
  <c r="AV60" i="1" s="1"/>
  <c r="AI59" i="1"/>
  <c r="AH59" i="1"/>
  <c r="AD59" i="1"/>
  <c r="AC59" i="1"/>
  <c r="AT58" i="1"/>
  <c r="AS58" i="1"/>
  <c r="AK58" i="1"/>
  <c r="AI58" i="1"/>
  <c r="AH58" i="1"/>
  <c r="AD58" i="1"/>
  <c r="AC58" i="1"/>
  <c r="AT57" i="1"/>
  <c r="AS57" i="1"/>
  <c r="AI57" i="1"/>
  <c r="AH57" i="1"/>
  <c r="AD57" i="1"/>
  <c r="AC57" i="1"/>
  <c r="AT56" i="1"/>
  <c r="AS56" i="1"/>
  <c r="AV57" i="1" s="1"/>
  <c r="AX57" i="1" s="1"/>
  <c r="AI56" i="1"/>
  <c r="AH56" i="1"/>
  <c r="AD56" i="1"/>
  <c r="AC56" i="1"/>
  <c r="AT55" i="1"/>
  <c r="AS55" i="1"/>
  <c r="AI55" i="1"/>
  <c r="AH55" i="1"/>
  <c r="AK56" i="1" s="1"/>
  <c r="AJ56" i="1" s="1"/>
  <c r="AD55" i="1"/>
  <c r="AC55" i="1"/>
  <c r="AT54" i="1"/>
  <c r="AS54" i="1"/>
  <c r="AI54" i="1"/>
  <c r="AH54" i="1"/>
  <c r="AD54" i="1"/>
  <c r="AC54" i="1"/>
  <c r="AT53" i="1"/>
  <c r="AS53" i="1"/>
  <c r="AI53" i="1"/>
  <c r="AH53" i="1"/>
  <c r="AK54" i="1" s="1"/>
  <c r="AJ54" i="1" s="1"/>
  <c r="AD53" i="1"/>
  <c r="AC53" i="1"/>
  <c r="AT52" i="1"/>
  <c r="AS52" i="1"/>
  <c r="AI52" i="1"/>
  <c r="AH52" i="1"/>
  <c r="AK53" i="1" s="1"/>
  <c r="AJ53" i="1" s="1"/>
  <c r="AD52" i="1"/>
  <c r="AC52" i="1"/>
  <c r="AT51" i="1"/>
  <c r="AS51" i="1"/>
  <c r="AV52" i="1" s="1"/>
  <c r="AI51" i="1"/>
  <c r="AH51" i="1"/>
  <c r="AD51" i="1"/>
  <c r="AC51" i="1"/>
  <c r="AT50" i="1"/>
  <c r="AS50" i="1"/>
  <c r="AI50" i="1"/>
  <c r="AH50" i="1"/>
  <c r="AD50" i="1"/>
  <c r="AC50" i="1"/>
  <c r="AT49" i="1"/>
  <c r="AS49" i="1"/>
  <c r="AI49" i="1"/>
  <c r="AH49" i="1"/>
  <c r="AK50" i="1" s="1"/>
  <c r="AM50" i="1" s="1"/>
  <c r="AD49" i="1"/>
  <c r="AC49" i="1"/>
  <c r="AT48" i="1"/>
  <c r="AS48" i="1"/>
  <c r="AV49" i="1" s="1"/>
  <c r="AX49" i="1" s="1"/>
  <c r="AI48" i="1"/>
  <c r="AH48" i="1"/>
  <c r="AD48" i="1"/>
  <c r="AC48" i="1"/>
  <c r="AT47" i="1"/>
  <c r="AS47" i="1"/>
  <c r="AI47" i="1"/>
  <c r="AH47" i="1"/>
  <c r="AK48" i="1" s="1"/>
  <c r="AD47" i="1"/>
  <c r="AC47" i="1"/>
  <c r="AT46" i="1"/>
  <c r="AS46" i="1"/>
  <c r="AV47" i="1" s="1"/>
  <c r="AI46" i="1"/>
  <c r="AH46" i="1"/>
  <c r="AD46" i="1"/>
  <c r="AC46" i="1"/>
  <c r="AT45" i="1"/>
  <c r="AS45" i="1"/>
  <c r="AI45" i="1"/>
  <c r="AH45" i="1"/>
  <c r="AK46" i="1" s="1"/>
  <c r="AD45" i="1"/>
  <c r="AC45" i="1"/>
  <c r="AT44" i="1"/>
  <c r="AS44" i="1"/>
  <c r="AI44" i="1"/>
  <c r="AH44" i="1"/>
  <c r="AD44" i="1"/>
  <c r="AC44" i="1"/>
  <c r="AT43" i="1"/>
  <c r="AS43" i="1"/>
  <c r="AI43" i="1"/>
  <c r="AH43" i="1"/>
  <c r="AD43" i="1"/>
  <c r="AC43" i="1"/>
  <c r="AT42" i="1"/>
  <c r="AS42" i="1"/>
  <c r="AV43" i="1" s="1"/>
  <c r="AI42" i="1"/>
  <c r="AH42" i="1"/>
  <c r="AK43" i="1" s="1"/>
  <c r="AM43" i="1" s="1"/>
  <c r="AD42" i="1"/>
  <c r="AC42" i="1"/>
  <c r="AD41" i="1"/>
  <c r="AC41" i="1"/>
  <c r="AJ40" i="1"/>
  <c r="AD40" i="1"/>
  <c r="AM40" i="1" s="1"/>
  <c r="AC40" i="1"/>
  <c r="AL40" i="1" s="1"/>
  <c r="AN40" i="1" s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V22" i="1"/>
  <c r="AU22" i="1"/>
  <c r="AK22" i="1"/>
  <c r="AM22" i="1" s="1"/>
  <c r="AJ22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  <c r="AD4" i="1"/>
  <c r="AC4" i="1"/>
  <c r="AD3" i="1"/>
  <c r="AC3" i="1"/>
  <c r="AD1" i="1"/>
  <c r="AC1" i="1"/>
  <c r="AK84" i="1" l="1"/>
  <c r="AJ84" i="1" s="1"/>
  <c r="AK76" i="1"/>
  <c r="AL76" i="1" s="1"/>
  <c r="AV155" i="1"/>
  <c r="AU156" i="1" s="1"/>
  <c r="AV105" i="1"/>
  <c r="AW105" i="1" s="1"/>
  <c r="AV150" i="1"/>
  <c r="AU147" i="1"/>
  <c r="AV148" i="1" s="1"/>
  <c r="AW148" i="1" s="1"/>
  <c r="AM73" i="1"/>
  <c r="AJ99" i="1"/>
  <c r="AL54" i="1"/>
  <c r="AM54" i="1"/>
  <c r="AJ50" i="1"/>
  <c r="AK51" i="1" s="1"/>
  <c r="AM99" i="1"/>
  <c r="AN99" i="1" s="1"/>
  <c r="AJ72" i="1"/>
  <c r="AM72" i="1"/>
  <c r="AN72" i="1" s="1"/>
  <c r="AK57" i="1"/>
  <c r="AL57" i="1" s="1"/>
  <c r="AV97" i="1"/>
  <c r="AW97" i="1" s="1"/>
  <c r="AW74" i="1"/>
  <c r="AX74" i="1"/>
  <c r="AY74" i="1" s="1"/>
  <c r="AU75" i="1"/>
  <c r="AV76" i="1" s="1"/>
  <c r="AX140" i="1"/>
  <c r="AU141" i="1"/>
  <c r="AV61" i="1"/>
  <c r="AU62" i="1" s="1"/>
  <c r="AV63" i="1" s="1"/>
  <c r="AW127" i="1"/>
  <c r="AV132" i="1"/>
  <c r="AW132" i="1" s="1"/>
  <c r="AX127" i="1"/>
  <c r="AU58" i="1"/>
  <c r="AV59" i="1" s="1"/>
  <c r="AX64" i="1"/>
  <c r="AW106" i="1"/>
  <c r="AW153" i="1"/>
  <c r="AY153" i="1" s="1"/>
  <c r="AV156" i="1"/>
  <c r="AX156" i="1" s="1"/>
  <c r="AV118" i="1"/>
  <c r="AU119" i="1" s="1"/>
  <c r="AW155" i="1"/>
  <c r="AX155" i="1"/>
  <c r="AW136" i="1"/>
  <c r="AV149" i="1"/>
  <c r="AW149" i="1" s="1"/>
  <c r="AV151" i="1"/>
  <c r="AW151" i="1" s="1"/>
  <c r="AU124" i="1"/>
  <c r="AV125" i="1" s="1"/>
  <c r="AX106" i="1"/>
  <c r="AU120" i="1"/>
  <c r="AU154" i="1"/>
  <c r="AX154" i="1"/>
  <c r="AM147" i="1"/>
  <c r="AJ147" i="1"/>
  <c r="AL108" i="1"/>
  <c r="AJ108" i="1"/>
  <c r="AK145" i="1"/>
  <c r="AK124" i="1"/>
  <c r="AJ124" i="1" s="1"/>
  <c r="AK59" i="1"/>
  <c r="AJ59" i="1" s="1"/>
  <c r="AK60" i="1" s="1"/>
  <c r="AM108" i="1"/>
  <c r="AK69" i="1"/>
  <c r="AJ69" i="1" s="1"/>
  <c r="AK111" i="1"/>
  <c r="AL111" i="1" s="1"/>
  <c r="AK77" i="1"/>
  <c r="AL77" i="1" s="1"/>
  <c r="AK81" i="1"/>
  <c r="AM81" i="1" s="1"/>
  <c r="AM98" i="1"/>
  <c r="AL53" i="1"/>
  <c r="AM53" i="1"/>
  <c r="AJ70" i="1"/>
  <c r="AK44" i="1"/>
  <c r="AM44" i="1" s="1"/>
  <c r="AL70" i="1"/>
  <c r="AN70" i="1" s="1"/>
  <c r="AX126" i="1"/>
  <c r="AU127" i="1"/>
  <c r="AW126" i="1"/>
  <c r="AL22" i="1"/>
  <c r="AN22" i="1" s="1"/>
  <c r="AW52" i="1"/>
  <c r="AU53" i="1"/>
  <c r="AV54" i="1" s="1"/>
  <c r="AX52" i="1"/>
  <c r="AM56" i="1"/>
  <c r="AL56" i="1"/>
  <c r="AM107" i="1"/>
  <c r="AL107" i="1"/>
  <c r="AN107" i="1" s="1"/>
  <c r="AJ107" i="1"/>
  <c r="AL106" i="1"/>
  <c r="AM106" i="1"/>
  <c r="AJ106" i="1"/>
  <c r="AX85" i="1"/>
  <c r="AW85" i="1"/>
  <c r="AY85" i="1" s="1"/>
  <c r="AM92" i="1"/>
  <c r="AL92" i="1"/>
  <c r="AJ92" i="1"/>
  <c r="AU50" i="1"/>
  <c r="AM75" i="1"/>
  <c r="AJ75" i="1"/>
  <c r="AL82" i="1"/>
  <c r="AM82" i="1"/>
  <c r="AJ82" i="1"/>
  <c r="AM155" i="1"/>
  <c r="AL155" i="1"/>
  <c r="AN155" i="1" s="1"/>
  <c r="AJ155" i="1"/>
  <c r="AK156" i="1" s="1"/>
  <c r="AK89" i="1"/>
  <c r="AX148" i="1"/>
  <c r="AY148" i="1" s="1"/>
  <c r="AM48" i="1"/>
  <c r="AL48" i="1"/>
  <c r="AJ48" i="1"/>
  <c r="AK49" i="1" s="1"/>
  <c r="AL63" i="1"/>
  <c r="AM63" i="1"/>
  <c r="AJ63" i="1"/>
  <c r="AU23" i="1"/>
  <c r="AX22" i="1"/>
  <c r="AW22" i="1"/>
  <c r="AY22" i="1" s="1"/>
  <c r="AX43" i="1"/>
  <c r="AW43" i="1"/>
  <c r="AU44" i="1"/>
  <c r="AV45" i="1" s="1"/>
  <c r="AL75" i="1"/>
  <c r="AM125" i="1"/>
  <c r="AJ125" i="1"/>
  <c r="AK126" i="1" s="1"/>
  <c r="AL125" i="1"/>
  <c r="AU138" i="1"/>
  <c r="AX137" i="1"/>
  <c r="AW137" i="1"/>
  <c r="AY137" i="1" s="1"/>
  <c r="AW87" i="1"/>
  <c r="AX87" i="1"/>
  <c r="AU88" i="1"/>
  <c r="AV89" i="1" s="1"/>
  <c r="AU48" i="1"/>
  <c r="AX47" i="1"/>
  <c r="AW47" i="1"/>
  <c r="AY47" i="1" s="1"/>
  <c r="AW49" i="1"/>
  <c r="AY49" i="1" s="1"/>
  <c r="AM101" i="1"/>
  <c r="AJ101" i="1"/>
  <c r="AL101" i="1"/>
  <c r="AL58" i="1"/>
  <c r="AJ58" i="1"/>
  <c r="AM58" i="1"/>
  <c r="AJ100" i="1"/>
  <c r="AL100" i="1"/>
  <c r="AU144" i="1"/>
  <c r="AX143" i="1"/>
  <c r="AW143" i="1"/>
  <c r="AY143" i="1" s="1"/>
  <c r="AU67" i="1"/>
  <c r="AV68" i="1" s="1"/>
  <c r="AX66" i="1"/>
  <c r="AW66" i="1"/>
  <c r="AY66" i="1" s="1"/>
  <c r="AM100" i="1"/>
  <c r="AK45" i="1"/>
  <c r="AV51" i="1"/>
  <c r="AU149" i="1"/>
  <c r="AJ43" i="1"/>
  <c r="AW57" i="1"/>
  <c r="AY57" i="1" s="1"/>
  <c r="AX60" i="1"/>
  <c r="AU61" i="1"/>
  <c r="AW60" i="1"/>
  <c r="AK64" i="1"/>
  <c r="AX97" i="1"/>
  <c r="AU105" i="1"/>
  <c r="AX104" i="1"/>
  <c r="AW104" i="1"/>
  <c r="AW146" i="1"/>
  <c r="AY146" i="1" s="1"/>
  <c r="BB146" i="1" s="1"/>
  <c r="AJ83" i="1"/>
  <c r="AL83" i="1"/>
  <c r="AN83" i="1" s="1"/>
  <c r="BB83" i="1" s="1"/>
  <c r="AX95" i="1"/>
  <c r="AU96" i="1"/>
  <c r="AW95" i="1"/>
  <c r="AU116" i="1"/>
  <c r="AX115" i="1"/>
  <c r="AW115" i="1"/>
  <c r="AY115" i="1" s="1"/>
  <c r="AW118" i="1"/>
  <c r="AL43" i="1"/>
  <c r="AN43" i="1" s="1"/>
  <c r="AW86" i="1"/>
  <c r="AY86" i="1" s="1"/>
  <c r="AU87" i="1"/>
  <c r="AX112" i="1"/>
  <c r="AU113" i="1"/>
  <c r="AW112" i="1"/>
  <c r="AU142" i="1"/>
  <c r="AX141" i="1"/>
  <c r="AW141" i="1"/>
  <c r="AV152" i="1"/>
  <c r="AU104" i="1"/>
  <c r="AX103" i="1"/>
  <c r="AW103" i="1"/>
  <c r="AY103" i="1" s="1"/>
  <c r="BB103" i="1" s="1"/>
  <c r="AJ46" i="1"/>
  <c r="AK47" i="1" s="1"/>
  <c r="AM46" i="1"/>
  <c r="AL46" i="1"/>
  <c r="AM68" i="1"/>
  <c r="AL68" i="1"/>
  <c r="AL110" i="1"/>
  <c r="AK66" i="1"/>
  <c r="AM79" i="1"/>
  <c r="AJ79" i="1"/>
  <c r="AL79" i="1"/>
  <c r="AM110" i="1"/>
  <c r="AX136" i="1"/>
  <c r="AV145" i="1"/>
  <c r="AL65" i="1"/>
  <c r="AM88" i="1"/>
  <c r="AL88" i="1"/>
  <c r="AJ88" i="1"/>
  <c r="AU95" i="1"/>
  <c r="AV96" i="1" s="1"/>
  <c r="AX94" i="1"/>
  <c r="AL109" i="1"/>
  <c r="AU130" i="1"/>
  <c r="AM65" i="1"/>
  <c r="AW94" i="1"/>
  <c r="AL98" i="1"/>
  <c r="AW101" i="1"/>
  <c r="AX101" i="1"/>
  <c r="AK105" i="1"/>
  <c r="AM109" i="1"/>
  <c r="AU131" i="1"/>
  <c r="AX130" i="1"/>
  <c r="AY130" i="1" s="1"/>
  <c r="AW135" i="1"/>
  <c r="AU136" i="1"/>
  <c r="AX135" i="1"/>
  <c r="AM93" i="1"/>
  <c r="AL93" i="1"/>
  <c r="AJ93" i="1"/>
  <c r="AK94" i="1" s="1"/>
  <c r="AU106" i="1"/>
  <c r="AV107" i="1" s="1"/>
  <c r="AV122" i="1"/>
  <c r="AJ152" i="1"/>
  <c r="AK153" i="1" s="1"/>
  <c r="AM152" i="1"/>
  <c r="AL152" i="1"/>
  <c r="AN152" i="1" s="1"/>
  <c r="AM74" i="1"/>
  <c r="AJ74" i="1"/>
  <c r="AL74" i="1"/>
  <c r="AU114" i="1"/>
  <c r="AX113" i="1"/>
  <c r="AW113" i="1"/>
  <c r="AY113" i="1" s="1"/>
  <c r="AU135" i="1"/>
  <c r="AX134" i="1"/>
  <c r="AW134" i="1"/>
  <c r="AY134" i="1" s="1"/>
  <c r="AM87" i="1"/>
  <c r="AL87" i="1"/>
  <c r="AJ87" i="1"/>
  <c r="AW129" i="1"/>
  <c r="AY129" i="1" s="1"/>
  <c r="AL50" i="1"/>
  <c r="AN50" i="1" s="1"/>
  <c r="AL80" i="1"/>
  <c r="AN80" i="1" s="1"/>
  <c r="AJ80" i="1"/>
  <c r="AM91" i="1"/>
  <c r="AJ91" i="1"/>
  <c r="AU118" i="1"/>
  <c r="AX117" i="1"/>
  <c r="AW117" i="1"/>
  <c r="AY117" i="1" s="1"/>
  <c r="AW64" i="1"/>
  <c r="AL91" i="1"/>
  <c r="AU139" i="1"/>
  <c r="AW138" i="1"/>
  <c r="AY138" i="1" s="1"/>
  <c r="AK71" i="1"/>
  <c r="AM90" i="1"/>
  <c r="AL90" i="1"/>
  <c r="AU121" i="1"/>
  <c r="AX120" i="1"/>
  <c r="AW120" i="1"/>
  <c r="AV142" i="1"/>
  <c r="AW150" i="1"/>
  <c r="AU151" i="1"/>
  <c r="AX150" i="1"/>
  <c r="AV108" i="1"/>
  <c r="AW114" i="1"/>
  <c r="AX114" i="1"/>
  <c r="AW119" i="1"/>
  <c r="AY119" i="1" s="1"/>
  <c r="AM148" i="1"/>
  <c r="AL148" i="1"/>
  <c r="AN148" i="1" s="1"/>
  <c r="AJ148" i="1"/>
  <c r="AK149" i="1" s="1"/>
  <c r="AK55" i="1"/>
  <c r="AL73" i="1"/>
  <c r="AJ78" i="1"/>
  <c r="AL78" i="1"/>
  <c r="AN78" i="1" s="1"/>
  <c r="AU134" i="1"/>
  <c r="AU140" i="1"/>
  <c r="AX139" i="1"/>
  <c r="AY139" i="1" s="1"/>
  <c r="AW140" i="1"/>
  <c r="AM104" i="1"/>
  <c r="AJ104" i="1"/>
  <c r="AK67" i="1"/>
  <c r="AX88" i="1"/>
  <c r="AU89" i="1"/>
  <c r="AV90" i="1" s="1"/>
  <c r="AW88" i="1"/>
  <c r="AY88" i="1" s="1"/>
  <c r="AL104" i="1"/>
  <c r="AW133" i="1"/>
  <c r="AY133" i="1" s="1"/>
  <c r="AK144" i="1"/>
  <c r="AK85" i="1"/>
  <c r="AK96" i="1"/>
  <c r="AK97" i="1"/>
  <c r="AU112" i="1"/>
  <c r="AX111" i="1"/>
  <c r="AU117" i="1"/>
  <c r="AL151" i="1"/>
  <c r="AM151" i="1"/>
  <c r="AW111" i="1"/>
  <c r="AW116" i="1"/>
  <c r="AY116" i="1" s="1"/>
  <c r="AW123" i="1"/>
  <c r="AY123" i="1" s="1"/>
  <c r="AJ151" i="1"/>
  <c r="AL102" i="1"/>
  <c r="AN102" i="1" s="1"/>
  <c r="AJ102" i="1"/>
  <c r="AW154" i="1"/>
  <c r="AV131" i="1"/>
  <c r="AV121" i="1"/>
  <c r="AL147" i="1"/>
  <c r="AV128" i="1"/>
  <c r="AV147" i="1"/>
  <c r="AX118" i="1" l="1"/>
  <c r="AY136" i="1"/>
  <c r="AU150" i="1"/>
  <c r="AY118" i="1"/>
  <c r="AU98" i="1"/>
  <c r="AV99" i="1" s="1"/>
  <c r="AW99" i="1" s="1"/>
  <c r="AY99" i="1" s="1"/>
  <c r="BB99" i="1" s="1"/>
  <c r="AX105" i="1"/>
  <c r="AY105" i="1" s="1"/>
  <c r="AN87" i="1"/>
  <c r="AJ111" i="1"/>
  <c r="AK112" i="1" s="1"/>
  <c r="AM112" i="1" s="1"/>
  <c r="AM111" i="1"/>
  <c r="AN111" i="1" s="1"/>
  <c r="AN68" i="1"/>
  <c r="AL84" i="1"/>
  <c r="AM84" i="1"/>
  <c r="AN147" i="1"/>
  <c r="AN110" i="1"/>
  <c r="AJ149" i="1"/>
  <c r="AK150" i="1" s="1"/>
  <c r="AL149" i="1"/>
  <c r="AM149" i="1"/>
  <c r="AJ49" i="1"/>
  <c r="AL49" i="1"/>
  <c r="AM49" i="1"/>
  <c r="AJ153" i="1"/>
  <c r="AK154" i="1" s="1"/>
  <c r="AL153" i="1"/>
  <c r="AM153" i="1"/>
  <c r="AL51" i="1"/>
  <c r="AJ51" i="1"/>
  <c r="AK52" i="1" s="1"/>
  <c r="AM52" i="1" s="1"/>
  <c r="AM51" i="1"/>
  <c r="AL124" i="1"/>
  <c r="AJ76" i="1"/>
  <c r="AN73" i="1"/>
  <c r="AM76" i="1"/>
  <c r="AN84" i="1"/>
  <c r="AN108" i="1"/>
  <c r="AM124" i="1"/>
  <c r="AX99" i="1"/>
  <c r="AU91" i="1"/>
  <c r="AV92" i="1" s="1"/>
  <c r="AX92" i="1" s="1"/>
  <c r="AW90" i="1"/>
  <c r="AY90" i="1" s="1"/>
  <c r="AX90" i="1"/>
  <c r="AY97" i="1"/>
  <c r="AY94" i="1"/>
  <c r="AY111" i="1"/>
  <c r="BB111" i="1" s="1"/>
  <c r="AX132" i="1"/>
  <c r="AY132" i="1" s="1"/>
  <c r="AU133" i="1"/>
  <c r="AY140" i="1"/>
  <c r="AY126" i="1"/>
  <c r="AY154" i="1"/>
  <c r="AN100" i="1"/>
  <c r="AW61" i="1"/>
  <c r="AX61" i="1"/>
  <c r="AN79" i="1"/>
  <c r="AL81" i="1"/>
  <c r="AN81" i="1" s="1"/>
  <c r="AJ81" i="1"/>
  <c r="AM77" i="1"/>
  <c r="AN77" i="1" s="1"/>
  <c r="AJ77" i="1"/>
  <c r="AN93" i="1"/>
  <c r="AN54" i="1"/>
  <c r="AM57" i="1"/>
  <c r="AN57" i="1" s="1"/>
  <c r="BB57" i="1" s="1"/>
  <c r="AJ57" i="1"/>
  <c r="AN53" i="1"/>
  <c r="AN58" i="1"/>
  <c r="AN74" i="1"/>
  <c r="BB74" i="1" s="1"/>
  <c r="AY43" i="1"/>
  <c r="BB43" i="1" s="1"/>
  <c r="AW63" i="1"/>
  <c r="AX63" i="1"/>
  <c r="AU64" i="1"/>
  <c r="AV65" i="1" s="1"/>
  <c r="AX65" i="1" s="1"/>
  <c r="AX45" i="1"/>
  <c r="AU46" i="1"/>
  <c r="AW45" i="1"/>
  <c r="AW76" i="1"/>
  <c r="AX76" i="1"/>
  <c r="AU77" i="1"/>
  <c r="AV78" i="1" s="1"/>
  <c r="AX78" i="1" s="1"/>
  <c r="AX59" i="1"/>
  <c r="AW59" i="1"/>
  <c r="AU60" i="1"/>
  <c r="AW89" i="1"/>
  <c r="AX89" i="1"/>
  <c r="AU90" i="1"/>
  <c r="AV91" i="1" s="1"/>
  <c r="AU126" i="1"/>
  <c r="AX125" i="1"/>
  <c r="AW125" i="1"/>
  <c r="AY112" i="1"/>
  <c r="AY61" i="1"/>
  <c r="AY106" i="1"/>
  <c r="AY127" i="1"/>
  <c r="AU152" i="1"/>
  <c r="AX151" i="1"/>
  <c r="AY151" i="1" s="1"/>
  <c r="AW156" i="1"/>
  <c r="AY156" i="1" s="1"/>
  <c r="AY155" i="1"/>
  <c r="BB155" i="1" s="1"/>
  <c r="AX149" i="1"/>
  <c r="AY149" i="1" s="1"/>
  <c r="AY120" i="1"/>
  <c r="AY64" i="1"/>
  <c r="AY104" i="1"/>
  <c r="AJ156" i="1"/>
  <c r="AM156" i="1"/>
  <c r="AL156" i="1"/>
  <c r="AN156" i="1" s="1"/>
  <c r="AM60" i="1"/>
  <c r="AL60" i="1"/>
  <c r="AJ60" i="1"/>
  <c r="AK61" i="1" s="1"/>
  <c r="AN82" i="1"/>
  <c r="AN75" i="1"/>
  <c r="AM69" i="1"/>
  <c r="AL59" i="1"/>
  <c r="AJ44" i="1"/>
  <c r="AN76" i="1"/>
  <c r="AN98" i="1"/>
  <c r="AN56" i="1"/>
  <c r="AL44" i="1"/>
  <c r="AN44" i="1" s="1"/>
  <c r="AL69" i="1"/>
  <c r="AM59" i="1"/>
  <c r="AJ145" i="1"/>
  <c r="AM145" i="1"/>
  <c r="AN104" i="1"/>
  <c r="AL145" i="1"/>
  <c r="AN48" i="1"/>
  <c r="AN88" i="1"/>
  <c r="BB88" i="1" s="1"/>
  <c r="AN92" i="1"/>
  <c r="AU97" i="1"/>
  <c r="AV98" i="1" s="1"/>
  <c r="AX96" i="1"/>
  <c r="AW96" i="1"/>
  <c r="AY96" i="1" s="1"/>
  <c r="AX54" i="1"/>
  <c r="AU55" i="1"/>
  <c r="AV56" i="1" s="1"/>
  <c r="AW54" i="1"/>
  <c r="AW107" i="1"/>
  <c r="AX107" i="1"/>
  <c r="AU108" i="1"/>
  <c r="AV109" i="1" s="1"/>
  <c r="AM126" i="1"/>
  <c r="AJ126" i="1"/>
  <c r="AK127" i="1" s="1"/>
  <c r="AL126" i="1"/>
  <c r="AM94" i="1"/>
  <c r="AL94" i="1"/>
  <c r="AJ94" i="1"/>
  <c r="AK95" i="1" s="1"/>
  <c r="AN106" i="1"/>
  <c r="AW121" i="1"/>
  <c r="AX121" i="1"/>
  <c r="AU122" i="1"/>
  <c r="AY150" i="1"/>
  <c r="AU132" i="1"/>
  <c r="AW131" i="1"/>
  <c r="AX131" i="1"/>
  <c r="AW142" i="1"/>
  <c r="AX142" i="1"/>
  <c r="AU143" i="1"/>
  <c r="AV144" i="1" s="1"/>
  <c r="AY135" i="1"/>
  <c r="AM55" i="1"/>
  <c r="AL55" i="1"/>
  <c r="AJ55" i="1"/>
  <c r="AY52" i="1"/>
  <c r="AM105" i="1"/>
  <c r="AJ105" i="1"/>
  <c r="AL105" i="1"/>
  <c r="AN63" i="1"/>
  <c r="AL85" i="1"/>
  <c r="AM85" i="1"/>
  <c r="AJ85" i="1"/>
  <c r="AK86" i="1" s="1"/>
  <c r="AU148" i="1"/>
  <c r="AX147" i="1"/>
  <c r="AW147" i="1"/>
  <c r="AY101" i="1"/>
  <c r="AN65" i="1"/>
  <c r="AW152" i="1"/>
  <c r="AU153" i="1"/>
  <c r="AX152" i="1"/>
  <c r="AY87" i="1"/>
  <c r="AN151" i="1"/>
  <c r="AJ71" i="1"/>
  <c r="AM71" i="1"/>
  <c r="AL71" i="1"/>
  <c r="AN71" i="1" s="1"/>
  <c r="AM89" i="1"/>
  <c r="AL89" i="1"/>
  <c r="AJ89" i="1"/>
  <c r="BB22" i="1"/>
  <c r="AO22" i="1"/>
  <c r="BB148" i="1"/>
  <c r="AN101" i="1"/>
  <c r="AM97" i="1"/>
  <c r="AL97" i="1"/>
  <c r="AJ97" i="1"/>
  <c r="AM96" i="1"/>
  <c r="AJ96" i="1"/>
  <c r="AL96" i="1"/>
  <c r="AZ22" i="1"/>
  <c r="AJ67" i="1"/>
  <c r="AM67" i="1"/>
  <c r="AL67" i="1"/>
  <c r="AN91" i="1"/>
  <c r="AY114" i="1"/>
  <c r="AN109" i="1"/>
  <c r="AM66" i="1"/>
  <c r="AL66" i="1"/>
  <c r="AJ66" i="1"/>
  <c r="AN46" i="1"/>
  <c r="AY141" i="1"/>
  <c r="AL64" i="1"/>
  <c r="AJ64" i="1"/>
  <c r="AM64" i="1"/>
  <c r="AX108" i="1"/>
  <c r="AU109" i="1"/>
  <c r="AV110" i="1" s="1"/>
  <c r="AW108" i="1"/>
  <c r="AY108" i="1" s="1"/>
  <c r="AL47" i="1"/>
  <c r="AJ47" i="1"/>
  <c r="AM47" i="1"/>
  <c r="AY60" i="1"/>
  <c r="AW51" i="1"/>
  <c r="AX51" i="1"/>
  <c r="AU52" i="1"/>
  <c r="AV53" i="1" s="1"/>
  <c r="AX68" i="1"/>
  <c r="AU69" i="1"/>
  <c r="AV70" i="1" s="1"/>
  <c r="AW68" i="1"/>
  <c r="AN125" i="1"/>
  <c r="AW128" i="1"/>
  <c r="AU129" i="1"/>
  <c r="AX128" i="1"/>
  <c r="AJ144" i="1"/>
  <c r="AM144" i="1"/>
  <c r="AL144" i="1"/>
  <c r="AN144" i="1" s="1"/>
  <c r="AN90" i="1"/>
  <c r="AY95" i="1"/>
  <c r="AJ45" i="1"/>
  <c r="AM45" i="1"/>
  <c r="AL45" i="1"/>
  <c r="AW122" i="1"/>
  <c r="AX122" i="1"/>
  <c r="AU123" i="1"/>
  <c r="AV124" i="1" s="1"/>
  <c r="AU146" i="1"/>
  <c r="AX145" i="1"/>
  <c r="AW145" i="1"/>
  <c r="AY145" i="1" s="1"/>
  <c r="AU100" i="1" l="1"/>
  <c r="AW92" i="1"/>
  <c r="AY92" i="1" s="1"/>
  <c r="AU93" i="1"/>
  <c r="AY125" i="1"/>
  <c r="AJ112" i="1"/>
  <c r="AK113" i="1" s="1"/>
  <c r="AN49" i="1"/>
  <c r="BB49" i="1" s="1"/>
  <c r="AL112" i="1"/>
  <c r="AN112" i="1" s="1"/>
  <c r="BB87" i="1"/>
  <c r="BB108" i="1"/>
  <c r="AN51" i="1"/>
  <c r="AN94" i="1"/>
  <c r="BB94" i="1" s="1"/>
  <c r="AN126" i="1"/>
  <c r="BB126" i="1" s="1"/>
  <c r="AN153" i="1"/>
  <c r="BB153" i="1" s="1"/>
  <c r="AN124" i="1"/>
  <c r="AJ95" i="1"/>
  <c r="AM95" i="1"/>
  <c r="AL95" i="1"/>
  <c r="AJ52" i="1"/>
  <c r="AL52" i="1"/>
  <c r="AN52" i="1" s="1"/>
  <c r="BB52" i="1" s="1"/>
  <c r="AM154" i="1"/>
  <c r="AL154" i="1"/>
  <c r="AN154" i="1" s="1"/>
  <c r="BB154" i="1" s="1"/>
  <c r="AJ154" i="1"/>
  <c r="AN45" i="1"/>
  <c r="AN149" i="1"/>
  <c r="BB149" i="1" s="1"/>
  <c r="AN96" i="1"/>
  <c r="BB96" i="1" s="1"/>
  <c r="AL150" i="1"/>
  <c r="AJ150" i="1"/>
  <c r="AM150" i="1"/>
  <c r="AW70" i="1"/>
  <c r="AU71" i="1"/>
  <c r="AV72" i="1" s="1"/>
  <c r="AX70" i="1"/>
  <c r="AY76" i="1"/>
  <c r="AY121" i="1"/>
  <c r="BB106" i="1"/>
  <c r="BB112" i="1"/>
  <c r="AU92" i="1"/>
  <c r="AV93" i="1" s="1"/>
  <c r="AW91" i="1"/>
  <c r="AX91" i="1"/>
  <c r="AU79" i="1"/>
  <c r="AV80" i="1" s="1"/>
  <c r="AY59" i="1"/>
  <c r="BB92" i="1"/>
  <c r="AN97" i="1"/>
  <c r="BB97" i="1" s="1"/>
  <c r="BB76" i="1"/>
  <c r="AN67" i="1"/>
  <c r="AU66" i="1"/>
  <c r="AV67" i="1" s="1"/>
  <c r="AW67" i="1" s="1"/>
  <c r="AW65" i="1"/>
  <c r="AY45" i="1"/>
  <c r="AY65" i="1"/>
  <c r="BB65" i="1" s="1"/>
  <c r="AN69" i="1"/>
  <c r="AN60" i="1"/>
  <c r="BB60" i="1" s="1"/>
  <c r="AN66" i="1"/>
  <c r="BB66" i="1" s="1"/>
  <c r="BB104" i="1"/>
  <c r="BB125" i="1"/>
  <c r="AY89" i="1"/>
  <c r="AY63" i="1"/>
  <c r="BB63" i="1" s="1"/>
  <c r="AX53" i="1"/>
  <c r="AW53" i="1"/>
  <c r="AU54" i="1"/>
  <c r="AV55" i="1" s="1"/>
  <c r="BB151" i="1"/>
  <c r="AU99" i="1"/>
  <c r="AV100" i="1" s="1"/>
  <c r="AW98" i="1"/>
  <c r="AX98" i="1"/>
  <c r="BB90" i="1"/>
  <c r="AW78" i="1"/>
  <c r="AY78" i="1" s="1"/>
  <c r="BB78" i="1" s="1"/>
  <c r="BB156" i="1"/>
  <c r="BB101" i="1"/>
  <c r="AN59" i="1"/>
  <c r="AL61" i="1"/>
  <c r="AM61" i="1"/>
  <c r="AJ61" i="1"/>
  <c r="AK62" i="1" s="1"/>
  <c r="AN145" i="1"/>
  <c r="BB145" i="1" s="1"/>
  <c r="AJ127" i="1"/>
  <c r="AK128" i="1" s="1"/>
  <c r="AL127" i="1"/>
  <c r="AM127" i="1"/>
  <c r="AN89" i="1"/>
  <c r="AN105" i="1"/>
  <c r="BB105" i="1" s="1"/>
  <c r="AY142" i="1"/>
  <c r="AY51" i="1"/>
  <c r="BB51" i="1" s="1"/>
  <c r="AY131" i="1"/>
  <c r="AY122" i="1"/>
  <c r="AN47" i="1"/>
  <c r="BB47" i="1" s="1"/>
  <c r="AY152" i="1"/>
  <c r="BB152" i="1" s="1"/>
  <c r="BC22" i="1"/>
  <c r="AN55" i="1"/>
  <c r="AU110" i="1"/>
  <c r="AX109" i="1"/>
  <c r="AW109" i="1"/>
  <c r="AU125" i="1"/>
  <c r="AX124" i="1"/>
  <c r="AW124" i="1"/>
  <c r="AY124" i="1" s="1"/>
  <c r="AY68" i="1"/>
  <c r="BB68" i="1" s="1"/>
  <c r="AY54" i="1"/>
  <c r="BB54" i="1" s="1"/>
  <c r="AL113" i="1"/>
  <c r="AM113" i="1"/>
  <c r="AJ113" i="1"/>
  <c r="AK114" i="1" s="1"/>
  <c r="AJ86" i="1"/>
  <c r="AM86" i="1"/>
  <c r="AL86" i="1"/>
  <c r="AY128" i="1"/>
  <c r="AN64" i="1"/>
  <c r="BB64" i="1" s="1"/>
  <c r="AN85" i="1"/>
  <c r="BB85" i="1" s="1"/>
  <c r="AU111" i="1"/>
  <c r="AX110" i="1"/>
  <c r="AW110" i="1"/>
  <c r="AY107" i="1"/>
  <c r="BB107" i="1" s="1"/>
  <c r="AY147" i="1"/>
  <c r="BB147" i="1" s="1"/>
  <c r="AW144" i="1"/>
  <c r="AX144" i="1"/>
  <c r="AU145" i="1"/>
  <c r="AW56" i="1"/>
  <c r="AX56" i="1"/>
  <c r="AU57" i="1"/>
  <c r="AV58" i="1" s="1"/>
  <c r="BB59" i="1" l="1"/>
  <c r="AN61" i="1"/>
  <c r="BB61" i="1" s="1"/>
  <c r="AN86" i="1"/>
  <c r="BB86" i="1" s="1"/>
  <c r="BB124" i="1"/>
  <c r="BB45" i="1"/>
  <c r="AJ128" i="1"/>
  <c r="AK129" i="1" s="1"/>
  <c r="AM128" i="1"/>
  <c r="AL128" i="1"/>
  <c r="AN95" i="1"/>
  <c r="BB95" i="1" s="1"/>
  <c r="AN150" i="1"/>
  <c r="BB150" i="1" s="1"/>
  <c r="AX93" i="1"/>
  <c r="AU94" i="1"/>
  <c r="AW93" i="1"/>
  <c r="AY93" i="1" s="1"/>
  <c r="BB93" i="1" s="1"/>
  <c r="AU101" i="1"/>
  <c r="AV102" i="1" s="1"/>
  <c r="AX100" i="1"/>
  <c r="AW100" i="1"/>
  <c r="AU81" i="1"/>
  <c r="AV82" i="1" s="1"/>
  <c r="AW80" i="1"/>
  <c r="AX80" i="1"/>
  <c r="AX72" i="1"/>
  <c r="AW72" i="1"/>
  <c r="AY72" i="1" s="1"/>
  <c r="BB72" i="1" s="1"/>
  <c r="AU73" i="1"/>
  <c r="AY91" i="1"/>
  <c r="BB91" i="1" s="1"/>
  <c r="AY70" i="1"/>
  <c r="BB70" i="1" s="1"/>
  <c r="AX67" i="1"/>
  <c r="AY67" i="1" s="1"/>
  <c r="BB67" i="1" s="1"/>
  <c r="AU68" i="1"/>
  <c r="AV69" i="1" s="1"/>
  <c r="AY53" i="1"/>
  <c r="BB53" i="1" s="1"/>
  <c r="BB89" i="1"/>
  <c r="AY56" i="1"/>
  <c r="BB56" i="1" s="1"/>
  <c r="AY109" i="1"/>
  <c r="BB109" i="1" s="1"/>
  <c r="AY98" i="1"/>
  <c r="BB98" i="1" s="1"/>
  <c r="AY110" i="1"/>
  <c r="BB110" i="1" s="1"/>
  <c r="AW55" i="1"/>
  <c r="AX55" i="1"/>
  <c r="AU56" i="1"/>
  <c r="AN127" i="1"/>
  <c r="BB127" i="1" s="1"/>
  <c r="AM62" i="1"/>
  <c r="AJ62" i="1"/>
  <c r="AL62" i="1"/>
  <c r="AY144" i="1"/>
  <c r="BB144" i="1" s="1"/>
  <c r="AN113" i="1"/>
  <c r="BB113" i="1" s="1"/>
  <c r="AM114" i="1"/>
  <c r="AL114" i="1"/>
  <c r="AJ114" i="1"/>
  <c r="AK115" i="1" s="1"/>
  <c r="AU59" i="1"/>
  <c r="AX58" i="1"/>
  <c r="AW58" i="1"/>
  <c r="AY58" i="1" l="1"/>
  <c r="BB58" i="1" s="1"/>
  <c r="AY100" i="1"/>
  <c r="BB100" i="1" s="1"/>
  <c r="AN128" i="1"/>
  <c r="BB128" i="1" s="1"/>
  <c r="AN114" i="1"/>
  <c r="BB114" i="1" s="1"/>
  <c r="AL129" i="1"/>
  <c r="AM129" i="1"/>
  <c r="AJ129" i="1"/>
  <c r="AK130" i="1" s="1"/>
  <c r="AW102" i="1"/>
  <c r="AX102" i="1"/>
  <c r="AU103" i="1"/>
  <c r="AY80" i="1"/>
  <c r="BB80" i="1" s="1"/>
  <c r="AU83" i="1"/>
  <c r="AV84" i="1" s="1"/>
  <c r="AX82" i="1"/>
  <c r="AW82" i="1"/>
  <c r="AX69" i="1"/>
  <c r="AU70" i="1"/>
  <c r="AV71" i="1" s="1"/>
  <c r="AW69" i="1"/>
  <c r="AN62" i="1"/>
  <c r="BB62" i="1" s="1"/>
  <c r="AY55" i="1"/>
  <c r="BB55" i="1" s="1"/>
  <c r="AJ115" i="1"/>
  <c r="AK116" i="1" s="1"/>
  <c r="AL115" i="1"/>
  <c r="AM115" i="1"/>
  <c r="AY82" i="1" l="1"/>
  <c r="BB82" i="1" s="1"/>
  <c r="AY69" i="1"/>
  <c r="BB69" i="1" s="1"/>
  <c r="AJ130" i="1"/>
  <c r="AK131" i="1" s="1"/>
  <c r="AM130" i="1"/>
  <c r="AL130" i="1"/>
  <c r="AN129" i="1"/>
  <c r="BB129" i="1" s="1"/>
  <c r="AU72" i="1"/>
  <c r="AV73" i="1" s="1"/>
  <c r="AX71" i="1"/>
  <c r="AW71" i="1"/>
  <c r="AY71" i="1" s="1"/>
  <c r="BB71" i="1" s="1"/>
  <c r="AW84" i="1"/>
  <c r="AU85" i="1"/>
  <c r="AX84" i="1"/>
  <c r="AY102" i="1"/>
  <c r="BB102" i="1" s="1"/>
  <c r="AN115" i="1"/>
  <c r="AJ116" i="1"/>
  <c r="AK117" i="1" s="1"/>
  <c r="AM116" i="1"/>
  <c r="AL116" i="1"/>
  <c r="AN116" i="1" l="1"/>
  <c r="BB116" i="1" s="1"/>
  <c r="AN130" i="1"/>
  <c r="BB130" i="1" s="1"/>
  <c r="AL131" i="1"/>
  <c r="AM131" i="1"/>
  <c r="AJ131" i="1"/>
  <c r="AK132" i="1" s="1"/>
  <c r="AY84" i="1"/>
  <c r="BB84" i="1" s="1"/>
  <c r="AU74" i="1"/>
  <c r="AV75" i="1" s="1"/>
  <c r="AW73" i="1"/>
  <c r="AX73" i="1"/>
  <c r="BB115" i="1"/>
  <c r="AJ117" i="1"/>
  <c r="AK118" i="1" s="1"/>
  <c r="AM117" i="1"/>
  <c r="AL117" i="1"/>
  <c r="AN117" i="1" s="1"/>
  <c r="BB117" i="1" s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T22" i="1" s="1"/>
  <c r="W23" i="1" s="1"/>
  <c r="Z23" i="1" s="1"/>
  <c r="R16" i="1"/>
  <c r="R17" i="1"/>
  <c r="R18" i="1"/>
  <c r="R19" i="1"/>
  <c r="R20" i="1"/>
  <c r="R21" i="1"/>
  <c r="T30" i="1" s="1"/>
  <c r="W31" i="1" s="1"/>
  <c r="Z31" i="1" s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7" i="1"/>
  <c r="R68" i="1"/>
  <c r="R69" i="1"/>
  <c r="R73" i="1"/>
  <c r="R74" i="1"/>
  <c r="R75" i="1"/>
  <c r="R81" i="1"/>
  <c r="R82" i="1"/>
  <c r="R83" i="1"/>
  <c r="R85" i="1"/>
  <c r="U104" i="1" s="1"/>
  <c r="R89" i="1"/>
  <c r="T98" i="1" s="1"/>
  <c r="W99" i="1" s="1"/>
  <c r="R90" i="1"/>
  <c r="R91" i="1"/>
  <c r="R92" i="1"/>
  <c r="R93" i="1"/>
  <c r="R96" i="1"/>
  <c r="R97" i="1"/>
  <c r="R99" i="1"/>
  <c r="R103" i="1"/>
  <c r="R104" i="1"/>
  <c r="R106" i="1"/>
  <c r="R108" i="1"/>
  <c r="R109" i="1"/>
  <c r="R110" i="1"/>
  <c r="R111" i="1"/>
  <c r="R113" i="1"/>
  <c r="R116" i="1"/>
  <c r="R117" i="1"/>
  <c r="R120" i="1"/>
  <c r="R122" i="1"/>
  <c r="R123" i="1"/>
  <c r="R124" i="1"/>
  <c r="R125" i="1"/>
  <c r="R127" i="1"/>
  <c r="T136" i="1" s="1"/>
  <c r="W137" i="1" s="1"/>
  <c r="R131" i="1"/>
  <c r="R132" i="1"/>
  <c r="R133" i="1"/>
  <c r="R134" i="1"/>
  <c r="R135" i="1"/>
  <c r="R138" i="1"/>
  <c r="R141" i="1"/>
  <c r="R145" i="1"/>
  <c r="R146" i="1"/>
  <c r="R147" i="1"/>
  <c r="R150" i="1"/>
  <c r="R151" i="1"/>
  <c r="R152" i="1"/>
  <c r="R153" i="1"/>
  <c r="R156" i="1"/>
  <c r="R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X63" i="1" s="1"/>
  <c r="Q63" i="1"/>
  <c r="P64" i="1"/>
  <c r="R64" i="1" s="1"/>
  <c r="Q64" i="1"/>
  <c r="P65" i="1"/>
  <c r="R65" i="1" s="1"/>
  <c r="Q65" i="1"/>
  <c r="P66" i="1"/>
  <c r="R66" i="1" s="1"/>
  <c r="Q66" i="1"/>
  <c r="P67" i="1"/>
  <c r="Q67" i="1"/>
  <c r="P68" i="1"/>
  <c r="Q68" i="1"/>
  <c r="P69" i="1"/>
  <c r="Q69" i="1"/>
  <c r="P70" i="1"/>
  <c r="R70" i="1" s="1"/>
  <c r="Q70" i="1"/>
  <c r="P71" i="1"/>
  <c r="R71" i="1" s="1"/>
  <c r="Q71" i="1"/>
  <c r="P72" i="1"/>
  <c r="R72" i="1" s="1"/>
  <c r="Q72" i="1"/>
  <c r="P73" i="1"/>
  <c r="Q73" i="1"/>
  <c r="P74" i="1"/>
  <c r="Q74" i="1"/>
  <c r="P75" i="1"/>
  <c r="Q75" i="1"/>
  <c r="P76" i="1"/>
  <c r="R76" i="1" s="1"/>
  <c r="Q76" i="1"/>
  <c r="P77" i="1"/>
  <c r="R77" i="1" s="1"/>
  <c r="Q77" i="1"/>
  <c r="P78" i="1"/>
  <c r="R78" i="1" s="1"/>
  <c r="Q78" i="1"/>
  <c r="P79" i="1"/>
  <c r="R79" i="1" s="1"/>
  <c r="Q79" i="1"/>
  <c r="P80" i="1"/>
  <c r="R80" i="1" s="1"/>
  <c r="Q80" i="1"/>
  <c r="P81" i="1"/>
  <c r="Q81" i="1"/>
  <c r="P82" i="1"/>
  <c r="Q82" i="1"/>
  <c r="P83" i="1"/>
  <c r="Q83" i="1"/>
  <c r="P84" i="1"/>
  <c r="R84" i="1" s="1"/>
  <c r="Q84" i="1"/>
  <c r="P85" i="1"/>
  <c r="Q85" i="1"/>
  <c r="P86" i="1"/>
  <c r="R86" i="1" s="1"/>
  <c r="Q86" i="1"/>
  <c r="P87" i="1"/>
  <c r="R87" i="1" s="1"/>
  <c r="Q87" i="1"/>
  <c r="P88" i="1"/>
  <c r="R88" i="1" s="1"/>
  <c r="Q88" i="1"/>
  <c r="P89" i="1"/>
  <c r="Q89" i="1"/>
  <c r="P90" i="1"/>
  <c r="Q90" i="1"/>
  <c r="P91" i="1"/>
  <c r="Q91" i="1"/>
  <c r="P92" i="1"/>
  <c r="Q92" i="1"/>
  <c r="P93" i="1"/>
  <c r="Q93" i="1"/>
  <c r="P94" i="1"/>
  <c r="R94" i="1" s="1"/>
  <c r="Q94" i="1"/>
  <c r="P95" i="1"/>
  <c r="R95" i="1" s="1"/>
  <c r="Q95" i="1"/>
  <c r="P96" i="1"/>
  <c r="Q96" i="1"/>
  <c r="P97" i="1"/>
  <c r="Q97" i="1"/>
  <c r="P98" i="1"/>
  <c r="R98" i="1" s="1"/>
  <c r="Q98" i="1"/>
  <c r="P99" i="1"/>
  <c r="Q99" i="1"/>
  <c r="P100" i="1"/>
  <c r="R100" i="1" s="1"/>
  <c r="Q100" i="1"/>
  <c r="P101" i="1"/>
  <c r="R101" i="1" s="1"/>
  <c r="Q101" i="1"/>
  <c r="P102" i="1"/>
  <c r="R102" i="1" s="1"/>
  <c r="Q102" i="1"/>
  <c r="P103" i="1"/>
  <c r="Q103" i="1"/>
  <c r="P104" i="1"/>
  <c r="Q104" i="1"/>
  <c r="P105" i="1"/>
  <c r="R105" i="1" s="1"/>
  <c r="Q105" i="1"/>
  <c r="P106" i="1"/>
  <c r="Q106" i="1"/>
  <c r="P107" i="1"/>
  <c r="R107" i="1" s="1"/>
  <c r="Q107" i="1"/>
  <c r="P108" i="1"/>
  <c r="Q108" i="1"/>
  <c r="P109" i="1"/>
  <c r="Q109" i="1"/>
  <c r="P110" i="1"/>
  <c r="Q110" i="1"/>
  <c r="P111" i="1"/>
  <c r="Q111" i="1"/>
  <c r="P112" i="1"/>
  <c r="R112" i="1" s="1"/>
  <c r="Q112" i="1"/>
  <c r="P113" i="1"/>
  <c r="Q113" i="1"/>
  <c r="P114" i="1"/>
  <c r="R114" i="1" s="1"/>
  <c r="Q114" i="1"/>
  <c r="P115" i="1"/>
  <c r="R115" i="1" s="1"/>
  <c r="Q115" i="1"/>
  <c r="P116" i="1"/>
  <c r="Q116" i="1"/>
  <c r="P117" i="1"/>
  <c r="Q117" i="1"/>
  <c r="P118" i="1"/>
  <c r="R118" i="1" s="1"/>
  <c r="Q118" i="1"/>
  <c r="P119" i="1"/>
  <c r="R119" i="1" s="1"/>
  <c r="Q119" i="1"/>
  <c r="P120" i="1"/>
  <c r="Q120" i="1"/>
  <c r="P121" i="1"/>
  <c r="R121" i="1" s="1"/>
  <c r="Q121" i="1"/>
  <c r="P122" i="1"/>
  <c r="Q122" i="1"/>
  <c r="P123" i="1"/>
  <c r="Q123" i="1"/>
  <c r="P124" i="1"/>
  <c r="Q124" i="1"/>
  <c r="P125" i="1"/>
  <c r="Q125" i="1"/>
  <c r="P126" i="1"/>
  <c r="R126" i="1" s="1"/>
  <c r="Q126" i="1"/>
  <c r="P127" i="1"/>
  <c r="Q127" i="1"/>
  <c r="P128" i="1"/>
  <c r="R128" i="1" s="1"/>
  <c r="Q128" i="1"/>
  <c r="P129" i="1"/>
  <c r="R129" i="1" s="1"/>
  <c r="Q129" i="1"/>
  <c r="P130" i="1"/>
  <c r="R130" i="1" s="1"/>
  <c r="Q130" i="1"/>
  <c r="P131" i="1"/>
  <c r="Q131" i="1"/>
  <c r="P132" i="1"/>
  <c r="Q132" i="1"/>
  <c r="P133" i="1"/>
  <c r="Q133" i="1"/>
  <c r="P134" i="1"/>
  <c r="Q134" i="1"/>
  <c r="P135" i="1"/>
  <c r="Q135" i="1"/>
  <c r="P136" i="1"/>
  <c r="R136" i="1" s="1"/>
  <c r="Q136" i="1"/>
  <c r="P137" i="1"/>
  <c r="R137" i="1" s="1"/>
  <c r="Q137" i="1"/>
  <c r="P138" i="1"/>
  <c r="Q138" i="1"/>
  <c r="P139" i="1"/>
  <c r="R139" i="1" s="1"/>
  <c r="Q139" i="1"/>
  <c r="P140" i="1"/>
  <c r="R140" i="1" s="1"/>
  <c r="Q140" i="1"/>
  <c r="P141" i="1"/>
  <c r="Q141" i="1"/>
  <c r="P142" i="1"/>
  <c r="R142" i="1" s="1"/>
  <c r="Q142" i="1"/>
  <c r="P143" i="1"/>
  <c r="R143" i="1" s="1"/>
  <c r="Q143" i="1"/>
  <c r="P144" i="1"/>
  <c r="R144" i="1" s="1"/>
  <c r="Q144" i="1"/>
  <c r="P145" i="1"/>
  <c r="Q145" i="1"/>
  <c r="P146" i="1"/>
  <c r="Q146" i="1"/>
  <c r="P147" i="1"/>
  <c r="Q147" i="1"/>
  <c r="P148" i="1"/>
  <c r="R148" i="1" s="1"/>
  <c r="Q148" i="1"/>
  <c r="P149" i="1"/>
  <c r="R149" i="1" s="1"/>
  <c r="Q149" i="1"/>
  <c r="P150" i="1"/>
  <c r="Q150" i="1"/>
  <c r="P151" i="1"/>
  <c r="Q151" i="1"/>
  <c r="P152" i="1"/>
  <c r="Q152" i="1"/>
  <c r="P153" i="1"/>
  <c r="Q153" i="1"/>
  <c r="P154" i="1"/>
  <c r="R154" i="1" s="1"/>
  <c r="Q154" i="1"/>
  <c r="P155" i="1"/>
  <c r="R155" i="1" s="1"/>
  <c r="Q155" i="1"/>
  <c r="P156" i="1"/>
  <c r="Q156" i="1"/>
  <c r="Q22" i="1"/>
  <c r="P22" i="1"/>
  <c r="AM118" i="1" l="1"/>
  <c r="AL118" i="1"/>
  <c r="AJ118" i="1"/>
  <c r="AK119" i="1" s="1"/>
  <c r="AJ132" i="1"/>
  <c r="AK133" i="1" s="1"/>
  <c r="AM132" i="1"/>
  <c r="AL132" i="1"/>
  <c r="AN131" i="1"/>
  <c r="BB131" i="1" s="1"/>
  <c r="AY73" i="1"/>
  <c r="BB73" i="1" s="1"/>
  <c r="AX75" i="1"/>
  <c r="AW75" i="1"/>
  <c r="AU76" i="1"/>
  <c r="AV77" i="1" s="1"/>
  <c r="U23" i="1"/>
  <c r="X24" i="1" s="1"/>
  <c r="AA24" i="1" s="1"/>
  <c r="T27" i="1"/>
  <c r="W28" i="1" s="1"/>
  <c r="Z28" i="1" s="1"/>
  <c r="T29" i="1"/>
  <c r="W30" i="1" s="1"/>
  <c r="Z30" i="1" s="1"/>
  <c r="T28" i="1"/>
  <c r="W29" i="1" s="1"/>
  <c r="Z29" i="1" s="1"/>
  <c r="U40" i="1"/>
  <c r="X41" i="1" s="1"/>
  <c r="AA41" i="1" s="1"/>
  <c r="AT41" i="1" s="1"/>
  <c r="U39" i="1"/>
  <c r="X40" i="1" s="1"/>
  <c r="AA40" i="1" s="1"/>
  <c r="AS40" i="1" s="1"/>
  <c r="U38" i="1"/>
  <c r="X39" i="1" s="1"/>
  <c r="AA39" i="1" s="1"/>
  <c r="AH39" i="1" s="1"/>
  <c r="U37" i="1"/>
  <c r="X38" i="1" s="1"/>
  <c r="AA38" i="1" s="1"/>
  <c r="AS38" i="1" s="1"/>
  <c r="T14" i="1"/>
  <c r="W15" i="1" s="1"/>
  <c r="Z15" i="1" s="1"/>
  <c r="AH41" i="1"/>
  <c r="AS41" i="1"/>
  <c r="AI41" i="1"/>
  <c r="U22" i="1"/>
  <c r="X23" i="1" s="1"/>
  <c r="AA23" i="1" s="1"/>
  <c r="T11" i="1"/>
  <c r="W12" i="1" s="1"/>
  <c r="Z12" i="1" s="1"/>
  <c r="T12" i="1"/>
  <c r="W13" i="1" s="1"/>
  <c r="Z13" i="1" s="1"/>
  <c r="U34" i="1"/>
  <c r="X35" i="1" s="1"/>
  <c r="AA35" i="1" s="1"/>
  <c r="U33" i="1"/>
  <c r="X34" i="1" s="1"/>
  <c r="AA34" i="1" s="1"/>
  <c r="U36" i="1"/>
  <c r="X37" i="1" s="1"/>
  <c r="AA37" i="1" s="1"/>
  <c r="T26" i="1"/>
  <c r="W27" i="1" s="1"/>
  <c r="Z27" i="1" s="1"/>
  <c r="AH24" i="1"/>
  <c r="AT24" i="1"/>
  <c r="AS24" i="1"/>
  <c r="AI24" i="1"/>
  <c r="T21" i="1"/>
  <c r="W22" i="1" s="1"/>
  <c r="Z22" i="1" s="1"/>
  <c r="U25" i="1"/>
  <c r="X26" i="1" s="1"/>
  <c r="AA26" i="1" s="1"/>
  <c r="U21" i="1"/>
  <c r="X22" i="1" s="1"/>
  <c r="AA22" i="1" s="1"/>
  <c r="U26" i="1"/>
  <c r="X27" i="1" s="1"/>
  <c r="AA27" i="1" s="1"/>
  <c r="U32" i="1"/>
  <c r="X33" i="1" s="1"/>
  <c r="AA33" i="1" s="1"/>
  <c r="U30" i="1"/>
  <c r="X31" i="1" s="1"/>
  <c r="AA31" i="1" s="1"/>
  <c r="T19" i="1"/>
  <c r="W20" i="1" s="1"/>
  <c r="Z20" i="1" s="1"/>
  <c r="U29" i="1"/>
  <c r="X30" i="1" s="1"/>
  <c r="AA30" i="1" s="1"/>
  <c r="T18" i="1"/>
  <c r="W19" i="1" s="1"/>
  <c r="Z19" i="1" s="1"/>
  <c r="U28" i="1"/>
  <c r="X29" i="1" s="1"/>
  <c r="AA29" i="1" s="1"/>
  <c r="T17" i="1"/>
  <c r="W18" i="1" s="1"/>
  <c r="Z18" i="1" s="1"/>
  <c r="U27" i="1"/>
  <c r="X28" i="1" s="1"/>
  <c r="AA28" i="1" s="1"/>
  <c r="T16" i="1"/>
  <c r="W17" i="1" s="1"/>
  <c r="Z17" i="1" s="1"/>
  <c r="T13" i="1"/>
  <c r="W14" i="1" s="1"/>
  <c r="Z14" i="1" s="1"/>
  <c r="T25" i="1"/>
  <c r="W26" i="1" s="1"/>
  <c r="Z26" i="1" s="1"/>
  <c r="U35" i="1"/>
  <c r="X36" i="1" s="1"/>
  <c r="AA36" i="1" s="1"/>
  <c r="U31" i="1"/>
  <c r="X32" i="1" s="1"/>
  <c r="AA32" i="1" s="1"/>
  <c r="T20" i="1"/>
  <c r="W21" i="1" s="1"/>
  <c r="Z21" i="1" s="1"/>
  <c r="T15" i="1"/>
  <c r="W16" i="1" s="1"/>
  <c r="Z16" i="1" s="1"/>
  <c r="U24" i="1"/>
  <c r="X25" i="1" s="1"/>
  <c r="AA25" i="1" s="1"/>
  <c r="T24" i="1"/>
  <c r="W25" i="1" s="1"/>
  <c r="Z25" i="1" s="1"/>
  <c r="T23" i="1"/>
  <c r="W24" i="1" s="1"/>
  <c r="Z24" i="1" s="1"/>
  <c r="T156" i="1"/>
  <c r="T149" i="1"/>
  <c r="W150" i="1" s="1"/>
  <c r="T153" i="1"/>
  <c r="W154" i="1" s="1"/>
  <c r="T155" i="1"/>
  <c r="W156" i="1" s="1"/>
  <c r="T154" i="1"/>
  <c r="W155" i="1" s="1"/>
  <c r="T135" i="1"/>
  <c r="W136" i="1" s="1"/>
  <c r="U145" i="1"/>
  <c r="X146" i="1" s="1"/>
  <c r="T134" i="1"/>
  <c r="W135" i="1" s="1"/>
  <c r="U152" i="1"/>
  <c r="X153" i="1" s="1"/>
  <c r="T141" i="1"/>
  <c r="W142" i="1" s="1"/>
  <c r="T147" i="1"/>
  <c r="W148" i="1" s="1"/>
  <c r="T148" i="1"/>
  <c r="W149" i="1" s="1"/>
  <c r="T140" i="1"/>
  <c r="W141" i="1" s="1"/>
  <c r="T139" i="1"/>
  <c r="W140" i="1" s="1"/>
  <c r="U149" i="1"/>
  <c r="X150" i="1" s="1"/>
  <c r="T138" i="1"/>
  <c r="W139" i="1" s="1"/>
  <c r="U148" i="1"/>
  <c r="X149" i="1" s="1"/>
  <c r="U156" i="1"/>
  <c r="T146" i="1"/>
  <c r="W147" i="1" s="1"/>
  <c r="T152" i="1"/>
  <c r="W153" i="1" s="1"/>
  <c r="U155" i="1"/>
  <c r="X156" i="1" s="1"/>
  <c r="T145" i="1"/>
  <c r="W146" i="1" s="1"/>
  <c r="T151" i="1"/>
  <c r="W152" i="1" s="1"/>
  <c r="T137" i="1"/>
  <c r="W138" i="1" s="1"/>
  <c r="U147" i="1"/>
  <c r="X148" i="1" s="1"/>
  <c r="T150" i="1"/>
  <c r="W151" i="1" s="1"/>
  <c r="U154" i="1"/>
  <c r="X155" i="1" s="1"/>
  <c r="T143" i="1"/>
  <c r="W144" i="1" s="1"/>
  <c r="U153" i="1"/>
  <c r="X154" i="1" s="1"/>
  <c r="U150" i="1"/>
  <c r="X151" i="1" s="1"/>
  <c r="T144" i="1"/>
  <c r="W145" i="1" s="1"/>
  <c r="T142" i="1"/>
  <c r="W143" i="1" s="1"/>
  <c r="U136" i="1"/>
  <c r="X137" i="1" s="1"/>
  <c r="U151" i="1"/>
  <c r="X152" i="1" s="1"/>
  <c r="U146" i="1"/>
  <c r="X147" i="1" s="1"/>
  <c r="T133" i="1"/>
  <c r="W134" i="1" s="1"/>
  <c r="U143" i="1"/>
  <c r="X144" i="1" s="1"/>
  <c r="U142" i="1"/>
  <c r="X143" i="1" s="1"/>
  <c r="U144" i="1"/>
  <c r="X145" i="1" s="1"/>
  <c r="U141" i="1"/>
  <c r="X142" i="1" s="1"/>
  <c r="U135" i="1"/>
  <c r="X136" i="1" s="1"/>
  <c r="T123" i="1"/>
  <c r="W124" i="1" s="1"/>
  <c r="U133" i="1"/>
  <c r="X134" i="1" s="1"/>
  <c r="U129" i="1"/>
  <c r="X130" i="1" s="1"/>
  <c r="U128" i="1"/>
  <c r="X129" i="1" s="1"/>
  <c r="U127" i="1"/>
  <c r="X128" i="1" s="1"/>
  <c r="U125" i="1"/>
  <c r="X126" i="1" s="1"/>
  <c r="U138" i="1"/>
  <c r="X139" i="1" s="1"/>
  <c r="T128" i="1"/>
  <c r="W129" i="1" s="1"/>
  <c r="T121" i="1"/>
  <c r="W122" i="1" s="1"/>
  <c r="U131" i="1"/>
  <c r="X132" i="1" s="1"/>
  <c r="T120" i="1"/>
  <c r="W121" i="1" s="1"/>
  <c r="U124" i="1"/>
  <c r="X125" i="1" s="1"/>
  <c r="T113" i="1"/>
  <c r="W114" i="1" s="1"/>
  <c r="T114" i="1"/>
  <c r="W115" i="1" s="1"/>
  <c r="U134" i="1"/>
  <c r="X135" i="1" s="1"/>
  <c r="T124" i="1"/>
  <c r="W125" i="1" s="1"/>
  <c r="U132" i="1"/>
  <c r="X133" i="1" s="1"/>
  <c r="U130" i="1"/>
  <c r="X131" i="1" s="1"/>
  <c r="U126" i="1"/>
  <c r="X127" i="1" s="1"/>
  <c r="T115" i="1"/>
  <c r="W116" i="1" s="1"/>
  <c r="T116" i="1"/>
  <c r="W117" i="1" s="1"/>
  <c r="U140" i="1"/>
  <c r="X141" i="1" s="1"/>
  <c r="T129" i="1"/>
  <c r="W130" i="1" s="1"/>
  <c r="T130" i="1"/>
  <c r="W131" i="1" s="1"/>
  <c r="U137" i="1"/>
  <c r="X138" i="1" s="1"/>
  <c r="T127" i="1"/>
  <c r="W128" i="1" s="1"/>
  <c r="U139" i="1"/>
  <c r="X140" i="1" s="1"/>
  <c r="T119" i="1"/>
  <c r="W120" i="1" s="1"/>
  <c r="T132" i="1"/>
  <c r="W133" i="1" s="1"/>
  <c r="T118" i="1"/>
  <c r="W119" i="1" s="1"/>
  <c r="T131" i="1"/>
  <c r="W132" i="1" s="1"/>
  <c r="T117" i="1"/>
  <c r="W118" i="1" s="1"/>
  <c r="X105" i="1"/>
  <c r="U123" i="1"/>
  <c r="X124" i="1" s="1"/>
  <c r="T126" i="1"/>
  <c r="W127" i="1" s="1"/>
  <c r="T125" i="1"/>
  <c r="W126" i="1" s="1"/>
  <c r="T122" i="1"/>
  <c r="W123" i="1" s="1"/>
  <c r="T112" i="1"/>
  <c r="W113" i="1" s="1"/>
  <c r="U109" i="1"/>
  <c r="X110" i="1" s="1"/>
  <c r="U114" i="1"/>
  <c r="X115" i="1" s="1"/>
  <c r="T104" i="1"/>
  <c r="W105" i="1" s="1"/>
  <c r="T103" i="1"/>
  <c r="W104" i="1" s="1"/>
  <c r="U113" i="1"/>
  <c r="X114" i="1" s="1"/>
  <c r="T96" i="1"/>
  <c r="W97" i="1" s="1"/>
  <c r="U106" i="1"/>
  <c r="X107" i="1" s="1"/>
  <c r="T111" i="1"/>
  <c r="W112" i="1" s="1"/>
  <c r="U121" i="1"/>
  <c r="X122" i="1" s="1"/>
  <c r="U120" i="1"/>
  <c r="X121" i="1" s="1"/>
  <c r="T110" i="1"/>
  <c r="W111" i="1" s="1"/>
  <c r="U119" i="1"/>
  <c r="X120" i="1" s="1"/>
  <c r="T108" i="1"/>
  <c r="W109" i="1" s="1"/>
  <c r="T109" i="1"/>
  <c r="W110" i="1" s="1"/>
  <c r="U105" i="1"/>
  <c r="X106" i="1" s="1"/>
  <c r="T95" i="1"/>
  <c r="W96" i="1" s="1"/>
  <c r="T94" i="1"/>
  <c r="W95" i="1" s="1"/>
  <c r="U118" i="1"/>
  <c r="X119" i="1" s="1"/>
  <c r="T97" i="1"/>
  <c r="W98" i="1" s="1"/>
  <c r="U107" i="1"/>
  <c r="X108" i="1" s="1"/>
  <c r="U116" i="1"/>
  <c r="X117" i="1" s="1"/>
  <c r="U115" i="1"/>
  <c r="X116" i="1" s="1"/>
  <c r="T102" i="1"/>
  <c r="W103" i="1" s="1"/>
  <c r="T105" i="1"/>
  <c r="W106" i="1" s="1"/>
  <c r="U117" i="1"/>
  <c r="X118" i="1" s="1"/>
  <c r="T106" i="1"/>
  <c r="W107" i="1" s="1"/>
  <c r="T107" i="1"/>
  <c r="W108" i="1" s="1"/>
  <c r="U111" i="1"/>
  <c r="X112" i="1" s="1"/>
  <c r="T100" i="1"/>
  <c r="W101" i="1" s="1"/>
  <c r="U112" i="1"/>
  <c r="X113" i="1" s="1"/>
  <c r="U108" i="1"/>
  <c r="X109" i="1" s="1"/>
  <c r="U110" i="1"/>
  <c r="X111" i="1" s="1"/>
  <c r="U122" i="1"/>
  <c r="X123" i="1" s="1"/>
  <c r="T101" i="1"/>
  <c r="W102" i="1" s="1"/>
  <c r="T99" i="1"/>
  <c r="W100" i="1" s="1"/>
  <c r="T90" i="1"/>
  <c r="W91" i="1" s="1"/>
  <c r="U103" i="1"/>
  <c r="X104" i="1" s="1"/>
  <c r="T93" i="1"/>
  <c r="W94" i="1" s="1"/>
  <c r="U101" i="1"/>
  <c r="X102" i="1" s="1"/>
  <c r="U102" i="1"/>
  <c r="X103" i="1" s="1"/>
  <c r="U100" i="1"/>
  <c r="X101" i="1" s="1"/>
  <c r="T92" i="1"/>
  <c r="W93" i="1" s="1"/>
  <c r="U91" i="1"/>
  <c r="X92" i="1" s="1"/>
  <c r="T81" i="1"/>
  <c r="W82" i="1" s="1"/>
  <c r="U90" i="1"/>
  <c r="X91" i="1" s="1"/>
  <c r="T80" i="1"/>
  <c r="W81" i="1" s="1"/>
  <c r="T88" i="1"/>
  <c r="W89" i="1" s="1"/>
  <c r="U98" i="1"/>
  <c r="X99" i="1" s="1"/>
  <c r="T87" i="1"/>
  <c r="W88" i="1" s="1"/>
  <c r="U97" i="1"/>
  <c r="X98" i="1" s="1"/>
  <c r="T79" i="1"/>
  <c r="W80" i="1" s="1"/>
  <c r="U88" i="1"/>
  <c r="X89" i="1" s="1"/>
  <c r="U89" i="1"/>
  <c r="X90" i="1" s="1"/>
  <c r="U87" i="1"/>
  <c r="X88" i="1" s="1"/>
  <c r="T76" i="1"/>
  <c r="W77" i="1" s="1"/>
  <c r="T72" i="1"/>
  <c r="W73" i="1" s="1"/>
  <c r="S32" i="1"/>
  <c r="V33" i="1" s="1"/>
  <c r="Y33" i="1" s="1"/>
  <c r="S71" i="1"/>
  <c r="V72" i="1" s="1"/>
  <c r="Y72" i="1" s="1"/>
  <c r="S99" i="1"/>
  <c r="V100" i="1" s="1"/>
  <c r="Y100" i="1" s="1"/>
  <c r="S127" i="1"/>
  <c r="V128" i="1" s="1"/>
  <c r="Y128" i="1" s="1"/>
  <c r="S151" i="1"/>
  <c r="V152" i="1" s="1"/>
  <c r="Y152" i="1" s="1"/>
  <c r="T73" i="1"/>
  <c r="W74" i="1" s="1"/>
  <c r="S33" i="1"/>
  <c r="V34" i="1" s="1"/>
  <c r="Y34" i="1" s="1"/>
  <c r="S72" i="1"/>
  <c r="V73" i="1" s="1"/>
  <c r="Y73" i="1" s="1"/>
  <c r="S128" i="1"/>
  <c r="V129" i="1" s="1"/>
  <c r="Y129" i="1" s="1"/>
  <c r="S2" i="1"/>
  <c r="V3" i="1" s="1"/>
  <c r="Y3" i="1" s="1"/>
  <c r="U64" i="1"/>
  <c r="X65" i="1" s="1"/>
  <c r="S34" i="1"/>
  <c r="V35" i="1" s="1"/>
  <c r="Y35" i="1" s="1"/>
  <c r="S103" i="1"/>
  <c r="V104" i="1" s="1"/>
  <c r="Y104" i="1" s="1"/>
  <c r="S45" i="1"/>
  <c r="V46" i="1" s="1"/>
  <c r="Y46" i="1" s="1"/>
  <c r="S101" i="1"/>
  <c r="V102" i="1" s="1"/>
  <c r="Y102" i="1" s="1"/>
  <c r="S130" i="1"/>
  <c r="V131" i="1" s="1"/>
  <c r="Y131" i="1" s="1"/>
  <c r="U67" i="1"/>
  <c r="X68" i="1" s="1"/>
  <c r="S8" i="1"/>
  <c r="V9" i="1" s="1"/>
  <c r="Y9" i="1" s="1"/>
  <c r="S46" i="1"/>
  <c r="V47" i="1" s="1"/>
  <c r="Y47" i="1" s="1"/>
  <c r="S78" i="1"/>
  <c r="V79" i="1" s="1"/>
  <c r="Y79" i="1" s="1"/>
  <c r="S106" i="1"/>
  <c r="V107" i="1" s="1"/>
  <c r="Y107" i="1" s="1"/>
  <c r="S136" i="1"/>
  <c r="V137" i="1" s="1"/>
  <c r="Y137" i="1" s="1"/>
  <c r="S95" i="1"/>
  <c r="V96" i="1" s="1"/>
  <c r="Y96" i="1" s="1"/>
  <c r="S73" i="1"/>
  <c r="V74" i="1" s="1"/>
  <c r="Y74" i="1" s="1"/>
  <c r="S5" i="1"/>
  <c r="V6" i="1" s="1"/>
  <c r="Y6" i="1" s="1"/>
  <c r="S134" i="1"/>
  <c r="V135" i="1" s="1"/>
  <c r="Y135" i="1" s="1"/>
  <c r="U69" i="1"/>
  <c r="X70" i="1" s="1"/>
  <c r="S11" i="1"/>
  <c r="V12" i="1" s="1"/>
  <c r="Y12" i="1" s="1"/>
  <c r="S47" i="1"/>
  <c r="V48" i="1" s="1"/>
  <c r="Y48" i="1" s="1"/>
  <c r="S81" i="1"/>
  <c r="V82" i="1" s="1"/>
  <c r="Y82" i="1" s="1"/>
  <c r="S108" i="1"/>
  <c r="V109" i="1" s="1"/>
  <c r="Y109" i="1" s="1"/>
  <c r="S137" i="1"/>
  <c r="V138" i="1" s="1"/>
  <c r="Y138" i="1" s="1"/>
  <c r="U71" i="1"/>
  <c r="X72" i="1" s="1"/>
  <c r="S15" i="1"/>
  <c r="V16" i="1" s="1"/>
  <c r="Y16" i="1" s="1"/>
  <c r="S48" i="1"/>
  <c r="V49" i="1" s="1"/>
  <c r="Y49" i="1" s="1"/>
  <c r="S85" i="1"/>
  <c r="V86" i="1" s="1"/>
  <c r="Y86" i="1" s="1"/>
  <c r="S114" i="1"/>
  <c r="V115" i="1" s="1"/>
  <c r="Y115" i="1" s="1"/>
  <c r="S141" i="1"/>
  <c r="V142" i="1" s="1"/>
  <c r="Y142" i="1" s="1"/>
  <c r="U79" i="1"/>
  <c r="X80" i="1" s="1"/>
  <c r="S58" i="1"/>
  <c r="V59" i="1" s="1"/>
  <c r="Y59" i="1" s="1"/>
  <c r="S117" i="1"/>
  <c r="V118" i="1" s="1"/>
  <c r="Y118" i="1" s="1"/>
  <c r="S59" i="1"/>
  <c r="V60" i="1" s="1"/>
  <c r="Y60" i="1" s="1"/>
  <c r="S118" i="1"/>
  <c r="V119" i="1" s="1"/>
  <c r="Y119" i="1" s="1"/>
  <c r="U83" i="1"/>
  <c r="X84" i="1" s="1"/>
  <c r="S60" i="1"/>
  <c r="V61" i="1" s="1"/>
  <c r="Y61" i="1" s="1"/>
  <c r="S148" i="1"/>
  <c r="V149" i="1" s="1"/>
  <c r="Y149" i="1" s="1"/>
  <c r="S61" i="1"/>
  <c r="V62" i="1" s="1"/>
  <c r="Y62" i="1" s="1"/>
  <c r="S150" i="1"/>
  <c r="V151" i="1" s="1"/>
  <c r="Y151" i="1" s="1"/>
  <c r="S129" i="1"/>
  <c r="V130" i="1" s="1"/>
  <c r="Y130" i="1" s="1"/>
  <c r="S36" i="1"/>
  <c r="V37" i="1" s="1"/>
  <c r="Y37" i="1" s="1"/>
  <c r="S76" i="1"/>
  <c r="V77" i="1" s="1"/>
  <c r="Y77" i="1" s="1"/>
  <c r="U74" i="1"/>
  <c r="X75" i="1" s="1"/>
  <c r="S19" i="1"/>
  <c r="V20" i="1" s="1"/>
  <c r="Y20" i="1" s="1"/>
  <c r="S53" i="1"/>
  <c r="V54" i="1" s="1"/>
  <c r="Y54" i="1" s="1"/>
  <c r="S86" i="1"/>
  <c r="V87" i="1" s="1"/>
  <c r="Y87" i="1" s="1"/>
  <c r="S115" i="1"/>
  <c r="V116" i="1" s="1"/>
  <c r="Y116" i="1" s="1"/>
  <c r="S142" i="1"/>
  <c r="V143" i="1" s="1"/>
  <c r="Y143" i="1" s="1"/>
  <c r="U78" i="1"/>
  <c r="X79" i="1" s="1"/>
  <c r="S20" i="1"/>
  <c r="V21" i="1" s="1"/>
  <c r="Y21" i="1" s="1"/>
  <c r="S57" i="1"/>
  <c r="V58" i="1" s="1"/>
  <c r="Y58" i="1" s="1"/>
  <c r="S87" i="1"/>
  <c r="V88" i="1" s="1"/>
  <c r="Y88" i="1" s="1"/>
  <c r="S116" i="1"/>
  <c r="V117" i="1" s="1"/>
  <c r="Y117" i="1" s="1"/>
  <c r="S144" i="1"/>
  <c r="V145" i="1" s="1"/>
  <c r="Y145" i="1" s="1"/>
  <c r="S22" i="1"/>
  <c r="V23" i="1" s="1"/>
  <c r="Y23" i="1" s="1"/>
  <c r="S90" i="1"/>
  <c r="V91" i="1" s="1"/>
  <c r="Y91" i="1" s="1"/>
  <c r="S145" i="1"/>
  <c r="V146" i="1" s="1"/>
  <c r="Y146" i="1" s="1"/>
  <c r="U80" i="1"/>
  <c r="X81" i="1" s="1"/>
  <c r="S25" i="1"/>
  <c r="V26" i="1" s="1"/>
  <c r="Y26" i="1" s="1"/>
  <c r="S92" i="1"/>
  <c r="V93" i="1" s="1"/>
  <c r="Y93" i="1" s="1"/>
  <c r="S146" i="1"/>
  <c r="V147" i="1" s="1"/>
  <c r="Y147" i="1" s="1"/>
  <c r="T65" i="1"/>
  <c r="W66" i="1" s="1"/>
  <c r="S30" i="1"/>
  <c r="V31" i="1" s="1"/>
  <c r="Y31" i="1" s="1"/>
  <c r="S94" i="1"/>
  <c r="V95" i="1" s="1"/>
  <c r="Y95" i="1" s="1"/>
  <c r="S122" i="1"/>
  <c r="V123" i="1" s="1"/>
  <c r="Y123" i="1" s="1"/>
  <c r="T68" i="1"/>
  <c r="W69" i="1" s="1"/>
  <c r="S31" i="1"/>
  <c r="V32" i="1" s="1"/>
  <c r="Y32" i="1" s="1"/>
  <c r="S123" i="1"/>
  <c r="V124" i="1" s="1"/>
  <c r="Y124" i="1" s="1"/>
  <c r="S4" i="1"/>
  <c r="V5" i="1" s="1"/>
  <c r="Y5" i="1" s="1"/>
  <c r="S102" i="1"/>
  <c r="V103" i="1" s="1"/>
  <c r="Y103" i="1" s="1"/>
  <c r="U65" i="1"/>
  <c r="X66" i="1" s="1"/>
  <c r="S74" i="1"/>
  <c r="V75" i="1" s="1"/>
  <c r="Y75" i="1" s="1"/>
  <c r="U66" i="1"/>
  <c r="X67" i="1" s="1"/>
  <c r="S6" i="1"/>
  <c r="V7" i="1" s="1"/>
  <c r="Y7" i="1" s="1"/>
  <c r="S104" i="1"/>
  <c r="V105" i="1" s="1"/>
  <c r="Y105" i="1" s="1"/>
  <c r="T84" i="1"/>
  <c r="W85" i="1" s="1"/>
  <c r="U93" i="1"/>
  <c r="X94" i="1" s="1"/>
  <c r="U92" i="1"/>
  <c r="X93" i="1" s="1"/>
  <c r="T74" i="1"/>
  <c r="W75" i="1" s="1"/>
  <c r="U84" i="1"/>
  <c r="X85" i="1" s="1"/>
  <c r="T86" i="1"/>
  <c r="W87" i="1" s="1"/>
  <c r="U96" i="1"/>
  <c r="X97" i="1" s="1"/>
  <c r="T85" i="1"/>
  <c r="W86" i="1" s="1"/>
  <c r="U95" i="1"/>
  <c r="X96" i="1" s="1"/>
  <c r="T78" i="1"/>
  <c r="W79" i="1" s="1"/>
  <c r="U99" i="1"/>
  <c r="X100" i="1" s="1"/>
  <c r="T89" i="1"/>
  <c r="W90" i="1" s="1"/>
  <c r="U85" i="1"/>
  <c r="X86" i="1" s="1"/>
  <c r="T75" i="1"/>
  <c r="W76" i="1" s="1"/>
  <c r="U86" i="1"/>
  <c r="X87" i="1" s="1"/>
  <c r="T83" i="1"/>
  <c r="W84" i="1" s="1"/>
  <c r="T82" i="1"/>
  <c r="W83" i="1" s="1"/>
  <c r="U94" i="1"/>
  <c r="X95" i="1" s="1"/>
  <c r="T91" i="1"/>
  <c r="W92" i="1" s="1"/>
  <c r="T77" i="1"/>
  <c r="W78" i="1" s="1"/>
  <c r="U70" i="1"/>
  <c r="X71" i="1" s="1"/>
  <c r="T64" i="1"/>
  <c r="W65" i="1" s="1"/>
  <c r="S7" i="1"/>
  <c r="V8" i="1" s="1"/>
  <c r="Y8" i="1" s="1"/>
  <c r="S21" i="1"/>
  <c r="V22" i="1" s="1"/>
  <c r="Y22" i="1" s="1"/>
  <c r="S35" i="1"/>
  <c r="V36" i="1" s="1"/>
  <c r="Y36" i="1" s="1"/>
  <c r="S49" i="1"/>
  <c r="V50" i="1" s="1"/>
  <c r="Y50" i="1" s="1"/>
  <c r="S63" i="1"/>
  <c r="V64" i="1" s="1"/>
  <c r="Y64" i="1" s="1"/>
  <c r="S77" i="1"/>
  <c r="V78" i="1" s="1"/>
  <c r="Y78" i="1" s="1"/>
  <c r="S91" i="1"/>
  <c r="V92" i="1" s="1"/>
  <c r="Y92" i="1" s="1"/>
  <c r="S105" i="1"/>
  <c r="V106" i="1" s="1"/>
  <c r="Y106" i="1" s="1"/>
  <c r="S119" i="1"/>
  <c r="V120" i="1" s="1"/>
  <c r="Y120" i="1" s="1"/>
  <c r="S133" i="1"/>
  <c r="V134" i="1" s="1"/>
  <c r="Y134" i="1" s="1"/>
  <c r="S147" i="1"/>
  <c r="V148" i="1" s="1"/>
  <c r="Y148" i="1" s="1"/>
  <c r="U72" i="1"/>
  <c r="X73" i="1" s="1"/>
  <c r="T66" i="1"/>
  <c r="W67" i="1" s="1"/>
  <c r="S9" i="1"/>
  <c r="V10" i="1" s="1"/>
  <c r="Y10" i="1" s="1"/>
  <c r="S23" i="1"/>
  <c r="V24" i="1" s="1"/>
  <c r="Y24" i="1" s="1"/>
  <c r="S37" i="1"/>
  <c r="V38" i="1" s="1"/>
  <c r="Y38" i="1" s="1"/>
  <c r="S51" i="1"/>
  <c r="V52" i="1" s="1"/>
  <c r="Y52" i="1" s="1"/>
  <c r="S65" i="1"/>
  <c r="V66" i="1" s="1"/>
  <c r="Y66" i="1" s="1"/>
  <c r="S79" i="1"/>
  <c r="V80" i="1" s="1"/>
  <c r="Y80" i="1" s="1"/>
  <c r="S93" i="1"/>
  <c r="V94" i="1" s="1"/>
  <c r="Y94" i="1" s="1"/>
  <c r="S107" i="1"/>
  <c r="V108" i="1" s="1"/>
  <c r="Y108" i="1" s="1"/>
  <c r="S121" i="1"/>
  <c r="V122" i="1" s="1"/>
  <c r="Y122" i="1" s="1"/>
  <c r="S135" i="1"/>
  <c r="V136" i="1" s="1"/>
  <c r="Y136" i="1" s="1"/>
  <c r="S149" i="1"/>
  <c r="V150" i="1" s="1"/>
  <c r="Y150" i="1" s="1"/>
  <c r="U73" i="1"/>
  <c r="X74" i="1" s="1"/>
  <c r="T67" i="1"/>
  <c r="W68" i="1" s="1"/>
  <c r="S10" i="1"/>
  <c r="V11" i="1" s="1"/>
  <c r="Y11" i="1" s="1"/>
  <c r="S24" i="1"/>
  <c r="V25" i="1" s="1"/>
  <c r="Y25" i="1" s="1"/>
  <c r="S38" i="1"/>
  <c r="V39" i="1" s="1"/>
  <c r="Y39" i="1" s="1"/>
  <c r="S52" i="1"/>
  <c r="V53" i="1" s="1"/>
  <c r="Y53" i="1" s="1"/>
  <c r="S66" i="1"/>
  <c r="V67" i="1" s="1"/>
  <c r="Y67" i="1" s="1"/>
  <c r="S80" i="1"/>
  <c r="V81" i="1" s="1"/>
  <c r="Y81" i="1" s="1"/>
  <c r="U75" i="1"/>
  <c r="X76" i="1" s="1"/>
  <c r="T69" i="1"/>
  <c r="W70" i="1" s="1"/>
  <c r="S12" i="1"/>
  <c r="V13" i="1" s="1"/>
  <c r="Y13" i="1" s="1"/>
  <c r="S26" i="1"/>
  <c r="V27" i="1" s="1"/>
  <c r="Y27" i="1" s="1"/>
  <c r="S40" i="1"/>
  <c r="V41" i="1" s="1"/>
  <c r="Y41" i="1" s="1"/>
  <c r="S54" i="1"/>
  <c r="V55" i="1" s="1"/>
  <c r="Y55" i="1" s="1"/>
  <c r="S68" i="1"/>
  <c r="V69" i="1" s="1"/>
  <c r="Y69" i="1" s="1"/>
  <c r="S82" i="1"/>
  <c r="V83" i="1" s="1"/>
  <c r="Y83" i="1" s="1"/>
  <c r="S96" i="1"/>
  <c r="V97" i="1" s="1"/>
  <c r="Y97" i="1" s="1"/>
  <c r="S110" i="1"/>
  <c r="V111" i="1" s="1"/>
  <c r="Y111" i="1" s="1"/>
  <c r="S124" i="1"/>
  <c r="V125" i="1" s="1"/>
  <c r="Y125" i="1" s="1"/>
  <c r="S138" i="1"/>
  <c r="V139" i="1" s="1"/>
  <c r="Y139" i="1" s="1"/>
  <c r="S152" i="1"/>
  <c r="V153" i="1" s="1"/>
  <c r="Y153" i="1" s="1"/>
  <c r="U76" i="1"/>
  <c r="X77" i="1" s="1"/>
  <c r="T70" i="1"/>
  <c r="W71" i="1" s="1"/>
  <c r="S13" i="1"/>
  <c r="V14" i="1" s="1"/>
  <c r="Y14" i="1" s="1"/>
  <c r="S27" i="1"/>
  <c r="V28" i="1" s="1"/>
  <c r="Y28" i="1" s="1"/>
  <c r="S41" i="1"/>
  <c r="V42" i="1" s="1"/>
  <c r="Y42" i="1" s="1"/>
  <c r="S55" i="1"/>
  <c r="V56" i="1" s="1"/>
  <c r="Y56" i="1" s="1"/>
  <c r="S69" i="1"/>
  <c r="V70" i="1" s="1"/>
  <c r="Y70" i="1" s="1"/>
  <c r="S83" i="1"/>
  <c r="V84" i="1" s="1"/>
  <c r="Y84" i="1" s="1"/>
  <c r="S97" i="1"/>
  <c r="V98" i="1" s="1"/>
  <c r="Y98" i="1" s="1"/>
  <c r="S111" i="1"/>
  <c r="V112" i="1" s="1"/>
  <c r="Y112" i="1" s="1"/>
  <c r="S125" i="1"/>
  <c r="V126" i="1" s="1"/>
  <c r="Y126" i="1" s="1"/>
  <c r="S139" i="1"/>
  <c r="V140" i="1" s="1"/>
  <c r="Y140" i="1" s="1"/>
  <c r="S153" i="1"/>
  <c r="V154" i="1" s="1"/>
  <c r="Y154" i="1" s="1"/>
  <c r="U63" i="1"/>
  <c r="X64" i="1" s="1"/>
  <c r="U77" i="1"/>
  <c r="X78" i="1" s="1"/>
  <c r="T71" i="1"/>
  <c r="W72" i="1" s="1"/>
  <c r="S14" i="1"/>
  <c r="V15" i="1" s="1"/>
  <c r="Y15" i="1" s="1"/>
  <c r="S28" i="1"/>
  <c r="V29" i="1" s="1"/>
  <c r="Y29" i="1" s="1"/>
  <c r="S42" i="1"/>
  <c r="V43" i="1" s="1"/>
  <c r="Y43" i="1" s="1"/>
  <c r="S56" i="1"/>
  <c r="V57" i="1" s="1"/>
  <c r="Y57" i="1" s="1"/>
  <c r="S70" i="1"/>
  <c r="V71" i="1" s="1"/>
  <c r="Y71" i="1" s="1"/>
  <c r="S84" i="1"/>
  <c r="V85" i="1" s="1"/>
  <c r="Y85" i="1" s="1"/>
  <c r="S98" i="1"/>
  <c r="V99" i="1" s="1"/>
  <c r="Y99" i="1" s="1"/>
  <c r="S112" i="1"/>
  <c r="V113" i="1" s="1"/>
  <c r="Y113" i="1" s="1"/>
  <c r="S126" i="1"/>
  <c r="V127" i="1" s="1"/>
  <c r="Y127" i="1" s="1"/>
  <c r="S140" i="1"/>
  <c r="V141" i="1" s="1"/>
  <c r="Y141" i="1" s="1"/>
  <c r="S154" i="1"/>
  <c r="V155" i="1" s="1"/>
  <c r="Y155" i="1" s="1"/>
  <c r="S143" i="1"/>
  <c r="V144" i="1" s="1"/>
  <c r="Y144" i="1" s="1"/>
  <c r="S120" i="1"/>
  <c r="V121" i="1" s="1"/>
  <c r="Y121" i="1" s="1"/>
  <c r="S100" i="1"/>
  <c r="V101" i="1" s="1"/>
  <c r="Y101" i="1" s="1"/>
  <c r="S75" i="1"/>
  <c r="V76" i="1" s="1"/>
  <c r="Y76" i="1" s="1"/>
  <c r="S50" i="1"/>
  <c r="V51" i="1" s="1"/>
  <c r="Y51" i="1" s="1"/>
  <c r="S29" i="1"/>
  <c r="V30" i="1" s="1"/>
  <c r="Y30" i="1" s="1"/>
  <c r="S3" i="1"/>
  <c r="V4" i="1" s="1"/>
  <c r="Y4" i="1" s="1"/>
  <c r="U68" i="1"/>
  <c r="X69" i="1" s="1"/>
  <c r="S67" i="1"/>
  <c r="V68" i="1" s="1"/>
  <c r="Y68" i="1" s="1"/>
  <c r="S44" i="1"/>
  <c r="V45" i="1" s="1"/>
  <c r="Y45" i="1" s="1"/>
  <c r="S18" i="1"/>
  <c r="V19" i="1" s="1"/>
  <c r="Y19" i="1" s="1"/>
  <c r="T63" i="1"/>
  <c r="W64" i="1" s="1"/>
  <c r="S156" i="1"/>
  <c r="S132" i="1"/>
  <c r="V133" i="1" s="1"/>
  <c r="Y133" i="1" s="1"/>
  <c r="S113" i="1"/>
  <c r="V114" i="1" s="1"/>
  <c r="Y114" i="1" s="1"/>
  <c r="S89" i="1"/>
  <c r="V90" i="1" s="1"/>
  <c r="Y90" i="1" s="1"/>
  <c r="S64" i="1"/>
  <c r="V65" i="1" s="1"/>
  <c r="Y65" i="1" s="1"/>
  <c r="S43" i="1"/>
  <c r="V44" i="1" s="1"/>
  <c r="Y44" i="1" s="1"/>
  <c r="S17" i="1"/>
  <c r="V18" i="1" s="1"/>
  <c r="Y18" i="1" s="1"/>
  <c r="U82" i="1"/>
  <c r="X83" i="1" s="1"/>
  <c r="S155" i="1"/>
  <c r="V156" i="1" s="1"/>
  <c r="Y156" i="1" s="1"/>
  <c r="S131" i="1"/>
  <c r="V132" i="1" s="1"/>
  <c r="Y132" i="1" s="1"/>
  <c r="S109" i="1"/>
  <c r="V110" i="1" s="1"/>
  <c r="Y110" i="1" s="1"/>
  <c r="S88" i="1"/>
  <c r="V89" i="1" s="1"/>
  <c r="Y89" i="1" s="1"/>
  <c r="S62" i="1"/>
  <c r="V63" i="1" s="1"/>
  <c r="Y63" i="1" s="1"/>
  <c r="S39" i="1"/>
  <c r="V40" i="1" s="1"/>
  <c r="Y40" i="1" s="1"/>
  <c r="S16" i="1"/>
  <c r="V17" i="1" s="1"/>
  <c r="Y17" i="1" s="1"/>
  <c r="U81" i="1"/>
  <c r="X82" i="1" s="1"/>
  <c r="AN132" i="1" l="1"/>
  <c r="BB132" i="1" s="1"/>
  <c r="AM133" i="1"/>
  <c r="AL133" i="1"/>
  <c r="AJ133" i="1"/>
  <c r="AK134" i="1" s="1"/>
  <c r="AM119" i="1"/>
  <c r="AL119" i="1"/>
  <c r="AN119" i="1" s="1"/>
  <c r="BB119" i="1" s="1"/>
  <c r="AJ119" i="1"/>
  <c r="AK120" i="1" s="1"/>
  <c r="AN118" i="1"/>
  <c r="BB118" i="1" s="1"/>
  <c r="AW77" i="1"/>
  <c r="AU78" i="1"/>
  <c r="AV79" i="1" s="1"/>
  <c r="AX77" i="1"/>
  <c r="AY75" i="1"/>
  <c r="BB75" i="1" s="1"/>
  <c r="AT39" i="1"/>
  <c r="AS39" i="1"/>
  <c r="AV40" i="1" s="1"/>
  <c r="AH38" i="1"/>
  <c r="AT38" i="1"/>
  <c r="AH40" i="1"/>
  <c r="AK41" i="1" s="1"/>
  <c r="AI40" i="1"/>
  <c r="AV39" i="1"/>
  <c r="AW39" i="1" s="1"/>
  <c r="AT40" i="1"/>
  <c r="AI39" i="1"/>
  <c r="AK42" i="1"/>
  <c r="AJ42" i="1" s="1"/>
  <c r="AI38" i="1"/>
  <c r="AI29" i="1"/>
  <c r="AT29" i="1"/>
  <c r="AS29" i="1"/>
  <c r="AH29" i="1"/>
  <c r="AH26" i="1"/>
  <c r="AT26" i="1"/>
  <c r="AS26" i="1"/>
  <c r="AI26" i="1"/>
  <c r="AS30" i="1"/>
  <c r="AI30" i="1"/>
  <c r="AH30" i="1"/>
  <c r="AT30" i="1"/>
  <c r="AK25" i="1"/>
  <c r="AT25" i="1"/>
  <c r="AS25" i="1"/>
  <c r="AI25" i="1"/>
  <c r="AH25" i="1"/>
  <c r="AH31" i="1"/>
  <c r="AT31" i="1"/>
  <c r="AS31" i="1"/>
  <c r="AV32" i="1" s="1"/>
  <c r="AI31" i="1"/>
  <c r="AS23" i="1"/>
  <c r="AV24" i="1" s="1"/>
  <c r="AT23" i="1"/>
  <c r="AI23" i="1"/>
  <c r="AH23" i="1"/>
  <c r="AS33" i="1"/>
  <c r="AI33" i="1"/>
  <c r="AT33" i="1"/>
  <c r="AH33" i="1"/>
  <c r="AH37" i="1"/>
  <c r="AS37" i="1"/>
  <c r="AT37" i="1"/>
  <c r="AI37" i="1"/>
  <c r="AI28" i="1"/>
  <c r="AH28" i="1"/>
  <c r="AK29" i="1" s="1"/>
  <c r="AT28" i="1"/>
  <c r="AS28" i="1"/>
  <c r="AT27" i="1"/>
  <c r="AS27" i="1"/>
  <c r="AV28" i="1" s="1"/>
  <c r="AI27" i="1"/>
  <c r="AH27" i="1"/>
  <c r="AK28" i="1" s="1"/>
  <c r="AI34" i="1"/>
  <c r="AS34" i="1"/>
  <c r="AT34" i="1"/>
  <c r="AH34" i="1"/>
  <c r="AT32" i="1"/>
  <c r="AS32" i="1"/>
  <c r="AV33" i="1" s="1"/>
  <c r="AI32" i="1"/>
  <c r="AH32" i="1"/>
  <c r="AH22" i="1"/>
  <c r="AI22" i="1"/>
  <c r="AT22" i="1"/>
  <c r="AS22" i="1"/>
  <c r="AH35" i="1"/>
  <c r="AS35" i="1"/>
  <c r="AT35" i="1"/>
  <c r="AI35" i="1"/>
  <c r="AT36" i="1"/>
  <c r="AS36" i="1"/>
  <c r="AV37" i="1" s="1"/>
  <c r="AI36" i="1"/>
  <c r="AH36" i="1"/>
  <c r="AK37" i="1" s="1"/>
  <c r="AU40" i="1" l="1"/>
  <c r="AV41" i="1" s="1"/>
  <c r="AW41" i="1" s="1"/>
  <c r="AN133" i="1"/>
  <c r="BB133" i="1" s="1"/>
  <c r="AM120" i="1"/>
  <c r="AL120" i="1"/>
  <c r="AJ120" i="1"/>
  <c r="AK121" i="1" s="1"/>
  <c r="AL42" i="1"/>
  <c r="AM42" i="1"/>
  <c r="AJ134" i="1"/>
  <c r="AK135" i="1" s="1"/>
  <c r="AM134" i="1"/>
  <c r="AL134" i="1"/>
  <c r="AN134" i="1" s="1"/>
  <c r="BB134" i="1" s="1"/>
  <c r="AX39" i="1"/>
  <c r="AY39" i="1" s="1"/>
  <c r="AX79" i="1"/>
  <c r="AU80" i="1"/>
  <c r="AV81" i="1" s="1"/>
  <c r="AW79" i="1"/>
  <c r="AY79" i="1" s="1"/>
  <c r="BB79" i="1" s="1"/>
  <c r="AY77" i="1"/>
  <c r="BB77" i="1" s="1"/>
  <c r="AV26" i="1"/>
  <c r="AX26" i="1" s="1"/>
  <c r="AV23" i="1"/>
  <c r="AW23" i="1" s="1"/>
  <c r="AL29" i="1"/>
  <c r="AM29" i="1"/>
  <c r="AJ29" i="1"/>
  <c r="AM37" i="1"/>
  <c r="AJ37" i="1"/>
  <c r="AK38" i="1" s="1"/>
  <c r="AL37" i="1"/>
  <c r="AN37" i="1" s="1"/>
  <c r="AW33" i="1"/>
  <c r="AU34" i="1"/>
  <c r="AX33" i="1"/>
  <c r="AW32" i="1"/>
  <c r="AX32" i="1"/>
  <c r="AU33" i="1"/>
  <c r="AW37" i="1"/>
  <c r="AU38" i="1"/>
  <c r="AX37" i="1"/>
  <c r="AM28" i="1"/>
  <c r="AL28" i="1"/>
  <c r="AN28" i="1" s="1"/>
  <c r="AJ28" i="1"/>
  <c r="AU24" i="1"/>
  <c r="AV25" i="1" s="1"/>
  <c r="AU29" i="1"/>
  <c r="AV30" i="1" s="1"/>
  <c r="AX28" i="1"/>
  <c r="AW28" i="1"/>
  <c r="AY28" i="1" s="1"/>
  <c r="AK24" i="1"/>
  <c r="AK27" i="1"/>
  <c r="AK36" i="1"/>
  <c r="AM25" i="1"/>
  <c r="AL25" i="1"/>
  <c r="AJ25" i="1"/>
  <c r="AK26" i="1" s="1"/>
  <c r="AK30" i="1"/>
  <c r="AV38" i="1"/>
  <c r="AV35" i="1"/>
  <c r="AW26" i="1"/>
  <c r="AU27" i="1"/>
  <c r="AM41" i="1"/>
  <c r="AL41" i="1"/>
  <c r="AN41" i="1" s="1"/>
  <c r="AJ41" i="1"/>
  <c r="AU41" i="1"/>
  <c r="AV42" i="1" s="1"/>
  <c r="AW40" i="1"/>
  <c r="AX40" i="1"/>
  <c r="AV34" i="1"/>
  <c r="AK23" i="1"/>
  <c r="AW24" i="1"/>
  <c r="AU25" i="1"/>
  <c r="AX24" i="1"/>
  <c r="AV31" i="1"/>
  <c r="AU42" i="1" l="1"/>
  <c r="AX41" i="1"/>
  <c r="AY41" i="1" s="1"/>
  <c r="BB41" i="1" s="1"/>
  <c r="AN25" i="1"/>
  <c r="AJ38" i="1"/>
  <c r="AK39" i="1" s="1"/>
  <c r="AL39" i="1" s="1"/>
  <c r="AL38" i="1"/>
  <c r="AM38" i="1"/>
  <c r="AJ135" i="1"/>
  <c r="AK136" i="1" s="1"/>
  <c r="AM135" i="1"/>
  <c r="AL135" i="1"/>
  <c r="AN135" i="1" s="1"/>
  <c r="BB135" i="1" s="1"/>
  <c r="AN42" i="1"/>
  <c r="AL121" i="1"/>
  <c r="AM121" i="1"/>
  <c r="AJ121" i="1"/>
  <c r="AK122" i="1" s="1"/>
  <c r="AN120" i="1"/>
  <c r="BB120" i="1" s="1"/>
  <c r="AW25" i="1"/>
  <c r="AU26" i="1"/>
  <c r="AV27" i="1" s="1"/>
  <c r="AX25" i="1"/>
  <c r="AW81" i="1"/>
  <c r="AX81" i="1"/>
  <c r="AU82" i="1"/>
  <c r="AX23" i="1"/>
  <c r="AY23" i="1" s="1"/>
  <c r="AZ23" i="1" s="1"/>
  <c r="AY26" i="1"/>
  <c r="AY32" i="1"/>
  <c r="AU32" i="1"/>
  <c r="AX31" i="1"/>
  <c r="AW31" i="1"/>
  <c r="AM23" i="1"/>
  <c r="AJ23" i="1"/>
  <c r="AL23" i="1"/>
  <c r="AX30" i="1"/>
  <c r="AW30" i="1"/>
  <c r="AY30" i="1" s="1"/>
  <c r="AU31" i="1"/>
  <c r="AL36" i="1"/>
  <c r="AM36" i="1"/>
  <c r="AJ36" i="1"/>
  <c r="AU35" i="1"/>
  <c r="AV36" i="1" s="1"/>
  <c r="AW34" i="1"/>
  <c r="AX34" i="1"/>
  <c r="AY33" i="1"/>
  <c r="AY40" i="1"/>
  <c r="BB40" i="1" s="1"/>
  <c r="AX42" i="1"/>
  <c r="AW42" i="1"/>
  <c r="AY42" i="1" s="1"/>
  <c r="AU43" i="1"/>
  <c r="AV44" i="1" s="1"/>
  <c r="AM30" i="1"/>
  <c r="AL30" i="1"/>
  <c r="AN30" i="1" s="1"/>
  <c r="AJ30" i="1"/>
  <c r="AK31" i="1" s="1"/>
  <c r="AY24" i="1"/>
  <c r="AY37" i="1"/>
  <c r="BB37" i="1" s="1"/>
  <c r="AL26" i="1"/>
  <c r="AJ26" i="1"/>
  <c r="AM26" i="1"/>
  <c r="AU36" i="1"/>
  <c r="AW35" i="1"/>
  <c r="AX35" i="1"/>
  <c r="AL27" i="1"/>
  <c r="AJ27" i="1"/>
  <c r="AM27" i="1"/>
  <c r="AX38" i="1"/>
  <c r="AU39" i="1"/>
  <c r="AW38" i="1"/>
  <c r="AY38" i="1" s="1"/>
  <c r="AJ24" i="1"/>
  <c r="AL24" i="1"/>
  <c r="AM24" i="1"/>
  <c r="BB28" i="1"/>
  <c r="AN29" i="1"/>
  <c r="AY81" i="1" l="1"/>
  <c r="BB81" i="1" s="1"/>
  <c r="AN38" i="1"/>
  <c r="BB38" i="1" s="1"/>
  <c r="AM39" i="1"/>
  <c r="AJ39" i="1"/>
  <c r="AJ122" i="1"/>
  <c r="AK123" i="1" s="1"/>
  <c r="AM122" i="1"/>
  <c r="AL122" i="1"/>
  <c r="AL31" i="1"/>
  <c r="AM31" i="1"/>
  <c r="AJ31" i="1"/>
  <c r="AK32" i="1" s="1"/>
  <c r="AN121" i="1"/>
  <c r="BB121" i="1" s="1"/>
  <c r="BB42" i="1"/>
  <c r="AL136" i="1"/>
  <c r="AM136" i="1"/>
  <c r="AJ136" i="1"/>
  <c r="AK137" i="1" s="1"/>
  <c r="AN23" i="1"/>
  <c r="BB23" i="1" s="1"/>
  <c r="BC23" i="1" s="1"/>
  <c r="AY31" i="1"/>
  <c r="AY25" i="1"/>
  <c r="BB25" i="1" s="1"/>
  <c r="AW27" i="1"/>
  <c r="AU28" i="1"/>
  <c r="AV29" i="1" s="1"/>
  <c r="AX27" i="1"/>
  <c r="AN39" i="1"/>
  <c r="BB39" i="1" s="1"/>
  <c r="AN26" i="1"/>
  <c r="BB26" i="1" s="1"/>
  <c r="AW36" i="1"/>
  <c r="AU37" i="1"/>
  <c r="AX36" i="1"/>
  <c r="AN36" i="1"/>
  <c r="AZ24" i="1"/>
  <c r="AZ25" i="1" s="1"/>
  <c r="AZ26" i="1" s="1"/>
  <c r="AY35" i="1"/>
  <c r="AW44" i="1"/>
  <c r="AU45" i="1"/>
  <c r="AV46" i="1" s="1"/>
  <c r="AX44" i="1"/>
  <c r="AY34" i="1"/>
  <c r="AN27" i="1"/>
  <c r="BB30" i="1"/>
  <c r="AN24" i="1"/>
  <c r="BB24" i="1" s="1"/>
  <c r="AN122" i="1" l="1"/>
  <c r="BB122" i="1" s="1"/>
  <c r="AJ32" i="1"/>
  <c r="AK33" i="1" s="1"/>
  <c r="AL32" i="1"/>
  <c r="AM32" i="1"/>
  <c r="AM137" i="1"/>
  <c r="AJ137" i="1"/>
  <c r="AK138" i="1" s="1"/>
  <c r="AL137" i="1"/>
  <c r="AN137" i="1" s="1"/>
  <c r="BB137" i="1" s="1"/>
  <c r="AN136" i="1"/>
  <c r="BB136" i="1" s="1"/>
  <c r="AO23" i="1"/>
  <c r="AO24" i="1" s="1"/>
  <c r="AO25" i="1" s="1"/>
  <c r="AO26" i="1" s="1"/>
  <c r="AO27" i="1" s="1"/>
  <c r="AO28" i="1" s="1"/>
  <c r="AO29" i="1" s="1"/>
  <c r="AO30" i="1" s="1"/>
  <c r="AN31" i="1"/>
  <c r="BB31" i="1" s="1"/>
  <c r="AJ123" i="1"/>
  <c r="AM123" i="1"/>
  <c r="AL123" i="1"/>
  <c r="AN123" i="1" s="1"/>
  <c r="BB123" i="1" s="1"/>
  <c r="AU30" i="1"/>
  <c r="AW29" i="1"/>
  <c r="AX29" i="1"/>
  <c r="AY27" i="1"/>
  <c r="BB27" i="1" s="1"/>
  <c r="AZ27" i="1"/>
  <c r="AZ28" i="1" s="1"/>
  <c r="AY44" i="1"/>
  <c r="BB44" i="1" s="1"/>
  <c r="AY36" i="1"/>
  <c r="AU47" i="1"/>
  <c r="AV48" i="1" s="1"/>
  <c r="AX46" i="1"/>
  <c r="AW46" i="1"/>
  <c r="BC24" i="1"/>
  <c r="BC25" i="1" s="1"/>
  <c r="BC26" i="1" s="1"/>
  <c r="AY46" i="1" l="1"/>
  <c r="BB46" i="1" s="1"/>
  <c r="AO31" i="1"/>
  <c r="AJ138" i="1"/>
  <c r="AK139" i="1" s="1"/>
  <c r="AM138" i="1"/>
  <c r="AL138" i="1"/>
  <c r="AN32" i="1"/>
  <c r="BB32" i="1" s="1"/>
  <c r="AJ33" i="1"/>
  <c r="AK34" i="1" s="1"/>
  <c r="AL33" i="1"/>
  <c r="AM33" i="1"/>
  <c r="BC27" i="1"/>
  <c r="BC28" i="1" s="1"/>
  <c r="AY29" i="1"/>
  <c r="BB29" i="1" s="1"/>
  <c r="AW48" i="1"/>
  <c r="AX48" i="1"/>
  <c r="AU49" i="1"/>
  <c r="AV50" i="1" s="1"/>
  <c r="BB36" i="1"/>
  <c r="AO32" i="1" l="1"/>
  <c r="AN138" i="1"/>
  <c r="BB138" i="1" s="1"/>
  <c r="AN33" i="1"/>
  <c r="BB33" i="1" s="1"/>
  <c r="AL34" i="1"/>
  <c r="AJ34" i="1"/>
  <c r="AK35" i="1" s="1"/>
  <c r="AM34" i="1"/>
  <c r="AM139" i="1"/>
  <c r="AJ139" i="1"/>
  <c r="AK140" i="1" s="1"/>
  <c r="AL139" i="1"/>
  <c r="AN139" i="1" s="1"/>
  <c r="BB139" i="1" s="1"/>
  <c r="AZ29" i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BC29" i="1"/>
  <c r="BC30" i="1" s="1"/>
  <c r="BC31" i="1" s="1"/>
  <c r="BC32" i="1" s="1"/>
  <c r="BC33" i="1" s="1"/>
  <c r="AU51" i="1"/>
  <c r="AX50" i="1"/>
  <c r="AW50" i="1"/>
  <c r="AY50" i="1" s="1"/>
  <c r="BB50" i="1" s="1"/>
  <c r="AY48" i="1"/>
  <c r="AO33" i="1" l="1"/>
  <c r="AJ140" i="1"/>
  <c r="AK141" i="1" s="1"/>
  <c r="AM140" i="1"/>
  <c r="AL140" i="1"/>
  <c r="AJ35" i="1"/>
  <c r="AM35" i="1"/>
  <c r="AL35" i="1"/>
  <c r="AN35" i="1" s="1"/>
  <c r="BB35" i="1" s="1"/>
  <c r="AN34" i="1"/>
  <c r="BB34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B48" i="1"/>
  <c r="AY10" i="1"/>
  <c r="AY9" i="1"/>
  <c r="AZ48" i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" i="1" s="1"/>
  <c r="AN140" i="1" l="1"/>
  <c r="BB140" i="1" s="1"/>
  <c r="BC48" i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AO34" i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L141" i="1"/>
  <c r="AJ141" i="1"/>
  <c r="AK142" i="1" s="1"/>
  <c r="AM141" i="1"/>
  <c r="AY11" i="1"/>
  <c r="AJ142" i="1" l="1"/>
  <c r="AK143" i="1" s="1"/>
  <c r="AM142" i="1"/>
  <c r="AL142" i="1"/>
  <c r="AN141" i="1"/>
  <c r="AO141" i="1"/>
  <c r="AN142" i="1" l="1"/>
  <c r="BB142" i="1" s="1"/>
  <c r="BB141" i="1"/>
  <c r="AL143" i="1"/>
  <c r="AJ143" i="1"/>
  <c r="AM143" i="1"/>
  <c r="AO142" i="1" l="1"/>
  <c r="AN143" i="1"/>
  <c r="BC141" i="1"/>
  <c r="BC142" i="1" s="1"/>
  <c r="BB143" i="1" l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" i="1" s="1"/>
  <c r="AO143" i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" i="1" s="1"/>
  <c r="AN10" i="1"/>
  <c r="AN9" i="1"/>
  <c r="AN11" i="1" l="1"/>
  <c r="BB10" i="1"/>
  <c r="BB9" i="1"/>
  <c r="BB11" i="1" l="1"/>
</calcChain>
</file>

<file path=xl/sharedStrings.xml><?xml version="1.0" encoding="utf-8"?>
<sst xmlns="http://schemas.openxmlformats.org/spreadsheetml/2006/main" count="37" uniqueCount="32">
  <si>
    <t>date</t>
  </si>
  <si>
    <t>BWX</t>
  </si>
  <si>
    <t>IGOV</t>
  </si>
  <si>
    <t>IGOV/BWX</t>
  </si>
  <si>
    <t>IGOV/BWX avg</t>
  </si>
  <si>
    <t>IGOV/BWX 10 dma</t>
  </si>
  <si>
    <t>IGOV/BWX 20 dma</t>
  </si>
  <si>
    <t>BWX avg</t>
  </si>
  <si>
    <t>BWX 10 dma</t>
  </si>
  <si>
    <t>BWX 20 dma</t>
  </si>
  <si>
    <t>avg diff</t>
  </si>
  <si>
    <t>10 dma diff</t>
  </si>
  <si>
    <t>20 dma diff</t>
  </si>
  <si>
    <t>BWX div</t>
  </si>
  <si>
    <t>IGOV div</t>
  </si>
  <si>
    <t>BWX*</t>
  </si>
  <si>
    <t>IGOV*</t>
  </si>
  <si>
    <t>IGOV*/BWX*</t>
  </si>
  <si>
    <t>IGOV*/BWX* avg</t>
  </si>
  <si>
    <t>IGOV*/BWX* 10 dma</t>
  </si>
  <si>
    <t>IGOV*/BWX* 20 dma</t>
  </si>
  <si>
    <t>BWX* avg</t>
  </si>
  <si>
    <t>BWX* 10 dma</t>
  </si>
  <si>
    <t>BWX* 20 dma</t>
  </si>
  <si>
    <t>avg diff*</t>
  </si>
  <si>
    <t>10 dma diff*</t>
  </si>
  <si>
    <t>20 dma diff*</t>
  </si>
  <si>
    <t>signal</t>
  </si>
  <si>
    <t>under</t>
  </si>
  <si>
    <t>over</t>
  </si>
  <si>
    <t>yday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</si>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</sst>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  <numFmt numFmtId="166" formatCode="0.0000%"/>
    <numFmt numFmtId="167" formatCode="0.000%"/>
    <numFmt numFmtId="169" formatCode="_(&quot;$&quot;* #,##0.000_);_(&quot;$&quot;* \(#,##0.00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164" fontId="18" fillId="0" borderId="0" xfId="2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18" fillId="0" borderId="0" xfId="3" applyNumberFormat="1" applyFont="1" applyAlignment="1">
      <alignment horizontal="right"/>
    </xf>
    <xf numFmtId="44" fontId="18" fillId="0" borderId="0" xfId="2" applyFont="1" applyAlignment="1">
      <alignment horizontal="right"/>
    </xf>
    <xf numFmtId="167" fontId="18" fillId="0" borderId="0" xfId="3" applyNumberFormat="1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65" fontId="0" fillId="0" borderId="0" xfId="1" applyNumberFormat="1" applyFont="1"/>
    <xf numFmtId="166" fontId="0" fillId="0" borderId="0" xfId="3" applyNumberFormat="1" applyFont="1"/>
    <xf numFmtId="44" fontId="0" fillId="0" borderId="0" xfId="2" applyFont="1"/>
    <xf numFmtId="165" fontId="14" fillId="0" borderId="0" xfId="1" applyNumberFormat="1" applyFont="1"/>
    <xf numFmtId="167" fontId="0" fillId="0" borderId="0" xfId="3" applyNumberFormat="1" applyFont="1"/>
    <xf numFmtId="164" fontId="14" fillId="0" borderId="0" xfId="2" applyNumberFormat="1" applyFont="1"/>
    <xf numFmtId="167" fontId="14" fillId="0" borderId="0" xfId="3" applyNumberFormat="1" applyFont="1"/>
    <xf numFmtId="10" fontId="0" fillId="0" borderId="0" xfId="3" applyNumberFormat="1" applyFont="1"/>
    <xf numFmtId="10" fontId="0" fillId="0" borderId="0" xfId="0" applyNumberFormat="1"/>
    <xf numFmtId="44" fontId="19" fillId="0" borderId="0" xfId="2" applyFont="1"/>
    <xf numFmtId="0" fontId="20" fillId="0" borderId="0" xfId="0" applyFont="1"/>
    <xf numFmtId="0" fontId="0" fillId="34" borderId="0" xfId="0" applyFill="1"/>
    <xf numFmtId="44" fontId="14" fillId="0" borderId="0" xfId="2" applyFont="1"/>
    <xf numFmtId="169" fontId="18" fillId="0" borderId="0" xfId="2" applyNumberFormat="1" applyFont="1" applyAlignment="1">
      <alignment horizontal="right"/>
    </xf>
    <xf numFmtId="169" fontId="0" fillId="0" borderId="0" xfId="2" applyNumberFormat="1" applyFont="1"/>
    <xf numFmtId="169" fontId="14" fillId="0" borderId="0" xfId="2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BWX_IGOV!$E$1</c:f>
              <c:strCache>
                <c:ptCount val="1"/>
                <c:pt idx="0">
                  <c:v> IGOV/BWX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BWX_IGOV!$E$2:$E$156</c:f>
              <c:numCache>
                <c:formatCode>_(* #,##0.0000_);_(* \(#,##0.0000\);_(* "-"??_);_(@_)</c:formatCode>
                <c:ptCount val="155"/>
                <c:pt idx="0">
                  <c:v>1.8778822651217899</c:v>
                </c:pt>
                <c:pt idx="1">
                  <c:v>1.8778822651217899</c:v>
                </c:pt>
                <c:pt idx="2">
                  <c:v>1.8778822651217899</c:v>
                </c:pt>
                <c:pt idx="3">
                  <c:v>1.8778822651217899</c:v>
                </c:pt>
                <c:pt idx="4">
                  <c:v>1.8778822651217899</c:v>
                </c:pt>
                <c:pt idx="5">
                  <c:v>1.8778822651217899</c:v>
                </c:pt>
                <c:pt idx="6">
                  <c:v>1.8778822651217899</c:v>
                </c:pt>
                <c:pt idx="7">
                  <c:v>1.8778822651217899</c:v>
                </c:pt>
                <c:pt idx="8">
                  <c:v>1.8778822651217899</c:v>
                </c:pt>
                <c:pt idx="9">
                  <c:v>1.8778822651217899</c:v>
                </c:pt>
                <c:pt idx="10">
                  <c:v>1.8778822651217899</c:v>
                </c:pt>
                <c:pt idx="11">
                  <c:v>1.8778822651217899</c:v>
                </c:pt>
                <c:pt idx="12">
                  <c:v>1.8778822651217899</c:v>
                </c:pt>
                <c:pt idx="13">
                  <c:v>1.8778822651217899</c:v>
                </c:pt>
                <c:pt idx="14">
                  <c:v>1.8778822651217899</c:v>
                </c:pt>
                <c:pt idx="15">
                  <c:v>1.8778822651217899</c:v>
                </c:pt>
                <c:pt idx="16">
                  <c:v>1.8778822651217899</c:v>
                </c:pt>
                <c:pt idx="17">
                  <c:v>1.8778822651217899</c:v>
                </c:pt>
                <c:pt idx="18">
                  <c:v>1.8778822651217899</c:v>
                </c:pt>
                <c:pt idx="19">
                  <c:v>1.8778822651217899</c:v>
                </c:pt>
                <c:pt idx="20">
                  <c:v>1.8778822651217899</c:v>
                </c:pt>
                <c:pt idx="21">
                  <c:v>1.8778822651217899</c:v>
                </c:pt>
                <c:pt idx="22">
                  <c:v>1.8778822651217899</c:v>
                </c:pt>
                <c:pt idx="23">
                  <c:v>1.8778822651217899</c:v>
                </c:pt>
                <c:pt idx="24">
                  <c:v>1.8778822651217899</c:v>
                </c:pt>
                <c:pt idx="25">
                  <c:v>1.8778822651217899</c:v>
                </c:pt>
                <c:pt idx="26">
                  <c:v>1.8778822651217899</c:v>
                </c:pt>
                <c:pt idx="27">
                  <c:v>1.8778822651217899</c:v>
                </c:pt>
                <c:pt idx="28">
                  <c:v>1.8778822651217899</c:v>
                </c:pt>
                <c:pt idx="29">
                  <c:v>1.8778822651217899</c:v>
                </c:pt>
                <c:pt idx="30">
                  <c:v>1.8778822651217899</c:v>
                </c:pt>
                <c:pt idx="31">
                  <c:v>1.8778822651217899</c:v>
                </c:pt>
                <c:pt idx="32">
                  <c:v>1.8778822651217899</c:v>
                </c:pt>
                <c:pt idx="33">
                  <c:v>1.8778822651217899</c:v>
                </c:pt>
                <c:pt idx="34">
                  <c:v>1.8778822651217899</c:v>
                </c:pt>
                <c:pt idx="35">
                  <c:v>1.8778822651217899</c:v>
                </c:pt>
                <c:pt idx="36">
                  <c:v>1.8778822651217899</c:v>
                </c:pt>
                <c:pt idx="37">
                  <c:v>1.8778822651217899</c:v>
                </c:pt>
                <c:pt idx="38">
                  <c:v>1.8778822651217899</c:v>
                </c:pt>
                <c:pt idx="39">
                  <c:v>1.8778822651217899</c:v>
                </c:pt>
                <c:pt idx="40">
                  <c:v>1.8778822651217899</c:v>
                </c:pt>
                <c:pt idx="41">
                  <c:v>1.8778822651217899</c:v>
                </c:pt>
                <c:pt idx="42">
                  <c:v>1.8778822651217899</c:v>
                </c:pt>
                <c:pt idx="43">
                  <c:v>1.8778822651217899</c:v>
                </c:pt>
                <c:pt idx="44">
                  <c:v>1.8778822651217899</c:v>
                </c:pt>
                <c:pt idx="45">
                  <c:v>1.8778822651217899</c:v>
                </c:pt>
                <c:pt idx="46">
                  <c:v>1.8778822651217899</c:v>
                </c:pt>
                <c:pt idx="47">
                  <c:v>1.8778822651217899</c:v>
                </c:pt>
                <c:pt idx="48">
                  <c:v>1.8778822651217899</c:v>
                </c:pt>
                <c:pt idx="49">
                  <c:v>1.8778822651217899</c:v>
                </c:pt>
                <c:pt idx="50">
                  <c:v>1.8778822651217899</c:v>
                </c:pt>
                <c:pt idx="51">
                  <c:v>1.8778822651217899</c:v>
                </c:pt>
                <c:pt idx="52">
                  <c:v>1.8778822651217899</c:v>
                </c:pt>
                <c:pt idx="53">
                  <c:v>1.8778822651217899</c:v>
                </c:pt>
                <c:pt idx="54">
                  <c:v>1.8778822651217899</c:v>
                </c:pt>
                <c:pt idx="55">
                  <c:v>1.8778822651217899</c:v>
                </c:pt>
                <c:pt idx="56">
                  <c:v>1.8778822651217899</c:v>
                </c:pt>
                <c:pt idx="57">
                  <c:v>1.8778822651217899</c:v>
                </c:pt>
                <c:pt idx="58">
                  <c:v>1.8778822651217899</c:v>
                </c:pt>
                <c:pt idx="59">
                  <c:v>1.8778822651217899</c:v>
                </c:pt>
                <c:pt idx="60">
                  <c:v>1.8778822651217899</c:v>
                </c:pt>
                <c:pt idx="61">
                  <c:v>1.8778822651217899</c:v>
                </c:pt>
                <c:pt idx="62">
                  <c:v>1.8778822651217899</c:v>
                </c:pt>
                <c:pt idx="63">
                  <c:v>1.8778822651217899</c:v>
                </c:pt>
                <c:pt idx="64">
                  <c:v>1.8778822651217899</c:v>
                </c:pt>
                <c:pt idx="65">
                  <c:v>1.8778822651217899</c:v>
                </c:pt>
                <c:pt idx="66">
                  <c:v>1.8778822651217899</c:v>
                </c:pt>
                <c:pt idx="67">
                  <c:v>1.8778822651217899</c:v>
                </c:pt>
                <c:pt idx="68">
                  <c:v>1.8778822651217899</c:v>
                </c:pt>
                <c:pt idx="69">
                  <c:v>1.8778822651217899</c:v>
                </c:pt>
                <c:pt idx="70">
                  <c:v>1.8778822651217899</c:v>
                </c:pt>
                <c:pt idx="71">
                  <c:v>1.8778822651217899</c:v>
                </c:pt>
                <c:pt idx="72">
                  <c:v>1.8778822651217899</c:v>
                </c:pt>
                <c:pt idx="73">
                  <c:v>1.8778822651217899</c:v>
                </c:pt>
                <c:pt idx="74">
                  <c:v>1.8778822651217899</c:v>
                </c:pt>
                <c:pt idx="75">
                  <c:v>1.8778822651217899</c:v>
                </c:pt>
                <c:pt idx="76">
                  <c:v>1.8778822651217899</c:v>
                </c:pt>
                <c:pt idx="77">
                  <c:v>1.8778822651217899</c:v>
                </c:pt>
                <c:pt idx="78">
                  <c:v>1.8778822651217899</c:v>
                </c:pt>
                <c:pt idx="79">
                  <c:v>1.8778822651217899</c:v>
                </c:pt>
                <c:pt idx="80">
                  <c:v>1.8778822651217899</c:v>
                </c:pt>
                <c:pt idx="81">
                  <c:v>1.8778822651217899</c:v>
                </c:pt>
                <c:pt idx="82">
                  <c:v>1.8778822651217899</c:v>
                </c:pt>
                <c:pt idx="83">
                  <c:v>1.8778822651217899</c:v>
                </c:pt>
                <c:pt idx="84">
                  <c:v>1.8778822651217899</c:v>
                </c:pt>
                <c:pt idx="85">
                  <c:v>1.8778822651217899</c:v>
                </c:pt>
                <c:pt idx="86">
                  <c:v>1.8778822651217899</c:v>
                </c:pt>
                <c:pt idx="87">
                  <c:v>1.8778822651217899</c:v>
                </c:pt>
                <c:pt idx="88">
                  <c:v>1.8778822651217899</c:v>
                </c:pt>
                <c:pt idx="89">
                  <c:v>1.8778822651217899</c:v>
                </c:pt>
                <c:pt idx="90">
                  <c:v>1.8778822651217899</c:v>
                </c:pt>
                <c:pt idx="91">
                  <c:v>1.8778822651217899</c:v>
                </c:pt>
                <c:pt idx="92">
                  <c:v>1.8778822651217899</c:v>
                </c:pt>
                <c:pt idx="93">
                  <c:v>1.8778822651217899</c:v>
                </c:pt>
                <c:pt idx="94">
                  <c:v>1.8778822651217899</c:v>
                </c:pt>
                <c:pt idx="95">
                  <c:v>1.8778822651217899</c:v>
                </c:pt>
                <c:pt idx="96">
                  <c:v>1.8778822651217899</c:v>
                </c:pt>
                <c:pt idx="97">
                  <c:v>1.8778822651217899</c:v>
                </c:pt>
                <c:pt idx="98">
                  <c:v>1.8778822651217899</c:v>
                </c:pt>
                <c:pt idx="99">
                  <c:v>1.8778822651217899</c:v>
                </c:pt>
                <c:pt idx="100">
                  <c:v>1.8778822651217899</c:v>
                </c:pt>
                <c:pt idx="101">
                  <c:v>1.8778822651217899</c:v>
                </c:pt>
                <c:pt idx="102">
                  <c:v>1.8778822651217899</c:v>
                </c:pt>
                <c:pt idx="103">
                  <c:v>1.8778822651217899</c:v>
                </c:pt>
                <c:pt idx="104">
                  <c:v>1.8778822651217899</c:v>
                </c:pt>
                <c:pt idx="105">
                  <c:v>1.8778822651217899</c:v>
                </c:pt>
                <c:pt idx="106">
                  <c:v>1.8778822651217899</c:v>
                </c:pt>
                <c:pt idx="107">
                  <c:v>1.8778822651217899</c:v>
                </c:pt>
                <c:pt idx="108">
                  <c:v>1.8778822651217899</c:v>
                </c:pt>
                <c:pt idx="109">
                  <c:v>1.8778822651217899</c:v>
                </c:pt>
                <c:pt idx="110">
                  <c:v>1.8778822651217899</c:v>
                </c:pt>
                <c:pt idx="111">
                  <c:v>1.8778822651217899</c:v>
                </c:pt>
                <c:pt idx="112">
                  <c:v>1.8778822651217899</c:v>
                </c:pt>
                <c:pt idx="113">
                  <c:v>1.8778822651217899</c:v>
                </c:pt>
                <c:pt idx="114">
                  <c:v>1.8778822651217899</c:v>
                </c:pt>
                <c:pt idx="115">
                  <c:v>1.8778822651217899</c:v>
                </c:pt>
                <c:pt idx="116">
                  <c:v>1.8778822651217899</c:v>
                </c:pt>
                <c:pt idx="117">
                  <c:v>1.8778822651217899</c:v>
                </c:pt>
                <c:pt idx="118">
                  <c:v>1.8778822651217899</c:v>
                </c:pt>
                <c:pt idx="119">
                  <c:v>1.8778822651217899</c:v>
                </c:pt>
                <c:pt idx="120">
                  <c:v>1.8778822651217899</c:v>
                </c:pt>
                <c:pt idx="121">
                  <c:v>1.8778822651217899</c:v>
                </c:pt>
                <c:pt idx="122">
                  <c:v>1.8778822651217899</c:v>
                </c:pt>
                <c:pt idx="123">
                  <c:v>1.8778822651217899</c:v>
                </c:pt>
                <c:pt idx="124">
                  <c:v>1.8778822651217899</c:v>
                </c:pt>
                <c:pt idx="125">
                  <c:v>1.8778822651217899</c:v>
                </c:pt>
                <c:pt idx="126">
                  <c:v>1.8778822651217899</c:v>
                </c:pt>
                <c:pt idx="127">
                  <c:v>1.8778822651217899</c:v>
                </c:pt>
                <c:pt idx="128">
                  <c:v>1.8778822651217899</c:v>
                </c:pt>
                <c:pt idx="129">
                  <c:v>1.8778822651217899</c:v>
                </c:pt>
                <c:pt idx="130">
                  <c:v>1.8778822651217899</c:v>
                </c:pt>
                <c:pt idx="131">
                  <c:v>1.8778822651217899</c:v>
                </c:pt>
                <c:pt idx="132">
                  <c:v>1.8778822651217899</c:v>
                </c:pt>
                <c:pt idx="133">
                  <c:v>1.8778822651217899</c:v>
                </c:pt>
                <c:pt idx="134">
                  <c:v>1.8778822651217899</c:v>
                </c:pt>
                <c:pt idx="135">
                  <c:v>1.8778822651217899</c:v>
                </c:pt>
                <c:pt idx="136">
                  <c:v>1.8778822651217899</c:v>
                </c:pt>
                <c:pt idx="137">
                  <c:v>1.8778822651217899</c:v>
                </c:pt>
                <c:pt idx="138">
                  <c:v>1.8778822651217899</c:v>
                </c:pt>
                <c:pt idx="139">
                  <c:v>1.8778822651217899</c:v>
                </c:pt>
                <c:pt idx="140">
                  <c:v>1.8778822651217899</c:v>
                </c:pt>
                <c:pt idx="141">
                  <c:v>1.8778822651217899</c:v>
                </c:pt>
                <c:pt idx="142">
                  <c:v>1.8778822651217899</c:v>
                </c:pt>
                <c:pt idx="143">
                  <c:v>1.8778822651217899</c:v>
                </c:pt>
                <c:pt idx="144">
                  <c:v>1.8778822651217899</c:v>
                </c:pt>
                <c:pt idx="145">
                  <c:v>1.8778822651217899</c:v>
                </c:pt>
                <c:pt idx="146">
                  <c:v>1.8778822651217899</c:v>
                </c:pt>
                <c:pt idx="147">
                  <c:v>1.8778822651217899</c:v>
                </c:pt>
                <c:pt idx="148">
                  <c:v>1.8778822651217899</c:v>
                </c:pt>
                <c:pt idx="149">
                  <c:v>1.8778822651217899</c:v>
                </c:pt>
                <c:pt idx="150">
                  <c:v>1.8778822651217899</c:v>
                </c:pt>
                <c:pt idx="151">
                  <c:v>1.8778822651217899</c:v>
                </c:pt>
                <c:pt idx="152">
                  <c:v>1.8778822651217899</c:v>
                </c:pt>
                <c:pt idx="153">
                  <c:v>1.8778822651217899</c:v>
                </c:pt>
                <c:pt idx="154">
                  <c:v>1.8778822651217899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4-4154-A569-D27A8A1661F6}"/>
            </c:ext>
          </c:extLst>
        </c:ser>
        <c:ser>
          <c:idx val="1"/>
          <c:order val="1"/>
          <c:tx>
            <c:strRef>
              <c:f>BWX_IGOV!$F$1</c:f>
              <c:strCache>
                <c:ptCount val="1"/>
                <c:pt idx="0">
                  <c:v> IGOV/BWX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BWX_IGOV!$F$2:$F$156</c:f>
              <c:numCache>
                <c:formatCode>_(* #,##0.0000_);_(* \(#,##0.0000\);_(* "-"??_);_(@_)</c:formatCode>
                <c:ptCount val="155"/>
                <c:pt idx="9">
                  <c:v>1.8557368508146399</c:v>
                </c:pt>
                <c:pt idx="10">
                  <c:v>1.85649367594041</c:v>
                </c:pt>
                <c:pt idx="11">
                  <c:v>1.85766731549372</c:v>
                </c:pt>
                <c:pt idx="12">
                  <c:v>1.85872791575648</c:v>
                </c:pt>
                <c:pt idx="13">
                  <c:v>1.8596879545903999</c:v>
                </c:pt>
                <c:pt idx="14">
                  <c:v>1.86065165877796</c:v>
                </c:pt>
                <c:pt idx="15">
                  <c:v>1.86100496675212</c:v>
                </c:pt>
                <c:pt idx="16">
                  <c:v>1.8614619724710699</c:v>
                </c:pt>
                <c:pt idx="17">
                  <c:v>1.8612976260107299</c:v>
                </c:pt>
                <c:pt idx="18">
                  <c:v>1.86170201378803</c:v>
                </c:pt>
                <c:pt idx="19">
                  <c:v>1.8613635206708801</c:v>
                </c:pt>
                <c:pt idx="20">
                  <c:v>1.8616264747445701</c:v>
                </c:pt>
                <c:pt idx="21">
                  <c:v>1.86184691661471</c:v>
                </c:pt>
                <c:pt idx="22">
                  <c:v>1.86203752669361</c:v>
                </c:pt>
                <c:pt idx="23">
                  <c:v>1.8619691680253601</c:v>
                </c:pt>
                <c:pt idx="24">
                  <c:v>1.8626109127483801</c:v>
                </c:pt>
                <c:pt idx="25">
                  <c:v>1.86371829143878</c:v>
                </c:pt>
                <c:pt idx="26">
                  <c:v>1.86408839807371</c:v>
                </c:pt>
                <c:pt idx="27">
                  <c:v>1.8648161851167</c:v>
                </c:pt>
                <c:pt idx="28">
                  <c:v>1.86458540845052</c:v>
                </c:pt>
                <c:pt idx="29">
                  <c:v>1.8649509230544099</c:v>
                </c:pt>
                <c:pt idx="30">
                  <c:v>1.8651369741687001</c:v>
                </c:pt>
                <c:pt idx="31">
                  <c:v>1.8645290331261499</c:v>
                </c:pt>
                <c:pt idx="32">
                  <c:v>1.8639933705973999</c:v>
                </c:pt>
                <c:pt idx="33">
                  <c:v>1.8642101542021301</c:v>
                </c:pt>
                <c:pt idx="34">
                  <c:v>1.86320773250556</c:v>
                </c:pt>
                <c:pt idx="35">
                  <c:v>1.8620800449642601</c:v>
                </c:pt>
                <c:pt idx="36">
                  <c:v>1.8617610470833199</c:v>
                </c:pt>
                <c:pt idx="37">
                  <c:v>1.8612749214925599</c:v>
                </c:pt>
                <c:pt idx="38">
                  <c:v>1.86183337182304</c:v>
                </c:pt>
                <c:pt idx="39">
                  <c:v>1.86280069003038</c:v>
                </c:pt>
                <c:pt idx="40">
                  <c:v>1.86386918013425</c:v>
                </c:pt>
                <c:pt idx="41">
                  <c:v>1.8648435582428899</c:v>
                </c:pt>
                <c:pt idx="42">
                  <c:v>1.86563855948946</c:v>
                </c:pt>
                <c:pt idx="43">
                  <c:v>1.8661894895581801</c:v>
                </c:pt>
                <c:pt idx="44">
                  <c:v>1.86712178949788</c:v>
                </c:pt>
                <c:pt idx="45">
                  <c:v>1.8681286742513501</c:v>
                </c:pt>
                <c:pt idx="46">
                  <c:v>1.8681917218159401</c:v>
                </c:pt>
                <c:pt idx="47">
                  <c:v>1.8688107012956301</c:v>
                </c:pt>
                <c:pt idx="48">
                  <c:v>1.8684425097170401</c:v>
                </c:pt>
                <c:pt idx="49">
                  <c:v>1.86811747496803</c:v>
                </c:pt>
                <c:pt idx="50">
                  <c:v>1.8677933838758001</c:v>
                </c:pt>
                <c:pt idx="51">
                  <c:v>1.86753109363388</c:v>
                </c:pt>
                <c:pt idx="52">
                  <c:v>1.8675429232868801</c:v>
                </c:pt>
                <c:pt idx="53">
                  <c:v>1.86728348254938</c:v>
                </c:pt>
                <c:pt idx="54">
                  <c:v>1.8671091464668499</c:v>
                </c:pt>
                <c:pt idx="55">
                  <c:v>1.8670470290114201</c:v>
                </c:pt>
                <c:pt idx="56">
                  <c:v>1.8677151467148301</c:v>
                </c:pt>
                <c:pt idx="57">
                  <c:v>1.8676424630519199</c:v>
                </c:pt>
                <c:pt idx="58">
                  <c:v>1.8679034493785101</c:v>
                </c:pt>
                <c:pt idx="59">
                  <c:v>1.86795297054881</c:v>
                </c:pt>
                <c:pt idx="60">
                  <c:v>1.86801086385736</c:v>
                </c:pt>
                <c:pt idx="61">
                  <c:v>1.8686423757799799</c:v>
                </c:pt>
                <c:pt idx="62">
                  <c:v>1.8690062969757699</c:v>
                </c:pt>
                <c:pt idx="63">
                  <c:v>1.8692445834170199</c:v>
                </c:pt>
                <c:pt idx="64">
                  <c:v>1.87013105516793</c:v>
                </c:pt>
                <c:pt idx="65">
                  <c:v>1.8706052145160601</c:v>
                </c:pt>
                <c:pt idx="66">
                  <c:v>1.87125038792632</c:v>
                </c:pt>
                <c:pt idx="67">
                  <c:v>1.8723301800249099</c:v>
                </c:pt>
                <c:pt idx="68">
                  <c:v>1.87347606336705</c:v>
                </c:pt>
                <c:pt idx="69">
                  <c:v>1.87431392669214</c:v>
                </c:pt>
                <c:pt idx="70">
                  <c:v>1.8751217160237099</c:v>
                </c:pt>
                <c:pt idx="71">
                  <c:v>1.87565589540689</c:v>
                </c:pt>
                <c:pt idx="72">
                  <c:v>1.87622843689913</c:v>
                </c:pt>
                <c:pt idx="73">
                  <c:v>1.8767468401007099</c:v>
                </c:pt>
                <c:pt idx="74">
                  <c:v>1.8771021235893799</c:v>
                </c:pt>
                <c:pt idx="75">
                  <c:v>1.8773268426905001</c:v>
                </c:pt>
                <c:pt idx="76">
                  <c:v>1.87752456205649</c:v>
                </c:pt>
                <c:pt idx="77">
                  <c:v>1.87779339381111</c:v>
                </c:pt>
                <c:pt idx="78">
                  <c:v>1.8780527072311499</c:v>
                </c:pt>
                <c:pt idx="79">
                  <c:v>1.87845462990192</c:v>
                </c:pt>
                <c:pt idx="80">
                  <c:v>1.8785289222308299</c:v>
                </c:pt>
                <c:pt idx="81">
                  <c:v>1.87861872914596</c:v>
                </c:pt>
                <c:pt idx="82">
                  <c:v>1.8788303076358599</c:v>
                </c:pt>
                <c:pt idx="83">
                  <c:v>1.8793736046346701</c:v>
                </c:pt>
                <c:pt idx="84">
                  <c:v>1.8803973134579399</c:v>
                </c:pt>
                <c:pt idx="85">
                  <c:v>1.88165606231372</c:v>
                </c:pt>
                <c:pt idx="86">
                  <c:v>1.88231490103744</c:v>
                </c:pt>
                <c:pt idx="87">
                  <c:v>1.88310453926879</c:v>
                </c:pt>
                <c:pt idx="88">
                  <c:v>1.8838763313147699</c:v>
                </c:pt>
                <c:pt idx="89">
                  <c:v>1.8842882644143599</c:v>
                </c:pt>
                <c:pt idx="90">
                  <c:v>1.8851280352845601</c:v>
                </c:pt>
                <c:pt idx="91">
                  <c:v>1.8853716747250699</c:v>
                </c:pt>
                <c:pt idx="92">
                  <c:v>1.8852805305595</c:v>
                </c:pt>
                <c:pt idx="93">
                  <c:v>1.8856123390716699</c:v>
                </c:pt>
                <c:pt idx="94">
                  <c:v>1.8855492968577101</c:v>
                </c:pt>
                <c:pt idx="95">
                  <c:v>1.8854415807372</c:v>
                </c:pt>
                <c:pt idx="96">
                  <c:v>1.8857494371746499</c:v>
                </c:pt>
                <c:pt idx="97">
                  <c:v>1.8858790875889899</c:v>
                </c:pt>
                <c:pt idx="98">
                  <c:v>1.88625045039522</c:v>
                </c:pt>
                <c:pt idx="99">
                  <c:v>1.8869691076120401</c:v>
                </c:pt>
                <c:pt idx="100">
                  <c:v>1.8878284472773501</c:v>
                </c:pt>
                <c:pt idx="101">
                  <c:v>1.88888411176236</c:v>
                </c:pt>
                <c:pt idx="102">
                  <c:v>1.89045618335911</c:v>
                </c:pt>
                <c:pt idx="103">
                  <c:v>1.89183612438409</c:v>
                </c:pt>
                <c:pt idx="104">
                  <c:v>1.8924615438625101</c:v>
                </c:pt>
                <c:pt idx="105">
                  <c:v>1.8931808339623999</c:v>
                </c:pt>
                <c:pt idx="106">
                  <c:v>1.89372207758157</c:v>
                </c:pt>
                <c:pt idx="107">
                  <c:v>1.89411154469625</c:v>
                </c:pt>
                <c:pt idx="108">
                  <c:v>1.8939356394634199</c:v>
                </c:pt>
                <c:pt idx="109">
                  <c:v>1.89395936996514</c:v>
                </c:pt>
                <c:pt idx="110">
                  <c:v>1.8934689077160201</c:v>
                </c:pt>
                <c:pt idx="111">
                  <c:v>1.8932205780154201</c:v>
                </c:pt>
                <c:pt idx="112">
                  <c:v>1.8926154940390301</c:v>
                </c:pt>
                <c:pt idx="113">
                  <c:v>1.8919086446653</c:v>
                </c:pt>
                <c:pt idx="114">
                  <c:v>1.89153311276796</c:v>
                </c:pt>
                <c:pt idx="115">
                  <c:v>1.89092982666849</c:v>
                </c:pt>
                <c:pt idx="116">
                  <c:v>1.8904135968572799</c:v>
                </c:pt>
                <c:pt idx="117">
                  <c:v>1.8898911816599</c:v>
                </c:pt>
                <c:pt idx="118">
                  <c:v>1.8901068869373101</c:v>
                </c:pt>
                <c:pt idx="119">
                  <c:v>1.89008683977551</c:v>
                </c:pt>
                <c:pt idx="120">
                  <c:v>1.8897979290072799</c:v>
                </c:pt>
                <c:pt idx="121">
                  <c:v>1.8899326538053201</c:v>
                </c:pt>
                <c:pt idx="122">
                  <c:v>1.8901854213329901</c:v>
                </c:pt>
                <c:pt idx="123">
                  <c:v>1.8905043964469701</c:v>
                </c:pt>
                <c:pt idx="124">
                  <c:v>1.89082295107285</c:v>
                </c:pt>
                <c:pt idx="125">
                  <c:v>1.8910685735823101</c:v>
                </c:pt>
                <c:pt idx="126">
                  <c:v>1.89130550598073</c:v>
                </c:pt>
                <c:pt idx="127">
                  <c:v>1.8916354444875101</c:v>
                </c:pt>
                <c:pt idx="128">
                  <c:v>1.89184367269842</c:v>
                </c:pt>
                <c:pt idx="129">
                  <c:v>1.8918909304660401</c:v>
                </c:pt>
                <c:pt idx="130">
                  <c:v>1.8922117570546999</c:v>
                </c:pt>
                <c:pt idx="131">
                  <c:v>1.8919467556971099</c:v>
                </c:pt>
                <c:pt idx="132">
                  <c:v>1.8919830001731299</c:v>
                </c:pt>
                <c:pt idx="133">
                  <c:v>1.8917514114746601</c:v>
                </c:pt>
                <c:pt idx="134">
                  <c:v>1.8915527040144799</c:v>
                </c:pt>
                <c:pt idx="135">
                  <c:v>1.8916108218837</c:v>
                </c:pt>
                <c:pt idx="136">
                  <c:v>1.8916116868177599</c:v>
                </c:pt>
                <c:pt idx="137">
                  <c:v>1.89145160532488</c:v>
                </c:pt>
                <c:pt idx="138">
                  <c:v>1.89099736364742</c:v>
                </c:pt>
                <c:pt idx="139">
                  <c:v>1.89080767735271</c:v>
                </c:pt>
                <c:pt idx="140">
                  <c:v>1.8907559908551299</c:v>
                </c:pt>
                <c:pt idx="141">
                  <c:v>1.8911601438758301</c:v>
                </c:pt>
                <c:pt idx="142">
                  <c:v>1.8910804341977101</c:v>
                </c:pt>
                <c:pt idx="143">
                  <c:v>1.89089405688962</c:v>
                </c:pt>
                <c:pt idx="144">
                  <c:v>1.8906060260569899</c:v>
                </c:pt>
                <c:pt idx="145">
                  <c:v>1.8909196894416</c:v>
                </c:pt>
                <c:pt idx="146">
                  <c:v>1.89094618318618</c:v>
                </c:pt>
                <c:pt idx="147">
                  <c:v>1.8912186483203799</c:v>
                </c:pt>
                <c:pt idx="148">
                  <c:v>1.89110646866846</c:v>
                </c:pt>
                <c:pt idx="149">
                  <c:v>1.8906292764018</c:v>
                </c:pt>
                <c:pt idx="150">
                  <c:v>1.8905284796170201</c:v>
                </c:pt>
                <c:pt idx="151">
                  <c:v>1.89006228671045</c:v>
                </c:pt>
                <c:pt idx="152">
                  <c:v>1.8894518854837701</c:v>
                </c:pt>
                <c:pt idx="153">
                  <c:v>1.88957367680944</c:v>
                </c:pt>
                <c:pt idx="154">
                  <c:v>1.88992589309586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4-4154-A569-D27A8A1661F6}"/>
            </c:ext>
          </c:extLst>
        </c:ser>
        <c:ser>
          <c:idx val="2"/>
          <c:order val="2"/>
          <c:tx>
            <c:strRef>
              <c:f>BWX_IGOV!$G$1</c:f>
              <c:strCache>
                <c:ptCount val="1"/>
                <c:pt idx="0">
                  <c:v> IGOV/BWX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BWX_IGOV!$G$2:$G$156</c:f>
              <c:numCache>
                <c:formatCode>_(* #,##0.0000_);_(* \(#,##0.0000\);_(* "-"??_);_(@_)</c:formatCode>
                <c:ptCount val="155"/>
                <c:pt idx="19">
                  <c:v>1.85855018574276</c:v>
                </c:pt>
                <c:pt idx="20">
                  <c:v>1.85906007534249</c:v>
                </c:pt>
                <c:pt idx="21">
                  <c:v>1.8597571160542199</c:v>
                </c:pt>
                <c:pt idx="22">
                  <c:v>1.8603827212250501</c:v>
                </c:pt>
                <c:pt idx="23">
                  <c:v>1.8608285613078801</c:v>
                </c:pt>
                <c:pt idx="24">
                  <c:v>1.8616312857631701</c:v>
                </c:pt>
                <c:pt idx="25">
                  <c:v>1.8623616290954501</c:v>
                </c:pt>
                <c:pt idx="26">
                  <c:v>1.8627751852723899</c:v>
                </c:pt>
                <c:pt idx="27">
                  <c:v>1.8630569055637201</c:v>
                </c:pt>
                <c:pt idx="28">
                  <c:v>1.8631437111192699</c:v>
                </c:pt>
                <c:pt idx="29">
                  <c:v>1.86315722186264</c:v>
                </c:pt>
                <c:pt idx="30">
                  <c:v>1.86338172445663</c:v>
                </c:pt>
                <c:pt idx="31">
                  <c:v>1.8631879748704301</c:v>
                </c:pt>
                <c:pt idx="32">
                  <c:v>1.8630154486455099</c:v>
                </c:pt>
                <c:pt idx="33">
                  <c:v>1.86308966111374</c:v>
                </c:pt>
                <c:pt idx="34">
                  <c:v>1.86290932262697</c:v>
                </c:pt>
                <c:pt idx="35">
                  <c:v>1.8628991682015199</c:v>
                </c:pt>
                <c:pt idx="36">
                  <c:v>1.8629247225785099</c:v>
                </c:pt>
                <c:pt idx="37">
                  <c:v>1.86304555330463</c:v>
                </c:pt>
                <c:pt idx="38">
                  <c:v>1.8632093901367801</c:v>
                </c:pt>
                <c:pt idx="39">
                  <c:v>1.8638758065423899</c:v>
                </c:pt>
                <c:pt idx="40">
                  <c:v>1.8645030771514799</c:v>
                </c:pt>
                <c:pt idx="41">
                  <c:v>1.86468629568452</c:v>
                </c:pt>
                <c:pt idx="42">
                  <c:v>1.8648159650434299</c:v>
                </c:pt>
                <c:pt idx="43">
                  <c:v>1.86519982188016</c:v>
                </c:pt>
                <c:pt idx="44">
                  <c:v>1.8651647610017199</c:v>
                </c:pt>
                <c:pt idx="45">
                  <c:v>1.8651043596078001</c:v>
                </c:pt>
                <c:pt idx="46">
                  <c:v>1.8649763844496301</c:v>
                </c:pt>
                <c:pt idx="47">
                  <c:v>1.86504281139409</c:v>
                </c:pt>
                <c:pt idx="48">
                  <c:v>1.8651379407700399</c:v>
                </c:pt>
                <c:pt idx="49">
                  <c:v>1.8654590824992101</c:v>
                </c:pt>
                <c:pt idx="50">
                  <c:v>1.86583128200503</c:v>
                </c:pt>
                <c:pt idx="51">
                  <c:v>1.8661873259383801</c:v>
                </c:pt>
                <c:pt idx="52">
                  <c:v>1.8665907413881699</c:v>
                </c:pt>
                <c:pt idx="53">
                  <c:v>1.8667364860537801</c:v>
                </c:pt>
                <c:pt idx="54">
                  <c:v>1.86711546798237</c:v>
                </c:pt>
                <c:pt idx="55">
                  <c:v>1.86758785163139</c:v>
                </c:pt>
                <c:pt idx="56">
                  <c:v>1.8679534342653801</c:v>
                </c:pt>
                <c:pt idx="57">
                  <c:v>1.86822658217378</c:v>
                </c:pt>
                <c:pt idx="58">
                  <c:v>1.8681729795477799</c:v>
                </c:pt>
                <c:pt idx="59">
                  <c:v>1.86803522275842</c:v>
                </c:pt>
                <c:pt idx="60">
                  <c:v>1.8679021238665801</c:v>
                </c:pt>
                <c:pt idx="61">
                  <c:v>1.8680867347069301</c:v>
                </c:pt>
                <c:pt idx="62">
                  <c:v>1.8682746101313199</c:v>
                </c:pt>
                <c:pt idx="63">
                  <c:v>1.8682640329832001</c:v>
                </c:pt>
                <c:pt idx="64">
                  <c:v>1.8686201008173899</c:v>
                </c:pt>
                <c:pt idx="65">
                  <c:v>1.8688261217637401</c:v>
                </c:pt>
                <c:pt idx="66">
                  <c:v>1.8694827673205701</c:v>
                </c:pt>
                <c:pt idx="67">
                  <c:v>1.86998632153841</c:v>
                </c:pt>
                <c:pt idx="68">
                  <c:v>1.87068975637278</c:v>
                </c:pt>
                <c:pt idx="69">
                  <c:v>1.87113344862047</c:v>
                </c:pt>
                <c:pt idx="70">
                  <c:v>1.8715662899405401</c:v>
                </c:pt>
                <c:pt idx="71">
                  <c:v>1.8721491355934401</c:v>
                </c:pt>
                <c:pt idx="72">
                  <c:v>1.87261736693745</c:v>
                </c:pt>
                <c:pt idx="73">
                  <c:v>1.87299571175887</c:v>
                </c:pt>
                <c:pt idx="74">
                  <c:v>1.8736165893786501</c:v>
                </c:pt>
                <c:pt idx="75">
                  <c:v>1.87396602860328</c:v>
                </c:pt>
                <c:pt idx="76">
                  <c:v>1.8743874749914</c:v>
                </c:pt>
                <c:pt idx="77">
                  <c:v>1.87506178691801</c:v>
                </c:pt>
                <c:pt idx="78">
                  <c:v>1.8757643852990999</c:v>
                </c:pt>
                <c:pt idx="79">
                  <c:v>1.8763842782970299</c:v>
                </c:pt>
                <c:pt idx="80">
                  <c:v>1.8768253191272699</c:v>
                </c:pt>
                <c:pt idx="81">
                  <c:v>1.8771373122764301</c:v>
                </c:pt>
                <c:pt idx="82">
                  <c:v>1.8775293722674999</c:v>
                </c:pt>
                <c:pt idx="83">
                  <c:v>1.8780602223676901</c:v>
                </c:pt>
                <c:pt idx="84">
                  <c:v>1.8787497185236599</c:v>
                </c:pt>
                <c:pt idx="85">
                  <c:v>1.87949145250211</c:v>
                </c:pt>
                <c:pt idx="86">
                  <c:v>1.87991973154696</c:v>
                </c:pt>
                <c:pt idx="87">
                  <c:v>1.88044896653995</c:v>
                </c:pt>
                <c:pt idx="88">
                  <c:v>1.88096451927296</c:v>
                </c:pt>
                <c:pt idx="89">
                  <c:v>1.88137144715814</c:v>
                </c:pt>
                <c:pt idx="90">
                  <c:v>1.88182847875769</c:v>
                </c:pt>
                <c:pt idx="91">
                  <c:v>1.88199520193551</c:v>
                </c:pt>
                <c:pt idx="92">
                  <c:v>1.8820554190976799</c:v>
                </c:pt>
                <c:pt idx="93">
                  <c:v>1.88249297185317</c:v>
                </c:pt>
                <c:pt idx="94">
                  <c:v>1.8829733051578199</c:v>
                </c:pt>
                <c:pt idx="95">
                  <c:v>1.8835488215254601</c:v>
                </c:pt>
                <c:pt idx="96">
                  <c:v>1.88403216910604</c:v>
                </c:pt>
                <c:pt idx="97">
                  <c:v>1.8844918134288899</c:v>
                </c:pt>
                <c:pt idx="98">
                  <c:v>1.8850633908549901</c:v>
                </c:pt>
                <c:pt idx="99">
                  <c:v>1.8856286860132001</c:v>
                </c:pt>
                <c:pt idx="100">
                  <c:v>1.88647824128095</c:v>
                </c:pt>
                <c:pt idx="101">
                  <c:v>1.8871278932437101</c:v>
                </c:pt>
                <c:pt idx="102">
                  <c:v>1.88786835695931</c:v>
                </c:pt>
                <c:pt idx="103">
                  <c:v>1.8887242317278801</c:v>
                </c:pt>
                <c:pt idx="104">
                  <c:v>1.8890054203601101</c:v>
                </c:pt>
                <c:pt idx="105">
                  <c:v>1.8893112073498</c:v>
                </c:pt>
                <c:pt idx="106">
                  <c:v>1.8897357573781099</c:v>
                </c:pt>
                <c:pt idx="107">
                  <c:v>1.88999531614262</c:v>
                </c:pt>
                <c:pt idx="108">
                  <c:v>1.8900930449293201</c:v>
                </c:pt>
                <c:pt idx="109">
                  <c:v>1.8904642387885899</c:v>
                </c:pt>
                <c:pt idx="110">
                  <c:v>1.89064867749668</c:v>
                </c:pt>
                <c:pt idx="111">
                  <c:v>1.8910523448888901</c:v>
                </c:pt>
                <c:pt idx="112">
                  <c:v>1.8915358386990699</c:v>
                </c:pt>
                <c:pt idx="113">
                  <c:v>1.8918723845246901</c:v>
                </c:pt>
                <c:pt idx="114">
                  <c:v>1.89199732831524</c:v>
                </c:pt>
                <c:pt idx="115">
                  <c:v>1.8920553303154499</c:v>
                </c:pt>
                <c:pt idx="116">
                  <c:v>1.8920678372194299</c:v>
                </c:pt>
                <c:pt idx="117">
                  <c:v>1.8920013631780801</c:v>
                </c:pt>
                <c:pt idx="118">
                  <c:v>1.8920212632003699</c:v>
                </c:pt>
                <c:pt idx="119">
                  <c:v>1.89202310487032</c:v>
                </c:pt>
                <c:pt idx="120">
                  <c:v>1.8916334183616501</c:v>
                </c:pt>
                <c:pt idx="121">
                  <c:v>1.89157661591037</c:v>
                </c:pt>
                <c:pt idx="122">
                  <c:v>1.89140045768601</c:v>
                </c:pt>
                <c:pt idx="123">
                  <c:v>1.8912065205561399</c:v>
                </c:pt>
                <c:pt idx="124">
                  <c:v>1.8911780319203999</c:v>
                </c:pt>
                <c:pt idx="125">
                  <c:v>1.8909992001253999</c:v>
                </c:pt>
                <c:pt idx="126">
                  <c:v>1.8908595514190101</c:v>
                </c:pt>
                <c:pt idx="127">
                  <c:v>1.89076331307371</c:v>
                </c:pt>
                <c:pt idx="128">
                  <c:v>1.8909752798178601</c:v>
                </c:pt>
                <c:pt idx="129">
                  <c:v>1.8909888851207699</c:v>
                </c:pt>
                <c:pt idx="130">
                  <c:v>1.89100484303099</c:v>
                </c:pt>
                <c:pt idx="131">
                  <c:v>1.89093970475121</c:v>
                </c:pt>
                <c:pt idx="132">
                  <c:v>1.8910842107530601</c:v>
                </c:pt>
                <c:pt idx="133">
                  <c:v>1.89112790396081</c:v>
                </c:pt>
                <c:pt idx="134">
                  <c:v>1.89118782754367</c:v>
                </c:pt>
                <c:pt idx="135">
                  <c:v>1.8913396977329999</c:v>
                </c:pt>
                <c:pt idx="136">
                  <c:v>1.8914585963992501</c:v>
                </c:pt>
                <c:pt idx="137">
                  <c:v>1.89154352490619</c:v>
                </c:pt>
                <c:pt idx="138">
                  <c:v>1.89142051817292</c:v>
                </c:pt>
                <c:pt idx="139">
                  <c:v>1.8913493039093801</c:v>
                </c:pt>
                <c:pt idx="140">
                  <c:v>1.89148387395491</c:v>
                </c:pt>
                <c:pt idx="141">
                  <c:v>1.8915534497864701</c:v>
                </c:pt>
                <c:pt idx="142">
                  <c:v>1.89153171718542</c:v>
                </c:pt>
                <c:pt idx="143">
                  <c:v>1.8913227341821399</c:v>
                </c:pt>
                <c:pt idx="144">
                  <c:v>1.89107936503574</c:v>
                </c:pt>
                <c:pt idx="145">
                  <c:v>1.8912652556626499</c:v>
                </c:pt>
                <c:pt idx="146">
                  <c:v>1.8912789350019701</c:v>
                </c:pt>
                <c:pt idx="147">
                  <c:v>1.8913351268226299</c:v>
                </c:pt>
                <c:pt idx="148">
                  <c:v>1.89105191615794</c:v>
                </c:pt>
                <c:pt idx="149">
                  <c:v>1.89071847687725</c:v>
                </c:pt>
                <c:pt idx="150">
                  <c:v>1.8906422352360801</c:v>
                </c:pt>
                <c:pt idx="151">
                  <c:v>1.89061121529314</c:v>
                </c:pt>
                <c:pt idx="152">
                  <c:v>1.89026615984074</c:v>
                </c:pt>
                <c:pt idx="153">
                  <c:v>1.89023386684953</c:v>
                </c:pt>
                <c:pt idx="154">
                  <c:v>1.89026595957643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4-4154-A569-D27A8A166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615087"/>
        <c:axId val="1277039887"/>
      </c:lineChart>
      <c:catAx>
        <c:axId val="105861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039887"/>
        <c:crosses val="autoZero"/>
        <c:auto val="1"/>
        <c:lblAlgn val="ctr"/>
        <c:lblOffset val="100"/>
        <c:noMultiLvlLbl val="0"/>
      </c:catAx>
      <c:valAx>
        <c:axId val="127703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1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BWX_IGOV!$AO$22:$AO$156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-3.3633012412003578E-4</c:v>
                </c:pt>
                <c:pt idx="10">
                  <c:v>7.9544466638523429E-4</c:v>
                </c:pt>
                <c:pt idx="11">
                  <c:v>-1.2368060476063169E-4</c:v>
                </c:pt>
                <c:pt idx="12">
                  <c:v>3.125244185135726E-4</c:v>
                </c:pt>
                <c:pt idx="13">
                  <c:v>2.2171444341479822E-3</c:v>
                </c:pt>
                <c:pt idx="14">
                  <c:v>2.2171444341479822E-3</c:v>
                </c:pt>
                <c:pt idx="15">
                  <c:v>2.9535418311803E-3</c:v>
                </c:pt>
                <c:pt idx="16">
                  <c:v>5.0250784515140159E-3</c:v>
                </c:pt>
                <c:pt idx="17">
                  <c:v>4.0189069281060244E-3</c:v>
                </c:pt>
                <c:pt idx="18">
                  <c:v>4.0189069281060244E-3</c:v>
                </c:pt>
                <c:pt idx="19">
                  <c:v>4.0189069281060244E-3</c:v>
                </c:pt>
                <c:pt idx="20">
                  <c:v>4.0189069281060244E-3</c:v>
                </c:pt>
                <c:pt idx="21">
                  <c:v>4.0189069281060244E-3</c:v>
                </c:pt>
                <c:pt idx="22">
                  <c:v>4.0189069281060244E-3</c:v>
                </c:pt>
                <c:pt idx="23">
                  <c:v>4.0189069281060244E-3</c:v>
                </c:pt>
                <c:pt idx="24">
                  <c:v>4.0189069281060244E-3</c:v>
                </c:pt>
                <c:pt idx="25">
                  <c:v>4.0189069281060244E-3</c:v>
                </c:pt>
                <c:pt idx="26">
                  <c:v>4.0189069281060244E-3</c:v>
                </c:pt>
                <c:pt idx="27">
                  <c:v>5.9948082116370949E-3</c:v>
                </c:pt>
                <c:pt idx="28">
                  <c:v>5.9948082116370949E-3</c:v>
                </c:pt>
                <c:pt idx="29">
                  <c:v>8.083005340709673E-3</c:v>
                </c:pt>
                <c:pt idx="30">
                  <c:v>9.7570996961207808E-3</c:v>
                </c:pt>
                <c:pt idx="31">
                  <c:v>9.7570996961207808E-3</c:v>
                </c:pt>
                <c:pt idx="32">
                  <c:v>9.7570996961207808E-3</c:v>
                </c:pt>
                <c:pt idx="33">
                  <c:v>9.7570996961207808E-3</c:v>
                </c:pt>
                <c:pt idx="34">
                  <c:v>9.7570996961207808E-3</c:v>
                </c:pt>
                <c:pt idx="35">
                  <c:v>1.1490747700141026E-2</c:v>
                </c:pt>
                <c:pt idx="36">
                  <c:v>1.1490747700141026E-2</c:v>
                </c:pt>
                <c:pt idx="37">
                  <c:v>1.1490747700141026E-2</c:v>
                </c:pt>
                <c:pt idx="38">
                  <c:v>1.1013702237101543E-2</c:v>
                </c:pt>
                <c:pt idx="39">
                  <c:v>1.196721969877897E-2</c:v>
                </c:pt>
                <c:pt idx="40">
                  <c:v>1.3685627551193152E-2</c:v>
                </c:pt>
                <c:pt idx="41">
                  <c:v>1.3685627551193152E-2</c:v>
                </c:pt>
                <c:pt idx="42">
                  <c:v>1.3685627551193152E-2</c:v>
                </c:pt>
                <c:pt idx="43">
                  <c:v>1.3685627551193152E-2</c:v>
                </c:pt>
                <c:pt idx="44">
                  <c:v>1.3685627551193152E-2</c:v>
                </c:pt>
                <c:pt idx="45">
                  <c:v>1.3685627551193152E-2</c:v>
                </c:pt>
                <c:pt idx="46">
                  <c:v>1.3685627551193152E-2</c:v>
                </c:pt>
                <c:pt idx="47">
                  <c:v>1.3685627551193152E-2</c:v>
                </c:pt>
                <c:pt idx="48">
                  <c:v>1.3685627551193152E-2</c:v>
                </c:pt>
                <c:pt idx="49">
                  <c:v>1.3685627551193152E-2</c:v>
                </c:pt>
                <c:pt idx="50">
                  <c:v>1.3685627551193152E-2</c:v>
                </c:pt>
                <c:pt idx="51">
                  <c:v>1.3685627551193152E-2</c:v>
                </c:pt>
                <c:pt idx="52">
                  <c:v>1.3685627551193152E-2</c:v>
                </c:pt>
                <c:pt idx="53">
                  <c:v>1.3685627551193152E-2</c:v>
                </c:pt>
                <c:pt idx="54">
                  <c:v>1.3685627551193152E-2</c:v>
                </c:pt>
                <c:pt idx="55">
                  <c:v>1.3685627551193152E-2</c:v>
                </c:pt>
                <c:pt idx="56">
                  <c:v>1.3685627551193152E-2</c:v>
                </c:pt>
                <c:pt idx="57">
                  <c:v>1.3685627551193152E-2</c:v>
                </c:pt>
                <c:pt idx="58">
                  <c:v>1.3685627551193152E-2</c:v>
                </c:pt>
                <c:pt idx="59">
                  <c:v>1.3685627551193152E-2</c:v>
                </c:pt>
                <c:pt idx="60">
                  <c:v>1.3685627551193152E-2</c:v>
                </c:pt>
                <c:pt idx="61">
                  <c:v>1.3685627551193152E-2</c:v>
                </c:pt>
                <c:pt idx="62">
                  <c:v>1.3685627551193152E-2</c:v>
                </c:pt>
                <c:pt idx="63">
                  <c:v>1.3685627551193152E-2</c:v>
                </c:pt>
                <c:pt idx="64">
                  <c:v>1.3685627551193152E-2</c:v>
                </c:pt>
                <c:pt idx="65">
                  <c:v>1.3685627551193152E-2</c:v>
                </c:pt>
                <c:pt idx="66">
                  <c:v>1.3685627551193152E-2</c:v>
                </c:pt>
                <c:pt idx="67">
                  <c:v>1.3685627551193152E-2</c:v>
                </c:pt>
                <c:pt idx="68">
                  <c:v>1.3685627551193152E-2</c:v>
                </c:pt>
                <c:pt idx="69">
                  <c:v>1.3685627551193152E-2</c:v>
                </c:pt>
                <c:pt idx="70">
                  <c:v>1.3685627551193152E-2</c:v>
                </c:pt>
                <c:pt idx="71">
                  <c:v>1.3685627551193152E-2</c:v>
                </c:pt>
                <c:pt idx="72">
                  <c:v>1.3685627551193152E-2</c:v>
                </c:pt>
                <c:pt idx="73">
                  <c:v>1.5887475302798302E-2</c:v>
                </c:pt>
                <c:pt idx="74">
                  <c:v>1.5887475302798302E-2</c:v>
                </c:pt>
                <c:pt idx="75">
                  <c:v>1.5887475302798302E-2</c:v>
                </c:pt>
                <c:pt idx="76">
                  <c:v>1.5887475302798302E-2</c:v>
                </c:pt>
                <c:pt idx="77">
                  <c:v>1.5887475302798302E-2</c:v>
                </c:pt>
                <c:pt idx="78">
                  <c:v>1.5887475302798302E-2</c:v>
                </c:pt>
                <c:pt idx="79">
                  <c:v>1.5887475302798302E-2</c:v>
                </c:pt>
                <c:pt idx="80">
                  <c:v>1.5887475302798302E-2</c:v>
                </c:pt>
                <c:pt idx="81">
                  <c:v>1.5887475302798302E-2</c:v>
                </c:pt>
                <c:pt idx="82">
                  <c:v>1.5887475302798302E-2</c:v>
                </c:pt>
                <c:pt idx="83">
                  <c:v>1.5887475302798302E-2</c:v>
                </c:pt>
                <c:pt idx="84">
                  <c:v>1.5887475302798302E-2</c:v>
                </c:pt>
                <c:pt idx="85">
                  <c:v>1.5887475302798302E-2</c:v>
                </c:pt>
                <c:pt idx="86">
                  <c:v>1.5887475302798302E-2</c:v>
                </c:pt>
                <c:pt idx="87">
                  <c:v>1.5887475302798302E-2</c:v>
                </c:pt>
                <c:pt idx="88">
                  <c:v>1.5887475302798302E-2</c:v>
                </c:pt>
                <c:pt idx="89">
                  <c:v>1.6943555679156831E-2</c:v>
                </c:pt>
                <c:pt idx="90">
                  <c:v>1.7037638074102315E-2</c:v>
                </c:pt>
                <c:pt idx="91">
                  <c:v>1.6796645182226316E-2</c:v>
                </c:pt>
                <c:pt idx="92">
                  <c:v>1.6232494756085097E-2</c:v>
                </c:pt>
                <c:pt idx="93">
                  <c:v>1.6870281991749503E-2</c:v>
                </c:pt>
                <c:pt idx="94">
                  <c:v>1.6128459519498588E-2</c:v>
                </c:pt>
                <c:pt idx="95">
                  <c:v>1.5266941635090178E-2</c:v>
                </c:pt>
                <c:pt idx="96">
                  <c:v>1.5481923263034145E-2</c:v>
                </c:pt>
                <c:pt idx="97">
                  <c:v>1.5101382077573507E-2</c:v>
                </c:pt>
                <c:pt idx="98">
                  <c:v>1.7028515670469244E-2</c:v>
                </c:pt>
                <c:pt idx="99">
                  <c:v>1.6837555817396439E-2</c:v>
                </c:pt>
                <c:pt idx="100">
                  <c:v>1.5509072278709979E-2</c:v>
                </c:pt>
                <c:pt idx="101">
                  <c:v>1.7508819115689807E-2</c:v>
                </c:pt>
                <c:pt idx="102">
                  <c:v>1.7508819115689807E-2</c:v>
                </c:pt>
                <c:pt idx="103">
                  <c:v>1.7508819115689807E-2</c:v>
                </c:pt>
                <c:pt idx="104">
                  <c:v>1.7508819115689807E-2</c:v>
                </c:pt>
                <c:pt idx="105">
                  <c:v>1.6263070835133005E-2</c:v>
                </c:pt>
                <c:pt idx="106">
                  <c:v>1.6431817961735956E-2</c:v>
                </c:pt>
                <c:pt idx="107">
                  <c:v>1.6543667891204445E-2</c:v>
                </c:pt>
                <c:pt idx="108">
                  <c:v>1.782489921790913E-2</c:v>
                </c:pt>
                <c:pt idx="109">
                  <c:v>1.678354359437011E-2</c:v>
                </c:pt>
                <c:pt idx="110">
                  <c:v>1.6902483848263955E-2</c:v>
                </c:pt>
                <c:pt idx="111">
                  <c:v>1.5803631708021244E-2</c:v>
                </c:pt>
                <c:pt idx="112">
                  <c:v>1.7456619956084544E-2</c:v>
                </c:pt>
                <c:pt idx="113">
                  <c:v>1.7028371603917163E-2</c:v>
                </c:pt>
                <c:pt idx="114">
                  <c:v>1.6458565614987018E-2</c:v>
                </c:pt>
                <c:pt idx="115">
                  <c:v>1.6570422725341632E-2</c:v>
                </c:pt>
                <c:pt idx="116">
                  <c:v>1.6436392019737317E-2</c:v>
                </c:pt>
                <c:pt idx="117">
                  <c:v>1.5696838183490561E-2</c:v>
                </c:pt>
                <c:pt idx="118">
                  <c:v>1.5423175448584937E-2</c:v>
                </c:pt>
                <c:pt idx="119">
                  <c:v>1.578026694908605E-2</c:v>
                </c:pt>
                <c:pt idx="120">
                  <c:v>1.6629239183441898E-2</c:v>
                </c:pt>
                <c:pt idx="121">
                  <c:v>1.793999113413219E-2</c:v>
                </c:pt>
                <c:pt idx="122">
                  <c:v>1.793999113413219E-2</c:v>
                </c:pt>
                <c:pt idx="123">
                  <c:v>1.793999113413219E-2</c:v>
                </c:pt>
                <c:pt idx="124">
                  <c:v>1.793999113413219E-2</c:v>
                </c:pt>
                <c:pt idx="125">
                  <c:v>2.1233330698202171E-2</c:v>
                </c:pt>
                <c:pt idx="126">
                  <c:v>2.1233330698202171E-2</c:v>
                </c:pt>
                <c:pt idx="127">
                  <c:v>2.1794589334843895E-2</c:v>
                </c:pt>
                <c:pt idx="128">
                  <c:v>1.9485996950683471E-2</c:v>
                </c:pt>
                <c:pt idx="129">
                  <c:v>1.7908712949219766E-2</c:v>
                </c:pt>
                <c:pt idx="130">
                  <c:v>2.075299542604625E-2</c:v>
                </c:pt>
                <c:pt idx="131">
                  <c:v>2.0132124521492205E-2</c:v>
                </c:pt>
                <c:pt idx="132">
                  <c:v>1.8460993505870393E-2</c:v>
                </c:pt>
                <c:pt idx="133">
                  <c:v>2.1343805270731708E-2</c:v>
                </c:pt>
                <c:pt idx="134">
                  <c:v>2.145477478525161E-2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5-4572-A9FA-4A03954A9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BWX_IGOV!$AZ$22:$AZ$156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-4.7732890920312333E-5</c:v>
                </c:pt>
                <c:pt idx="3">
                  <c:v>2.083706637149785E-3</c:v>
                </c:pt>
                <c:pt idx="4">
                  <c:v>2.083706637149785E-3</c:v>
                </c:pt>
                <c:pt idx="5">
                  <c:v>6.8128881792920782E-4</c:v>
                </c:pt>
                <c:pt idx="6">
                  <c:v>2.9464149518918211E-3</c:v>
                </c:pt>
                <c:pt idx="7">
                  <c:v>3.0547751663800434E-3</c:v>
                </c:pt>
                <c:pt idx="8">
                  <c:v>5.6310675759481139E-3</c:v>
                </c:pt>
                <c:pt idx="9">
                  <c:v>5.6310675759481139E-3</c:v>
                </c:pt>
                <c:pt idx="10">
                  <c:v>5.6310675759481139E-3</c:v>
                </c:pt>
                <c:pt idx="11">
                  <c:v>5.6310675759481139E-3</c:v>
                </c:pt>
                <c:pt idx="12">
                  <c:v>5.6310675759481139E-3</c:v>
                </c:pt>
                <c:pt idx="13">
                  <c:v>5.6310675759481139E-3</c:v>
                </c:pt>
                <c:pt idx="14">
                  <c:v>5.6310675759481139E-3</c:v>
                </c:pt>
                <c:pt idx="15">
                  <c:v>5.6310675759481139E-3</c:v>
                </c:pt>
                <c:pt idx="16">
                  <c:v>5.6310675759481139E-3</c:v>
                </c:pt>
                <c:pt idx="17">
                  <c:v>5.6310675759481139E-3</c:v>
                </c:pt>
                <c:pt idx="18">
                  <c:v>5.6310675759481139E-3</c:v>
                </c:pt>
                <c:pt idx="19">
                  <c:v>3.777723977774778E-3</c:v>
                </c:pt>
                <c:pt idx="20">
                  <c:v>2.1115742318434955E-3</c:v>
                </c:pt>
                <c:pt idx="21">
                  <c:v>3.5284326608142837E-3</c:v>
                </c:pt>
                <c:pt idx="22">
                  <c:v>4.0534571102024599E-3</c:v>
                </c:pt>
                <c:pt idx="23">
                  <c:v>3.4607470843358839E-3</c:v>
                </c:pt>
                <c:pt idx="24">
                  <c:v>5.4553523077126142E-3</c:v>
                </c:pt>
                <c:pt idx="25">
                  <c:v>5.4553523077126142E-3</c:v>
                </c:pt>
                <c:pt idx="26">
                  <c:v>8.4468948339836356E-3</c:v>
                </c:pt>
                <c:pt idx="27">
                  <c:v>8.4468948339836356E-3</c:v>
                </c:pt>
                <c:pt idx="28">
                  <c:v>1.0713175328403789E-2</c:v>
                </c:pt>
                <c:pt idx="29">
                  <c:v>1.0713175328403789E-2</c:v>
                </c:pt>
                <c:pt idx="30">
                  <c:v>1.0713175328403789E-2</c:v>
                </c:pt>
                <c:pt idx="31">
                  <c:v>1.1801596934553063E-2</c:v>
                </c:pt>
                <c:pt idx="32">
                  <c:v>1.1801596934553063E-2</c:v>
                </c:pt>
                <c:pt idx="33">
                  <c:v>1.2659946115563434E-2</c:v>
                </c:pt>
                <c:pt idx="34">
                  <c:v>1.2659946115563434E-2</c:v>
                </c:pt>
                <c:pt idx="35">
                  <c:v>1.2659946115563434E-2</c:v>
                </c:pt>
                <c:pt idx="36">
                  <c:v>1.2659946115563434E-2</c:v>
                </c:pt>
                <c:pt idx="37">
                  <c:v>1.4652145074607451E-2</c:v>
                </c:pt>
                <c:pt idx="38">
                  <c:v>1.4652145074607451E-2</c:v>
                </c:pt>
                <c:pt idx="39">
                  <c:v>1.4652145074607451E-2</c:v>
                </c:pt>
                <c:pt idx="40">
                  <c:v>1.4652145074607451E-2</c:v>
                </c:pt>
                <c:pt idx="41">
                  <c:v>1.2675122819695846E-2</c:v>
                </c:pt>
                <c:pt idx="42">
                  <c:v>1.3164260181748924E-2</c:v>
                </c:pt>
                <c:pt idx="43">
                  <c:v>1.4692365516056323E-2</c:v>
                </c:pt>
                <c:pt idx="44">
                  <c:v>1.4692365516056323E-2</c:v>
                </c:pt>
                <c:pt idx="45">
                  <c:v>1.5165535755586155E-2</c:v>
                </c:pt>
                <c:pt idx="46">
                  <c:v>1.5165535755586155E-2</c:v>
                </c:pt>
                <c:pt idx="47">
                  <c:v>1.4833083011589969E-2</c:v>
                </c:pt>
                <c:pt idx="48">
                  <c:v>1.4955226362488642E-2</c:v>
                </c:pt>
                <c:pt idx="49">
                  <c:v>1.5648268840150338E-2</c:v>
                </c:pt>
                <c:pt idx="50">
                  <c:v>1.4097596644413266E-2</c:v>
                </c:pt>
                <c:pt idx="51">
                  <c:v>1.3583644600280604E-2</c:v>
                </c:pt>
                <c:pt idx="52">
                  <c:v>1.386722200194658E-2</c:v>
                </c:pt>
                <c:pt idx="53">
                  <c:v>1.5679252363284775E-2</c:v>
                </c:pt>
                <c:pt idx="54">
                  <c:v>1.4627406156856246E-2</c:v>
                </c:pt>
                <c:pt idx="55">
                  <c:v>1.5795594357645916E-2</c:v>
                </c:pt>
                <c:pt idx="56">
                  <c:v>1.4112535364226365E-2</c:v>
                </c:pt>
                <c:pt idx="57">
                  <c:v>1.3402103507000225E-2</c:v>
                </c:pt>
                <c:pt idx="58">
                  <c:v>1.3574709084506725E-2</c:v>
                </c:pt>
                <c:pt idx="59">
                  <c:v>1.3507867144598619E-2</c:v>
                </c:pt>
                <c:pt idx="60">
                  <c:v>1.3702227915660168E-2</c:v>
                </c:pt>
                <c:pt idx="61">
                  <c:v>1.3702227915660168E-2</c:v>
                </c:pt>
                <c:pt idx="62">
                  <c:v>1.3338166624337882E-2</c:v>
                </c:pt>
                <c:pt idx="63">
                  <c:v>1.3338166624337882E-2</c:v>
                </c:pt>
                <c:pt idx="64">
                  <c:v>1.3338166624337882E-2</c:v>
                </c:pt>
                <c:pt idx="65">
                  <c:v>1.3254387280225547E-2</c:v>
                </c:pt>
                <c:pt idx="66">
                  <c:v>1.4759606859686728E-2</c:v>
                </c:pt>
                <c:pt idx="67">
                  <c:v>1.3358584721764346E-2</c:v>
                </c:pt>
                <c:pt idx="68">
                  <c:v>1.3625018485147342E-2</c:v>
                </c:pt>
                <c:pt idx="69">
                  <c:v>1.5466787761436462E-2</c:v>
                </c:pt>
                <c:pt idx="70">
                  <c:v>1.3391861910099764E-2</c:v>
                </c:pt>
                <c:pt idx="71">
                  <c:v>1.5959131725021336E-2</c:v>
                </c:pt>
                <c:pt idx="72">
                  <c:v>1.5959131725021336E-2</c:v>
                </c:pt>
                <c:pt idx="73">
                  <c:v>1.5959131725021336E-2</c:v>
                </c:pt>
                <c:pt idx="74">
                  <c:v>1.5959131725021336E-2</c:v>
                </c:pt>
                <c:pt idx="75">
                  <c:v>1.6112040039794995E-2</c:v>
                </c:pt>
                <c:pt idx="76">
                  <c:v>1.5414955243826491E-2</c:v>
                </c:pt>
                <c:pt idx="77">
                  <c:v>1.4959062826539046E-2</c:v>
                </c:pt>
                <c:pt idx="78">
                  <c:v>1.3946343325654932E-2</c:v>
                </c:pt>
                <c:pt idx="79">
                  <c:v>1.3946343325654932E-2</c:v>
                </c:pt>
                <c:pt idx="80">
                  <c:v>1.113719017273633E-2</c:v>
                </c:pt>
                <c:pt idx="81">
                  <c:v>1.2655465721786103E-2</c:v>
                </c:pt>
                <c:pt idx="82">
                  <c:v>1.1335538791220564E-2</c:v>
                </c:pt>
                <c:pt idx="83">
                  <c:v>1.0163548249876038E-2</c:v>
                </c:pt>
                <c:pt idx="84">
                  <c:v>1.2650786439520337E-2</c:v>
                </c:pt>
                <c:pt idx="85">
                  <c:v>1.2307500467883202E-2</c:v>
                </c:pt>
                <c:pt idx="86">
                  <c:v>1.2552802397302529E-2</c:v>
                </c:pt>
                <c:pt idx="87">
                  <c:v>1.289963197210893E-2</c:v>
                </c:pt>
                <c:pt idx="88">
                  <c:v>1.4876946867788288E-2</c:v>
                </c:pt>
                <c:pt idx="89">
                  <c:v>1.4876946867788288E-2</c:v>
                </c:pt>
                <c:pt idx="90">
                  <c:v>1.4876946867788288E-2</c:v>
                </c:pt>
                <c:pt idx="91">
                  <c:v>1.4876946867788288E-2</c:v>
                </c:pt>
                <c:pt idx="92">
                  <c:v>1.4876946867788288E-2</c:v>
                </c:pt>
                <c:pt idx="93">
                  <c:v>1.4876946867788288E-2</c:v>
                </c:pt>
                <c:pt idx="94">
                  <c:v>1.4876946867788288E-2</c:v>
                </c:pt>
                <c:pt idx="95">
                  <c:v>1.4876946867788288E-2</c:v>
                </c:pt>
                <c:pt idx="96">
                  <c:v>1.4876946867788288E-2</c:v>
                </c:pt>
                <c:pt idx="97">
                  <c:v>1.4876946867788288E-2</c:v>
                </c:pt>
                <c:pt idx="98">
                  <c:v>1.4876946867788288E-2</c:v>
                </c:pt>
                <c:pt idx="99">
                  <c:v>1.4876946867788288E-2</c:v>
                </c:pt>
                <c:pt idx="100">
                  <c:v>1.4876946867788288E-2</c:v>
                </c:pt>
                <c:pt idx="101">
                  <c:v>1.4876946867788288E-2</c:v>
                </c:pt>
                <c:pt idx="102">
                  <c:v>1.4876946867788288E-2</c:v>
                </c:pt>
                <c:pt idx="103">
                  <c:v>1.4876946867788288E-2</c:v>
                </c:pt>
                <c:pt idx="104">
                  <c:v>1.4876946867788288E-2</c:v>
                </c:pt>
                <c:pt idx="105">
                  <c:v>1.4876946867788288E-2</c:v>
                </c:pt>
                <c:pt idx="106">
                  <c:v>1.4876946867788288E-2</c:v>
                </c:pt>
                <c:pt idx="107">
                  <c:v>1.4876946867788288E-2</c:v>
                </c:pt>
                <c:pt idx="108">
                  <c:v>1.4876946867788288E-2</c:v>
                </c:pt>
                <c:pt idx="109">
                  <c:v>1.4876946867788288E-2</c:v>
                </c:pt>
                <c:pt idx="110">
                  <c:v>1.4876946867788288E-2</c:v>
                </c:pt>
                <c:pt idx="111">
                  <c:v>1.4876946867788288E-2</c:v>
                </c:pt>
                <c:pt idx="112">
                  <c:v>1.4876946867788288E-2</c:v>
                </c:pt>
                <c:pt idx="113">
                  <c:v>1.4876946867788288E-2</c:v>
                </c:pt>
                <c:pt idx="114">
                  <c:v>1.4876946867788288E-2</c:v>
                </c:pt>
                <c:pt idx="115">
                  <c:v>1.4876946867788288E-2</c:v>
                </c:pt>
                <c:pt idx="116">
                  <c:v>1.4876946867788288E-2</c:v>
                </c:pt>
                <c:pt idx="117">
                  <c:v>1.4876946867788288E-2</c:v>
                </c:pt>
                <c:pt idx="118">
                  <c:v>1.4876946867788288E-2</c:v>
                </c:pt>
                <c:pt idx="119">
                  <c:v>1.4876946867788288E-2</c:v>
                </c:pt>
                <c:pt idx="120">
                  <c:v>1.4876946867788288E-2</c:v>
                </c:pt>
                <c:pt idx="121">
                  <c:v>1.4876946867788288E-2</c:v>
                </c:pt>
                <c:pt idx="122">
                  <c:v>1.4876946867788288E-2</c:v>
                </c:pt>
                <c:pt idx="123">
                  <c:v>1.4876946867788288E-2</c:v>
                </c:pt>
                <c:pt idx="124">
                  <c:v>1.4876946867788288E-2</c:v>
                </c:pt>
                <c:pt idx="125">
                  <c:v>1.4876946867788288E-2</c:v>
                </c:pt>
                <c:pt idx="126">
                  <c:v>1.4876946867788288E-2</c:v>
                </c:pt>
                <c:pt idx="127">
                  <c:v>1.4876946867788288E-2</c:v>
                </c:pt>
                <c:pt idx="128">
                  <c:v>1.4876946867788288E-2</c:v>
                </c:pt>
                <c:pt idx="129">
                  <c:v>1.4876946867788288E-2</c:v>
                </c:pt>
                <c:pt idx="130">
                  <c:v>1.4876946867788288E-2</c:v>
                </c:pt>
                <c:pt idx="131">
                  <c:v>1.4876946867788288E-2</c:v>
                </c:pt>
                <c:pt idx="132">
                  <c:v>1.4876946867788288E-2</c:v>
                </c:pt>
                <c:pt idx="133">
                  <c:v>1.4876946867788288E-2</c:v>
                </c:pt>
                <c:pt idx="134">
                  <c:v>1.4876946867788288E-2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D-480F-AF2C-C1837C4C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BWX_IGOV!$S$1</c:f>
              <c:strCache>
                <c:ptCount val="1"/>
                <c:pt idx="0">
                  <c:v> IGOV*/BWX*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BWX_IGOV!$S$2:$S$156</c:f>
              <c:numCache>
                <c:formatCode>_(* #,##0.0000_);_(* \(#,##0.0000\);_(* "-"??_);_(@_)</c:formatCode>
                <c:ptCount val="155"/>
                <c:pt idx="0">
                  <c:v>1.8657810486417497</c:v>
                </c:pt>
                <c:pt idx="1">
                  <c:v>1.8657810486417497</c:v>
                </c:pt>
                <c:pt idx="2">
                  <c:v>1.8657810486417497</c:v>
                </c:pt>
                <c:pt idx="3">
                  <c:v>1.8657810486417497</c:v>
                </c:pt>
                <c:pt idx="4">
                  <c:v>1.8657810486417497</c:v>
                </c:pt>
                <c:pt idx="5">
                  <c:v>1.8657810486417497</c:v>
                </c:pt>
                <c:pt idx="6">
                  <c:v>1.8657810486417497</c:v>
                </c:pt>
                <c:pt idx="7">
                  <c:v>1.8657810486417497</c:v>
                </c:pt>
                <c:pt idx="8">
                  <c:v>1.8657810486417497</c:v>
                </c:pt>
                <c:pt idx="9">
                  <c:v>1.8657810486417497</c:v>
                </c:pt>
                <c:pt idx="10">
                  <c:v>1.8657810486417497</c:v>
                </c:pt>
                <c:pt idx="11">
                  <c:v>1.8657810486417497</c:v>
                </c:pt>
                <c:pt idx="12">
                  <c:v>1.8657810486417497</c:v>
                </c:pt>
                <c:pt idx="13">
                  <c:v>1.8657810486417497</c:v>
                </c:pt>
                <c:pt idx="14">
                  <c:v>1.8657810486417497</c:v>
                </c:pt>
                <c:pt idx="15">
                  <c:v>1.8657810486417497</c:v>
                </c:pt>
                <c:pt idx="16">
                  <c:v>1.8657810486417497</c:v>
                </c:pt>
                <c:pt idx="17">
                  <c:v>1.8657810486417497</c:v>
                </c:pt>
                <c:pt idx="18">
                  <c:v>1.8657810486417497</c:v>
                </c:pt>
                <c:pt idx="19">
                  <c:v>1.8657810486417497</c:v>
                </c:pt>
                <c:pt idx="20">
                  <c:v>1.8657810486417497</c:v>
                </c:pt>
                <c:pt idx="21">
                  <c:v>1.8657810486417497</c:v>
                </c:pt>
                <c:pt idx="22">
                  <c:v>1.8657810486417497</c:v>
                </c:pt>
                <c:pt idx="23">
                  <c:v>1.8657810486417497</c:v>
                </c:pt>
                <c:pt idx="24">
                  <c:v>1.8657810486417497</c:v>
                </c:pt>
                <c:pt idx="25">
                  <c:v>1.8657810486417497</c:v>
                </c:pt>
                <c:pt idx="26">
                  <c:v>1.8657810486417497</c:v>
                </c:pt>
                <c:pt idx="27">
                  <c:v>1.8657810486417497</c:v>
                </c:pt>
                <c:pt idx="28">
                  <c:v>1.8657810486417497</c:v>
                </c:pt>
                <c:pt idx="29">
                  <c:v>1.8657810486417497</c:v>
                </c:pt>
                <c:pt idx="30">
                  <c:v>1.8657810486417497</c:v>
                </c:pt>
                <c:pt idx="31">
                  <c:v>1.8657810486417497</c:v>
                </c:pt>
                <c:pt idx="32">
                  <c:v>1.8657810486417497</c:v>
                </c:pt>
                <c:pt idx="33">
                  <c:v>1.8657810486417497</c:v>
                </c:pt>
                <c:pt idx="34">
                  <c:v>1.8657810486417497</c:v>
                </c:pt>
                <c:pt idx="35">
                  <c:v>1.8657810486417497</c:v>
                </c:pt>
                <c:pt idx="36">
                  <c:v>1.8657810486417497</c:v>
                </c:pt>
                <c:pt idx="37">
                  <c:v>1.8657810486417497</c:v>
                </c:pt>
                <c:pt idx="38">
                  <c:v>1.8657810486417497</c:v>
                </c:pt>
                <c:pt idx="39">
                  <c:v>1.8657810486417497</c:v>
                </c:pt>
                <c:pt idx="40">
                  <c:v>1.8657810486417497</c:v>
                </c:pt>
                <c:pt idx="41">
                  <c:v>1.8657810486417497</c:v>
                </c:pt>
                <c:pt idx="42">
                  <c:v>1.8657810486417497</c:v>
                </c:pt>
                <c:pt idx="43">
                  <c:v>1.8657810486417497</c:v>
                </c:pt>
                <c:pt idx="44">
                  <c:v>1.8657810486417497</c:v>
                </c:pt>
                <c:pt idx="45">
                  <c:v>1.8657810486417497</c:v>
                </c:pt>
                <c:pt idx="46">
                  <c:v>1.8657810486417497</c:v>
                </c:pt>
                <c:pt idx="47">
                  <c:v>1.8657810486417497</c:v>
                </c:pt>
                <c:pt idx="48">
                  <c:v>1.8657810486417497</c:v>
                </c:pt>
                <c:pt idx="49">
                  <c:v>1.8657810486417497</c:v>
                </c:pt>
                <c:pt idx="50">
                  <c:v>1.8657810486417497</c:v>
                </c:pt>
                <c:pt idx="51">
                  <c:v>1.8657810486417497</c:v>
                </c:pt>
                <c:pt idx="52">
                  <c:v>1.8657810486417497</c:v>
                </c:pt>
                <c:pt idx="53">
                  <c:v>1.8657810486417497</c:v>
                </c:pt>
                <c:pt idx="54">
                  <c:v>1.8657810486417497</c:v>
                </c:pt>
                <c:pt idx="55">
                  <c:v>1.8657810486417497</c:v>
                </c:pt>
                <c:pt idx="56">
                  <c:v>1.8657810486417497</c:v>
                </c:pt>
                <c:pt idx="57">
                  <c:v>1.8657810486417497</c:v>
                </c:pt>
                <c:pt idx="58">
                  <c:v>1.8657810486417497</c:v>
                </c:pt>
                <c:pt idx="59">
                  <c:v>1.8657810486417497</c:v>
                </c:pt>
                <c:pt idx="60">
                  <c:v>1.8657810486417497</c:v>
                </c:pt>
                <c:pt idx="61">
                  <c:v>1.8657810486417497</c:v>
                </c:pt>
                <c:pt idx="62">
                  <c:v>1.8657810486417497</c:v>
                </c:pt>
                <c:pt idx="63">
                  <c:v>1.8657810486417497</c:v>
                </c:pt>
                <c:pt idx="64">
                  <c:v>1.8657810486417497</c:v>
                </c:pt>
                <c:pt idx="65">
                  <c:v>1.8657810486417497</c:v>
                </c:pt>
                <c:pt idx="66">
                  <c:v>1.8657810486417497</c:v>
                </c:pt>
                <c:pt idx="67">
                  <c:v>1.8657810486417497</c:v>
                </c:pt>
                <c:pt idx="68">
                  <c:v>1.8657810486417497</c:v>
                </c:pt>
                <c:pt idx="69">
                  <c:v>1.8657810486417497</c:v>
                </c:pt>
                <c:pt idx="70">
                  <c:v>1.8657810486417497</c:v>
                </c:pt>
                <c:pt idx="71">
                  <c:v>1.8657810486417497</c:v>
                </c:pt>
                <c:pt idx="72">
                  <c:v>1.8657810486417497</c:v>
                </c:pt>
                <c:pt idx="73">
                  <c:v>1.8657810486417497</c:v>
                </c:pt>
                <c:pt idx="74">
                  <c:v>1.8657810486417497</c:v>
                </c:pt>
                <c:pt idx="75">
                  <c:v>1.8657810486417497</c:v>
                </c:pt>
                <c:pt idx="76">
                  <c:v>1.8657810486417497</c:v>
                </c:pt>
                <c:pt idx="77">
                  <c:v>1.8657810486417497</c:v>
                </c:pt>
                <c:pt idx="78">
                  <c:v>1.8657810486417497</c:v>
                </c:pt>
                <c:pt idx="79">
                  <c:v>1.8657810486417497</c:v>
                </c:pt>
                <c:pt idx="80">
                  <c:v>1.8657810486417497</c:v>
                </c:pt>
                <c:pt idx="81">
                  <c:v>1.8657810486417497</c:v>
                </c:pt>
                <c:pt idx="82">
                  <c:v>1.8657810486417497</c:v>
                </c:pt>
                <c:pt idx="83">
                  <c:v>1.8657810486417497</c:v>
                </c:pt>
                <c:pt idx="84">
                  <c:v>1.8657810486417497</c:v>
                </c:pt>
                <c:pt idx="85">
                  <c:v>1.8657810486417497</c:v>
                </c:pt>
                <c:pt idx="86">
                  <c:v>1.8657810486417497</c:v>
                </c:pt>
                <c:pt idx="87">
                  <c:v>1.8657810486417497</c:v>
                </c:pt>
                <c:pt idx="88">
                  <c:v>1.8657810486417497</c:v>
                </c:pt>
                <c:pt idx="89">
                  <c:v>1.8657810486417497</c:v>
                </c:pt>
                <c:pt idx="90">
                  <c:v>1.8657810486417497</c:v>
                </c:pt>
                <c:pt idx="91">
                  <c:v>1.8657810486417497</c:v>
                </c:pt>
                <c:pt idx="92">
                  <c:v>1.8657810486417497</c:v>
                </c:pt>
                <c:pt idx="93">
                  <c:v>1.8657810486417497</c:v>
                </c:pt>
                <c:pt idx="94">
                  <c:v>1.8657810486417497</c:v>
                </c:pt>
                <c:pt idx="95">
                  <c:v>1.8657810486417497</c:v>
                </c:pt>
                <c:pt idx="96">
                  <c:v>1.8657810486417497</c:v>
                </c:pt>
                <c:pt idx="97">
                  <c:v>1.8657810486417497</c:v>
                </c:pt>
                <c:pt idx="98">
                  <c:v>1.8657810486417497</c:v>
                </c:pt>
                <c:pt idx="99">
                  <c:v>1.8657810486417497</c:v>
                </c:pt>
                <c:pt idx="100">
                  <c:v>1.8657810486417497</c:v>
                </c:pt>
                <c:pt idx="101">
                  <c:v>1.8657810486417497</c:v>
                </c:pt>
                <c:pt idx="102">
                  <c:v>1.8657810486417497</c:v>
                </c:pt>
                <c:pt idx="103">
                  <c:v>1.8657810486417497</c:v>
                </c:pt>
                <c:pt idx="104">
                  <c:v>1.8657810486417497</c:v>
                </c:pt>
                <c:pt idx="105">
                  <c:v>1.8657810486417497</c:v>
                </c:pt>
                <c:pt idx="106">
                  <c:v>1.8657810486417497</c:v>
                </c:pt>
                <c:pt idx="107">
                  <c:v>1.8657810486417497</c:v>
                </c:pt>
                <c:pt idx="108">
                  <c:v>1.8657810486417497</c:v>
                </c:pt>
                <c:pt idx="109">
                  <c:v>1.8657810486417497</c:v>
                </c:pt>
                <c:pt idx="110">
                  <c:v>1.8657810486417497</c:v>
                </c:pt>
                <c:pt idx="111">
                  <c:v>1.8657810486417497</c:v>
                </c:pt>
                <c:pt idx="112">
                  <c:v>1.8657810486417497</c:v>
                </c:pt>
                <c:pt idx="113">
                  <c:v>1.8657810486417497</c:v>
                </c:pt>
                <c:pt idx="114">
                  <c:v>1.8657810486417497</c:v>
                </c:pt>
                <c:pt idx="115">
                  <c:v>1.8657810486417497</c:v>
                </c:pt>
                <c:pt idx="116">
                  <c:v>1.8657810486417497</c:v>
                </c:pt>
                <c:pt idx="117">
                  <c:v>1.8657810486417497</c:v>
                </c:pt>
                <c:pt idx="118">
                  <c:v>1.8657810486417497</c:v>
                </c:pt>
                <c:pt idx="119">
                  <c:v>1.8657810486417497</c:v>
                </c:pt>
                <c:pt idx="120">
                  <c:v>1.8657810486417497</c:v>
                </c:pt>
                <c:pt idx="121">
                  <c:v>1.8657810486417497</c:v>
                </c:pt>
                <c:pt idx="122">
                  <c:v>1.8657810486417497</c:v>
                </c:pt>
                <c:pt idx="123">
                  <c:v>1.8657810486417497</c:v>
                </c:pt>
                <c:pt idx="124">
                  <c:v>1.8657810486417497</c:v>
                </c:pt>
                <c:pt idx="125">
                  <c:v>1.8657810486417497</c:v>
                </c:pt>
                <c:pt idx="126">
                  <c:v>1.8657810486417497</c:v>
                </c:pt>
                <c:pt idx="127">
                  <c:v>1.8657810486417497</c:v>
                </c:pt>
                <c:pt idx="128">
                  <c:v>1.8657810486417497</c:v>
                </c:pt>
                <c:pt idx="129">
                  <c:v>1.8657810486417497</c:v>
                </c:pt>
                <c:pt idx="130">
                  <c:v>1.8657810486417497</c:v>
                </c:pt>
                <c:pt idx="131">
                  <c:v>1.8657810486417497</c:v>
                </c:pt>
                <c:pt idx="132">
                  <c:v>1.8657810486417497</c:v>
                </c:pt>
                <c:pt idx="133">
                  <c:v>1.8657810486417497</c:v>
                </c:pt>
                <c:pt idx="134">
                  <c:v>1.8657810486417497</c:v>
                </c:pt>
                <c:pt idx="135">
                  <c:v>1.8657810486417497</c:v>
                </c:pt>
                <c:pt idx="136">
                  <c:v>1.8657810486417497</c:v>
                </c:pt>
                <c:pt idx="137">
                  <c:v>1.8657810486417497</c:v>
                </c:pt>
                <c:pt idx="138">
                  <c:v>1.8657810486417497</c:v>
                </c:pt>
                <c:pt idx="139">
                  <c:v>1.8657810486417497</c:v>
                </c:pt>
                <c:pt idx="140">
                  <c:v>1.8657810486417497</c:v>
                </c:pt>
                <c:pt idx="141">
                  <c:v>1.8657810486417497</c:v>
                </c:pt>
                <c:pt idx="142">
                  <c:v>1.8657810486417497</c:v>
                </c:pt>
                <c:pt idx="143">
                  <c:v>1.8657810486417497</c:v>
                </c:pt>
                <c:pt idx="144">
                  <c:v>1.8657810486417497</c:v>
                </c:pt>
                <c:pt idx="145">
                  <c:v>1.8657810486417497</c:v>
                </c:pt>
                <c:pt idx="146">
                  <c:v>1.8657810486417497</c:v>
                </c:pt>
                <c:pt idx="147">
                  <c:v>1.8657810486417497</c:v>
                </c:pt>
                <c:pt idx="148">
                  <c:v>1.8657810486417497</c:v>
                </c:pt>
                <c:pt idx="149">
                  <c:v>1.8657810486417497</c:v>
                </c:pt>
                <c:pt idx="150">
                  <c:v>1.8657810486417497</c:v>
                </c:pt>
                <c:pt idx="151">
                  <c:v>1.8657810486417497</c:v>
                </c:pt>
                <c:pt idx="152">
                  <c:v>1.8657810486417497</c:v>
                </c:pt>
                <c:pt idx="153">
                  <c:v>1.8657810486417497</c:v>
                </c:pt>
                <c:pt idx="154">
                  <c:v>1.8657810486417497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C-4323-A298-C7D6F124FFC7}"/>
            </c:ext>
          </c:extLst>
        </c:ser>
        <c:ser>
          <c:idx val="1"/>
          <c:order val="1"/>
          <c:tx>
            <c:strRef>
              <c:f>BWX_IGOV!$T$1</c:f>
              <c:strCache>
                <c:ptCount val="1"/>
                <c:pt idx="0">
                  <c:v> IGOV*/BWX*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BWX_IGOV!$T$2:$T$156</c:f>
              <c:numCache>
                <c:formatCode>_(* #,##0.0000_);_(* \(#,##0.0000\);_(* "-"??_);_(@_)</c:formatCode>
                <c:ptCount val="155"/>
                <c:pt idx="9">
                  <c:v>1.8557368508146446</c:v>
                </c:pt>
                <c:pt idx="10">
                  <c:v>1.8564936759404105</c:v>
                </c:pt>
                <c:pt idx="11">
                  <c:v>1.8576673154937278</c:v>
                </c:pt>
                <c:pt idx="12">
                  <c:v>1.8587279157564862</c:v>
                </c:pt>
                <c:pt idx="13">
                  <c:v>1.8596879545904073</c:v>
                </c:pt>
                <c:pt idx="14">
                  <c:v>1.8606516587779622</c:v>
                </c:pt>
                <c:pt idx="15">
                  <c:v>1.8610049667521213</c:v>
                </c:pt>
                <c:pt idx="16">
                  <c:v>1.8614619724710757</c:v>
                </c:pt>
                <c:pt idx="17">
                  <c:v>1.8612976260107383</c:v>
                </c:pt>
                <c:pt idx="18">
                  <c:v>1.8617020137880331</c:v>
                </c:pt>
                <c:pt idx="19">
                  <c:v>1.8613635206708836</c:v>
                </c:pt>
                <c:pt idx="20">
                  <c:v>1.8612990252769379</c:v>
                </c:pt>
                <c:pt idx="21">
                  <c:v>1.8611910660296829</c:v>
                </c:pt>
                <c:pt idx="22">
                  <c:v>1.8610523904877811</c:v>
                </c:pt>
                <c:pt idx="23">
                  <c:v>1.8606554473036609</c:v>
                </c:pt>
                <c:pt idx="24">
                  <c:v>1.8609683672260218</c:v>
                </c:pt>
                <c:pt idx="25">
                  <c:v>1.8617486193688255</c:v>
                </c:pt>
                <c:pt idx="26">
                  <c:v>1.8617937605251647</c:v>
                </c:pt>
                <c:pt idx="27">
                  <c:v>1.8621971821515206</c:v>
                </c:pt>
                <c:pt idx="28">
                  <c:v>1.8616438558993558</c:v>
                </c:pt>
                <c:pt idx="29">
                  <c:v>1.8616874872387776</c:v>
                </c:pt>
                <c:pt idx="30">
                  <c:v>1.8618786006098031</c:v>
                </c:pt>
                <c:pt idx="31">
                  <c:v>1.8612750065371551</c:v>
                </c:pt>
                <c:pt idx="32">
                  <c:v>1.8607442928966855</c:v>
                </c:pt>
                <c:pt idx="33">
                  <c:v>1.8609648474272096</c:v>
                </c:pt>
                <c:pt idx="34">
                  <c:v>1.8599694314493154</c:v>
                </c:pt>
                <c:pt idx="35">
                  <c:v>1.8588459752475319</c:v>
                </c:pt>
                <c:pt idx="36">
                  <c:v>1.8585282374964442</c:v>
                </c:pt>
                <c:pt idx="37">
                  <c:v>1.8580437983793985</c:v>
                </c:pt>
                <c:pt idx="38">
                  <c:v>1.8586011406253999</c:v>
                </c:pt>
                <c:pt idx="39">
                  <c:v>1.8592341461495905</c:v>
                </c:pt>
                <c:pt idx="40">
                  <c:v>1.8599610351570484</c:v>
                </c:pt>
                <c:pt idx="41">
                  <c:v>1.8605987611092214</c:v>
                </c:pt>
                <c:pt idx="42">
                  <c:v>1.8610527457583714</c:v>
                </c:pt>
                <c:pt idx="43">
                  <c:v>1.8612615548925049</c:v>
                </c:pt>
                <c:pt idx="44">
                  <c:v>1.8618515481159985</c:v>
                </c:pt>
                <c:pt idx="45">
                  <c:v>1.8625158583817629</c:v>
                </c:pt>
                <c:pt idx="46">
                  <c:v>1.8622358654068436</c:v>
                </c:pt>
                <c:pt idx="47">
                  <c:v>1.8625031254193094</c:v>
                </c:pt>
                <c:pt idx="48">
                  <c:v>1.8617805155517266</c:v>
                </c:pt>
                <c:pt idx="49">
                  <c:v>1.8614380067085765</c:v>
                </c:pt>
                <c:pt idx="50">
                  <c:v>1.8611052290671537</c:v>
                </c:pt>
                <c:pt idx="51">
                  <c:v>1.8608259120423309</c:v>
                </c:pt>
                <c:pt idx="52">
                  <c:v>1.8608314251002884</c:v>
                </c:pt>
                <c:pt idx="53">
                  <c:v>1.8605595890931586</c:v>
                </c:pt>
                <c:pt idx="54">
                  <c:v>1.8603772057315844</c:v>
                </c:pt>
                <c:pt idx="55">
                  <c:v>1.8603029453396682</c:v>
                </c:pt>
                <c:pt idx="56">
                  <c:v>1.8609614125715825</c:v>
                </c:pt>
                <c:pt idx="57">
                  <c:v>1.8608806725614311</c:v>
                </c:pt>
                <c:pt idx="58">
                  <c:v>1.8611354162553144</c:v>
                </c:pt>
                <c:pt idx="59">
                  <c:v>1.8611733218472171</c:v>
                </c:pt>
                <c:pt idx="60">
                  <c:v>1.8612245926780329</c:v>
                </c:pt>
                <c:pt idx="61">
                  <c:v>1.8614729836350499</c:v>
                </c:pt>
                <c:pt idx="62">
                  <c:v>1.8614443845912962</c:v>
                </c:pt>
                <c:pt idx="63">
                  <c:v>1.8612984689876826</c:v>
                </c:pt>
                <c:pt idx="64">
                  <c:v>1.8617949141973444</c:v>
                </c:pt>
                <c:pt idx="65">
                  <c:v>1.8619001730900546</c:v>
                </c:pt>
                <c:pt idx="66">
                  <c:v>1.8621719063928517</c:v>
                </c:pt>
                <c:pt idx="67">
                  <c:v>1.8628816124984087</c:v>
                </c:pt>
                <c:pt idx="68">
                  <c:v>1.8636612870120128</c:v>
                </c:pt>
                <c:pt idx="69">
                  <c:v>1.8641425664015063</c:v>
                </c:pt>
                <c:pt idx="70">
                  <c:v>1.8645843086830136</c:v>
                </c:pt>
                <c:pt idx="71">
                  <c:v>1.8651301912291021</c:v>
                </c:pt>
                <c:pt idx="72">
                  <c:v>1.8657250478689247</c:v>
                </c:pt>
                <c:pt idx="73">
                  <c:v>1.8662683761373926</c:v>
                </c:pt>
                <c:pt idx="74">
                  <c:v>1.8666363970034645</c:v>
                </c:pt>
                <c:pt idx="75">
                  <c:v>1.8668598606906148</c:v>
                </c:pt>
                <c:pt idx="76">
                  <c:v>1.8670541170943138</c:v>
                </c:pt>
                <c:pt idx="77">
                  <c:v>1.8673252102697515</c:v>
                </c:pt>
                <c:pt idx="78">
                  <c:v>1.8675821295725619</c:v>
                </c:pt>
                <c:pt idx="79">
                  <c:v>1.8679700909886598</c:v>
                </c:pt>
                <c:pt idx="80">
                  <c:v>1.8680269388244928</c:v>
                </c:pt>
                <c:pt idx="81">
                  <c:v>1.8681162444730748</c:v>
                </c:pt>
                <c:pt idx="82">
                  <c:v>1.8679419700061359</c:v>
                </c:pt>
                <c:pt idx="83">
                  <c:v>1.8680898080546935</c:v>
                </c:pt>
                <c:pt idx="84">
                  <c:v>1.8687237462127899</c:v>
                </c:pt>
                <c:pt idx="85">
                  <c:v>1.869604338078851</c:v>
                </c:pt>
                <c:pt idx="86">
                  <c:v>1.869890795393778</c:v>
                </c:pt>
                <c:pt idx="87">
                  <c:v>1.8703080959999827</c:v>
                </c:pt>
                <c:pt idx="88">
                  <c:v>1.8707042392967324</c:v>
                </c:pt>
                <c:pt idx="89">
                  <c:v>1.8707364743587114</c:v>
                </c:pt>
                <c:pt idx="90">
                  <c:v>1.8711985865968177</c:v>
                </c:pt>
                <c:pt idx="91">
                  <c:v>1.8710512443341254</c:v>
                </c:pt>
                <c:pt idx="92">
                  <c:v>1.8709335236789841</c:v>
                </c:pt>
                <c:pt idx="93">
                  <c:v>1.8712478313953613</c:v>
                </c:pt>
                <c:pt idx="94">
                  <c:v>1.8711596598497191</c:v>
                </c:pt>
                <c:pt idx="95">
                  <c:v>1.871027630926267</c:v>
                </c:pt>
                <c:pt idx="96">
                  <c:v>1.8713092622391301</c:v>
                </c:pt>
                <c:pt idx="97">
                  <c:v>1.8714083043109508</c:v>
                </c:pt>
                <c:pt idx="98">
                  <c:v>1.8717607443684767</c:v>
                </c:pt>
                <c:pt idx="99">
                  <c:v>1.8724674373974686</c:v>
                </c:pt>
                <c:pt idx="100">
                  <c:v>1.8733202201622803</c:v>
                </c:pt>
                <c:pt idx="101">
                  <c:v>1.8743755897995122</c:v>
                </c:pt>
                <c:pt idx="102">
                  <c:v>1.8755694150367426</c:v>
                </c:pt>
                <c:pt idx="103">
                  <c:v>1.8765653976254129</c:v>
                </c:pt>
                <c:pt idx="104">
                  <c:v>1.8768134461544292</c:v>
                </c:pt>
                <c:pt idx="105">
                  <c:v>1.8771439368337712</c:v>
                </c:pt>
                <c:pt idx="106">
                  <c:v>1.8772825885164568</c:v>
                </c:pt>
                <c:pt idx="107">
                  <c:v>1.8772680423936847</c:v>
                </c:pt>
                <c:pt idx="108">
                  <c:v>1.8766928021652305</c:v>
                </c:pt>
                <c:pt idx="109">
                  <c:v>1.8763101891750886</c:v>
                </c:pt>
                <c:pt idx="110">
                  <c:v>1.8754311307864793</c:v>
                </c:pt>
                <c:pt idx="111">
                  <c:v>1.8747885715568955</c:v>
                </c:pt>
                <c:pt idx="112">
                  <c:v>1.8741868689232966</c:v>
                </c:pt>
                <c:pt idx="113">
                  <c:v>1.873490138230314</c:v>
                </c:pt>
                <c:pt idx="114">
                  <c:v>1.8731165943200339</c:v>
                </c:pt>
                <c:pt idx="115">
                  <c:v>1.872510014023278</c:v>
                </c:pt>
                <c:pt idx="116">
                  <c:v>1.8719971532319615</c:v>
                </c:pt>
                <c:pt idx="117">
                  <c:v>1.8714773243773475</c:v>
                </c:pt>
                <c:pt idx="118">
                  <c:v>1.8716807784091081</c:v>
                </c:pt>
                <c:pt idx="119">
                  <c:v>1.8716575413262633</c:v>
                </c:pt>
                <c:pt idx="120">
                  <c:v>1.8713538955249871</c:v>
                </c:pt>
                <c:pt idx="121">
                  <c:v>1.871471427247841</c:v>
                </c:pt>
                <c:pt idx="122">
                  <c:v>1.8716949790069812</c:v>
                </c:pt>
                <c:pt idx="123">
                  <c:v>1.8715851597362161</c:v>
                </c:pt>
                <c:pt idx="124">
                  <c:v>1.8715001727721596</c:v>
                </c:pt>
                <c:pt idx="125">
                  <c:v>1.8713466115772319</c:v>
                </c:pt>
                <c:pt idx="126">
                  <c:v>1.8711804439152206</c:v>
                </c:pt>
                <c:pt idx="127">
                  <c:v>1.8711053731912493</c:v>
                </c:pt>
                <c:pt idx="128">
                  <c:v>1.8709121998998941</c:v>
                </c:pt>
                <c:pt idx="129">
                  <c:v>1.8705655903534997</c:v>
                </c:pt>
                <c:pt idx="130">
                  <c:v>1.8704710740913193</c:v>
                </c:pt>
                <c:pt idx="131">
                  <c:v>1.8698097348794147</c:v>
                </c:pt>
                <c:pt idx="132">
                  <c:v>1.8694591482207936</c:v>
                </c:pt>
                <c:pt idx="133">
                  <c:v>1.8692303152688481</c:v>
                </c:pt>
                <c:pt idx="134">
                  <c:v>1.8690216384926726</c:v>
                </c:pt>
                <c:pt idx="135">
                  <c:v>1.8690625880961735</c:v>
                </c:pt>
                <c:pt idx="136">
                  <c:v>1.8690541019488596</c:v>
                </c:pt>
                <c:pt idx="137">
                  <c:v>1.8688917752778593</c:v>
                </c:pt>
                <c:pt idx="138">
                  <c:v>1.8684262674538452</c:v>
                </c:pt>
                <c:pt idx="139">
                  <c:v>1.8682191134131372</c:v>
                </c:pt>
                <c:pt idx="140">
                  <c:v>1.8681670021093357</c:v>
                </c:pt>
                <c:pt idx="141">
                  <c:v>1.8685539014491634</c:v>
                </c:pt>
                <c:pt idx="142">
                  <c:v>1.8684586352404904</c:v>
                </c:pt>
                <c:pt idx="143">
                  <c:v>1.868292853401496</c:v>
                </c:pt>
                <c:pt idx="144">
                  <c:v>1.8680246318952354</c:v>
                </c:pt>
                <c:pt idx="145">
                  <c:v>1.8681914553234276</c:v>
                </c:pt>
                <c:pt idx="146">
                  <c:v>1.8677134674795339</c:v>
                </c:pt>
                <c:pt idx="147">
                  <c:v>1.8674819604027331</c:v>
                </c:pt>
                <c:pt idx="148">
                  <c:v>1.8668758074925382</c:v>
                </c:pt>
                <c:pt idx="149">
                  <c:v>1.8659217022393111</c:v>
                </c:pt>
                <c:pt idx="150">
                  <c:v>1.865309016769245</c:v>
                </c:pt>
                <c:pt idx="151">
                  <c:v>1.8643375114677787</c:v>
                </c:pt>
                <c:pt idx="152">
                  <c:v>1.8632225033734067</c:v>
                </c:pt>
                <c:pt idx="153">
                  <c:v>1.8628005289889553</c:v>
                </c:pt>
                <c:pt idx="154">
                  <c:v>1.8626049923008967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C-4323-A298-C7D6F124FFC7}"/>
            </c:ext>
          </c:extLst>
        </c:ser>
        <c:ser>
          <c:idx val="2"/>
          <c:order val="2"/>
          <c:tx>
            <c:strRef>
              <c:f>BWX_IGOV!$U$1</c:f>
              <c:strCache>
                <c:ptCount val="1"/>
                <c:pt idx="0">
                  <c:v> IGOV*/BWX*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BWX_IGOV!$U$2:$U$156</c:f>
              <c:numCache>
                <c:formatCode>_(* #,##0.0000_);_(* \(#,##0.0000\);_(* "-"??_);_(@_)</c:formatCode>
                <c:ptCount val="155"/>
                <c:pt idx="19">
                  <c:v>1.8585501857427638</c:v>
                </c:pt>
                <c:pt idx="20">
                  <c:v>1.8588963506086738</c:v>
                </c:pt>
                <c:pt idx="21">
                  <c:v>1.8594291907617049</c:v>
                </c:pt>
                <c:pt idx="22">
                  <c:v>1.8598901531221332</c:v>
                </c:pt>
                <c:pt idx="23">
                  <c:v>1.8601717009470338</c:v>
                </c:pt>
                <c:pt idx="24">
                  <c:v>1.860810013001992</c:v>
                </c:pt>
                <c:pt idx="25">
                  <c:v>1.8613767930604734</c:v>
                </c:pt>
                <c:pt idx="26">
                  <c:v>1.8616278664981203</c:v>
                </c:pt>
                <c:pt idx="27">
                  <c:v>1.8617474040811295</c:v>
                </c:pt>
                <c:pt idx="28">
                  <c:v>1.8616729348436944</c:v>
                </c:pt>
                <c:pt idx="29">
                  <c:v>1.8615255039548306</c:v>
                </c:pt>
                <c:pt idx="30">
                  <c:v>1.8615888129433702</c:v>
                </c:pt>
                <c:pt idx="31">
                  <c:v>1.8612330362834189</c:v>
                </c:pt>
                <c:pt idx="32">
                  <c:v>1.8608983416922331</c:v>
                </c:pt>
                <c:pt idx="33">
                  <c:v>1.860810147365435</c:v>
                </c:pt>
                <c:pt idx="34">
                  <c:v>1.8604688993376683</c:v>
                </c:pt>
                <c:pt idx="35">
                  <c:v>1.8602972973081786</c:v>
                </c:pt>
                <c:pt idx="36">
                  <c:v>1.8601609990108046</c:v>
                </c:pt>
                <c:pt idx="37">
                  <c:v>1.8601204902654598</c:v>
                </c:pt>
                <c:pt idx="38">
                  <c:v>1.8601224982623781</c:v>
                </c:pt>
                <c:pt idx="39">
                  <c:v>1.8604608166941845</c:v>
                </c:pt>
                <c:pt idx="40">
                  <c:v>1.8609198178834259</c:v>
                </c:pt>
                <c:pt idx="41">
                  <c:v>1.8609368838231883</c:v>
                </c:pt>
                <c:pt idx="42">
                  <c:v>1.860898519327528</c:v>
                </c:pt>
                <c:pt idx="43">
                  <c:v>1.8611132011598575</c:v>
                </c:pt>
                <c:pt idx="44">
                  <c:v>1.8609104897826569</c:v>
                </c:pt>
                <c:pt idx="45">
                  <c:v>1.8606809168146476</c:v>
                </c:pt>
                <c:pt idx="46">
                  <c:v>1.8603820514516436</c:v>
                </c:pt>
                <c:pt idx="47">
                  <c:v>1.8602734618993542</c:v>
                </c:pt>
                <c:pt idx="48">
                  <c:v>1.8601908280885631</c:v>
                </c:pt>
                <c:pt idx="49">
                  <c:v>1.8603360764290837</c:v>
                </c:pt>
                <c:pt idx="50">
                  <c:v>1.8605331321121017</c:v>
                </c:pt>
                <c:pt idx="51">
                  <c:v>1.8607123365757761</c:v>
                </c:pt>
                <c:pt idx="52">
                  <c:v>1.8609420854293297</c:v>
                </c:pt>
                <c:pt idx="53">
                  <c:v>1.8609105719928312</c:v>
                </c:pt>
                <c:pt idx="54">
                  <c:v>1.8611143769237912</c:v>
                </c:pt>
                <c:pt idx="55">
                  <c:v>1.8614094018607155</c:v>
                </c:pt>
                <c:pt idx="56">
                  <c:v>1.861598638989213</c:v>
                </c:pt>
                <c:pt idx="57">
                  <c:v>1.8616918989903701</c:v>
                </c:pt>
                <c:pt idx="58">
                  <c:v>1.8614579659035209</c:v>
                </c:pt>
                <c:pt idx="59">
                  <c:v>1.8613056642778969</c:v>
                </c:pt>
                <c:pt idx="60">
                  <c:v>1.8611649108725934</c:v>
                </c:pt>
                <c:pt idx="61">
                  <c:v>1.8611494478386903</c:v>
                </c:pt>
                <c:pt idx="62">
                  <c:v>1.8611379048457923</c:v>
                </c:pt>
                <c:pt idx="63">
                  <c:v>1.8609290290404203</c:v>
                </c:pt>
                <c:pt idx="64">
                  <c:v>1.8610860599644643</c:v>
                </c:pt>
                <c:pt idx="65">
                  <c:v>1.8611015592148614</c:v>
                </c:pt>
                <c:pt idx="66">
                  <c:v>1.8615666594822169</c:v>
                </c:pt>
                <c:pt idx="67">
                  <c:v>1.8618811425299195</c:v>
                </c:pt>
                <c:pt idx="68">
                  <c:v>1.8623983516336637</c:v>
                </c:pt>
                <c:pt idx="69">
                  <c:v>1.8626579441243618</c:v>
                </c:pt>
                <c:pt idx="70">
                  <c:v>1.8629044506805232</c:v>
                </c:pt>
                <c:pt idx="71">
                  <c:v>1.8633015874320762</c:v>
                </c:pt>
                <c:pt idx="72">
                  <c:v>1.8635847162301105</c:v>
                </c:pt>
                <c:pt idx="73">
                  <c:v>1.8637834225625376</c:v>
                </c:pt>
                <c:pt idx="74">
                  <c:v>1.8642156556004046</c:v>
                </c:pt>
                <c:pt idx="75">
                  <c:v>1.8643800168903351</c:v>
                </c:pt>
                <c:pt idx="76">
                  <c:v>1.8646130117435828</c:v>
                </c:pt>
                <c:pt idx="77">
                  <c:v>1.8651034113840801</c:v>
                </c:pt>
                <c:pt idx="78">
                  <c:v>1.8656217082922872</c:v>
                </c:pt>
                <c:pt idx="79">
                  <c:v>1.8660563286950833</c:v>
                </c:pt>
                <c:pt idx="80">
                  <c:v>1.8663056237537536</c:v>
                </c:pt>
                <c:pt idx="81">
                  <c:v>1.8666232178510893</c:v>
                </c:pt>
                <c:pt idx="82">
                  <c:v>1.8668335089375308</c:v>
                </c:pt>
                <c:pt idx="83">
                  <c:v>1.8671790920960434</c:v>
                </c:pt>
                <c:pt idx="84">
                  <c:v>1.8676800716081274</c:v>
                </c:pt>
                <c:pt idx="85">
                  <c:v>1.8682320993847328</c:v>
                </c:pt>
                <c:pt idx="86">
                  <c:v>1.8684724562440453</c:v>
                </c:pt>
                <c:pt idx="87">
                  <c:v>1.8688166531348667</c:v>
                </c:pt>
                <c:pt idx="88">
                  <c:v>1.8691431844346471</c:v>
                </c:pt>
                <c:pt idx="89">
                  <c:v>1.8693532826736856</c:v>
                </c:pt>
                <c:pt idx="90">
                  <c:v>1.8696127627106551</c:v>
                </c:pt>
                <c:pt idx="91">
                  <c:v>1.8695837444035999</c:v>
                </c:pt>
                <c:pt idx="92">
                  <c:v>1.86943774684256</c:v>
                </c:pt>
                <c:pt idx="93">
                  <c:v>1.8696688197250277</c:v>
                </c:pt>
                <c:pt idx="94">
                  <c:v>1.8699417030312548</c:v>
                </c:pt>
                <c:pt idx="95">
                  <c:v>1.8703159845025592</c:v>
                </c:pt>
                <c:pt idx="96">
                  <c:v>1.8706000288164539</c:v>
                </c:pt>
                <c:pt idx="97">
                  <c:v>1.8708582001554668</c:v>
                </c:pt>
                <c:pt idx="98">
                  <c:v>1.8712324918326046</c:v>
                </c:pt>
                <c:pt idx="99">
                  <c:v>1.8716019558780903</c:v>
                </c:pt>
                <c:pt idx="100">
                  <c:v>1.8722594033795492</c:v>
                </c:pt>
                <c:pt idx="101">
                  <c:v>1.8727134170668189</c:v>
                </c:pt>
                <c:pt idx="102">
                  <c:v>1.8732514693578632</c:v>
                </c:pt>
                <c:pt idx="103">
                  <c:v>1.8739066145103869</c:v>
                </c:pt>
                <c:pt idx="104">
                  <c:v>1.8739865530020743</c:v>
                </c:pt>
                <c:pt idx="105">
                  <c:v>1.8740857838800191</c:v>
                </c:pt>
                <c:pt idx="106">
                  <c:v>1.8742959253777933</c:v>
                </c:pt>
                <c:pt idx="107">
                  <c:v>1.8743381733523177</c:v>
                </c:pt>
                <c:pt idx="108">
                  <c:v>1.8742267732668534</c:v>
                </c:pt>
                <c:pt idx="109">
                  <c:v>1.8743888132862785</c:v>
                </c:pt>
                <c:pt idx="110">
                  <c:v>1.8743756754743797</c:v>
                </c:pt>
                <c:pt idx="111">
                  <c:v>1.8745820806782039</c:v>
                </c:pt>
                <c:pt idx="112">
                  <c:v>1.87487814198002</c:v>
                </c:pt>
                <c:pt idx="113">
                  <c:v>1.8750277679278635</c:v>
                </c:pt>
                <c:pt idx="114">
                  <c:v>1.8749650202372314</c:v>
                </c:pt>
                <c:pt idx="115">
                  <c:v>1.8748269754285247</c:v>
                </c:pt>
                <c:pt idx="116">
                  <c:v>1.8746398708742091</c:v>
                </c:pt>
                <c:pt idx="117">
                  <c:v>1.8743726833855159</c:v>
                </c:pt>
                <c:pt idx="118">
                  <c:v>1.8741867902871694</c:v>
                </c:pt>
                <c:pt idx="119">
                  <c:v>1.873983865250676</c:v>
                </c:pt>
                <c:pt idx="120">
                  <c:v>1.8733925131557334</c:v>
                </c:pt>
                <c:pt idx="121">
                  <c:v>1.8731299994023687</c:v>
                </c:pt>
                <c:pt idx="122">
                  <c:v>1.8729409239651393</c:v>
                </c:pt>
                <c:pt idx="123">
                  <c:v>1.8725376489832652</c:v>
                </c:pt>
                <c:pt idx="124">
                  <c:v>1.872308383546097</c:v>
                </c:pt>
                <c:pt idx="125">
                  <c:v>1.8719283128002551</c:v>
                </c:pt>
                <c:pt idx="126">
                  <c:v>1.8715887985735911</c:v>
                </c:pt>
                <c:pt idx="127">
                  <c:v>1.8712913487842981</c:v>
                </c:pt>
                <c:pt idx="128">
                  <c:v>1.871296489154501</c:v>
                </c:pt>
                <c:pt idx="129">
                  <c:v>1.8711115658398818</c:v>
                </c:pt>
                <c:pt idx="130">
                  <c:v>1.8709124848081533</c:v>
                </c:pt>
                <c:pt idx="131">
                  <c:v>1.8706405810636277</c:v>
                </c:pt>
                <c:pt idx="132">
                  <c:v>1.8705770636138872</c:v>
                </c:pt>
                <c:pt idx="133">
                  <c:v>1.8704077375025321</c:v>
                </c:pt>
                <c:pt idx="134">
                  <c:v>1.870260905632416</c:v>
                </c:pt>
                <c:pt idx="135">
                  <c:v>1.870204599836703</c:v>
                </c:pt>
                <c:pt idx="136">
                  <c:v>1.8701172729320401</c:v>
                </c:pt>
                <c:pt idx="137">
                  <c:v>1.8699985742345544</c:v>
                </c:pt>
                <c:pt idx="138">
                  <c:v>1.8696692336768694</c:v>
                </c:pt>
                <c:pt idx="139">
                  <c:v>1.8693923518833184</c:v>
                </c:pt>
                <c:pt idx="140">
                  <c:v>1.8693190381003273</c:v>
                </c:pt>
                <c:pt idx="141">
                  <c:v>1.8691818181642887</c:v>
                </c:pt>
                <c:pt idx="142">
                  <c:v>1.8689588917306417</c:v>
                </c:pt>
                <c:pt idx="143">
                  <c:v>1.8687615843351719</c:v>
                </c:pt>
                <c:pt idx="144">
                  <c:v>1.8685231351939542</c:v>
                </c:pt>
                <c:pt idx="145">
                  <c:v>1.8686270217098013</c:v>
                </c:pt>
                <c:pt idx="146">
                  <c:v>1.8683837847141969</c:v>
                </c:pt>
                <c:pt idx="147">
                  <c:v>1.8681868678402964</c:v>
                </c:pt>
                <c:pt idx="148">
                  <c:v>1.8676510374731918</c:v>
                </c:pt>
                <c:pt idx="149">
                  <c:v>1.8670704078262239</c:v>
                </c:pt>
                <c:pt idx="150">
                  <c:v>1.8667380094392905</c:v>
                </c:pt>
                <c:pt idx="151">
                  <c:v>1.8664457064584714</c:v>
                </c:pt>
                <c:pt idx="152">
                  <c:v>1.8658405693069482</c:v>
                </c:pt>
                <c:pt idx="153">
                  <c:v>1.8655466911952256</c:v>
                </c:pt>
                <c:pt idx="154">
                  <c:v>1.865314812098066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2C-4323-A298-C7D6F124F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606271"/>
        <c:axId val="1490450959"/>
      </c:lineChart>
      <c:catAx>
        <c:axId val="105860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50959"/>
        <c:crosses val="autoZero"/>
        <c:auto val="1"/>
        <c:lblAlgn val="ctr"/>
        <c:lblOffset val="100"/>
        <c:noMultiLvlLbl val="0"/>
      </c:catAx>
      <c:valAx>
        <c:axId val="14904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0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BWX_IGOV!$Z$1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BWX_IGOV!$Z$2:$Z$156</c:f>
              <c:numCache>
                <c:formatCode>0.000%</c:formatCode>
                <c:ptCount val="155"/>
                <c:pt idx="10">
                  <c:v>1.2737270782863725E-3</c:v>
                </c:pt>
                <c:pt idx="11">
                  <c:v>4.440589707514756E-3</c:v>
                </c:pt>
                <c:pt idx="12">
                  <c:v>4.0163545046398453E-3</c:v>
                </c:pt>
                <c:pt idx="13">
                  <c:v>2.7024302198122574E-3</c:v>
                </c:pt>
                <c:pt idx="14">
                  <c:v>8.7044773954260087E-4</c:v>
                </c:pt>
                <c:pt idx="15">
                  <c:v>-7.4163335691244394E-4</c:v>
                </c:pt>
                <c:pt idx="16">
                  <c:v>7.5641665722313213E-4</c:v>
                </c:pt>
                <c:pt idx="17">
                  <c:v>-1.5202748076471036E-3</c:v>
                </c:pt>
                <c:pt idx="18">
                  <c:v>1.1390139299924092E-3</c:v>
                </c:pt>
                <c:pt idx="19">
                  <c:v>-2.6203317895335033E-3</c:v>
                </c:pt>
                <c:pt idx="20">
                  <c:v>-2.1008902302013725E-3</c:v>
                </c:pt>
                <c:pt idx="21">
                  <c:v>1.2764198743949273E-3</c:v>
                </c:pt>
                <c:pt idx="22">
                  <c:v>1.3774948553124137E-3</c:v>
                </c:pt>
                <c:pt idx="23">
                  <c:v>-6.7943286632393435E-4</c:v>
                </c:pt>
                <c:pt idx="24">
                  <c:v>2.0301102068055765E-3</c:v>
                </c:pt>
                <c:pt idx="25">
                  <c:v>3.2759324134046556E-3</c:v>
                </c:pt>
                <c:pt idx="26">
                  <c:v>5.9924969648041625E-4</c:v>
                </c:pt>
                <c:pt idx="27">
                  <c:v>4.6967561667650502E-4</c:v>
                </c:pt>
                <c:pt idx="28">
                  <c:v>-2.3179961659846432E-3</c:v>
                </c:pt>
                <c:pt idx="29">
                  <c:v>-2.354142257413819E-3</c:v>
                </c:pt>
                <c:pt idx="30">
                  <c:v>-1.246554124517829E-3</c:v>
                </c:pt>
                <c:pt idx="31">
                  <c:v>-2.2788978469021502E-3</c:v>
                </c:pt>
                <c:pt idx="32">
                  <c:v>-1.519214522969786E-3</c:v>
                </c:pt>
                <c:pt idx="33">
                  <c:v>6.7134038301322192E-4</c:v>
                </c:pt>
                <c:pt idx="34">
                  <c:v>-3.489428609314981E-3</c:v>
                </c:pt>
                <c:pt idx="35">
                  <c:v>-2.2225168269816649E-3</c:v>
                </c:pt>
                <c:pt idx="36">
                  <c:v>4.5246510797999342E-4</c:v>
                </c:pt>
                <c:pt idx="37">
                  <c:v>-3.7898648266528257E-4</c:v>
                </c:pt>
                <c:pt idx="38">
                  <c:v>2.9102453457466554E-3</c:v>
                </c:pt>
                <c:pt idx="39">
                  <c:v>2.6840883240236463E-3</c:v>
                </c:pt>
                <c:pt idx="40">
                  <c:v>3.973831610364716E-3</c:v>
                </c:pt>
                <c:pt idx="41">
                  <c:v>2.1786518257482616E-3</c:v>
                </c:pt>
                <c:pt idx="42">
                  <c:v>1.2840104802653602E-3</c:v>
                </c:pt>
                <c:pt idx="43">
                  <c:v>1.6263848445450958E-3</c:v>
                </c:pt>
                <c:pt idx="44">
                  <c:v>-4.7245934703208888E-4</c:v>
                </c:pt>
                <c:pt idx="45">
                  <c:v>3.3926217452911876E-4</c:v>
                </c:pt>
                <c:pt idx="46">
                  <c:v>-3.0265952319833526E-3</c:v>
                </c:pt>
                <c:pt idx="47">
                  <c:v>-9.3439512375686486E-4</c:v>
                </c:pt>
                <c:pt idx="48">
                  <c:v>-3.3722169130102468E-3</c:v>
                </c:pt>
                <c:pt idx="49">
                  <c:v>-8.6466074291540525E-4</c:v>
                </c:pt>
                <c:pt idx="50">
                  <c:v>1.0048176621834535E-3</c:v>
                </c:pt>
                <c:pt idx="51">
                  <c:v>6.4078541028338116E-5</c:v>
                </c:pt>
                <c:pt idx="52">
                  <c:v>1.1915251739784125E-3</c:v>
                </c:pt>
                <c:pt idx="53">
                  <c:v>2.859663495256812E-4</c:v>
                </c:pt>
                <c:pt idx="54">
                  <c:v>-1.0760780638031672E-3</c:v>
                </c:pt>
                <c:pt idx="55">
                  <c:v>7.3264819847201706E-4</c:v>
                </c:pt>
                <c:pt idx="56">
                  <c:v>1.7020505070412732E-3</c:v>
                </c:pt>
                <c:pt idx="57">
                  <c:v>-6.838582038023144E-4</c:v>
                </c:pt>
                <c:pt idx="58">
                  <c:v>-1.1292947303057316E-3</c:v>
                </c:pt>
                <c:pt idx="59">
                  <c:v>-3.143508421647022E-4</c:v>
                </c:pt>
                <c:pt idx="60">
                  <c:v>1.4221437361620277E-3</c:v>
                </c:pt>
                <c:pt idx="61">
                  <c:v>1.3336116711266852E-3</c:v>
                </c:pt>
                <c:pt idx="62">
                  <c:v>6.9033325105516158E-4</c:v>
                </c:pt>
                <c:pt idx="63">
                  <c:v>-8.2760547725633322E-4</c:v>
                </c:pt>
                <c:pt idx="64">
                  <c:v>1.1944421734750221E-3</c:v>
                </c:pt>
                <c:pt idx="65">
                  <c:v>5.3610324663310284E-4</c:v>
                </c:pt>
                <c:pt idx="66">
                  <c:v>2.3009817352701227E-3</c:v>
                </c:pt>
                <c:pt idx="67">
                  <c:v>2.4748847734724186E-3</c:v>
                </c:pt>
                <c:pt idx="68">
                  <c:v>1.9817941880760242E-3</c:v>
                </c:pt>
                <c:pt idx="69">
                  <c:v>9.1282087238259482E-4</c:v>
                </c:pt>
                <c:pt idx="70">
                  <c:v>2.1953373637581364E-3</c:v>
                </c:pt>
                <c:pt idx="71">
                  <c:v>2.4548598932422963E-3</c:v>
                </c:pt>
                <c:pt idx="72">
                  <c:v>1.9159058289925687E-3</c:v>
                </c:pt>
                <c:pt idx="73">
                  <c:v>-2.0760028858510401E-4</c:v>
                </c:pt>
                <c:pt idx="74">
                  <c:v>5.0079030957611982E-4</c:v>
                </c:pt>
                <c:pt idx="75">
                  <c:v>-8.6206260797168507E-4</c:v>
                </c:pt>
                <c:pt idx="76">
                  <c:v>6.811300172982394E-4</c:v>
                </c:pt>
                <c:pt idx="77">
                  <c:v>1.3076710292604598E-3</c:v>
                </c:pt>
                <c:pt idx="78">
                  <c:v>9.7477205487697877E-4</c:v>
                </c:pt>
                <c:pt idx="79">
                  <c:v>8.8884938947598384E-4</c:v>
                </c:pt>
                <c:pt idx="80">
                  <c:v>4.4844570003802273E-4</c:v>
                </c:pt>
                <c:pt idx="81">
                  <c:v>1.0879054281513463E-3</c:v>
                </c:pt>
                <c:pt idx="82">
                  <c:v>-6.1683210629810247E-4</c:v>
                </c:pt>
                <c:pt idx="83">
                  <c:v>-6.0289127609544006E-4</c:v>
                </c:pt>
                <c:pt idx="84">
                  <c:v>2.9146618942896729E-3</c:v>
                </c:pt>
                <c:pt idx="85">
                  <c:v>2.7308109231574118E-3</c:v>
                </c:pt>
                <c:pt idx="86">
                  <c:v>7.4432068465558486E-4</c:v>
                </c:pt>
                <c:pt idx="87">
                  <c:v>2.019156972730818E-3</c:v>
                </c:pt>
                <c:pt idx="88">
                  <c:v>1.4957737773752134E-3</c:v>
                </c:pt>
                <c:pt idx="89">
                  <c:v>-6.0905876104828201E-4</c:v>
                </c:pt>
                <c:pt idx="90">
                  <c:v>1.4382967012754346E-3</c:v>
                </c:pt>
                <c:pt idx="91">
                  <c:v>-1.3967262955328524E-3</c:v>
                </c:pt>
                <c:pt idx="92">
                  <c:v>-2.8174452292426735E-3</c:v>
                </c:pt>
                <c:pt idx="93">
                  <c:v>-5.2089333005127302E-4</c:v>
                </c:pt>
                <c:pt idx="94">
                  <c:v>7.5485500264454617E-4</c:v>
                </c:pt>
                <c:pt idx="95">
                  <c:v>7.233016964437464E-4</c:v>
                </c:pt>
                <c:pt idx="96">
                  <c:v>1.4874460379750093E-3</c:v>
                </c:pt>
                <c:pt idx="97">
                  <c:v>1.7893214481113538E-3</c:v>
                </c:pt>
                <c:pt idx="98">
                  <c:v>2.7875082031323115E-3</c:v>
                </c:pt>
                <c:pt idx="99">
                  <c:v>2.599197146920995E-3</c:v>
                </c:pt>
                <c:pt idx="100">
                  <c:v>5.0550997734506303E-3</c:v>
                </c:pt>
                <c:pt idx="101">
                  <c:v>3.1021454518150278E-3</c:v>
                </c:pt>
                <c:pt idx="102">
                  <c:v>1.785529065363793E-3</c:v>
                </c:pt>
                <c:pt idx="103">
                  <c:v>2.3164142299534861E-3</c:v>
                </c:pt>
                <c:pt idx="104">
                  <c:v>-7.5913553543537158E-4</c:v>
                </c:pt>
                <c:pt idx="105">
                  <c:v>-5.3028222313895412E-4</c:v>
                </c:pt>
                <c:pt idx="106">
                  <c:v>-1.0365074106611608E-3</c:v>
                </c:pt>
                <c:pt idx="107">
                  <c:v>-1.4752483680509913E-3</c:v>
                </c:pt>
                <c:pt idx="108">
                  <c:v>-3.4087787059476253E-3</c:v>
                </c:pt>
                <c:pt idx="109">
                  <c:v>-2.0732294977443663E-3</c:v>
                </c:pt>
                <c:pt idx="110">
                  <c:v>-1.6769603728411266E-3</c:v>
                </c:pt>
                <c:pt idx="111">
                  <c:v>-1.44933971717907E-3</c:v>
                </c:pt>
                <c:pt idx="112">
                  <c:v>-1.6443451859629128E-3</c:v>
                </c:pt>
                <c:pt idx="113">
                  <c:v>-6.5923867711030319E-4</c:v>
                </c:pt>
                <c:pt idx="114">
                  <c:v>-1.1130919410435685E-3</c:v>
                </c:pt>
                <c:pt idx="115">
                  <c:v>-1.797513500359074E-3</c:v>
                </c:pt>
                <c:pt idx="116">
                  <c:v>-1.3035663118855737E-3</c:v>
                </c:pt>
                <c:pt idx="117">
                  <c:v>-1.4327960463733902E-3</c:v>
                </c:pt>
                <c:pt idx="118">
                  <c:v>7.6752730863307379E-4</c:v>
                </c:pt>
                <c:pt idx="119">
                  <c:v>4.7692729058553039E-4</c:v>
                </c:pt>
                <c:pt idx="120">
                  <c:v>-8.1654627229601324E-4</c:v>
                </c:pt>
                <c:pt idx="121">
                  <c:v>1.3544563370524866E-3</c:v>
                </c:pt>
                <c:pt idx="122">
                  <c:v>1.3202252550444031E-3</c:v>
                </c:pt>
                <c:pt idx="123">
                  <c:v>8.4715292333394326E-5</c:v>
                </c:pt>
                <c:pt idx="124">
                  <c:v>-5.5000477745008368E-4</c:v>
                </c:pt>
                <c:pt idx="125">
                  <c:v>-1.7558115508373915E-3</c:v>
                </c:pt>
                <c:pt idx="126">
                  <c:v>-1.5710253790042318E-3</c:v>
                </c:pt>
                <c:pt idx="127">
                  <c:v>-1.3980989279969269E-3</c:v>
                </c:pt>
                <c:pt idx="128">
                  <c:v>-6.5642706952800952E-5</c:v>
                </c:pt>
                <c:pt idx="129">
                  <c:v>-9.6504760536018583E-4</c:v>
                </c:pt>
                <c:pt idx="130">
                  <c:v>-7.384893633063744E-4</c:v>
                </c:pt>
                <c:pt idx="131">
                  <c:v>-1.7091505524404649E-3</c:v>
                </c:pt>
                <c:pt idx="132">
                  <c:v>3.3592498826754503E-4</c:v>
                </c:pt>
                <c:pt idx="133">
                  <c:v>5.6736282071250214E-5</c:v>
                </c:pt>
                <c:pt idx="134">
                  <c:v>-4.0721359841225645E-4</c:v>
                </c:pt>
                <c:pt idx="135">
                  <c:v>-2.1141005017706607E-4</c:v>
                </c:pt>
                <c:pt idx="136">
                  <c:v>-3.951760586872603E-4</c:v>
                </c:pt>
                <c:pt idx="137">
                  <c:v>-1.1301895619173431E-3</c:v>
                </c:pt>
                <c:pt idx="138">
                  <c:v>-1.3730391436795419E-3</c:v>
                </c:pt>
                <c:pt idx="139">
                  <c:v>-7.44355763244181E-4</c:v>
                </c:pt>
                <c:pt idx="140">
                  <c:v>2.3788868623939632E-4</c:v>
                </c:pt>
                <c:pt idx="141">
                  <c:v>1.59327656383224E-3</c:v>
                </c:pt>
                <c:pt idx="142">
                  <c:v>4.9833222126865974E-4</c:v>
                </c:pt>
                <c:pt idx="143">
                  <c:v>-2.9506543956155909E-4</c:v>
                </c:pt>
                <c:pt idx="144">
                  <c:v>-1.3421108599727201E-3</c:v>
                </c:pt>
                <c:pt idx="145">
                  <c:v>1.2145312967715399E-3</c:v>
                </c:pt>
                <c:pt idx="146">
                  <c:v>-2.4906431245210114E-3</c:v>
                </c:pt>
                <c:pt idx="147">
                  <c:v>-1.6534549959782861E-3</c:v>
                </c:pt>
                <c:pt idx="148">
                  <c:v>-3.8715192869892465E-3</c:v>
                </c:pt>
                <c:pt idx="149">
                  <c:v>-5.0375590250869165E-3</c:v>
                </c:pt>
                <c:pt idx="150">
                  <c:v>-1.8157442023669086E-3</c:v>
                </c:pt>
                <c:pt idx="151">
                  <c:v>-2.081277510628322E-3</c:v>
                </c:pt>
                <c:pt idx="152">
                  <c:v>-3.2247280055271959E-3</c:v>
                </c:pt>
                <c:pt idx="153">
                  <c:v>2.4961792266089375E-4</c:v>
                </c:pt>
                <c:pt idx="154">
                  <c:v>5.5341297605489325E-4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56-44B9-98BB-A6828B0B1CA8}"/>
            </c:ext>
          </c:extLst>
        </c:ser>
        <c:ser>
          <c:idx val="2"/>
          <c:order val="1"/>
          <c:tx>
            <c:strRef>
              <c:f>BWX_IGOV!$AA$1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BWX_IGOV!$AA$2:$AA$156</c:f>
              <c:numCache>
                <c:formatCode>0.000%</c:formatCode>
                <c:ptCount val="155"/>
                <c:pt idx="20">
                  <c:v>-5.8830919389642991E-4</c:v>
                </c:pt>
                <c:pt idx="21">
                  <c:v>2.5681127881082644E-3</c:v>
                </c:pt>
                <c:pt idx="22">
                  <c:v>2.3245817806486838E-3</c:v>
                </c:pt>
                <c:pt idx="23">
                  <c:v>-5.4732328853469769E-5</c:v>
                </c:pt>
                <c:pt idx="24">
                  <c:v>2.2901310785519171E-3</c:v>
                </c:pt>
                <c:pt idx="25">
                  <c:v>3.3610284121168774E-3</c:v>
                </c:pt>
                <c:pt idx="26">
                  <c:v>7.9898850105921391E-4</c:v>
                </c:pt>
                <c:pt idx="27">
                  <c:v>5.5878399266609687E-4</c:v>
                </c:pt>
                <c:pt idx="28">
                  <c:v>-2.0764361415733582E-3</c:v>
                </c:pt>
                <c:pt idx="29">
                  <c:v>-2.3697621715783649E-3</c:v>
                </c:pt>
                <c:pt idx="30">
                  <c:v>-1.1595414908423657E-3</c:v>
                </c:pt>
                <c:pt idx="31">
                  <c:v>-2.1232431117683419E-3</c:v>
                </c:pt>
                <c:pt idx="32">
                  <c:v>-1.4966650733754866E-3</c:v>
                </c:pt>
                <c:pt idx="33">
                  <c:v>5.8855500528571798E-4</c:v>
                </c:pt>
                <c:pt idx="34">
                  <c:v>-3.4062961996018351E-3</c:v>
                </c:pt>
                <c:pt idx="35">
                  <c:v>-2.4910163138407624E-3</c:v>
                </c:pt>
                <c:pt idx="36">
                  <c:v>-3.2799535183913745E-4</c:v>
                </c:pt>
                <c:pt idx="37">
                  <c:v>-1.2571247273205966E-3</c:v>
                </c:pt>
                <c:pt idx="38">
                  <c:v>1.7931929829200625E-3</c:v>
                </c:pt>
                <c:pt idx="39">
                  <c:v>1.8658733289941233E-3</c:v>
                </c:pt>
                <c:pt idx="40">
                  <c:v>3.3142772107081376E-3</c:v>
                </c:pt>
                <c:pt idx="41">
                  <c:v>1.6632992598018897E-3</c:v>
                </c:pt>
                <c:pt idx="42">
                  <c:v>1.102299086283309E-3</c:v>
                </c:pt>
                <c:pt idx="43">
                  <c:v>1.7092588103480783E-3</c:v>
                </c:pt>
                <c:pt idx="44">
                  <c:v>-3.9275016004894548E-4</c:v>
                </c:pt>
                <c:pt idx="45">
                  <c:v>8.4483214854640218E-4</c:v>
                </c:pt>
                <c:pt idx="46">
                  <c:v>-2.0409144708142622E-3</c:v>
                </c:pt>
                <c:pt idx="47">
                  <c:v>6.1578220726101593E-5</c:v>
                </c:pt>
                <c:pt idx="48">
                  <c:v>-2.174367010251226E-3</c:v>
                </c:pt>
                <c:pt idx="49">
                  <c:v>-1.0442688526310405E-5</c:v>
                </c:pt>
                <c:pt idx="50">
                  <c:v>1.5969709133353989E-3</c:v>
                </c:pt>
                <c:pt idx="51">
                  <c:v>3.7152214733143996E-4</c:v>
                </c:pt>
                <c:pt idx="52">
                  <c:v>1.2525620135874574E-3</c:v>
                </c:pt>
                <c:pt idx="53">
                  <c:v>2.2649989958689896E-4</c:v>
                </c:pt>
                <c:pt idx="54">
                  <c:v>-1.2647040022204137E-3</c:v>
                </c:pt>
                <c:pt idx="55">
                  <c:v>3.3647844477232685E-4</c:v>
                </c:pt>
                <c:pt idx="56">
                  <c:v>1.1074550894358296E-3</c:v>
                </c:pt>
                <c:pt idx="57">
                  <c:v>-1.0262174485309251E-3</c:v>
                </c:pt>
                <c:pt idx="58">
                  <c:v>-1.565136571499106E-3</c:v>
                </c:pt>
                <c:pt idx="59">
                  <c:v>-4.8764382149432786E-4</c:v>
                </c:pt>
                <c:pt idx="60">
                  <c:v>1.3510392752752872E-3</c:v>
                </c:pt>
                <c:pt idx="61">
                  <c:v>1.3656780657841214E-3</c:v>
                </c:pt>
                <c:pt idx="62">
                  <c:v>8.6415469178947088E-4</c:v>
                </c:pt>
                <c:pt idx="63">
                  <c:v>-6.6294572100810344E-4</c:v>
                </c:pt>
                <c:pt idx="64">
                  <c:v>1.3929469390603333E-3</c:v>
                </c:pt>
                <c:pt idx="65">
                  <c:v>9.1691275752855722E-4</c:v>
                </c:pt>
                <c:pt idx="66">
                  <c:v>2.7299978598197524E-3</c:v>
                </c:pt>
                <c:pt idx="67">
                  <c:v>2.7999596439325426E-3</c:v>
                </c:pt>
                <c:pt idx="68">
                  <c:v>2.5189934989305221E-3</c:v>
                </c:pt>
                <c:pt idx="69">
                  <c:v>1.590714169427283E-3</c:v>
                </c:pt>
                <c:pt idx="70">
                  <c:v>2.9920649328808295E-3</c:v>
                </c:pt>
                <c:pt idx="71">
                  <c:v>3.3561949338902536E-3</c:v>
                </c:pt>
                <c:pt idx="72">
                  <c:v>2.8968029204233235E-3</c:v>
                </c:pt>
                <c:pt idx="73">
                  <c:v>9.402431511940756E-4</c:v>
                </c:pt>
                <c:pt idx="74">
                  <c:v>1.8331867890809467E-3</c:v>
                </c:pt>
                <c:pt idx="75">
                  <c:v>4.3562580670575285E-4</c:v>
                </c:pt>
                <c:pt idx="76">
                  <c:v>2.0103633267448454E-3</c:v>
                </c:pt>
                <c:pt idx="77">
                  <c:v>2.6159901341823778E-3</c:v>
                </c:pt>
                <c:pt idx="78">
                  <c:v>2.1653101057372507E-3</c:v>
                </c:pt>
                <c:pt idx="79">
                  <c:v>1.9391116015708464E-3</c:v>
                </c:pt>
                <c:pt idx="80">
                  <c:v>1.4734852932529925E-3</c:v>
                </c:pt>
                <c:pt idx="81">
                  <c:v>2.009791823539477E-3</c:v>
                </c:pt>
                <c:pt idx="82">
                  <c:v>1.8270248859530899E-4</c:v>
                </c:pt>
                <c:pt idx="83">
                  <c:v>-9.3021260103835174E-6</c:v>
                </c:pt>
                <c:pt idx="84">
                  <c:v>3.4022926384427478E-3</c:v>
                </c:pt>
                <c:pt idx="85">
                  <c:v>3.2894628690890012E-3</c:v>
                </c:pt>
                <c:pt idx="86">
                  <c:v>1.4785629548704584E-3</c:v>
                </c:pt>
                <c:pt idx="87">
                  <c:v>2.7779592197653548E-3</c:v>
                </c:pt>
                <c:pt idx="88">
                  <c:v>2.2935235419733395E-3</c:v>
                </c:pt>
                <c:pt idx="89">
                  <c:v>2.2576404099526284E-4</c:v>
                </c:pt>
                <c:pt idx="90">
                  <c:v>2.1779536816921821E-3</c:v>
                </c:pt>
                <c:pt idx="91">
                  <c:v>-5.4887601222274561E-4</c:v>
                </c:pt>
                <c:pt idx="92">
                  <c:v>-2.032819084092793E-3</c:v>
                </c:pt>
                <c:pt idx="93">
                  <c:v>2.7890797734691472E-4</c:v>
                </c:pt>
                <c:pt idx="94">
                  <c:v>1.5990394159134374E-3</c:v>
                </c:pt>
                <c:pt idx="95">
                  <c:v>1.3744237823509629E-3</c:v>
                </c:pt>
                <c:pt idx="96">
                  <c:v>1.8678689584228057E-3</c:v>
                </c:pt>
                <c:pt idx="97">
                  <c:v>2.168397142364051E-3</c:v>
                </c:pt>
                <c:pt idx="98">
                  <c:v>3.0815033842822464E-3</c:v>
                </c:pt>
                <c:pt idx="99">
                  <c:v>2.8814592329273613E-3</c:v>
                </c:pt>
                <c:pt idx="100">
                  <c:v>5.5174210842406498E-3</c:v>
                </c:pt>
                <c:pt idx="101">
                  <c:v>3.668582114609352E-3</c:v>
                </c:pt>
                <c:pt idx="102">
                  <c:v>2.6727099349245949E-3</c:v>
                </c:pt>
                <c:pt idx="103">
                  <c:v>3.5530409164513895E-3</c:v>
                </c:pt>
                <c:pt idx="104">
                  <c:v>6.5870390014959404E-4</c:v>
                </c:pt>
                <c:pt idx="105">
                  <c:v>9.7707284151073441E-4</c:v>
                </c:pt>
                <c:pt idx="106">
                  <c:v>5.9397318313723143E-4</c:v>
                </c:pt>
                <c:pt idx="107">
                  <c:v>1.1696875259477666E-4</c:v>
                </c:pt>
                <c:pt idx="108">
                  <c:v>-1.8468505778209906E-3</c:v>
                </c:pt>
                <c:pt idx="109">
                  <c:v>-7.5833633403515877E-4</c:v>
                </c:pt>
                <c:pt idx="110">
                  <c:v>-6.5241745131123542E-4</c:v>
                </c:pt>
                <c:pt idx="111">
                  <c:v>-8.8640120087460632E-4</c:v>
                </c:pt>
                <c:pt idx="112">
                  <c:v>-1.5341982316855361E-3</c:v>
                </c:pt>
                <c:pt idx="113">
                  <c:v>-1.0280095906831631E-3</c:v>
                </c:pt>
                <c:pt idx="114">
                  <c:v>-1.9334853990897369E-3</c:v>
                </c:pt>
                <c:pt idx="115">
                  <c:v>-2.7838453133441649E-3</c:v>
                </c:pt>
                <c:pt idx="116">
                  <c:v>-2.540157366823192E-3</c:v>
                </c:pt>
                <c:pt idx="117">
                  <c:v>-2.8435108092502472E-3</c:v>
                </c:pt>
                <c:pt idx="118">
                  <c:v>-7.7837526556637378E-4</c:v>
                </c:pt>
                <c:pt idx="119">
                  <c:v>-8.6108704439855782E-4</c:v>
                </c:pt>
                <c:pt idx="120">
                  <c:v>-2.0586962653209215E-3</c:v>
                </c:pt>
                <c:pt idx="121">
                  <c:v>2.6566814706316378E-4</c:v>
                </c:pt>
                <c:pt idx="122">
                  <c:v>4.3437809855742158E-4</c:v>
                </c:pt>
                <c:pt idx="123">
                  <c:v>-5.8074059519255567E-4</c:v>
                </c:pt>
                <c:pt idx="124">
                  <c:v>-1.0587964577756603E-3</c:v>
                </c:pt>
                <c:pt idx="125">
                  <c:v>-2.1875701593959402E-3</c:v>
                </c:pt>
                <c:pt idx="126">
                  <c:v>-1.8818234045072143E-3</c:v>
                </c:pt>
                <c:pt idx="127">
                  <c:v>-1.6163088327674784E-3</c:v>
                </c:pt>
                <c:pt idx="128">
                  <c:v>-1.65031204227779E-4</c:v>
                </c:pt>
                <c:pt idx="129">
                  <c:v>-1.1704285917716649E-3</c:v>
                </c:pt>
                <c:pt idx="130">
                  <c:v>-1.0303239965286347E-3</c:v>
                </c:pt>
                <c:pt idx="131">
                  <c:v>-1.945111774770604E-3</c:v>
                </c:pt>
                <c:pt idx="132">
                  <c:v>-1.0832430136283479E-4</c:v>
                </c:pt>
                <c:pt idx="133">
                  <c:v>-5.4107366578404453E-4</c:v>
                </c:pt>
                <c:pt idx="134">
                  <c:v>-1.0369121178811919E-3</c:v>
                </c:pt>
                <c:pt idx="135">
                  <c:v>-8.7424692890581031E-4</c:v>
                </c:pt>
                <c:pt idx="136">
                  <c:v>-1.0059972269217403E-3</c:v>
                </c:pt>
                <c:pt idx="137">
                  <c:v>-1.6988562023252404E-3</c:v>
                </c:pt>
                <c:pt idx="138">
                  <c:v>-1.9650859198942733E-3</c:v>
                </c:pt>
                <c:pt idx="139">
                  <c:v>-1.4093822551878748E-3</c:v>
                </c:pt>
                <c:pt idx="140">
                  <c:v>-3.8991252831116057E-4</c:v>
                </c:pt>
                <c:pt idx="141">
                  <c:v>9.7680013283953744E-4</c:v>
                </c:pt>
                <c:pt idx="142">
                  <c:v>1.6234446390155807E-4</c:v>
                </c:pt>
                <c:pt idx="143">
                  <c:v>-5.627671290455718E-4</c:v>
                </c:pt>
                <c:pt idx="144">
                  <c:v>-1.5929666844961734E-3</c:v>
                </c:pt>
                <c:pt idx="145">
                  <c:v>9.4770569584276207E-4</c:v>
                </c:pt>
                <c:pt idx="146">
                  <c:v>-2.7237646373926439E-3</c:v>
                </c:pt>
                <c:pt idx="147">
                  <c:v>-2.0122878617243492E-3</c:v>
                </c:pt>
                <c:pt idx="148">
                  <c:v>-4.2489121868096247E-3</c:v>
                </c:pt>
                <c:pt idx="149">
                  <c:v>-5.45272808075121E-3</c:v>
                </c:pt>
                <c:pt idx="150">
                  <c:v>-2.4311784649104877E-3</c:v>
                </c:pt>
                <c:pt idx="151">
                  <c:v>-2.8470731878238961E-3</c:v>
                </c:pt>
                <c:pt idx="152">
                  <c:v>-4.3548902754530676E-3</c:v>
                </c:pt>
                <c:pt idx="153">
                  <c:v>-1.1545237143485063E-3</c:v>
                </c:pt>
                <c:pt idx="154">
                  <c:v>-9.1971307187561923E-4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56-44B9-98BB-A6828B0B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426223"/>
        <c:axId val="1490453359"/>
      </c:lineChart>
      <c:catAx>
        <c:axId val="1081426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53359"/>
        <c:crosses val="autoZero"/>
        <c:auto val="1"/>
        <c:lblAlgn val="ctr"/>
        <c:lblOffset val="100"/>
        <c:noMultiLvlLbl val="0"/>
      </c:catAx>
      <c:valAx>
        <c:axId val="149045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3</xdr:row>
      <xdr:rowOff>57150</xdr:rowOff>
    </xdr:from>
    <xdr:to>
      <xdr:col>6</xdr:col>
      <xdr:colOff>60960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3F840-14DE-D2D4-1586-85D9BE250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471487</xdr:colOff>
      <xdr:row>4</xdr:row>
      <xdr:rowOff>14287</xdr:rowOff>
    </xdr:from>
    <xdr:to>
      <xdr:col>38</xdr:col>
      <xdr:colOff>309562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E80227-A20B-4506-A751-56786B7C1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AF89F4-24C2-4077-8B69-A4811C944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388620</xdr:colOff>
      <xdr:row>3</xdr:row>
      <xdr:rowOff>148590</xdr:rowOff>
    </xdr:from>
    <xdr:to>
      <xdr:col>19</xdr:col>
      <xdr:colOff>365760</xdr:colOff>
      <xdr:row>18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23BDCF-59E3-410A-0C87-C1537B03A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975360</xdr:colOff>
      <xdr:row>4</xdr:row>
      <xdr:rowOff>41910</xdr:rowOff>
    </xdr:from>
    <xdr:to>
      <xdr:col>23</xdr:col>
      <xdr:colOff>922020</xdr:colOff>
      <xdr:row>19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053D55-A918-4026-8EEB-96F884760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NDX_IAGG.xlsx" TargetMode="External"/><Relationship Id="rId1" Type="http://schemas.openxmlformats.org/officeDocument/2006/relationships/externalLinkPath" Target="BNDX_IAG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DX_IAGG"/>
    </sheetNames>
    <sheetDataSet>
      <sheetData sheetId="0">
        <row r="22">
          <cell r="AO22">
            <v>0</v>
          </cell>
          <cell r="AZ22">
            <v>0</v>
          </cell>
        </row>
        <row r="23">
          <cell r="AO23">
            <v>0</v>
          </cell>
          <cell r="AZ23">
            <v>0</v>
          </cell>
        </row>
        <row r="24">
          <cell r="AO24">
            <v>0</v>
          </cell>
          <cell r="AZ24">
            <v>0</v>
          </cell>
        </row>
        <row r="25">
          <cell r="AO25">
            <v>0</v>
          </cell>
          <cell r="AZ25">
            <v>0</v>
          </cell>
        </row>
        <row r="26">
          <cell r="AO26">
            <v>0</v>
          </cell>
          <cell r="AZ26">
            <v>0</v>
          </cell>
        </row>
        <row r="27">
          <cell r="AO27">
            <v>0</v>
          </cell>
          <cell r="AZ27">
            <v>0</v>
          </cell>
        </row>
        <row r="28">
          <cell r="AO28">
            <v>0</v>
          </cell>
          <cell r="AZ28">
            <v>0</v>
          </cell>
        </row>
        <row r="29">
          <cell r="AO29">
            <v>1.1850043459538761E-3</v>
          </cell>
          <cell r="AZ29">
            <v>0</v>
          </cell>
        </row>
        <row r="30">
          <cell r="AO30">
            <v>7.1319110916867731E-4</v>
          </cell>
          <cell r="AZ30">
            <v>0</v>
          </cell>
        </row>
        <row r="31">
          <cell r="AO31">
            <v>1.4984911993333181E-3</v>
          </cell>
          <cell r="AZ31">
            <v>0</v>
          </cell>
        </row>
        <row r="32">
          <cell r="AO32">
            <v>1.4984911993333181E-3</v>
          </cell>
          <cell r="AZ32">
            <v>0</v>
          </cell>
        </row>
        <row r="33">
          <cell r="AO33">
            <v>1.4984911993333181E-3</v>
          </cell>
          <cell r="AZ33">
            <v>0</v>
          </cell>
        </row>
        <row r="34">
          <cell r="AO34">
            <v>1.6760088339452402E-3</v>
          </cell>
          <cell r="AZ34">
            <v>0</v>
          </cell>
        </row>
        <row r="35">
          <cell r="AO35">
            <v>1.8397308910650802E-3</v>
          </cell>
          <cell r="AZ35">
            <v>0</v>
          </cell>
        </row>
        <row r="36">
          <cell r="AO36">
            <v>1.1875978687159339E-3</v>
          </cell>
          <cell r="AZ36">
            <v>0</v>
          </cell>
        </row>
        <row r="37">
          <cell r="AO37">
            <v>7.800999005667024E-4</v>
          </cell>
          <cell r="AZ37">
            <v>0</v>
          </cell>
        </row>
        <row r="38">
          <cell r="AO38">
            <v>1.4114346626733928E-3</v>
          </cell>
          <cell r="AZ38">
            <v>0</v>
          </cell>
        </row>
        <row r="39">
          <cell r="AO39">
            <v>7.670119615400255E-4</v>
          </cell>
          <cell r="AZ39">
            <v>0</v>
          </cell>
        </row>
        <row r="40">
          <cell r="AO40">
            <v>7.670119615400255E-4</v>
          </cell>
          <cell r="AZ40">
            <v>0</v>
          </cell>
        </row>
        <row r="41">
          <cell r="AO41">
            <v>7.670119615400255E-4</v>
          </cell>
          <cell r="AZ41">
            <v>0</v>
          </cell>
        </row>
        <row r="42">
          <cell r="AO42">
            <v>1.6277709088941209E-3</v>
          </cell>
          <cell r="AZ42">
            <v>0</v>
          </cell>
        </row>
        <row r="43">
          <cell r="AO43">
            <v>2.8572792605016523E-3</v>
          </cell>
          <cell r="AZ43">
            <v>0</v>
          </cell>
        </row>
        <row r="44">
          <cell r="AO44">
            <v>2.8572792605016523E-3</v>
          </cell>
          <cell r="AZ44">
            <v>-1.4143794905438619E-4</v>
          </cell>
        </row>
        <row r="45">
          <cell r="AO45">
            <v>2.8572792605016523E-3</v>
          </cell>
          <cell r="AZ45">
            <v>-1.6378644508198417E-3</v>
          </cell>
        </row>
        <row r="46">
          <cell r="AO46">
            <v>2.8572792605016523E-3</v>
          </cell>
          <cell r="AZ46">
            <v>-7.895909289753842E-4</v>
          </cell>
        </row>
        <row r="47">
          <cell r="AO47">
            <v>2.8572792605016523E-3</v>
          </cell>
          <cell r="AZ47">
            <v>-4.2260807448407482E-4</v>
          </cell>
        </row>
        <row r="48">
          <cell r="AO48">
            <v>2.8572792605016523E-3</v>
          </cell>
          <cell r="AZ48">
            <v>-1.7864800514910783E-3</v>
          </cell>
        </row>
        <row r="49">
          <cell r="AO49">
            <v>2.8572792605016523E-3</v>
          </cell>
          <cell r="AZ49">
            <v>-2.7204286510624271E-3</v>
          </cell>
        </row>
        <row r="50">
          <cell r="AO50">
            <v>2.8572792605016523E-3</v>
          </cell>
          <cell r="AZ50">
            <v>-3.1854677780275343E-3</v>
          </cell>
        </row>
        <row r="51">
          <cell r="AO51">
            <v>2.8572792605016523E-3</v>
          </cell>
          <cell r="AZ51">
            <v>-2.0095519509285178E-3</v>
          </cell>
        </row>
        <row r="52">
          <cell r="AO52">
            <v>2.8572792605016523E-3</v>
          </cell>
          <cell r="AZ52">
            <v>-5.5132550016170597E-4</v>
          </cell>
        </row>
        <row r="53">
          <cell r="AO53">
            <v>2.8572792605016523E-3</v>
          </cell>
          <cell r="AZ53">
            <v>-2.4964233158893804E-3</v>
          </cell>
        </row>
        <row r="54">
          <cell r="AO54">
            <v>2.8572792605016523E-3</v>
          </cell>
          <cell r="AZ54">
            <v>-2.879836905366492E-3</v>
          </cell>
        </row>
        <row r="55">
          <cell r="AO55">
            <v>2.8572792605016523E-3</v>
          </cell>
          <cell r="AZ55">
            <v>-2.7384091657881009E-3</v>
          </cell>
        </row>
        <row r="56">
          <cell r="AO56">
            <v>2.8572792605016523E-3</v>
          </cell>
          <cell r="AZ56">
            <v>-2.7769759802552633E-3</v>
          </cell>
        </row>
        <row r="57">
          <cell r="AO57">
            <v>2.8572792605016523E-3</v>
          </cell>
          <cell r="AZ57">
            <v>-2.722184167260144E-3</v>
          </cell>
        </row>
        <row r="58">
          <cell r="AO58">
            <v>2.8572792605016523E-3</v>
          </cell>
          <cell r="AZ58">
            <v>-2.5204886324017876E-3</v>
          </cell>
        </row>
        <row r="59">
          <cell r="AO59">
            <v>2.8572792605016523E-3</v>
          </cell>
          <cell r="AZ59">
            <v>-4.6056209487814349E-3</v>
          </cell>
        </row>
        <row r="60">
          <cell r="AO60">
            <v>2.8572792605016523E-3</v>
          </cell>
          <cell r="AZ60">
            <v>-4.6737593831688382E-3</v>
          </cell>
        </row>
        <row r="61">
          <cell r="AO61">
            <v>2.8572792605016523E-3</v>
          </cell>
          <cell r="AZ61">
            <v>-4.563147923666841E-3</v>
          </cell>
        </row>
        <row r="62">
          <cell r="AO62">
            <v>2.8572792605016523E-3</v>
          </cell>
          <cell r="AZ62">
            <v>-4.563147923666841E-3</v>
          </cell>
        </row>
        <row r="63">
          <cell r="AO63">
            <v>2.8572792605016523E-3</v>
          </cell>
          <cell r="AZ63">
            <v>-1.7923532938207806E-3</v>
          </cell>
        </row>
        <row r="64">
          <cell r="AO64">
            <v>2.8572792605016523E-3</v>
          </cell>
          <cell r="AZ64">
            <v>-1.7923532938207806E-3</v>
          </cell>
        </row>
        <row r="65">
          <cell r="AO65">
            <v>2.8572792605016523E-3</v>
          </cell>
          <cell r="AZ65">
            <v>-2.6587511241399644E-3</v>
          </cell>
        </row>
        <row r="66">
          <cell r="AO66">
            <v>2.8572792605016523E-3</v>
          </cell>
          <cell r="AZ66">
            <v>-2.4339873499822479E-3</v>
          </cell>
        </row>
        <row r="67">
          <cell r="AO67">
            <v>2.8572792605016523E-3</v>
          </cell>
          <cell r="AZ67">
            <v>-1.1447062059022051E-3</v>
          </cell>
        </row>
        <row r="68">
          <cell r="AO68">
            <v>2.8572792605016523E-3</v>
          </cell>
          <cell r="AZ68">
            <v>-1.1447062059022051E-3</v>
          </cell>
        </row>
        <row r="69">
          <cell r="AO69">
            <v>2.8572792605016523E-3</v>
          </cell>
          <cell r="AZ69">
            <v>-1.6482771740878479E-3</v>
          </cell>
        </row>
        <row r="70">
          <cell r="AO70">
            <v>2.8572792605016523E-3</v>
          </cell>
          <cell r="AZ70">
            <v>-6.1495029054164279E-4</v>
          </cell>
        </row>
        <row r="71">
          <cell r="AO71">
            <v>2.8572792605016523E-3</v>
          </cell>
          <cell r="AZ71">
            <v>3.2380297098888108E-4</v>
          </cell>
        </row>
        <row r="72">
          <cell r="AO72">
            <v>2.8572792605016523E-3</v>
          </cell>
          <cell r="AZ72">
            <v>3.2380297098888108E-4</v>
          </cell>
        </row>
        <row r="73">
          <cell r="AO73">
            <v>2.8572792605016523E-3</v>
          </cell>
          <cell r="AZ73">
            <v>3.2380297098888108E-4</v>
          </cell>
        </row>
        <row r="74">
          <cell r="AO74">
            <v>2.8572792605016523E-3</v>
          </cell>
          <cell r="AZ74">
            <v>3.2380297098888108E-4</v>
          </cell>
        </row>
        <row r="75">
          <cell r="AO75">
            <v>2.8572792605016523E-3</v>
          </cell>
          <cell r="AZ75">
            <v>3.2380297098888108E-4</v>
          </cell>
        </row>
        <row r="76">
          <cell r="AO76">
            <v>2.8572792605016523E-3</v>
          </cell>
          <cell r="AZ76">
            <v>3.2380297098888108E-4</v>
          </cell>
        </row>
        <row r="77">
          <cell r="AO77">
            <v>2.8572792605016523E-3</v>
          </cell>
          <cell r="AZ77">
            <v>3.2380297098888108E-4</v>
          </cell>
        </row>
        <row r="78">
          <cell r="AO78">
            <v>2.8572792605016523E-3</v>
          </cell>
          <cell r="AZ78">
            <v>3.2380297098888108E-4</v>
          </cell>
        </row>
        <row r="79">
          <cell r="AO79">
            <v>2.8572792605016523E-3</v>
          </cell>
          <cell r="AZ79">
            <v>3.2380297098888108E-4</v>
          </cell>
        </row>
        <row r="80">
          <cell r="AO80">
            <v>2.8572792605016523E-3</v>
          </cell>
          <cell r="AZ80">
            <v>3.2380297098888108E-4</v>
          </cell>
        </row>
        <row r="81">
          <cell r="AO81">
            <v>2.8572792605016523E-3</v>
          </cell>
          <cell r="AZ81">
            <v>3.2380297098888108E-4</v>
          </cell>
        </row>
        <row r="82">
          <cell r="AO82">
            <v>2.8572792605016523E-3</v>
          </cell>
          <cell r="AZ82">
            <v>3.2380297098888108E-4</v>
          </cell>
        </row>
        <row r="83">
          <cell r="AO83">
            <v>2.8572792605016523E-3</v>
          </cell>
          <cell r="AZ83">
            <v>3.2380297098888108E-4</v>
          </cell>
        </row>
        <row r="84">
          <cell r="AO84">
            <v>2.8572792605016523E-3</v>
          </cell>
          <cell r="AZ84">
            <v>3.2380297098888108E-4</v>
          </cell>
        </row>
        <row r="85">
          <cell r="AO85">
            <v>2.8572792605016523E-3</v>
          </cell>
          <cell r="AZ85">
            <v>3.2380297098888108E-4</v>
          </cell>
        </row>
        <row r="86">
          <cell r="AO86">
            <v>2.8572792605016523E-3</v>
          </cell>
          <cell r="AZ86">
            <v>3.2380297098888108E-4</v>
          </cell>
        </row>
        <row r="87">
          <cell r="AO87">
            <v>2.8572792605016523E-3</v>
          </cell>
          <cell r="AZ87">
            <v>3.2380297098888108E-4</v>
          </cell>
        </row>
        <row r="88">
          <cell r="AO88">
            <v>2.8572792605016523E-3</v>
          </cell>
          <cell r="AZ88">
            <v>3.2380297098888108E-4</v>
          </cell>
        </row>
        <row r="89">
          <cell r="AO89">
            <v>2.8572792605016523E-3</v>
          </cell>
          <cell r="AZ89">
            <v>3.2380297098888108E-4</v>
          </cell>
        </row>
        <row r="90">
          <cell r="AO90">
            <v>2.8572792605016523E-3</v>
          </cell>
          <cell r="AZ90">
            <v>3.2380297098888108E-4</v>
          </cell>
        </row>
        <row r="91">
          <cell r="AO91">
            <v>2.8572792605016523E-3</v>
          </cell>
          <cell r="AZ91">
            <v>3.2380297098888108E-4</v>
          </cell>
        </row>
        <row r="92">
          <cell r="AO92">
            <v>2.8572792605016523E-3</v>
          </cell>
          <cell r="AZ92">
            <v>1.2025810491642711E-3</v>
          </cell>
        </row>
        <row r="93">
          <cell r="AO93">
            <v>2.8572792605016523E-3</v>
          </cell>
          <cell r="AZ93">
            <v>1.2025810491642711E-3</v>
          </cell>
        </row>
        <row r="94">
          <cell r="AO94">
            <v>2.8572792605016523E-3</v>
          </cell>
          <cell r="AZ94">
            <v>1.2025810491642711E-3</v>
          </cell>
        </row>
        <row r="95">
          <cell r="AO95">
            <v>2.8572792605016523E-3</v>
          </cell>
          <cell r="AZ95">
            <v>1.7199454704019041E-3</v>
          </cell>
        </row>
        <row r="96">
          <cell r="AO96">
            <v>2.8572792605016523E-3</v>
          </cell>
          <cell r="AZ96">
            <v>1.6229257379934661E-3</v>
          </cell>
        </row>
        <row r="97">
          <cell r="AO97">
            <v>2.8572792605016523E-3</v>
          </cell>
          <cell r="AZ97">
            <v>2.712836681277963E-3</v>
          </cell>
        </row>
        <row r="98">
          <cell r="AO98">
            <v>2.8572792605016523E-3</v>
          </cell>
          <cell r="AZ98">
            <v>3.1639802109337521E-3</v>
          </cell>
        </row>
        <row r="99">
          <cell r="AO99">
            <v>2.8572792605016523E-3</v>
          </cell>
          <cell r="AZ99">
            <v>4.2302529398101692E-3</v>
          </cell>
        </row>
        <row r="100">
          <cell r="AO100">
            <v>2.8572792605016523E-3</v>
          </cell>
          <cell r="AZ100">
            <v>4.2302529398101692E-3</v>
          </cell>
        </row>
        <row r="101">
          <cell r="AO101">
            <v>3.2638636191984196E-3</v>
          </cell>
          <cell r="AZ101">
            <v>4.2302529398101692E-3</v>
          </cell>
        </row>
        <row r="102">
          <cell r="AO102">
            <v>3.0321072396075175E-3</v>
          </cell>
          <cell r="AZ102">
            <v>4.2302529398101692E-3</v>
          </cell>
        </row>
        <row r="103">
          <cell r="AO103">
            <v>3.0321072396075175E-3</v>
          </cell>
          <cell r="AZ103">
            <v>4.2302529398101692E-3</v>
          </cell>
        </row>
        <row r="104">
          <cell r="AO104">
            <v>6.7985174427072012E-3</v>
          </cell>
          <cell r="AZ104">
            <v>4.2302529398101692E-3</v>
          </cell>
        </row>
        <row r="105">
          <cell r="AO105">
            <v>5.7255720400455918E-3</v>
          </cell>
          <cell r="AZ105">
            <v>4.2302529398101692E-3</v>
          </cell>
        </row>
        <row r="106">
          <cell r="AO106">
            <v>7.2675382115448706E-3</v>
          </cell>
          <cell r="AZ106">
            <v>4.2302529398101692E-3</v>
          </cell>
        </row>
        <row r="107">
          <cell r="AO107">
            <v>7.2675382115448706E-3</v>
          </cell>
          <cell r="AZ107">
            <v>4.2302529398101692E-3</v>
          </cell>
        </row>
        <row r="108">
          <cell r="AO108">
            <v>7.2675382115448706E-3</v>
          </cell>
          <cell r="AZ108">
            <v>4.2302529398101692E-3</v>
          </cell>
        </row>
        <row r="109">
          <cell r="AO109">
            <v>7.2675382115448706E-3</v>
          </cell>
          <cell r="AZ109">
            <v>4.2302529398101692E-3</v>
          </cell>
        </row>
        <row r="110">
          <cell r="AO110">
            <v>7.2675382115448706E-3</v>
          </cell>
          <cell r="AZ110">
            <v>4.2302529398101692E-3</v>
          </cell>
        </row>
        <row r="111">
          <cell r="AO111">
            <v>7.2675382115448706E-3</v>
          </cell>
          <cell r="AZ111">
            <v>4.2302529398101692E-3</v>
          </cell>
        </row>
        <row r="112">
          <cell r="AO112">
            <v>7.2675382115448706E-3</v>
          </cell>
          <cell r="AZ112">
            <v>5.4766079982816957E-3</v>
          </cell>
        </row>
        <row r="113">
          <cell r="AO113">
            <v>7.2675382115448706E-3</v>
          </cell>
          <cell r="AZ113">
            <v>5.4766079982816957E-3</v>
          </cell>
        </row>
        <row r="114">
          <cell r="AO114">
            <v>8.4504790363504768E-3</v>
          </cell>
          <cell r="AZ114">
            <v>5.4766079982816957E-3</v>
          </cell>
        </row>
        <row r="115">
          <cell r="AO115">
            <v>8.5964433721643033E-3</v>
          </cell>
          <cell r="AZ115">
            <v>5.4766079982816957E-3</v>
          </cell>
        </row>
        <row r="116">
          <cell r="AO116">
            <v>8.4156435385638554E-3</v>
          </cell>
          <cell r="AZ116">
            <v>5.4766079982816957E-3</v>
          </cell>
        </row>
        <row r="117">
          <cell r="AO117">
            <v>9.5689834207591251E-3</v>
          </cell>
          <cell r="AZ117">
            <v>5.4766079982816957E-3</v>
          </cell>
        </row>
        <row r="118">
          <cell r="AO118">
            <v>9.5689834207591251E-3</v>
          </cell>
          <cell r="AZ118">
            <v>5.4051082755790913E-3</v>
          </cell>
        </row>
        <row r="119">
          <cell r="AO119">
            <v>9.5689834207591251E-3</v>
          </cell>
          <cell r="AZ119">
            <v>7.4831673717649467E-3</v>
          </cell>
        </row>
        <row r="120">
          <cell r="AO120">
            <v>9.5689834207591251E-3</v>
          </cell>
          <cell r="AZ120">
            <v>7.4831673717649467E-3</v>
          </cell>
        </row>
        <row r="121">
          <cell r="AO121">
            <v>9.5689834207591251E-3</v>
          </cell>
          <cell r="AZ121">
            <v>7.4831673717649467E-3</v>
          </cell>
        </row>
        <row r="122">
          <cell r="AO122">
            <v>9.5689834207591251E-3</v>
          </cell>
          <cell r="AZ122">
            <v>7.4831673717649467E-3</v>
          </cell>
        </row>
        <row r="123">
          <cell r="AO123">
            <v>9.5689834207591251E-3</v>
          </cell>
          <cell r="AZ123">
            <v>7.4831673717649467E-3</v>
          </cell>
        </row>
        <row r="124">
          <cell r="AO124">
            <v>9.5689834207591251E-3</v>
          </cell>
          <cell r="AZ124">
            <v>7.4831673717649467E-3</v>
          </cell>
        </row>
        <row r="125">
          <cell r="AO125">
            <v>9.5689834207591251E-3</v>
          </cell>
          <cell r="AZ125">
            <v>7.4831673717649467E-3</v>
          </cell>
        </row>
        <row r="126">
          <cell r="AO126">
            <v>9.5689834207591251E-3</v>
          </cell>
          <cell r="AZ126">
            <v>7.4831673717649467E-3</v>
          </cell>
        </row>
        <row r="127">
          <cell r="AO127">
            <v>9.5689834207591251E-3</v>
          </cell>
          <cell r="AZ127">
            <v>7.4831673717649467E-3</v>
          </cell>
        </row>
        <row r="128">
          <cell r="AO128">
            <v>9.5689834207591251E-3</v>
          </cell>
          <cell r="AZ128">
            <v>7.4831673717649467E-3</v>
          </cell>
        </row>
        <row r="129">
          <cell r="AO129">
            <v>9.5689834207591251E-3</v>
          </cell>
          <cell r="AZ129">
            <v>7.4831673717649467E-3</v>
          </cell>
        </row>
        <row r="130">
          <cell r="AO130">
            <v>9.5689834207591251E-3</v>
          </cell>
          <cell r="AZ130">
            <v>9.642464800385794E-3</v>
          </cell>
        </row>
        <row r="131">
          <cell r="AO131">
            <v>9.5689834207591251E-3</v>
          </cell>
          <cell r="AZ131">
            <v>9.642464800385794E-3</v>
          </cell>
        </row>
        <row r="132">
          <cell r="AO132">
            <v>9.5689834207591251E-3</v>
          </cell>
          <cell r="AZ132">
            <v>9.642464800385794E-3</v>
          </cell>
        </row>
        <row r="133">
          <cell r="AO133">
            <v>9.5689834207591251E-3</v>
          </cell>
          <cell r="AZ133">
            <v>9.642464800385794E-3</v>
          </cell>
        </row>
        <row r="134">
          <cell r="AO134">
            <v>9.5689834207591251E-3</v>
          </cell>
          <cell r="AZ134">
            <v>9.642464800385794E-3</v>
          </cell>
        </row>
        <row r="135">
          <cell r="AO135">
            <v>9.5689834207591251E-3</v>
          </cell>
          <cell r="AZ135">
            <v>9.642464800385794E-3</v>
          </cell>
        </row>
        <row r="136">
          <cell r="AO136">
            <v>9.5689834207591251E-3</v>
          </cell>
          <cell r="AZ136">
            <v>9.642464800385794E-3</v>
          </cell>
        </row>
        <row r="137">
          <cell r="AO137">
            <v>9.5689834207591251E-3</v>
          </cell>
          <cell r="AZ137">
            <v>9.642464800385794E-3</v>
          </cell>
        </row>
        <row r="138">
          <cell r="AO138">
            <v>9.5689834207591251E-3</v>
          </cell>
          <cell r="AZ138">
            <v>9.642464800385794E-3</v>
          </cell>
        </row>
        <row r="139">
          <cell r="AO139">
            <v>9.5689834207591251E-3</v>
          </cell>
          <cell r="AZ139">
            <v>9.642464800385794E-3</v>
          </cell>
        </row>
        <row r="140">
          <cell r="AO140">
            <v>9.5689834207591251E-3</v>
          </cell>
          <cell r="AZ140">
            <v>9.642464800385794E-3</v>
          </cell>
        </row>
        <row r="141">
          <cell r="AO141">
            <v>9.5689834207591251E-3</v>
          </cell>
          <cell r="AZ141">
            <v>9.642464800385794E-3</v>
          </cell>
        </row>
        <row r="142">
          <cell r="AO142">
            <v>9.5689834207591251E-3</v>
          </cell>
          <cell r="AZ142">
            <v>9.642464800385794E-3</v>
          </cell>
        </row>
        <row r="143">
          <cell r="AO143">
            <v>1.01140935770035E-2</v>
          </cell>
          <cell r="AZ143">
            <v>9.642464800385794E-3</v>
          </cell>
        </row>
        <row r="144">
          <cell r="AO144">
            <v>1.0662295167090548E-2</v>
          </cell>
          <cell r="AZ144">
            <v>9.642464800385794E-3</v>
          </cell>
        </row>
        <row r="145">
          <cell r="AO145">
            <v>1.040405653818057E-2</v>
          </cell>
          <cell r="AZ145">
            <v>9.642464800385794E-3</v>
          </cell>
        </row>
        <row r="146">
          <cell r="AO146">
            <v>1.040405653818057E-2</v>
          </cell>
          <cell r="AZ146">
            <v>9.642464800385794E-3</v>
          </cell>
        </row>
        <row r="147">
          <cell r="AO147">
            <v>1.040405653818057E-2</v>
          </cell>
          <cell r="AZ147">
            <v>9.642464800385794E-3</v>
          </cell>
        </row>
        <row r="148">
          <cell r="AO148">
            <v>1.0292173409225305E-2</v>
          </cell>
          <cell r="AZ148">
            <v>9.642464800385794E-3</v>
          </cell>
        </row>
        <row r="149">
          <cell r="AO149">
            <v>1.0275013314159564E-2</v>
          </cell>
          <cell r="AZ149">
            <v>9.642464800385794E-3</v>
          </cell>
        </row>
        <row r="150">
          <cell r="AO150">
            <v>1.0561134325943255E-2</v>
          </cell>
          <cell r="AZ150">
            <v>9.642464800385794E-3</v>
          </cell>
        </row>
        <row r="151">
          <cell r="AO151">
            <v>1.0709187593750603E-2</v>
          </cell>
          <cell r="AZ151">
            <v>9.642464800385794E-3</v>
          </cell>
        </row>
        <row r="152">
          <cell r="AO152">
            <v>1.1449753590490337E-2</v>
          </cell>
          <cell r="AZ152">
            <v>9.642464800385794E-3</v>
          </cell>
        </row>
        <row r="153">
          <cell r="AO153">
            <v>1.1022584874423411E-2</v>
          </cell>
          <cell r="AZ153">
            <v>9.642464800385794E-3</v>
          </cell>
        </row>
        <row r="154">
          <cell r="AO154">
            <v>1.1022584874423411E-2</v>
          </cell>
          <cell r="AZ154">
            <v>9.642464800385794E-3</v>
          </cell>
        </row>
        <row r="155">
          <cell r="AO155">
            <v>1.0743897953532654E-2</v>
          </cell>
          <cell r="AZ155">
            <v>9.642464800385794E-3</v>
          </cell>
        </row>
        <row r="156">
          <cell r="AO156">
            <v>1.2314185751399998E-2</v>
          </cell>
          <cell r="AZ156">
            <v>9.642464800385794E-3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75BB-0788-44A9-AAA2-8A54C78AEA3B}">
  <dimension ref="A1:BC156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AR2" sqref="AR2"/>
    </sheetView>
  </sheetViews>
  <sheetFormatPr defaultRowHeight="14.4" x14ac:dyDescent="0.3"/>
  <cols>
    <col min="1" max="1" width="9.33203125" bestFit="1" customWidth="1"/>
    <col min="2" max="3" width="9.6640625" style="10" bestFit="1" customWidth="1"/>
    <col min="4" max="4" width="12.109375" style="11" bestFit="1" customWidth="1"/>
    <col min="5" max="5" width="15.33203125" style="11" bestFit="1" customWidth="1"/>
    <col min="6" max="7" width="18.77734375" style="11" bestFit="1" customWidth="1"/>
    <col min="8" max="8" width="10.21875" style="10" bestFit="1" customWidth="1"/>
    <col min="9" max="10" width="13.6640625" style="10" bestFit="1" customWidth="1"/>
    <col min="11" max="11" width="9.21875" style="12" bestFit="1" customWidth="1"/>
    <col min="12" max="13" width="11.5546875" style="12" bestFit="1" customWidth="1"/>
    <col min="14" max="14" width="10" style="25" bestFit="1" customWidth="1"/>
    <col min="15" max="15" width="9.5546875" style="13" bestFit="1" customWidth="1"/>
    <col min="16" max="16" width="8.109375" style="13" bestFit="1" customWidth="1"/>
    <col min="17" max="17" width="7.6640625" style="13" bestFit="1" customWidth="1"/>
    <col min="18" max="18" width="14.21875" style="11" bestFit="1" customWidth="1"/>
    <col min="19" max="19" width="17.44140625" style="11" bestFit="1" customWidth="1"/>
    <col min="20" max="21" width="20.77734375" style="11" bestFit="1" customWidth="1"/>
    <col min="22" max="22" width="11.21875" style="10" bestFit="1" customWidth="1"/>
    <col min="23" max="24" width="14.6640625" style="10" bestFit="1" customWidth="1"/>
    <col min="25" max="27" width="12.6640625" style="15" bestFit="1" customWidth="1"/>
    <col min="29" max="33" width="8.88671875" style="13"/>
    <col min="37" max="37" width="13.5546875" bestFit="1" customWidth="1"/>
    <col min="38" max="38" width="12.33203125" bestFit="1" customWidth="1"/>
    <col min="43" max="44" width="8.88671875" style="13"/>
    <col min="48" max="48" width="13.5546875" bestFit="1" customWidth="1"/>
    <col min="49" max="49" width="12.33203125" bestFit="1" customWidth="1"/>
  </cols>
  <sheetData>
    <row r="1" spans="1:55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24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7" t="s">
        <v>24</v>
      </c>
      <c r="Z1" s="7" t="s">
        <v>25</v>
      </c>
      <c r="AA1" s="7" t="s">
        <v>26</v>
      </c>
      <c r="AC1" s="6" t="str">
        <f>_xlfn.CONCAT(B1," rtn")</f>
        <v>BWX rtn</v>
      </c>
      <c r="AD1" s="6" t="str">
        <f>_xlfn.CONCAT(C1," rtn")</f>
        <v>IGOV rtn</v>
      </c>
      <c r="AE1" s="6"/>
      <c r="AF1" s="6" t="s">
        <v>27</v>
      </c>
      <c r="AG1" s="8">
        <v>-1E-3</v>
      </c>
      <c r="AH1" s="2" t="s">
        <v>28</v>
      </c>
      <c r="AI1" s="2" t="s">
        <v>29</v>
      </c>
      <c r="AJ1" s="2" t="s">
        <v>30</v>
      </c>
      <c r="AK1" s="2" t="s">
        <v>31</v>
      </c>
      <c r="AO1" s="9">
        <f>AO156</f>
        <v>2.145477478525161E-2</v>
      </c>
      <c r="AQ1" s="6" t="s">
        <v>27</v>
      </c>
      <c r="AR1" s="8">
        <v>1E-3</v>
      </c>
      <c r="AS1" s="2" t="s">
        <v>29</v>
      </c>
      <c r="AT1" s="2" t="s">
        <v>28</v>
      </c>
      <c r="AU1" s="2" t="s">
        <v>30</v>
      </c>
      <c r="AV1" s="2" t="s">
        <v>31</v>
      </c>
      <c r="AZ1" s="9">
        <f>AZ156</f>
        <v>1.4876946867788288E-2</v>
      </c>
      <c r="BB1" s="9"/>
      <c r="BC1" s="9">
        <f>BC156</f>
        <v>3.633172165303987E-2</v>
      </c>
    </row>
    <row r="2" spans="1:55" x14ac:dyDescent="0.3">
      <c r="A2" s="1">
        <v>46024</v>
      </c>
      <c r="B2" s="10">
        <v>22.48</v>
      </c>
      <c r="C2" s="10">
        <v>41.6</v>
      </c>
      <c r="D2" s="11">
        <v>1.85053380782918</v>
      </c>
      <c r="E2" s="11">
        <v>1.8778822651217899</v>
      </c>
      <c r="N2" s="25">
        <v>0</v>
      </c>
      <c r="O2" s="13">
        <v>0</v>
      </c>
      <c r="P2" s="23">
        <f t="shared" ref="P2:P21" si="0">B2+N2</f>
        <v>22.48</v>
      </c>
      <c r="Q2" s="23">
        <f t="shared" ref="Q2:Q21" si="1">C2+O2</f>
        <v>41.6</v>
      </c>
      <c r="R2" s="14">
        <f>Q2/P2</f>
        <v>1.8505338078291815</v>
      </c>
      <c r="S2" s="14">
        <f>AVERAGE(R:R)</f>
        <v>1.8657810486417497</v>
      </c>
      <c r="AG2" s="8">
        <v>0</v>
      </c>
      <c r="AR2" s="8">
        <v>0</v>
      </c>
    </row>
    <row r="3" spans="1:55" x14ac:dyDescent="0.3">
      <c r="A3" s="1">
        <v>46027</v>
      </c>
      <c r="B3" s="10">
        <v>22.52</v>
      </c>
      <c r="C3" s="10">
        <v>41.73</v>
      </c>
      <c r="D3" s="11">
        <v>1.8530195381882699</v>
      </c>
      <c r="E3" s="11">
        <v>1.8778822651217899</v>
      </c>
      <c r="H3" s="10">
        <v>42.289908610542803</v>
      </c>
      <c r="K3" s="12">
        <v>-1.33281958604598E-2</v>
      </c>
      <c r="N3" s="25">
        <v>0</v>
      </c>
      <c r="O3" s="13">
        <v>0</v>
      </c>
      <c r="P3" s="23">
        <f t="shared" si="0"/>
        <v>22.52</v>
      </c>
      <c r="Q3" s="23">
        <f t="shared" si="1"/>
        <v>41.73</v>
      </c>
      <c r="R3" s="14">
        <f t="shared" ref="R3:R66" si="2">Q3/P3</f>
        <v>1.853019538188277</v>
      </c>
      <c r="S3" s="14">
        <f t="shared" ref="S3:S66" si="3">AVERAGE(R:R)</f>
        <v>1.8657810486417497</v>
      </c>
      <c r="V3" s="16">
        <f>S2*P3</f>
        <v>42.017389215412202</v>
      </c>
      <c r="Y3" s="17">
        <f>LN($C3/V3)</f>
        <v>-6.8632669319622129E-3</v>
      </c>
      <c r="AC3" s="18">
        <f>LN(B3/B2)</f>
        <v>1.7777782459993572E-3</v>
      </c>
      <c r="AD3" s="18">
        <f>LN(C3/C2)</f>
        <v>3.1201273362434566E-3</v>
      </c>
      <c r="AE3" s="18"/>
    </row>
    <row r="4" spans="1:55" x14ac:dyDescent="0.3">
      <c r="A4" s="1">
        <v>46028</v>
      </c>
      <c r="B4" s="10">
        <v>22.48</v>
      </c>
      <c r="C4" s="10">
        <v>41.69</v>
      </c>
      <c r="D4" s="11">
        <v>1.85453736654804</v>
      </c>
      <c r="E4" s="11">
        <v>1.8778822651217899</v>
      </c>
      <c r="H4" s="10">
        <v>42.214793319937897</v>
      </c>
      <c r="K4" s="12">
        <v>-1.25094203252162E-2</v>
      </c>
      <c r="N4" s="25">
        <v>0</v>
      </c>
      <c r="O4" s="13">
        <v>0</v>
      </c>
      <c r="P4" s="23">
        <f t="shared" si="0"/>
        <v>22.48</v>
      </c>
      <c r="Q4" s="23">
        <f t="shared" si="1"/>
        <v>41.69</v>
      </c>
      <c r="R4" s="14">
        <f t="shared" si="2"/>
        <v>1.8545373665480425</v>
      </c>
      <c r="S4" s="14">
        <f t="shared" si="3"/>
        <v>1.8657810486417497</v>
      </c>
      <c r="V4" s="16">
        <f t="shared" ref="V4:V67" si="4">S3*P4</f>
        <v>41.942757973466534</v>
      </c>
      <c r="Y4" s="17">
        <f t="shared" ref="Y4:Y67" si="5">LN($C4/V4)</f>
        <v>-6.0444913967187481E-3</v>
      </c>
      <c r="AC4" s="18">
        <f t="shared" ref="AC4:AD67" si="6">LN(B4/B3)</f>
        <v>-1.777778245999272E-3</v>
      </c>
      <c r="AD4" s="18">
        <f t="shared" si="6"/>
        <v>-9.590027107556577E-4</v>
      </c>
      <c r="AE4" s="18"/>
    </row>
    <row r="5" spans="1:55" x14ac:dyDescent="0.3">
      <c r="A5" s="1">
        <v>46029</v>
      </c>
      <c r="B5" s="10">
        <v>22.49</v>
      </c>
      <c r="C5" s="10">
        <v>41.7</v>
      </c>
      <c r="D5" s="11">
        <v>1.8541574032903501</v>
      </c>
      <c r="E5" s="11">
        <v>1.8778822651217899</v>
      </c>
      <c r="H5" s="10">
        <v>42.233572142589097</v>
      </c>
      <c r="K5" s="12">
        <v>-1.27143243588998E-2</v>
      </c>
      <c r="N5" s="25">
        <v>0</v>
      </c>
      <c r="O5" s="13">
        <v>0</v>
      </c>
      <c r="P5" s="23">
        <f t="shared" si="0"/>
        <v>22.49</v>
      </c>
      <c r="Q5" s="23">
        <f t="shared" si="1"/>
        <v>41.7</v>
      </c>
      <c r="R5" s="14">
        <f t="shared" si="2"/>
        <v>1.8541574032903516</v>
      </c>
      <c r="S5" s="14">
        <f t="shared" si="3"/>
        <v>1.8657810486417497</v>
      </c>
      <c r="V5" s="16">
        <f t="shared" si="4"/>
        <v>41.961415783952944</v>
      </c>
      <c r="Y5" s="17">
        <f t="shared" si="5"/>
        <v>-6.2493954304021909E-3</v>
      </c>
      <c r="AC5" s="18">
        <f t="shared" si="6"/>
        <v>4.4474094573383559E-4</v>
      </c>
      <c r="AD5" s="18">
        <f t="shared" si="6"/>
        <v>2.3983691205041563E-4</v>
      </c>
      <c r="AE5" s="18"/>
    </row>
    <row r="6" spans="1:55" x14ac:dyDescent="0.3">
      <c r="A6" s="1">
        <v>46030</v>
      </c>
      <c r="B6" s="10">
        <v>22.45</v>
      </c>
      <c r="C6" s="10">
        <v>41.57</v>
      </c>
      <c r="D6" s="11">
        <v>1.85167037861915</v>
      </c>
      <c r="E6" s="11">
        <v>1.8778822651217899</v>
      </c>
      <c r="H6" s="10">
        <v>42.158456851984198</v>
      </c>
      <c r="K6" s="12">
        <v>-1.40565481161486E-2</v>
      </c>
      <c r="N6" s="25">
        <v>0</v>
      </c>
      <c r="O6" s="13">
        <v>0</v>
      </c>
      <c r="P6" s="23">
        <f t="shared" si="0"/>
        <v>22.45</v>
      </c>
      <c r="Q6" s="23">
        <f t="shared" si="1"/>
        <v>41.57</v>
      </c>
      <c r="R6" s="14">
        <f t="shared" si="2"/>
        <v>1.8516703786191537</v>
      </c>
      <c r="S6" s="14">
        <f t="shared" si="3"/>
        <v>1.8657810486417497</v>
      </c>
      <c r="V6" s="16">
        <f t="shared" si="4"/>
        <v>41.886784542007277</v>
      </c>
      <c r="Y6" s="17">
        <f t="shared" si="5"/>
        <v>-7.5916191876509729E-3</v>
      </c>
      <c r="AC6" s="18">
        <f t="shared" si="6"/>
        <v>-1.7801517829609459E-3</v>
      </c>
      <c r="AD6" s="18">
        <f t="shared" si="6"/>
        <v>-3.1223755402097386E-3</v>
      </c>
      <c r="AE6" s="18"/>
    </row>
    <row r="7" spans="1:55" x14ac:dyDescent="0.3">
      <c r="A7" s="1">
        <v>46031</v>
      </c>
      <c r="B7" s="10">
        <v>22.39</v>
      </c>
      <c r="C7" s="10">
        <v>41.55</v>
      </c>
      <c r="D7" s="11">
        <v>1.85573916927199</v>
      </c>
      <c r="E7" s="11">
        <v>1.8778822651217899</v>
      </c>
      <c r="H7" s="10">
        <v>42.0457839160769</v>
      </c>
      <c r="K7" s="12">
        <v>-1.18615965016377E-2</v>
      </c>
      <c r="N7" s="25">
        <v>0</v>
      </c>
      <c r="O7" s="13">
        <v>0</v>
      </c>
      <c r="P7" s="23">
        <f t="shared" si="0"/>
        <v>22.39</v>
      </c>
      <c r="Q7" s="23">
        <f t="shared" si="1"/>
        <v>41.55</v>
      </c>
      <c r="R7" s="14">
        <f t="shared" si="2"/>
        <v>1.8557391692719962</v>
      </c>
      <c r="S7" s="14">
        <f t="shared" si="3"/>
        <v>1.8657810486417497</v>
      </c>
      <c r="V7" s="16">
        <f t="shared" si="4"/>
        <v>41.774837679088776</v>
      </c>
      <c r="Y7" s="17">
        <f t="shared" si="5"/>
        <v>-5.3966675731401837E-3</v>
      </c>
      <c r="AC7" s="18">
        <f t="shared" si="6"/>
        <v>-2.6761835775998377E-3</v>
      </c>
      <c r="AD7" s="18">
        <f t="shared" si="6"/>
        <v>-4.8123196308891286E-4</v>
      </c>
      <c r="AE7" s="18"/>
    </row>
    <row r="8" spans="1:55" x14ac:dyDescent="0.3">
      <c r="A8" s="1">
        <v>46034</v>
      </c>
      <c r="B8" s="10">
        <v>22.44</v>
      </c>
      <c r="C8" s="10">
        <v>41.69</v>
      </c>
      <c r="D8" s="11">
        <v>1.8578431372549</v>
      </c>
      <c r="E8" s="11">
        <v>1.8778822651217899</v>
      </c>
      <c r="H8" s="10">
        <v>42.139678029332998</v>
      </c>
      <c r="K8" s="12">
        <v>-1.07284759542215E-2</v>
      </c>
      <c r="N8" s="25">
        <v>0</v>
      </c>
      <c r="O8" s="13">
        <v>0</v>
      </c>
      <c r="P8" s="23">
        <f t="shared" si="0"/>
        <v>22.44</v>
      </c>
      <c r="Q8" s="23">
        <f t="shared" si="1"/>
        <v>41.69</v>
      </c>
      <c r="R8" s="14">
        <f t="shared" si="2"/>
        <v>1.8578431372549018</v>
      </c>
      <c r="S8" s="14">
        <f t="shared" si="3"/>
        <v>1.8657810486417497</v>
      </c>
      <c r="V8" s="16">
        <f t="shared" si="4"/>
        <v>41.868126731520867</v>
      </c>
      <c r="Y8" s="17">
        <f t="shared" si="5"/>
        <v>-4.2635470257240179E-3</v>
      </c>
      <c r="AC8" s="18">
        <f t="shared" si="6"/>
        <v>2.230650043832166E-3</v>
      </c>
      <c r="AD8" s="18">
        <f t="shared" si="6"/>
        <v>3.3637705912484476E-3</v>
      </c>
      <c r="AE8" s="18"/>
    </row>
    <row r="9" spans="1:55" x14ac:dyDescent="0.3">
      <c r="A9" s="1">
        <v>46035</v>
      </c>
      <c r="B9" s="10">
        <v>22.33</v>
      </c>
      <c r="C9" s="10">
        <v>41.54</v>
      </c>
      <c r="D9" s="11">
        <v>1.8602776533811001</v>
      </c>
      <c r="E9" s="11">
        <v>1.8778822651217899</v>
      </c>
      <c r="H9" s="10">
        <v>41.933110980169602</v>
      </c>
      <c r="K9" s="12">
        <v>-9.4189345965317705E-3</v>
      </c>
      <c r="N9" s="25">
        <v>0</v>
      </c>
      <c r="O9" s="13">
        <v>0</v>
      </c>
      <c r="P9" s="23">
        <f t="shared" si="0"/>
        <v>22.33</v>
      </c>
      <c r="Q9" s="23">
        <f t="shared" si="1"/>
        <v>41.54</v>
      </c>
      <c r="R9" s="14">
        <f t="shared" si="2"/>
        <v>1.8602776533811018</v>
      </c>
      <c r="S9" s="14">
        <f t="shared" si="3"/>
        <v>1.8657810486417497</v>
      </c>
      <c r="V9" s="16">
        <f t="shared" si="4"/>
        <v>41.662890816170268</v>
      </c>
      <c r="Y9" s="17">
        <f t="shared" si="5"/>
        <v>-2.9540056680340265E-3</v>
      </c>
      <c r="AC9" s="18">
        <f t="shared" si="6"/>
        <v>-4.9140148024291522E-3</v>
      </c>
      <c r="AD9" s="18">
        <f t="shared" si="6"/>
        <v>-3.6044734447392367E-3</v>
      </c>
      <c r="AE9" s="18"/>
      <c r="AN9" s="19">
        <f>AVERAGE(AN22:AN200)</f>
        <v>1.5892425766853043E-4</v>
      </c>
      <c r="AY9" s="19">
        <f>AVERAGE(AY22:AY200)</f>
        <v>1.1019960642806139E-4</v>
      </c>
      <c r="BB9" s="19">
        <f>AVERAGE(BB22:BB200)</f>
        <v>2.6912386409659161E-4</v>
      </c>
    </row>
    <row r="10" spans="1:55" x14ac:dyDescent="0.3">
      <c r="A10" s="1">
        <v>46036</v>
      </c>
      <c r="B10" s="10">
        <v>22.4</v>
      </c>
      <c r="C10" s="10">
        <v>41.65</v>
      </c>
      <c r="D10" s="11">
        <v>1.859375</v>
      </c>
      <c r="E10" s="11">
        <v>1.8778822651217899</v>
      </c>
      <c r="H10" s="10">
        <v>42.064562738728199</v>
      </c>
      <c r="K10" s="12">
        <v>-9.9042774405740403E-3</v>
      </c>
      <c r="N10" s="25">
        <v>0</v>
      </c>
      <c r="O10" s="13">
        <v>0</v>
      </c>
      <c r="P10" s="23">
        <f t="shared" si="0"/>
        <v>22.4</v>
      </c>
      <c r="Q10" s="23">
        <f t="shared" si="1"/>
        <v>41.65</v>
      </c>
      <c r="R10" s="14">
        <f t="shared" si="2"/>
        <v>1.859375</v>
      </c>
      <c r="S10" s="14">
        <f t="shared" si="3"/>
        <v>1.8657810486417497</v>
      </c>
      <c r="V10" s="16">
        <f t="shared" si="4"/>
        <v>41.793495489575193</v>
      </c>
      <c r="Y10" s="17">
        <f t="shared" si="5"/>
        <v>-3.439348512076276E-3</v>
      </c>
      <c r="AC10" s="18">
        <f t="shared" si="6"/>
        <v>3.1298930089275656E-3</v>
      </c>
      <c r="AD10" s="18">
        <f t="shared" si="6"/>
        <v>2.6445501648853682E-3</v>
      </c>
      <c r="AE10" s="18"/>
      <c r="AF10" s="20"/>
      <c r="AN10" s="19">
        <f>STDEV(AN22:AN200)</f>
        <v>8.4189600983389636E-4</v>
      </c>
      <c r="AQ10" s="20"/>
      <c r="AY10" s="19">
        <f>STDEV(AY22:AY200)</f>
        <v>9.177133393928115E-4</v>
      </c>
      <c r="BB10" s="19">
        <f>STDEV(BB22:BB200)</f>
        <v>1.2311370717712964E-3</v>
      </c>
    </row>
    <row r="11" spans="1:55" x14ac:dyDescent="0.3">
      <c r="A11" s="1">
        <v>46037</v>
      </c>
      <c r="B11" s="10">
        <v>22.32</v>
      </c>
      <c r="C11" s="10">
        <v>41.52</v>
      </c>
      <c r="D11" s="11">
        <v>1.8602150537634401</v>
      </c>
      <c r="E11" s="11">
        <v>1.8778822651217899</v>
      </c>
      <c r="F11" s="11">
        <v>1.8557368508146399</v>
      </c>
      <c r="H11" s="10">
        <v>41.914332157518402</v>
      </c>
      <c r="K11" s="12">
        <v>-9.4525858479084998E-3</v>
      </c>
      <c r="N11" s="25">
        <v>0</v>
      </c>
      <c r="O11" s="13">
        <v>0</v>
      </c>
      <c r="P11" s="23">
        <f t="shared" si="0"/>
        <v>22.32</v>
      </c>
      <c r="Q11" s="23">
        <f t="shared" si="1"/>
        <v>41.52</v>
      </c>
      <c r="R11" s="14">
        <f t="shared" si="2"/>
        <v>1.860215053763441</v>
      </c>
      <c r="S11" s="14">
        <f t="shared" si="3"/>
        <v>1.8657810486417497</v>
      </c>
      <c r="T11" s="14">
        <f>AVERAGE(R2:R11)</f>
        <v>1.8557368508146446</v>
      </c>
      <c r="V11" s="16">
        <f t="shared" si="4"/>
        <v>41.644233005683851</v>
      </c>
      <c r="Y11" s="17">
        <f t="shared" si="5"/>
        <v>-2.987656919410709E-3</v>
      </c>
      <c r="AC11" s="18">
        <f t="shared" si="6"/>
        <v>-3.5778213478838551E-3</v>
      </c>
      <c r="AD11" s="18">
        <f t="shared" si="6"/>
        <v>-3.1261297552183918E-3</v>
      </c>
      <c r="AE11" s="18"/>
      <c r="AN11">
        <f>SQRT(252)*AN9/AN10</f>
        <v>2.9966223251451654</v>
      </c>
      <c r="AY11">
        <f>SQRT(252)*AY9/AY10</f>
        <v>1.9062210867202904</v>
      </c>
      <c r="BB11">
        <f>SQRT(252)*BB9/BB10</f>
        <v>3.4701326079697381</v>
      </c>
    </row>
    <row r="12" spans="1:55" x14ac:dyDescent="0.3">
      <c r="A12" s="1">
        <v>46038</v>
      </c>
      <c r="B12" s="10">
        <v>22.34</v>
      </c>
      <c r="C12" s="10">
        <v>41.51</v>
      </c>
      <c r="D12" s="11">
        <v>1.85810205908683</v>
      </c>
      <c r="E12" s="11">
        <v>1.8778822651217899</v>
      </c>
      <c r="F12" s="11">
        <v>1.85649367594041</v>
      </c>
      <c r="H12" s="10">
        <v>41.951889802820801</v>
      </c>
      <c r="I12" s="10">
        <v>41.457161247199103</v>
      </c>
      <c r="K12" s="12">
        <v>-1.05891187685388E-2</v>
      </c>
      <c r="L12" s="12">
        <v>1.2737270782863699E-3</v>
      </c>
      <c r="N12" s="25">
        <v>0</v>
      </c>
      <c r="O12" s="13">
        <v>0</v>
      </c>
      <c r="P12" s="23">
        <f t="shared" si="0"/>
        <v>22.34</v>
      </c>
      <c r="Q12" s="23">
        <f t="shared" si="1"/>
        <v>41.51</v>
      </c>
      <c r="R12" s="14">
        <f t="shared" si="2"/>
        <v>1.8581020590868396</v>
      </c>
      <c r="S12" s="14">
        <f t="shared" si="3"/>
        <v>1.8657810486417497</v>
      </c>
      <c r="T12" s="14">
        <f t="shared" ref="T12:T75" si="7">AVERAGE(R3:R12)</f>
        <v>1.8564936759404105</v>
      </c>
      <c r="V12" s="16">
        <f t="shared" si="4"/>
        <v>41.681548626656685</v>
      </c>
      <c r="W12" s="16">
        <f>T11*P12</f>
        <v>41.45716124719916</v>
      </c>
      <c r="Y12" s="17">
        <f t="shared" si="5"/>
        <v>-4.124189840041077E-3</v>
      </c>
      <c r="Z12" s="17">
        <f t="shared" ref="Z12:AA75" si="8">LN($C12/W12)</f>
        <v>1.2737270782863725E-3</v>
      </c>
      <c r="AA12" s="17"/>
      <c r="AC12" s="18">
        <f t="shared" si="6"/>
        <v>8.9565612794438631E-4</v>
      </c>
      <c r="AD12" s="18">
        <f t="shared" si="6"/>
        <v>-2.4087679268594992E-4</v>
      </c>
      <c r="AE12" s="18"/>
    </row>
    <row r="13" spans="1:55" x14ac:dyDescent="0.3">
      <c r="A13" s="1">
        <v>46042</v>
      </c>
      <c r="B13" s="10">
        <v>22.33</v>
      </c>
      <c r="C13" s="10">
        <v>41.64</v>
      </c>
      <c r="D13" s="11">
        <v>1.8647559337214501</v>
      </c>
      <c r="E13" s="11">
        <v>1.8778822651217899</v>
      </c>
      <c r="F13" s="11">
        <v>1.85766731549372</v>
      </c>
      <c r="H13" s="10">
        <v>41.933110980169602</v>
      </c>
      <c r="I13" s="10">
        <v>41.4555037837493</v>
      </c>
      <c r="K13" s="12">
        <v>-7.0145092977298299E-3</v>
      </c>
      <c r="L13" s="12">
        <v>4.4405897075147499E-3</v>
      </c>
      <c r="N13" s="25">
        <v>0</v>
      </c>
      <c r="O13" s="13">
        <v>0</v>
      </c>
      <c r="P13" s="23">
        <f t="shared" si="0"/>
        <v>22.33</v>
      </c>
      <c r="Q13" s="23">
        <f t="shared" si="1"/>
        <v>41.64</v>
      </c>
      <c r="R13" s="14">
        <f t="shared" si="2"/>
        <v>1.8647559337214512</v>
      </c>
      <c r="S13" s="14">
        <f t="shared" si="3"/>
        <v>1.8657810486417497</v>
      </c>
      <c r="T13" s="14">
        <f t="shared" si="7"/>
        <v>1.8576673154937278</v>
      </c>
      <c r="V13" s="16">
        <f t="shared" si="4"/>
        <v>41.662890816170268</v>
      </c>
      <c r="W13" s="16">
        <f t="shared" ref="W13:W76" si="9">T12*P13</f>
        <v>41.455503783749364</v>
      </c>
      <c r="Y13" s="17">
        <f t="shared" si="5"/>
        <v>-5.4958036923211649E-4</v>
      </c>
      <c r="Z13" s="17">
        <f t="shared" si="8"/>
        <v>4.440589707514756E-3</v>
      </c>
      <c r="AC13" s="18">
        <f t="shared" si="6"/>
        <v>-4.4772778898822526E-4</v>
      </c>
      <c r="AD13" s="18">
        <f t="shared" si="6"/>
        <v>3.1268816818209116E-3</v>
      </c>
      <c r="AE13" s="18"/>
    </row>
    <row r="14" spans="1:55" x14ac:dyDescent="0.3">
      <c r="A14" s="1">
        <v>46043</v>
      </c>
      <c r="B14" s="10">
        <v>22.32</v>
      </c>
      <c r="C14" s="10">
        <v>41.63</v>
      </c>
      <c r="D14" s="11">
        <v>1.8651433691756201</v>
      </c>
      <c r="E14" s="11">
        <v>1.8778822651217899</v>
      </c>
      <c r="F14" s="11">
        <v>1.85872791575648</v>
      </c>
      <c r="H14" s="10">
        <v>41.914332157518402</v>
      </c>
      <c r="I14" s="10">
        <v>41.463134481819999</v>
      </c>
      <c r="K14" s="12">
        <v>-6.8067634986576399E-3</v>
      </c>
      <c r="L14" s="12">
        <v>4.0163545046396198E-3</v>
      </c>
      <c r="N14" s="25">
        <v>0</v>
      </c>
      <c r="O14" s="13">
        <v>0</v>
      </c>
      <c r="P14" s="23">
        <f t="shared" si="0"/>
        <v>22.32</v>
      </c>
      <c r="Q14" s="23">
        <f t="shared" si="1"/>
        <v>41.63</v>
      </c>
      <c r="R14" s="14">
        <f t="shared" si="2"/>
        <v>1.8651433691756274</v>
      </c>
      <c r="S14" s="14">
        <f t="shared" si="3"/>
        <v>1.8657810486417497</v>
      </c>
      <c r="T14" s="14">
        <f t="shared" si="7"/>
        <v>1.8587279157564862</v>
      </c>
      <c r="V14" s="16">
        <f t="shared" si="4"/>
        <v>41.644233005683851</v>
      </c>
      <c r="W14" s="16">
        <f t="shared" si="9"/>
        <v>41.463134481820006</v>
      </c>
      <c r="Y14" s="17">
        <f t="shared" si="5"/>
        <v>-3.4183457015983797E-4</v>
      </c>
      <c r="Z14" s="17">
        <f t="shared" si="8"/>
        <v>4.0163545046398453E-3</v>
      </c>
      <c r="AC14" s="18">
        <f t="shared" si="6"/>
        <v>-4.4792833895625824E-4</v>
      </c>
      <c r="AD14" s="18">
        <f t="shared" si="6"/>
        <v>-2.4018253988405063E-4</v>
      </c>
      <c r="AE14" s="18"/>
    </row>
    <row r="15" spans="1:55" x14ac:dyDescent="0.3">
      <c r="A15" s="1">
        <v>46044</v>
      </c>
      <c r="B15" s="10">
        <v>22.46</v>
      </c>
      <c r="C15" s="10">
        <v>41.86</v>
      </c>
      <c r="D15" s="11">
        <v>1.86375779162956</v>
      </c>
      <c r="E15" s="11">
        <v>1.8778822651217899</v>
      </c>
      <c r="F15" s="11">
        <v>1.8596879545903999</v>
      </c>
      <c r="H15" s="10">
        <v>42.177235674635497</v>
      </c>
      <c r="I15" s="10">
        <v>41.747028987890602</v>
      </c>
      <c r="K15" s="12">
        <v>-7.5499194848748698E-3</v>
      </c>
      <c r="L15" s="12">
        <v>2.70243021981225E-3</v>
      </c>
      <c r="N15" s="25">
        <v>0</v>
      </c>
      <c r="O15" s="13">
        <v>0</v>
      </c>
      <c r="P15" s="23">
        <f t="shared" si="0"/>
        <v>22.46</v>
      </c>
      <c r="Q15" s="23">
        <f t="shared" si="1"/>
        <v>41.86</v>
      </c>
      <c r="R15" s="14">
        <f t="shared" si="2"/>
        <v>1.8637577916295636</v>
      </c>
      <c r="S15" s="14">
        <f t="shared" si="3"/>
        <v>1.8657810486417497</v>
      </c>
      <c r="T15" s="14">
        <f t="shared" si="7"/>
        <v>1.8596879545904073</v>
      </c>
      <c r="V15" s="16">
        <f t="shared" si="4"/>
        <v>41.905442352493701</v>
      </c>
      <c r="W15" s="16">
        <f t="shared" si="9"/>
        <v>41.74702898789068</v>
      </c>
      <c r="Y15" s="17">
        <f t="shared" si="5"/>
        <v>-1.084990556377315E-3</v>
      </c>
      <c r="Z15" s="17">
        <f t="shared" si="8"/>
        <v>2.7024302198122574E-3</v>
      </c>
      <c r="AC15" s="18">
        <f t="shared" si="6"/>
        <v>6.2528117971868535E-3</v>
      </c>
      <c r="AD15" s="18">
        <f t="shared" si="6"/>
        <v>5.5096558109694795E-3</v>
      </c>
      <c r="AE15" s="18"/>
    </row>
    <row r="16" spans="1:55" x14ac:dyDescent="0.3">
      <c r="A16" s="1">
        <v>46045</v>
      </c>
      <c r="B16" s="10">
        <v>22.64</v>
      </c>
      <c r="C16" s="10">
        <v>42.14</v>
      </c>
      <c r="D16" s="11">
        <v>1.86130742049469</v>
      </c>
      <c r="E16" s="11">
        <v>1.8778822651217899</v>
      </c>
      <c r="F16" s="11">
        <v>1.86065165877796</v>
      </c>
      <c r="H16" s="10">
        <v>42.515254482357399</v>
      </c>
      <c r="I16" s="10">
        <v>42.103335291926797</v>
      </c>
      <c r="K16" s="12">
        <v>-8.8655321513706094E-3</v>
      </c>
      <c r="L16" s="12">
        <v>8.70447739542157E-4</v>
      </c>
      <c r="N16" s="25">
        <v>0</v>
      </c>
      <c r="O16" s="13">
        <v>0</v>
      </c>
      <c r="P16" s="23">
        <f t="shared" si="0"/>
        <v>22.64</v>
      </c>
      <c r="Q16" s="23">
        <f t="shared" si="1"/>
        <v>42.14</v>
      </c>
      <c r="R16" s="14">
        <f t="shared" si="2"/>
        <v>1.8613074204946995</v>
      </c>
      <c r="S16" s="14">
        <f t="shared" si="3"/>
        <v>1.8657810486417497</v>
      </c>
      <c r="T16" s="14">
        <f t="shared" si="7"/>
        <v>1.8606516587779622</v>
      </c>
      <c r="V16" s="16">
        <f t="shared" si="4"/>
        <v>42.24128294124921</v>
      </c>
      <c r="W16" s="16">
        <f t="shared" si="9"/>
        <v>42.103335291926818</v>
      </c>
      <c r="Y16" s="17">
        <f t="shared" si="5"/>
        <v>-2.4006032228729565E-3</v>
      </c>
      <c r="Z16" s="17">
        <f t="shared" si="8"/>
        <v>8.7044773954260087E-4</v>
      </c>
      <c r="AC16" s="18">
        <f t="shared" si="6"/>
        <v>7.9823040246850951E-3</v>
      </c>
      <c r="AD16" s="18">
        <f t="shared" si="6"/>
        <v>6.6666913581892974E-3</v>
      </c>
      <c r="AE16" s="18"/>
    </row>
    <row r="17" spans="1:55" x14ac:dyDescent="0.3">
      <c r="A17" s="1">
        <v>46048</v>
      </c>
      <c r="B17" s="10">
        <v>22.81</v>
      </c>
      <c r="C17" s="10">
        <v>42.41</v>
      </c>
      <c r="D17" s="11">
        <v>1.85927224901359</v>
      </c>
      <c r="E17" s="11">
        <v>1.8778822651217899</v>
      </c>
      <c r="F17" s="11">
        <v>1.86100496675212</v>
      </c>
      <c r="H17" s="10">
        <v>42.834494467428101</v>
      </c>
      <c r="I17" s="10">
        <v>42.441464336725303</v>
      </c>
      <c r="K17" s="12">
        <v>-9.9595400022287808E-3</v>
      </c>
      <c r="L17" s="12">
        <v>-7.4163335691244297E-4</v>
      </c>
      <c r="N17" s="25">
        <v>0</v>
      </c>
      <c r="O17" s="13">
        <v>0</v>
      </c>
      <c r="P17" s="23">
        <f t="shared" si="0"/>
        <v>22.81</v>
      </c>
      <c r="Q17" s="23">
        <f t="shared" si="1"/>
        <v>42.41</v>
      </c>
      <c r="R17" s="14">
        <f t="shared" si="2"/>
        <v>1.8592722490135905</v>
      </c>
      <c r="S17" s="14">
        <f t="shared" si="3"/>
        <v>1.8657810486417497</v>
      </c>
      <c r="T17" s="14">
        <f t="shared" si="7"/>
        <v>1.8610049667521213</v>
      </c>
      <c r="V17" s="16">
        <f t="shared" si="4"/>
        <v>42.55846571951831</v>
      </c>
      <c r="W17" s="16">
        <f t="shared" si="9"/>
        <v>42.441464336725318</v>
      </c>
      <c r="Y17" s="17">
        <f t="shared" si="5"/>
        <v>-3.4946110737311834E-3</v>
      </c>
      <c r="Z17" s="17">
        <f t="shared" si="8"/>
        <v>-7.4163335691244394E-4</v>
      </c>
      <c r="AC17" s="18">
        <f t="shared" si="6"/>
        <v>7.4807829613143103E-3</v>
      </c>
      <c r="AD17" s="18">
        <f t="shared" si="6"/>
        <v>6.3867751104562465E-3</v>
      </c>
      <c r="AE17" s="18"/>
    </row>
    <row r="18" spans="1:55" x14ac:dyDescent="0.3">
      <c r="A18" s="1">
        <v>46049</v>
      </c>
      <c r="B18" s="10">
        <v>23.04</v>
      </c>
      <c r="C18" s="10">
        <v>42.91</v>
      </c>
      <c r="D18" s="11">
        <v>1.86241319444444</v>
      </c>
      <c r="E18" s="11">
        <v>1.8778822651217899</v>
      </c>
      <c r="F18" s="11">
        <v>1.8614619724710699</v>
      </c>
      <c r="H18" s="10">
        <v>43.266407388406101</v>
      </c>
      <c r="I18" s="10">
        <v>42.877554433968797</v>
      </c>
      <c r="K18" s="12">
        <v>-8.2716240166887094E-3</v>
      </c>
      <c r="L18" s="12">
        <v>7.5641665722290998E-4</v>
      </c>
      <c r="N18" s="25">
        <v>0</v>
      </c>
      <c r="O18" s="13">
        <v>0</v>
      </c>
      <c r="P18" s="23">
        <f t="shared" si="0"/>
        <v>23.04</v>
      </c>
      <c r="Q18" s="23">
        <f t="shared" si="1"/>
        <v>42.91</v>
      </c>
      <c r="R18" s="14">
        <f t="shared" si="2"/>
        <v>1.8624131944444444</v>
      </c>
      <c r="S18" s="14">
        <f t="shared" si="3"/>
        <v>1.8657810486417497</v>
      </c>
      <c r="T18" s="14">
        <f t="shared" si="7"/>
        <v>1.8614619724710757</v>
      </c>
      <c r="V18" s="16">
        <f t="shared" si="4"/>
        <v>42.98759536070591</v>
      </c>
      <c r="W18" s="16">
        <f t="shared" si="9"/>
        <v>42.877554433968875</v>
      </c>
      <c r="Y18" s="17">
        <f t="shared" si="5"/>
        <v>-1.8066950881910125E-3</v>
      </c>
      <c r="Z18" s="17">
        <f t="shared" si="8"/>
        <v>7.5641665722313213E-4</v>
      </c>
      <c r="AC18" s="18">
        <f t="shared" si="6"/>
        <v>1.0032799531393915E-2</v>
      </c>
      <c r="AD18" s="18">
        <f t="shared" si="6"/>
        <v>1.1720715516934042E-2</v>
      </c>
      <c r="AE18" s="18"/>
    </row>
    <row r="19" spans="1:55" x14ac:dyDescent="0.3">
      <c r="A19" s="1">
        <v>46050</v>
      </c>
      <c r="B19" s="10">
        <v>22.99</v>
      </c>
      <c r="C19" s="10">
        <v>42.73</v>
      </c>
      <c r="D19" s="11">
        <v>1.85863418877772</v>
      </c>
      <c r="E19" s="11">
        <v>1.8778822651217899</v>
      </c>
      <c r="F19" s="11">
        <v>1.8612976260107299</v>
      </c>
      <c r="H19" s="10">
        <v>43.172513275150003</v>
      </c>
      <c r="I19" s="10">
        <v>42.795010747109998</v>
      </c>
      <c r="K19" s="12">
        <v>-1.0302776311588E-2</v>
      </c>
      <c r="L19" s="12">
        <v>-1.5202748076471001E-3</v>
      </c>
      <c r="N19" s="25">
        <v>0</v>
      </c>
      <c r="O19" s="13">
        <v>0</v>
      </c>
      <c r="P19" s="23">
        <f t="shared" si="0"/>
        <v>22.99</v>
      </c>
      <c r="Q19" s="23">
        <f t="shared" si="1"/>
        <v>42.73</v>
      </c>
      <c r="R19" s="14">
        <f t="shared" si="2"/>
        <v>1.8586341887777293</v>
      </c>
      <c r="S19" s="14">
        <f t="shared" si="3"/>
        <v>1.8657810486417497</v>
      </c>
      <c r="T19" s="14">
        <f t="shared" si="7"/>
        <v>1.8612976260107383</v>
      </c>
      <c r="V19" s="16">
        <f t="shared" si="4"/>
        <v>42.894306308273819</v>
      </c>
      <c r="W19" s="16">
        <f t="shared" si="9"/>
        <v>42.795010747110027</v>
      </c>
      <c r="Y19" s="17">
        <f t="shared" si="5"/>
        <v>-3.837847383090359E-3</v>
      </c>
      <c r="Z19" s="17">
        <f t="shared" si="8"/>
        <v>-1.5202748076471036E-3</v>
      </c>
      <c r="AC19" s="18">
        <f t="shared" si="6"/>
        <v>-2.1724970526003718E-3</v>
      </c>
      <c r="AD19" s="18">
        <f t="shared" si="6"/>
        <v>-4.2036493474997827E-3</v>
      </c>
      <c r="AE19" s="18"/>
    </row>
    <row r="20" spans="1:55" x14ac:dyDescent="0.3">
      <c r="A20" s="1">
        <v>46051</v>
      </c>
      <c r="B20" s="10">
        <v>22.99</v>
      </c>
      <c r="C20" s="10">
        <v>42.84</v>
      </c>
      <c r="D20" s="11">
        <v>1.8634188777729399</v>
      </c>
      <c r="E20" s="11">
        <v>1.8778822651217899</v>
      </c>
      <c r="F20" s="11">
        <v>1.86170201378803</v>
      </c>
      <c r="H20" s="10">
        <v>43.172513275150003</v>
      </c>
      <c r="I20" s="10">
        <v>42.791232421986798</v>
      </c>
      <c r="K20" s="12">
        <v>-7.7317803879734699E-3</v>
      </c>
      <c r="L20" s="12">
        <v>1.1390139299919601E-3</v>
      </c>
      <c r="N20" s="25">
        <v>0</v>
      </c>
      <c r="O20" s="13">
        <v>0</v>
      </c>
      <c r="P20" s="23">
        <f t="shared" si="0"/>
        <v>22.99</v>
      </c>
      <c r="Q20" s="23">
        <f t="shared" si="1"/>
        <v>42.84</v>
      </c>
      <c r="R20" s="14">
        <f t="shared" si="2"/>
        <v>1.863418877772945</v>
      </c>
      <c r="S20" s="14">
        <f t="shared" si="3"/>
        <v>1.8657810486417497</v>
      </c>
      <c r="T20" s="14">
        <f t="shared" si="7"/>
        <v>1.8617020137880331</v>
      </c>
      <c r="V20" s="16">
        <f t="shared" si="4"/>
        <v>42.894306308273819</v>
      </c>
      <c r="W20" s="16">
        <f t="shared" si="9"/>
        <v>42.791232421986869</v>
      </c>
      <c r="Y20" s="17">
        <f t="shared" si="5"/>
        <v>-1.2668514594757047E-3</v>
      </c>
      <c r="Z20" s="17">
        <f t="shared" si="8"/>
        <v>1.1390139299924092E-3</v>
      </c>
      <c r="AC20" s="18">
        <f t="shared" si="6"/>
        <v>0</v>
      </c>
      <c r="AD20" s="18">
        <f t="shared" si="6"/>
        <v>2.5709959236145633E-3</v>
      </c>
      <c r="AE20" s="18"/>
    </row>
    <row r="21" spans="1:55" x14ac:dyDescent="0.3">
      <c r="A21" s="1">
        <v>46052</v>
      </c>
      <c r="B21" s="10">
        <v>22.84</v>
      </c>
      <c r="C21" s="10">
        <v>42.41</v>
      </c>
      <c r="D21" s="11">
        <v>1.8568301225919399</v>
      </c>
      <c r="E21" s="11">
        <v>1.8778822651217899</v>
      </c>
      <c r="F21" s="11">
        <v>1.8613635206708801</v>
      </c>
      <c r="G21" s="11">
        <v>1.85855018574276</v>
      </c>
      <c r="H21" s="10">
        <v>42.8908309353817</v>
      </c>
      <c r="I21" s="10">
        <v>42.521273994918602</v>
      </c>
      <c r="K21" s="12">
        <v>-1.1273888493741601E-2</v>
      </c>
      <c r="L21" s="12">
        <v>-2.6203317895334998E-3</v>
      </c>
      <c r="N21" s="25">
        <v>0</v>
      </c>
      <c r="O21" s="13">
        <v>0</v>
      </c>
      <c r="P21" s="23">
        <f t="shared" si="0"/>
        <v>22.84</v>
      </c>
      <c r="Q21" s="23">
        <f t="shared" si="1"/>
        <v>42.41</v>
      </c>
      <c r="R21" s="14">
        <f t="shared" si="2"/>
        <v>1.8568301225919439</v>
      </c>
      <c r="S21" s="14">
        <f t="shared" si="3"/>
        <v>1.8657810486417497</v>
      </c>
      <c r="T21" s="14">
        <f t="shared" si="7"/>
        <v>1.8613635206708836</v>
      </c>
      <c r="U21" s="14">
        <f>AVERAGE(R2:R21)</f>
        <v>1.8585501857427638</v>
      </c>
      <c r="V21" s="16">
        <f t="shared" si="4"/>
        <v>42.61443915097756</v>
      </c>
      <c r="W21" s="16">
        <f t="shared" si="9"/>
        <v>42.52127399491868</v>
      </c>
      <c r="Y21" s="17">
        <f t="shared" si="5"/>
        <v>-4.8089595652439122E-3</v>
      </c>
      <c r="Z21" s="17">
        <f t="shared" si="8"/>
        <v>-2.6203317895335033E-3</v>
      </c>
      <c r="AC21" s="18">
        <f t="shared" si="6"/>
        <v>-6.545953987280655E-3</v>
      </c>
      <c r="AD21" s="18">
        <f t="shared" si="6"/>
        <v>-1.0088062093048862E-2</v>
      </c>
      <c r="AE21" s="18"/>
      <c r="AK21" s="21">
        <v>0</v>
      </c>
      <c r="AV21" s="21">
        <v>0</v>
      </c>
    </row>
    <row r="22" spans="1:55" x14ac:dyDescent="0.3">
      <c r="A22" s="1">
        <v>46055</v>
      </c>
      <c r="B22" s="10">
        <v>22.69</v>
      </c>
      <c r="C22" s="10">
        <v>42.22</v>
      </c>
      <c r="D22" s="11">
        <v>1.8607315998237099</v>
      </c>
      <c r="E22" s="11">
        <v>1.8778822651217899</v>
      </c>
      <c r="F22" s="11">
        <v>1.8616264747445701</v>
      </c>
      <c r="G22" s="11">
        <v>1.85906007534249</v>
      </c>
      <c r="H22" s="10">
        <v>42.609148595613497</v>
      </c>
      <c r="I22" s="10">
        <v>42.2343382840223</v>
      </c>
      <c r="J22" s="10">
        <v>42.170503714503297</v>
      </c>
      <c r="K22" s="12">
        <v>-9.17494356400737E-3</v>
      </c>
      <c r="L22" s="12">
        <v>-3.3955115749980698E-4</v>
      </c>
      <c r="M22" s="12">
        <v>1.17302987880484E-3</v>
      </c>
      <c r="N22" s="26">
        <v>0.04</v>
      </c>
      <c r="O22" s="13">
        <v>0</v>
      </c>
      <c r="P22" s="23">
        <f>B22+N22</f>
        <v>22.73</v>
      </c>
      <c r="Q22" s="23">
        <f>C22+O22</f>
        <v>42.22</v>
      </c>
      <c r="R22" s="14">
        <f t="shared" si="2"/>
        <v>1.8574571051473823</v>
      </c>
      <c r="S22" s="14">
        <f t="shared" si="3"/>
        <v>1.8657810486417497</v>
      </c>
      <c r="T22" s="14">
        <f t="shared" si="7"/>
        <v>1.8612990252769379</v>
      </c>
      <c r="U22" s="14">
        <f t="shared" ref="U22:U85" si="10">AVERAGE(R3:R22)</f>
        <v>1.8588963506086738</v>
      </c>
      <c r="V22" s="16">
        <f t="shared" si="4"/>
        <v>42.409203235626968</v>
      </c>
      <c r="W22" s="16">
        <f t="shared" si="9"/>
        <v>42.308792824849185</v>
      </c>
      <c r="X22" s="16">
        <f>U21*P22</f>
        <v>42.244845721933018</v>
      </c>
      <c r="Y22" s="17">
        <f t="shared" si="5"/>
        <v>-4.4713537082110991E-3</v>
      </c>
      <c r="Z22" s="17">
        <f t="shared" si="8"/>
        <v>-2.1008902302013725E-3</v>
      </c>
      <c r="AA22" s="17">
        <f t="shared" si="8"/>
        <v>-5.8830919389642991E-4</v>
      </c>
      <c r="AC22" s="18">
        <f t="shared" si="6"/>
        <v>-6.5890859960590015E-3</v>
      </c>
      <c r="AD22" s="18">
        <f t="shared" si="6"/>
        <v>-4.4901410663246892E-3</v>
      </c>
      <c r="AE22" s="18"/>
      <c r="AF22" s="18"/>
      <c r="AH22">
        <f>IF($AA22&lt;AG$1,1,0)</f>
        <v>0</v>
      </c>
      <c r="AI22">
        <f>IF($AA22&gt;AG$2,1,0)</f>
        <v>0</v>
      </c>
      <c r="AJ22">
        <f>AK21</f>
        <v>0</v>
      </c>
      <c r="AK22">
        <f t="shared" ref="AK22:AK85" si="11">IF(AH21,1,IF(AI21,0,AJ21))</f>
        <v>0</v>
      </c>
      <c r="AL22" s="18">
        <f>-AK22*$AC22</f>
        <v>0</v>
      </c>
      <c r="AM22" s="18">
        <f>AK22*$AD22</f>
        <v>0</v>
      </c>
      <c r="AN22" s="18">
        <f>AL22+AM22</f>
        <v>0</v>
      </c>
      <c r="AO22" s="19">
        <f>AO21+AN22</f>
        <v>0</v>
      </c>
      <c r="AQ22" s="18"/>
      <c r="AS22">
        <f>IF($AA22&gt;AR$1,1,0)</f>
        <v>0</v>
      </c>
      <c r="AT22">
        <f>IF($AA22&lt;AR$2,1,0)</f>
        <v>1</v>
      </c>
      <c r="AU22">
        <f>AV21</f>
        <v>0</v>
      </c>
      <c r="AV22">
        <f>IF(AS21,1,IF(AT21,0,AU21))</f>
        <v>0</v>
      </c>
      <c r="AW22" s="18">
        <f>AV22*$AC22</f>
        <v>0</v>
      </c>
      <c r="AX22" s="18">
        <f>-AV22*$AD22</f>
        <v>0</v>
      </c>
      <c r="AY22" s="18">
        <f>AW22+AX22</f>
        <v>0</v>
      </c>
      <c r="AZ22" s="19">
        <f>AZ21+AY22</f>
        <v>0</v>
      </c>
      <c r="BB22" s="19">
        <f>AN22+AY22</f>
        <v>0</v>
      </c>
      <c r="BC22" s="19">
        <f>BC21+BB22</f>
        <v>0</v>
      </c>
    </row>
    <row r="23" spans="1:55" x14ac:dyDescent="0.3">
      <c r="A23" s="1">
        <v>46056</v>
      </c>
      <c r="B23" s="10">
        <v>22.7</v>
      </c>
      <c r="C23" s="10">
        <v>42.38</v>
      </c>
      <c r="D23" s="11">
        <v>1.8669603524228999</v>
      </c>
      <c r="E23" s="11">
        <v>1.8778822651217899</v>
      </c>
      <c r="F23" s="11">
        <v>1.86184691661471</v>
      </c>
      <c r="G23" s="11">
        <v>1.8597571160542199</v>
      </c>
      <c r="H23" s="10">
        <v>42.627927418264697</v>
      </c>
      <c r="I23" s="10">
        <v>42.258920976701702</v>
      </c>
      <c r="J23" s="10">
        <v>42.200663710274497</v>
      </c>
      <c r="K23" s="12">
        <v>-5.8330588396353399E-3</v>
      </c>
      <c r="L23" s="12">
        <v>2.8610739478841202E-3</v>
      </c>
      <c r="M23" s="12">
        <v>4.2406041902423499E-3</v>
      </c>
      <c r="N23" s="26">
        <v>0.04</v>
      </c>
      <c r="O23" s="13">
        <v>0</v>
      </c>
      <c r="P23" s="23">
        <f t="shared" ref="P23:P86" si="12">B23+N23</f>
        <v>22.74</v>
      </c>
      <c r="Q23" s="23">
        <f t="shared" ref="Q23:Q86" si="13">C23+O23</f>
        <v>42.38</v>
      </c>
      <c r="R23" s="14">
        <f t="shared" si="2"/>
        <v>1.8636763412489008</v>
      </c>
      <c r="S23" s="14">
        <f t="shared" si="3"/>
        <v>1.8657810486417497</v>
      </c>
      <c r="T23" s="14">
        <f t="shared" si="7"/>
        <v>1.8611910660296829</v>
      </c>
      <c r="U23" s="14">
        <f t="shared" si="10"/>
        <v>1.8594291907617049</v>
      </c>
      <c r="V23" s="16">
        <f t="shared" si="4"/>
        <v>42.427861046113385</v>
      </c>
      <c r="W23" s="16">
        <f t="shared" si="9"/>
        <v>42.325939834797566</v>
      </c>
      <c r="X23" s="16">
        <f t="shared" ref="X23:X86" si="14">U22*P23</f>
        <v>42.271303012841237</v>
      </c>
      <c r="Y23" s="17">
        <f t="shared" si="5"/>
        <v>-1.1286937461706319E-3</v>
      </c>
      <c r="Z23" s="17">
        <f t="shared" si="8"/>
        <v>1.2764198743949273E-3</v>
      </c>
      <c r="AA23" s="17">
        <f t="shared" si="8"/>
        <v>2.5681127881082644E-3</v>
      </c>
      <c r="AC23" s="18">
        <f t="shared" si="6"/>
        <v>4.4062569560662535E-4</v>
      </c>
      <c r="AD23" s="18">
        <f t="shared" si="6"/>
        <v>3.7825104199785188E-3</v>
      </c>
      <c r="AE23" s="18"/>
      <c r="AF23" s="18"/>
      <c r="AH23">
        <f t="shared" ref="AH23:AH86" si="15">IF(AA23&lt;AG$1,1,0)</f>
        <v>0</v>
      </c>
      <c r="AI23">
        <f t="shared" ref="AI23:AI86" si="16">IF($AA23&gt;AG$2,1,0)</f>
        <v>1</v>
      </c>
      <c r="AJ23">
        <f t="shared" ref="AJ23:AJ86" si="17">AK23</f>
        <v>0</v>
      </c>
      <c r="AK23">
        <f t="shared" si="11"/>
        <v>0</v>
      </c>
      <c r="AL23" s="18">
        <f t="shared" ref="AL23:AL86" si="18">-AK23*$AC23</f>
        <v>0</v>
      </c>
      <c r="AM23" s="18">
        <f t="shared" ref="AM23:AM86" si="19">AK23*$AD23</f>
        <v>0</v>
      </c>
      <c r="AN23" s="18">
        <f t="shared" ref="AN23:AN86" si="20">AL23+AM23</f>
        <v>0</v>
      </c>
      <c r="AO23" s="19">
        <f t="shared" ref="AO23:AO86" si="21">AO22+AN23</f>
        <v>0</v>
      </c>
      <c r="AQ23" s="18"/>
      <c r="AS23">
        <f t="shared" ref="AS23:AS86" si="22">IF($AA23&gt;AR$1,1,0)</f>
        <v>1</v>
      </c>
      <c r="AT23">
        <f t="shared" ref="AT23:AT86" si="23">IF($AA23&lt;AR$2,1,0)</f>
        <v>0</v>
      </c>
      <c r="AU23">
        <f t="shared" ref="AU23:AU86" si="24">AV22</f>
        <v>0</v>
      </c>
      <c r="AV23">
        <f t="shared" ref="AV23:AV86" si="25">IF(AS22,1,IF(AT22,0,AU22))</f>
        <v>0</v>
      </c>
      <c r="AW23" s="18">
        <f t="shared" ref="AW23:AW86" si="26">AV23*$AC23</f>
        <v>0</v>
      </c>
      <c r="AX23" s="18">
        <f t="shared" ref="AX23:AX86" si="27">-AV23*$AD23</f>
        <v>0</v>
      </c>
      <c r="AY23" s="18">
        <f t="shared" ref="AY23:AY86" si="28">AW23+AX23</f>
        <v>0</v>
      </c>
      <c r="AZ23" s="19">
        <f t="shared" ref="AZ23:AZ86" si="29">AZ22+AY23</f>
        <v>0</v>
      </c>
      <c r="BB23" s="19">
        <f t="shared" ref="BB23:BB86" si="30">AN23+AY23</f>
        <v>0</v>
      </c>
      <c r="BC23" s="19">
        <f t="shared" ref="BC23:BC86" si="31">BC22+BB23</f>
        <v>0</v>
      </c>
    </row>
    <row r="24" spans="1:55" x14ac:dyDescent="0.3">
      <c r="A24" s="1">
        <v>46057</v>
      </c>
      <c r="B24" s="10">
        <v>22.64</v>
      </c>
      <c r="C24" s="10">
        <v>42.27</v>
      </c>
      <c r="D24" s="11">
        <v>1.86704946996466</v>
      </c>
      <c r="E24" s="11">
        <v>1.8778822651217899</v>
      </c>
      <c r="F24" s="11">
        <v>1.86203752669361</v>
      </c>
      <c r="G24" s="11">
        <v>1.8603827212250501</v>
      </c>
      <c r="H24" s="10">
        <v>42.515254482357399</v>
      </c>
      <c r="I24" s="10">
        <v>42.152214192157103</v>
      </c>
      <c r="J24" s="10">
        <v>42.104901107467498</v>
      </c>
      <c r="K24" s="12">
        <v>-5.7853259487150501E-3</v>
      </c>
      <c r="L24" s="12">
        <v>2.7904002612711E-3</v>
      </c>
      <c r="M24" s="12">
        <v>3.9134648118256E-3</v>
      </c>
      <c r="N24" s="26">
        <v>0.04</v>
      </c>
      <c r="O24" s="13">
        <v>0</v>
      </c>
      <c r="P24" s="23">
        <f t="shared" si="12"/>
        <v>22.68</v>
      </c>
      <c r="Q24" s="23">
        <f t="shared" si="13"/>
        <v>42.27</v>
      </c>
      <c r="R24" s="14">
        <f t="shared" si="2"/>
        <v>1.8637566137566139</v>
      </c>
      <c r="S24" s="14">
        <f t="shared" si="3"/>
        <v>1.8657810486417497</v>
      </c>
      <c r="T24" s="14">
        <f t="shared" si="7"/>
        <v>1.8610523904877811</v>
      </c>
      <c r="U24" s="14">
        <f t="shared" si="10"/>
        <v>1.8598901531221332</v>
      </c>
      <c r="V24" s="16">
        <f t="shared" si="4"/>
        <v>42.315914183194884</v>
      </c>
      <c r="W24" s="16">
        <f t="shared" si="9"/>
        <v>42.211813377553206</v>
      </c>
      <c r="X24" s="16">
        <f t="shared" si="14"/>
        <v>42.171854046475467</v>
      </c>
      <c r="Y24" s="17">
        <f t="shared" si="5"/>
        <v>-1.0856225447865976E-3</v>
      </c>
      <c r="Z24" s="17">
        <f t="shared" si="8"/>
        <v>1.3774948553124137E-3</v>
      </c>
      <c r="AA24" s="17">
        <f t="shared" si="8"/>
        <v>2.3245817806486838E-3</v>
      </c>
      <c r="AC24" s="18">
        <f t="shared" si="6"/>
        <v>-2.6466711523747601E-3</v>
      </c>
      <c r="AD24" s="18">
        <f t="shared" si="6"/>
        <v>-2.5989382614544478E-3</v>
      </c>
      <c r="AE24" s="18"/>
      <c r="AF24" s="18"/>
      <c r="AH24">
        <f t="shared" si="15"/>
        <v>0</v>
      </c>
      <c r="AI24">
        <f t="shared" si="16"/>
        <v>1</v>
      </c>
      <c r="AJ24">
        <f t="shared" si="17"/>
        <v>0</v>
      </c>
      <c r="AK24">
        <f t="shared" si="11"/>
        <v>0</v>
      </c>
      <c r="AL24" s="18">
        <f t="shared" si="18"/>
        <v>0</v>
      </c>
      <c r="AM24" s="18">
        <f t="shared" si="19"/>
        <v>0</v>
      </c>
      <c r="AN24" s="18">
        <f t="shared" si="20"/>
        <v>0</v>
      </c>
      <c r="AO24" s="19">
        <f t="shared" si="21"/>
        <v>0</v>
      </c>
      <c r="AQ24" s="18"/>
      <c r="AS24">
        <f t="shared" si="22"/>
        <v>1</v>
      </c>
      <c r="AT24">
        <f t="shared" si="23"/>
        <v>0</v>
      </c>
      <c r="AU24">
        <f t="shared" si="24"/>
        <v>0</v>
      </c>
      <c r="AV24">
        <f t="shared" si="25"/>
        <v>1</v>
      </c>
      <c r="AW24" s="18">
        <f t="shared" si="26"/>
        <v>-2.6466711523747601E-3</v>
      </c>
      <c r="AX24" s="18">
        <f t="shared" si="27"/>
        <v>2.5989382614544478E-3</v>
      </c>
      <c r="AY24" s="18">
        <f t="shared" si="28"/>
        <v>-4.7732890920312333E-5</v>
      </c>
      <c r="AZ24" s="19">
        <f t="shared" si="29"/>
        <v>-4.7732890920312333E-5</v>
      </c>
      <c r="BB24" s="19">
        <f t="shared" si="30"/>
        <v>-4.7732890920312333E-5</v>
      </c>
      <c r="BC24" s="19">
        <f t="shared" si="31"/>
        <v>-4.7732890920312333E-5</v>
      </c>
    </row>
    <row r="25" spans="1:55" x14ac:dyDescent="0.3">
      <c r="A25" s="1">
        <v>46058</v>
      </c>
      <c r="B25" s="10">
        <v>22.64</v>
      </c>
      <c r="C25" s="10">
        <v>42.18</v>
      </c>
      <c r="D25" s="11">
        <v>1.8630742049469899</v>
      </c>
      <c r="E25" s="11">
        <v>1.8778822651217899</v>
      </c>
      <c r="F25" s="11">
        <v>1.8619691680253601</v>
      </c>
      <c r="G25" s="11">
        <v>1.8608285613078801</v>
      </c>
      <c r="H25" s="10">
        <v>42.515254482357399</v>
      </c>
      <c r="I25" s="10">
        <v>42.156529604343497</v>
      </c>
      <c r="J25" s="10">
        <v>42.1190648085352</v>
      </c>
      <c r="K25" s="12">
        <v>-7.9167654767851505E-3</v>
      </c>
      <c r="L25" s="12">
        <v>5.5658909306480697E-4</v>
      </c>
      <c r="M25" s="12">
        <v>1.44569105757427E-3</v>
      </c>
      <c r="N25" s="26">
        <v>0.04</v>
      </c>
      <c r="O25" s="13">
        <v>0</v>
      </c>
      <c r="P25" s="23">
        <f t="shared" si="12"/>
        <v>22.68</v>
      </c>
      <c r="Q25" s="23">
        <f t="shared" si="13"/>
        <v>42.18</v>
      </c>
      <c r="R25" s="14">
        <f t="shared" si="2"/>
        <v>1.8597883597883598</v>
      </c>
      <c r="S25" s="14">
        <f t="shared" si="3"/>
        <v>1.8657810486417497</v>
      </c>
      <c r="T25" s="14">
        <f t="shared" si="7"/>
        <v>1.8606554473036609</v>
      </c>
      <c r="U25" s="14">
        <f t="shared" si="10"/>
        <v>1.8601717009470338</v>
      </c>
      <c r="V25" s="16">
        <f t="shared" si="4"/>
        <v>42.315914183194884</v>
      </c>
      <c r="W25" s="16">
        <f t="shared" si="9"/>
        <v>42.208668216262879</v>
      </c>
      <c r="X25" s="16">
        <f t="shared" si="14"/>
        <v>42.182308672809981</v>
      </c>
      <c r="Y25" s="17">
        <f t="shared" si="5"/>
        <v>-3.2170620728566618E-3</v>
      </c>
      <c r="Z25" s="17">
        <f t="shared" si="8"/>
        <v>-6.7943286632393435E-4</v>
      </c>
      <c r="AA25" s="17">
        <f t="shared" si="8"/>
        <v>-5.4732328853469769E-5</v>
      </c>
      <c r="AC25" s="18">
        <f t="shared" si="6"/>
        <v>0</v>
      </c>
      <c r="AD25" s="18">
        <f t="shared" si="6"/>
        <v>-2.1314395280700974E-3</v>
      </c>
      <c r="AE25" s="18"/>
      <c r="AF25" s="18"/>
      <c r="AH25">
        <f t="shared" si="15"/>
        <v>0</v>
      </c>
      <c r="AI25">
        <f t="shared" si="16"/>
        <v>0</v>
      </c>
      <c r="AJ25">
        <f t="shared" si="17"/>
        <v>0</v>
      </c>
      <c r="AK25">
        <f t="shared" si="11"/>
        <v>0</v>
      </c>
      <c r="AL25" s="18">
        <f t="shared" si="18"/>
        <v>0</v>
      </c>
      <c r="AM25" s="18">
        <f t="shared" si="19"/>
        <v>0</v>
      </c>
      <c r="AN25" s="18">
        <f t="shared" si="20"/>
        <v>0</v>
      </c>
      <c r="AO25" s="19">
        <f t="shared" si="21"/>
        <v>0</v>
      </c>
      <c r="AQ25" s="18"/>
      <c r="AS25">
        <f t="shared" si="22"/>
        <v>0</v>
      </c>
      <c r="AT25">
        <f t="shared" si="23"/>
        <v>1</v>
      </c>
      <c r="AU25">
        <f t="shared" si="24"/>
        <v>1</v>
      </c>
      <c r="AV25">
        <f t="shared" si="25"/>
        <v>1</v>
      </c>
      <c r="AW25" s="18">
        <f t="shared" si="26"/>
        <v>0</v>
      </c>
      <c r="AX25" s="18">
        <f t="shared" si="27"/>
        <v>2.1314395280700974E-3</v>
      </c>
      <c r="AY25" s="18">
        <f t="shared" si="28"/>
        <v>2.1314395280700974E-3</v>
      </c>
      <c r="AZ25" s="19">
        <f t="shared" si="29"/>
        <v>2.083706637149785E-3</v>
      </c>
      <c r="BB25" s="19">
        <f t="shared" si="30"/>
        <v>2.1314395280700974E-3</v>
      </c>
      <c r="BC25" s="19">
        <f t="shared" si="31"/>
        <v>2.083706637149785E-3</v>
      </c>
    </row>
    <row r="26" spans="1:55" x14ac:dyDescent="0.3">
      <c r="A26" s="1">
        <v>46059</v>
      </c>
      <c r="B26" s="10">
        <v>22.68</v>
      </c>
      <c r="C26" s="10">
        <v>42.36</v>
      </c>
      <c r="D26" s="11">
        <v>1.8677248677248599</v>
      </c>
      <c r="E26" s="11">
        <v>1.8778822651217899</v>
      </c>
      <c r="F26" s="11">
        <v>1.8626109127483801</v>
      </c>
      <c r="G26" s="11">
        <v>1.8616312857631701</v>
      </c>
      <c r="H26" s="10">
        <v>42.590369772962298</v>
      </c>
      <c r="I26" s="10">
        <v>42.229460730815198</v>
      </c>
      <c r="J26" s="10">
        <v>42.203591770462801</v>
      </c>
      <c r="K26" s="12">
        <v>-5.4236453187770503E-3</v>
      </c>
      <c r="L26" s="12">
        <v>3.0864216814567701E-3</v>
      </c>
      <c r="M26" s="12">
        <v>3.6991902690061101E-3</v>
      </c>
      <c r="N26" s="26">
        <v>0.04</v>
      </c>
      <c r="O26" s="13">
        <v>0</v>
      </c>
      <c r="P26" s="23">
        <f t="shared" si="12"/>
        <v>22.72</v>
      </c>
      <c r="Q26" s="23">
        <f t="shared" si="13"/>
        <v>42.36</v>
      </c>
      <c r="R26" s="14">
        <f t="shared" si="2"/>
        <v>1.86443661971831</v>
      </c>
      <c r="S26" s="14">
        <f t="shared" si="3"/>
        <v>1.8657810486417497</v>
      </c>
      <c r="T26" s="14">
        <f t="shared" si="7"/>
        <v>1.8609683672260218</v>
      </c>
      <c r="U26" s="14">
        <f t="shared" si="10"/>
        <v>1.860810013001992</v>
      </c>
      <c r="V26" s="16">
        <f t="shared" si="4"/>
        <v>42.390545425140552</v>
      </c>
      <c r="W26" s="16">
        <f t="shared" si="9"/>
        <v>42.274091762739175</v>
      </c>
      <c r="X26" s="16">
        <f t="shared" si="14"/>
        <v>42.263101045516606</v>
      </c>
      <c r="Y26" s="17">
        <f t="shared" si="5"/>
        <v>-7.2083138367868942E-4</v>
      </c>
      <c r="Z26" s="17">
        <f t="shared" si="8"/>
        <v>2.0301102068055765E-3</v>
      </c>
      <c r="AA26" s="17">
        <f t="shared" si="8"/>
        <v>2.2901310785519171E-3</v>
      </c>
      <c r="AC26" s="18">
        <f t="shared" si="6"/>
        <v>1.7652255245691492E-3</v>
      </c>
      <c r="AD26" s="18">
        <f t="shared" si="6"/>
        <v>4.2583456825772458E-3</v>
      </c>
      <c r="AE26" s="18"/>
      <c r="AF26" s="18"/>
      <c r="AH26">
        <f t="shared" si="15"/>
        <v>0</v>
      </c>
      <c r="AI26">
        <f t="shared" si="16"/>
        <v>1</v>
      </c>
      <c r="AJ26">
        <f t="shared" si="17"/>
        <v>0</v>
      </c>
      <c r="AK26">
        <f t="shared" si="11"/>
        <v>0</v>
      </c>
      <c r="AL26" s="18">
        <f t="shared" si="18"/>
        <v>0</v>
      </c>
      <c r="AM26" s="18">
        <f t="shared" si="19"/>
        <v>0</v>
      </c>
      <c r="AN26" s="18">
        <f t="shared" si="20"/>
        <v>0</v>
      </c>
      <c r="AO26" s="19">
        <f t="shared" si="21"/>
        <v>0</v>
      </c>
      <c r="AQ26" s="18"/>
      <c r="AS26">
        <f t="shared" si="22"/>
        <v>1</v>
      </c>
      <c r="AT26">
        <f t="shared" si="23"/>
        <v>0</v>
      </c>
      <c r="AU26">
        <f t="shared" si="24"/>
        <v>1</v>
      </c>
      <c r="AV26">
        <f t="shared" si="25"/>
        <v>0</v>
      </c>
      <c r="AW26" s="18">
        <f t="shared" si="26"/>
        <v>0</v>
      </c>
      <c r="AX26" s="18">
        <f t="shared" si="27"/>
        <v>0</v>
      </c>
      <c r="AY26" s="18">
        <f t="shared" si="28"/>
        <v>0</v>
      </c>
      <c r="AZ26" s="19">
        <f t="shared" si="29"/>
        <v>2.083706637149785E-3</v>
      </c>
      <c r="BB26" s="19">
        <f t="shared" si="30"/>
        <v>0</v>
      </c>
      <c r="BC26" s="19">
        <f t="shared" si="31"/>
        <v>2.083706637149785E-3</v>
      </c>
    </row>
    <row r="27" spans="1:55" x14ac:dyDescent="0.3">
      <c r="A27" s="1">
        <v>46062</v>
      </c>
      <c r="B27" s="10">
        <v>22.83</v>
      </c>
      <c r="C27" s="10">
        <v>42.7</v>
      </c>
      <c r="D27" s="11">
        <v>1.87034603591765</v>
      </c>
      <c r="E27" s="11">
        <v>1.8778822651217899</v>
      </c>
      <c r="F27" s="11">
        <v>1.86371829143878</v>
      </c>
      <c r="G27" s="11">
        <v>1.8623616290954501</v>
      </c>
      <c r="H27" s="10">
        <v>42.872052112730501</v>
      </c>
      <c r="I27" s="10">
        <v>42.523407138045499</v>
      </c>
      <c r="J27" s="10">
        <v>42.501042253973097</v>
      </c>
      <c r="K27" s="12">
        <v>-4.0212274995566101E-3</v>
      </c>
      <c r="L27" s="12">
        <v>4.1442397254272999E-3</v>
      </c>
      <c r="M27" s="12">
        <v>4.6703209820080898E-3</v>
      </c>
      <c r="N27" s="26">
        <v>0.04</v>
      </c>
      <c r="O27" s="13">
        <v>0</v>
      </c>
      <c r="P27" s="23">
        <f t="shared" si="12"/>
        <v>22.869999999999997</v>
      </c>
      <c r="Q27" s="23">
        <f t="shared" si="13"/>
        <v>42.7</v>
      </c>
      <c r="R27" s="14">
        <f t="shared" si="2"/>
        <v>1.8670747704416268</v>
      </c>
      <c r="S27" s="14">
        <f t="shared" si="3"/>
        <v>1.8657810486417497</v>
      </c>
      <c r="T27" s="14">
        <f t="shared" si="7"/>
        <v>1.8617486193688255</v>
      </c>
      <c r="U27" s="14">
        <f t="shared" si="10"/>
        <v>1.8613767930604734</v>
      </c>
      <c r="V27" s="16">
        <f t="shared" si="4"/>
        <v>42.670412582436811</v>
      </c>
      <c r="W27" s="16">
        <f t="shared" si="9"/>
        <v>42.560346558459116</v>
      </c>
      <c r="X27" s="16">
        <f t="shared" si="14"/>
        <v>42.556724997355552</v>
      </c>
      <c r="Y27" s="17">
        <f t="shared" si="5"/>
        <v>6.9315393595553178E-4</v>
      </c>
      <c r="Z27" s="17">
        <f t="shared" si="8"/>
        <v>3.2759324134046556E-3</v>
      </c>
      <c r="AA27" s="17">
        <f t="shared" si="8"/>
        <v>3.3610284121168774E-3</v>
      </c>
      <c r="AC27" s="18">
        <f t="shared" si="6"/>
        <v>6.5919816821527416E-3</v>
      </c>
      <c r="AD27" s="18">
        <f t="shared" si="6"/>
        <v>7.9943995013733189E-3</v>
      </c>
      <c r="AE27" s="18"/>
      <c r="AF27" s="18"/>
      <c r="AH27">
        <f t="shared" si="15"/>
        <v>0</v>
      </c>
      <c r="AI27">
        <f t="shared" si="16"/>
        <v>1</v>
      </c>
      <c r="AJ27">
        <f t="shared" si="17"/>
        <v>0</v>
      </c>
      <c r="AK27">
        <f t="shared" si="11"/>
        <v>0</v>
      </c>
      <c r="AL27" s="18">
        <f t="shared" si="18"/>
        <v>0</v>
      </c>
      <c r="AM27" s="18">
        <f t="shared" si="19"/>
        <v>0</v>
      </c>
      <c r="AN27" s="18">
        <f t="shared" si="20"/>
        <v>0</v>
      </c>
      <c r="AO27" s="19">
        <f t="shared" si="21"/>
        <v>0</v>
      </c>
      <c r="AQ27" s="18"/>
      <c r="AS27">
        <f t="shared" si="22"/>
        <v>1</v>
      </c>
      <c r="AT27">
        <f t="shared" si="23"/>
        <v>0</v>
      </c>
      <c r="AU27">
        <f t="shared" si="24"/>
        <v>0</v>
      </c>
      <c r="AV27">
        <f t="shared" si="25"/>
        <v>1</v>
      </c>
      <c r="AW27" s="18">
        <f t="shared" si="26"/>
        <v>6.5919816821527416E-3</v>
      </c>
      <c r="AX27" s="18">
        <f t="shared" si="27"/>
        <v>-7.9943995013733189E-3</v>
      </c>
      <c r="AY27" s="18">
        <f t="shared" si="28"/>
        <v>-1.4024178192205772E-3</v>
      </c>
      <c r="AZ27" s="19">
        <f t="shared" si="29"/>
        <v>6.8128881792920782E-4</v>
      </c>
      <c r="BB27" s="19">
        <f t="shared" si="30"/>
        <v>-1.4024178192205772E-3</v>
      </c>
      <c r="BC27" s="19">
        <f t="shared" si="31"/>
        <v>6.8128881792920782E-4</v>
      </c>
    </row>
    <row r="28" spans="1:55" x14ac:dyDescent="0.3">
      <c r="A28" s="1">
        <v>46063</v>
      </c>
      <c r="B28" s="10">
        <v>22.93</v>
      </c>
      <c r="C28" s="10">
        <v>42.79</v>
      </c>
      <c r="D28" s="11">
        <v>1.86611426079372</v>
      </c>
      <c r="E28" s="11">
        <v>1.8778822651217899</v>
      </c>
      <c r="F28" s="11">
        <v>1.86408839807371</v>
      </c>
      <c r="G28" s="11">
        <v>1.8627751852723899</v>
      </c>
      <c r="H28" s="10">
        <v>43.059840339242697</v>
      </c>
      <c r="I28" s="10">
        <v>42.735060422691298</v>
      </c>
      <c r="J28" s="10">
        <v>42.703952155158703</v>
      </c>
      <c r="K28" s="12">
        <v>-6.2863536335190798E-3</v>
      </c>
      <c r="L28" s="12">
        <v>1.2847599193519001E-3</v>
      </c>
      <c r="M28" s="12">
        <v>2.0129581503161502E-3</v>
      </c>
      <c r="N28" s="26">
        <v>0.04</v>
      </c>
      <c r="O28" s="13">
        <v>0</v>
      </c>
      <c r="P28" s="23">
        <f t="shared" si="12"/>
        <v>22.97</v>
      </c>
      <c r="Q28" s="23">
        <f t="shared" si="13"/>
        <v>42.79</v>
      </c>
      <c r="R28" s="14">
        <f t="shared" si="2"/>
        <v>1.8628646060078364</v>
      </c>
      <c r="S28" s="14">
        <f t="shared" si="3"/>
        <v>1.8657810486417497</v>
      </c>
      <c r="T28" s="14">
        <f t="shared" si="7"/>
        <v>1.8617937605251647</v>
      </c>
      <c r="U28" s="14">
        <f t="shared" si="10"/>
        <v>1.8616278664981203</v>
      </c>
      <c r="V28" s="16">
        <f t="shared" si="4"/>
        <v>42.856990687300986</v>
      </c>
      <c r="W28" s="16">
        <f t="shared" si="9"/>
        <v>42.764365786901919</v>
      </c>
      <c r="X28" s="16">
        <f t="shared" si="14"/>
        <v>42.755824936599076</v>
      </c>
      <c r="Y28" s="17">
        <f t="shared" si="5"/>
        <v>-1.5643445362150973E-3</v>
      </c>
      <c r="Z28" s="17">
        <f t="shared" si="8"/>
        <v>5.9924969648041625E-4</v>
      </c>
      <c r="AA28" s="17">
        <f t="shared" si="8"/>
        <v>7.9898850105921391E-4</v>
      </c>
      <c r="AC28" s="18">
        <f t="shared" si="6"/>
        <v>4.3706363281090597E-3</v>
      </c>
      <c r="AD28" s="18">
        <f t="shared" si="6"/>
        <v>2.1055101941464464E-3</v>
      </c>
      <c r="AE28" s="18"/>
      <c r="AF28" s="18"/>
      <c r="AH28">
        <f t="shared" si="15"/>
        <v>0</v>
      </c>
      <c r="AI28">
        <f t="shared" si="16"/>
        <v>1</v>
      </c>
      <c r="AJ28">
        <f t="shared" si="17"/>
        <v>0</v>
      </c>
      <c r="AK28">
        <f t="shared" si="11"/>
        <v>0</v>
      </c>
      <c r="AL28" s="18">
        <f t="shared" si="18"/>
        <v>0</v>
      </c>
      <c r="AM28" s="18">
        <f t="shared" si="19"/>
        <v>0</v>
      </c>
      <c r="AN28" s="18">
        <f t="shared" si="20"/>
        <v>0</v>
      </c>
      <c r="AO28" s="19">
        <f t="shared" si="21"/>
        <v>0</v>
      </c>
      <c r="AQ28" s="18"/>
      <c r="AS28">
        <f t="shared" si="22"/>
        <v>0</v>
      </c>
      <c r="AT28">
        <f t="shared" si="23"/>
        <v>0</v>
      </c>
      <c r="AU28">
        <f t="shared" si="24"/>
        <v>1</v>
      </c>
      <c r="AV28">
        <f t="shared" si="25"/>
        <v>1</v>
      </c>
      <c r="AW28" s="18">
        <f t="shared" si="26"/>
        <v>4.3706363281090597E-3</v>
      </c>
      <c r="AX28" s="18">
        <f t="shared" si="27"/>
        <v>-2.1055101941464464E-3</v>
      </c>
      <c r="AY28" s="18">
        <f t="shared" si="28"/>
        <v>2.2651261339626133E-3</v>
      </c>
      <c r="AZ28" s="19">
        <f t="shared" si="29"/>
        <v>2.9464149518918211E-3</v>
      </c>
      <c r="BB28" s="19">
        <f t="shared" si="30"/>
        <v>2.2651261339626133E-3</v>
      </c>
      <c r="BC28" s="19">
        <f t="shared" si="31"/>
        <v>2.9464149518918211E-3</v>
      </c>
    </row>
    <row r="29" spans="1:55" x14ac:dyDescent="0.3">
      <c r="A29" s="1">
        <v>46064</v>
      </c>
      <c r="B29" s="10">
        <v>22.97</v>
      </c>
      <c r="C29" s="10">
        <v>42.86</v>
      </c>
      <c r="D29" s="11">
        <v>1.8659120592076599</v>
      </c>
      <c r="E29" s="11">
        <v>1.8778822651217899</v>
      </c>
      <c r="F29" s="11">
        <v>1.8648161851167</v>
      </c>
      <c r="G29" s="11">
        <v>1.8630569055637201</v>
      </c>
      <c r="H29" s="10">
        <v>43.134955629847603</v>
      </c>
      <c r="I29" s="10">
        <v>42.818110503753203</v>
      </c>
      <c r="J29" s="10">
        <v>42.7879460057069</v>
      </c>
      <c r="K29" s="12">
        <v>-6.3947138480073204E-3</v>
      </c>
      <c r="L29" s="12">
        <v>9.7783434621159793E-4</v>
      </c>
      <c r="M29" s="12">
        <v>1.68256250505116E-3</v>
      </c>
      <c r="N29" s="26">
        <v>0.04</v>
      </c>
      <c r="O29" s="13">
        <v>0</v>
      </c>
      <c r="P29" s="23">
        <f t="shared" si="12"/>
        <v>23.009999999999998</v>
      </c>
      <c r="Q29" s="23">
        <f t="shared" si="13"/>
        <v>42.86</v>
      </c>
      <c r="R29" s="14">
        <f t="shared" si="2"/>
        <v>1.8626684050412865</v>
      </c>
      <c r="S29" s="14">
        <f t="shared" si="3"/>
        <v>1.8657810486417497</v>
      </c>
      <c r="T29" s="14">
        <f t="shared" si="7"/>
        <v>1.8621971821515206</v>
      </c>
      <c r="U29" s="14">
        <f t="shared" si="10"/>
        <v>1.8617474040811295</v>
      </c>
      <c r="V29" s="16">
        <f t="shared" si="4"/>
        <v>42.931621929246653</v>
      </c>
      <c r="W29" s="16">
        <f t="shared" si="9"/>
        <v>42.839874429684038</v>
      </c>
      <c r="X29" s="16">
        <f t="shared" si="14"/>
        <v>42.836057208121744</v>
      </c>
      <c r="Y29" s="17">
        <f t="shared" si="5"/>
        <v>-1.6696722657772287E-3</v>
      </c>
      <c r="Z29" s="17">
        <f t="shared" si="8"/>
        <v>4.6967561667650502E-4</v>
      </c>
      <c r="AA29" s="17">
        <f t="shared" si="8"/>
        <v>5.5878399266609687E-4</v>
      </c>
      <c r="AC29" s="18">
        <f t="shared" si="6"/>
        <v>1.7429198311938198E-3</v>
      </c>
      <c r="AD29" s="18">
        <f t="shared" si="6"/>
        <v>1.6345596167055972E-3</v>
      </c>
      <c r="AE29" s="18"/>
      <c r="AF29" s="18"/>
      <c r="AH29">
        <f t="shared" si="15"/>
        <v>0</v>
      </c>
      <c r="AI29">
        <f t="shared" si="16"/>
        <v>1</v>
      </c>
      <c r="AJ29">
        <f t="shared" si="17"/>
        <v>0</v>
      </c>
      <c r="AK29">
        <f t="shared" si="11"/>
        <v>0</v>
      </c>
      <c r="AL29" s="18">
        <f t="shared" si="18"/>
        <v>0</v>
      </c>
      <c r="AM29" s="18">
        <f t="shared" si="19"/>
        <v>0</v>
      </c>
      <c r="AN29" s="18">
        <f t="shared" si="20"/>
        <v>0</v>
      </c>
      <c r="AO29" s="19">
        <f t="shared" si="21"/>
        <v>0</v>
      </c>
      <c r="AQ29" s="18"/>
      <c r="AS29">
        <f t="shared" si="22"/>
        <v>0</v>
      </c>
      <c r="AT29">
        <f t="shared" si="23"/>
        <v>0</v>
      </c>
      <c r="AU29">
        <f t="shared" si="24"/>
        <v>1</v>
      </c>
      <c r="AV29">
        <f t="shared" si="25"/>
        <v>1</v>
      </c>
      <c r="AW29" s="18">
        <f t="shared" si="26"/>
        <v>1.7429198311938198E-3</v>
      </c>
      <c r="AX29" s="18">
        <f t="shared" si="27"/>
        <v>-1.6345596167055972E-3</v>
      </c>
      <c r="AY29" s="18">
        <f t="shared" si="28"/>
        <v>1.0836021448822259E-4</v>
      </c>
      <c r="AZ29" s="19">
        <f t="shared" si="29"/>
        <v>3.0547751663800434E-3</v>
      </c>
      <c r="BB29" s="19">
        <f t="shared" si="30"/>
        <v>1.0836021448822259E-4</v>
      </c>
      <c r="BC29" s="19">
        <f t="shared" si="31"/>
        <v>3.0547751663800434E-3</v>
      </c>
    </row>
    <row r="30" spans="1:55" x14ac:dyDescent="0.3">
      <c r="A30" s="1">
        <v>46065</v>
      </c>
      <c r="B30" s="10">
        <v>23.04</v>
      </c>
      <c r="C30" s="10">
        <v>42.88</v>
      </c>
      <c r="D30" s="11">
        <v>1.8611111111111101</v>
      </c>
      <c r="E30" s="11">
        <v>1.8778822651217899</v>
      </c>
      <c r="F30" s="11">
        <v>1.86458540845052</v>
      </c>
      <c r="G30" s="11">
        <v>1.8631437111192699</v>
      </c>
      <c r="H30" s="10">
        <v>43.266407388406101</v>
      </c>
      <c r="I30" s="10">
        <v>42.965364905088897</v>
      </c>
      <c r="J30" s="10">
        <v>42.924831104188101</v>
      </c>
      <c r="K30" s="12">
        <v>-8.9710062575752599E-3</v>
      </c>
      <c r="L30" s="12">
        <v>-1.98880704440298E-3</v>
      </c>
      <c r="M30" s="12">
        <v>-1.04495534087373E-3</v>
      </c>
      <c r="N30" s="26">
        <v>0.04</v>
      </c>
      <c r="O30" s="13">
        <v>0</v>
      </c>
      <c r="P30" s="23">
        <f t="shared" si="12"/>
        <v>23.08</v>
      </c>
      <c r="Q30" s="23">
        <f t="shared" si="13"/>
        <v>42.88</v>
      </c>
      <c r="R30" s="14">
        <f t="shared" si="2"/>
        <v>1.8578856152513001</v>
      </c>
      <c r="S30" s="14">
        <f t="shared" si="3"/>
        <v>1.8657810486417497</v>
      </c>
      <c r="T30" s="14">
        <f t="shared" si="7"/>
        <v>1.8616438558993558</v>
      </c>
      <c r="U30" s="14">
        <f t="shared" si="10"/>
        <v>1.8616729348436944</v>
      </c>
      <c r="V30" s="16">
        <f t="shared" si="4"/>
        <v>43.062226602651577</v>
      </c>
      <c r="W30" s="16">
        <f t="shared" si="9"/>
        <v>42.979510964057091</v>
      </c>
      <c r="X30" s="16">
        <f t="shared" si="14"/>
        <v>42.969130086192465</v>
      </c>
      <c r="Y30" s="17">
        <f t="shared" si="5"/>
        <v>-4.2406831412858731E-3</v>
      </c>
      <c r="Z30" s="17">
        <f t="shared" si="8"/>
        <v>-2.3179961659846432E-3</v>
      </c>
      <c r="AA30" s="17">
        <f t="shared" si="8"/>
        <v>-2.0764361415733582E-3</v>
      </c>
      <c r="AC30" s="18">
        <f t="shared" si="6"/>
        <v>3.0428191266836588E-3</v>
      </c>
      <c r="AD30" s="18">
        <f t="shared" si="6"/>
        <v>4.6652671711558868E-4</v>
      </c>
      <c r="AE30" s="18"/>
      <c r="AF30" s="18"/>
      <c r="AH30">
        <f t="shared" si="15"/>
        <v>1</v>
      </c>
      <c r="AI30">
        <f t="shared" si="16"/>
        <v>0</v>
      </c>
      <c r="AJ30">
        <f t="shared" si="17"/>
        <v>0</v>
      </c>
      <c r="AK30">
        <f t="shared" si="11"/>
        <v>0</v>
      </c>
      <c r="AL30" s="18">
        <f t="shared" si="18"/>
        <v>0</v>
      </c>
      <c r="AM30" s="18">
        <f t="shared" si="19"/>
        <v>0</v>
      </c>
      <c r="AN30" s="18">
        <f t="shared" si="20"/>
        <v>0</v>
      </c>
      <c r="AO30" s="19">
        <f t="shared" si="21"/>
        <v>0</v>
      </c>
      <c r="AQ30" s="18"/>
      <c r="AS30">
        <f t="shared" si="22"/>
        <v>0</v>
      </c>
      <c r="AT30">
        <f t="shared" si="23"/>
        <v>1</v>
      </c>
      <c r="AU30">
        <f t="shared" si="24"/>
        <v>1</v>
      </c>
      <c r="AV30">
        <f t="shared" si="25"/>
        <v>1</v>
      </c>
      <c r="AW30" s="18">
        <f t="shared" si="26"/>
        <v>3.0428191266836588E-3</v>
      </c>
      <c r="AX30" s="18">
        <f t="shared" si="27"/>
        <v>-4.6652671711558868E-4</v>
      </c>
      <c r="AY30" s="18">
        <f t="shared" si="28"/>
        <v>2.57629240956807E-3</v>
      </c>
      <c r="AZ30" s="19">
        <f t="shared" si="29"/>
        <v>5.6310675759481139E-3</v>
      </c>
      <c r="BB30" s="19">
        <f t="shared" si="30"/>
        <v>2.57629240956807E-3</v>
      </c>
      <c r="BC30" s="19">
        <f t="shared" si="31"/>
        <v>5.6310675759481139E-3</v>
      </c>
    </row>
    <row r="31" spans="1:55" x14ac:dyDescent="0.3">
      <c r="A31" s="1">
        <v>46066</v>
      </c>
      <c r="B31" s="10">
        <v>23.08</v>
      </c>
      <c r="C31" s="10">
        <v>42.94</v>
      </c>
      <c r="D31" s="11">
        <v>1.86048526863084</v>
      </c>
      <c r="E31" s="11">
        <v>1.8778822651217899</v>
      </c>
      <c r="F31" s="11">
        <v>1.8649509230544099</v>
      </c>
      <c r="G31" s="11">
        <v>1.86315722186264</v>
      </c>
      <c r="H31" s="10">
        <v>43.341522679011</v>
      </c>
      <c r="I31" s="10">
        <v>43.034631227037998</v>
      </c>
      <c r="J31" s="10">
        <v>43.001356852632902</v>
      </c>
      <c r="K31" s="12">
        <v>-9.3073363816952703E-3</v>
      </c>
      <c r="L31" s="12">
        <v>-2.2013764735760301E-3</v>
      </c>
      <c r="M31" s="12">
        <v>-1.42787745748215E-3</v>
      </c>
      <c r="N31" s="26">
        <v>0.04</v>
      </c>
      <c r="O31" s="13">
        <v>0</v>
      </c>
      <c r="P31" s="23">
        <f t="shared" si="12"/>
        <v>23.119999999999997</v>
      </c>
      <c r="Q31" s="23">
        <f t="shared" si="13"/>
        <v>42.94</v>
      </c>
      <c r="R31" s="14">
        <f t="shared" si="2"/>
        <v>1.8572664359861593</v>
      </c>
      <c r="S31" s="14">
        <f t="shared" si="3"/>
        <v>1.8657810486417497</v>
      </c>
      <c r="T31" s="14">
        <f t="shared" si="7"/>
        <v>1.8616874872387776</v>
      </c>
      <c r="U31" s="14">
        <f t="shared" si="10"/>
        <v>1.8615255039548306</v>
      </c>
      <c r="V31" s="16">
        <f t="shared" si="4"/>
        <v>43.136857844597245</v>
      </c>
      <c r="W31" s="16">
        <f t="shared" si="9"/>
        <v>43.041205948393099</v>
      </c>
      <c r="X31" s="16">
        <f t="shared" si="14"/>
        <v>43.041878253586212</v>
      </c>
      <c r="Y31" s="17">
        <f t="shared" si="5"/>
        <v>-4.5740096174754384E-3</v>
      </c>
      <c r="Z31" s="17">
        <f t="shared" si="8"/>
        <v>-2.354142257413819E-3</v>
      </c>
      <c r="AA31" s="17">
        <f t="shared" si="8"/>
        <v>-2.3697621715783649E-3</v>
      </c>
      <c r="AC31" s="18">
        <f t="shared" si="6"/>
        <v>1.7346058122083715E-3</v>
      </c>
      <c r="AD31" s="18">
        <f t="shared" si="6"/>
        <v>1.3982756880883357E-3</v>
      </c>
      <c r="AE31" s="18"/>
      <c r="AF31" s="18"/>
      <c r="AH31">
        <f t="shared" si="15"/>
        <v>1</v>
      </c>
      <c r="AI31">
        <f t="shared" si="16"/>
        <v>0</v>
      </c>
      <c r="AJ31">
        <f t="shared" si="17"/>
        <v>1</v>
      </c>
      <c r="AK31">
        <f t="shared" si="11"/>
        <v>1</v>
      </c>
      <c r="AL31" s="18">
        <f t="shared" si="18"/>
        <v>-1.7346058122083715E-3</v>
      </c>
      <c r="AM31" s="18">
        <f t="shared" si="19"/>
        <v>1.3982756880883357E-3</v>
      </c>
      <c r="AN31" s="18">
        <f t="shared" si="20"/>
        <v>-3.3633012412003578E-4</v>
      </c>
      <c r="AO31" s="19">
        <f t="shared" si="21"/>
        <v>-3.3633012412003578E-4</v>
      </c>
      <c r="AQ31" s="18"/>
      <c r="AS31">
        <f t="shared" si="22"/>
        <v>0</v>
      </c>
      <c r="AT31">
        <f t="shared" si="23"/>
        <v>1</v>
      </c>
      <c r="AU31">
        <f t="shared" si="24"/>
        <v>1</v>
      </c>
      <c r="AV31">
        <f t="shared" si="25"/>
        <v>0</v>
      </c>
      <c r="AW31" s="18">
        <f t="shared" si="26"/>
        <v>0</v>
      </c>
      <c r="AX31" s="18">
        <f t="shared" si="27"/>
        <v>0</v>
      </c>
      <c r="AY31" s="18">
        <f t="shared" si="28"/>
        <v>0</v>
      </c>
      <c r="AZ31" s="19">
        <f t="shared" si="29"/>
        <v>5.6310675759481139E-3</v>
      </c>
      <c r="BB31" s="19">
        <f t="shared" si="30"/>
        <v>-3.3633012412003578E-4</v>
      </c>
      <c r="BC31" s="19">
        <f t="shared" si="31"/>
        <v>5.2947374518280783E-3</v>
      </c>
    </row>
    <row r="32" spans="1:55" x14ac:dyDescent="0.3">
      <c r="A32" s="1">
        <v>46070</v>
      </c>
      <c r="B32" s="10">
        <v>23.07</v>
      </c>
      <c r="C32" s="10">
        <v>42.97</v>
      </c>
      <c r="D32" s="11">
        <v>1.8625921109666199</v>
      </c>
      <c r="E32" s="11">
        <v>1.8778822651217899</v>
      </c>
      <c r="F32" s="11">
        <v>1.8651369741687001</v>
      </c>
      <c r="G32" s="11">
        <v>1.86338172445663</v>
      </c>
      <c r="H32" s="10">
        <v>43.3227438563598</v>
      </c>
      <c r="I32" s="10">
        <v>43.0244177948653</v>
      </c>
      <c r="J32" s="10">
        <v>42.983037108371299</v>
      </c>
      <c r="K32" s="12">
        <v>-8.1755615911900496E-3</v>
      </c>
      <c r="L32" s="12">
        <v>-1.26561243216745E-3</v>
      </c>
      <c r="M32" s="12">
        <v>-3.03354224815868E-4</v>
      </c>
      <c r="N32" s="26">
        <v>0.04</v>
      </c>
      <c r="O32" s="13">
        <v>0</v>
      </c>
      <c r="P32" s="23">
        <f t="shared" si="12"/>
        <v>23.11</v>
      </c>
      <c r="Q32" s="23">
        <f t="shared" si="13"/>
        <v>42.97</v>
      </c>
      <c r="R32" s="14">
        <f t="shared" si="2"/>
        <v>1.8593682388576374</v>
      </c>
      <c r="S32" s="14">
        <f t="shared" si="3"/>
        <v>1.8657810486417497</v>
      </c>
      <c r="T32" s="14">
        <f t="shared" si="7"/>
        <v>1.8618786006098031</v>
      </c>
      <c r="U32" s="14">
        <f t="shared" si="10"/>
        <v>1.8615888129433702</v>
      </c>
      <c r="V32" s="16">
        <f t="shared" si="4"/>
        <v>43.118200034110835</v>
      </c>
      <c r="W32" s="16">
        <f t="shared" si="9"/>
        <v>43.02359783008815</v>
      </c>
      <c r="X32" s="16">
        <f t="shared" si="14"/>
        <v>43.019854396396134</v>
      </c>
      <c r="Y32" s="17">
        <f t="shared" si="5"/>
        <v>-3.4429847633194086E-3</v>
      </c>
      <c r="Z32" s="17">
        <f t="shared" si="8"/>
        <v>-1.246554124517829E-3</v>
      </c>
      <c r="AA32" s="17">
        <f t="shared" si="8"/>
        <v>-1.1595414908423657E-3</v>
      </c>
      <c r="AC32" s="18">
        <f t="shared" si="6"/>
        <v>-4.3336945423639965E-4</v>
      </c>
      <c r="AD32" s="18">
        <f t="shared" si="6"/>
        <v>6.9840533626887053E-4</v>
      </c>
      <c r="AE32" s="18"/>
      <c r="AF32" s="18"/>
      <c r="AH32">
        <f t="shared" si="15"/>
        <v>1</v>
      </c>
      <c r="AI32">
        <f t="shared" si="16"/>
        <v>0</v>
      </c>
      <c r="AJ32">
        <f t="shared" si="17"/>
        <v>1</v>
      </c>
      <c r="AK32">
        <f t="shared" si="11"/>
        <v>1</v>
      </c>
      <c r="AL32" s="18">
        <f t="shared" si="18"/>
        <v>4.3336945423639965E-4</v>
      </c>
      <c r="AM32" s="18">
        <f t="shared" si="19"/>
        <v>6.9840533626887053E-4</v>
      </c>
      <c r="AN32" s="18">
        <f t="shared" si="20"/>
        <v>1.1317747905052701E-3</v>
      </c>
      <c r="AO32" s="19">
        <f t="shared" si="21"/>
        <v>7.9544466638523429E-4</v>
      </c>
      <c r="AQ32" s="18"/>
      <c r="AS32">
        <f t="shared" si="22"/>
        <v>0</v>
      </c>
      <c r="AT32">
        <f t="shared" si="23"/>
        <v>1</v>
      </c>
      <c r="AU32">
        <f t="shared" si="24"/>
        <v>0</v>
      </c>
      <c r="AV32">
        <f t="shared" si="25"/>
        <v>0</v>
      </c>
      <c r="AW32" s="18">
        <f t="shared" si="26"/>
        <v>0</v>
      </c>
      <c r="AX32" s="18">
        <f t="shared" si="27"/>
        <v>0</v>
      </c>
      <c r="AY32" s="18">
        <f t="shared" si="28"/>
        <v>0</v>
      </c>
      <c r="AZ32" s="19">
        <f t="shared" si="29"/>
        <v>5.6310675759481139E-3</v>
      </c>
      <c r="BB32" s="19">
        <f t="shared" si="30"/>
        <v>1.1317747905052701E-3</v>
      </c>
      <c r="BC32" s="19">
        <f t="shared" si="31"/>
        <v>6.4265122423333484E-3</v>
      </c>
    </row>
    <row r="33" spans="1:55" x14ac:dyDescent="0.3">
      <c r="A33" s="1">
        <v>46071</v>
      </c>
      <c r="B33" s="10">
        <v>22.93</v>
      </c>
      <c r="C33" s="10">
        <v>42.67</v>
      </c>
      <c r="D33" s="11">
        <v>1.86088094199738</v>
      </c>
      <c r="E33" s="11">
        <v>1.8778822651217899</v>
      </c>
      <c r="F33" s="11">
        <v>1.8645290331261499</v>
      </c>
      <c r="G33" s="11">
        <v>1.8631879748704301</v>
      </c>
      <c r="H33" s="10">
        <v>43.059840339242697</v>
      </c>
      <c r="I33" s="10">
        <v>42.767590817688401</v>
      </c>
      <c r="J33" s="10">
        <v>42.727342941790702</v>
      </c>
      <c r="K33" s="12">
        <v>-9.0946868623358705E-3</v>
      </c>
      <c r="L33" s="12">
        <v>-2.2844946632413999E-3</v>
      </c>
      <c r="M33" s="12">
        <v>-1.34296802298076E-3</v>
      </c>
      <c r="N33" s="26">
        <v>0.04</v>
      </c>
      <c r="O33" s="13">
        <v>0</v>
      </c>
      <c r="P33" s="23">
        <f t="shared" si="12"/>
        <v>22.97</v>
      </c>
      <c r="Q33" s="23">
        <f t="shared" si="13"/>
        <v>42.67</v>
      </c>
      <c r="R33" s="14">
        <f t="shared" si="2"/>
        <v>1.8576404005224207</v>
      </c>
      <c r="S33" s="14">
        <f t="shared" si="3"/>
        <v>1.8657810486417497</v>
      </c>
      <c r="T33" s="14">
        <f t="shared" si="7"/>
        <v>1.8612750065371551</v>
      </c>
      <c r="U33" s="14">
        <f t="shared" si="10"/>
        <v>1.8612330362834189</v>
      </c>
      <c r="V33" s="16">
        <f t="shared" si="4"/>
        <v>42.856990687300986</v>
      </c>
      <c r="W33" s="16">
        <f t="shared" si="9"/>
        <v>42.767351456007177</v>
      </c>
      <c r="X33" s="16">
        <f t="shared" si="14"/>
        <v>42.760695033309212</v>
      </c>
      <c r="Y33" s="17">
        <f t="shared" si="5"/>
        <v>-4.3726777650319642E-3</v>
      </c>
      <c r="Z33" s="17">
        <f t="shared" si="8"/>
        <v>-2.2788978469021502E-3</v>
      </c>
      <c r="AA33" s="17">
        <f t="shared" si="8"/>
        <v>-2.1232431117683419E-3</v>
      </c>
      <c r="AC33" s="18">
        <f t="shared" si="6"/>
        <v>-6.0869753158491963E-3</v>
      </c>
      <c r="AD33" s="18">
        <f t="shared" si="6"/>
        <v>-7.0061005869950623E-3</v>
      </c>
      <c r="AE33" s="18"/>
      <c r="AF33" s="18"/>
      <c r="AH33">
        <f t="shared" si="15"/>
        <v>1</v>
      </c>
      <c r="AI33">
        <f t="shared" si="16"/>
        <v>0</v>
      </c>
      <c r="AJ33">
        <f t="shared" si="17"/>
        <v>1</v>
      </c>
      <c r="AK33">
        <f t="shared" si="11"/>
        <v>1</v>
      </c>
      <c r="AL33" s="18">
        <f t="shared" si="18"/>
        <v>6.0869753158491963E-3</v>
      </c>
      <c r="AM33" s="18">
        <f t="shared" si="19"/>
        <v>-7.0061005869950623E-3</v>
      </c>
      <c r="AN33" s="18">
        <f t="shared" si="20"/>
        <v>-9.1912527114586598E-4</v>
      </c>
      <c r="AO33" s="19">
        <f t="shared" si="21"/>
        <v>-1.2368060476063169E-4</v>
      </c>
      <c r="AQ33" s="18"/>
      <c r="AS33">
        <f t="shared" si="22"/>
        <v>0</v>
      </c>
      <c r="AT33">
        <f t="shared" si="23"/>
        <v>1</v>
      </c>
      <c r="AU33">
        <f t="shared" si="24"/>
        <v>0</v>
      </c>
      <c r="AV33">
        <f t="shared" si="25"/>
        <v>0</v>
      </c>
      <c r="AW33" s="18">
        <f t="shared" si="26"/>
        <v>0</v>
      </c>
      <c r="AX33" s="18">
        <f t="shared" si="27"/>
        <v>0</v>
      </c>
      <c r="AY33" s="18">
        <f t="shared" si="28"/>
        <v>0</v>
      </c>
      <c r="AZ33" s="19">
        <f t="shared" si="29"/>
        <v>5.6310675759481139E-3</v>
      </c>
      <c r="BB33" s="19">
        <f t="shared" si="30"/>
        <v>-9.1912527114586598E-4</v>
      </c>
      <c r="BC33" s="19">
        <f t="shared" si="31"/>
        <v>5.5073869711874824E-3</v>
      </c>
    </row>
    <row r="34" spans="1:55" x14ac:dyDescent="0.3">
      <c r="A34" s="1">
        <v>46072</v>
      </c>
      <c r="B34" s="10">
        <v>22.92</v>
      </c>
      <c r="C34" s="10">
        <v>42.67</v>
      </c>
      <c r="D34" s="11">
        <v>1.8616928446771299</v>
      </c>
      <c r="E34" s="11">
        <v>1.8778822651217899</v>
      </c>
      <c r="F34" s="11">
        <v>1.8639933705973999</v>
      </c>
      <c r="G34" s="11">
        <v>1.8630154486455099</v>
      </c>
      <c r="H34" s="10">
        <v>43.041061516591498</v>
      </c>
      <c r="I34" s="10">
        <v>42.735005439251402</v>
      </c>
      <c r="J34" s="10">
        <v>42.7042683840303</v>
      </c>
      <c r="K34" s="12">
        <v>-8.6584818390617307E-3</v>
      </c>
      <c r="L34" s="12">
        <v>-1.52228669667528E-3</v>
      </c>
      <c r="M34" s="12">
        <v>-8.0278019406474302E-4</v>
      </c>
      <c r="N34" s="26">
        <v>0.04</v>
      </c>
      <c r="O34" s="13">
        <v>0</v>
      </c>
      <c r="P34" s="23">
        <f t="shared" si="12"/>
        <v>22.96</v>
      </c>
      <c r="Q34" s="23">
        <f t="shared" si="13"/>
        <v>42.67</v>
      </c>
      <c r="R34" s="14">
        <f t="shared" si="2"/>
        <v>1.8584494773519165</v>
      </c>
      <c r="S34" s="14">
        <f t="shared" si="3"/>
        <v>1.8657810486417497</v>
      </c>
      <c r="T34" s="14">
        <f t="shared" si="7"/>
        <v>1.8607442928966855</v>
      </c>
      <c r="U34" s="14">
        <f t="shared" si="10"/>
        <v>1.8608983416922331</v>
      </c>
      <c r="V34" s="16">
        <f t="shared" si="4"/>
        <v>42.838332876814576</v>
      </c>
      <c r="W34" s="16">
        <f t="shared" si="9"/>
        <v>42.734874150093084</v>
      </c>
      <c r="X34" s="16">
        <f t="shared" si="14"/>
        <v>42.7339105130673</v>
      </c>
      <c r="Y34" s="17">
        <f t="shared" si="5"/>
        <v>-3.9372325153908885E-3</v>
      </c>
      <c r="Z34" s="17">
        <f t="shared" si="8"/>
        <v>-1.519214522969786E-3</v>
      </c>
      <c r="AA34" s="17">
        <f t="shared" si="8"/>
        <v>-1.4966650733754866E-3</v>
      </c>
      <c r="AC34" s="18">
        <f t="shared" si="6"/>
        <v>-4.3620502327420429E-4</v>
      </c>
      <c r="AD34" s="18">
        <f t="shared" si="6"/>
        <v>0</v>
      </c>
      <c r="AE34" s="18"/>
      <c r="AF34" s="18"/>
      <c r="AH34">
        <f t="shared" si="15"/>
        <v>1</v>
      </c>
      <c r="AI34">
        <f t="shared" si="16"/>
        <v>0</v>
      </c>
      <c r="AJ34">
        <f t="shared" si="17"/>
        <v>1</v>
      </c>
      <c r="AK34">
        <f t="shared" si="11"/>
        <v>1</v>
      </c>
      <c r="AL34" s="18">
        <f t="shared" si="18"/>
        <v>4.3620502327420429E-4</v>
      </c>
      <c r="AM34" s="18">
        <f t="shared" si="19"/>
        <v>0</v>
      </c>
      <c r="AN34" s="18">
        <f t="shared" si="20"/>
        <v>4.3620502327420429E-4</v>
      </c>
      <c r="AO34" s="19">
        <f t="shared" si="21"/>
        <v>3.125244185135726E-4</v>
      </c>
      <c r="AQ34" s="18"/>
      <c r="AS34">
        <f t="shared" si="22"/>
        <v>0</v>
      </c>
      <c r="AT34">
        <f t="shared" si="23"/>
        <v>1</v>
      </c>
      <c r="AU34">
        <f t="shared" si="24"/>
        <v>0</v>
      </c>
      <c r="AV34">
        <f t="shared" si="25"/>
        <v>0</v>
      </c>
      <c r="AW34" s="18">
        <f t="shared" si="26"/>
        <v>0</v>
      </c>
      <c r="AX34" s="18">
        <f t="shared" si="27"/>
        <v>0</v>
      </c>
      <c r="AY34" s="18">
        <f t="shared" si="28"/>
        <v>0</v>
      </c>
      <c r="AZ34" s="19">
        <f t="shared" si="29"/>
        <v>5.6310675759481139E-3</v>
      </c>
      <c r="BB34" s="19">
        <f t="shared" si="30"/>
        <v>4.3620502327420429E-4</v>
      </c>
      <c r="BC34" s="19">
        <f t="shared" si="31"/>
        <v>5.9435919944616864E-3</v>
      </c>
    </row>
    <row r="35" spans="1:55" x14ac:dyDescent="0.3">
      <c r="A35" s="1">
        <v>46073</v>
      </c>
      <c r="B35" s="10">
        <v>22.93</v>
      </c>
      <c r="C35" s="10">
        <v>42.77</v>
      </c>
      <c r="D35" s="11">
        <v>1.86524204099433</v>
      </c>
      <c r="E35" s="11">
        <v>1.8778822651217899</v>
      </c>
      <c r="F35" s="11">
        <v>1.8642101542021301</v>
      </c>
      <c r="G35" s="11">
        <v>1.86308966111374</v>
      </c>
      <c r="H35" s="10">
        <v>43.059840339242697</v>
      </c>
      <c r="I35" s="10">
        <v>42.741367987798299</v>
      </c>
      <c r="J35" s="10">
        <v>42.718944237441498</v>
      </c>
      <c r="K35" s="12">
        <v>-6.7538618234271198E-3</v>
      </c>
      <c r="L35" s="12">
        <v>6.6966565838834998E-4</v>
      </c>
      <c r="M35" s="12">
        <v>1.19444143529755E-3</v>
      </c>
      <c r="N35" s="26">
        <v>0.04</v>
      </c>
      <c r="O35" s="13">
        <v>0</v>
      </c>
      <c r="P35" s="23">
        <f t="shared" si="12"/>
        <v>22.97</v>
      </c>
      <c r="Q35" s="23">
        <f t="shared" si="13"/>
        <v>42.77</v>
      </c>
      <c r="R35" s="14">
        <f t="shared" si="2"/>
        <v>1.8619939050936005</v>
      </c>
      <c r="S35" s="14">
        <f t="shared" si="3"/>
        <v>1.8657810486417497</v>
      </c>
      <c r="T35" s="14">
        <f t="shared" si="7"/>
        <v>1.8609648474272096</v>
      </c>
      <c r="U35" s="14">
        <f t="shared" si="10"/>
        <v>1.860810147365435</v>
      </c>
      <c r="V35" s="16">
        <f t="shared" si="4"/>
        <v>42.856990687300986</v>
      </c>
      <c r="W35" s="16">
        <f t="shared" si="9"/>
        <v>42.741296407836863</v>
      </c>
      <c r="X35" s="16">
        <f t="shared" si="14"/>
        <v>42.74483490867059</v>
      </c>
      <c r="Y35" s="17">
        <f t="shared" si="5"/>
        <v>-2.031852726123213E-3</v>
      </c>
      <c r="Z35" s="17">
        <f t="shared" si="8"/>
        <v>6.7134038301322192E-4</v>
      </c>
      <c r="AA35" s="17">
        <f t="shared" si="8"/>
        <v>5.8855500528571798E-4</v>
      </c>
      <c r="AC35" s="18">
        <f t="shared" si="6"/>
        <v>4.3620502327419778E-4</v>
      </c>
      <c r="AD35" s="18">
        <f t="shared" si="6"/>
        <v>2.3408250389086072E-3</v>
      </c>
      <c r="AE35" s="18"/>
      <c r="AF35" s="18"/>
      <c r="AH35">
        <f t="shared" si="15"/>
        <v>0</v>
      </c>
      <c r="AI35">
        <f t="shared" si="16"/>
        <v>1</v>
      </c>
      <c r="AJ35">
        <f t="shared" si="17"/>
        <v>1</v>
      </c>
      <c r="AK35">
        <f t="shared" si="11"/>
        <v>1</v>
      </c>
      <c r="AL35" s="18">
        <f t="shared" si="18"/>
        <v>-4.3620502327419778E-4</v>
      </c>
      <c r="AM35" s="18">
        <f t="shared" si="19"/>
        <v>2.3408250389086072E-3</v>
      </c>
      <c r="AN35" s="18">
        <f t="shared" si="20"/>
        <v>1.9046200156344094E-3</v>
      </c>
      <c r="AO35" s="19">
        <f t="shared" si="21"/>
        <v>2.2171444341479822E-3</v>
      </c>
      <c r="AQ35" s="18"/>
      <c r="AS35">
        <f t="shared" si="22"/>
        <v>0</v>
      </c>
      <c r="AT35">
        <f t="shared" si="23"/>
        <v>0</v>
      </c>
      <c r="AU35">
        <f t="shared" si="24"/>
        <v>0</v>
      </c>
      <c r="AV35">
        <f t="shared" si="25"/>
        <v>0</v>
      </c>
      <c r="AW35" s="18">
        <f t="shared" si="26"/>
        <v>0</v>
      </c>
      <c r="AX35" s="18">
        <f t="shared" si="27"/>
        <v>0</v>
      </c>
      <c r="AY35" s="18">
        <f t="shared" si="28"/>
        <v>0</v>
      </c>
      <c r="AZ35" s="19">
        <f t="shared" si="29"/>
        <v>5.6310675759481139E-3</v>
      </c>
      <c r="BB35" s="19">
        <f t="shared" si="30"/>
        <v>1.9046200156344094E-3</v>
      </c>
      <c r="BC35" s="19">
        <f t="shared" si="31"/>
        <v>7.8482120100960961E-3</v>
      </c>
    </row>
    <row r="36" spans="1:55" x14ac:dyDescent="0.3">
      <c r="A36" s="1">
        <v>46076</v>
      </c>
      <c r="B36" s="10">
        <v>23.05</v>
      </c>
      <c r="C36" s="10">
        <v>42.82</v>
      </c>
      <c r="D36" s="11">
        <v>1.85770065075921</v>
      </c>
      <c r="E36" s="11">
        <v>1.8778822651217899</v>
      </c>
      <c r="F36" s="11">
        <v>1.86320773250556</v>
      </c>
      <c r="G36" s="11">
        <v>1.86290932262697</v>
      </c>
      <c r="H36" s="10">
        <v>43.285186211057301</v>
      </c>
      <c r="I36" s="10">
        <v>42.9700440543591</v>
      </c>
      <c r="J36" s="10">
        <v>42.944216688671901</v>
      </c>
      <c r="K36" s="12">
        <v>-1.0805173473552299E-2</v>
      </c>
      <c r="L36" s="12">
        <v>-3.4979398601031201E-3</v>
      </c>
      <c r="M36" s="12">
        <v>-2.8967040177194201E-3</v>
      </c>
      <c r="N36" s="26">
        <v>0.04</v>
      </c>
      <c r="O36" s="13">
        <v>0</v>
      </c>
      <c r="P36" s="23">
        <f t="shared" si="12"/>
        <v>23.09</v>
      </c>
      <c r="Q36" s="23">
        <f t="shared" si="13"/>
        <v>42.82</v>
      </c>
      <c r="R36" s="14">
        <f t="shared" si="2"/>
        <v>1.8544824599393677</v>
      </c>
      <c r="S36" s="14">
        <f t="shared" si="3"/>
        <v>1.8657810486417497</v>
      </c>
      <c r="T36" s="14">
        <f t="shared" si="7"/>
        <v>1.8599694314493154</v>
      </c>
      <c r="U36" s="14">
        <f t="shared" si="10"/>
        <v>1.8604688993376683</v>
      </c>
      <c r="V36" s="16">
        <f t="shared" si="4"/>
        <v>43.080884413138001</v>
      </c>
      <c r="W36" s="16">
        <f t="shared" si="9"/>
        <v>42.969678327094272</v>
      </c>
      <c r="X36" s="16">
        <f t="shared" si="14"/>
        <v>42.966106302667896</v>
      </c>
      <c r="Y36" s="17">
        <f t="shared" si="5"/>
        <v>-6.0740984688010605E-3</v>
      </c>
      <c r="Z36" s="17">
        <f t="shared" si="8"/>
        <v>-3.489428609314981E-3</v>
      </c>
      <c r="AA36" s="17">
        <f t="shared" si="8"/>
        <v>-3.4062961996018351E-3</v>
      </c>
      <c r="AC36" s="18">
        <f t="shared" si="6"/>
        <v>5.2196725728444809E-3</v>
      </c>
      <c r="AD36" s="18">
        <f t="shared" si="6"/>
        <v>1.1683609227194078E-3</v>
      </c>
      <c r="AE36" s="18"/>
      <c r="AF36" s="18"/>
      <c r="AH36">
        <f t="shared" si="15"/>
        <v>1</v>
      </c>
      <c r="AI36">
        <f t="shared" si="16"/>
        <v>0</v>
      </c>
      <c r="AJ36">
        <f t="shared" si="17"/>
        <v>0</v>
      </c>
      <c r="AK36">
        <f t="shared" si="11"/>
        <v>0</v>
      </c>
      <c r="AL36" s="18">
        <f t="shared" si="18"/>
        <v>0</v>
      </c>
      <c r="AM36" s="18">
        <f t="shared" si="19"/>
        <v>0</v>
      </c>
      <c r="AN36" s="18">
        <f t="shared" si="20"/>
        <v>0</v>
      </c>
      <c r="AO36" s="19">
        <f t="shared" si="21"/>
        <v>2.2171444341479822E-3</v>
      </c>
      <c r="AQ36" s="18"/>
      <c r="AS36">
        <f t="shared" si="22"/>
        <v>0</v>
      </c>
      <c r="AT36">
        <f t="shared" si="23"/>
        <v>1</v>
      </c>
      <c r="AU36">
        <f t="shared" si="24"/>
        <v>0</v>
      </c>
      <c r="AV36">
        <f t="shared" si="25"/>
        <v>0</v>
      </c>
      <c r="AW36" s="18">
        <f t="shared" si="26"/>
        <v>0</v>
      </c>
      <c r="AX36" s="18">
        <f t="shared" si="27"/>
        <v>0</v>
      </c>
      <c r="AY36" s="18">
        <f t="shared" si="28"/>
        <v>0</v>
      </c>
      <c r="AZ36" s="19">
        <f t="shared" si="29"/>
        <v>5.6310675759481139E-3</v>
      </c>
      <c r="BB36" s="19">
        <f t="shared" si="30"/>
        <v>0</v>
      </c>
      <c r="BC36" s="19">
        <f t="shared" si="31"/>
        <v>7.8482120100960961E-3</v>
      </c>
    </row>
    <row r="37" spans="1:55" x14ac:dyDescent="0.3">
      <c r="A37" s="1">
        <v>46077</v>
      </c>
      <c r="B37" s="10">
        <v>22.99</v>
      </c>
      <c r="C37" s="10">
        <v>42.74</v>
      </c>
      <c r="D37" s="11">
        <v>1.8590691605045599</v>
      </c>
      <c r="E37" s="11">
        <v>1.8778822651217899</v>
      </c>
      <c r="F37" s="11">
        <v>1.8620800449642601</v>
      </c>
      <c r="G37" s="11">
        <v>1.8628991682015199</v>
      </c>
      <c r="H37" s="10">
        <v>43.172513275150003</v>
      </c>
      <c r="I37" s="10">
        <v>42.835145770303001</v>
      </c>
      <c r="J37" s="10">
        <v>42.828285327194102</v>
      </c>
      <c r="K37" s="12">
        <v>-1.00687760765199E-2</v>
      </c>
      <c r="L37" s="12">
        <v>-2.2236785845363501E-3</v>
      </c>
      <c r="M37" s="12">
        <v>-2.0635065476320401E-3</v>
      </c>
      <c r="N37" s="26">
        <v>0.04</v>
      </c>
      <c r="O37" s="13">
        <v>0</v>
      </c>
      <c r="P37" s="23">
        <f t="shared" si="12"/>
        <v>23.029999999999998</v>
      </c>
      <c r="Q37" s="23">
        <f t="shared" si="13"/>
        <v>42.74</v>
      </c>
      <c r="R37" s="14">
        <f t="shared" si="2"/>
        <v>1.8558402084237953</v>
      </c>
      <c r="S37" s="14">
        <f t="shared" si="3"/>
        <v>1.8657810486417497</v>
      </c>
      <c r="T37" s="14">
        <f t="shared" si="7"/>
        <v>1.8588459752475319</v>
      </c>
      <c r="U37" s="14">
        <f t="shared" si="10"/>
        <v>1.8602972973081786</v>
      </c>
      <c r="V37" s="16">
        <f t="shared" si="4"/>
        <v>42.968937550219493</v>
      </c>
      <c r="W37" s="16">
        <f t="shared" si="9"/>
        <v>42.83509600627773</v>
      </c>
      <c r="X37" s="16">
        <f t="shared" si="14"/>
        <v>42.846598751746498</v>
      </c>
      <c r="Y37" s="17">
        <f t="shared" si="5"/>
        <v>-5.3422222055259832E-3</v>
      </c>
      <c r="Z37" s="17">
        <f t="shared" si="8"/>
        <v>-2.2225168269816649E-3</v>
      </c>
      <c r="AA37" s="17">
        <f t="shared" si="8"/>
        <v>-2.4910163138407624E-3</v>
      </c>
      <c r="AC37" s="18">
        <f t="shared" si="6"/>
        <v>-2.6064306675674764E-3</v>
      </c>
      <c r="AD37" s="18">
        <f t="shared" si="6"/>
        <v>-1.8700332705351586E-3</v>
      </c>
      <c r="AE37" s="18"/>
      <c r="AF37" s="18"/>
      <c r="AH37">
        <f t="shared" si="15"/>
        <v>1</v>
      </c>
      <c r="AI37">
        <f t="shared" si="16"/>
        <v>0</v>
      </c>
      <c r="AJ37">
        <f t="shared" si="17"/>
        <v>1</v>
      </c>
      <c r="AK37">
        <f t="shared" si="11"/>
        <v>1</v>
      </c>
      <c r="AL37" s="18">
        <f t="shared" si="18"/>
        <v>2.6064306675674764E-3</v>
      </c>
      <c r="AM37" s="18">
        <f t="shared" si="19"/>
        <v>-1.8700332705351586E-3</v>
      </c>
      <c r="AN37" s="18">
        <f t="shared" si="20"/>
        <v>7.3639739703231779E-4</v>
      </c>
      <c r="AO37" s="19">
        <f t="shared" si="21"/>
        <v>2.9535418311803E-3</v>
      </c>
      <c r="AQ37" s="18"/>
      <c r="AS37">
        <f t="shared" si="22"/>
        <v>0</v>
      </c>
      <c r="AT37">
        <f t="shared" si="23"/>
        <v>1</v>
      </c>
      <c r="AU37">
        <f t="shared" si="24"/>
        <v>0</v>
      </c>
      <c r="AV37">
        <f t="shared" si="25"/>
        <v>0</v>
      </c>
      <c r="AW37" s="18">
        <f t="shared" si="26"/>
        <v>0</v>
      </c>
      <c r="AX37" s="18">
        <f t="shared" si="27"/>
        <v>0</v>
      </c>
      <c r="AY37" s="18">
        <f t="shared" si="28"/>
        <v>0</v>
      </c>
      <c r="AZ37" s="19">
        <f t="shared" si="29"/>
        <v>5.6310675759481139E-3</v>
      </c>
      <c r="BB37" s="19">
        <f t="shared" si="30"/>
        <v>7.3639739703231779E-4</v>
      </c>
      <c r="BC37" s="19">
        <f t="shared" si="31"/>
        <v>8.5846094071284143E-3</v>
      </c>
    </row>
    <row r="38" spans="1:55" x14ac:dyDescent="0.3">
      <c r="A38" s="1">
        <v>46078</v>
      </c>
      <c r="B38" s="10">
        <v>22.98</v>
      </c>
      <c r="C38" s="10">
        <v>42.81</v>
      </c>
      <c r="D38" s="11">
        <v>1.8629242819843299</v>
      </c>
      <c r="E38" s="11">
        <v>1.8778822651217899</v>
      </c>
      <c r="F38" s="11">
        <v>1.8617610470833199</v>
      </c>
      <c r="G38" s="11">
        <v>1.8629247225785099</v>
      </c>
      <c r="H38" s="10">
        <v>43.153734452498803</v>
      </c>
      <c r="I38" s="10">
        <v>42.7905994332787</v>
      </c>
      <c r="J38" s="10">
        <v>42.809422885270997</v>
      </c>
      <c r="K38" s="12">
        <v>-7.9972394561863506E-3</v>
      </c>
      <c r="L38" s="12">
        <v>4.5328110274719301E-4</v>
      </c>
      <c r="M38" s="12">
        <v>1.34809301335907E-5</v>
      </c>
      <c r="N38" s="26">
        <v>0.04</v>
      </c>
      <c r="O38" s="13">
        <v>0</v>
      </c>
      <c r="P38" s="23">
        <f t="shared" si="12"/>
        <v>23.02</v>
      </c>
      <c r="Q38" s="23">
        <f t="shared" si="13"/>
        <v>42.81</v>
      </c>
      <c r="R38" s="14">
        <f t="shared" si="2"/>
        <v>1.8596872284969592</v>
      </c>
      <c r="S38" s="14">
        <f t="shared" si="3"/>
        <v>1.8657810486417497</v>
      </c>
      <c r="T38" s="14">
        <f t="shared" si="7"/>
        <v>1.8585282374964442</v>
      </c>
      <c r="U38" s="14">
        <f t="shared" si="10"/>
        <v>1.8601609990108046</v>
      </c>
      <c r="V38" s="16">
        <f t="shared" si="4"/>
        <v>42.950279739733077</v>
      </c>
      <c r="W38" s="16">
        <f t="shared" si="9"/>
        <v>42.790634350198182</v>
      </c>
      <c r="X38" s="16">
        <f t="shared" si="14"/>
        <v>42.824043784034274</v>
      </c>
      <c r="Y38" s="17">
        <f t="shared" si="5"/>
        <v>-3.2714414008156219E-3</v>
      </c>
      <c r="Z38" s="17">
        <f t="shared" si="8"/>
        <v>4.5246510797999342E-4</v>
      </c>
      <c r="AA38" s="17">
        <f t="shared" si="8"/>
        <v>-3.2799535183913745E-4</v>
      </c>
      <c r="AC38" s="18">
        <f t="shared" si="6"/>
        <v>-4.3506635448050909E-4</v>
      </c>
      <c r="AD38" s="18">
        <f t="shared" si="6"/>
        <v>1.6364702658532063E-3</v>
      </c>
      <c r="AE38" s="18"/>
      <c r="AF38" s="18"/>
      <c r="AH38">
        <f t="shared" si="15"/>
        <v>0</v>
      </c>
      <c r="AI38">
        <f t="shared" si="16"/>
        <v>0</v>
      </c>
      <c r="AJ38">
        <f t="shared" si="17"/>
        <v>1</v>
      </c>
      <c r="AK38">
        <f t="shared" si="11"/>
        <v>1</v>
      </c>
      <c r="AL38" s="18">
        <f t="shared" si="18"/>
        <v>4.3506635448050909E-4</v>
      </c>
      <c r="AM38" s="18">
        <f t="shared" si="19"/>
        <v>1.6364702658532063E-3</v>
      </c>
      <c r="AN38" s="18">
        <f t="shared" si="20"/>
        <v>2.0715366203337155E-3</v>
      </c>
      <c r="AO38" s="19">
        <f t="shared" si="21"/>
        <v>5.0250784515140159E-3</v>
      </c>
      <c r="AQ38" s="18"/>
      <c r="AS38">
        <f t="shared" si="22"/>
        <v>0</v>
      </c>
      <c r="AT38">
        <f t="shared" si="23"/>
        <v>1</v>
      </c>
      <c r="AU38">
        <f t="shared" si="24"/>
        <v>0</v>
      </c>
      <c r="AV38">
        <f t="shared" si="25"/>
        <v>0</v>
      </c>
      <c r="AW38" s="18">
        <f t="shared" si="26"/>
        <v>0</v>
      </c>
      <c r="AX38" s="18">
        <f t="shared" si="27"/>
        <v>0</v>
      </c>
      <c r="AY38" s="18">
        <f t="shared" si="28"/>
        <v>0</v>
      </c>
      <c r="AZ38" s="19">
        <f t="shared" si="29"/>
        <v>5.6310675759481139E-3</v>
      </c>
      <c r="BB38" s="19">
        <f t="shared" si="30"/>
        <v>2.0715366203337155E-3</v>
      </c>
      <c r="BC38" s="19">
        <f t="shared" si="31"/>
        <v>1.065614602746213E-2</v>
      </c>
    </row>
    <row r="39" spans="1:55" x14ac:dyDescent="0.3">
      <c r="A39" s="1">
        <v>46079</v>
      </c>
      <c r="B39" s="10">
        <v>23.03</v>
      </c>
      <c r="C39" s="10">
        <v>42.86</v>
      </c>
      <c r="D39" s="11">
        <v>1.8610508033000399</v>
      </c>
      <c r="E39" s="11">
        <v>1.8778822651217899</v>
      </c>
      <c r="F39" s="11">
        <v>1.8612749214925599</v>
      </c>
      <c r="G39" s="11">
        <v>1.86304555330463</v>
      </c>
      <c r="H39" s="10">
        <v>43.247628565754901</v>
      </c>
      <c r="I39" s="10">
        <v>42.876356914328902</v>
      </c>
      <c r="J39" s="10">
        <v>42.903156360983203</v>
      </c>
      <c r="K39" s="12">
        <v>-9.0034109795944003E-3</v>
      </c>
      <c r="L39" s="12">
        <v>-3.81563087493862E-4</v>
      </c>
      <c r="M39" s="12">
        <v>-1.0064080301387199E-3</v>
      </c>
      <c r="N39" s="26">
        <v>0.04</v>
      </c>
      <c r="O39" s="13">
        <v>0</v>
      </c>
      <c r="P39" s="23">
        <f t="shared" si="12"/>
        <v>23.07</v>
      </c>
      <c r="Q39" s="23">
        <f t="shared" si="13"/>
        <v>42.86</v>
      </c>
      <c r="R39" s="14">
        <f t="shared" si="2"/>
        <v>1.857824013870828</v>
      </c>
      <c r="S39" s="14">
        <f t="shared" si="3"/>
        <v>1.8657810486417497</v>
      </c>
      <c r="T39" s="14">
        <f t="shared" si="7"/>
        <v>1.8580437983793985</v>
      </c>
      <c r="U39" s="14">
        <f t="shared" si="10"/>
        <v>1.8601204902654598</v>
      </c>
      <c r="V39" s="16">
        <f t="shared" si="4"/>
        <v>43.043568792165168</v>
      </c>
      <c r="W39" s="16">
        <f t="shared" si="9"/>
        <v>42.876246439042973</v>
      </c>
      <c r="X39" s="16">
        <f t="shared" si="14"/>
        <v>42.913914247179264</v>
      </c>
      <c r="Y39" s="17">
        <f t="shared" si="5"/>
        <v>-4.2738404041651685E-3</v>
      </c>
      <c r="Z39" s="17">
        <f t="shared" si="8"/>
        <v>-3.7898648266528257E-4</v>
      </c>
      <c r="AA39" s="17">
        <f t="shared" si="8"/>
        <v>-1.2571247273205966E-3</v>
      </c>
      <c r="AC39" s="18">
        <f t="shared" si="6"/>
        <v>2.1734414119842357E-3</v>
      </c>
      <c r="AD39" s="18">
        <f t="shared" si="6"/>
        <v>1.1672698885762443E-3</v>
      </c>
      <c r="AE39" s="18"/>
      <c r="AF39" s="18"/>
      <c r="AH39">
        <f t="shared" si="15"/>
        <v>1</v>
      </c>
      <c r="AI39">
        <f t="shared" si="16"/>
        <v>0</v>
      </c>
      <c r="AJ39">
        <f t="shared" si="17"/>
        <v>1</v>
      </c>
      <c r="AK39">
        <f t="shared" si="11"/>
        <v>1</v>
      </c>
      <c r="AL39" s="18">
        <f t="shared" si="18"/>
        <v>-2.1734414119842357E-3</v>
      </c>
      <c r="AM39" s="18">
        <f t="shared" si="19"/>
        <v>1.1672698885762443E-3</v>
      </c>
      <c r="AN39" s="18">
        <f t="shared" si="20"/>
        <v>-1.0061715234079914E-3</v>
      </c>
      <c r="AO39" s="19">
        <f t="shared" si="21"/>
        <v>4.0189069281060244E-3</v>
      </c>
      <c r="AQ39" s="18"/>
      <c r="AS39">
        <f t="shared" si="22"/>
        <v>0</v>
      </c>
      <c r="AT39">
        <f t="shared" si="23"/>
        <v>1</v>
      </c>
      <c r="AU39">
        <f t="shared" si="24"/>
        <v>0</v>
      </c>
      <c r="AV39">
        <f t="shared" si="25"/>
        <v>0</v>
      </c>
      <c r="AW39" s="18">
        <f t="shared" si="26"/>
        <v>0</v>
      </c>
      <c r="AX39" s="18">
        <f t="shared" si="27"/>
        <v>0</v>
      </c>
      <c r="AY39" s="18">
        <f t="shared" si="28"/>
        <v>0</v>
      </c>
      <c r="AZ39" s="19">
        <f t="shared" si="29"/>
        <v>5.6310675759481139E-3</v>
      </c>
      <c r="BB39" s="19">
        <f t="shared" si="30"/>
        <v>-1.0061715234079914E-3</v>
      </c>
      <c r="BC39" s="19">
        <f t="shared" si="31"/>
        <v>9.6499745040541391E-3</v>
      </c>
    </row>
    <row r="40" spans="1:55" x14ac:dyDescent="0.3">
      <c r="A40" s="1">
        <v>46080</v>
      </c>
      <c r="B40" s="10">
        <v>23.03</v>
      </c>
      <c r="C40" s="10">
        <v>42.99</v>
      </c>
      <c r="D40" s="11">
        <v>1.8666956144159701</v>
      </c>
      <c r="E40" s="11">
        <v>1.8778822651217899</v>
      </c>
      <c r="F40" s="11">
        <v>1.86183337182304</v>
      </c>
      <c r="G40" s="11">
        <v>1.8632093901367801</v>
      </c>
      <c r="H40" s="10">
        <v>43.247628565754901</v>
      </c>
      <c r="I40" s="10">
        <v>42.865161441973598</v>
      </c>
      <c r="J40" s="10">
        <v>42.905939092605699</v>
      </c>
      <c r="K40" s="12">
        <v>-5.97487051683512E-3</v>
      </c>
      <c r="L40" s="12">
        <v>2.9081220956644299E-3</v>
      </c>
      <c r="M40" s="12">
        <v>1.9572737691256801E-3</v>
      </c>
      <c r="N40" s="26">
        <v>0.04</v>
      </c>
      <c r="O40" s="13">
        <v>0</v>
      </c>
      <c r="P40" s="23">
        <f t="shared" si="12"/>
        <v>23.07</v>
      </c>
      <c r="Q40" s="23">
        <f t="shared" si="13"/>
        <v>42.99</v>
      </c>
      <c r="R40" s="14">
        <f t="shared" si="2"/>
        <v>1.8634590377113134</v>
      </c>
      <c r="S40" s="14">
        <f t="shared" si="3"/>
        <v>1.8657810486417497</v>
      </c>
      <c r="T40" s="14">
        <f t="shared" si="7"/>
        <v>1.8586011406253999</v>
      </c>
      <c r="U40" s="14">
        <f t="shared" si="10"/>
        <v>1.8601224982623781</v>
      </c>
      <c r="V40" s="16">
        <f t="shared" si="4"/>
        <v>43.043568792165168</v>
      </c>
      <c r="W40" s="16">
        <f t="shared" si="9"/>
        <v>42.865070428612725</v>
      </c>
      <c r="X40" s="16">
        <f t="shared" si="14"/>
        <v>42.91297971042416</v>
      </c>
      <c r="Y40" s="17">
        <f t="shared" si="5"/>
        <v>-1.2452999414059055E-3</v>
      </c>
      <c r="Z40" s="17">
        <f t="shared" si="8"/>
        <v>2.9102453457466554E-3</v>
      </c>
      <c r="AA40" s="17">
        <f t="shared" si="8"/>
        <v>1.7931929829200625E-3</v>
      </c>
      <c r="AC40" s="18">
        <f t="shared" si="6"/>
        <v>0</v>
      </c>
      <c r="AD40" s="18">
        <f t="shared" si="6"/>
        <v>3.028540462759213E-3</v>
      </c>
      <c r="AE40" s="18"/>
      <c r="AF40" s="18"/>
      <c r="AH40">
        <f t="shared" si="15"/>
        <v>0</v>
      </c>
      <c r="AI40">
        <f t="shared" si="16"/>
        <v>1</v>
      </c>
      <c r="AJ40">
        <f t="shared" si="17"/>
        <v>0</v>
      </c>
      <c r="AK40" s="22">
        <v>0</v>
      </c>
      <c r="AL40" s="18">
        <f t="shared" si="18"/>
        <v>0</v>
      </c>
      <c r="AM40" s="18">
        <f t="shared" si="19"/>
        <v>0</v>
      </c>
      <c r="AN40" s="18">
        <f t="shared" si="20"/>
        <v>0</v>
      </c>
      <c r="AO40" s="19">
        <f t="shared" si="21"/>
        <v>4.0189069281060244E-3</v>
      </c>
      <c r="AQ40" s="18"/>
      <c r="AS40">
        <f t="shared" si="22"/>
        <v>1</v>
      </c>
      <c r="AT40">
        <f t="shared" si="23"/>
        <v>0</v>
      </c>
      <c r="AU40">
        <f t="shared" si="24"/>
        <v>0</v>
      </c>
      <c r="AV40">
        <f t="shared" si="25"/>
        <v>0</v>
      </c>
      <c r="AW40" s="18">
        <f t="shared" si="26"/>
        <v>0</v>
      </c>
      <c r="AX40" s="18">
        <f t="shared" si="27"/>
        <v>0</v>
      </c>
      <c r="AY40" s="18">
        <f t="shared" si="28"/>
        <v>0</v>
      </c>
      <c r="AZ40" s="19">
        <f t="shared" si="29"/>
        <v>5.6310675759481139E-3</v>
      </c>
      <c r="BB40" s="19">
        <f t="shared" si="30"/>
        <v>0</v>
      </c>
      <c r="BC40" s="19">
        <f t="shared" si="31"/>
        <v>9.6499745040541391E-3</v>
      </c>
    </row>
    <row r="41" spans="1:55" x14ac:dyDescent="0.3">
      <c r="A41" s="1">
        <v>46083</v>
      </c>
      <c r="B41" s="10">
        <v>22.72</v>
      </c>
      <c r="C41" s="10">
        <v>42.49</v>
      </c>
      <c r="D41" s="11">
        <v>1.8701584507042199</v>
      </c>
      <c r="E41" s="11">
        <v>1.8778822651217899</v>
      </c>
      <c r="F41" s="11">
        <v>1.86280069003038</v>
      </c>
      <c r="G41" s="11">
        <v>1.8638758065423899</v>
      </c>
      <c r="H41" s="10">
        <v>42.665485063567097</v>
      </c>
      <c r="I41" s="10">
        <v>42.300854207819597</v>
      </c>
      <c r="J41" s="10">
        <v>42.332117343907697</v>
      </c>
      <c r="K41" s="12">
        <v>-4.1215269186616801E-3</v>
      </c>
      <c r="L41" s="12">
        <v>4.4614742400958998E-3</v>
      </c>
      <c r="M41" s="12">
        <v>3.7226809084445001E-3</v>
      </c>
      <c r="N41" s="26">
        <v>0.08</v>
      </c>
      <c r="O41" s="13">
        <v>0</v>
      </c>
      <c r="P41" s="23">
        <f t="shared" si="12"/>
        <v>22.799999999999997</v>
      </c>
      <c r="Q41" s="23">
        <f t="shared" si="13"/>
        <v>42.49</v>
      </c>
      <c r="R41" s="14">
        <f t="shared" si="2"/>
        <v>1.8635964912280705</v>
      </c>
      <c r="S41" s="14">
        <f t="shared" si="3"/>
        <v>1.8657810486417497</v>
      </c>
      <c r="T41" s="14">
        <f t="shared" si="7"/>
        <v>1.8592341461495905</v>
      </c>
      <c r="U41" s="14">
        <f t="shared" si="10"/>
        <v>1.8604608166941845</v>
      </c>
      <c r="V41" s="16">
        <f t="shared" si="4"/>
        <v>42.539807909031886</v>
      </c>
      <c r="W41" s="16">
        <f t="shared" si="9"/>
        <v>42.376106006259114</v>
      </c>
      <c r="X41" s="16">
        <f t="shared" si="14"/>
        <v>42.410792960382217</v>
      </c>
      <c r="Y41" s="17">
        <f t="shared" si="5"/>
        <v>-1.1715400976085213E-3</v>
      </c>
      <c r="Z41" s="17">
        <f t="shared" si="8"/>
        <v>2.6840883240236463E-3</v>
      </c>
      <c r="AA41" s="17">
        <f t="shared" si="8"/>
        <v>1.8658733289941233E-3</v>
      </c>
      <c r="AC41" s="18">
        <f t="shared" si="6"/>
        <v>-1.3552119979643298E-2</v>
      </c>
      <c r="AD41" s="18">
        <f t="shared" si="6"/>
        <v>-1.1698776381469963E-2</v>
      </c>
      <c r="AE41" s="18"/>
      <c r="AF41" s="18"/>
      <c r="AH41">
        <f t="shared" si="15"/>
        <v>0</v>
      </c>
      <c r="AI41">
        <f t="shared" si="16"/>
        <v>1</v>
      </c>
      <c r="AJ41">
        <f t="shared" si="17"/>
        <v>0</v>
      </c>
      <c r="AK41">
        <f t="shared" si="11"/>
        <v>0</v>
      </c>
      <c r="AL41" s="18">
        <f t="shared" si="18"/>
        <v>0</v>
      </c>
      <c r="AM41" s="18">
        <f t="shared" si="19"/>
        <v>0</v>
      </c>
      <c r="AN41" s="18">
        <f t="shared" si="20"/>
        <v>0</v>
      </c>
      <c r="AO41" s="19">
        <f t="shared" si="21"/>
        <v>4.0189069281060244E-3</v>
      </c>
      <c r="AQ41" s="18"/>
      <c r="AS41">
        <f t="shared" si="22"/>
        <v>1</v>
      </c>
      <c r="AT41">
        <f t="shared" si="23"/>
        <v>0</v>
      </c>
      <c r="AU41">
        <f t="shared" si="24"/>
        <v>0</v>
      </c>
      <c r="AV41">
        <f t="shared" si="25"/>
        <v>1</v>
      </c>
      <c r="AW41" s="18">
        <f t="shared" si="26"/>
        <v>-1.3552119979643298E-2</v>
      </c>
      <c r="AX41" s="18">
        <f t="shared" si="27"/>
        <v>1.1698776381469963E-2</v>
      </c>
      <c r="AY41" s="18">
        <f t="shared" si="28"/>
        <v>-1.8533435981733359E-3</v>
      </c>
      <c r="AZ41" s="19">
        <f t="shared" si="29"/>
        <v>3.777723977774778E-3</v>
      </c>
      <c r="BB41" s="19">
        <f t="shared" si="30"/>
        <v>-1.8533435981733359E-3</v>
      </c>
      <c r="BC41" s="19">
        <f t="shared" si="31"/>
        <v>7.7966309058808032E-3</v>
      </c>
    </row>
    <row r="42" spans="1:55" x14ac:dyDescent="0.3">
      <c r="A42" s="1">
        <v>46084</v>
      </c>
      <c r="B42" s="10">
        <v>22.49</v>
      </c>
      <c r="C42" s="10">
        <v>42.13</v>
      </c>
      <c r="D42" s="11">
        <v>1.8732770120053299</v>
      </c>
      <c r="E42" s="11">
        <v>1.8778822651217899</v>
      </c>
      <c r="F42" s="11">
        <v>1.86386918013425</v>
      </c>
      <c r="G42" s="11">
        <v>1.8645030771514799</v>
      </c>
      <c r="H42" s="10">
        <v>42.233572142589097</v>
      </c>
      <c r="I42" s="10">
        <v>41.894387518783297</v>
      </c>
      <c r="J42" s="10">
        <v>41.918566889138503</v>
      </c>
      <c r="K42" s="12">
        <v>-2.4553771727304002E-3</v>
      </c>
      <c r="L42" s="12">
        <v>5.6082074672382104E-3</v>
      </c>
      <c r="M42" s="12">
        <v>5.0312233674215797E-3</v>
      </c>
      <c r="N42" s="26">
        <v>0.08</v>
      </c>
      <c r="O42" s="13">
        <v>0</v>
      </c>
      <c r="P42" s="23">
        <f t="shared" si="12"/>
        <v>22.569999999999997</v>
      </c>
      <c r="Q42" s="23">
        <f t="shared" si="13"/>
        <v>42.13</v>
      </c>
      <c r="R42" s="14">
        <f t="shared" si="2"/>
        <v>1.8666371289322112</v>
      </c>
      <c r="S42" s="14">
        <f t="shared" si="3"/>
        <v>1.8657810486417497</v>
      </c>
      <c r="T42" s="14">
        <f t="shared" si="7"/>
        <v>1.8599610351570484</v>
      </c>
      <c r="U42" s="14">
        <f t="shared" si="10"/>
        <v>1.8609198178834259</v>
      </c>
      <c r="V42" s="16">
        <f t="shared" si="4"/>
        <v>42.110678267844285</v>
      </c>
      <c r="W42" s="16">
        <f t="shared" si="9"/>
        <v>41.962914678596249</v>
      </c>
      <c r="X42" s="16">
        <f t="shared" si="14"/>
        <v>41.990600632787739</v>
      </c>
      <c r="Y42" s="17">
        <f t="shared" si="5"/>
        <v>4.5872689754712875E-4</v>
      </c>
      <c r="Z42" s="17">
        <f t="shared" si="8"/>
        <v>3.973831610364716E-3</v>
      </c>
      <c r="AA42" s="17">
        <f t="shared" si="8"/>
        <v>3.3142772107081376E-3</v>
      </c>
      <c r="AC42" s="18">
        <f t="shared" si="6"/>
        <v>-1.0174827881726314E-2</v>
      </c>
      <c r="AD42" s="18">
        <f t="shared" si="6"/>
        <v>-8.5086781357950319E-3</v>
      </c>
      <c r="AE42" s="18"/>
      <c r="AF42" s="18"/>
      <c r="AH42">
        <f t="shared" si="15"/>
        <v>0</v>
      </c>
      <c r="AI42">
        <f t="shared" si="16"/>
        <v>1</v>
      </c>
      <c r="AJ42">
        <f t="shared" si="17"/>
        <v>0</v>
      </c>
      <c r="AK42">
        <f t="shared" si="11"/>
        <v>0</v>
      </c>
      <c r="AL42" s="18">
        <f t="shared" si="18"/>
        <v>0</v>
      </c>
      <c r="AM42" s="18">
        <f t="shared" si="19"/>
        <v>0</v>
      </c>
      <c r="AN42" s="18">
        <f t="shared" si="20"/>
        <v>0</v>
      </c>
      <c r="AO42" s="19">
        <f t="shared" si="21"/>
        <v>4.0189069281060244E-3</v>
      </c>
      <c r="AQ42" s="18"/>
      <c r="AS42">
        <f t="shared" si="22"/>
        <v>1</v>
      </c>
      <c r="AT42">
        <f t="shared" si="23"/>
        <v>0</v>
      </c>
      <c r="AU42">
        <f t="shared" si="24"/>
        <v>1</v>
      </c>
      <c r="AV42">
        <f t="shared" si="25"/>
        <v>1</v>
      </c>
      <c r="AW42" s="18">
        <f t="shared" si="26"/>
        <v>-1.0174827881726314E-2</v>
      </c>
      <c r="AX42" s="18">
        <f t="shared" si="27"/>
        <v>8.5086781357950319E-3</v>
      </c>
      <c r="AY42" s="18">
        <f t="shared" si="28"/>
        <v>-1.6661497459312825E-3</v>
      </c>
      <c r="AZ42" s="19">
        <f t="shared" si="29"/>
        <v>2.1115742318434955E-3</v>
      </c>
      <c r="BB42" s="19">
        <f t="shared" si="30"/>
        <v>-1.6661497459312825E-3</v>
      </c>
      <c r="BC42" s="19">
        <f t="shared" si="31"/>
        <v>6.1304811599495208E-3</v>
      </c>
    </row>
    <row r="43" spans="1:55" x14ac:dyDescent="0.3">
      <c r="A43" s="1">
        <v>46085</v>
      </c>
      <c r="B43" s="10">
        <v>22.57</v>
      </c>
      <c r="C43" s="10">
        <v>42.22</v>
      </c>
      <c r="D43" s="11">
        <v>1.8706247230837301</v>
      </c>
      <c r="E43" s="11">
        <v>1.8778822651217899</v>
      </c>
      <c r="F43" s="11">
        <v>1.8648435582428899</v>
      </c>
      <c r="G43" s="11">
        <v>1.86468629568452</v>
      </c>
      <c r="H43" s="10">
        <v>42.383802723798901</v>
      </c>
      <c r="I43" s="10">
        <v>42.067527395630101</v>
      </c>
      <c r="J43" s="10">
        <v>42.0818344513089</v>
      </c>
      <c r="K43" s="12">
        <v>-3.87223560170124E-3</v>
      </c>
      <c r="L43" s="12">
        <v>3.6179201216336898E-3</v>
      </c>
      <c r="M43" s="12">
        <v>3.2778805657152398E-3</v>
      </c>
      <c r="N43" s="26">
        <v>0.08</v>
      </c>
      <c r="O43" s="13">
        <v>0</v>
      </c>
      <c r="P43" s="23">
        <f t="shared" si="12"/>
        <v>22.65</v>
      </c>
      <c r="Q43" s="23">
        <f t="shared" si="13"/>
        <v>42.22</v>
      </c>
      <c r="R43" s="14">
        <f t="shared" si="2"/>
        <v>1.8640176600441503</v>
      </c>
      <c r="S43" s="14">
        <f t="shared" si="3"/>
        <v>1.8657810486417497</v>
      </c>
      <c r="T43" s="14">
        <f t="shared" si="7"/>
        <v>1.8605987611092214</v>
      </c>
      <c r="U43" s="14">
        <f t="shared" si="10"/>
        <v>1.8609368838231883</v>
      </c>
      <c r="V43" s="16">
        <f t="shared" si="4"/>
        <v>42.259940751735627</v>
      </c>
      <c r="W43" s="16">
        <f t="shared" si="9"/>
        <v>42.128117446307144</v>
      </c>
      <c r="X43" s="16">
        <f t="shared" si="14"/>
        <v>42.149833875059592</v>
      </c>
      <c r="Y43" s="17">
        <f t="shared" si="5"/>
        <v>-9.455677728021952E-4</v>
      </c>
      <c r="Z43" s="17">
        <f t="shared" si="8"/>
        <v>2.1786518257482616E-3</v>
      </c>
      <c r="AA43" s="17">
        <f t="shared" si="8"/>
        <v>1.6632992598018897E-3</v>
      </c>
      <c r="AC43" s="18">
        <f t="shared" si="6"/>
        <v>3.5508248582200932E-3</v>
      </c>
      <c r="AD43" s="18">
        <f t="shared" si="6"/>
        <v>2.1339664292493051E-3</v>
      </c>
      <c r="AE43" s="18"/>
      <c r="AF43" s="18"/>
      <c r="AH43">
        <f t="shared" si="15"/>
        <v>0</v>
      </c>
      <c r="AI43">
        <f t="shared" si="16"/>
        <v>1</v>
      </c>
      <c r="AJ43">
        <f t="shared" si="17"/>
        <v>0</v>
      </c>
      <c r="AK43">
        <f t="shared" si="11"/>
        <v>0</v>
      </c>
      <c r="AL43" s="18">
        <f t="shared" si="18"/>
        <v>0</v>
      </c>
      <c r="AM43" s="18">
        <f t="shared" si="19"/>
        <v>0</v>
      </c>
      <c r="AN43" s="18">
        <f t="shared" si="20"/>
        <v>0</v>
      </c>
      <c r="AO43" s="19">
        <f t="shared" si="21"/>
        <v>4.0189069281060244E-3</v>
      </c>
      <c r="AQ43" s="18"/>
      <c r="AS43">
        <f t="shared" si="22"/>
        <v>1</v>
      </c>
      <c r="AT43">
        <f t="shared" si="23"/>
        <v>0</v>
      </c>
      <c r="AU43">
        <f t="shared" si="24"/>
        <v>1</v>
      </c>
      <c r="AV43">
        <f t="shared" si="25"/>
        <v>1</v>
      </c>
      <c r="AW43" s="18">
        <f t="shared" si="26"/>
        <v>3.5508248582200932E-3</v>
      </c>
      <c r="AX43" s="18">
        <f t="shared" si="27"/>
        <v>-2.1339664292493051E-3</v>
      </c>
      <c r="AY43" s="18">
        <f t="shared" si="28"/>
        <v>1.4168584289707882E-3</v>
      </c>
      <c r="AZ43" s="19">
        <f t="shared" si="29"/>
        <v>3.5284326608142837E-3</v>
      </c>
      <c r="BB43" s="19">
        <f t="shared" si="30"/>
        <v>1.4168584289707882E-3</v>
      </c>
      <c r="BC43" s="19">
        <f t="shared" si="31"/>
        <v>7.5473395889203085E-3</v>
      </c>
    </row>
    <row r="44" spans="1:55" x14ac:dyDescent="0.3">
      <c r="A44" s="1">
        <v>46086</v>
      </c>
      <c r="B44" s="10">
        <v>22.4</v>
      </c>
      <c r="C44" s="10">
        <v>41.88</v>
      </c>
      <c r="D44" s="11">
        <v>1.8696428571428501</v>
      </c>
      <c r="E44" s="11">
        <v>1.8778822651217899</v>
      </c>
      <c r="F44" s="11">
        <v>1.86563855948946</v>
      </c>
      <c r="G44" s="11">
        <v>1.8648159650434299</v>
      </c>
      <c r="H44" s="10">
        <v>42.064562738728199</v>
      </c>
      <c r="I44" s="10">
        <v>41.772495704640697</v>
      </c>
      <c r="J44" s="10">
        <v>41.768973023333203</v>
      </c>
      <c r="K44" s="12">
        <v>-4.3972600510894704E-3</v>
      </c>
      <c r="L44" s="12">
        <v>2.5702605436201602E-3</v>
      </c>
      <c r="M44" s="12">
        <v>2.6545942610705399E-3</v>
      </c>
      <c r="N44" s="26">
        <v>0.08</v>
      </c>
      <c r="O44" s="13">
        <v>0</v>
      </c>
      <c r="P44" s="23">
        <f t="shared" si="12"/>
        <v>22.479999999999997</v>
      </c>
      <c r="Q44" s="23">
        <f t="shared" si="13"/>
        <v>41.88</v>
      </c>
      <c r="R44" s="14">
        <f t="shared" si="2"/>
        <v>1.8629893238434168</v>
      </c>
      <c r="S44" s="14">
        <f t="shared" si="3"/>
        <v>1.8657810486417497</v>
      </c>
      <c r="T44" s="14">
        <f t="shared" si="7"/>
        <v>1.8610527457583714</v>
      </c>
      <c r="U44" s="14">
        <f t="shared" si="10"/>
        <v>1.860898519327528</v>
      </c>
      <c r="V44" s="16">
        <f t="shared" si="4"/>
        <v>41.942757973466527</v>
      </c>
      <c r="W44" s="16">
        <f t="shared" si="9"/>
        <v>41.82626014973529</v>
      </c>
      <c r="X44" s="16">
        <f t="shared" si="14"/>
        <v>41.833861148345271</v>
      </c>
      <c r="Y44" s="17">
        <f t="shared" si="5"/>
        <v>-1.4973972870877814E-3</v>
      </c>
      <c r="Z44" s="17">
        <f t="shared" si="8"/>
        <v>1.2840104802653602E-3</v>
      </c>
      <c r="AA44" s="17">
        <f t="shared" si="8"/>
        <v>1.102299086283309E-3</v>
      </c>
      <c r="AC44" s="18">
        <f t="shared" si="6"/>
        <v>-7.5606319684501985E-3</v>
      </c>
      <c r="AD44" s="18">
        <f t="shared" si="6"/>
        <v>-8.0856564178383751E-3</v>
      </c>
      <c r="AE44" s="18"/>
      <c r="AF44" s="18"/>
      <c r="AH44">
        <f t="shared" si="15"/>
        <v>0</v>
      </c>
      <c r="AI44">
        <f t="shared" si="16"/>
        <v>1</v>
      </c>
      <c r="AJ44">
        <f t="shared" si="17"/>
        <v>0</v>
      </c>
      <c r="AK44">
        <f t="shared" si="11"/>
        <v>0</v>
      </c>
      <c r="AL44" s="18">
        <f t="shared" si="18"/>
        <v>0</v>
      </c>
      <c r="AM44" s="18">
        <f t="shared" si="19"/>
        <v>0</v>
      </c>
      <c r="AN44" s="18">
        <f t="shared" si="20"/>
        <v>0</v>
      </c>
      <c r="AO44" s="19">
        <f t="shared" si="21"/>
        <v>4.0189069281060244E-3</v>
      </c>
      <c r="AQ44" s="18"/>
      <c r="AS44">
        <f t="shared" si="22"/>
        <v>1</v>
      </c>
      <c r="AT44">
        <f t="shared" si="23"/>
        <v>0</v>
      </c>
      <c r="AU44">
        <f t="shared" si="24"/>
        <v>1</v>
      </c>
      <c r="AV44">
        <f t="shared" si="25"/>
        <v>1</v>
      </c>
      <c r="AW44" s="18">
        <f t="shared" si="26"/>
        <v>-7.5606319684501985E-3</v>
      </c>
      <c r="AX44" s="18">
        <f t="shared" si="27"/>
        <v>8.0856564178383751E-3</v>
      </c>
      <c r="AY44" s="18">
        <f t="shared" si="28"/>
        <v>5.2502444938817665E-4</v>
      </c>
      <c r="AZ44" s="19">
        <f t="shared" si="29"/>
        <v>4.0534571102024599E-3</v>
      </c>
      <c r="BB44" s="19">
        <f t="shared" si="30"/>
        <v>5.2502444938817665E-4</v>
      </c>
      <c r="BC44" s="19">
        <f t="shared" si="31"/>
        <v>8.0723640383084851E-3</v>
      </c>
    </row>
    <row r="45" spans="1:55" x14ac:dyDescent="0.3">
      <c r="A45" s="1">
        <v>46087</v>
      </c>
      <c r="B45" s="10">
        <v>22.36</v>
      </c>
      <c r="C45" s="10">
        <v>41.83</v>
      </c>
      <c r="D45" s="11">
        <v>1.87075134168157</v>
      </c>
      <c r="E45" s="11">
        <v>1.8778822651217899</v>
      </c>
      <c r="F45" s="11">
        <v>1.8661894895581801</v>
      </c>
      <c r="G45" s="11">
        <v>1.86519982188016</v>
      </c>
      <c r="H45" s="10">
        <v>41.9894474481233</v>
      </c>
      <c r="I45" s="10">
        <v>41.715678190184398</v>
      </c>
      <c r="J45" s="10">
        <v>41.697284978371101</v>
      </c>
      <c r="K45" s="12">
        <v>-3.8045500252229599E-3</v>
      </c>
      <c r="L45" s="12">
        <v>2.73675152673694E-3</v>
      </c>
      <c r="M45" s="12">
        <v>3.1777672013441598E-3</v>
      </c>
      <c r="N45" s="26">
        <v>0.08</v>
      </c>
      <c r="O45" s="13">
        <v>0</v>
      </c>
      <c r="P45" s="23">
        <f t="shared" si="12"/>
        <v>22.439999999999998</v>
      </c>
      <c r="Q45" s="23">
        <f t="shared" si="13"/>
        <v>41.83</v>
      </c>
      <c r="R45" s="14">
        <f t="shared" si="2"/>
        <v>1.8640819964349378</v>
      </c>
      <c r="S45" s="14">
        <f t="shared" si="3"/>
        <v>1.8657810486417497</v>
      </c>
      <c r="T45" s="14">
        <f t="shared" si="7"/>
        <v>1.8612615548925049</v>
      </c>
      <c r="U45" s="14">
        <f t="shared" si="10"/>
        <v>1.8611132011598575</v>
      </c>
      <c r="V45" s="16">
        <f t="shared" si="4"/>
        <v>41.86812673152086</v>
      </c>
      <c r="W45" s="16">
        <f t="shared" si="9"/>
        <v>41.762023614817849</v>
      </c>
      <c r="X45" s="16">
        <f t="shared" si="14"/>
        <v>41.758562773709727</v>
      </c>
      <c r="Y45" s="17">
        <f t="shared" si="5"/>
        <v>-9.1105346432233004E-4</v>
      </c>
      <c r="Z45" s="17">
        <f t="shared" si="8"/>
        <v>1.6263848445450958E-3</v>
      </c>
      <c r="AA45" s="17">
        <f t="shared" si="8"/>
        <v>1.7092588103480783E-3</v>
      </c>
      <c r="AC45" s="18">
        <f t="shared" si="6"/>
        <v>-1.7873105740957515E-3</v>
      </c>
      <c r="AD45" s="18">
        <f t="shared" si="6"/>
        <v>-1.1946005482291757E-3</v>
      </c>
      <c r="AE45" s="18"/>
      <c r="AF45" s="18"/>
      <c r="AH45">
        <f t="shared" si="15"/>
        <v>0</v>
      </c>
      <c r="AI45">
        <f t="shared" si="16"/>
        <v>1</v>
      </c>
      <c r="AJ45">
        <f t="shared" si="17"/>
        <v>0</v>
      </c>
      <c r="AK45">
        <f t="shared" si="11"/>
        <v>0</v>
      </c>
      <c r="AL45" s="18">
        <f t="shared" si="18"/>
        <v>0</v>
      </c>
      <c r="AM45" s="18">
        <f t="shared" si="19"/>
        <v>0</v>
      </c>
      <c r="AN45" s="18">
        <f t="shared" si="20"/>
        <v>0</v>
      </c>
      <c r="AO45" s="19">
        <f t="shared" si="21"/>
        <v>4.0189069281060244E-3</v>
      </c>
      <c r="AQ45" s="18"/>
      <c r="AS45">
        <f t="shared" si="22"/>
        <v>1</v>
      </c>
      <c r="AT45">
        <f t="shared" si="23"/>
        <v>0</v>
      </c>
      <c r="AU45">
        <f t="shared" si="24"/>
        <v>1</v>
      </c>
      <c r="AV45">
        <f t="shared" si="25"/>
        <v>1</v>
      </c>
      <c r="AW45" s="18">
        <f t="shared" si="26"/>
        <v>-1.7873105740957515E-3</v>
      </c>
      <c r="AX45" s="18">
        <f t="shared" si="27"/>
        <v>1.1946005482291757E-3</v>
      </c>
      <c r="AY45" s="18">
        <f t="shared" si="28"/>
        <v>-5.9271002586657579E-4</v>
      </c>
      <c r="AZ45" s="19">
        <f t="shared" si="29"/>
        <v>3.4607470843358839E-3</v>
      </c>
      <c r="BB45" s="19">
        <f t="shared" si="30"/>
        <v>-5.9271002586657579E-4</v>
      </c>
      <c r="BC45" s="19">
        <f t="shared" si="31"/>
        <v>7.4796540124419091E-3</v>
      </c>
    </row>
    <row r="46" spans="1:55" x14ac:dyDescent="0.3">
      <c r="A46" s="1">
        <v>46090</v>
      </c>
      <c r="B46" s="10">
        <v>22.41</v>
      </c>
      <c r="C46" s="10">
        <v>41.84</v>
      </c>
      <c r="D46" s="11">
        <v>1.8670236501561801</v>
      </c>
      <c r="E46" s="11">
        <v>1.8778822651217899</v>
      </c>
      <c r="F46" s="11">
        <v>1.86712178949788</v>
      </c>
      <c r="G46" s="11">
        <v>1.8651647610017199</v>
      </c>
      <c r="H46" s="10">
        <v>42.083341561379399</v>
      </c>
      <c r="I46" s="10">
        <v>41.821306460998898</v>
      </c>
      <c r="J46" s="10">
        <v>41.7991280083343</v>
      </c>
      <c r="K46" s="12">
        <v>-5.7991552485995301E-3</v>
      </c>
      <c r="L46" s="12">
        <v>4.46886143735689E-4</v>
      </c>
      <c r="M46" s="12">
        <v>9.7734148818333193E-4</v>
      </c>
      <c r="N46" s="26">
        <v>0.08</v>
      </c>
      <c r="O46" s="13">
        <v>0</v>
      </c>
      <c r="P46" s="23">
        <f t="shared" si="12"/>
        <v>22.49</v>
      </c>
      <c r="Q46" s="23">
        <f t="shared" si="13"/>
        <v>41.84</v>
      </c>
      <c r="R46" s="14">
        <f t="shared" si="2"/>
        <v>1.8603823921742999</v>
      </c>
      <c r="S46" s="14">
        <f t="shared" si="3"/>
        <v>1.8657810486417497</v>
      </c>
      <c r="T46" s="14">
        <f t="shared" si="7"/>
        <v>1.8618515481159985</v>
      </c>
      <c r="U46" s="14">
        <f t="shared" si="10"/>
        <v>1.8609104897826569</v>
      </c>
      <c r="V46" s="16">
        <f t="shared" si="4"/>
        <v>41.961415783952944</v>
      </c>
      <c r="W46" s="16">
        <f t="shared" si="9"/>
        <v>41.859772369532429</v>
      </c>
      <c r="X46" s="16">
        <f t="shared" si="14"/>
        <v>41.856435894085195</v>
      </c>
      <c r="Y46" s="17">
        <f t="shared" si="5"/>
        <v>-2.8977044784904175E-3</v>
      </c>
      <c r="Z46" s="17">
        <f t="shared" si="8"/>
        <v>-4.7245934703208888E-4</v>
      </c>
      <c r="AA46" s="17">
        <f t="shared" si="8"/>
        <v>-3.9275016004894548E-4</v>
      </c>
      <c r="AC46" s="18">
        <f t="shared" si="6"/>
        <v>2.233639525937206E-3</v>
      </c>
      <c r="AD46" s="18">
        <f t="shared" si="6"/>
        <v>2.3903430256047535E-4</v>
      </c>
      <c r="AE46" s="18"/>
      <c r="AF46" s="18"/>
      <c r="AH46">
        <f t="shared" si="15"/>
        <v>0</v>
      </c>
      <c r="AI46">
        <f t="shared" si="16"/>
        <v>0</v>
      </c>
      <c r="AJ46">
        <f t="shared" si="17"/>
        <v>0</v>
      </c>
      <c r="AK46">
        <f t="shared" si="11"/>
        <v>0</v>
      </c>
      <c r="AL46" s="18">
        <f t="shared" si="18"/>
        <v>0</v>
      </c>
      <c r="AM46" s="18">
        <f t="shared" si="19"/>
        <v>0</v>
      </c>
      <c r="AN46" s="18">
        <f t="shared" si="20"/>
        <v>0</v>
      </c>
      <c r="AO46" s="19">
        <f t="shared" si="21"/>
        <v>4.0189069281060244E-3</v>
      </c>
      <c r="AQ46" s="18"/>
      <c r="AS46">
        <f t="shared" si="22"/>
        <v>0</v>
      </c>
      <c r="AT46">
        <f t="shared" si="23"/>
        <v>1</v>
      </c>
      <c r="AU46">
        <f t="shared" si="24"/>
        <v>1</v>
      </c>
      <c r="AV46">
        <f t="shared" si="25"/>
        <v>1</v>
      </c>
      <c r="AW46" s="18">
        <f t="shared" si="26"/>
        <v>2.233639525937206E-3</v>
      </c>
      <c r="AX46" s="18">
        <f t="shared" si="27"/>
        <v>-2.3903430256047535E-4</v>
      </c>
      <c r="AY46" s="18">
        <f t="shared" si="28"/>
        <v>1.9946052233767307E-3</v>
      </c>
      <c r="AZ46" s="19">
        <f t="shared" si="29"/>
        <v>5.4553523077126142E-3</v>
      </c>
      <c r="BB46" s="19">
        <f t="shared" si="30"/>
        <v>1.9946052233767307E-3</v>
      </c>
      <c r="BC46" s="19">
        <f t="shared" si="31"/>
        <v>9.4742592358186394E-3</v>
      </c>
    </row>
    <row r="47" spans="1:55" x14ac:dyDescent="0.3">
      <c r="A47" s="1">
        <v>46091</v>
      </c>
      <c r="B47" s="10">
        <v>22.39</v>
      </c>
      <c r="C47" s="10">
        <v>41.85</v>
      </c>
      <c r="D47" s="11">
        <v>1.8691380080393001</v>
      </c>
      <c r="E47" s="11">
        <v>1.8778822651217899</v>
      </c>
      <c r="F47" s="11">
        <v>1.8681286742513501</v>
      </c>
      <c r="G47" s="11">
        <v>1.8651043596078001</v>
      </c>
      <c r="H47" s="10">
        <v>42.0457839160769</v>
      </c>
      <c r="I47" s="10">
        <v>41.804856866857598</v>
      </c>
      <c r="J47" s="10">
        <v>41.761038998828603</v>
      </c>
      <c r="K47" s="12">
        <v>-4.6673208676104999E-3</v>
      </c>
      <c r="L47" s="12">
        <v>1.0792711676316099E-3</v>
      </c>
      <c r="M47" s="12">
        <v>2.1279734304592798E-3</v>
      </c>
      <c r="N47" s="26">
        <v>0.08</v>
      </c>
      <c r="O47" s="13">
        <v>0</v>
      </c>
      <c r="P47" s="23">
        <f t="shared" si="12"/>
        <v>22.47</v>
      </c>
      <c r="Q47" s="23">
        <f t="shared" si="13"/>
        <v>41.85</v>
      </c>
      <c r="R47" s="14">
        <f t="shared" si="2"/>
        <v>1.8624833110814421</v>
      </c>
      <c r="S47" s="14">
        <f t="shared" si="3"/>
        <v>1.8657810486417497</v>
      </c>
      <c r="T47" s="14">
        <f t="shared" si="7"/>
        <v>1.8625158583817629</v>
      </c>
      <c r="U47" s="14">
        <f t="shared" si="10"/>
        <v>1.8606809168146476</v>
      </c>
      <c r="V47" s="16">
        <f t="shared" si="4"/>
        <v>41.92410016298011</v>
      </c>
      <c r="W47" s="16">
        <f t="shared" si="9"/>
        <v>41.835804286166486</v>
      </c>
      <c r="X47" s="16">
        <f t="shared" si="14"/>
        <v>41.814658705416299</v>
      </c>
      <c r="Y47" s="17">
        <f t="shared" si="5"/>
        <v>-1.7690475256870982E-3</v>
      </c>
      <c r="Z47" s="17">
        <f t="shared" si="8"/>
        <v>3.3926217452911876E-4</v>
      </c>
      <c r="AA47" s="17">
        <f t="shared" si="8"/>
        <v>8.4483214854640218E-4</v>
      </c>
      <c r="AC47" s="18">
        <f t="shared" si="6"/>
        <v>-8.9285720217210766E-4</v>
      </c>
      <c r="AD47" s="18">
        <f t="shared" si="6"/>
        <v>2.3897717881686352E-4</v>
      </c>
      <c r="AE47" s="18"/>
      <c r="AF47" s="18"/>
      <c r="AH47">
        <f t="shared" si="15"/>
        <v>0</v>
      </c>
      <c r="AI47">
        <f t="shared" si="16"/>
        <v>1</v>
      </c>
      <c r="AJ47">
        <f t="shared" si="17"/>
        <v>0</v>
      </c>
      <c r="AK47">
        <f t="shared" si="11"/>
        <v>0</v>
      </c>
      <c r="AL47" s="18">
        <f t="shared" si="18"/>
        <v>0</v>
      </c>
      <c r="AM47" s="18">
        <f t="shared" si="19"/>
        <v>0</v>
      </c>
      <c r="AN47" s="18">
        <f t="shared" si="20"/>
        <v>0</v>
      </c>
      <c r="AO47" s="19">
        <f t="shared" si="21"/>
        <v>4.0189069281060244E-3</v>
      </c>
      <c r="AQ47" s="18"/>
      <c r="AS47">
        <f t="shared" si="22"/>
        <v>0</v>
      </c>
      <c r="AT47">
        <f t="shared" si="23"/>
        <v>0</v>
      </c>
      <c r="AU47">
        <f t="shared" si="24"/>
        <v>1</v>
      </c>
      <c r="AV47">
        <f t="shared" si="25"/>
        <v>0</v>
      </c>
      <c r="AW47" s="18">
        <f t="shared" si="26"/>
        <v>0</v>
      </c>
      <c r="AX47" s="18">
        <f t="shared" si="27"/>
        <v>0</v>
      </c>
      <c r="AY47" s="18">
        <f t="shared" si="28"/>
        <v>0</v>
      </c>
      <c r="AZ47" s="19">
        <f t="shared" si="29"/>
        <v>5.4553523077126142E-3</v>
      </c>
      <c r="BB47" s="19">
        <f t="shared" si="30"/>
        <v>0</v>
      </c>
      <c r="BC47" s="19">
        <f t="shared" si="31"/>
        <v>9.4742592358186394E-3</v>
      </c>
    </row>
    <row r="48" spans="1:55" x14ac:dyDescent="0.3">
      <c r="A48" s="1">
        <v>46092</v>
      </c>
      <c r="B48" s="10">
        <v>22.28</v>
      </c>
      <c r="C48" s="10">
        <v>41.52</v>
      </c>
      <c r="D48" s="11">
        <v>1.8635547576301601</v>
      </c>
      <c r="E48" s="11">
        <v>1.8778822651217899</v>
      </c>
      <c r="F48" s="11">
        <v>1.8681917218159401</v>
      </c>
      <c r="G48" s="11">
        <v>1.8649763844496301</v>
      </c>
      <c r="H48" s="10">
        <v>41.839216866913503</v>
      </c>
      <c r="I48" s="10">
        <v>41.621906862320202</v>
      </c>
      <c r="J48" s="10">
        <v>41.554525132061897</v>
      </c>
      <c r="K48" s="12">
        <v>-7.6588633938816202E-3</v>
      </c>
      <c r="L48" s="12">
        <v>-2.4513970679504301E-3</v>
      </c>
      <c r="M48" s="12">
        <v>-8.3118462596774899E-4</v>
      </c>
      <c r="N48" s="26">
        <v>0.08</v>
      </c>
      <c r="O48" s="13">
        <v>0</v>
      </c>
      <c r="P48" s="23">
        <f t="shared" si="12"/>
        <v>22.36</v>
      </c>
      <c r="Q48" s="23">
        <f t="shared" si="13"/>
        <v>41.52</v>
      </c>
      <c r="R48" s="14">
        <f t="shared" si="2"/>
        <v>1.856887298747764</v>
      </c>
      <c r="S48" s="14">
        <f t="shared" si="3"/>
        <v>1.8657810486417497</v>
      </c>
      <c r="T48" s="14">
        <f t="shared" si="7"/>
        <v>1.8622358654068436</v>
      </c>
      <c r="U48" s="14">
        <f t="shared" si="10"/>
        <v>1.8603820514516436</v>
      </c>
      <c r="V48" s="16">
        <f t="shared" si="4"/>
        <v>41.718864247629519</v>
      </c>
      <c r="W48" s="16">
        <f t="shared" si="9"/>
        <v>41.645854593416217</v>
      </c>
      <c r="X48" s="16">
        <f t="shared" si="14"/>
        <v>41.604825299975523</v>
      </c>
      <c r="Y48" s="17">
        <f t="shared" si="5"/>
        <v>-4.7781676931988142E-3</v>
      </c>
      <c r="Z48" s="17">
        <f t="shared" si="8"/>
        <v>-3.0265952319833526E-3</v>
      </c>
      <c r="AA48" s="17">
        <f t="shared" si="8"/>
        <v>-2.0409144708142622E-3</v>
      </c>
      <c r="AC48" s="18">
        <f t="shared" si="6"/>
        <v>-4.9250155515801154E-3</v>
      </c>
      <c r="AD48" s="18">
        <f t="shared" si="6"/>
        <v>-7.9165580778511359E-3</v>
      </c>
      <c r="AE48" s="18"/>
      <c r="AF48" s="18"/>
      <c r="AH48">
        <f t="shared" si="15"/>
        <v>1</v>
      </c>
      <c r="AI48">
        <f t="shared" si="16"/>
        <v>0</v>
      </c>
      <c r="AJ48">
        <f t="shared" si="17"/>
        <v>0</v>
      </c>
      <c r="AK48">
        <f t="shared" si="11"/>
        <v>0</v>
      </c>
      <c r="AL48" s="18">
        <f t="shared" si="18"/>
        <v>0</v>
      </c>
      <c r="AM48" s="18">
        <f t="shared" si="19"/>
        <v>0</v>
      </c>
      <c r="AN48" s="18">
        <f t="shared" si="20"/>
        <v>0</v>
      </c>
      <c r="AO48" s="19">
        <f t="shared" si="21"/>
        <v>4.0189069281060244E-3</v>
      </c>
      <c r="AQ48" s="18"/>
      <c r="AS48">
        <f t="shared" si="22"/>
        <v>0</v>
      </c>
      <c r="AT48">
        <f t="shared" si="23"/>
        <v>1</v>
      </c>
      <c r="AU48">
        <f t="shared" si="24"/>
        <v>0</v>
      </c>
      <c r="AV48">
        <f t="shared" si="25"/>
        <v>1</v>
      </c>
      <c r="AW48" s="18">
        <f t="shared" si="26"/>
        <v>-4.9250155515801154E-3</v>
      </c>
      <c r="AX48" s="18">
        <f t="shared" si="27"/>
        <v>7.9165580778511359E-3</v>
      </c>
      <c r="AY48" s="18">
        <f t="shared" si="28"/>
        <v>2.9915425262710205E-3</v>
      </c>
      <c r="AZ48" s="19">
        <f t="shared" si="29"/>
        <v>8.4468948339836356E-3</v>
      </c>
      <c r="BB48" s="19">
        <f t="shared" si="30"/>
        <v>2.9915425262710205E-3</v>
      </c>
      <c r="BC48" s="19">
        <f t="shared" si="31"/>
        <v>1.2465801762089661E-2</v>
      </c>
    </row>
    <row r="49" spans="1:55" x14ac:dyDescent="0.3">
      <c r="A49" s="1">
        <v>46093</v>
      </c>
      <c r="B49" s="10">
        <v>22.07</v>
      </c>
      <c r="C49" s="10">
        <v>41.21</v>
      </c>
      <c r="D49" s="11">
        <v>1.86724059809696</v>
      </c>
      <c r="E49" s="11">
        <v>1.8778822651217899</v>
      </c>
      <c r="F49" s="11">
        <v>1.8688107012956301</v>
      </c>
      <c r="G49" s="11">
        <v>1.86504281139409</v>
      </c>
      <c r="H49" s="10">
        <v>41.444861591238002</v>
      </c>
      <c r="I49" s="10">
        <v>41.230991300477797</v>
      </c>
      <c r="J49" s="10">
        <v>41.160028804803297</v>
      </c>
      <c r="K49" s="12">
        <v>-5.6829621103505704E-3</v>
      </c>
      <c r="L49" s="12">
        <v>-5.0924426308591303E-4</v>
      </c>
      <c r="M49" s="12">
        <v>1.21333455996768E-3</v>
      </c>
      <c r="N49" s="26">
        <v>0.08</v>
      </c>
      <c r="O49" s="13">
        <v>0</v>
      </c>
      <c r="P49" s="23">
        <f t="shared" si="12"/>
        <v>22.15</v>
      </c>
      <c r="Q49" s="23">
        <f t="shared" si="13"/>
        <v>41.21</v>
      </c>
      <c r="R49" s="14">
        <f t="shared" si="2"/>
        <v>1.8604966139954855</v>
      </c>
      <c r="S49" s="14">
        <f t="shared" si="3"/>
        <v>1.8657810486417497</v>
      </c>
      <c r="T49" s="14">
        <f t="shared" si="7"/>
        <v>1.8625031254193094</v>
      </c>
      <c r="U49" s="14">
        <f t="shared" si="10"/>
        <v>1.8602734618993542</v>
      </c>
      <c r="V49" s="16">
        <f t="shared" si="4"/>
        <v>41.327050227414752</v>
      </c>
      <c r="W49" s="16">
        <f t="shared" si="9"/>
        <v>41.248524418761583</v>
      </c>
      <c r="X49" s="16">
        <f t="shared" si="14"/>
        <v>41.207462439653902</v>
      </c>
      <c r="Y49" s="17">
        <f t="shared" si="5"/>
        <v>-2.8363094043523146E-3</v>
      </c>
      <c r="Z49" s="17">
        <f t="shared" si="8"/>
        <v>-9.3439512375686486E-4</v>
      </c>
      <c r="AA49" s="17">
        <f t="shared" si="8"/>
        <v>6.1578220726101593E-5</v>
      </c>
      <c r="AC49" s="18">
        <f t="shared" si="6"/>
        <v>-9.4701947904383271E-3</v>
      </c>
      <c r="AD49" s="18">
        <f t="shared" si="6"/>
        <v>-7.4942935069072566E-3</v>
      </c>
      <c r="AE49" s="18"/>
      <c r="AF49" s="18"/>
      <c r="AH49">
        <f t="shared" si="15"/>
        <v>0</v>
      </c>
      <c r="AI49">
        <f t="shared" si="16"/>
        <v>1</v>
      </c>
      <c r="AJ49">
        <f t="shared" si="17"/>
        <v>1</v>
      </c>
      <c r="AK49">
        <f t="shared" si="11"/>
        <v>1</v>
      </c>
      <c r="AL49" s="18">
        <f t="shared" si="18"/>
        <v>9.4701947904383271E-3</v>
      </c>
      <c r="AM49" s="18">
        <f t="shared" si="19"/>
        <v>-7.4942935069072566E-3</v>
      </c>
      <c r="AN49" s="18">
        <f t="shared" si="20"/>
        <v>1.9759012835310705E-3</v>
      </c>
      <c r="AO49" s="19">
        <f t="shared" si="21"/>
        <v>5.9948082116370949E-3</v>
      </c>
      <c r="AQ49" s="18"/>
      <c r="AS49">
        <f t="shared" si="22"/>
        <v>0</v>
      </c>
      <c r="AT49">
        <f t="shared" si="23"/>
        <v>0</v>
      </c>
      <c r="AU49">
        <f t="shared" si="24"/>
        <v>1</v>
      </c>
      <c r="AV49">
        <f t="shared" si="25"/>
        <v>0</v>
      </c>
      <c r="AW49" s="18">
        <f t="shared" si="26"/>
        <v>0</v>
      </c>
      <c r="AX49" s="18">
        <f t="shared" si="27"/>
        <v>0</v>
      </c>
      <c r="AY49" s="18">
        <f t="shared" si="28"/>
        <v>0</v>
      </c>
      <c r="AZ49" s="19">
        <f t="shared" si="29"/>
        <v>8.4468948339836356E-3</v>
      </c>
      <c r="BB49" s="19">
        <f t="shared" si="30"/>
        <v>1.9759012835310705E-3</v>
      </c>
      <c r="BC49" s="19">
        <f t="shared" si="31"/>
        <v>1.4441703045620731E-2</v>
      </c>
    </row>
    <row r="50" spans="1:55" x14ac:dyDescent="0.3">
      <c r="A50" s="1">
        <v>46094</v>
      </c>
      <c r="B50" s="10">
        <v>21.9</v>
      </c>
      <c r="C50" s="10">
        <v>40.799999999999997</v>
      </c>
      <c r="D50" s="11">
        <v>1.86301369863013</v>
      </c>
      <c r="E50" s="11">
        <v>1.8778822651217899</v>
      </c>
      <c r="F50" s="11">
        <v>1.8684425097170401</v>
      </c>
      <c r="G50" s="11">
        <v>1.8651379407700399</v>
      </c>
      <c r="H50" s="10">
        <v>41.1256216061673</v>
      </c>
      <c r="I50" s="10">
        <v>40.926954358374303</v>
      </c>
      <c r="J50" s="10">
        <v>40.844437569530697</v>
      </c>
      <c r="K50" s="12">
        <v>-7.9492426047706507E-3</v>
      </c>
      <c r="L50" s="12">
        <v>-3.10679534032612E-3</v>
      </c>
      <c r="M50" s="12">
        <v>-1.0885634157492699E-3</v>
      </c>
      <c r="N50" s="26">
        <v>0.08</v>
      </c>
      <c r="O50" s="13">
        <v>0</v>
      </c>
      <c r="P50" s="23">
        <f t="shared" si="12"/>
        <v>21.979999999999997</v>
      </c>
      <c r="Q50" s="23">
        <f t="shared" si="13"/>
        <v>40.799999999999997</v>
      </c>
      <c r="R50" s="14">
        <f t="shared" si="2"/>
        <v>1.856232939035487</v>
      </c>
      <c r="S50" s="14">
        <f t="shared" si="3"/>
        <v>1.8657810486417497</v>
      </c>
      <c r="T50" s="14">
        <f t="shared" si="7"/>
        <v>1.8617805155517266</v>
      </c>
      <c r="U50" s="14">
        <f t="shared" si="10"/>
        <v>1.8601908280885631</v>
      </c>
      <c r="V50" s="16">
        <f t="shared" si="4"/>
        <v>41.009867449145652</v>
      </c>
      <c r="W50" s="16">
        <f t="shared" si="9"/>
        <v>40.937818696716413</v>
      </c>
      <c r="X50" s="16">
        <f t="shared" si="14"/>
        <v>40.8888106925478</v>
      </c>
      <c r="Y50" s="17">
        <f t="shared" si="5"/>
        <v>-5.1306258292930168E-3</v>
      </c>
      <c r="Z50" s="17">
        <f t="shared" si="8"/>
        <v>-3.3722169130102468E-3</v>
      </c>
      <c r="AA50" s="17">
        <f t="shared" si="8"/>
        <v>-2.174367010251226E-3</v>
      </c>
      <c r="AC50" s="18">
        <f t="shared" si="6"/>
        <v>-7.732583446189923E-3</v>
      </c>
      <c r="AD50" s="18">
        <f t="shared" si="6"/>
        <v>-9.9988639406100761E-3</v>
      </c>
      <c r="AE50" s="18"/>
      <c r="AF50" s="18"/>
      <c r="AH50">
        <f t="shared" si="15"/>
        <v>1</v>
      </c>
      <c r="AI50">
        <f t="shared" si="16"/>
        <v>0</v>
      </c>
      <c r="AJ50">
        <f t="shared" si="17"/>
        <v>0</v>
      </c>
      <c r="AK50">
        <f t="shared" si="11"/>
        <v>0</v>
      </c>
      <c r="AL50" s="18">
        <f t="shared" si="18"/>
        <v>0</v>
      </c>
      <c r="AM50" s="18">
        <f t="shared" si="19"/>
        <v>0</v>
      </c>
      <c r="AN50" s="18">
        <f t="shared" si="20"/>
        <v>0</v>
      </c>
      <c r="AO50" s="19">
        <f t="shared" si="21"/>
        <v>5.9948082116370949E-3</v>
      </c>
      <c r="AQ50" s="18"/>
      <c r="AS50">
        <f t="shared" si="22"/>
        <v>0</v>
      </c>
      <c r="AT50">
        <f t="shared" si="23"/>
        <v>1</v>
      </c>
      <c r="AU50">
        <f t="shared" si="24"/>
        <v>0</v>
      </c>
      <c r="AV50">
        <f t="shared" si="25"/>
        <v>1</v>
      </c>
      <c r="AW50" s="18">
        <f t="shared" si="26"/>
        <v>-7.732583446189923E-3</v>
      </c>
      <c r="AX50" s="18">
        <f t="shared" si="27"/>
        <v>9.9988639406100761E-3</v>
      </c>
      <c r="AY50" s="18">
        <f t="shared" si="28"/>
        <v>2.2662804944201531E-3</v>
      </c>
      <c r="AZ50" s="19">
        <f t="shared" si="29"/>
        <v>1.0713175328403789E-2</v>
      </c>
      <c r="BB50" s="19">
        <f t="shared" si="30"/>
        <v>2.2662804944201531E-3</v>
      </c>
      <c r="BC50" s="19">
        <f t="shared" si="31"/>
        <v>1.6707983540040883E-2</v>
      </c>
    </row>
    <row r="51" spans="1:55" x14ac:dyDescent="0.3">
      <c r="A51" s="1">
        <v>46097</v>
      </c>
      <c r="B51" s="10">
        <v>22.09</v>
      </c>
      <c r="C51" s="10">
        <v>41.24</v>
      </c>
      <c r="D51" s="11">
        <v>1.8669081032141199</v>
      </c>
      <c r="E51" s="11">
        <v>1.8778822651217899</v>
      </c>
      <c r="F51" s="11">
        <v>1.86811747496803</v>
      </c>
      <c r="G51" s="11">
        <v>1.8654590824992101</v>
      </c>
      <c r="H51" s="10">
        <v>41.482419236540402</v>
      </c>
      <c r="I51" s="10">
        <v>41.273895039649503</v>
      </c>
      <c r="J51" s="10">
        <v>41.200897111610303</v>
      </c>
      <c r="K51" s="12">
        <v>-5.8610454756981498E-3</v>
      </c>
      <c r="L51" s="12">
        <v>-8.2155960616768801E-4</v>
      </c>
      <c r="M51" s="12">
        <v>9.4862847669158201E-4</v>
      </c>
      <c r="N51" s="26">
        <v>0.08</v>
      </c>
      <c r="O51" s="13">
        <v>0</v>
      </c>
      <c r="P51" s="23">
        <f t="shared" si="12"/>
        <v>22.169999999999998</v>
      </c>
      <c r="Q51" s="23">
        <f t="shared" si="13"/>
        <v>41.24</v>
      </c>
      <c r="R51" s="14">
        <f t="shared" si="2"/>
        <v>1.8601714027965721</v>
      </c>
      <c r="S51" s="14">
        <f t="shared" si="3"/>
        <v>1.8657810486417497</v>
      </c>
      <c r="T51" s="14">
        <f t="shared" si="7"/>
        <v>1.8614380067085765</v>
      </c>
      <c r="U51" s="14">
        <f t="shared" si="10"/>
        <v>1.8603360764290837</v>
      </c>
      <c r="V51" s="16">
        <f t="shared" si="4"/>
        <v>41.364365848387585</v>
      </c>
      <c r="W51" s="16">
        <f t="shared" si="9"/>
        <v>41.275674029781776</v>
      </c>
      <c r="X51" s="16">
        <f t="shared" si="14"/>
        <v>41.24043065872344</v>
      </c>
      <c r="Y51" s="17">
        <f t="shared" si="5"/>
        <v>-3.011122743394603E-3</v>
      </c>
      <c r="Z51" s="17">
        <f t="shared" si="8"/>
        <v>-8.6466074291540525E-4</v>
      </c>
      <c r="AA51" s="17">
        <f t="shared" si="8"/>
        <v>-1.0442688526310405E-5</v>
      </c>
      <c r="AC51" s="18">
        <f t="shared" si="6"/>
        <v>8.638380609570763E-3</v>
      </c>
      <c r="AD51" s="18">
        <f t="shared" si="6"/>
        <v>1.0726577738643342E-2</v>
      </c>
      <c r="AE51" s="18"/>
      <c r="AF51" s="18"/>
      <c r="AH51">
        <f t="shared" si="15"/>
        <v>0</v>
      </c>
      <c r="AI51">
        <f t="shared" si="16"/>
        <v>0</v>
      </c>
      <c r="AJ51">
        <f t="shared" si="17"/>
        <v>1</v>
      </c>
      <c r="AK51">
        <f t="shared" si="11"/>
        <v>1</v>
      </c>
      <c r="AL51" s="18">
        <f t="shared" si="18"/>
        <v>-8.638380609570763E-3</v>
      </c>
      <c r="AM51" s="18">
        <f t="shared" si="19"/>
        <v>1.0726577738643342E-2</v>
      </c>
      <c r="AN51" s="18">
        <f t="shared" si="20"/>
        <v>2.088197129072579E-3</v>
      </c>
      <c r="AO51" s="19">
        <f t="shared" si="21"/>
        <v>8.083005340709673E-3</v>
      </c>
      <c r="AQ51" s="18"/>
      <c r="AS51">
        <f t="shared" si="22"/>
        <v>0</v>
      </c>
      <c r="AT51">
        <f t="shared" si="23"/>
        <v>1</v>
      </c>
      <c r="AU51">
        <f t="shared" si="24"/>
        <v>1</v>
      </c>
      <c r="AV51">
        <f t="shared" si="25"/>
        <v>0</v>
      </c>
      <c r="AW51" s="18">
        <f t="shared" si="26"/>
        <v>0</v>
      </c>
      <c r="AX51" s="18">
        <f t="shared" si="27"/>
        <v>0</v>
      </c>
      <c r="AY51" s="18">
        <f t="shared" si="28"/>
        <v>0</v>
      </c>
      <c r="AZ51" s="19">
        <f t="shared" si="29"/>
        <v>1.0713175328403789E-2</v>
      </c>
      <c r="BB51" s="19">
        <f t="shared" si="30"/>
        <v>2.088197129072579E-3</v>
      </c>
      <c r="BC51" s="19">
        <f t="shared" si="31"/>
        <v>1.8796180669113462E-2</v>
      </c>
    </row>
    <row r="52" spans="1:55" x14ac:dyDescent="0.3">
      <c r="A52" s="1">
        <v>46098</v>
      </c>
      <c r="B52" s="10">
        <v>22.16</v>
      </c>
      <c r="C52" s="10">
        <v>41.44</v>
      </c>
      <c r="D52" s="11">
        <v>1.87003610108303</v>
      </c>
      <c r="E52" s="11">
        <v>1.8778822651217899</v>
      </c>
      <c r="F52" s="11">
        <v>1.8677933838758001</v>
      </c>
      <c r="G52" s="11">
        <v>1.86583128200503</v>
      </c>
      <c r="H52" s="10">
        <v>41.6138709950989</v>
      </c>
      <c r="I52" s="10">
        <v>41.397483245291703</v>
      </c>
      <c r="J52" s="10">
        <v>41.3385732681825</v>
      </c>
      <c r="K52" s="12">
        <v>-4.1869511202870698E-3</v>
      </c>
      <c r="L52" s="12">
        <v>1.0265101443461501E-3</v>
      </c>
      <c r="M52" s="12">
        <v>2.4505564319505699E-3</v>
      </c>
      <c r="N52" s="26">
        <v>0.08</v>
      </c>
      <c r="O52" s="13">
        <v>0</v>
      </c>
      <c r="P52" s="23">
        <f t="shared" si="12"/>
        <v>22.24</v>
      </c>
      <c r="Q52" s="23">
        <f t="shared" si="13"/>
        <v>41.44</v>
      </c>
      <c r="R52" s="14">
        <f t="shared" si="2"/>
        <v>1.8633093525179856</v>
      </c>
      <c r="S52" s="14">
        <f t="shared" si="3"/>
        <v>1.8657810486417497</v>
      </c>
      <c r="T52" s="14">
        <f t="shared" si="7"/>
        <v>1.8611052290671537</v>
      </c>
      <c r="U52" s="14">
        <f t="shared" si="10"/>
        <v>1.8605331321121017</v>
      </c>
      <c r="V52" s="16">
        <f t="shared" si="4"/>
        <v>41.49497052179251</v>
      </c>
      <c r="W52" s="16">
        <f t="shared" si="9"/>
        <v>41.398381269198737</v>
      </c>
      <c r="X52" s="16">
        <f t="shared" si="14"/>
        <v>41.373874339782816</v>
      </c>
      <c r="Y52" s="17">
        <f t="shared" si="5"/>
        <v>-1.3256296950878506E-3</v>
      </c>
      <c r="Z52" s="17">
        <f t="shared" si="8"/>
        <v>1.0048176621834535E-3</v>
      </c>
      <c r="AA52" s="17">
        <f t="shared" si="8"/>
        <v>1.5969709133353989E-3</v>
      </c>
      <c r="AC52" s="18">
        <f t="shared" si="6"/>
        <v>3.1638444470573415E-3</v>
      </c>
      <c r="AD52" s="18">
        <f t="shared" si="6"/>
        <v>4.8379388024684502E-3</v>
      </c>
      <c r="AE52" s="18"/>
      <c r="AF52" s="18"/>
      <c r="AH52">
        <f t="shared" si="15"/>
        <v>0</v>
      </c>
      <c r="AI52">
        <f t="shared" si="16"/>
        <v>1</v>
      </c>
      <c r="AJ52">
        <f t="shared" si="17"/>
        <v>1</v>
      </c>
      <c r="AK52">
        <f t="shared" si="11"/>
        <v>1</v>
      </c>
      <c r="AL52" s="18">
        <f t="shared" si="18"/>
        <v>-3.1638444470573415E-3</v>
      </c>
      <c r="AM52" s="18">
        <f t="shared" si="19"/>
        <v>4.8379388024684502E-3</v>
      </c>
      <c r="AN52" s="18">
        <f t="shared" si="20"/>
        <v>1.6740943554111086E-3</v>
      </c>
      <c r="AO52" s="19">
        <f t="shared" si="21"/>
        <v>9.7570996961207808E-3</v>
      </c>
      <c r="AQ52" s="18"/>
      <c r="AS52">
        <f t="shared" si="22"/>
        <v>1</v>
      </c>
      <c r="AT52">
        <f t="shared" si="23"/>
        <v>0</v>
      </c>
      <c r="AU52">
        <f t="shared" si="24"/>
        <v>0</v>
      </c>
      <c r="AV52">
        <f t="shared" si="25"/>
        <v>0</v>
      </c>
      <c r="AW52" s="18">
        <f t="shared" si="26"/>
        <v>0</v>
      </c>
      <c r="AX52" s="18">
        <f t="shared" si="27"/>
        <v>0</v>
      </c>
      <c r="AY52" s="18">
        <f t="shared" si="28"/>
        <v>0</v>
      </c>
      <c r="AZ52" s="19">
        <f t="shared" si="29"/>
        <v>1.0713175328403789E-2</v>
      </c>
      <c r="BB52" s="19">
        <f t="shared" si="30"/>
        <v>1.6740943554111086E-3</v>
      </c>
      <c r="BC52" s="19">
        <f t="shared" si="31"/>
        <v>2.0470275024524569E-2</v>
      </c>
    </row>
    <row r="53" spans="1:55" x14ac:dyDescent="0.3">
      <c r="A53" s="1">
        <v>46099</v>
      </c>
      <c r="B53" s="10">
        <v>21.97</v>
      </c>
      <c r="C53" s="10">
        <v>41.04</v>
      </c>
      <c r="D53" s="11">
        <v>1.8680018206645399</v>
      </c>
      <c r="E53" s="11">
        <v>1.8778822651217899</v>
      </c>
      <c r="F53" s="11">
        <v>1.86753109363388</v>
      </c>
      <c r="G53" s="11">
        <v>1.8661873259383801</v>
      </c>
      <c r="H53" s="10">
        <v>41.257073364725798</v>
      </c>
      <c r="I53" s="10">
        <v>41.035420643751401</v>
      </c>
      <c r="J53" s="10">
        <v>40.992313265650502</v>
      </c>
      <c r="K53" s="12">
        <v>-5.2753727264362197E-3</v>
      </c>
      <c r="L53" s="12">
        <v>1.11588980412258E-4</v>
      </c>
      <c r="M53" s="12">
        <v>1.1626330606234101E-3</v>
      </c>
      <c r="N53" s="26">
        <v>0.08</v>
      </c>
      <c r="O53" s="13">
        <v>0</v>
      </c>
      <c r="P53" s="23">
        <f t="shared" si="12"/>
        <v>22.049999999999997</v>
      </c>
      <c r="Q53" s="23">
        <f t="shared" si="13"/>
        <v>41.04</v>
      </c>
      <c r="R53" s="14">
        <f t="shared" si="2"/>
        <v>1.8612244897959185</v>
      </c>
      <c r="S53" s="14">
        <f t="shared" si="3"/>
        <v>1.8657810486417497</v>
      </c>
      <c r="T53" s="14">
        <f t="shared" si="7"/>
        <v>1.8608259120423309</v>
      </c>
      <c r="U53" s="14">
        <f t="shared" si="10"/>
        <v>1.8607123365757761</v>
      </c>
      <c r="V53" s="16">
        <f t="shared" si="4"/>
        <v>41.140472122550577</v>
      </c>
      <c r="W53" s="16">
        <f t="shared" si="9"/>
        <v>41.037370300930732</v>
      </c>
      <c r="X53" s="16">
        <f t="shared" si="14"/>
        <v>41.024755563071835</v>
      </c>
      <c r="Y53" s="17">
        <f t="shared" si="5"/>
        <v>-2.445159294274666E-3</v>
      </c>
      <c r="Z53" s="17">
        <f t="shared" si="8"/>
        <v>6.4078541028338116E-5</v>
      </c>
      <c r="AA53" s="17">
        <f t="shared" si="8"/>
        <v>3.7152214733143996E-4</v>
      </c>
      <c r="AC53" s="18">
        <f t="shared" si="6"/>
        <v>-8.6109754825642315E-3</v>
      </c>
      <c r="AD53" s="18">
        <f t="shared" si="6"/>
        <v>-9.6993970887135055E-3</v>
      </c>
      <c r="AE53" s="18"/>
      <c r="AF53" s="18"/>
      <c r="AH53">
        <f t="shared" si="15"/>
        <v>0</v>
      </c>
      <c r="AI53">
        <f t="shared" si="16"/>
        <v>1</v>
      </c>
      <c r="AJ53">
        <f t="shared" si="17"/>
        <v>0</v>
      </c>
      <c r="AK53">
        <f t="shared" si="11"/>
        <v>0</v>
      </c>
      <c r="AL53" s="18">
        <f t="shared" si="18"/>
        <v>0</v>
      </c>
      <c r="AM53" s="18">
        <f t="shared" si="19"/>
        <v>0</v>
      </c>
      <c r="AN53" s="18">
        <f t="shared" si="20"/>
        <v>0</v>
      </c>
      <c r="AO53" s="19">
        <f t="shared" si="21"/>
        <v>9.7570996961207808E-3</v>
      </c>
      <c r="AQ53" s="18"/>
      <c r="AS53">
        <f t="shared" si="22"/>
        <v>0</v>
      </c>
      <c r="AT53">
        <f t="shared" si="23"/>
        <v>0</v>
      </c>
      <c r="AU53">
        <f t="shared" si="24"/>
        <v>0</v>
      </c>
      <c r="AV53">
        <f t="shared" si="25"/>
        <v>1</v>
      </c>
      <c r="AW53" s="18">
        <f t="shared" si="26"/>
        <v>-8.6109754825642315E-3</v>
      </c>
      <c r="AX53" s="18">
        <f t="shared" si="27"/>
        <v>9.6993970887135055E-3</v>
      </c>
      <c r="AY53" s="18">
        <f t="shared" si="28"/>
        <v>1.088421606149274E-3</v>
      </c>
      <c r="AZ53" s="19">
        <f t="shared" si="29"/>
        <v>1.1801596934553063E-2</v>
      </c>
      <c r="BB53" s="19">
        <f t="shared" si="30"/>
        <v>1.088421606149274E-3</v>
      </c>
      <c r="BC53" s="19">
        <f t="shared" si="31"/>
        <v>2.1558696630673842E-2</v>
      </c>
    </row>
    <row r="54" spans="1:55" x14ac:dyDescent="0.3">
      <c r="A54" s="1">
        <v>46100</v>
      </c>
      <c r="B54" s="10">
        <v>22.19</v>
      </c>
      <c r="C54" s="10">
        <v>41.49</v>
      </c>
      <c r="D54" s="11">
        <v>1.86976115367282</v>
      </c>
      <c r="E54" s="11">
        <v>1.8778822651217899</v>
      </c>
      <c r="F54" s="11">
        <v>1.8675429232868801</v>
      </c>
      <c r="G54" s="11">
        <v>1.8665907413881699</v>
      </c>
      <c r="H54" s="10">
        <v>41.670207463052598</v>
      </c>
      <c r="I54" s="10">
        <v>41.440514967735901</v>
      </c>
      <c r="J54" s="10">
        <v>41.410696762572798</v>
      </c>
      <c r="K54" s="12">
        <v>-4.3339897921575799E-3</v>
      </c>
      <c r="L54" s="12">
        <v>1.19340964315604E-3</v>
      </c>
      <c r="M54" s="12">
        <v>1.9132109792570099E-3</v>
      </c>
      <c r="N54" s="26">
        <v>0.08</v>
      </c>
      <c r="O54" s="13">
        <v>0</v>
      </c>
      <c r="P54" s="23">
        <f t="shared" si="12"/>
        <v>22.27</v>
      </c>
      <c r="Q54" s="23">
        <f t="shared" si="13"/>
        <v>41.49</v>
      </c>
      <c r="R54" s="14">
        <f t="shared" si="2"/>
        <v>1.8630444544229907</v>
      </c>
      <c r="S54" s="14">
        <f t="shared" si="3"/>
        <v>1.8657810486417497</v>
      </c>
      <c r="T54" s="14">
        <f t="shared" si="7"/>
        <v>1.8608314251002884</v>
      </c>
      <c r="U54" s="14">
        <f t="shared" si="10"/>
        <v>1.8609420854293297</v>
      </c>
      <c r="V54" s="16">
        <f t="shared" si="4"/>
        <v>41.55094395325176</v>
      </c>
      <c r="W54" s="16">
        <f t="shared" si="9"/>
        <v>41.44059306118271</v>
      </c>
      <c r="X54" s="16">
        <f t="shared" si="14"/>
        <v>41.438063735542535</v>
      </c>
      <c r="Y54" s="17">
        <f t="shared" si="5"/>
        <v>-1.4678051884333947E-3</v>
      </c>
      <c r="Z54" s="17">
        <f t="shared" si="8"/>
        <v>1.1915251739784125E-3</v>
      </c>
      <c r="AA54" s="17">
        <f t="shared" si="8"/>
        <v>1.2525620135874574E-3</v>
      </c>
      <c r="AC54" s="18">
        <f t="shared" si="6"/>
        <v>9.9638505479837779E-3</v>
      </c>
      <c r="AD54" s="18">
        <f t="shared" si="6"/>
        <v>1.0905233482262527E-2</v>
      </c>
      <c r="AE54" s="18"/>
      <c r="AF54" s="18"/>
      <c r="AH54">
        <f t="shared" si="15"/>
        <v>0</v>
      </c>
      <c r="AI54">
        <f t="shared" si="16"/>
        <v>1</v>
      </c>
      <c r="AJ54">
        <f t="shared" si="17"/>
        <v>0</v>
      </c>
      <c r="AK54">
        <f t="shared" si="11"/>
        <v>0</v>
      </c>
      <c r="AL54" s="18">
        <f t="shared" si="18"/>
        <v>0</v>
      </c>
      <c r="AM54" s="18">
        <f t="shared" si="19"/>
        <v>0</v>
      </c>
      <c r="AN54" s="18">
        <f t="shared" si="20"/>
        <v>0</v>
      </c>
      <c r="AO54" s="19">
        <f t="shared" si="21"/>
        <v>9.7570996961207808E-3</v>
      </c>
      <c r="AQ54" s="18"/>
      <c r="AS54">
        <f t="shared" si="22"/>
        <v>1</v>
      </c>
      <c r="AT54">
        <f t="shared" si="23"/>
        <v>0</v>
      </c>
      <c r="AU54">
        <f t="shared" si="24"/>
        <v>1</v>
      </c>
      <c r="AV54">
        <f t="shared" si="25"/>
        <v>0</v>
      </c>
      <c r="AW54" s="18">
        <f t="shared" si="26"/>
        <v>0</v>
      </c>
      <c r="AX54" s="18">
        <f t="shared" si="27"/>
        <v>0</v>
      </c>
      <c r="AY54" s="18">
        <f t="shared" si="28"/>
        <v>0</v>
      </c>
      <c r="AZ54" s="19">
        <f t="shared" si="29"/>
        <v>1.1801596934553063E-2</v>
      </c>
      <c r="BB54" s="19">
        <f t="shared" si="30"/>
        <v>0</v>
      </c>
      <c r="BC54" s="19">
        <f t="shared" si="31"/>
        <v>2.1558696630673842E-2</v>
      </c>
    </row>
    <row r="55" spans="1:55" x14ac:dyDescent="0.3">
      <c r="A55" s="1">
        <v>46101</v>
      </c>
      <c r="B55" s="10">
        <v>21.92</v>
      </c>
      <c r="C55" s="10">
        <v>40.950000000000003</v>
      </c>
      <c r="D55" s="11">
        <v>1.86815693430656</v>
      </c>
      <c r="E55" s="11">
        <v>1.8778822651217899</v>
      </c>
      <c r="F55" s="11">
        <v>1.86728348254938</v>
      </c>
      <c r="G55" s="11">
        <v>1.8667364860537801</v>
      </c>
      <c r="H55" s="10">
        <v>41.1631792514697</v>
      </c>
      <c r="I55" s="10">
        <v>40.936540878448497</v>
      </c>
      <c r="J55" s="10">
        <v>40.915669051228697</v>
      </c>
      <c r="K55" s="12">
        <v>-5.1923389731678704E-3</v>
      </c>
      <c r="L55" s="12">
        <v>3.2872610146467498E-4</v>
      </c>
      <c r="M55" s="12">
        <v>8.3871422982520895E-4</v>
      </c>
      <c r="N55" s="26">
        <v>0.08</v>
      </c>
      <c r="O55" s="13">
        <v>0</v>
      </c>
      <c r="P55" s="23">
        <f t="shared" si="12"/>
        <v>22</v>
      </c>
      <c r="Q55" s="23">
        <f t="shared" si="13"/>
        <v>40.950000000000003</v>
      </c>
      <c r="R55" s="14">
        <f t="shared" si="2"/>
        <v>1.8613636363636366</v>
      </c>
      <c r="S55" s="14">
        <f t="shared" si="3"/>
        <v>1.8657810486417497</v>
      </c>
      <c r="T55" s="14">
        <f t="shared" si="7"/>
        <v>1.8605595890931586</v>
      </c>
      <c r="U55" s="14">
        <f t="shared" si="10"/>
        <v>1.8609105719928312</v>
      </c>
      <c r="V55" s="16">
        <f t="shared" si="4"/>
        <v>41.047183070118493</v>
      </c>
      <c r="W55" s="16">
        <f t="shared" si="9"/>
        <v>40.938291352206349</v>
      </c>
      <c r="X55" s="16">
        <f t="shared" si="14"/>
        <v>40.940725879445253</v>
      </c>
      <c r="Y55" s="17">
        <f t="shared" si="5"/>
        <v>-2.3704013231711217E-3</v>
      </c>
      <c r="Z55" s="17">
        <f t="shared" si="8"/>
        <v>2.859663495256812E-4</v>
      </c>
      <c r="AA55" s="17">
        <f t="shared" si="8"/>
        <v>2.2649989958689896E-4</v>
      </c>
      <c r="AC55" s="18">
        <f t="shared" si="6"/>
        <v>-1.2242274864687722E-2</v>
      </c>
      <c r="AD55" s="18">
        <f t="shared" si="6"/>
        <v>-1.3100624045698093E-2</v>
      </c>
      <c r="AE55" s="18"/>
      <c r="AF55" s="18"/>
      <c r="AH55">
        <f t="shared" si="15"/>
        <v>0</v>
      </c>
      <c r="AI55">
        <f t="shared" si="16"/>
        <v>1</v>
      </c>
      <c r="AJ55">
        <f t="shared" si="17"/>
        <v>0</v>
      </c>
      <c r="AK55">
        <f t="shared" si="11"/>
        <v>0</v>
      </c>
      <c r="AL55" s="18">
        <f t="shared" si="18"/>
        <v>0</v>
      </c>
      <c r="AM55" s="18">
        <f t="shared" si="19"/>
        <v>0</v>
      </c>
      <c r="AN55" s="18">
        <f t="shared" si="20"/>
        <v>0</v>
      </c>
      <c r="AO55" s="19">
        <f t="shared" si="21"/>
        <v>9.7570996961207808E-3</v>
      </c>
      <c r="AQ55" s="18"/>
      <c r="AS55">
        <f t="shared" si="22"/>
        <v>0</v>
      </c>
      <c r="AT55">
        <f t="shared" si="23"/>
        <v>0</v>
      </c>
      <c r="AU55">
        <f t="shared" si="24"/>
        <v>0</v>
      </c>
      <c r="AV55">
        <f t="shared" si="25"/>
        <v>1</v>
      </c>
      <c r="AW55" s="18">
        <f t="shared" si="26"/>
        <v>-1.2242274864687722E-2</v>
      </c>
      <c r="AX55" s="18">
        <f t="shared" si="27"/>
        <v>1.3100624045698093E-2</v>
      </c>
      <c r="AY55" s="18">
        <f t="shared" si="28"/>
        <v>8.5834918101037119E-4</v>
      </c>
      <c r="AZ55" s="19">
        <f t="shared" si="29"/>
        <v>1.2659946115563434E-2</v>
      </c>
      <c r="BB55" s="19">
        <f t="shared" si="30"/>
        <v>8.5834918101037119E-4</v>
      </c>
      <c r="BC55" s="19">
        <f t="shared" si="31"/>
        <v>2.2417045811684213E-2</v>
      </c>
    </row>
    <row r="56" spans="1:55" x14ac:dyDescent="0.3">
      <c r="A56" s="1">
        <v>46104</v>
      </c>
      <c r="B56" s="10">
        <v>22.12</v>
      </c>
      <c r="C56" s="10">
        <v>41.26</v>
      </c>
      <c r="D56" s="11">
        <v>1.8652802893309199</v>
      </c>
      <c r="E56" s="11">
        <v>1.8778822651217899</v>
      </c>
      <c r="F56" s="11">
        <v>1.8671091464668499</v>
      </c>
      <c r="G56" s="11">
        <v>1.86711546798237</v>
      </c>
      <c r="H56" s="10">
        <v>41.5387557044941</v>
      </c>
      <c r="I56" s="10">
        <v>41.304310633992301</v>
      </c>
      <c r="J56" s="10">
        <v>41.292211071509698</v>
      </c>
      <c r="K56" s="12">
        <v>-6.7333562034599401E-3</v>
      </c>
      <c r="L56" s="12">
        <v>-1.0733605817411899E-3</v>
      </c>
      <c r="M56" s="12">
        <v>-7.8038062763802196E-4</v>
      </c>
      <c r="N56" s="26">
        <v>0.08</v>
      </c>
      <c r="O56" s="13">
        <v>0</v>
      </c>
      <c r="P56" s="23">
        <f t="shared" si="12"/>
        <v>22.2</v>
      </c>
      <c r="Q56" s="23">
        <f t="shared" si="13"/>
        <v>41.26</v>
      </c>
      <c r="R56" s="14">
        <f t="shared" si="2"/>
        <v>1.8585585585585584</v>
      </c>
      <c r="S56" s="14">
        <f t="shared" si="3"/>
        <v>1.8657810486417497</v>
      </c>
      <c r="T56" s="14">
        <f t="shared" si="7"/>
        <v>1.8603772057315844</v>
      </c>
      <c r="U56" s="14">
        <f t="shared" si="10"/>
        <v>1.8611143769237912</v>
      </c>
      <c r="V56" s="16">
        <f t="shared" si="4"/>
        <v>41.420339279846843</v>
      </c>
      <c r="W56" s="16">
        <f t="shared" si="9"/>
        <v>41.30442287786812</v>
      </c>
      <c r="X56" s="16">
        <f t="shared" si="14"/>
        <v>41.312214698240851</v>
      </c>
      <c r="Y56" s="17">
        <f t="shared" si="5"/>
        <v>-3.8785394990618178E-3</v>
      </c>
      <c r="Z56" s="17">
        <f t="shared" si="8"/>
        <v>-1.0760780638031672E-3</v>
      </c>
      <c r="AA56" s="17">
        <f t="shared" si="8"/>
        <v>-1.2647040022204137E-3</v>
      </c>
      <c r="AC56" s="18">
        <f t="shared" si="6"/>
        <v>9.0827145743192263E-3</v>
      </c>
      <c r="AD56" s="18">
        <f t="shared" si="6"/>
        <v>7.5416973440273075E-3</v>
      </c>
      <c r="AE56" s="18"/>
      <c r="AF56" s="18"/>
      <c r="AH56">
        <f t="shared" si="15"/>
        <v>1</v>
      </c>
      <c r="AI56">
        <f t="shared" si="16"/>
        <v>0</v>
      </c>
      <c r="AJ56">
        <f t="shared" si="17"/>
        <v>0</v>
      </c>
      <c r="AK56">
        <f t="shared" si="11"/>
        <v>0</v>
      </c>
      <c r="AL56" s="18">
        <f t="shared" si="18"/>
        <v>0</v>
      </c>
      <c r="AM56" s="18">
        <f t="shared" si="19"/>
        <v>0</v>
      </c>
      <c r="AN56" s="18">
        <f t="shared" si="20"/>
        <v>0</v>
      </c>
      <c r="AO56" s="19">
        <f t="shared" si="21"/>
        <v>9.7570996961207808E-3</v>
      </c>
      <c r="AQ56" s="18"/>
      <c r="AS56">
        <f t="shared" si="22"/>
        <v>0</v>
      </c>
      <c r="AT56">
        <f t="shared" si="23"/>
        <v>1</v>
      </c>
      <c r="AU56">
        <f t="shared" si="24"/>
        <v>1</v>
      </c>
      <c r="AV56">
        <f t="shared" si="25"/>
        <v>0</v>
      </c>
      <c r="AW56" s="18">
        <f t="shared" si="26"/>
        <v>0</v>
      </c>
      <c r="AX56" s="18">
        <f t="shared" si="27"/>
        <v>0</v>
      </c>
      <c r="AY56" s="18">
        <f t="shared" si="28"/>
        <v>0</v>
      </c>
      <c r="AZ56" s="19">
        <f t="shared" si="29"/>
        <v>1.2659946115563434E-2</v>
      </c>
      <c r="BB56" s="19">
        <f t="shared" si="30"/>
        <v>0</v>
      </c>
      <c r="BC56" s="19">
        <f t="shared" si="31"/>
        <v>2.2417045811684213E-2</v>
      </c>
    </row>
    <row r="57" spans="1:55" x14ac:dyDescent="0.3">
      <c r="A57" s="1">
        <v>46105</v>
      </c>
      <c r="B57" s="10">
        <v>21.98</v>
      </c>
      <c r="C57" s="10">
        <v>41.07</v>
      </c>
      <c r="D57" s="11">
        <v>1.86851683348498</v>
      </c>
      <c r="E57" s="11">
        <v>1.8778822651217899</v>
      </c>
      <c r="F57" s="11">
        <v>1.8670470290114201</v>
      </c>
      <c r="G57" s="11">
        <v>1.86758785163139</v>
      </c>
      <c r="H57" s="10">
        <v>41.275852187376998</v>
      </c>
      <c r="I57" s="10">
        <v>41.039059039341502</v>
      </c>
      <c r="J57" s="10">
        <v>41.039197986252503</v>
      </c>
      <c r="K57" s="12">
        <v>-4.9997081994396899E-3</v>
      </c>
      <c r="L57" s="12">
        <v>7.5365526008914802E-4</v>
      </c>
      <c r="M57" s="12">
        <v>7.5026954221439602E-4</v>
      </c>
      <c r="N57" s="26">
        <v>0.08</v>
      </c>
      <c r="O57" s="13">
        <v>0</v>
      </c>
      <c r="P57" s="23">
        <f t="shared" si="12"/>
        <v>22.06</v>
      </c>
      <c r="Q57" s="23">
        <f t="shared" si="13"/>
        <v>41.07</v>
      </c>
      <c r="R57" s="14">
        <f t="shared" si="2"/>
        <v>1.8617407071622849</v>
      </c>
      <c r="S57" s="14">
        <f t="shared" si="3"/>
        <v>1.8657810486417497</v>
      </c>
      <c r="T57" s="14">
        <f t="shared" si="7"/>
        <v>1.8603029453396682</v>
      </c>
      <c r="U57" s="14">
        <f t="shared" si="10"/>
        <v>1.8614094018607155</v>
      </c>
      <c r="V57" s="16">
        <f t="shared" si="4"/>
        <v>41.159129933036994</v>
      </c>
      <c r="W57" s="16">
        <f t="shared" si="9"/>
        <v>41.039921158438752</v>
      </c>
      <c r="X57" s="16">
        <f t="shared" si="14"/>
        <v>41.056183154938829</v>
      </c>
      <c r="Y57" s="17">
        <f t="shared" si="5"/>
        <v>-2.1678441208228517E-3</v>
      </c>
      <c r="Z57" s="17">
        <f t="shared" si="8"/>
        <v>7.3264819847201706E-4</v>
      </c>
      <c r="AA57" s="17">
        <f t="shared" si="8"/>
        <v>3.3647844477232685E-4</v>
      </c>
      <c r="AC57" s="18">
        <f t="shared" si="6"/>
        <v>-6.34922767865878E-3</v>
      </c>
      <c r="AD57" s="18">
        <f t="shared" si="6"/>
        <v>-4.615579674638535E-3</v>
      </c>
      <c r="AE57" s="18"/>
      <c r="AF57" s="18"/>
      <c r="AH57">
        <f t="shared" si="15"/>
        <v>0</v>
      </c>
      <c r="AI57">
        <f t="shared" si="16"/>
        <v>1</v>
      </c>
      <c r="AJ57">
        <f t="shared" si="17"/>
        <v>1</v>
      </c>
      <c r="AK57">
        <f t="shared" si="11"/>
        <v>1</v>
      </c>
      <c r="AL57" s="18">
        <f t="shared" si="18"/>
        <v>6.34922767865878E-3</v>
      </c>
      <c r="AM57" s="18">
        <f t="shared" si="19"/>
        <v>-4.615579674638535E-3</v>
      </c>
      <c r="AN57" s="18">
        <f t="shared" si="20"/>
        <v>1.733648004020245E-3</v>
      </c>
      <c r="AO57" s="19">
        <f t="shared" si="21"/>
        <v>1.1490747700141026E-2</v>
      </c>
      <c r="AQ57" s="18"/>
      <c r="AS57">
        <f t="shared" si="22"/>
        <v>0</v>
      </c>
      <c r="AT57">
        <f t="shared" si="23"/>
        <v>0</v>
      </c>
      <c r="AU57">
        <f t="shared" si="24"/>
        <v>0</v>
      </c>
      <c r="AV57">
        <f t="shared" si="25"/>
        <v>0</v>
      </c>
      <c r="AW57" s="18">
        <f t="shared" si="26"/>
        <v>0</v>
      </c>
      <c r="AX57" s="18">
        <f t="shared" si="27"/>
        <v>0</v>
      </c>
      <c r="AY57" s="18">
        <f t="shared" si="28"/>
        <v>0</v>
      </c>
      <c r="AZ57" s="19">
        <f t="shared" si="29"/>
        <v>1.2659946115563434E-2</v>
      </c>
      <c r="BB57" s="19">
        <f t="shared" si="30"/>
        <v>1.733648004020245E-3</v>
      </c>
      <c r="BC57" s="19">
        <f t="shared" si="31"/>
        <v>2.4150693815704456E-2</v>
      </c>
    </row>
    <row r="58" spans="1:55" x14ac:dyDescent="0.3">
      <c r="A58" s="1">
        <v>46106</v>
      </c>
      <c r="B58" s="10">
        <v>22.04</v>
      </c>
      <c r="C58" s="10">
        <v>41.22</v>
      </c>
      <c r="D58" s="11">
        <v>1.8702359346642401</v>
      </c>
      <c r="E58" s="11">
        <v>1.8778822651217899</v>
      </c>
      <c r="F58" s="11">
        <v>1.8677151467148301</v>
      </c>
      <c r="G58" s="11">
        <v>1.8679534342653801</v>
      </c>
      <c r="H58" s="10">
        <v>41.388525123284303</v>
      </c>
      <c r="I58" s="10">
        <v>41.149716519411797</v>
      </c>
      <c r="J58" s="10">
        <v>41.161636249955798</v>
      </c>
      <c r="K58" s="12">
        <v>-4.0800960148323203E-3</v>
      </c>
      <c r="L58" s="12">
        <v>1.7065373201478201E-3</v>
      </c>
      <c r="M58" s="12">
        <v>1.4169118863210999E-3</v>
      </c>
      <c r="N58" s="26">
        <v>0.08</v>
      </c>
      <c r="O58" s="13">
        <v>0</v>
      </c>
      <c r="P58" s="23">
        <f t="shared" si="12"/>
        <v>22.119999999999997</v>
      </c>
      <c r="Q58" s="23">
        <f t="shared" si="13"/>
        <v>41.22</v>
      </c>
      <c r="R58" s="14">
        <f t="shared" si="2"/>
        <v>1.8634719710669079</v>
      </c>
      <c r="S58" s="14">
        <f t="shared" si="3"/>
        <v>1.8657810486417497</v>
      </c>
      <c r="T58" s="14">
        <f t="shared" si="7"/>
        <v>1.8609614125715825</v>
      </c>
      <c r="U58" s="14">
        <f t="shared" si="10"/>
        <v>1.861598638989213</v>
      </c>
      <c r="V58" s="16">
        <f t="shared" si="4"/>
        <v>41.271076795955494</v>
      </c>
      <c r="W58" s="16">
        <f t="shared" si="9"/>
        <v>41.149901150913458</v>
      </c>
      <c r="X58" s="16">
        <f t="shared" si="14"/>
        <v>41.174375969159023</v>
      </c>
      <c r="Y58" s="17">
        <f t="shared" si="5"/>
        <v>-1.2383594557546685E-3</v>
      </c>
      <c r="Z58" s="17">
        <f t="shared" si="8"/>
        <v>1.7020505070412732E-3</v>
      </c>
      <c r="AA58" s="17">
        <f t="shared" si="8"/>
        <v>1.1074550894358296E-3</v>
      </c>
      <c r="AC58" s="18">
        <f t="shared" si="6"/>
        <v>2.7260353092384017E-3</v>
      </c>
      <c r="AD58" s="18">
        <f t="shared" si="6"/>
        <v>3.6456474938456338E-3</v>
      </c>
      <c r="AE58" s="18"/>
      <c r="AF58" s="18"/>
      <c r="AH58">
        <f t="shared" si="15"/>
        <v>0</v>
      </c>
      <c r="AI58">
        <f t="shared" si="16"/>
        <v>1</v>
      </c>
      <c r="AJ58">
        <f t="shared" si="17"/>
        <v>0</v>
      </c>
      <c r="AK58">
        <f t="shared" si="11"/>
        <v>0</v>
      </c>
      <c r="AL58" s="18">
        <f t="shared" si="18"/>
        <v>0</v>
      </c>
      <c r="AM58" s="18">
        <f t="shared" si="19"/>
        <v>0</v>
      </c>
      <c r="AN58" s="18">
        <f t="shared" si="20"/>
        <v>0</v>
      </c>
      <c r="AO58" s="19">
        <f t="shared" si="21"/>
        <v>1.1490747700141026E-2</v>
      </c>
      <c r="AQ58" s="18"/>
      <c r="AS58">
        <f t="shared" si="22"/>
        <v>1</v>
      </c>
      <c r="AT58">
        <f t="shared" si="23"/>
        <v>0</v>
      </c>
      <c r="AU58">
        <f t="shared" si="24"/>
        <v>0</v>
      </c>
      <c r="AV58">
        <f t="shared" si="25"/>
        <v>0</v>
      </c>
      <c r="AW58" s="18">
        <f t="shared" si="26"/>
        <v>0</v>
      </c>
      <c r="AX58" s="18">
        <f t="shared" si="27"/>
        <v>0</v>
      </c>
      <c r="AY58" s="18">
        <f t="shared" si="28"/>
        <v>0</v>
      </c>
      <c r="AZ58" s="19">
        <f t="shared" si="29"/>
        <v>1.2659946115563434E-2</v>
      </c>
      <c r="BB58" s="19">
        <f t="shared" si="30"/>
        <v>0</v>
      </c>
      <c r="BC58" s="19">
        <f t="shared" si="31"/>
        <v>2.4150693815704456E-2</v>
      </c>
    </row>
    <row r="59" spans="1:55" x14ac:dyDescent="0.3">
      <c r="A59" s="1">
        <v>46107</v>
      </c>
      <c r="B59" s="10">
        <v>21.8</v>
      </c>
      <c r="C59" s="10">
        <v>40.69</v>
      </c>
      <c r="D59" s="11">
        <v>1.86651376146788</v>
      </c>
      <c r="E59" s="11">
        <v>1.8778822651217899</v>
      </c>
      <c r="F59" s="11">
        <v>1.8676424630519199</v>
      </c>
      <c r="G59" s="11">
        <v>1.86822658217378</v>
      </c>
      <c r="H59" s="10">
        <v>40.937833379655103</v>
      </c>
      <c r="I59" s="10">
        <v>40.716190198383401</v>
      </c>
      <c r="J59" s="10">
        <v>40.721384866985403</v>
      </c>
      <c r="K59" s="12">
        <v>-6.0722949738763899E-3</v>
      </c>
      <c r="L59" s="12">
        <v>-6.4344490813755795E-4</v>
      </c>
      <c r="M59" s="12">
        <v>-7.7101915393058297E-4</v>
      </c>
      <c r="N59" s="26">
        <v>0.08</v>
      </c>
      <c r="O59" s="13">
        <v>0</v>
      </c>
      <c r="P59" s="23">
        <f t="shared" si="12"/>
        <v>21.88</v>
      </c>
      <c r="Q59" s="23">
        <f t="shared" si="13"/>
        <v>40.69</v>
      </c>
      <c r="R59" s="14">
        <f t="shared" si="2"/>
        <v>1.8596892138939671</v>
      </c>
      <c r="S59" s="14">
        <f t="shared" si="3"/>
        <v>1.8657810486417497</v>
      </c>
      <c r="T59" s="14">
        <f t="shared" si="7"/>
        <v>1.8608806725614311</v>
      </c>
      <c r="U59" s="14">
        <f t="shared" si="10"/>
        <v>1.8616918989903701</v>
      </c>
      <c r="V59" s="16">
        <f t="shared" si="4"/>
        <v>40.823289344281477</v>
      </c>
      <c r="W59" s="16">
        <f t="shared" si="9"/>
        <v>40.717835707066222</v>
      </c>
      <c r="X59" s="16">
        <f t="shared" si="14"/>
        <v>40.731778221083978</v>
      </c>
      <c r="Y59" s="17">
        <f t="shared" si="5"/>
        <v>-3.2703738041155706E-3</v>
      </c>
      <c r="Z59" s="17">
        <f t="shared" si="8"/>
        <v>-6.838582038023144E-4</v>
      </c>
      <c r="AA59" s="17">
        <f t="shared" si="8"/>
        <v>-1.0262174485309251E-3</v>
      </c>
      <c r="AC59" s="18">
        <f t="shared" si="6"/>
        <v>-1.0949014489670358E-2</v>
      </c>
      <c r="AD59" s="18">
        <f t="shared" si="6"/>
        <v>-1.2941213448714375E-2</v>
      </c>
      <c r="AE59" s="18"/>
      <c r="AF59" s="18"/>
      <c r="AH59">
        <f t="shared" si="15"/>
        <v>1</v>
      </c>
      <c r="AI59">
        <f t="shared" si="16"/>
        <v>0</v>
      </c>
      <c r="AJ59">
        <f t="shared" si="17"/>
        <v>0</v>
      </c>
      <c r="AK59">
        <f t="shared" si="11"/>
        <v>0</v>
      </c>
      <c r="AL59" s="18">
        <f t="shared" si="18"/>
        <v>0</v>
      </c>
      <c r="AM59" s="18">
        <f t="shared" si="19"/>
        <v>0</v>
      </c>
      <c r="AN59" s="18">
        <f t="shared" si="20"/>
        <v>0</v>
      </c>
      <c r="AO59" s="19">
        <f t="shared" si="21"/>
        <v>1.1490747700141026E-2</v>
      </c>
      <c r="AQ59" s="18"/>
      <c r="AS59">
        <f t="shared" si="22"/>
        <v>0</v>
      </c>
      <c r="AT59">
        <f t="shared" si="23"/>
        <v>1</v>
      </c>
      <c r="AU59">
        <f t="shared" si="24"/>
        <v>0</v>
      </c>
      <c r="AV59">
        <f t="shared" si="25"/>
        <v>1</v>
      </c>
      <c r="AW59" s="18">
        <f t="shared" si="26"/>
        <v>-1.0949014489670358E-2</v>
      </c>
      <c r="AX59" s="18">
        <f t="shared" si="27"/>
        <v>1.2941213448714375E-2</v>
      </c>
      <c r="AY59" s="18">
        <f t="shared" si="28"/>
        <v>1.9921989590440167E-3</v>
      </c>
      <c r="AZ59" s="19">
        <f t="shared" si="29"/>
        <v>1.4652145074607451E-2</v>
      </c>
      <c r="BB59" s="19">
        <f t="shared" si="30"/>
        <v>1.9921989590440167E-3</v>
      </c>
      <c r="BC59" s="19">
        <f t="shared" si="31"/>
        <v>2.6142892774748475E-2</v>
      </c>
    </row>
    <row r="60" spans="1:55" x14ac:dyDescent="0.3">
      <c r="A60" s="1">
        <v>46108</v>
      </c>
      <c r="B60" s="10">
        <v>21.73</v>
      </c>
      <c r="C60" s="10">
        <v>40.54</v>
      </c>
      <c r="D60" s="11">
        <v>1.86562356189599</v>
      </c>
      <c r="E60" s="11">
        <v>1.8778822651217899</v>
      </c>
      <c r="F60" s="11">
        <v>1.8679034493785101</v>
      </c>
      <c r="G60" s="11">
        <v>1.8681729795477799</v>
      </c>
      <c r="H60" s="10">
        <v>40.806381621096598</v>
      </c>
      <c r="I60" s="10">
        <v>40.583870722118398</v>
      </c>
      <c r="J60" s="10">
        <v>40.596563630636197</v>
      </c>
      <c r="K60" s="12">
        <v>-6.5493404369158298E-3</v>
      </c>
      <c r="L60" s="12">
        <v>-1.08157379583983E-3</v>
      </c>
      <c r="M60" s="12">
        <v>-1.3942823621950599E-3</v>
      </c>
      <c r="N60" s="26">
        <v>0.08</v>
      </c>
      <c r="O60" s="13">
        <v>0</v>
      </c>
      <c r="P60" s="23">
        <f t="shared" si="12"/>
        <v>21.81</v>
      </c>
      <c r="Q60" s="23">
        <f t="shared" si="13"/>
        <v>40.54</v>
      </c>
      <c r="R60" s="14">
        <f t="shared" si="2"/>
        <v>1.8587803759743238</v>
      </c>
      <c r="S60" s="14">
        <f t="shared" si="3"/>
        <v>1.8657810486417497</v>
      </c>
      <c r="T60" s="14">
        <f t="shared" si="7"/>
        <v>1.8611354162553144</v>
      </c>
      <c r="U60" s="14">
        <f t="shared" si="10"/>
        <v>1.8614579659035209</v>
      </c>
      <c r="V60" s="16">
        <f t="shared" si="4"/>
        <v>40.692684670876559</v>
      </c>
      <c r="W60" s="16">
        <f t="shared" si="9"/>
        <v>40.585807468564809</v>
      </c>
      <c r="X60" s="16">
        <f t="shared" si="14"/>
        <v>40.603500316979968</v>
      </c>
      <c r="Y60" s="17">
        <f t="shared" si="5"/>
        <v>-3.7591974536175569E-3</v>
      </c>
      <c r="Z60" s="17">
        <f t="shared" si="8"/>
        <v>-1.1292947303057316E-3</v>
      </c>
      <c r="AA60" s="17">
        <f t="shared" si="8"/>
        <v>-1.565136571499106E-3</v>
      </c>
      <c r="AC60" s="18">
        <f t="shared" si="6"/>
        <v>-3.2161755267050697E-3</v>
      </c>
      <c r="AD60" s="18">
        <f t="shared" si="6"/>
        <v>-3.6932209897445525E-3</v>
      </c>
      <c r="AE60" s="18"/>
      <c r="AF60" s="18"/>
      <c r="AH60">
        <f t="shared" si="15"/>
        <v>1</v>
      </c>
      <c r="AI60">
        <f t="shared" si="16"/>
        <v>0</v>
      </c>
      <c r="AJ60">
        <f t="shared" si="17"/>
        <v>1</v>
      </c>
      <c r="AK60">
        <f t="shared" si="11"/>
        <v>1</v>
      </c>
      <c r="AL60" s="18">
        <f t="shared" si="18"/>
        <v>3.2161755267050697E-3</v>
      </c>
      <c r="AM60" s="18">
        <f t="shared" si="19"/>
        <v>-3.6932209897445525E-3</v>
      </c>
      <c r="AN60" s="18">
        <f t="shared" si="20"/>
        <v>-4.7704546303948278E-4</v>
      </c>
      <c r="AO60" s="19">
        <f t="shared" si="21"/>
        <v>1.1013702237101543E-2</v>
      </c>
      <c r="AQ60" s="18"/>
      <c r="AS60">
        <f t="shared" si="22"/>
        <v>0</v>
      </c>
      <c r="AT60">
        <f t="shared" si="23"/>
        <v>1</v>
      </c>
      <c r="AU60">
        <f t="shared" si="24"/>
        <v>1</v>
      </c>
      <c r="AV60">
        <f t="shared" si="25"/>
        <v>0</v>
      </c>
      <c r="AW60" s="18">
        <f t="shared" si="26"/>
        <v>0</v>
      </c>
      <c r="AX60" s="18">
        <f t="shared" si="27"/>
        <v>0</v>
      </c>
      <c r="AY60" s="18">
        <f t="shared" si="28"/>
        <v>0</v>
      </c>
      <c r="AZ60" s="19">
        <f t="shared" si="29"/>
        <v>1.4652145074607451E-2</v>
      </c>
      <c r="BB60" s="19">
        <f t="shared" si="30"/>
        <v>-4.7704546303948278E-4</v>
      </c>
      <c r="BC60" s="19">
        <f t="shared" si="31"/>
        <v>2.5665847311708991E-2</v>
      </c>
    </row>
    <row r="61" spans="1:55" x14ac:dyDescent="0.3">
      <c r="A61" s="1">
        <v>46111</v>
      </c>
      <c r="B61" s="10">
        <v>21.72</v>
      </c>
      <c r="C61" s="10">
        <v>40.56</v>
      </c>
      <c r="D61" s="11">
        <v>1.8674033149171201</v>
      </c>
      <c r="E61" s="11">
        <v>1.8778822651217899</v>
      </c>
      <c r="F61" s="11">
        <v>1.86795297054881</v>
      </c>
      <c r="G61" s="11">
        <v>1.86803522275842</v>
      </c>
      <c r="H61" s="10">
        <v>40.787602798445299</v>
      </c>
      <c r="I61" s="10">
        <v>40.570862920501298</v>
      </c>
      <c r="J61" s="10">
        <v>40.576717115777697</v>
      </c>
      <c r="K61" s="12">
        <v>-5.5958229752384103E-3</v>
      </c>
      <c r="L61" s="12">
        <v>-2.6778762545318899E-4</v>
      </c>
      <c r="M61" s="12">
        <v>-4.1207277318070201E-4</v>
      </c>
      <c r="N61" s="26">
        <v>0.08</v>
      </c>
      <c r="O61" s="13">
        <v>0</v>
      </c>
      <c r="P61" s="23">
        <f t="shared" si="12"/>
        <v>21.799999999999997</v>
      </c>
      <c r="Q61" s="23">
        <f t="shared" si="13"/>
        <v>40.56</v>
      </c>
      <c r="R61" s="14">
        <f t="shared" si="2"/>
        <v>1.8605504587155968</v>
      </c>
      <c r="S61" s="14">
        <f t="shared" si="3"/>
        <v>1.8657810486417497</v>
      </c>
      <c r="T61" s="14">
        <f t="shared" si="7"/>
        <v>1.8611733218472171</v>
      </c>
      <c r="U61" s="14">
        <f t="shared" si="10"/>
        <v>1.8613056642778969</v>
      </c>
      <c r="V61" s="16">
        <f t="shared" si="4"/>
        <v>40.674026860390136</v>
      </c>
      <c r="W61" s="16">
        <f t="shared" si="9"/>
        <v>40.572752074365852</v>
      </c>
      <c r="X61" s="16">
        <f t="shared" si="14"/>
        <v>40.579783656696748</v>
      </c>
      <c r="Y61" s="17">
        <f t="shared" si="5"/>
        <v>-2.8073687760491336E-3</v>
      </c>
      <c r="Z61" s="17">
        <f t="shared" si="8"/>
        <v>-3.143508421647022E-4</v>
      </c>
      <c r="AA61" s="17">
        <f t="shared" si="8"/>
        <v>-4.8764382149432786E-4</v>
      </c>
      <c r="AC61" s="18">
        <f t="shared" si="6"/>
        <v>-4.6029920260367565E-4</v>
      </c>
      <c r="AD61" s="18">
        <f t="shared" si="6"/>
        <v>4.9321825907375054E-4</v>
      </c>
      <c r="AE61" s="18"/>
      <c r="AF61" s="18"/>
      <c r="AH61">
        <f t="shared" si="15"/>
        <v>0</v>
      </c>
      <c r="AI61">
        <f t="shared" si="16"/>
        <v>0</v>
      </c>
      <c r="AJ61">
        <f t="shared" si="17"/>
        <v>1</v>
      </c>
      <c r="AK61">
        <f t="shared" si="11"/>
        <v>1</v>
      </c>
      <c r="AL61" s="18">
        <f t="shared" si="18"/>
        <v>4.6029920260367565E-4</v>
      </c>
      <c r="AM61" s="18">
        <f t="shared" si="19"/>
        <v>4.9321825907375054E-4</v>
      </c>
      <c r="AN61" s="18">
        <f t="shared" si="20"/>
        <v>9.5351746167742619E-4</v>
      </c>
      <c r="AO61" s="19">
        <f t="shared" si="21"/>
        <v>1.196721969877897E-2</v>
      </c>
      <c r="AQ61" s="18"/>
      <c r="AS61">
        <f t="shared" si="22"/>
        <v>0</v>
      </c>
      <c r="AT61">
        <f t="shared" si="23"/>
        <v>1</v>
      </c>
      <c r="AU61">
        <f t="shared" si="24"/>
        <v>0</v>
      </c>
      <c r="AV61">
        <f t="shared" si="25"/>
        <v>0</v>
      </c>
      <c r="AW61" s="18">
        <f t="shared" si="26"/>
        <v>0</v>
      </c>
      <c r="AX61" s="18">
        <f t="shared" si="27"/>
        <v>0</v>
      </c>
      <c r="AY61" s="18">
        <f t="shared" si="28"/>
        <v>0</v>
      </c>
      <c r="AZ61" s="19">
        <f t="shared" si="29"/>
        <v>1.4652145074607451E-2</v>
      </c>
      <c r="BB61" s="19">
        <f t="shared" si="30"/>
        <v>9.5351746167742619E-4</v>
      </c>
      <c r="BC61" s="19">
        <f t="shared" si="31"/>
        <v>2.6619364773386417E-2</v>
      </c>
    </row>
    <row r="62" spans="1:55" x14ac:dyDescent="0.3">
      <c r="A62" s="1">
        <v>46112</v>
      </c>
      <c r="B62" s="10">
        <v>21.95</v>
      </c>
      <c r="C62" s="10">
        <v>41.06</v>
      </c>
      <c r="D62" s="11">
        <v>1.8706150341685599</v>
      </c>
      <c r="E62" s="11">
        <v>1.8778822651217899</v>
      </c>
      <c r="F62" s="11">
        <v>1.86801086385736</v>
      </c>
      <c r="G62" s="11">
        <v>1.8679021238665801</v>
      </c>
      <c r="H62" s="10">
        <v>41.219515719423299</v>
      </c>
      <c r="I62" s="10">
        <v>41.001567703546399</v>
      </c>
      <c r="J62" s="10">
        <v>41.003373139547399</v>
      </c>
      <c r="K62" s="12">
        <v>-3.8774151228242498E-3</v>
      </c>
      <c r="L62" s="12">
        <v>1.4241089456178699E-3</v>
      </c>
      <c r="M62" s="12">
        <v>1.3800765743311801E-3</v>
      </c>
      <c r="N62" s="26">
        <v>0.08</v>
      </c>
      <c r="O62" s="13">
        <v>0</v>
      </c>
      <c r="P62" s="23">
        <f t="shared" si="12"/>
        <v>22.029999999999998</v>
      </c>
      <c r="Q62" s="23">
        <f t="shared" si="13"/>
        <v>41.06</v>
      </c>
      <c r="R62" s="14">
        <f t="shared" si="2"/>
        <v>1.8638220608261464</v>
      </c>
      <c r="S62" s="14">
        <f t="shared" si="3"/>
        <v>1.8657810486417497</v>
      </c>
      <c r="T62" s="14">
        <f t="shared" si="7"/>
        <v>1.8612245926780329</v>
      </c>
      <c r="U62" s="14">
        <f t="shared" si="10"/>
        <v>1.8611649108725934</v>
      </c>
      <c r="V62" s="16">
        <f t="shared" si="4"/>
        <v>41.103156501577743</v>
      </c>
      <c r="W62" s="16">
        <f t="shared" si="9"/>
        <v>41.001648280294191</v>
      </c>
      <c r="X62" s="16">
        <f t="shared" si="14"/>
        <v>41.004563784042062</v>
      </c>
      <c r="Y62" s="17">
        <f t="shared" si="5"/>
        <v>-1.0505074873979473E-3</v>
      </c>
      <c r="Z62" s="17">
        <f t="shared" si="8"/>
        <v>1.4221437361620277E-3</v>
      </c>
      <c r="AA62" s="17">
        <f t="shared" si="8"/>
        <v>1.3510392752752872E-3</v>
      </c>
      <c r="AC62" s="18">
        <f t="shared" si="6"/>
        <v>1.0533644455445614E-2</v>
      </c>
      <c r="AD62" s="18">
        <f t="shared" si="6"/>
        <v>1.2252052307859796E-2</v>
      </c>
      <c r="AE62" s="18"/>
      <c r="AF62" s="18"/>
      <c r="AH62">
        <f t="shared" si="15"/>
        <v>0</v>
      </c>
      <c r="AI62">
        <f t="shared" si="16"/>
        <v>1</v>
      </c>
      <c r="AJ62">
        <f t="shared" si="17"/>
        <v>1</v>
      </c>
      <c r="AK62">
        <f t="shared" si="11"/>
        <v>1</v>
      </c>
      <c r="AL62" s="18">
        <f t="shared" si="18"/>
        <v>-1.0533644455445614E-2</v>
      </c>
      <c r="AM62" s="18">
        <f t="shared" si="19"/>
        <v>1.2252052307859796E-2</v>
      </c>
      <c r="AN62" s="18">
        <f t="shared" si="20"/>
        <v>1.7184078524141826E-3</v>
      </c>
      <c r="AO62" s="19">
        <f t="shared" si="21"/>
        <v>1.3685627551193152E-2</v>
      </c>
      <c r="AQ62" s="18"/>
      <c r="AS62">
        <f t="shared" si="22"/>
        <v>1</v>
      </c>
      <c r="AT62">
        <f t="shared" si="23"/>
        <v>0</v>
      </c>
      <c r="AU62">
        <f t="shared" si="24"/>
        <v>0</v>
      </c>
      <c r="AV62" s="22">
        <v>0</v>
      </c>
      <c r="AW62" s="18">
        <f t="shared" si="26"/>
        <v>0</v>
      </c>
      <c r="AX62" s="18">
        <f t="shared" si="27"/>
        <v>0</v>
      </c>
      <c r="AY62" s="18">
        <f t="shared" si="28"/>
        <v>0</v>
      </c>
      <c r="AZ62" s="19">
        <f t="shared" si="29"/>
        <v>1.4652145074607451E-2</v>
      </c>
      <c r="BB62" s="19">
        <f t="shared" si="30"/>
        <v>1.7184078524141826E-3</v>
      </c>
      <c r="BC62" s="19">
        <f t="shared" si="31"/>
        <v>2.8337772625800599E-2</v>
      </c>
    </row>
    <row r="63" spans="1:55" x14ac:dyDescent="0.3">
      <c r="A63" s="1">
        <v>46113</v>
      </c>
      <c r="B63" s="10">
        <v>21.96</v>
      </c>
      <c r="C63" s="10">
        <v>41.16</v>
      </c>
      <c r="D63" s="11">
        <v>1.87431693989071</v>
      </c>
      <c r="E63" s="11">
        <v>1.8778822651217899</v>
      </c>
      <c r="F63" s="11">
        <v>1.8686423757799799</v>
      </c>
      <c r="G63" s="11">
        <v>1.8680867347069301</v>
      </c>
      <c r="H63" s="10">
        <v>41.238294542074598</v>
      </c>
      <c r="I63" s="10">
        <v>41.021518570307698</v>
      </c>
      <c r="J63" s="10">
        <v>41.019130640110198</v>
      </c>
      <c r="K63" s="12">
        <v>-1.9003928679127301E-3</v>
      </c>
      <c r="L63" s="12">
        <v>3.37013876531093E-3</v>
      </c>
      <c r="M63" s="12">
        <v>3.4283521076282101E-3</v>
      </c>
      <c r="N63" s="26">
        <v>0.125</v>
      </c>
      <c r="O63" s="13">
        <v>0</v>
      </c>
      <c r="P63" s="23">
        <f t="shared" si="12"/>
        <v>22.085000000000001</v>
      </c>
      <c r="Q63" s="23">
        <f t="shared" si="13"/>
        <v>41.16</v>
      </c>
      <c r="R63" s="14">
        <f t="shared" si="2"/>
        <v>1.8637083993660855</v>
      </c>
      <c r="S63" s="14">
        <f t="shared" si="3"/>
        <v>1.8657810486417497</v>
      </c>
      <c r="T63" s="14">
        <f t="shared" si="7"/>
        <v>1.8614729836350499</v>
      </c>
      <c r="U63" s="14">
        <f t="shared" si="10"/>
        <v>1.8611494478386903</v>
      </c>
      <c r="V63" s="16">
        <f t="shared" si="4"/>
        <v>41.205774459253043</v>
      </c>
      <c r="W63" s="16">
        <f t="shared" si="9"/>
        <v>41.105145129294357</v>
      </c>
      <c r="X63" s="16">
        <f t="shared" si="14"/>
        <v>41.103827056621228</v>
      </c>
      <c r="Y63" s="17">
        <f t="shared" si="5"/>
        <v>-1.1114923465748066E-3</v>
      </c>
      <c r="Z63" s="17">
        <f t="shared" si="8"/>
        <v>1.3336116711266852E-3</v>
      </c>
      <c r="AA63" s="17">
        <f t="shared" si="8"/>
        <v>1.3656780657841214E-3</v>
      </c>
      <c r="AC63" s="18">
        <f t="shared" si="6"/>
        <v>4.5547712014959191E-4</v>
      </c>
      <c r="AD63" s="18">
        <f t="shared" si="6"/>
        <v>2.4324993750611955E-3</v>
      </c>
      <c r="AE63" s="18"/>
      <c r="AF63" s="18"/>
      <c r="AH63">
        <f t="shared" si="15"/>
        <v>0</v>
      </c>
      <c r="AI63">
        <f t="shared" si="16"/>
        <v>1</v>
      </c>
      <c r="AJ63">
        <f t="shared" si="17"/>
        <v>0</v>
      </c>
      <c r="AK63">
        <f t="shared" si="11"/>
        <v>0</v>
      </c>
      <c r="AL63" s="18">
        <f t="shared" si="18"/>
        <v>0</v>
      </c>
      <c r="AM63" s="18">
        <f t="shared" si="19"/>
        <v>0</v>
      </c>
      <c r="AN63" s="18">
        <f t="shared" si="20"/>
        <v>0</v>
      </c>
      <c r="AO63" s="19">
        <f t="shared" si="21"/>
        <v>1.3685627551193152E-2</v>
      </c>
      <c r="AQ63" s="18"/>
      <c r="AS63">
        <f t="shared" si="22"/>
        <v>1</v>
      </c>
      <c r="AT63">
        <f t="shared" si="23"/>
        <v>0</v>
      </c>
      <c r="AU63">
        <f t="shared" si="24"/>
        <v>0</v>
      </c>
      <c r="AV63">
        <f t="shared" si="25"/>
        <v>1</v>
      </c>
      <c r="AW63" s="18">
        <f t="shared" si="26"/>
        <v>4.5547712014959191E-4</v>
      </c>
      <c r="AX63" s="18">
        <f t="shared" si="27"/>
        <v>-2.4324993750611955E-3</v>
      </c>
      <c r="AY63" s="18">
        <f t="shared" si="28"/>
        <v>-1.9770222549116037E-3</v>
      </c>
      <c r="AZ63" s="19">
        <f t="shared" si="29"/>
        <v>1.2675122819695846E-2</v>
      </c>
      <c r="BB63" s="19">
        <f t="shared" si="30"/>
        <v>-1.9770222549116037E-3</v>
      </c>
      <c r="BC63" s="19">
        <f t="shared" si="31"/>
        <v>2.6360750370888995E-2</v>
      </c>
    </row>
    <row r="64" spans="1:55" x14ac:dyDescent="0.3">
      <c r="A64" s="1">
        <v>46114</v>
      </c>
      <c r="B64" s="10">
        <v>21.88</v>
      </c>
      <c r="C64" s="10">
        <v>40.99</v>
      </c>
      <c r="D64" s="11">
        <v>1.8734003656307101</v>
      </c>
      <c r="E64" s="11">
        <v>1.8778822651217899</v>
      </c>
      <c r="F64" s="11">
        <v>1.8690062969757699</v>
      </c>
      <c r="G64" s="11">
        <v>1.8682746101313199</v>
      </c>
      <c r="H64" s="10">
        <v>41.088063960864801</v>
      </c>
      <c r="I64" s="10">
        <v>40.885895182066001</v>
      </c>
      <c r="J64" s="10">
        <v>40.873737755387701</v>
      </c>
      <c r="K64" s="12">
        <v>-2.3895302299657001E-3</v>
      </c>
      <c r="L64" s="12">
        <v>2.5429920199252398E-3</v>
      </c>
      <c r="M64" s="12">
        <v>2.8403863777788198E-3</v>
      </c>
      <c r="N64" s="26">
        <v>0.125</v>
      </c>
      <c r="O64" s="13">
        <v>0</v>
      </c>
      <c r="P64" s="23">
        <f t="shared" si="12"/>
        <v>22.004999999999999</v>
      </c>
      <c r="Q64" s="23">
        <f t="shared" si="13"/>
        <v>40.99</v>
      </c>
      <c r="R64" s="14">
        <f t="shared" si="2"/>
        <v>1.862758463985458</v>
      </c>
      <c r="S64" s="14">
        <f t="shared" si="3"/>
        <v>1.8657810486417497</v>
      </c>
      <c r="T64" s="14">
        <f t="shared" si="7"/>
        <v>1.8614443845912962</v>
      </c>
      <c r="U64" s="14">
        <f t="shared" si="10"/>
        <v>1.8611379048457923</v>
      </c>
      <c r="V64" s="16">
        <f t="shared" si="4"/>
        <v>41.056511975361701</v>
      </c>
      <c r="W64" s="16">
        <f t="shared" si="9"/>
        <v>40.961713004889269</v>
      </c>
      <c r="X64" s="16">
        <f t="shared" si="14"/>
        <v>40.954593599690376</v>
      </c>
      <c r="Y64" s="17">
        <f t="shared" si="5"/>
        <v>-1.6213240107423052E-3</v>
      </c>
      <c r="Z64" s="17">
        <f t="shared" si="8"/>
        <v>6.9033325105516158E-4</v>
      </c>
      <c r="AA64" s="17">
        <f t="shared" si="8"/>
        <v>8.6415469178947088E-4</v>
      </c>
      <c r="AC64" s="18">
        <f t="shared" si="6"/>
        <v>-3.6496390875495042E-3</v>
      </c>
      <c r="AD64" s="18">
        <f t="shared" si="6"/>
        <v>-4.138776449602582E-3</v>
      </c>
      <c r="AE64" s="18"/>
      <c r="AF64" s="18"/>
      <c r="AH64">
        <f t="shared" si="15"/>
        <v>0</v>
      </c>
      <c r="AI64">
        <f t="shared" si="16"/>
        <v>1</v>
      </c>
      <c r="AJ64">
        <f t="shared" si="17"/>
        <v>0</v>
      </c>
      <c r="AK64">
        <f t="shared" si="11"/>
        <v>0</v>
      </c>
      <c r="AL64" s="18">
        <f t="shared" si="18"/>
        <v>0</v>
      </c>
      <c r="AM64" s="18">
        <f t="shared" si="19"/>
        <v>0</v>
      </c>
      <c r="AN64" s="18">
        <f t="shared" si="20"/>
        <v>0</v>
      </c>
      <c r="AO64" s="19">
        <f t="shared" si="21"/>
        <v>1.3685627551193152E-2</v>
      </c>
      <c r="AQ64" s="18"/>
      <c r="AS64">
        <f t="shared" si="22"/>
        <v>0</v>
      </c>
      <c r="AT64">
        <f t="shared" si="23"/>
        <v>0</v>
      </c>
      <c r="AU64">
        <f t="shared" si="24"/>
        <v>1</v>
      </c>
      <c r="AV64">
        <f t="shared" si="25"/>
        <v>1</v>
      </c>
      <c r="AW64" s="18">
        <f t="shared" si="26"/>
        <v>-3.6496390875495042E-3</v>
      </c>
      <c r="AX64" s="18">
        <f t="shared" si="27"/>
        <v>4.138776449602582E-3</v>
      </c>
      <c r="AY64" s="18">
        <f t="shared" si="28"/>
        <v>4.8913736205307779E-4</v>
      </c>
      <c r="AZ64" s="19">
        <f t="shared" si="29"/>
        <v>1.3164260181748924E-2</v>
      </c>
      <c r="BB64" s="19">
        <f t="shared" si="30"/>
        <v>4.8913736205307779E-4</v>
      </c>
      <c r="BC64" s="19">
        <f t="shared" si="31"/>
        <v>2.6849887732942074E-2</v>
      </c>
    </row>
    <row r="65" spans="1:55" x14ac:dyDescent="0.3">
      <c r="A65" s="1">
        <v>46118</v>
      </c>
      <c r="B65" s="10">
        <v>21.86</v>
      </c>
      <c r="C65" s="10">
        <v>40.89</v>
      </c>
      <c r="D65" s="11">
        <v>1.8705397987191199</v>
      </c>
      <c r="E65" s="11">
        <v>1.8778822651217899</v>
      </c>
      <c r="F65" s="11">
        <v>1.8692445834170199</v>
      </c>
      <c r="G65" s="11">
        <v>1.8682640329832001</v>
      </c>
      <c r="H65" s="10">
        <v>41.050506315562401</v>
      </c>
      <c r="I65" s="10">
        <v>40.856477651890302</v>
      </c>
      <c r="J65" s="10">
        <v>40.840482977470799</v>
      </c>
      <c r="K65" s="12">
        <v>-3.9176355642730996E-3</v>
      </c>
      <c r="L65" s="12">
        <v>8.2015399199075398E-4</v>
      </c>
      <c r="M65" s="12">
        <v>1.21171506110949E-3</v>
      </c>
      <c r="N65" s="26">
        <v>0.125</v>
      </c>
      <c r="O65" s="13">
        <v>0</v>
      </c>
      <c r="P65" s="23">
        <f t="shared" si="12"/>
        <v>21.984999999999999</v>
      </c>
      <c r="Q65" s="23">
        <f t="shared" si="13"/>
        <v>40.89</v>
      </c>
      <c r="R65" s="14">
        <f t="shared" si="2"/>
        <v>1.859904480327496</v>
      </c>
      <c r="S65" s="14">
        <f t="shared" si="3"/>
        <v>1.8657810486417497</v>
      </c>
      <c r="T65" s="14">
        <f t="shared" si="7"/>
        <v>1.8612984689876826</v>
      </c>
      <c r="U65" s="14">
        <f t="shared" si="10"/>
        <v>1.8609290290404203</v>
      </c>
      <c r="V65" s="16">
        <f t="shared" si="4"/>
        <v>41.019196354388868</v>
      </c>
      <c r="W65" s="16">
        <f t="shared" si="9"/>
        <v>40.923854795239649</v>
      </c>
      <c r="X65" s="16">
        <f t="shared" si="14"/>
        <v>40.917116838034744</v>
      </c>
      <c r="Y65" s="17">
        <f t="shared" si="5"/>
        <v>-3.1546265201562798E-3</v>
      </c>
      <c r="Z65" s="17">
        <f t="shared" si="8"/>
        <v>-8.2760547725633322E-4</v>
      </c>
      <c r="AA65" s="17">
        <f t="shared" si="8"/>
        <v>-6.6294572100810344E-4</v>
      </c>
      <c r="AC65" s="18">
        <f t="shared" si="6"/>
        <v>-9.1449480538793057E-4</v>
      </c>
      <c r="AD65" s="18">
        <f t="shared" si="6"/>
        <v>-2.4426001396953305E-3</v>
      </c>
      <c r="AE65" s="18"/>
      <c r="AF65" s="18"/>
      <c r="AH65">
        <f t="shared" si="15"/>
        <v>0</v>
      </c>
      <c r="AI65">
        <f t="shared" si="16"/>
        <v>0</v>
      </c>
      <c r="AJ65">
        <f t="shared" si="17"/>
        <v>0</v>
      </c>
      <c r="AK65">
        <f t="shared" si="11"/>
        <v>0</v>
      </c>
      <c r="AL65" s="18">
        <f t="shared" si="18"/>
        <v>0</v>
      </c>
      <c r="AM65" s="18">
        <f t="shared" si="19"/>
        <v>0</v>
      </c>
      <c r="AN65" s="18">
        <f t="shared" si="20"/>
        <v>0</v>
      </c>
      <c r="AO65" s="19">
        <f t="shared" si="21"/>
        <v>1.3685627551193152E-2</v>
      </c>
      <c r="AQ65" s="18"/>
      <c r="AS65">
        <f t="shared" si="22"/>
        <v>0</v>
      </c>
      <c r="AT65">
        <f t="shared" si="23"/>
        <v>1</v>
      </c>
      <c r="AU65">
        <f t="shared" si="24"/>
        <v>1</v>
      </c>
      <c r="AV65">
        <f t="shared" si="25"/>
        <v>1</v>
      </c>
      <c r="AW65" s="18">
        <f t="shared" si="26"/>
        <v>-9.1449480538793057E-4</v>
      </c>
      <c r="AX65" s="18">
        <f t="shared" si="27"/>
        <v>2.4426001396953305E-3</v>
      </c>
      <c r="AY65" s="18">
        <f t="shared" si="28"/>
        <v>1.5281053343074E-3</v>
      </c>
      <c r="AZ65" s="19">
        <f t="shared" si="29"/>
        <v>1.4692365516056323E-2</v>
      </c>
      <c r="BB65" s="19">
        <f t="shared" si="30"/>
        <v>1.5281053343074E-3</v>
      </c>
      <c r="BC65" s="19">
        <f t="shared" si="31"/>
        <v>2.8377993067249474E-2</v>
      </c>
    </row>
    <row r="66" spans="1:55" x14ac:dyDescent="0.3">
      <c r="A66" s="1">
        <v>46119</v>
      </c>
      <c r="B66" s="10">
        <v>21.93</v>
      </c>
      <c r="C66" s="10">
        <v>41.1</v>
      </c>
      <c r="D66" s="11">
        <v>1.8741450068399399</v>
      </c>
      <c r="E66" s="11">
        <v>1.8778822651217899</v>
      </c>
      <c r="F66" s="11">
        <v>1.87013105516793</v>
      </c>
      <c r="G66" s="11">
        <v>1.8686201008173899</v>
      </c>
      <c r="H66" s="10">
        <v>41.181958074120899</v>
      </c>
      <c r="I66" s="10">
        <v>40.992533714335401</v>
      </c>
      <c r="J66" s="10">
        <v>40.9710302433217</v>
      </c>
      <c r="K66" s="12">
        <v>-1.99212812003938E-3</v>
      </c>
      <c r="L66" s="12">
        <v>2.61817590932835E-3</v>
      </c>
      <c r="M66" s="12">
        <v>3.1428839739552701E-3</v>
      </c>
      <c r="N66" s="26">
        <v>0.125</v>
      </c>
      <c r="O66" s="13">
        <v>0</v>
      </c>
      <c r="P66" s="23">
        <f t="shared" si="12"/>
        <v>22.055</v>
      </c>
      <c r="Q66" s="23">
        <f t="shared" si="13"/>
        <v>41.1</v>
      </c>
      <c r="R66" s="14">
        <f t="shared" si="2"/>
        <v>1.8635230106551803</v>
      </c>
      <c r="S66" s="14">
        <f t="shared" si="3"/>
        <v>1.8657810486417497</v>
      </c>
      <c r="T66" s="14">
        <f t="shared" si="7"/>
        <v>1.8617949141973444</v>
      </c>
      <c r="U66" s="14">
        <f t="shared" si="10"/>
        <v>1.8610860599644643</v>
      </c>
      <c r="V66" s="16">
        <f t="shared" si="4"/>
        <v>41.149801027793785</v>
      </c>
      <c r="W66" s="16">
        <f t="shared" si="9"/>
        <v>41.050937733523341</v>
      </c>
      <c r="X66" s="16">
        <f t="shared" si="14"/>
        <v>41.042789735486473</v>
      </c>
      <c r="Y66" s="17">
        <f t="shared" si="5"/>
        <v>-1.2109703186477918E-3</v>
      </c>
      <c r="Z66" s="17">
        <f t="shared" si="8"/>
        <v>1.1944421734750221E-3</v>
      </c>
      <c r="AA66" s="17">
        <f t="shared" si="8"/>
        <v>1.3929469390603333E-3</v>
      </c>
      <c r="AC66" s="18">
        <f t="shared" si="6"/>
        <v>3.1970796814044166E-3</v>
      </c>
      <c r="AD66" s="18">
        <f t="shared" si="6"/>
        <v>5.1225871256379207E-3</v>
      </c>
      <c r="AE66" s="18"/>
      <c r="AF66" s="18"/>
      <c r="AH66">
        <f t="shared" si="15"/>
        <v>0</v>
      </c>
      <c r="AI66">
        <f t="shared" si="16"/>
        <v>1</v>
      </c>
      <c r="AJ66">
        <f t="shared" si="17"/>
        <v>0</v>
      </c>
      <c r="AK66">
        <f t="shared" si="11"/>
        <v>0</v>
      </c>
      <c r="AL66" s="18">
        <f t="shared" si="18"/>
        <v>0</v>
      </c>
      <c r="AM66" s="18">
        <f t="shared" si="19"/>
        <v>0</v>
      </c>
      <c r="AN66" s="18">
        <f t="shared" si="20"/>
        <v>0</v>
      </c>
      <c r="AO66" s="19">
        <f t="shared" si="21"/>
        <v>1.3685627551193152E-2</v>
      </c>
      <c r="AQ66" s="18"/>
      <c r="AS66">
        <f t="shared" si="22"/>
        <v>1</v>
      </c>
      <c r="AT66">
        <f t="shared" si="23"/>
        <v>0</v>
      </c>
      <c r="AU66">
        <f t="shared" si="24"/>
        <v>1</v>
      </c>
      <c r="AV66">
        <f t="shared" si="25"/>
        <v>0</v>
      </c>
      <c r="AW66" s="18">
        <f t="shared" si="26"/>
        <v>0</v>
      </c>
      <c r="AX66" s="18">
        <f t="shared" si="27"/>
        <v>0</v>
      </c>
      <c r="AY66" s="18">
        <f t="shared" si="28"/>
        <v>0</v>
      </c>
      <c r="AZ66" s="19">
        <f t="shared" si="29"/>
        <v>1.4692365516056323E-2</v>
      </c>
      <c r="BB66" s="19">
        <f t="shared" si="30"/>
        <v>0</v>
      </c>
      <c r="BC66" s="19">
        <f t="shared" si="31"/>
        <v>2.8377993067249474E-2</v>
      </c>
    </row>
    <row r="67" spans="1:55" x14ac:dyDescent="0.3">
      <c r="A67" s="1">
        <v>46120</v>
      </c>
      <c r="B67" s="10">
        <v>22.25</v>
      </c>
      <c r="C67" s="10">
        <v>41.68</v>
      </c>
      <c r="D67" s="11">
        <v>1.87325842696629</v>
      </c>
      <c r="E67" s="11">
        <v>1.8778822651217899</v>
      </c>
      <c r="F67" s="11">
        <v>1.8706052145160601</v>
      </c>
      <c r="G67" s="11">
        <v>1.8688261217637401</v>
      </c>
      <c r="H67" s="10">
        <v>41.782880398959897</v>
      </c>
      <c r="I67" s="10">
        <v>41.610415977486397</v>
      </c>
      <c r="J67" s="10">
        <v>41.576797243187002</v>
      </c>
      <c r="K67" s="12">
        <v>-2.4652983595692701E-3</v>
      </c>
      <c r="L67" s="12">
        <v>1.6708774445614201E-3</v>
      </c>
      <c r="M67" s="12">
        <v>2.4791443603069002E-3</v>
      </c>
      <c r="N67" s="26">
        <v>0.125</v>
      </c>
      <c r="O67" s="13">
        <v>0</v>
      </c>
      <c r="P67" s="23">
        <f t="shared" si="12"/>
        <v>22.375</v>
      </c>
      <c r="Q67" s="23">
        <f t="shared" si="13"/>
        <v>41.68</v>
      </c>
      <c r="R67" s="14">
        <f t="shared" ref="R67:R130" si="32">Q67/P67</f>
        <v>1.8627932960893854</v>
      </c>
      <c r="S67" s="14">
        <f t="shared" ref="S67:S130" si="33">AVERAGE(R:R)</f>
        <v>1.8657810486417497</v>
      </c>
      <c r="T67" s="14">
        <f t="shared" si="7"/>
        <v>1.8619001730900546</v>
      </c>
      <c r="U67" s="14">
        <f t="shared" si="10"/>
        <v>1.8611015592148614</v>
      </c>
      <c r="V67" s="16">
        <f t="shared" si="4"/>
        <v>41.746850963359151</v>
      </c>
      <c r="W67" s="16">
        <f t="shared" si="9"/>
        <v>41.657661205165581</v>
      </c>
      <c r="X67" s="16">
        <f t="shared" si="14"/>
        <v>41.641800591704886</v>
      </c>
      <c r="Y67" s="17">
        <f t="shared" si="5"/>
        <v>-1.6026249797414789E-3</v>
      </c>
      <c r="Z67" s="17">
        <f t="shared" si="8"/>
        <v>5.3610324663310284E-4</v>
      </c>
      <c r="AA67" s="17">
        <f t="shared" si="8"/>
        <v>9.1691275752855722E-4</v>
      </c>
      <c r="AC67" s="18">
        <f t="shared" si="6"/>
        <v>1.4486446182452392E-2</v>
      </c>
      <c r="AD67" s="18">
        <f t="shared" si="6"/>
        <v>1.401327594292256E-2</v>
      </c>
      <c r="AE67" s="18"/>
      <c r="AF67" s="18"/>
      <c r="AH67">
        <f t="shared" si="15"/>
        <v>0</v>
      </c>
      <c r="AI67">
        <f t="shared" si="16"/>
        <v>1</v>
      </c>
      <c r="AJ67">
        <f t="shared" si="17"/>
        <v>0</v>
      </c>
      <c r="AK67">
        <f t="shared" si="11"/>
        <v>0</v>
      </c>
      <c r="AL67" s="18">
        <f t="shared" si="18"/>
        <v>0</v>
      </c>
      <c r="AM67" s="18">
        <f t="shared" si="19"/>
        <v>0</v>
      </c>
      <c r="AN67" s="18">
        <f t="shared" si="20"/>
        <v>0</v>
      </c>
      <c r="AO67" s="19">
        <f t="shared" si="21"/>
        <v>1.3685627551193152E-2</v>
      </c>
      <c r="AQ67" s="18"/>
      <c r="AS67">
        <f t="shared" si="22"/>
        <v>0</v>
      </c>
      <c r="AT67">
        <f t="shared" si="23"/>
        <v>0</v>
      </c>
      <c r="AU67">
        <f t="shared" si="24"/>
        <v>0</v>
      </c>
      <c r="AV67">
        <f t="shared" si="25"/>
        <v>1</v>
      </c>
      <c r="AW67" s="18">
        <f t="shared" si="26"/>
        <v>1.4486446182452392E-2</v>
      </c>
      <c r="AX67" s="18">
        <f t="shared" si="27"/>
        <v>-1.401327594292256E-2</v>
      </c>
      <c r="AY67" s="18">
        <f t="shared" si="28"/>
        <v>4.7317023952983192E-4</v>
      </c>
      <c r="AZ67" s="19">
        <f t="shared" si="29"/>
        <v>1.5165535755586155E-2</v>
      </c>
      <c r="BB67" s="19">
        <f t="shared" si="30"/>
        <v>4.7317023952983192E-4</v>
      </c>
      <c r="BC67" s="19">
        <f t="shared" si="31"/>
        <v>2.8851163306779306E-2</v>
      </c>
    </row>
    <row r="68" spans="1:55" x14ac:dyDescent="0.3">
      <c r="A68" s="1">
        <v>46121</v>
      </c>
      <c r="B68" s="10">
        <v>22.22</v>
      </c>
      <c r="C68" s="10">
        <v>41.7</v>
      </c>
      <c r="D68" s="11">
        <v>1.8766876687668701</v>
      </c>
      <c r="E68" s="11">
        <v>1.8778822651217899</v>
      </c>
      <c r="F68" s="11">
        <v>1.87125038792632</v>
      </c>
      <c r="G68" s="11">
        <v>1.8694827673205701</v>
      </c>
      <c r="H68" s="10">
        <v>41.726543931006198</v>
      </c>
      <c r="I68" s="10">
        <v>41.564847866546799</v>
      </c>
      <c r="J68" s="10">
        <v>41.525316425590297</v>
      </c>
      <c r="K68" s="12">
        <v>-6.3634259915956205E-4</v>
      </c>
      <c r="L68" s="12">
        <v>3.2463219620037899E-3</v>
      </c>
      <c r="M68" s="12">
        <v>4.1978532118442198E-3</v>
      </c>
      <c r="N68" s="26">
        <v>0.125</v>
      </c>
      <c r="O68" s="13">
        <v>0</v>
      </c>
      <c r="P68" s="23">
        <f t="shared" si="12"/>
        <v>22.344999999999999</v>
      </c>
      <c r="Q68" s="23">
        <f t="shared" si="13"/>
        <v>41.7</v>
      </c>
      <c r="R68" s="14">
        <f t="shared" si="32"/>
        <v>1.866189304094876</v>
      </c>
      <c r="S68" s="14">
        <f t="shared" si="33"/>
        <v>1.8657810486417497</v>
      </c>
      <c r="T68" s="14">
        <f t="shared" si="7"/>
        <v>1.8621719063928517</v>
      </c>
      <c r="U68" s="14">
        <f t="shared" si="10"/>
        <v>1.8615666594822169</v>
      </c>
      <c r="V68" s="16">
        <f t="shared" ref="V68:V131" si="34">S67*P68</f>
        <v>41.690877531899893</v>
      </c>
      <c r="W68" s="16">
        <f t="shared" si="9"/>
        <v>41.604159367697271</v>
      </c>
      <c r="X68" s="16">
        <f t="shared" si="14"/>
        <v>41.586314340656074</v>
      </c>
      <c r="Y68" s="17">
        <f t="shared" ref="Y68:AA131" si="35">LN($C68/V68)</f>
        <v>2.18788155407314E-4</v>
      </c>
      <c r="Z68" s="17">
        <f t="shared" si="8"/>
        <v>2.3009817352701227E-3</v>
      </c>
      <c r="AA68" s="17">
        <f t="shared" si="8"/>
        <v>2.7299978598197524E-3</v>
      </c>
      <c r="AC68" s="18">
        <f t="shared" ref="AC68:AD131" si="36">LN(B68/B67)</f>
        <v>-1.3492244007653842E-3</v>
      </c>
      <c r="AD68" s="18">
        <f t="shared" si="36"/>
        <v>4.7973135964446601E-4</v>
      </c>
      <c r="AE68" s="18"/>
      <c r="AF68" s="18"/>
      <c r="AH68">
        <f t="shared" si="15"/>
        <v>0</v>
      </c>
      <c r="AI68">
        <f t="shared" si="16"/>
        <v>1</v>
      </c>
      <c r="AJ68">
        <f t="shared" si="17"/>
        <v>0</v>
      </c>
      <c r="AK68">
        <f t="shared" si="11"/>
        <v>0</v>
      </c>
      <c r="AL68" s="18">
        <f t="shared" si="18"/>
        <v>0</v>
      </c>
      <c r="AM68" s="18">
        <f t="shared" si="19"/>
        <v>0</v>
      </c>
      <c r="AN68" s="18">
        <f t="shared" si="20"/>
        <v>0</v>
      </c>
      <c r="AO68" s="19">
        <f t="shared" si="21"/>
        <v>1.3685627551193152E-2</v>
      </c>
      <c r="AQ68" s="18"/>
      <c r="AS68">
        <f t="shared" si="22"/>
        <v>1</v>
      </c>
      <c r="AT68">
        <f t="shared" si="23"/>
        <v>0</v>
      </c>
      <c r="AU68">
        <f t="shared" si="24"/>
        <v>1</v>
      </c>
      <c r="AV68">
        <f t="shared" si="25"/>
        <v>0</v>
      </c>
      <c r="AW68" s="18">
        <f t="shared" si="26"/>
        <v>0</v>
      </c>
      <c r="AX68" s="18">
        <f t="shared" si="27"/>
        <v>0</v>
      </c>
      <c r="AY68" s="18">
        <f t="shared" si="28"/>
        <v>0</v>
      </c>
      <c r="AZ68" s="19">
        <f t="shared" si="29"/>
        <v>1.5165535755586155E-2</v>
      </c>
      <c r="BB68" s="19">
        <f t="shared" si="30"/>
        <v>0</v>
      </c>
      <c r="BC68" s="19">
        <f t="shared" si="31"/>
        <v>2.8851163306779306E-2</v>
      </c>
    </row>
    <row r="69" spans="1:55" x14ac:dyDescent="0.3">
      <c r="A69" s="1">
        <v>46122</v>
      </c>
      <c r="B69" s="10">
        <v>22.17</v>
      </c>
      <c r="C69" s="10">
        <v>41.62</v>
      </c>
      <c r="D69" s="11">
        <v>1.8773116824537599</v>
      </c>
      <c r="E69" s="11">
        <v>1.8778822651217899</v>
      </c>
      <c r="F69" s="11">
        <v>1.8723301800249099</v>
      </c>
      <c r="G69" s="11">
        <v>1.86998632153841</v>
      </c>
      <c r="H69" s="10">
        <v>41.632649817750099</v>
      </c>
      <c r="I69" s="10">
        <v>41.485621100326597</v>
      </c>
      <c r="J69" s="10">
        <v>41.446432951497201</v>
      </c>
      <c r="K69" s="12">
        <v>-3.0388985516339502E-4</v>
      </c>
      <c r="L69" s="12">
        <v>3.23393327693181E-3</v>
      </c>
      <c r="M69" s="12">
        <v>4.1789997459622703E-3</v>
      </c>
      <c r="N69" s="26">
        <v>0.125</v>
      </c>
      <c r="O69" s="13">
        <v>0</v>
      </c>
      <c r="P69" s="23">
        <f t="shared" si="12"/>
        <v>22.295000000000002</v>
      </c>
      <c r="Q69" s="23">
        <f t="shared" si="13"/>
        <v>41.62</v>
      </c>
      <c r="R69" s="14">
        <f t="shared" si="32"/>
        <v>1.8667862749495401</v>
      </c>
      <c r="S69" s="14">
        <f t="shared" si="33"/>
        <v>1.8657810486417497</v>
      </c>
      <c r="T69" s="14">
        <f t="shared" si="7"/>
        <v>1.8628816124984087</v>
      </c>
      <c r="U69" s="14">
        <f t="shared" si="10"/>
        <v>1.8618811425299195</v>
      </c>
      <c r="V69" s="16">
        <f t="shared" si="34"/>
        <v>41.597588479467809</v>
      </c>
      <c r="W69" s="16">
        <f t="shared" si="9"/>
        <v>41.517122653028629</v>
      </c>
      <c r="X69" s="16">
        <f t="shared" si="14"/>
        <v>41.50362867315603</v>
      </c>
      <c r="Y69" s="17">
        <f t="shared" si="35"/>
        <v>5.3862462211461267E-4</v>
      </c>
      <c r="Z69" s="17">
        <f t="shared" si="8"/>
        <v>2.4748847734724186E-3</v>
      </c>
      <c r="AA69" s="17">
        <f t="shared" si="8"/>
        <v>2.7999596439325426E-3</v>
      </c>
      <c r="AC69" s="18">
        <f t="shared" si="36"/>
        <v>-2.2527605832637497E-3</v>
      </c>
      <c r="AD69" s="18">
        <f t="shared" si="36"/>
        <v>-1.9203078392675641E-3</v>
      </c>
      <c r="AE69" s="18"/>
      <c r="AF69" s="18"/>
      <c r="AH69">
        <f t="shared" si="15"/>
        <v>0</v>
      </c>
      <c r="AI69">
        <f t="shared" si="16"/>
        <v>1</v>
      </c>
      <c r="AJ69">
        <f t="shared" si="17"/>
        <v>0</v>
      </c>
      <c r="AK69">
        <f t="shared" si="11"/>
        <v>0</v>
      </c>
      <c r="AL69" s="18">
        <f t="shared" si="18"/>
        <v>0</v>
      </c>
      <c r="AM69" s="18">
        <f t="shared" si="19"/>
        <v>0</v>
      </c>
      <c r="AN69" s="18">
        <f t="shared" si="20"/>
        <v>0</v>
      </c>
      <c r="AO69" s="19">
        <f t="shared" si="21"/>
        <v>1.3685627551193152E-2</v>
      </c>
      <c r="AQ69" s="18"/>
      <c r="AS69">
        <f t="shared" si="22"/>
        <v>1</v>
      </c>
      <c r="AT69">
        <f t="shared" si="23"/>
        <v>0</v>
      </c>
      <c r="AU69">
        <f t="shared" si="24"/>
        <v>0</v>
      </c>
      <c r="AV69">
        <f t="shared" si="25"/>
        <v>1</v>
      </c>
      <c r="AW69" s="18">
        <f t="shared" si="26"/>
        <v>-2.2527605832637497E-3</v>
      </c>
      <c r="AX69" s="18">
        <f t="shared" si="27"/>
        <v>1.9203078392675641E-3</v>
      </c>
      <c r="AY69" s="18">
        <f t="shared" si="28"/>
        <v>-3.3245274399618563E-4</v>
      </c>
      <c r="AZ69" s="19">
        <f t="shared" si="29"/>
        <v>1.4833083011589969E-2</v>
      </c>
      <c r="BB69" s="19">
        <f t="shared" si="30"/>
        <v>-3.3245274399618563E-4</v>
      </c>
      <c r="BC69" s="19">
        <f t="shared" si="31"/>
        <v>2.8518710562783121E-2</v>
      </c>
    </row>
    <row r="70" spans="1:55" x14ac:dyDescent="0.3">
      <c r="A70" s="1">
        <v>46125</v>
      </c>
      <c r="B70" s="10">
        <v>22.21</v>
      </c>
      <c r="C70" s="10">
        <v>41.69</v>
      </c>
      <c r="D70" s="11">
        <v>1.87708239531742</v>
      </c>
      <c r="E70" s="11">
        <v>1.8778822651217899</v>
      </c>
      <c r="F70" s="11">
        <v>1.87347606336705</v>
      </c>
      <c r="G70" s="11">
        <v>1.87068975637278</v>
      </c>
      <c r="H70" s="10">
        <v>41.707765108354998</v>
      </c>
      <c r="I70" s="10">
        <v>41.584453298353203</v>
      </c>
      <c r="J70" s="10">
        <v>41.532396201368201</v>
      </c>
      <c r="K70" s="12">
        <v>-4.26033206062173E-4</v>
      </c>
      <c r="L70" s="12">
        <v>2.5349132653428902E-3</v>
      </c>
      <c r="M70" s="12">
        <v>3.7875378319637901E-3</v>
      </c>
      <c r="N70" s="26">
        <v>0.125</v>
      </c>
      <c r="O70" s="13">
        <v>0</v>
      </c>
      <c r="P70" s="23">
        <f t="shared" si="12"/>
        <v>22.335000000000001</v>
      </c>
      <c r="Q70" s="23">
        <f t="shared" si="13"/>
        <v>41.69</v>
      </c>
      <c r="R70" s="14">
        <f t="shared" si="32"/>
        <v>1.8665771211103648</v>
      </c>
      <c r="S70" s="14">
        <f t="shared" si="33"/>
        <v>1.8657810486417497</v>
      </c>
      <c r="T70" s="14">
        <f t="shared" si="7"/>
        <v>1.8636612870120128</v>
      </c>
      <c r="U70" s="14">
        <f t="shared" si="10"/>
        <v>1.8623983516336637</v>
      </c>
      <c r="V70" s="16">
        <f t="shared" si="34"/>
        <v>41.672219721413477</v>
      </c>
      <c r="W70" s="16">
        <f t="shared" si="9"/>
        <v>41.60746081515196</v>
      </c>
      <c r="X70" s="16">
        <f t="shared" si="14"/>
        <v>41.585115318405755</v>
      </c>
      <c r="Y70" s="17">
        <f t="shared" si="35"/>
        <v>4.2657882468977518E-4</v>
      </c>
      <c r="Z70" s="17">
        <f t="shared" si="8"/>
        <v>1.9817941880760242E-3</v>
      </c>
      <c r="AA70" s="17">
        <f t="shared" si="8"/>
        <v>2.5189934989305221E-3</v>
      </c>
      <c r="AC70" s="18">
        <f t="shared" si="36"/>
        <v>1.8026142781158762E-3</v>
      </c>
      <c r="AD70" s="18">
        <f t="shared" si="36"/>
        <v>1.6804709272172039E-3</v>
      </c>
      <c r="AE70" s="18"/>
      <c r="AF70" s="18"/>
      <c r="AH70">
        <f t="shared" si="15"/>
        <v>0</v>
      </c>
      <c r="AI70">
        <f t="shared" si="16"/>
        <v>1</v>
      </c>
      <c r="AJ70">
        <f t="shared" si="17"/>
        <v>0</v>
      </c>
      <c r="AK70">
        <f t="shared" si="11"/>
        <v>0</v>
      </c>
      <c r="AL70" s="18">
        <f t="shared" si="18"/>
        <v>0</v>
      </c>
      <c r="AM70" s="18">
        <f t="shared" si="19"/>
        <v>0</v>
      </c>
      <c r="AN70" s="18">
        <f t="shared" si="20"/>
        <v>0</v>
      </c>
      <c r="AO70" s="19">
        <f t="shared" si="21"/>
        <v>1.3685627551193152E-2</v>
      </c>
      <c r="AQ70" s="18"/>
      <c r="AS70">
        <f t="shared" si="22"/>
        <v>1</v>
      </c>
      <c r="AT70">
        <f t="shared" si="23"/>
        <v>0</v>
      </c>
      <c r="AU70">
        <f t="shared" si="24"/>
        <v>1</v>
      </c>
      <c r="AV70">
        <f t="shared" si="25"/>
        <v>1</v>
      </c>
      <c r="AW70" s="18">
        <f t="shared" si="26"/>
        <v>1.8026142781158762E-3</v>
      </c>
      <c r="AX70" s="18">
        <f t="shared" si="27"/>
        <v>-1.6804709272172039E-3</v>
      </c>
      <c r="AY70" s="18">
        <f t="shared" si="28"/>
        <v>1.2214335089867222E-4</v>
      </c>
      <c r="AZ70" s="19">
        <f t="shared" si="29"/>
        <v>1.4955226362488642E-2</v>
      </c>
      <c r="BB70" s="19">
        <f t="shared" si="30"/>
        <v>1.2214335089867222E-4</v>
      </c>
      <c r="BC70" s="19">
        <f t="shared" si="31"/>
        <v>2.8640853913681794E-2</v>
      </c>
    </row>
    <row r="71" spans="1:55" x14ac:dyDescent="0.3">
      <c r="A71" s="1">
        <v>46126</v>
      </c>
      <c r="B71" s="10">
        <v>22.38</v>
      </c>
      <c r="C71" s="10">
        <v>41.98</v>
      </c>
      <c r="D71" s="11">
        <v>1.875781948168</v>
      </c>
      <c r="E71" s="11">
        <v>1.8778822651217899</v>
      </c>
      <c r="F71" s="11">
        <v>1.87431392669214</v>
      </c>
      <c r="G71" s="11">
        <v>1.87113344862047</v>
      </c>
      <c r="H71" s="10">
        <v>42.0270050934257</v>
      </c>
      <c r="I71" s="10">
        <v>41.928394298154601</v>
      </c>
      <c r="J71" s="10">
        <v>41.8660367476228</v>
      </c>
      <c r="K71" s="12">
        <v>-1.11907568372387E-3</v>
      </c>
      <c r="L71" s="12">
        <v>1.2300487640999E-3</v>
      </c>
      <c r="M71" s="12">
        <v>2.7183949767206898E-3</v>
      </c>
      <c r="N71" s="26">
        <v>0.125</v>
      </c>
      <c r="O71" s="13">
        <v>0</v>
      </c>
      <c r="P71" s="23">
        <f t="shared" si="12"/>
        <v>22.504999999999999</v>
      </c>
      <c r="Q71" s="23">
        <f t="shared" si="13"/>
        <v>41.98</v>
      </c>
      <c r="R71" s="14">
        <f t="shared" si="32"/>
        <v>1.865363252610531</v>
      </c>
      <c r="S71" s="14">
        <f t="shared" si="33"/>
        <v>1.8657810486417497</v>
      </c>
      <c r="T71" s="14">
        <f t="shared" si="7"/>
        <v>1.8641425664015063</v>
      </c>
      <c r="U71" s="14">
        <f t="shared" si="10"/>
        <v>1.8626579441243618</v>
      </c>
      <c r="V71" s="16">
        <f t="shared" si="34"/>
        <v>41.989402499682576</v>
      </c>
      <c r="W71" s="16">
        <f t="shared" si="9"/>
        <v>41.941697264205345</v>
      </c>
      <c r="X71" s="16">
        <f t="shared" si="14"/>
        <v>41.9132749035156</v>
      </c>
      <c r="Y71" s="17">
        <f t="shared" si="35"/>
        <v>-2.2395061634297993E-4</v>
      </c>
      <c r="Z71" s="17">
        <f t="shared" si="8"/>
        <v>9.1282087238259482E-4</v>
      </c>
      <c r="AA71" s="17">
        <f t="shared" si="8"/>
        <v>1.590714169427283E-3</v>
      </c>
      <c r="AC71" s="18">
        <f t="shared" si="36"/>
        <v>7.6250649774430692E-3</v>
      </c>
      <c r="AD71" s="18">
        <f t="shared" si="36"/>
        <v>6.9320224997813729E-3</v>
      </c>
      <c r="AE71" s="18"/>
      <c r="AF71" s="18"/>
      <c r="AH71">
        <f t="shared" si="15"/>
        <v>0</v>
      </c>
      <c r="AI71">
        <f t="shared" si="16"/>
        <v>1</v>
      </c>
      <c r="AJ71">
        <f t="shared" si="17"/>
        <v>0</v>
      </c>
      <c r="AK71">
        <f t="shared" si="11"/>
        <v>0</v>
      </c>
      <c r="AL71" s="18">
        <f t="shared" si="18"/>
        <v>0</v>
      </c>
      <c r="AM71" s="18">
        <f t="shared" si="19"/>
        <v>0</v>
      </c>
      <c r="AN71" s="18">
        <f t="shared" si="20"/>
        <v>0</v>
      </c>
      <c r="AO71" s="19">
        <f t="shared" si="21"/>
        <v>1.3685627551193152E-2</v>
      </c>
      <c r="AQ71" s="18"/>
      <c r="AS71">
        <f t="shared" si="22"/>
        <v>1</v>
      </c>
      <c r="AT71">
        <f t="shared" si="23"/>
        <v>0</v>
      </c>
      <c r="AU71">
        <f t="shared" si="24"/>
        <v>1</v>
      </c>
      <c r="AV71">
        <f t="shared" si="25"/>
        <v>1</v>
      </c>
      <c r="AW71" s="18">
        <f t="shared" si="26"/>
        <v>7.6250649774430692E-3</v>
      </c>
      <c r="AX71" s="18">
        <f t="shared" si="27"/>
        <v>-6.9320224997813729E-3</v>
      </c>
      <c r="AY71" s="18">
        <f t="shared" si="28"/>
        <v>6.9304247766169627E-4</v>
      </c>
      <c r="AZ71" s="19">
        <f t="shared" si="29"/>
        <v>1.5648268840150338E-2</v>
      </c>
      <c r="BB71" s="19">
        <f t="shared" si="30"/>
        <v>6.9304247766169627E-4</v>
      </c>
      <c r="BC71" s="19">
        <f t="shared" si="31"/>
        <v>2.9333896391343491E-2</v>
      </c>
    </row>
    <row r="72" spans="1:55" x14ac:dyDescent="0.3">
      <c r="A72" s="1">
        <v>46127</v>
      </c>
      <c r="B72" s="10">
        <v>22.34</v>
      </c>
      <c r="C72" s="10">
        <v>41.97</v>
      </c>
      <c r="D72" s="11">
        <v>1.87869292748433</v>
      </c>
      <c r="E72" s="11">
        <v>1.8778822651217899</v>
      </c>
      <c r="F72" s="11">
        <v>1.8751217160237099</v>
      </c>
      <c r="G72" s="11">
        <v>1.8715662899405401</v>
      </c>
      <c r="H72" s="10">
        <v>41.951889802820801</v>
      </c>
      <c r="I72" s="10">
        <v>41.872173122302399</v>
      </c>
      <c r="J72" s="10">
        <v>41.801121242181402</v>
      </c>
      <c r="K72" s="12">
        <v>4.3159651201327799E-4</v>
      </c>
      <c r="L72" s="12">
        <v>2.3335970061099001E-3</v>
      </c>
      <c r="M72" s="12">
        <v>4.0319141989117596E-3</v>
      </c>
      <c r="N72" s="26">
        <v>0.125</v>
      </c>
      <c r="O72" s="13">
        <v>0</v>
      </c>
      <c r="P72" s="23">
        <f t="shared" si="12"/>
        <v>22.465</v>
      </c>
      <c r="Q72" s="23">
        <f t="shared" si="13"/>
        <v>41.97</v>
      </c>
      <c r="R72" s="14">
        <f t="shared" si="32"/>
        <v>1.8682394836412197</v>
      </c>
      <c r="S72" s="14">
        <f t="shared" si="33"/>
        <v>1.8657810486417497</v>
      </c>
      <c r="T72" s="14">
        <f t="shared" si="7"/>
        <v>1.8645843086830136</v>
      </c>
      <c r="U72" s="14">
        <f t="shared" si="10"/>
        <v>1.8629044506805232</v>
      </c>
      <c r="V72" s="16">
        <f t="shared" si="34"/>
        <v>41.914771257736909</v>
      </c>
      <c r="W72" s="16">
        <f t="shared" si="9"/>
        <v>41.87796275420984</v>
      </c>
      <c r="X72" s="16">
        <f t="shared" si="14"/>
        <v>41.844610714753784</v>
      </c>
      <c r="Y72" s="17">
        <f t="shared" si="35"/>
        <v>1.3167765594423021E-3</v>
      </c>
      <c r="Z72" s="17">
        <f t="shared" si="8"/>
        <v>2.1953373637581364E-3</v>
      </c>
      <c r="AA72" s="17">
        <f t="shared" si="8"/>
        <v>2.9920649328808295E-3</v>
      </c>
      <c r="AC72" s="18">
        <f t="shared" si="36"/>
        <v>-1.7889092427244883E-3</v>
      </c>
      <c r="AD72" s="18">
        <f t="shared" si="36"/>
        <v>-2.3823704698741711E-4</v>
      </c>
      <c r="AE72" s="18"/>
      <c r="AF72" s="18"/>
      <c r="AH72">
        <f t="shared" si="15"/>
        <v>0</v>
      </c>
      <c r="AI72">
        <f t="shared" si="16"/>
        <v>1</v>
      </c>
      <c r="AJ72">
        <f t="shared" si="17"/>
        <v>0</v>
      </c>
      <c r="AK72">
        <f t="shared" si="11"/>
        <v>0</v>
      </c>
      <c r="AL72" s="18">
        <f t="shared" si="18"/>
        <v>0</v>
      </c>
      <c r="AM72" s="18">
        <f t="shared" si="19"/>
        <v>0</v>
      </c>
      <c r="AN72" s="18">
        <f t="shared" si="20"/>
        <v>0</v>
      </c>
      <c r="AO72" s="19">
        <f t="shared" si="21"/>
        <v>1.3685627551193152E-2</v>
      </c>
      <c r="AQ72" s="18"/>
      <c r="AS72">
        <f t="shared" si="22"/>
        <v>1</v>
      </c>
      <c r="AT72">
        <f t="shared" si="23"/>
        <v>0</v>
      </c>
      <c r="AU72">
        <f t="shared" si="24"/>
        <v>1</v>
      </c>
      <c r="AV72">
        <f t="shared" si="25"/>
        <v>1</v>
      </c>
      <c r="AW72" s="18">
        <f t="shared" si="26"/>
        <v>-1.7889092427244883E-3</v>
      </c>
      <c r="AX72" s="18">
        <f t="shared" si="27"/>
        <v>2.3823704698741711E-4</v>
      </c>
      <c r="AY72" s="18">
        <f t="shared" si="28"/>
        <v>-1.5506721957370712E-3</v>
      </c>
      <c r="AZ72" s="19">
        <f t="shared" si="29"/>
        <v>1.4097596644413266E-2</v>
      </c>
      <c r="BB72" s="19">
        <f t="shared" si="30"/>
        <v>-1.5506721957370712E-3</v>
      </c>
      <c r="BC72" s="19">
        <f t="shared" si="31"/>
        <v>2.7783224195606419E-2</v>
      </c>
    </row>
    <row r="73" spans="1:55" x14ac:dyDescent="0.3">
      <c r="A73" s="1">
        <v>46128</v>
      </c>
      <c r="B73" s="10">
        <v>22.27</v>
      </c>
      <c r="C73" s="10">
        <v>41.86</v>
      </c>
      <c r="D73" s="11">
        <v>1.8796587337224899</v>
      </c>
      <c r="E73" s="11">
        <v>1.8778822651217899</v>
      </c>
      <c r="F73" s="11">
        <v>1.87565589540689</v>
      </c>
      <c r="G73" s="11">
        <v>1.8721491355934401</v>
      </c>
      <c r="H73" s="10">
        <v>41.820438044262303</v>
      </c>
      <c r="I73" s="10">
        <v>41.758960615848203</v>
      </c>
      <c r="J73" s="10">
        <v>41.679781276975802</v>
      </c>
      <c r="K73" s="12">
        <v>9.4554855614586996E-4</v>
      </c>
      <c r="L73" s="12">
        <v>2.4166632204543899E-3</v>
      </c>
      <c r="M73" s="12">
        <v>4.3145672598345298E-3</v>
      </c>
      <c r="N73" s="26">
        <v>0.125</v>
      </c>
      <c r="O73" s="13">
        <v>0</v>
      </c>
      <c r="P73" s="23">
        <f t="shared" si="12"/>
        <v>22.395</v>
      </c>
      <c r="Q73" s="23">
        <f t="shared" si="13"/>
        <v>41.86</v>
      </c>
      <c r="R73" s="14">
        <f t="shared" si="32"/>
        <v>1.8691672248269704</v>
      </c>
      <c r="S73" s="14">
        <f t="shared" si="33"/>
        <v>1.8657810486417497</v>
      </c>
      <c r="T73" s="14">
        <f t="shared" si="7"/>
        <v>1.8651301912291021</v>
      </c>
      <c r="U73" s="14">
        <f t="shared" si="10"/>
        <v>1.8633015874320762</v>
      </c>
      <c r="V73" s="16">
        <f t="shared" si="34"/>
        <v>41.784166584331984</v>
      </c>
      <c r="W73" s="16">
        <f t="shared" si="9"/>
        <v>41.757365592956091</v>
      </c>
      <c r="X73" s="16">
        <f t="shared" si="14"/>
        <v>41.719745172990315</v>
      </c>
      <c r="Y73" s="17">
        <f t="shared" si="35"/>
        <v>1.8132390946563499E-3</v>
      </c>
      <c r="Z73" s="17">
        <f t="shared" si="8"/>
        <v>2.4548598932422963E-3</v>
      </c>
      <c r="AA73" s="17">
        <f t="shared" si="8"/>
        <v>3.3561949338902536E-3</v>
      </c>
      <c r="AC73" s="18">
        <f t="shared" si="36"/>
        <v>-3.1383123717784239E-3</v>
      </c>
      <c r="AD73" s="18">
        <f t="shared" si="36"/>
        <v>-2.6243603276457613E-3</v>
      </c>
      <c r="AE73" s="18"/>
      <c r="AF73" s="18"/>
      <c r="AH73">
        <f t="shared" si="15"/>
        <v>0</v>
      </c>
      <c r="AI73">
        <f t="shared" si="16"/>
        <v>1</v>
      </c>
      <c r="AJ73">
        <f t="shared" si="17"/>
        <v>0</v>
      </c>
      <c r="AK73">
        <f t="shared" si="11"/>
        <v>0</v>
      </c>
      <c r="AL73" s="18">
        <f t="shared" si="18"/>
        <v>0</v>
      </c>
      <c r="AM73" s="18">
        <f t="shared" si="19"/>
        <v>0</v>
      </c>
      <c r="AN73" s="18">
        <f t="shared" si="20"/>
        <v>0</v>
      </c>
      <c r="AO73" s="19">
        <f t="shared" si="21"/>
        <v>1.3685627551193152E-2</v>
      </c>
      <c r="AQ73" s="18"/>
      <c r="AS73">
        <f t="shared" si="22"/>
        <v>1</v>
      </c>
      <c r="AT73">
        <f t="shared" si="23"/>
        <v>0</v>
      </c>
      <c r="AU73">
        <f t="shared" si="24"/>
        <v>1</v>
      </c>
      <c r="AV73">
        <f t="shared" si="25"/>
        <v>1</v>
      </c>
      <c r="AW73" s="18">
        <f t="shared" si="26"/>
        <v>-3.1383123717784239E-3</v>
      </c>
      <c r="AX73" s="18">
        <f t="shared" si="27"/>
        <v>2.6243603276457613E-3</v>
      </c>
      <c r="AY73" s="18">
        <f t="shared" si="28"/>
        <v>-5.1395204413266261E-4</v>
      </c>
      <c r="AZ73" s="19">
        <f t="shared" si="29"/>
        <v>1.3583644600280604E-2</v>
      </c>
      <c r="BB73" s="19">
        <f t="shared" si="30"/>
        <v>-5.1395204413266261E-4</v>
      </c>
      <c r="BC73" s="19">
        <f t="shared" si="31"/>
        <v>2.7269272151473754E-2</v>
      </c>
    </row>
    <row r="74" spans="1:55" x14ac:dyDescent="0.3">
      <c r="A74" s="1">
        <v>46129</v>
      </c>
      <c r="B74" s="10">
        <v>22.42</v>
      </c>
      <c r="C74" s="10">
        <v>42.13</v>
      </c>
      <c r="D74" s="11">
        <v>1.8791257805530699</v>
      </c>
      <c r="E74" s="11">
        <v>1.8778822651217899</v>
      </c>
      <c r="F74" s="11">
        <v>1.87622843689913</v>
      </c>
      <c r="G74" s="11">
        <v>1.87261736693745</v>
      </c>
      <c r="H74" s="10">
        <v>42.102120384030599</v>
      </c>
      <c r="I74" s="10">
        <v>42.0522051750226</v>
      </c>
      <c r="J74" s="10">
        <v>41.973583620004902</v>
      </c>
      <c r="K74" s="12">
        <v>6.6197115447982197E-4</v>
      </c>
      <c r="L74" s="12">
        <v>1.8482492104207899E-3</v>
      </c>
      <c r="M74" s="12">
        <v>3.7196170152265602E-3</v>
      </c>
      <c r="N74" s="26">
        <v>0.125</v>
      </c>
      <c r="O74" s="13">
        <v>0</v>
      </c>
      <c r="P74" s="23">
        <f t="shared" si="12"/>
        <v>22.545000000000002</v>
      </c>
      <c r="Q74" s="23">
        <f t="shared" si="13"/>
        <v>42.13</v>
      </c>
      <c r="R74" s="14">
        <f t="shared" si="32"/>
        <v>1.868707030383677</v>
      </c>
      <c r="S74" s="14">
        <f t="shared" si="33"/>
        <v>1.8657810486417497</v>
      </c>
      <c r="T74" s="14">
        <f t="shared" si="7"/>
        <v>1.8657250478689247</v>
      </c>
      <c r="U74" s="14">
        <f t="shared" si="10"/>
        <v>1.8635847162301105</v>
      </c>
      <c r="V74" s="16">
        <f t="shared" si="34"/>
        <v>42.064033741628251</v>
      </c>
      <c r="W74" s="16">
        <f t="shared" si="9"/>
        <v>42.049360161260111</v>
      </c>
      <c r="X74" s="16">
        <f t="shared" si="14"/>
        <v>42.008134288656159</v>
      </c>
      <c r="Y74" s="17">
        <f t="shared" si="35"/>
        <v>1.5670058539438904E-3</v>
      </c>
      <c r="Z74" s="17">
        <f t="shared" si="8"/>
        <v>1.9159058289925687E-3</v>
      </c>
      <c r="AA74" s="17">
        <f t="shared" si="8"/>
        <v>2.8968029204233235E-3</v>
      </c>
      <c r="AC74" s="18">
        <f t="shared" si="36"/>
        <v>6.7129363747376394E-3</v>
      </c>
      <c r="AD74" s="18">
        <f t="shared" si="36"/>
        <v>6.4293589730716619E-3</v>
      </c>
      <c r="AE74" s="18"/>
      <c r="AF74" s="18"/>
      <c r="AH74">
        <f t="shared" si="15"/>
        <v>0</v>
      </c>
      <c r="AI74">
        <f t="shared" si="16"/>
        <v>1</v>
      </c>
      <c r="AJ74">
        <f t="shared" si="17"/>
        <v>0</v>
      </c>
      <c r="AK74">
        <f t="shared" si="11"/>
        <v>0</v>
      </c>
      <c r="AL74" s="18">
        <f t="shared" si="18"/>
        <v>0</v>
      </c>
      <c r="AM74" s="18">
        <f t="shared" si="19"/>
        <v>0</v>
      </c>
      <c r="AN74" s="18">
        <f t="shared" si="20"/>
        <v>0</v>
      </c>
      <c r="AO74" s="19">
        <f t="shared" si="21"/>
        <v>1.3685627551193152E-2</v>
      </c>
      <c r="AQ74" s="18"/>
      <c r="AS74">
        <f t="shared" si="22"/>
        <v>1</v>
      </c>
      <c r="AT74">
        <f t="shared" si="23"/>
        <v>0</v>
      </c>
      <c r="AU74">
        <f t="shared" si="24"/>
        <v>1</v>
      </c>
      <c r="AV74">
        <f t="shared" si="25"/>
        <v>1</v>
      </c>
      <c r="AW74" s="18">
        <f t="shared" si="26"/>
        <v>6.7129363747376394E-3</v>
      </c>
      <c r="AX74" s="18">
        <f t="shared" si="27"/>
        <v>-6.4293589730716619E-3</v>
      </c>
      <c r="AY74" s="18">
        <f t="shared" si="28"/>
        <v>2.8357740166597752E-4</v>
      </c>
      <c r="AZ74" s="19">
        <f t="shared" si="29"/>
        <v>1.386722200194658E-2</v>
      </c>
      <c r="BB74" s="19">
        <f t="shared" si="30"/>
        <v>2.8357740166597752E-4</v>
      </c>
      <c r="BC74" s="19">
        <f t="shared" si="31"/>
        <v>2.7552849553139733E-2</v>
      </c>
    </row>
    <row r="75" spans="1:55" x14ac:dyDescent="0.3">
      <c r="A75" s="1">
        <v>46132</v>
      </c>
      <c r="B75" s="10">
        <v>22.45</v>
      </c>
      <c r="C75" s="10">
        <v>42.11</v>
      </c>
      <c r="D75" s="11">
        <v>1.87572383073496</v>
      </c>
      <c r="E75" s="11">
        <v>1.8778822651217899</v>
      </c>
      <c r="F75" s="11">
        <v>1.8767468401007099</v>
      </c>
      <c r="G75" s="11">
        <v>1.87299571175887</v>
      </c>
      <c r="H75" s="10">
        <v>42.158456851984198</v>
      </c>
      <c r="I75" s="10">
        <v>42.121328408385502</v>
      </c>
      <c r="J75" s="10">
        <v>42.040259887745798</v>
      </c>
      <c r="K75" s="12">
        <v>-1.1500592068582299E-3</v>
      </c>
      <c r="L75" s="12">
        <v>-2.6898325523103502E-4</v>
      </c>
      <c r="M75" s="12">
        <v>1.65751426826089E-3</v>
      </c>
      <c r="N75" s="26">
        <v>0.125</v>
      </c>
      <c r="O75" s="13">
        <v>0</v>
      </c>
      <c r="P75" s="23">
        <f t="shared" si="12"/>
        <v>22.574999999999999</v>
      </c>
      <c r="Q75" s="23">
        <f t="shared" si="13"/>
        <v>42.11</v>
      </c>
      <c r="R75" s="14">
        <f t="shared" si="32"/>
        <v>1.8653377630121817</v>
      </c>
      <c r="S75" s="14">
        <f t="shared" si="33"/>
        <v>1.8657810486417497</v>
      </c>
      <c r="T75" s="14">
        <f t="shared" si="7"/>
        <v>1.8662683761373926</v>
      </c>
      <c r="U75" s="14">
        <f t="shared" si="10"/>
        <v>1.8637834225625376</v>
      </c>
      <c r="V75" s="16">
        <f t="shared" si="34"/>
        <v>42.120007173087494</v>
      </c>
      <c r="W75" s="16">
        <f t="shared" si="9"/>
        <v>42.118742955640975</v>
      </c>
      <c r="X75" s="16">
        <f t="shared" si="14"/>
        <v>42.070424968894741</v>
      </c>
      <c r="Y75" s="17">
        <f t="shared" si="35"/>
        <v>-2.3761539314644749E-4</v>
      </c>
      <c r="Z75" s="17">
        <f t="shared" si="8"/>
        <v>-2.0760028858510401E-4</v>
      </c>
      <c r="AA75" s="17">
        <f t="shared" si="8"/>
        <v>9.402431511940756E-4</v>
      </c>
      <c r="AC75" s="18">
        <f t="shared" si="36"/>
        <v>1.3371965442493393E-3</v>
      </c>
      <c r="AD75" s="18">
        <f t="shared" si="36"/>
        <v>-4.7483381708885363E-4</v>
      </c>
      <c r="AE75" s="18"/>
      <c r="AF75" s="18"/>
      <c r="AH75">
        <f t="shared" si="15"/>
        <v>0</v>
      </c>
      <c r="AI75">
        <f t="shared" si="16"/>
        <v>1</v>
      </c>
      <c r="AJ75">
        <f t="shared" si="17"/>
        <v>0</v>
      </c>
      <c r="AK75">
        <f t="shared" si="11"/>
        <v>0</v>
      </c>
      <c r="AL75" s="18">
        <f t="shared" si="18"/>
        <v>0</v>
      </c>
      <c r="AM75" s="18">
        <f t="shared" si="19"/>
        <v>0</v>
      </c>
      <c r="AN75" s="18">
        <f t="shared" si="20"/>
        <v>0</v>
      </c>
      <c r="AO75" s="19">
        <f t="shared" si="21"/>
        <v>1.3685627551193152E-2</v>
      </c>
      <c r="AQ75" s="18"/>
      <c r="AS75">
        <f t="shared" si="22"/>
        <v>0</v>
      </c>
      <c r="AT75">
        <f t="shared" si="23"/>
        <v>0</v>
      </c>
      <c r="AU75">
        <f t="shared" si="24"/>
        <v>1</v>
      </c>
      <c r="AV75">
        <f t="shared" si="25"/>
        <v>1</v>
      </c>
      <c r="AW75" s="18">
        <f t="shared" si="26"/>
        <v>1.3371965442493393E-3</v>
      </c>
      <c r="AX75" s="18">
        <f t="shared" si="27"/>
        <v>4.7483381708885363E-4</v>
      </c>
      <c r="AY75" s="18">
        <f t="shared" si="28"/>
        <v>1.8120303613381929E-3</v>
      </c>
      <c r="AZ75" s="19">
        <f t="shared" si="29"/>
        <v>1.5679252363284775E-2</v>
      </c>
      <c r="BB75" s="19">
        <f t="shared" si="30"/>
        <v>1.8120303613381929E-3</v>
      </c>
      <c r="BC75" s="19">
        <f t="shared" si="31"/>
        <v>2.9364879914477927E-2</v>
      </c>
    </row>
    <row r="76" spans="1:55" x14ac:dyDescent="0.3">
      <c r="A76" s="1">
        <v>46133</v>
      </c>
      <c r="B76" s="10">
        <v>22.24</v>
      </c>
      <c r="C76" s="10">
        <v>41.76</v>
      </c>
      <c r="D76" s="11">
        <v>1.8776978417266099</v>
      </c>
      <c r="E76" s="11">
        <v>1.8778822651217899</v>
      </c>
      <c r="F76" s="11">
        <v>1.8771021235893799</v>
      </c>
      <c r="G76" s="11">
        <v>1.8736165893786501</v>
      </c>
      <c r="H76" s="10">
        <v>41.764101576308697</v>
      </c>
      <c r="I76" s="10">
        <v>41.738849723839898</v>
      </c>
      <c r="J76" s="10">
        <v>41.655424629517299</v>
      </c>
      <c r="K76" s="12">
        <v>-9.8213000429857298E-5</v>
      </c>
      <c r="L76" s="12">
        <v>5.06600430600168E-4</v>
      </c>
      <c r="M76" s="12">
        <v>2.5073402367431202E-3</v>
      </c>
      <c r="N76" s="26">
        <v>0.125</v>
      </c>
      <c r="O76" s="13">
        <v>0</v>
      </c>
      <c r="P76" s="23">
        <f t="shared" si="12"/>
        <v>22.364999999999998</v>
      </c>
      <c r="Q76" s="23">
        <f t="shared" si="13"/>
        <v>41.76</v>
      </c>
      <c r="R76" s="14">
        <f t="shared" si="32"/>
        <v>1.8672032193158954</v>
      </c>
      <c r="S76" s="14">
        <f t="shared" si="33"/>
        <v>1.8657810486417497</v>
      </c>
      <c r="T76" s="14">
        <f t="shared" ref="T76:T139" si="37">AVERAGE(R67:R76)</f>
        <v>1.8666363970034645</v>
      </c>
      <c r="U76" s="14">
        <f t="shared" si="10"/>
        <v>1.8642156556004046</v>
      </c>
      <c r="V76" s="16">
        <f t="shared" si="34"/>
        <v>41.728193152872727</v>
      </c>
      <c r="W76" s="16">
        <f t="shared" si="9"/>
        <v>41.739092232312785</v>
      </c>
      <c r="X76" s="16">
        <f t="shared" si="14"/>
        <v>41.683516245611152</v>
      </c>
      <c r="Y76" s="17">
        <f t="shared" si="35"/>
        <v>7.6194842563817589E-4</v>
      </c>
      <c r="Z76" s="17">
        <f t="shared" si="35"/>
        <v>5.0079030957611982E-4</v>
      </c>
      <c r="AA76" s="17">
        <f t="shared" si="35"/>
        <v>1.8331867890809467E-3</v>
      </c>
      <c r="AC76" s="18">
        <f t="shared" si="36"/>
        <v>-9.3981448058816624E-3</v>
      </c>
      <c r="AD76" s="18">
        <f t="shared" si="36"/>
        <v>-8.3462985994531332E-3</v>
      </c>
      <c r="AE76" s="18"/>
      <c r="AF76" s="18"/>
      <c r="AH76">
        <f t="shared" si="15"/>
        <v>0</v>
      </c>
      <c r="AI76">
        <f t="shared" si="16"/>
        <v>1</v>
      </c>
      <c r="AJ76">
        <f t="shared" si="17"/>
        <v>0</v>
      </c>
      <c r="AK76">
        <f t="shared" si="11"/>
        <v>0</v>
      </c>
      <c r="AL76" s="18">
        <f t="shared" si="18"/>
        <v>0</v>
      </c>
      <c r="AM76" s="18">
        <f t="shared" si="19"/>
        <v>0</v>
      </c>
      <c r="AN76" s="18">
        <f t="shared" si="20"/>
        <v>0</v>
      </c>
      <c r="AO76" s="19">
        <f t="shared" si="21"/>
        <v>1.3685627551193152E-2</v>
      </c>
      <c r="AQ76" s="18"/>
      <c r="AS76">
        <f t="shared" si="22"/>
        <v>1</v>
      </c>
      <c r="AT76">
        <f t="shared" si="23"/>
        <v>0</v>
      </c>
      <c r="AU76">
        <f t="shared" si="24"/>
        <v>1</v>
      </c>
      <c r="AV76">
        <f t="shared" si="25"/>
        <v>1</v>
      </c>
      <c r="AW76" s="18">
        <f t="shared" si="26"/>
        <v>-9.3981448058816624E-3</v>
      </c>
      <c r="AX76" s="18">
        <f t="shared" si="27"/>
        <v>8.3462985994531332E-3</v>
      </c>
      <c r="AY76" s="18">
        <f t="shared" si="28"/>
        <v>-1.0518462064285292E-3</v>
      </c>
      <c r="AZ76" s="19">
        <f t="shared" si="29"/>
        <v>1.4627406156856246E-2</v>
      </c>
      <c r="BB76" s="19">
        <f t="shared" si="30"/>
        <v>-1.0518462064285292E-3</v>
      </c>
      <c r="BC76" s="19">
        <f t="shared" si="31"/>
        <v>2.8313033708049398E-2</v>
      </c>
    </row>
    <row r="77" spans="1:55" x14ac:dyDescent="0.3">
      <c r="A77" s="1">
        <v>46134</v>
      </c>
      <c r="B77" s="10">
        <v>22.25</v>
      </c>
      <c r="C77" s="10">
        <v>41.73</v>
      </c>
      <c r="D77" s="11">
        <v>1.87550561797752</v>
      </c>
      <c r="E77" s="11">
        <v>1.8778822651217899</v>
      </c>
      <c r="F77" s="11">
        <v>1.8773268426905001</v>
      </c>
      <c r="G77" s="11">
        <v>1.87396602860328</v>
      </c>
      <c r="H77" s="10">
        <v>41.782880398959897</v>
      </c>
      <c r="I77" s="10">
        <v>41.7655222498638</v>
      </c>
      <c r="J77" s="10">
        <v>41.687969113675102</v>
      </c>
      <c r="K77" s="12">
        <v>-1.2664012012196201E-3</v>
      </c>
      <c r="L77" s="12">
        <v>-8.5087801237277902E-4</v>
      </c>
      <c r="M77" s="12">
        <v>1.0077178892816899E-3</v>
      </c>
      <c r="N77" s="26">
        <v>0.125</v>
      </c>
      <c r="O77" s="13">
        <v>0</v>
      </c>
      <c r="P77" s="23">
        <f t="shared" si="12"/>
        <v>22.375</v>
      </c>
      <c r="Q77" s="23">
        <f t="shared" si="13"/>
        <v>41.73</v>
      </c>
      <c r="R77" s="14">
        <f t="shared" si="32"/>
        <v>1.8650279329608936</v>
      </c>
      <c r="S77" s="14">
        <f t="shared" si="33"/>
        <v>1.8657810486417497</v>
      </c>
      <c r="T77" s="14">
        <f t="shared" si="37"/>
        <v>1.8668598606906148</v>
      </c>
      <c r="U77" s="14">
        <f t="shared" si="10"/>
        <v>1.8643800168903351</v>
      </c>
      <c r="V77" s="16">
        <f t="shared" si="34"/>
        <v>41.746850963359151</v>
      </c>
      <c r="W77" s="16">
        <f t="shared" ref="W77:W140" si="38">T76*P77</f>
        <v>41.765989382952519</v>
      </c>
      <c r="X77" s="16">
        <f t="shared" si="14"/>
        <v>41.711825294059054</v>
      </c>
      <c r="Y77" s="17">
        <f t="shared" si="35"/>
        <v>-4.0372782139178054E-4</v>
      </c>
      <c r="Z77" s="17">
        <f t="shared" si="35"/>
        <v>-8.6206260797168507E-4</v>
      </c>
      <c r="AA77" s="17">
        <f t="shared" si="35"/>
        <v>4.3562580670575285E-4</v>
      </c>
      <c r="AC77" s="18">
        <f t="shared" si="36"/>
        <v>4.4953922986764537E-4</v>
      </c>
      <c r="AD77" s="18">
        <f t="shared" si="36"/>
        <v>-7.1864897092202519E-4</v>
      </c>
      <c r="AE77" s="18"/>
      <c r="AF77" s="18"/>
      <c r="AH77">
        <f t="shared" si="15"/>
        <v>0</v>
      </c>
      <c r="AI77">
        <f t="shared" si="16"/>
        <v>1</v>
      </c>
      <c r="AJ77">
        <f t="shared" si="17"/>
        <v>0</v>
      </c>
      <c r="AK77">
        <f t="shared" si="11"/>
        <v>0</v>
      </c>
      <c r="AL77" s="18">
        <f t="shared" si="18"/>
        <v>0</v>
      </c>
      <c r="AM77" s="18">
        <f t="shared" si="19"/>
        <v>0</v>
      </c>
      <c r="AN77" s="18">
        <f t="shared" si="20"/>
        <v>0</v>
      </c>
      <c r="AO77" s="19">
        <f t="shared" si="21"/>
        <v>1.3685627551193152E-2</v>
      </c>
      <c r="AQ77" s="18"/>
      <c r="AS77">
        <f t="shared" si="22"/>
        <v>0</v>
      </c>
      <c r="AT77">
        <f t="shared" si="23"/>
        <v>0</v>
      </c>
      <c r="AU77">
        <f t="shared" si="24"/>
        <v>1</v>
      </c>
      <c r="AV77">
        <f t="shared" si="25"/>
        <v>1</v>
      </c>
      <c r="AW77" s="18">
        <f t="shared" si="26"/>
        <v>4.4953922986764537E-4</v>
      </c>
      <c r="AX77" s="18">
        <f t="shared" si="27"/>
        <v>7.1864897092202519E-4</v>
      </c>
      <c r="AY77" s="18">
        <f t="shared" si="28"/>
        <v>1.1681882007896706E-3</v>
      </c>
      <c r="AZ77" s="19">
        <f t="shared" si="29"/>
        <v>1.5795594357645916E-2</v>
      </c>
      <c r="BB77" s="19">
        <f t="shared" si="30"/>
        <v>1.1681882007896706E-3</v>
      </c>
      <c r="BC77" s="19">
        <f t="shared" si="31"/>
        <v>2.9481221908839068E-2</v>
      </c>
    </row>
    <row r="78" spans="1:55" x14ac:dyDescent="0.3">
      <c r="A78" s="1">
        <v>46135</v>
      </c>
      <c r="B78" s="10">
        <v>22.17</v>
      </c>
      <c r="C78" s="10">
        <v>41.65</v>
      </c>
      <c r="D78" s="11">
        <v>1.8786648624266999</v>
      </c>
      <c r="E78" s="11">
        <v>1.8778822651217899</v>
      </c>
      <c r="F78" s="11">
        <v>1.87752456205649</v>
      </c>
      <c r="G78" s="11">
        <v>1.8743874749914</v>
      </c>
      <c r="H78" s="10">
        <v>41.632649817750099</v>
      </c>
      <c r="I78" s="10">
        <v>41.620336102448597</v>
      </c>
      <c r="J78" s="10">
        <v>41.545826854134802</v>
      </c>
      <c r="K78" s="12">
        <v>4.16657792200025E-4</v>
      </c>
      <c r="L78" s="12">
        <v>7.1247217663977401E-4</v>
      </c>
      <c r="M78" s="12">
        <v>2.5042890790900902E-3</v>
      </c>
      <c r="N78" s="26">
        <v>0.125</v>
      </c>
      <c r="O78" s="13">
        <v>0</v>
      </c>
      <c r="P78" s="23">
        <f t="shared" si="12"/>
        <v>22.295000000000002</v>
      </c>
      <c r="Q78" s="23">
        <f t="shared" si="13"/>
        <v>41.65</v>
      </c>
      <c r="R78" s="14">
        <f t="shared" si="32"/>
        <v>1.8681318681318679</v>
      </c>
      <c r="S78" s="14">
        <f t="shared" si="33"/>
        <v>1.8657810486417497</v>
      </c>
      <c r="T78" s="14">
        <f t="shared" si="37"/>
        <v>1.8670541170943138</v>
      </c>
      <c r="U78" s="14">
        <f t="shared" si="10"/>
        <v>1.8646130117435828</v>
      </c>
      <c r="V78" s="16">
        <f t="shared" si="34"/>
        <v>41.597588479467809</v>
      </c>
      <c r="W78" s="16">
        <f t="shared" si="38"/>
        <v>41.621640594097258</v>
      </c>
      <c r="X78" s="16">
        <f t="shared" si="14"/>
        <v>41.566352476570025</v>
      </c>
      <c r="Y78" s="17">
        <f t="shared" si="35"/>
        <v>1.2591722694777975E-3</v>
      </c>
      <c r="Z78" s="17">
        <f t="shared" si="35"/>
        <v>6.811300172982394E-4</v>
      </c>
      <c r="AA78" s="17">
        <f t="shared" si="35"/>
        <v>2.0103633267448454E-3</v>
      </c>
      <c r="AC78" s="18">
        <f t="shared" si="36"/>
        <v>-3.6019849840290951E-3</v>
      </c>
      <c r="AD78" s="18">
        <f t="shared" si="36"/>
        <v>-1.9189259906095444E-3</v>
      </c>
      <c r="AE78" s="18"/>
      <c r="AF78" s="18"/>
      <c r="AH78">
        <f t="shared" si="15"/>
        <v>0</v>
      </c>
      <c r="AI78">
        <f t="shared" si="16"/>
        <v>1</v>
      </c>
      <c r="AJ78">
        <f t="shared" si="17"/>
        <v>0</v>
      </c>
      <c r="AK78">
        <f t="shared" si="11"/>
        <v>0</v>
      </c>
      <c r="AL78" s="18">
        <f t="shared" si="18"/>
        <v>0</v>
      </c>
      <c r="AM78" s="18">
        <f t="shared" si="19"/>
        <v>0</v>
      </c>
      <c r="AN78" s="18">
        <f t="shared" si="20"/>
        <v>0</v>
      </c>
      <c r="AO78" s="19">
        <f t="shared" si="21"/>
        <v>1.3685627551193152E-2</v>
      </c>
      <c r="AQ78" s="18"/>
      <c r="AS78">
        <f t="shared" si="22"/>
        <v>1</v>
      </c>
      <c r="AT78">
        <f t="shared" si="23"/>
        <v>0</v>
      </c>
      <c r="AU78">
        <f t="shared" si="24"/>
        <v>1</v>
      </c>
      <c r="AV78">
        <f t="shared" si="25"/>
        <v>1</v>
      </c>
      <c r="AW78" s="18">
        <f t="shared" si="26"/>
        <v>-3.6019849840290951E-3</v>
      </c>
      <c r="AX78" s="18">
        <f t="shared" si="27"/>
        <v>1.9189259906095444E-3</v>
      </c>
      <c r="AY78" s="18">
        <f t="shared" si="28"/>
        <v>-1.6830589934195507E-3</v>
      </c>
      <c r="AZ78" s="19">
        <f t="shared" si="29"/>
        <v>1.4112535364226365E-2</v>
      </c>
      <c r="BB78" s="19">
        <f t="shared" si="30"/>
        <v>-1.6830589934195507E-3</v>
      </c>
      <c r="BC78" s="19">
        <f t="shared" si="31"/>
        <v>2.7798162915419519E-2</v>
      </c>
    </row>
    <row r="79" spans="1:55" x14ac:dyDescent="0.3">
      <c r="A79" s="1">
        <v>46136</v>
      </c>
      <c r="B79" s="10">
        <v>22.25</v>
      </c>
      <c r="C79" s="10">
        <v>41.83</v>
      </c>
      <c r="D79" s="11">
        <v>1.88</v>
      </c>
      <c r="E79" s="11">
        <v>1.8778822651217899</v>
      </c>
      <c r="F79" s="11">
        <v>1.87779339381111</v>
      </c>
      <c r="G79" s="11">
        <v>1.87506178691801</v>
      </c>
      <c r="H79" s="10">
        <v>41.782880398959897</v>
      </c>
      <c r="I79" s="10">
        <v>41.7749215057569</v>
      </c>
      <c r="J79" s="10">
        <v>41.705121318558803</v>
      </c>
      <c r="K79" s="12">
        <v>1.1270896494261901E-3</v>
      </c>
      <c r="L79" s="12">
        <v>1.3175899509091399E-3</v>
      </c>
      <c r="M79" s="12">
        <v>2.9898507956025401E-3</v>
      </c>
      <c r="N79" s="26">
        <v>0.125</v>
      </c>
      <c r="O79" s="13">
        <v>0</v>
      </c>
      <c r="P79" s="23">
        <f t="shared" si="12"/>
        <v>22.375</v>
      </c>
      <c r="Q79" s="23">
        <f t="shared" si="13"/>
        <v>41.83</v>
      </c>
      <c r="R79" s="14">
        <f t="shared" si="32"/>
        <v>1.8694972067039106</v>
      </c>
      <c r="S79" s="14">
        <f t="shared" si="33"/>
        <v>1.8657810486417497</v>
      </c>
      <c r="T79" s="14">
        <f t="shared" si="37"/>
        <v>1.8673252102697515</v>
      </c>
      <c r="U79" s="14">
        <f t="shared" si="10"/>
        <v>1.8651034113840801</v>
      </c>
      <c r="V79" s="16">
        <f t="shared" si="34"/>
        <v>41.746850963359151</v>
      </c>
      <c r="W79" s="16">
        <f t="shared" si="38"/>
        <v>41.77533586998527</v>
      </c>
      <c r="X79" s="16">
        <f t="shared" si="14"/>
        <v>41.720716137762665</v>
      </c>
      <c r="Y79" s="17">
        <f t="shared" si="35"/>
        <v>1.9897630292540431E-3</v>
      </c>
      <c r="Z79" s="17">
        <f t="shared" si="35"/>
        <v>1.3076710292604598E-3</v>
      </c>
      <c r="AA79" s="17">
        <f t="shared" si="35"/>
        <v>2.6159901341823778E-3</v>
      </c>
      <c r="AC79" s="18">
        <f t="shared" si="36"/>
        <v>3.6019849840291419E-3</v>
      </c>
      <c r="AD79" s="18">
        <f t="shared" si="36"/>
        <v>4.3124168412552819E-3</v>
      </c>
      <c r="AE79" s="18"/>
      <c r="AF79" s="18"/>
      <c r="AH79">
        <f t="shared" si="15"/>
        <v>0</v>
      </c>
      <c r="AI79">
        <f t="shared" si="16"/>
        <v>1</v>
      </c>
      <c r="AJ79">
        <f t="shared" si="17"/>
        <v>0</v>
      </c>
      <c r="AK79">
        <f t="shared" si="11"/>
        <v>0</v>
      </c>
      <c r="AL79" s="18">
        <f t="shared" si="18"/>
        <v>0</v>
      </c>
      <c r="AM79" s="18">
        <f t="shared" si="19"/>
        <v>0</v>
      </c>
      <c r="AN79" s="18">
        <f t="shared" si="20"/>
        <v>0</v>
      </c>
      <c r="AO79" s="19">
        <f t="shared" si="21"/>
        <v>1.3685627551193152E-2</v>
      </c>
      <c r="AQ79" s="18"/>
      <c r="AS79">
        <f t="shared" si="22"/>
        <v>1</v>
      </c>
      <c r="AT79">
        <f t="shared" si="23"/>
        <v>0</v>
      </c>
      <c r="AU79">
        <f t="shared" si="24"/>
        <v>1</v>
      </c>
      <c r="AV79">
        <f t="shared" si="25"/>
        <v>1</v>
      </c>
      <c r="AW79" s="18">
        <f t="shared" si="26"/>
        <v>3.6019849840291419E-3</v>
      </c>
      <c r="AX79" s="18">
        <f t="shared" si="27"/>
        <v>-4.3124168412552819E-3</v>
      </c>
      <c r="AY79" s="18">
        <f t="shared" si="28"/>
        <v>-7.1043185722613998E-4</v>
      </c>
      <c r="AZ79" s="19">
        <f t="shared" si="29"/>
        <v>1.3402103507000225E-2</v>
      </c>
      <c r="BB79" s="19">
        <f t="shared" si="30"/>
        <v>-7.1043185722613998E-4</v>
      </c>
      <c r="BC79" s="19">
        <f t="shared" si="31"/>
        <v>2.7087731058193378E-2</v>
      </c>
    </row>
    <row r="80" spans="1:55" x14ac:dyDescent="0.3">
      <c r="A80" s="1">
        <v>46139</v>
      </c>
      <c r="B80" s="10">
        <v>22.19</v>
      </c>
      <c r="C80" s="10">
        <v>41.71</v>
      </c>
      <c r="D80" s="11">
        <v>1.8796755295178</v>
      </c>
      <c r="E80" s="11">
        <v>1.8778822651217899</v>
      </c>
      <c r="F80" s="11">
        <v>1.8780527072311499</v>
      </c>
      <c r="G80" s="11">
        <v>1.8757643852990999</v>
      </c>
      <c r="H80" s="10">
        <v>41.670207463052598</v>
      </c>
      <c r="I80" s="10">
        <v>41.6682354086686</v>
      </c>
      <c r="J80" s="10">
        <v>41.607621051710701</v>
      </c>
      <c r="K80" s="12">
        <v>9.54484071919737E-4</v>
      </c>
      <c r="L80" s="12">
        <v>1.00181047535108E-3</v>
      </c>
      <c r="M80" s="12">
        <v>2.4575593619756099E-3</v>
      </c>
      <c r="N80" s="26">
        <v>0.125</v>
      </c>
      <c r="O80" s="13">
        <v>0</v>
      </c>
      <c r="P80" s="23">
        <f t="shared" si="12"/>
        <v>22.315000000000001</v>
      </c>
      <c r="Q80" s="23">
        <f t="shared" si="13"/>
        <v>41.71</v>
      </c>
      <c r="R80" s="14">
        <f t="shared" si="32"/>
        <v>1.8691463141384719</v>
      </c>
      <c r="S80" s="14">
        <f t="shared" si="33"/>
        <v>1.8657810486417497</v>
      </c>
      <c r="T80" s="14">
        <f t="shared" si="37"/>
        <v>1.8675821295725619</v>
      </c>
      <c r="U80" s="14">
        <f t="shared" si="10"/>
        <v>1.8656217082922872</v>
      </c>
      <c r="V80" s="16">
        <f t="shared" si="34"/>
        <v>41.634904100440643</v>
      </c>
      <c r="W80" s="16">
        <f t="shared" si="38"/>
        <v>41.669362067169509</v>
      </c>
      <c r="X80" s="16">
        <f t="shared" si="14"/>
        <v>41.619782625035747</v>
      </c>
      <c r="Y80" s="17">
        <f t="shared" si="35"/>
        <v>1.8020518636867927E-3</v>
      </c>
      <c r="Z80" s="17">
        <f t="shared" si="35"/>
        <v>9.7477205487697877E-4</v>
      </c>
      <c r="AA80" s="17">
        <f t="shared" si="35"/>
        <v>2.1653101057372507E-3</v>
      </c>
      <c r="AC80" s="18">
        <f t="shared" si="36"/>
        <v>-2.7002716677466481E-3</v>
      </c>
      <c r="AD80" s="18">
        <f t="shared" si="36"/>
        <v>-2.8728772452531488E-3</v>
      </c>
      <c r="AE80" s="18"/>
      <c r="AF80" s="18"/>
      <c r="AH80">
        <f t="shared" si="15"/>
        <v>0</v>
      </c>
      <c r="AI80">
        <f t="shared" si="16"/>
        <v>1</v>
      </c>
      <c r="AJ80">
        <f t="shared" si="17"/>
        <v>0</v>
      </c>
      <c r="AK80">
        <f t="shared" si="11"/>
        <v>0</v>
      </c>
      <c r="AL80" s="18">
        <f t="shared" si="18"/>
        <v>0</v>
      </c>
      <c r="AM80" s="18">
        <f t="shared" si="19"/>
        <v>0</v>
      </c>
      <c r="AN80" s="18">
        <f t="shared" si="20"/>
        <v>0</v>
      </c>
      <c r="AO80" s="19">
        <f t="shared" si="21"/>
        <v>1.3685627551193152E-2</v>
      </c>
      <c r="AQ80" s="18"/>
      <c r="AS80">
        <f t="shared" si="22"/>
        <v>1</v>
      </c>
      <c r="AT80">
        <f t="shared" si="23"/>
        <v>0</v>
      </c>
      <c r="AU80">
        <f t="shared" si="24"/>
        <v>1</v>
      </c>
      <c r="AV80">
        <f t="shared" si="25"/>
        <v>1</v>
      </c>
      <c r="AW80" s="18">
        <f t="shared" si="26"/>
        <v>-2.7002716677466481E-3</v>
      </c>
      <c r="AX80" s="18">
        <f t="shared" si="27"/>
        <v>2.8728772452531488E-3</v>
      </c>
      <c r="AY80" s="18">
        <f t="shared" si="28"/>
        <v>1.7260557750650067E-4</v>
      </c>
      <c r="AZ80" s="19">
        <f t="shared" si="29"/>
        <v>1.3574709084506725E-2</v>
      </c>
      <c r="BB80" s="19">
        <f t="shared" si="30"/>
        <v>1.7260557750650067E-4</v>
      </c>
      <c r="BC80" s="19">
        <f t="shared" si="31"/>
        <v>2.7260336635699878E-2</v>
      </c>
    </row>
    <row r="81" spans="1:55" x14ac:dyDescent="0.3">
      <c r="A81" s="1">
        <v>46140</v>
      </c>
      <c r="B81" s="10">
        <v>22.13</v>
      </c>
      <c r="C81" s="10">
        <v>41.6</v>
      </c>
      <c r="D81" s="11">
        <v>1.87980117487573</v>
      </c>
      <c r="E81" s="11">
        <v>1.8778822651217899</v>
      </c>
      <c r="F81" s="11">
        <v>1.87845462990192</v>
      </c>
      <c r="G81" s="11">
        <v>1.8763842782970299</v>
      </c>
      <c r="H81" s="10">
        <v>41.5575345271453</v>
      </c>
      <c r="I81" s="10">
        <v>41.561306411025399</v>
      </c>
      <c r="J81" s="10">
        <v>41.510665846669099</v>
      </c>
      <c r="K81" s="12">
        <v>1.0213260118277199E-3</v>
      </c>
      <c r="L81" s="12">
        <v>9.3056719372781903E-4</v>
      </c>
      <c r="M81" s="12">
        <v>2.1497646980804599E-3</v>
      </c>
      <c r="N81" s="26">
        <v>0.125</v>
      </c>
      <c r="O81" s="13">
        <v>0</v>
      </c>
      <c r="P81" s="23">
        <f t="shared" si="12"/>
        <v>22.254999999999999</v>
      </c>
      <c r="Q81" s="23">
        <f t="shared" si="13"/>
        <v>41.6</v>
      </c>
      <c r="R81" s="14">
        <f t="shared" si="32"/>
        <v>1.8692428667715122</v>
      </c>
      <c r="S81" s="14">
        <f t="shared" si="33"/>
        <v>1.8657810486417497</v>
      </c>
      <c r="T81" s="14">
        <f t="shared" si="37"/>
        <v>1.8679700909886598</v>
      </c>
      <c r="U81" s="14">
        <f t="shared" si="10"/>
        <v>1.8660563286950833</v>
      </c>
      <c r="V81" s="16">
        <f t="shared" si="34"/>
        <v>41.522957237522135</v>
      </c>
      <c r="W81" s="16">
        <f t="shared" si="38"/>
        <v>41.563040293637364</v>
      </c>
      <c r="X81" s="16">
        <f t="shared" si="14"/>
        <v>41.51941111804485</v>
      </c>
      <c r="Y81" s="17">
        <f t="shared" si="35"/>
        <v>1.8537065354662804E-3</v>
      </c>
      <c r="Z81" s="17">
        <f t="shared" si="35"/>
        <v>8.8884938947598384E-4</v>
      </c>
      <c r="AA81" s="17">
        <f t="shared" si="35"/>
        <v>1.9391116015708464E-3</v>
      </c>
      <c r="AC81" s="18">
        <f t="shared" si="36"/>
        <v>-2.7075828815443874E-3</v>
      </c>
      <c r="AD81" s="18">
        <f t="shared" si="36"/>
        <v>-2.6407409416362819E-3</v>
      </c>
      <c r="AE81" s="18"/>
      <c r="AF81" s="18"/>
      <c r="AH81">
        <f t="shared" si="15"/>
        <v>0</v>
      </c>
      <c r="AI81">
        <f t="shared" si="16"/>
        <v>1</v>
      </c>
      <c r="AJ81">
        <f t="shared" si="17"/>
        <v>0</v>
      </c>
      <c r="AK81">
        <f t="shared" si="11"/>
        <v>0</v>
      </c>
      <c r="AL81" s="18">
        <f t="shared" si="18"/>
        <v>0</v>
      </c>
      <c r="AM81" s="18">
        <f t="shared" si="19"/>
        <v>0</v>
      </c>
      <c r="AN81" s="18">
        <f t="shared" si="20"/>
        <v>0</v>
      </c>
      <c r="AO81" s="19">
        <f t="shared" si="21"/>
        <v>1.3685627551193152E-2</v>
      </c>
      <c r="AQ81" s="18"/>
      <c r="AS81">
        <f t="shared" si="22"/>
        <v>1</v>
      </c>
      <c r="AT81">
        <f t="shared" si="23"/>
        <v>0</v>
      </c>
      <c r="AU81">
        <f t="shared" si="24"/>
        <v>1</v>
      </c>
      <c r="AV81">
        <f t="shared" si="25"/>
        <v>1</v>
      </c>
      <c r="AW81" s="18">
        <f t="shared" si="26"/>
        <v>-2.7075828815443874E-3</v>
      </c>
      <c r="AX81" s="18">
        <f t="shared" si="27"/>
        <v>2.6407409416362819E-3</v>
      </c>
      <c r="AY81" s="18">
        <f t="shared" si="28"/>
        <v>-6.6841939908105549E-5</v>
      </c>
      <c r="AZ81" s="19">
        <f t="shared" si="29"/>
        <v>1.3507867144598619E-2</v>
      </c>
      <c r="BB81" s="19">
        <f t="shared" si="30"/>
        <v>-6.6841939908105549E-5</v>
      </c>
      <c r="BC81" s="19">
        <f t="shared" si="31"/>
        <v>2.7193494695791774E-2</v>
      </c>
    </row>
    <row r="82" spans="1:55" x14ac:dyDescent="0.3">
      <c r="A82" s="1">
        <v>46141</v>
      </c>
      <c r="B82" s="10">
        <v>21.98</v>
      </c>
      <c r="C82" s="10">
        <v>41.31</v>
      </c>
      <c r="D82" s="11">
        <v>1.8794358507734299</v>
      </c>
      <c r="E82" s="11">
        <v>1.8778822651217899</v>
      </c>
      <c r="F82" s="11">
        <v>1.8785289222308299</v>
      </c>
      <c r="G82" s="11">
        <v>1.8768253191272699</v>
      </c>
      <c r="H82" s="10">
        <v>41.275852187376998</v>
      </c>
      <c r="I82" s="10">
        <v>41.288432765244302</v>
      </c>
      <c r="J82" s="10">
        <v>41.242926436968801</v>
      </c>
      <c r="K82" s="12">
        <v>8.2696524076640403E-4</v>
      </c>
      <c r="L82" s="12">
        <v>5.2221899432663E-4</v>
      </c>
      <c r="M82" s="12">
        <v>1.62498364832131E-3</v>
      </c>
      <c r="N82" s="26">
        <v>0.125</v>
      </c>
      <c r="O82" s="13">
        <v>0</v>
      </c>
      <c r="P82" s="23">
        <f t="shared" si="12"/>
        <v>22.105</v>
      </c>
      <c r="Q82" s="23">
        <f t="shared" si="13"/>
        <v>41.31</v>
      </c>
      <c r="R82" s="14">
        <f t="shared" si="32"/>
        <v>1.8688079619995477</v>
      </c>
      <c r="S82" s="14">
        <f t="shared" si="33"/>
        <v>1.8657810486417497</v>
      </c>
      <c r="T82" s="14">
        <f t="shared" si="37"/>
        <v>1.8680269388244928</v>
      </c>
      <c r="U82" s="14">
        <f t="shared" si="10"/>
        <v>1.8663056237537536</v>
      </c>
      <c r="V82" s="16">
        <f t="shared" si="34"/>
        <v>41.243090080225876</v>
      </c>
      <c r="W82" s="16">
        <f t="shared" si="38"/>
        <v>41.291478861304327</v>
      </c>
      <c r="X82" s="16">
        <f t="shared" si="14"/>
        <v>41.24917514580482</v>
      </c>
      <c r="Y82" s="17">
        <f t="shared" si="35"/>
        <v>1.6210158665329131E-3</v>
      </c>
      <c r="Z82" s="17">
        <f t="shared" si="35"/>
        <v>4.4844570003802273E-4</v>
      </c>
      <c r="AA82" s="17">
        <f t="shared" si="35"/>
        <v>1.4734852932529925E-3</v>
      </c>
      <c r="AC82" s="18">
        <f t="shared" si="36"/>
        <v>-6.8012050874829118E-3</v>
      </c>
      <c r="AD82" s="18">
        <f t="shared" si="36"/>
        <v>-6.9955658585444608E-3</v>
      </c>
      <c r="AE82" s="18"/>
      <c r="AF82" s="18"/>
      <c r="AH82">
        <f t="shared" si="15"/>
        <v>0</v>
      </c>
      <c r="AI82">
        <f t="shared" si="16"/>
        <v>1</v>
      </c>
      <c r="AJ82">
        <f t="shared" si="17"/>
        <v>0</v>
      </c>
      <c r="AK82">
        <f t="shared" si="11"/>
        <v>0</v>
      </c>
      <c r="AL82" s="18">
        <f t="shared" si="18"/>
        <v>0</v>
      </c>
      <c r="AM82" s="18">
        <f t="shared" si="19"/>
        <v>0</v>
      </c>
      <c r="AN82" s="18">
        <f t="shared" si="20"/>
        <v>0</v>
      </c>
      <c r="AO82" s="19">
        <f t="shared" si="21"/>
        <v>1.3685627551193152E-2</v>
      </c>
      <c r="AQ82" s="18"/>
      <c r="AS82">
        <f t="shared" si="22"/>
        <v>1</v>
      </c>
      <c r="AT82">
        <f t="shared" si="23"/>
        <v>0</v>
      </c>
      <c r="AU82">
        <f t="shared" si="24"/>
        <v>1</v>
      </c>
      <c r="AV82">
        <f t="shared" si="25"/>
        <v>1</v>
      </c>
      <c r="AW82" s="18">
        <f t="shared" si="26"/>
        <v>-6.8012050874829118E-3</v>
      </c>
      <c r="AX82" s="18">
        <f t="shared" si="27"/>
        <v>6.9955658585444608E-3</v>
      </c>
      <c r="AY82" s="18">
        <f t="shared" si="28"/>
        <v>1.94360771061549E-4</v>
      </c>
      <c r="AZ82" s="19">
        <f t="shared" si="29"/>
        <v>1.3702227915660168E-2</v>
      </c>
      <c r="BB82" s="19">
        <f t="shared" si="30"/>
        <v>1.94360771061549E-4</v>
      </c>
      <c r="BC82" s="19">
        <f t="shared" si="31"/>
        <v>2.7387855466853323E-2</v>
      </c>
    </row>
    <row r="83" spans="1:55" x14ac:dyDescent="0.3">
      <c r="A83" s="1">
        <v>46142</v>
      </c>
      <c r="B83" s="10">
        <v>22.27</v>
      </c>
      <c r="C83" s="10">
        <v>41.88</v>
      </c>
      <c r="D83" s="11">
        <v>1.88055680287382</v>
      </c>
      <c r="E83" s="11">
        <v>1.8778822651217899</v>
      </c>
      <c r="F83" s="11">
        <v>1.87861872914596</v>
      </c>
      <c r="G83" s="11">
        <v>1.8771373122764301</v>
      </c>
      <c r="H83" s="10">
        <v>41.820438044262303</v>
      </c>
      <c r="I83" s="10">
        <v>41.8348390980807</v>
      </c>
      <c r="J83" s="10">
        <v>41.796899856964401</v>
      </c>
      <c r="K83" s="12">
        <v>1.4232175406284401E-3</v>
      </c>
      <c r="L83" s="12">
        <v>1.07892236995815E-3</v>
      </c>
      <c r="M83" s="12">
        <v>1.9862153233955E-3</v>
      </c>
      <c r="N83" s="26">
        <v>0.125</v>
      </c>
      <c r="O83" s="13">
        <v>0</v>
      </c>
      <c r="P83" s="23">
        <f t="shared" si="12"/>
        <v>22.395</v>
      </c>
      <c r="Q83" s="23">
        <f t="shared" si="13"/>
        <v>41.88</v>
      </c>
      <c r="R83" s="14">
        <f t="shared" si="32"/>
        <v>1.8700602813127931</v>
      </c>
      <c r="S83" s="14">
        <f t="shared" si="33"/>
        <v>1.8657810486417497</v>
      </c>
      <c r="T83" s="14">
        <f t="shared" si="37"/>
        <v>1.8681162444730748</v>
      </c>
      <c r="U83" s="14">
        <f t="shared" si="10"/>
        <v>1.8666232178510893</v>
      </c>
      <c r="V83" s="16">
        <f t="shared" si="34"/>
        <v>41.784166584331984</v>
      </c>
      <c r="W83" s="16">
        <f t="shared" si="38"/>
        <v>41.834463294974512</v>
      </c>
      <c r="X83" s="16">
        <f t="shared" si="14"/>
        <v>41.795914443965309</v>
      </c>
      <c r="Y83" s="17">
        <f t="shared" si="35"/>
        <v>2.2909080791389757E-3</v>
      </c>
      <c r="Z83" s="17">
        <f t="shared" si="35"/>
        <v>1.0879054281513463E-3</v>
      </c>
      <c r="AA83" s="17">
        <f t="shared" si="35"/>
        <v>2.009791823539477E-3</v>
      </c>
      <c r="AC83" s="18">
        <f t="shared" si="36"/>
        <v>1.3107532293800871E-2</v>
      </c>
      <c r="AD83" s="18">
        <f t="shared" si="36"/>
        <v>1.3703784593663009E-2</v>
      </c>
      <c r="AE83" s="18"/>
      <c r="AF83" s="18"/>
      <c r="AH83">
        <f t="shared" si="15"/>
        <v>0</v>
      </c>
      <c r="AI83">
        <f t="shared" si="16"/>
        <v>1</v>
      </c>
      <c r="AJ83">
        <f t="shared" si="17"/>
        <v>0</v>
      </c>
      <c r="AK83">
        <f t="shared" si="11"/>
        <v>0</v>
      </c>
      <c r="AL83" s="18">
        <f t="shared" si="18"/>
        <v>0</v>
      </c>
      <c r="AM83" s="18">
        <f t="shared" si="19"/>
        <v>0</v>
      </c>
      <c r="AN83" s="18">
        <f t="shared" si="20"/>
        <v>0</v>
      </c>
      <c r="AO83" s="19">
        <f t="shared" si="21"/>
        <v>1.3685627551193152E-2</v>
      </c>
      <c r="AQ83" s="18"/>
      <c r="AS83">
        <f t="shared" si="22"/>
        <v>1</v>
      </c>
      <c r="AT83">
        <f t="shared" si="23"/>
        <v>0</v>
      </c>
      <c r="AU83">
        <f t="shared" si="24"/>
        <v>1</v>
      </c>
      <c r="AV83" s="22">
        <v>0</v>
      </c>
      <c r="AW83" s="18">
        <f t="shared" si="26"/>
        <v>0</v>
      </c>
      <c r="AX83" s="18">
        <f t="shared" si="27"/>
        <v>0</v>
      </c>
      <c r="AY83" s="18">
        <f t="shared" si="28"/>
        <v>0</v>
      </c>
      <c r="AZ83" s="19">
        <f t="shared" si="29"/>
        <v>1.3702227915660168E-2</v>
      </c>
      <c r="BB83" s="19">
        <f t="shared" si="30"/>
        <v>0</v>
      </c>
      <c r="BC83" s="19">
        <f t="shared" si="31"/>
        <v>2.7387855466853323E-2</v>
      </c>
    </row>
    <row r="84" spans="1:55" x14ac:dyDescent="0.3">
      <c r="A84" s="1">
        <v>46143</v>
      </c>
      <c r="B84" s="10">
        <v>22.23</v>
      </c>
      <c r="C84" s="10">
        <v>41.82</v>
      </c>
      <c r="D84" s="11">
        <v>1.88124156545209</v>
      </c>
      <c r="E84" s="11">
        <v>1.8778822651217899</v>
      </c>
      <c r="F84" s="11">
        <v>1.8788303076358599</v>
      </c>
      <c r="G84" s="11">
        <v>1.8775293722674999</v>
      </c>
      <c r="H84" s="10">
        <v>41.745322753657497</v>
      </c>
      <c r="I84" s="10">
        <v>41.761694348914801</v>
      </c>
      <c r="J84" s="10">
        <v>41.728762451905098</v>
      </c>
      <c r="K84" s="12">
        <v>1.7872788319507899E-3</v>
      </c>
      <c r="L84" s="12">
        <v>1.39517775984506E-3</v>
      </c>
      <c r="M84" s="12">
        <v>2.18405591381691E-3</v>
      </c>
      <c r="N84" s="26">
        <v>0.17</v>
      </c>
      <c r="O84" s="13">
        <v>0</v>
      </c>
      <c r="P84" s="23">
        <f t="shared" si="12"/>
        <v>22.400000000000002</v>
      </c>
      <c r="Q84" s="23">
        <f t="shared" si="13"/>
        <v>41.82</v>
      </c>
      <c r="R84" s="14">
        <f t="shared" si="32"/>
        <v>1.8669642857142856</v>
      </c>
      <c r="S84" s="14">
        <f t="shared" si="33"/>
        <v>1.8657810486417497</v>
      </c>
      <c r="T84" s="14">
        <f t="shared" si="37"/>
        <v>1.8679419700061359</v>
      </c>
      <c r="U84" s="14">
        <f t="shared" si="10"/>
        <v>1.8668335089375308</v>
      </c>
      <c r="V84" s="16">
        <f t="shared" si="34"/>
        <v>41.793495489575193</v>
      </c>
      <c r="W84" s="16">
        <f t="shared" si="38"/>
        <v>41.845803876196882</v>
      </c>
      <c r="X84" s="16">
        <f t="shared" si="14"/>
        <v>41.812360079864405</v>
      </c>
      <c r="Y84" s="17">
        <f t="shared" si="35"/>
        <v>6.3397687555951309E-4</v>
      </c>
      <c r="Z84" s="17">
        <f t="shared" si="35"/>
        <v>-6.1683210629810247E-4</v>
      </c>
      <c r="AA84" s="17">
        <f t="shared" si="35"/>
        <v>1.8270248859530899E-4</v>
      </c>
      <c r="AC84" s="18">
        <f t="shared" si="36"/>
        <v>-1.7977532931709832E-3</v>
      </c>
      <c r="AD84" s="18">
        <f t="shared" si="36"/>
        <v>-1.4336920018486968E-3</v>
      </c>
      <c r="AE84" s="18"/>
      <c r="AF84" s="18"/>
      <c r="AH84">
        <f t="shared" si="15"/>
        <v>0</v>
      </c>
      <c r="AI84">
        <f t="shared" si="16"/>
        <v>1</v>
      </c>
      <c r="AJ84">
        <f t="shared" si="17"/>
        <v>0</v>
      </c>
      <c r="AK84">
        <f t="shared" si="11"/>
        <v>0</v>
      </c>
      <c r="AL84" s="18">
        <f t="shared" si="18"/>
        <v>0</v>
      </c>
      <c r="AM84" s="18">
        <f t="shared" si="19"/>
        <v>0</v>
      </c>
      <c r="AN84" s="18">
        <f t="shared" si="20"/>
        <v>0</v>
      </c>
      <c r="AO84" s="19">
        <f t="shared" si="21"/>
        <v>1.3685627551193152E-2</v>
      </c>
      <c r="AQ84" s="18"/>
      <c r="AS84">
        <f t="shared" si="22"/>
        <v>0</v>
      </c>
      <c r="AT84">
        <f t="shared" si="23"/>
        <v>0</v>
      </c>
      <c r="AU84">
        <f t="shared" si="24"/>
        <v>0</v>
      </c>
      <c r="AV84">
        <f t="shared" si="25"/>
        <v>1</v>
      </c>
      <c r="AW84" s="18">
        <f t="shared" si="26"/>
        <v>-1.7977532931709832E-3</v>
      </c>
      <c r="AX84" s="18">
        <f t="shared" si="27"/>
        <v>1.4336920018486968E-3</v>
      </c>
      <c r="AY84" s="18">
        <f t="shared" si="28"/>
        <v>-3.6406129132228633E-4</v>
      </c>
      <c r="AZ84" s="19">
        <f t="shared" si="29"/>
        <v>1.3338166624337882E-2</v>
      </c>
      <c r="BB84" s="19">
        <f t="shared" si="30"/>
        <v>-3.6406129132228633E-4</v>
      </c>
      <c r="BC84" s="19">
        <f t="shared" si="31"/>
        <v>2.7023794175531038E-2</v>
      </c>
    </row>
    <row r="85" spans="1:55" x14ac:dyDescent="0.3">
      <c r="A85" s="1">
        <v>46146</v>
      </c>
      <c r="B85" s="10">
        <v>22.13</v>
      </c>
      <c r="C85" s="10">
        <v>41.63</v>
      </c>
      <c r="D85" s="11">
        <v>1.881156800723</v>
      </c>
      <c r="E85" s="11">
        <v>1.8778822651217899</v>
      </c>
      <c r="F85" s="11">
        <v>1.8793736046346701</v>
      </c>
      <c r="G85" s="11">
        <v>1.8780602223676901</v>
      </c>
      <c r="H85" s="10">
        <v>41.5575345271453</v>
      </c>
      <c r="I85" s="10">
        <v>41.578514707981697</v>
      </c>
      <c r="J85" s="10">
        <v>41.5497250082798</v>
      </c>
      <c r="K85" s="12">
        <v>1.7422199514943401E-3</v>
      </c>
      <c r="L85" s="12">
        <v>1.2375007237976101E-3</v>
      </c>
      <c r="M85" s="12">
        <v>1.93015825994396E-3</v>
      </c>
      <c r="N85" s="26">
        <v>0.17</v>
      </c>
      <c r="O85" s="13">
        <v>0</v>
      </c>
      <c r="P85" s="23">
        <f t="shared" si="12"/>
        <v>22.3</v>
      </c>
      <c r="Q85" s="23">
        <f t="shared" si="13"/>
        <v>41.63</v>
      </c>
      <c r="R85" s="14">
        <f t="shared" si="32"/>
        <v>1.8668161434977579</v>
      </c>
      <c r="S85" s="14">
        <f t="shared" si="33"/>
        <v>1.8657810486417497</v>
      </c>
      <c r="T85" s="14">
        <f t="shared" si="37"/>
        <v>1.8680898080546935</v>
      </c>
      <c r="U85" s="14">
        <f t="shared" si="10"/>
        <v>1.8671790920960434</v>
      </c>
      <c r="V85" s="16">
        <f t="shared" si="34"/>
        <v>41.606917384711018</v>
      </c>
      <c r="W85" s="16">
        <f t="shared" si="38"/>
        <v>41.655105931136831</v>
      </c>
      <c r="X85" s="16">
        <f t="shared" si="14"/>
        <v>41.630387249306935</v>
      </c>
      <c r="Y85" s="17">
        <f t="shared" si="35"/>
        <v>5.5462447687718074E-4</v>
      </c>
      <c r="Z85" s="17">
        <f t="shared" si="35"/>
        <v>-6.0289127609544006E-4</v>
      </c>
      <c r="AA85" s="17">
        <f t="shared" si="35"/>
        <v>-9.3021260103835174E-6</v>
      </c>
      <c r="AC85" s="18">
        <f t="shared" si="36"/>
        <v>-4.5085739131469635E-3</v>
      </c>
      <c r="AD85" s="18">
        <f t="shared" si="36"/>
        <v>-4.5536327936034227E-3</v>
      </c>
      <c r="AE85" s="18"/>
      <c r="AF85" s="18"/>
      <c r="AH85">
        <f t="shared" si="15"/>
        <v>0</v>
      </c>
      <c r="AI85">
        <f t="shared" si="16"/>
        <v>0</v>
      </c>
      <c r="AJ85">
        <f t="shared" si="17"/>
        <v>0</v>
      </c>
      <c r="AK85">
        <f t="shared" si="11"/>
        <v>0</v>
      </c>
      <c r="AL85" s="18">
        <f t="shared" si="18"/>
        <v>0</v>
      </c>
      <c r="AM85" s="18">
        <f t="shared" si="19"/>
        <v>0</v>
      </c>
      <c r="AN85" s="18">
        <f t="shared" si="20"/>
        <v>0</v>
      </c>
      <c r="AO85" s="19">
        <f t="shared" si="21"/>
        <v>1.3685627551193152E-2</v>
      </c>
      <c r="AQ85" s="18"/>
      <c r="AS85">
        <f t="shared" si="22"/>
        <v>0</v>
      </c>
      <c r="AT85">
        <f t="shared" si="23"/>
        <v>1</v>
      </c>
      <c r="AU85">
        <f t="shared" si="24"/>
        <v>1</v>
      </c>
      <c r="AV85">
        <f t="shared" si="25"/>
        <v>0</v>
      </c>
      <c r="AW85" s="18">
        <f t="shared" si="26"/>
        <v>0</v>
      </c>
      <c r="AX85" s="18">
        <f t="shared" si="27"/>
        <v>0</v>
      </c>
      <c r="AY85" s="18">
        <f t="shared" si="28"/>
        <v>0</v>
      </c>
      <c r="AZ85" s="19">
        <f t="shared" si="29"/>
        <v>1.3338166624337882E-2</v>
      </c>
      <c r="BB85" s="19">
        <f t="shared" si="30"/>
        <v>0</v>
      </c>
      <c r="BC85" s="19">
        <f t="shared" si="31"/>
        <v>2.7023794175531038E-2</v>
      </c>
    </row>
    <row r="86" spans="1:55" x14ac:dyDescent="0.3">
      <c r="A86" s="1">
        <v>46147</v>
      </c>
      <c r="B86" s="10">
        <v>22.13</v>
      </c>
      <c r="C86" s="10">
        <v>41.78</v>
      </c>
      <c r="D86" s="11">
        <v>1.88793492995933</v>
      </c>
      <c r="E86" s="11">
        <v>1.8778822651217899</v>
      </c>
      <c r="F86" s="11">
        <v>1.8803973134579399</v>
      </c>
      <c r="G86" s="11">
        <v>1.8787497185236599</v>
      </c>
      <c r="H86" s="10">
        <v>41.5575345271453</v>
      </c>
      <c r="I86" s="10">
        <v>41.590537870565299</v>
      </c>
      <c r="J86" s="10">
        <v>41.561472720997102</v>
      </c>
      <c r="K86" s="12">
        <v>5.3389148730298604E-3</v>
      </c>
      <c r="L86" s="12">
        <v>4.5450697675092997E-3</v>
      </c>
      <c r="M86" s="12">
        <v>5.2441545050917896E-3</v>
      </c>
      <c r="N86" s="26">
        <v>0.17</v>
      </c>
      <c r="O86" s="13">
        <v>0</v>
      </c>
      <c r="P86" s="23">
        <f t="shared" si="12"/>
        <v>22.3</v>
      </c>
      <c r="Q86" s="23">
        <f t="shared" si="13"/>
        <v>41.78</v>
      </c>
      <c r="R86" s="14">
        <f t="shared" si="32"/>
        <v>1.873542600896861</v>
      </c>
      <c r="S86" s="14">
        <f t="shared" si="33"/>
        <v>1.8657810486417497</v>
      </c>
      <c r="T86" s="14">
        <f t="shared" si="37"/>
        <v>1.8687237462127899</v>
      </c>
      <c r="U86" s="14">
        <f t="shared" ref="U86:U149" si="39">AVERAGE(R67:R86)</f>
        <v>1.8676800716081274</v>
      </c>
      <c r="V86" s="16">
        <f t="shared" si="34"/>
        <v>41.606917384711018</v>
      </c>
      <c r="W86" s="16">
        <f t="shared" si="38"/>
        <v>41.658402719619666</v>
      </c>
      <c r="X86" s="16">
        <f t="shared" si="14"/>
        <v>41.638093753741771</v>
      </c>
      <c r="Y86" s="17">
        <f t="shared" si="35"/>
        <v>4.1513193984129265E-3</v>
      </c>
      <c r="Z86" s="17">
        <f t="shared" si="35"/>
        <v>2.9146618942896729E-3</v>
      </c>
      <c r="AA86" s="17">
        <f t="shared" si="35"/>
        <v>3.4022926384427478E-3</v>
      </c>
      <c r="AC86" s="18">
        <f t="shared" si="36"/>
        <v>0</v>
      </c>
      <c r="AD86" s="18">
        <f t="shared" si="36"/>
        <v>3.5966949215356825E-3</v>
      </c>
      <c r="AE86" s="18"/>
      <c r="AF86" s="18"/>
      <c r="AH86">
        <f t="shared" si="15"/>
        <v>0</v>
      </c>
      <c r="AI86">
        <f t="shared" si="16"/>
        <v>1</v>
      </c>
      <c r="AJ86">
        <f t="shared" si="17"/>
        <v>0</v>
      </c>
      <c r="AK86">
        <f t="shared" ref="AK86:AK149" si="40">IF(AH85,1,IF(AI85,0,AJ85))</f>
        <v>0</v>
      </c>
      <c r="AL86" s="18">
        <f t="shared" si="18"/>
        <v>0</v>
      </c>
      <c r="AM86" s="18">
        <f t="shared" si="19"/>
        <v>0</v>
      </c>
      <c r="AN86" s="18">
        <f t="shared" si="20"/>
        <v>0</v>
      </c>
      <c r="AO86" s="19">
        <f t="shared" si="21"/>
        <v>1.3685627551193152E-2</v>
      </c>
      <c r="AQ86" s="18"/>
      <c r="AS86">
        <f t="shared" si="22"/>
        <v>1</v>
      </c>
      <c r="AT86">
        <f t="shared" si="23"/>
        <v>0</v>
      </c>
      <c r="AU86">
        <f t="shared" si="24"/>
        <v>0</v>
      </c>
      <c r="AV86">
        <f t="shared" si="25"/>
        <v>0</v>
      </c>
      <c r="AW86" s="18">
        <f t="shared" si="26"/>
        <v>0</v>
      </c>
      <c r="AX86" s="18">
        <f t="shared" si="27"/>
        <v>0</v>
      </c>
      <c r="AY86" s="18">
        <f t="shared" si="28"/>
        <v>0</v>
      </c>
      <c r="AZ86" s="19">
        <f t="shared" si="29"/>
        <v>1.3338166624337882E-2</v>
      </c>
      <c r="BB86" s="19">
        <f t="shared" si="30"/>
        <v>0</v>
      </c>
      <c r="BC86" s="19">
        <f t="shared" si="31"/>
        <v>2.7023794175531038E-2</v>
      </c>
    </row>
    <row r="87" spans="1:55" x14ac:dyDescent="0.3">
      <c r="A87" s="1">
        <v>46148</v>
      </c>
      <c r="B87" s="10">
        <v>22.34</v>
      </c>
      <c r="C87" s="10">
        <v>42.18</v>
      </c>
      <c r="D87" s="11">
        <v>1.8880931065353601</v>
      </c>
      <c r="E87" s="11">
        <v>1.8778822651217899</v>
      </c>
      <c r="F87" s="11">
        <v>1.88165606231372</v>
      </c>
      <c r="G87" s="11">
        <v>1.87949145250211</v>
      </c>
      <c r="H87" s="10">
        <v>41.951889802820801</v>
      </c>
      <c r="I87" s="10">
        <v>42.008075982650404</v>
      </c>
      <c r="J87" s="10">
        <v>41.971268711818603</v>
      </c>
      <c r="K87" s="12">
        <v>5.4226942171422101E-3</v>
      </c>
      <c r="L87" s="12">
        <v>4.0842899505073799E-3</v>
      </c>
      <c r="M87" s="12">
        <v>4.9608691456078198E-3</v>
      </c>
      <c r="N87" s="26">
        <v>0.17</v>
      </c>
      <c r="O87" s="13">
        <v>0</v>
      </c>
      <c r="P87" s="23">
        <f t="shared" ref="P87:P150" si="41">B87+N87</f>
        <v>22.51</v>
      </c>
      <c r="Q87" s="23">
        <f t="shared" ref="Q87:Q150" si="42">C87+O87</f>
        <v>42.18</v>
      </c>
      <c r="R87" s="14">
        <f t="shared" si="32"/>
        <v>1.8738338516215014</v>
      </c>
      <c r="S87" s="14">
        <f t="shared" si="33"/>
        <v>1.8657810486417497</v>
      </c>
      <c r="T87" s="14">
        <f t="shared" si="37"/>
        <v>1.869604338078851</v>
      </c>
      <c r="U87" s="14">
        <f t="shared" si="39"/>
        <v>1.8682320993847328</v>
      </c>
      <c r="V87" s="16">
        <f t="shared" si="34"/>
        <v>41.998731404925785</v>
      </c>
      <c r="W87" s="16">
        <f t="shared" si="38"/>
        <v>42.064971527249902</v>
      </c>
      <c r="X87" s="16">
        <f t="shared" ref="X87:X150" si="43">U86*P87</f>
        <v>42.04147841189895</v>
      </c>
      <c r="Y87" s="17">
        <f t="shared" si="35"/>
        <v>4.3067618680538364E-3</v>
      </c>
      <c r="Z87" s="17">
        <f t="shared" si="35"/>
        <v>2.7308109231574118E-3</v>
      </c>
      <c r="AA87" s="17">
        <f t="shared" si="35"/>
        <v>3.2894628690890012E-3</v>
      </c>
      <c r="AC87" s="18">
        <f t="shared" si="36"/>
        <v>9.444639578096433E-3</v>
      </c>
      <c r="AD87" s="18">
        <f t="shared" si="36"/>
        <v>9.528418922208768E-3</v>
      </c>
      <c r="AE87" s="18"/>
      <c r="AF87" s="18"/>
      <c r="AH87">
        <f t="shared" ref="AH87:AH150" si="44">IF(AA87&lt;AG$1,1,0)</f>
        <v>0</v>
      </c>
      <c r="AI87">
        <f t="shared" ref="AI87:AI150" si="45">IF($AA87&gt;AG$2,1,0)</f>
        <v>1</v>
      </c>
      <c r="AJ87">
        <f t="shared" ref="AJ87:AJ150" si="46">AK87</f>
        <v>0</v>
      </c>
      <c r="AK87">
        <f t="shared" si="40"/>
        <v>0</v>
      </c>
      <c r="AL87" s="18">
        <f t="shared" ref="AL87:AL150" si="47">-AK87*$AC87</f>
        <v>0</v>
      </c>
      <c r="AM87" s="18">
        <f t="shared" ref="AM87:AM150" si="48">AK87*$AD87</f>
        <v>0</v>
      </c>
      <c r="AN87" s="18">
        <f t="shared" ref="AN87:AN150" si="49">AL87+AM87</f>
        <v>0</v>
      </c>
      <c r="AO87" s="19">
        <f t="shared" ref="AO87:AO150" si="50">AO86+AN87</f>
        <v>1.3685627551193152E-2</v>
      </c>
      <c r="AQ87" s="18"/>
      <c r="AS87">
        <f t="shared" ref="AS87:AS150" si="51">IF($AA87&gt;AR$1,1,0)</f>
        <v>1</v>
      </c>
      <c r="AT87">
        <f t="shared" ref="AT87:AT150" si="52">IF($AA87&lt;AR$2,1,0)</f>
        <v>0</v>
      </c>
      <c r="AU87">
        <f t="shared" ref="AU87:AU150" si="53">AV86</f>
        <v>0</v>
      </c>
      <c r="AV87">
        <f t="shared" ref="AV87:AV150" si="54">IF(AS86,1,IF(AT86,0,AU86))</f>
        <v>1</v>
      </c>
      <c r="AW87" s="18">
        <f t="shared" ref="AW87:AW150" si="55">AV87*$AC87</f>
        <v>9.444639578096433E-3</v>
      </c>
      <c r="AX87" s="18">
        <f t="shared" ref="AX87:AX150" si="56">-AV87*$AD87</f>
        <v>-9.528418922208768E-3</v>
      </c>
      <c r="AY87" s="18">
        <f t="shared" ref="AY87:AY150" si="57">AW87+AX87</f>
        <v>-8.3779344112334952E-5</v>
      </c>
      <c r="AZ87" s="19">
        <f t="shared" ref="AZ87:AZ150" si="58">AZ86+AY87</f>
        <v>1.3254387280225547E-2</v>
      </c>
      <c r="BB87" s="19">
        <f t="shared" ref="BB87:BB150" si="59">AN87+AY87</f>
        <v>-8.3779344112334952E-5</v>
      </c>
      <c r="BC87" s="19">
        <f t="shared" ref="BC87:BC150" si="60">BC86+BB87</f>
        <v>2.6940014831418703E-2</v>
      </c>
    </row>
    <row r="88" spans="1:55" x14ac:dyDescent="0.3">
      <c r="A88" s="1">
        <v>46149</v>
      </c>
      <c r="B88" s="10">
        <v>22.31</v>
      </c>
      <c r="C88" s="10">
        <v>42.06</v>
      </c>
      <c r="D88" s="11">
        <v>1.8852532496638199</v>
      </c>
      <c r="E88" s="11">
        <v>1.8778822651217899</v>
      </c>
      <c r="F88" s="11">
        <v>1.88231490103744</v>
      </c>
      <c r="G88" s="11">
        <v>1.87991973154696</v>
      </c>
      <c r="H88" s="10">
        <v>41.895553334867202</v>
      </c>
      <c r="I88" s="10">
        <v>41.979746750219199</v>
      </c>
      <c r="J88" s="10">
        <v>41.931454305322198</v>
      </c>
      <c r="K88" s="12">
        <v>3.9174746376812201E-3</v>
      </c>
      <c r="L88" s="12">
        <v>1.9098885296283199E-3</v>
      </c>
      <c r="M88" s="12">
        <v>3.0609255692927002E-3</v>
      </c>
      <c r="N88" s="26">
        <v>0.17</v>
      </c>
      <c r="O88" s="13">
        <v>0</v>
      </c>
      <c r="P88" s="23">
        <f t="shared" si="41"/>
        <v>22.48</v>
      </c>
      <c r="Q88" s="23">
        <f t="shared" si="42"/>
        <v>42.06</v>
      </c>
      <c r="R88" s="14">
        <f t="shared" si="32"/>
        <v>1.8709964412811388</v>
      </c>
      <c r="S88" s="14">
        <f t="shared" si="33"/>
        <v>1.8657810486417497</v>
      </c>
      <c r="T88" s="14">
        <f t="shared" si="37"/>
        <v>1.869890795393778</v>
      </c>
      <c r="U88" s="14">
        <f t="shared" si="39"/>
        <v>1.8684724562440453</v>
      </c>
      <c r="V88" s="16">
        <f t="shared" si="34"/>
        <v>41.942757973466534</v>
      </c>
      <c r="W88" s="16">
        <f t="shared" si="38"/>
        <v>42.028705520012572</v>
      </c>
      <c r="X88" s="16">
        <f t="shared" si="43"/>
        <v>41.997857594168792</v>
      </c>
      <c r="Y88" s="17">
        <f t="shared" si="35"/>
        <v>2.791386985129621E-3</v>
      </c>
      <c r="Z88" s="17">
        <f t="shared" si="35"/>
        <v>7.4432068465558486E-4</v>
      </c>
      <c r="AA88" s="17">
        <f t="shared" si="35"/>
        <v>1.4785629548704584E-3</v>
      </c>
      <c r="AC88" s="18">
        <f t="shared" si="36"/>
        <v>-1.3437851966135337E-3</v>
      </c>
      <c r="AD88" s="18">
        <f t="shared" si="36"/>
        <v>-2.8490047760747145E-3</v>
      </c>
      <c r="AE88" s="18"/>
      <c r="AF88" s="18"/>
      <c r="AH88">
        <f t="shared" si="44"/>
        <v>0</v>
      </c>
      <c r="AI88">
        <f t="shared" si="45"/>
        <v>1</v>
      </c>
      <c r="AJ88">
        <f t="shared" si="46"/>
        <v>0</v>
      </c>
      <c r="AK88">
        <f t="shared" si="40"/>
        <v>0</v>
      </c>
      <c r="AL88" s="18">
        <f t="shared" si="47"/>
        <v>0</v>
      </c>
      <c r="AM88" s="18">
        <f t="shared" si="48"/>
        <v>0</v>
      </c>
      <c r="AN88" s="18">
        <f t="shared" si="49"/>
        <v>0</v>
      </c>
      <c r="AO88" s="19">
        <f t="shared" si="50"/>
        <v>1.3685627551193152E-2</v>
      </c>
      <c r="AQ88" s="18"/>
      <c r="AS88">
        <f t="shared" si="51"/>
        <v>1</v>
      </c>
      <c r="AT88">
        <f t="shared" si="52"/>
        <v>0</v>
      </c>
      <c r="AU88">
        <f t="shared" si="53"/>
        <v>1</v>
      </c>
      <c r="AV88">
        <f t="shared" si="54"/>
        <v>1</v>
      </c>
      <c r="AW88" s="18">
        <f t="shared" si="55"/>
        <v>-1.3437851966135337E-3</v>
      </c>
      <c r="AX88" s="18">
        <f t="shared" si="56"/>
        <v>2.8490047760747145E-3</v>
      </c>
      <c r="AY88" s="18">
        <f t="shared" si="57"/>
        <v>1.5052195794611808E-3</v>
      </c>
      <c r="AZ88" s="19">
        <f t="shared" si="58"/>
        <v>1.4759606859686728E-2</v>
      </c>
      <c r="BB88" s="19">
        <f t="shared" si="59"/>
        <v>1.5052195794611808E-3</v>
      </c>
      <c r="BC88" s="19">
        <f t="shared" si="60"/>
        <v>2.8445234410879885E-2</v>
      </c>
    </row>
    <row r="89" spans="1:55" x14ac:dyDescent="0.3">
      <c r="A89" s="1">
        <v>46150</v>
      </c>
      <c r="B89" s="10">
        <v>22.39</v>
      </c>
      <c r="C89" s="10">
        <v>42.27</v>
      </c>
      <c r="D89" s="11">
        <v>1.88789638231353</v>
      </c>
      <c r="E89" s="11">
        <v>1.8778822651217899</v>
      </c>
      <c r="F89" s="11">
        <v>1.88310453926879</v>
      </c>
      <c r="G89" s="11">
        <v>1.88044896653995</v>
      </c>
      <c r="H89" s="10">
        <v>42.0457839160769</v>
      </c>
      <c r="I89" s="10">
        <v>42.145030634228199</v>
      </c>
      <c r="J89" s="10">
        <v>42.091402789336499</v>
      </c>
      <c r="K89" s="12">
        <v>5.3184967756036098E-3</v>
      </c>
      <c r="L89" s="12">
        <v>2.96083425258556E-3</v>
      </c>
      <c r="M89" s="12">
        <v>4.2341040233330601E-3</v>
      </c>
      <c r="N89" s="26">
        <v>0.17</v>
      </c>
      <c r="O89" s="13">
        <v>0</v>
      </c>
      <c r="P89" s="23">
        <f t="shared" si="41"/>
        <v>22.560000000000002</v>
      </c>
      <c r="Q89" s="23">
        <f t="shared" si="42"/>
        <v>42.27</v>
      </c>
      <c r="R89" s="14">
        <f t="shared" si="32"/>
        <v>1.8736702127659575</v>
      </c>
      <c r="S89" s="14">
        <f t="shared" si="33"/>
        <v>1.8657810486417497</v>
      </c>
      <c r="T89" s="14">
        <f t="shared" si="37"/>
        <v>1.8703080959999827</v>
      </c>
      <c r="U89" s="14">
        <f t="shared" si="39"/>
        <v>1.8688166531348667</v>
      </c>
      <c r="V89" s="16">
        <f t="shared" si="34"/>
        <v>42.092020457357876</v>
      </c>
      <c r="W89" s="16">
        <f t="shared" si="38"/>
        <v>42.184736344083639</v>
      </c>
      <c r="X89" s="16">
        <f t="shared" si="43"/>
        <v>42.152738612865669</v>
      </c>
      <c r="Y89" s="17">
        <f t="shared" si="35"/>
        <v>4.2194296849065562E-3</v>
      </c>
      <c r="Z89" s="17">
        <f t="shared" si="35"/>
        <v>2.019156972730818E-3</v>
      </c>
      <c r="AA89" s="17">
        <f t="shared" si="35"/>
        <v>2.7779592197653548E-3</v>
      </c>
      <c r="AC89" s="18">
        <f t="shared" si="36"/>
        <v>3.5794221662223688E-3</v>
      </c>
      <c r="AD89" s="18">
        <f t="shared" si="36"/>
        <v>4.9804443041447516E-3</v>
      </c>
      <c r="AE89" s="18"/>
      <c r="AF89" s="18"/>
      <c r="AH89">
        <f t="shared" si="44"/>
        <v>0</v>
      </c>
      <c r="AI89">
        <f t="shared" si="45"/>
        <v>1</v>
      </c>
      <c r="AJ89">
        <f t="shared" si="46"/>
        <v>0</v>
      </c>
      <c r="AK89">
        <f t="shared" si="40"/>
        <v>0</v>
      </c>
      <c r="AL89" s="18">
        <f t="shared" si="47"/>
        <v>0</v>
      </c>
      <c r="AM89" s="18">
        <f t="shared" si="48"/>
        <v>0</v>
      </c>
      <c r="AN89" s="18">
        <f t="shared" si="49"/>
        <v>0</v>
      </c>
      <c r="AO89" s="19">
        <f t="shared" si="50"/>
        <v>1.3685627551193152E-2</v>
      </c>
      <c r="AQ89" s="18"/>
      <c r="AS89">
        <f t="shared" si="51"/>
        <v>1</v>
      </c>
      <c r="AT89">
        <f t="shared" si="52"/>
        <v>0</v>
      </c>
      <c r="AU89">
        <f t="shared" si="53"/>
        <v>1</v>
      </c>
      <c r="AV89">
        <f t="shared" si="54"/>
        <v>1</v>
      </c>
      <c r="AW89" s="18">
        <f t="shared" si="55"/>
        <v>3.5794221662223688E-3</v>
      </c>
      <c r="AX89" s="18">
        <f t="shared" si="56"/>
        <v>-4.9804443041447516E-3</v>
      </c>
      <c r="AY89" s="18">
        <f t="shared" si="57"/>
        <v>-1.4010221379223827E-3</v>
      </c>
      <c r="AZ89" s="19">
        <f t="shared" si="58"/>
        <v>1.3358584721764346E-2</v>
      </c>
      <c r="BB89" s="19">
        <f t="shared" si="59"/>
        <v>-1.4010221379223827E-3</v>
      </c>
      <c r="BC89" s="19">
        <f t="shared" si="60"/>
        <v>2.7044212272957502E-2</v>
      </c>
    </row>
    <row r="90" spans="1:55" x14ac:dyDescent="0.3">
      <c r="A90" s="1">
        <v>46153</v>
      </c>
      <c r="B90" s="10">
        <v>22.29</v>
      </c>
      <c r="C90" s="10">
        <v>42.07</v>
      </c>
      <c r="D90" s="11">
        <v>1.88739344997756</v>
      </c>
      <c r="E90" s="11">
        <v>1.8778822651217899</v>
      </c>
      <c r="F90" s="11">
        <v>1.8838763313147699</v>
      </c>
      <c r="G90" s="11">
        <v>1.88096451927296</v>
      </c>
      <c r="H90" s="10">
        <v>41.857995689564802</v>
      </c>
      <c r="I90" s="10">
        <v>41.974400180301402</v>
      </c>
      <c r="J90" s="10">
        <v>41.915207464175502</v>
      </c>
      <c r="K90" s="12">
        <v>5.0520630122204997E-3</v>
      </c>
      <c r="L90" s="12">
        <v>2.2749846682313E-3</v>
      </c>
      <c r="M90" s="12">
        <v>3.6861898845009398E-3</v>
      </c>
      <c r="N90" s="26">
        <v>0.17</v>
      </c>
      <c r="O90" s="13">
        <v>0</v>
      </c>
      <c r="P90" s="23">
        <f t="shared" si="41"/>
        <v>22.46</v>
      </c>
      <c r="Q90" s="23">
        <f t="shared" si="42"/>
        <v>42.07</v>
      </c>
      <c r="R90" s="14">
        <f t="shared" si="32"/>
        <v>1.8731077471059661</v>
      </c>
      <c r="S90" s="14">
        <f t="shared" si="33"/>
        <v>1.8657810486417497</v>
      </c>
      <c r="T90" s="14">
        <f t="shared" si="37"/>
        <v>1.8707042392967324</v>
      </c>
      <c r="U90" s="14">
        <f t="shared" si="39"/>
        <v>1.8691431844346471</v>
      </c>
      <c r="V90" s="16">
        <f t="shared" si="34"/>
        <v>41.905442352493701</v>
      </c>
      <c r="W90" s="16">
        <f t="shared" si="38"/>
        <v>42.00711983615961</v>
      </c>
      <c r="X90" s="16">
        <f t="shared" si="43"/>
        <v>41.973622029409107</v>
      </c>
      <c r="Y90" s="17">
        <f t="shared" si="35"/>
        <v>3.9191900281985307E-3</v>
      </c>
      <c r="Z90" s="17">
        <f t="shared" si="35"/>
        <v>1.4957737773752134E-3</v>
      </c>
      <c r="AA90" s="17">
        <f t="shared" si="35"/>
        <v>2.2935235419733395E-3</v>
      </c>
      <c r="AC90" s="18">
        <f t="shared" si="36"/>
        <v>-4.4762832128860891E-3</v>
      </c>
      <c r="AD90" s="18">
        <f t="shared" si="36"/>
        <v>-4.7427169762690857E-3</v>
      </c>
      <c r="AE90" s="18"/>
      <c r="AF90" s="18"/>
      <c r="AH90">
        <f t="shared" si="44"/>
        <v>0</v>
      </c>
      <c r="AI90">
        <f t="shared" si="45"/>
        <v>1</v>
      </c>
      <c r="AJ90">
        <f t="shared" si="46"/>
        <v>0</v>
      </c>
      <c r="AK90">
        <f t="shared" si="40"/>
        <v>0</v>
      </c>
      <c r="AL90" s="18">
        <f t="shared" si="47"/>
        <v>0</v>
      </c>
      <c r="AM90" s="18">
        <f t="shared" si="48"/>
        <v>0</v>
      </c>
      <c r="AN90" s="18">
        <f t="shared" si="49"/>
        <v>0</v>
      </c>
      <c r="AO90" s="19">
        <f t="shared" si="50"/>
        <v>1.3685627551193152E-2</v>
      </c>
      <c r="AQ90" s="18"/>
      <c r="AS90">
        <f t="shared" si="51"/>
        <v>1</v>
      </c>
      <c r="AT90">
        <f t="shared" si="52"/>
        <v>0</v>
      </c>
      <c r="AU90">
        <f t="shared" si="53"/>
        <v>1</v>
      </c>
      <c r="AV90">
        <f t="shared" si="54"/>
        <v>1</v>
      </c>
      <c r="AW90" s="18">
        <f t="shared" si="55"/>
        <v>-4.4762832128860891E-3</v>
      </c>
      <c r="AX90" s="18">
        <f t="shared" si="56"/>
        <v>4.7427169762690857E-3</v>
      </c>
      <c r="AY90" s="18">
        <f t="shared" si="57"/>
        <v>2.6643376338299652E-4</v>
      </c>
      <c r="AZ90" s="19">
        <f t="shared" si="58"/>
        <v>1.3625018485147342E-2</v>
      </c>
      <c r="BB90" s="19">
        <f t="shared" si="59"/>
        <v>2.6643376338299652E-4</v>
      </c>
      <c r="BC90" s="19">
        <f t="shared" si="60"/>
        <v>2.7310646036340498E-2</v>
      </c>
    </row>
    <row r="91" spans="1:55" x14ac:dyDescent="0.3">
      <c r="A91" s="1">
        <v>46154</v>
      </c>
      <c r="B91" s="10">
        <v>22.14</v>
      </c>
      <c r="C91" s="10">
        <v>41.71</v>
      </c>
      <c r="D91" s="11">
        <v>1.8839205058717201</v>
      </c>
      <c r="E91" s="11">
        <v>1.8778822651217899</v>
      </c>
      <c r="F91" s="11">
        <v>1.8842882644143599</v>
      </c>
      <c r="G91" s="11">
        <v>1.88137144715814</v>
      </c>
      <c r="H91" s="10">
        <v>41.5763133497965</v>
      </c>
      <c r="I91" s="10">
        <v>41.709021975309</v>
      </c>
      <c r="J91" s="10">
        <v>41.644554456703297</v>
      </c>
      <c r="K91" s="12">
        <v>3.2102937359314398E-3</v>
      </c>
      <c r="L91" s="12">
        <v>2.3448481362454199E-5</v>
      </c>
      <c r="M91" s="12">
        <v>1.5702934811728101E-3</v>
      </c>
      <c r="N91" s="26">
        <v>0.17</v>
      </c>
      <c r="O91" s="13">
        <v>0</v>
      </c>
      <c r="P91" s="23">
        <f t="shared" si="41"/>
        <v>22.310000000000002</v>
      </c>
      <c r="Q91" s="23">
        <f t="shared" si="42"/>
        <v>41.71</v>
      </c>
      <c r="R91" s="14">
        <f t="shared" si="32"/>
        <v>1.8695652173913042</v>
      </c>
      <c r="S91" s="14">
        <f t="shared" si="33"/>
        <v>1.8657810486417497</v>
      </c>
      <c r="T91" s="14">
        <f t="shared" si="37"/>
        <v>1.8707364743587114</v>
      </c>
      <c r="U91" s="14">
        <f t="shared" si="39"/>
        <v>1.8693532826736856</v>
      </c>
      <c r="V91" s="16">
        <f t="shared" si="34"/>
        <v>41.625575195197442</v>
      </c>
      <c r="W91" s="16">
        <f t="shared" si="38"/>
        <v>41.735411578710107</v>
      </c>
      <c r="X91" s="16">
        <f t="shared" si="43"/>
        <v>41.700584444736982</v>
      </c>
      <c r="Y91" s="17">
        <f t="shared" si="35"/>
        <v>2.0261415004787578E-3</v>
      </c>
      <c r="Z91" s="17">
        <f t="shared" si="35"/>
        <v>-6.0905876104828201E-4</v>
      </c>
      <c r="AA91" s="17">
        <f t="shared" si="35"/>
        <v>2.2576404099526284E-4</v>
      </c>
      <c r="AC91" s="18">
        <f t="shared" si="36"/>
        <v>-6.7522201172865587E-3</v>
      </c>
      <c r="AD91" s="18">
        <f t="shared" si="36"/>
        <v>-8.5939893935756788E-3</v>
      </c>
      <c r="AE91" s="18"/>
      <c r="AF91" s="18"/>
      <c r="AH91">
        <f t="shared" si="44"/>
        <v>0</v>
      </c>
      <c r="AI91">
        <f t="shared" si="45"/>
        <v>1</v>
      </c>
      <c r="AJ91">
        <f t="shared" si="46"/>
        <v>0</v>
      </c>
      <c r="AK91">
        <f t="shared" si="40"/>
        <v>0</v>
      </c>
      <c r="AL91" s="18">
        <f t="shared" si="47"/>
        <v>0</v>
      </c>
      <c r="AM91" s="18">
        <f t="shared" si="48"/>
        <v>0</v>
      </c>
      <c r="AN91" s="18">
        <f t="shared" si="49"/>
        <v>0</v>
      </c>
      <c r="AO91" s="19">
        <f t="shared" si="50"/>
        <v>1.3685627551193152E-2</v>
      </c>
      <c r="AQ91" s="18"/>
      <c r="AS91">
        <f t="shared" si="51"/>
        <v>0</v>
      </c>
      <c r="AT91">
        <f t="shared" si="52"/>
        <v>0</v>
      </c>
      <c r="AU91">
        <f t="shared" si="53"/>
        <v>1</v>
      </c>
      <c r="AV91">
        <f t="shared" si="54"/>
        <v>1</v>
      </c>
      <c r="AW91" s="18">
        <f t="shared" si="55"/>
        <v>-6.7522201172865587E-3</v>
      </c>
      <c r="AX91" s="18">
        <f t="shared" si="56"/>
        <v>8.5939893935756788E-3</v>
      </c>
      <c r="AY91" s="18">
        <f t="shared" si="57"/>
        <v>1.8417692762891201E-3</v>
      </c>
      <c r="AZ91" s="19">
        <f t="shared" si="58"/>
        <v>1.5466787761436462E-2</v>
      </c>
      <c r="BB91" s="19">
        <f t="shared" si="59"/>
        <v>1.8417692762891201E-3</v>
      </c>
      <c r="BC91" s="19">
        <f t="shared" si="60"/>
        <v>2.9152415312629618E-2</v>
      </c>
    </row>
    <row r="92" spans="1:55" x14ac:dyDescent="0.3">
      <c r="A92" s="1">
        <v>46155</v>
      </c>
      <c r="B92" s="10">
        <v>22.11</v>
      </c>
      <c r="C92" s="10">
        <v>41.74</v>
      </c>
      <c r="D92" s="11">
        <v>1.8878335594753499</v>
      </c>
      <c r="E92" s="11">
        <v>1.8778822651217899</v>
      </c>
      <c r="F92" s="11">
        <v>1.8851280352845601</v>
      </c>
      <c r="G92" s="11">
        <v>1.88182847875769</v>
      </c>
      <c r="H92" s="10">
        <v>41.519976881842801</v>
      </c>
      <c r="I92" s="10">
        <v>41.661613526201698</v>
      </c>
      <c r="J92" s="10">
        <v>41.597122696666602</v>
      </c>
      <c r="K92" s="12">
        <v>5.2852195872681897E-3</v>
      </c>
      <c r="L92" s="12">
        <v>1.87973574047472E-3</v>
      </c>
      <c r="M92" s="12">
        <v>3.4289027194249E-3</v>
      </c>
      <c r="N92" s="26">
        <v>0.17</v>
      </c>
      <c r="O92" s="13">
        <v>0</v>
      </c>
      <c r="P92" s="23">
        <f t="shared" si="41"/>
        <v>22.28</v>
      </c>
      <c r="Q92" s="23">
        <f t="shared" si="42"/>
        <v>41.74</v>
      </c>
      <c r="R92" s="14">
        <f t="shared" si="32"/>
        <v>1.8734290843806105</v>
      </c>
      <c r="S92" s="14">
        <f t="shared" si="33"/>
        <v>1.8657810486417497</v>
      </c>
      <c r="T92" s="14">
        <f t="shared" si="37"/>
        <v>1.8711985865968177</v>
      </c>
      <c r="U92" s="14">
        <f t="shared" si="39"/>
        <v>1.8696127627106551</v>
      </c>
      <c r="V92" s="16">
        <f t="shared" si="34"/>
        <v>41.569601763738184</v>
      </c>
      <c r="W92" s="16">
        <f t="shared" si="38"/>
        <v>41.680008648712089</v>
      </c>
      <c r="X92" s="16">
        <f t="shared" si="43"/>
        <v>41.649191137969716</v>
      </c>
      <c r="Y92" s="17">
        <f t="shared" si="35"/>
        <v>4.0907283260377056E-3</v>
      </c>
      <c r="Z92" s="17">
        <f t="shared" si="35"/>
        <v>1.4382967012754346E-3</v>
      </c>
      <c r="AA92" s="17">
        <f t="shared" si="35"/>
        <v>2.1779536816921821E-3</v>
      </c>
      <c r="AC92" s="18">
        <f t="shared" si="36"/>
        <v>-1.3559324111359554E-3</v>
      </c>
      <c r="AD92" s="18">
        <f t="shared" si="36"/>
        <v>7.1899344020074296E-4</v>
      </c>
      <c r="AE92" s="18"/>
      <c r="AF92" s="18"/>
      <c r="AH92">
        <f t="shared" si="44"/>
        <v>0</v>
      </c>
      <c r="AI92">
        <f t="shared" si="45"/>
        <v>1</v>
      </c>
      <c r="AJ92">
        <f t="shared" si="46"/>
        <v>0</v>
      </c>
      <c r="AK92">
        <f t="shared" si="40"/>
        <v>0</v>
      </c>
      <c r="AL92" s="18">
        <f t="shared" si="47"/>
        <v>0</v>
      </c>
      <c r="AM92" s="18">
        <f t="shared" si="48"/>
        <v>0</v>
      </c>
      <c r="AN92" s="18">
        <f t="shared" si="49"/>
        <v>0</v>
      </c>
      <c r="AO92" s="19">
        <f t="shared" si="50"/>
        <v>1.3685627551193152E-2</v>
      </c>
      <c r="AQ92" s="18"/>
      <c r="AS92">
        <f t="shared" si="51"/>
        <v>1</v>
      </c>
      <c r="AT92">
        <f t="shared" si="52"/>
        <v>0</v>
      </c>
      <c r="AU92">
        <f t="shared" si="53"/>
        <v>1</v>
      </c>
      <c r="AV92">
        <f t="shared" si="54"/>
        <v>1</v>
      </c>
      <c r="AW92" s="18">
        <f t="shared" si="55"/>
        <v>-1.3559324111359554E-3</v>
      </c>
      <c r="AX92" s="18">
        <f t="shared" si="56"/>
        <v>-7.1899344020074296E-4</v>
      </c>
      <c r="AY92" s="18">
        <f t="shared" si="57"/>
        <v>-2.0749258513366982E-3</v>
      </c>
      <c r="AZ92" s="19">
        <f t="shared" si="58"/>
        <v>1.3391861910099764E-2</v>
      </c>
      <c r="BB92" s="19">
        <f t="shared" si="59"/>
        <v>-2.0749258513366982E-3</v>
      </c>
      <c r="BC92" s="19">
        <f t="shared" si="60"/>
        <v>2.707748946129292E-2</v>
      </c>
    </row>
    <row r="93" spans="1:55" x14ac:dyDescent="0.3">
      <c r="A93" s="1">
        <v>46156</v>
      </c>
      <c r="B93" s="10">
        <v>22.05</v>
      </c>
      <c r="C93" s="10">
        <v>41.52</v>
      </c>
      <c r="D93" s="11">
        <v>1.88299319727891</v>
      </c>
      <c r="E93" s="11">
        <v>1.8778822651217899</v>
      </c>
      <c r="F93" s="11">
        <v>1.8853716747250699</v>
      </c>
      <c r="G93" s="11">
        <v>1.88199520193551</v>
      </c>
      <c r="H93" s="10">
        <v>41.407303945935503</v>
      </c>
      <c r="I93" s="10">
        <v>41.567073178024501</v>
      </c>
      <c r="J93" s="10">
        <v>41.494317956607198</v>
      </c>
      <c r="K93" s="12">
        <v>2.7179497723466201E-3</v>
      </c>
      <c r="L93" s="12">
        <v>-1.13310485640186E-3</v>
      </c>
      <c r="M93" s="12">
        <v>6.1873770318783203E-4</v>
      </c>
      <c r="N93" s="26">
        <v>0.17</v>
      </c>
      <c r="O93" s="13">
        <v>0</v>
      </c>
      <c r="P93" s="23">
        <f t="shared" si="41"/>
        <v>22.220000000000002</v>
      </c>
      <c r="Q93" s="23">
        <f t="shared" si="42"/>
        <v>41.52</v>
      </c>
      <c r="R93" s="14">
        <f t="shared" si="32"/>
        <v>1.8685868586858685</v>
      </c>
      <c r="S93" s="14">
        <f t="shared" si="33"/>
        <v>1.8657810486417497</v>
      </c>
      <c r="T93" s="14">
        <f t="shared" si="37"/>
        <v>1.8710512443341254</v>
      </c>
      <c r="U93" s="14">
        <f t="shared" si="39"/>
        <v>1.8695837444035999</v>
      </c>
      <c r="V93" s="16">
        <f t="shared" si="34"/>
        <v>41.457654900819684</v>
      </c>
      <c r="W93" s="16">
        <f t="shared" si="38"/>
        <v>41.578032594181295</v>
      </c>
      <c r="X93" s="16">
        <f t="shared" si="43"/>
        <v>41.54279558743076</v>
      </c>
      <c r="Y93" s="17">
        <f t="shared" si="35"/>
        <v>1.5026963822152978E-3</v>
      </c>
      <c r="Z93" s="17">
        <f t="shared" si="35"/>
        <v>-1.3967262955328524E-3</v>
      </c>
      <c r="AA93" s="17">
        <f t="shared" si="35"/>
        <v>-5.4887601222274561E-4</v>
      </c>
      <c r="AC93" s="18">
        <f t="shared" si="36"/>
        <v>-2.7173929764999151E-3</v>
      </c>
      <c r="AD93" s="18">
        <f t="shared" si="36"/>
        <v>-5.2846627914214864E-3</v>
      </c>
      <c r="AE93" s="18"/>
      <c r="AF93" s="18"/>
      <c r="AH93">
        <f t="shared" si="44"/>
        <v>0</v>
      </c>
      <c r="AI93">
        <f t="shared" si="45"/>
        <v>0</v>
      </c>
      <c r="AJ93">
        <f t="shared" si="46"/>
        <v>0</v>
      </c>
      <c r="AK93">
        <f t="shared" si="40"/>
        <v>0</v>
      </c>
      <c r="AL93" s="18">
        <f t="shared" si="47"/>
        <v>0</v>
      </c>
      <c r="AM93" s="18">
        <f t="shared" si="48"/>
        <v>0</v>
      </c>
      <c r="AN93" s="18">
        <f t="shared" si="49"/>
        <v>0</v>
      </c>
      <c r="AO93" s="19">
        <f t="shared" si="50"/>
        <v>1.3685627551193152E-2</v>
      </c>
      <c r="AQ93" s="18"/>
      <c r="AS93">
        <f t="shared" si="51"/>
        <v>0</v>
      </c>
      <c r="AT93">
        <f t="shared" si="52"/>
        <v>1</v>
      </c>
      <c r="AU93">
        <f t="shared" si="53"/>
        <v>1</v>
      </c>
      <c r="AV93">
        <f t="shared" si="54"/>
        <v>1</v>
      </c>
      <c r="AW93" s="18">
        <f t="shared" si="55"/>
        <v>-2.7173929764999151E-3</v>
      </c>
      <c r="AX93" s="18">
        <f t="shared" si="56"/>
        <v>5.2846627914214864E-3</v>
      </c>
      <c r="AY93" s="18">
        <f t="shared" si="57"/>
        <v>2.5672698149215713E-3</v>
      </c>
      <c r="AZ93" s="19">
        <f t="shared" si="58"/>
        <v>1.5959131725021336E-2</v>
      </c>
      <c r="BB93" s="19">
        <f t="shared" si="59"/>
        <v>2.5672698149215713E-3</v>
      </c>
      <c r="BC93" s="19">
        <f t="shared" si="60"/>
        <v>2.9644759276214492E-2</v>
      </c>
    </row>
    <row r="94" spans="1:55" x14ac:dyDescent="0.3">
      <c r="A94" s="1">
        <v>46157</v>
      </c>
      <c r="B94" s="10">
        <v>21.81</v>
      </c>
      <c r="C94" s="10">
        <v>41.01</v>
      </c>
      <c r="D94" s="11">
        <v>1.8803301237964201</v>
      </c>
      <c r="E94" s="11">
        <v>1.8778822651217899</v>
      </c>
      <c r="F94" s="11">
        <v>1.8852805305595</v>
      </c>
      <c r="G94" s="11">
        <v>1.8820554190976799</v>
      </c>
      <c r="H94" s="10">
        <v>40.956612202306303</v>
      </c>
      <c r="I94" s="10">
        <v>41.119956225753697</v>
      </c>
      <c r="J94" s="10">
        <v>41.046315354213597</v>
      </c>
      <c r="K94" s="12">
        <v>1.3026719979987399E-3</v>
      </c>
      <c r="L94" s="12">
        <v>-2.6776171935857201E-3</v>
      </c>
      <c r="M94" s="12">
        <v>-8.8513251973067403E-4</v>
      </c>
      <c r="N94" s="26">
        <v>0.17</v>
      </c>
      <c r="O94" s="13">
        <v>0</v>
      </c>
      <c r="P94" s="23">
        <f t="shared" si="41"/>
        <v>21.98</v>
      </c>
      <c r="Q94" s="23">
        <f t="shared" si="42"/>
        <v>41.01</v>
      </c>
      <c r="R94" s="14">
        <f t="shared" si="32"/>
        <v>1.8657870791628752</v>
      </c>
      <c r="S94" s="14">
        <f t="shared" si="33"/>
        <v>1.8657810486417497</v>
      </c>
      <c r="T94" s="14">
        <f t="shared" si="37"/>
        <v>1.8709335236789841</v>
      </c>
      <c r="U94" s="14">
        <f t="shared" si="39"/>
        <v>1.86943774684256</v>
      </c>
      <c r="V94" s="16">
        <f t="shared" si="34"/>
        <v>41.009867449145659</v>
      </c>
      <c r="W94" s="16">
        <f t="shared" si="38"/>
        <v>41.125706350464078</v>
      </c>
      <c r="X94" s="16">
        <f t="shared" si="43"/>
        <v>41.093450701991124</v>
      </c>
      <c r="Y94" s="17">
        <f t="shared" si="35"/>
        <v>3.232164558591944E-6</v>
      </c>
      <c r="Z94" s="17">
        <f t="shared" si="35"/>
        <v>-2.8174452292426735E-3</v>
      </c>
      <c r="AA94" s="17">
        <f t="shared" si="35"/>
        <v>-2.032819084092793E-3</v>
      </c>
      <c r="AC94" s="18">
        <f t="shared" si="36"/>
        <v>-1.0944021679317368E-2</v>
      </c>
      <c r="AD94" s="18">
        <f t="shared" si="36"/>
        <v>-1.2359299453665399E-2</v>
      </c>
      <c r="AE94" s="18"/>
      <c r="AF94" s="18"/>
      <c r="AH94">
        <f t="shared" si="44"/>
        <v>1</v>
      </c>
      <c r="AI94">
        <f t="shared" si="45"/>
        <v>0</v>
      </c>
      <c r="AJ94">
        <f t="shared" si="46"/>
        <v>0</v>
      </c>
      <c r="AK94">
        <f t="shared" si="40"/>
        <v>0</v>
      </c>
      <c r="AL94" s="18">
        <f t="shared" si="47"/>
        <v>0</v>
      </c>
      <c r="AM94" s="18">
        <f t="shared" si="48"/>
        <v>0</v>
      </c>
      <c r="AN94" s="18">
        <f t="shared" si="49"/>
        <v>0</v>
      </c>
      <c r="AO94" s="19">
        <f t="shared" si="50"/>
        <v>1.3685627551193152E-2</v>
      </c>
      <c r="AQ94" s="18"/>
      <c r="AS94">
        <f t="shared" si="51"/>
        <v>0</v>
      </c>
      <c r="AT94">
        <f t="shared" si="52"/>
        <v>1</v>
      </c>
      <c r="AU94">
        <f t="shared" si="53"/>
        <v>1</v>
      </c>
      <c r="AV94">
        <f t="shared" si="54"/>
        <v>0</v>
      </c>
      <c r="AW94" s="18">
        <f t="shared" si="55"/>
        <v>0</v>
      </c>
      <c r="AX94" s="18">
        <f t="shared" si="56"/>
        <v>0</v>
      </c>
      <c r="AY94" s="18">
        <f t="shared" si="57"/>
        <v>0</v>
      </c>
      <c r="AZ94" s="19">
        <f t="shared" si="58"/>
        <v>1.5959131725021336E-2</v>
      </c>
      <c r="BB94" s="19">
        <f t="shared" si="59"/>
        <v>0</v>
      </c>
      <c r="BC94" s="19">
        <f t="shared" si="60"/>
        <v>2.9644759276214492E-2</v>
      </c>
    </row>
    <row r="95" spans="1:55" x14ac:dyDescent="0.3">
      <c r="A95" s="1">
        <v>46160</v>
      </c>
      <c r="B95" s="10">
        <v>21.9</v>
      </c>
      <c r="C95" s="10">
        <v>41.27</v>
      </c>
      <c r="D95" s="11">
        <v>1.88447488584474</v>
      </c>
      <c r="E95" s="11">
        <v>1.8778822651217899</v>
      </c>
      <c r="F95" s="11">
        <v>1.8856123390716699</v>
      </c>
      <c r="G95" s="11">
        <v>1.88249297185317</v>
      </c>
      <c r="H95" s="10">
        <v>41.1256216061673</v>
      </c>
      <c r="I95" s="10">
        <v>41.287643619253103</v>
      </c>
      <c r="J95" s="10">
        <v>41.217013678239297</v>
      </c>
      <c r="K95" s="12">
        <v>3.50451974960388E-3</v>
      </c>
      <c r="L95" s="12">
        <v>-4.2742546294353902E-4</v>
      </c>
      <c r="M95" s="12">
        <v>1.2847192954567601E-3</v>
      </c>
      <c r="N95" s="26">
        <v>0.17</v>
      </c>
      <c r="O95" s="13">
        <v>0</v>
      </c>
      <c r="P95" s="23">
        <f t="shared" si="41"/>
        <v>22.07</v>
      </c>
      <c r="Q95" s="23">
        <f t="shared" si="42"/>
        <v>41.27</v>
      </c>
      <c r="R95" s="14">
        <f t="shared" si="32"/>
        <v>1.8699592206615316</v>
      </c>
      <c r="S95" s="14">
        <f t="shared" si="33"/>
        <v>1.8657810486417497</v>
      </c>
      <c r="T95" s="14">
        <f t="shared" si="37"/>
        <v>1.8712478313953613</v>
      </c>
      <c r="U95" s="14">
        <f t="shared" si="39"/>
        <v>1.8696688197250277</v>
      </c>
      <c r="V95" s="16">
        <f t="shared" si="34"/>
        <v>41.177787743523417</v>
      </c>
      <c r="W95" s="16">
        <f t="shared" si="38"/>
        <v>41.291502867595177</v>
      </c>
      <c r="X95" s="16">
        <f t="shared" si="43"/>
        <v>41.258491072815303</v>
      </c>
      <c r="Y95" s="17">
        <f t="shared" si="35"/>
        <v>2.2368652319116793E-3</v>
      </c>
      <c r="Z95" s="17">
        <f t="shared" si="35"/>
        <v>-5.2089333005127302E-4</v>
      </c>
      <c r="AA95" s="17">
        <f t="shared" si="35"/>
        <v>2.7890797734691472E-4</v>
      </c>
      <c r="AC95" s="18">
        <f t="shared" si="36"/>
        <v>4.1180566089175476E-3</v>
      </c>
      <c r="AD95" s="18">
        <f t="shared" si="36"/>
        <v>6.3199043605226971E-3</v>
      </c>
      <c r="AE95" s="18"/>
      <c r="AF95" s="18"/>
      <c r="AH95">
        <f t="shared" si="44"/>
        <v>0</v>
      </c>
      <c r="AI95">
        <f t="shared" si="45"/>
        <v>1</v>
      </c>
      <c r="AJ95">
        <f t="shared" si="46"/>
        <v>1</v>
      </c>
      <c r="AK95">
        <f t="shared" si="40"/>
        <v>1</v>
      </c>
      <c r="AL95" s="18">
        <f t="shared" si="47"/>
        <v>-4.1180566089175476E-3</v>
      </c>
      <c r="AM95" s="18">
        <f t="shared" si="48"/>
        <v>6.3199043605226971E-3</v>
      </c>
      <c r="AN95" s="18">
        <f t="shared" si="49"/>
        <v>2.2018477516051495E-3</v>
      </c>
      <c r="AO95" s="19">
        <f t="shared" si="50"/>
        <v>1.5887475302798302E-2</v>
      </c>
      <c r="AQ95" s="18"/>
      <c r="AS95">
        <f t="shared" si="51"/>
        <v>0</v>
      </c>
      <c r="AT95">
        <f t="shared" si="52"/>
        <v>0</v>
      </c>
      <c r="AU95">
        <f t="shared" si="53"/>
        <v>0</v>
      </c>
      <c r="AV95">
        <f t="shared" si="54"/>
        <v>0</v>
      </c>
      <c r="AW95" s="18">
        <f t="shared" si="55"/>
        <v>0</v>
      </c>
      <c r="AX95" s="18">
        <f t="shared" si="56"/>
        <v>0</v>
      </c>
      <c r="AY95" s="18">
        <f t="shared" si="57"/>
        <v>0</v>
      </c>
      <c r="AZ95" s="19">
        <f t="shared" si="58"/>
        <v>1.5959131725021336E-2</v>
      </c>
      <c r="BB95" s="19">
        <f t="shared" si="59"/>
        <v>2.2018477516051495E-3</v>
      </c>
      <c r="BC95" s="19">
        <f t="shared" si="60"/>
        <v>3.1846607027819641E-2</v>
      </c>
    </row>
    <row r="96" spans="1:55" x14ac:dyDescent="0.3">
      <c r="A96" s="1">
        <v>46161</v>
      </c>
      <c r="B96" s="10">
        <v>21.74</v>
      </c>
      <c r="C96" s="10">
        <v>41.03</v>
      </c>
      <c r="D96" s="11">
        <v>1.88730450781968</v>
      </c>
      <c r="E96" s="11">
        <v>1.8778822651217899</v>
      </c>
      <c r="F96" s="11">
        <v>1.8855492968577101</v>
      </c>
      <c r="G96" s="11">
        <v>1.8829733051578199</v>
      </c>
      <c r="H96" s="10">
        <v>40.825160443747798</v>
      </c>
      <c r="I96" s="10">
        <v>40.9932122514182</v>
      </c>
      <c r="J96" s="10">
        <v>40.925397208088</v>
      </c>
      <c r="K96" s="12">
        <v>5.00493756859988E-3</v>
      </c>
      <c r="L96" s="12">
        <v>8.9700829895939199E-4</v>
      </c>
      <c r="M96" s="12">
        <v>2.55267748741671E-3</v>
      </c>
      <c r="N96" s="26">
        <v>0.17</v>
      </c>
      <c r="O96" s="13">
        <v>0</v>
      </c>
      <c r="P96" s="23">
        <f t="shared" si="41"/>
        <v>21.91</v>
      </c>
      <c r="Q96" s="23">
        <f t="shared" si="42"/>
        <v>41.03</v>
      </c>
      <c r="R96" s="14">
        <f t="shared" si="32"/>
        <v>1.8726608854404383</v>
      </c>
      <c r="S96" s="14">
        <f t="shared" si="33"/>
        <v>1.8657810486417497</v>
      </c>
      <c r="T96" s="14">
        <f t="shared" si="37"/>
        <v>1.8711596598497191</v>
      </c>
      <c r="U96" s="14">
        <f t="shared" si="39"/>
        <v>1.8699417030312548</v>
      </c>
      <c r="V96" s="16">
        <f t="shared" si="34"/>
        <v>40.879262775740735</v>
      </c>
      <c r="W96" s="16">
        <f t="shared" si="38"/>
        <v>40.999039985872365</v>
      </c>
      <c r="X96" s="16">
        <f t="shared" si="43"/>
        <v>40.964443840175356</v>
      </c>
      <c r="Y96" s="17">
        <f t="shared" si="35"/>
        <v>3.6805945827857616E-3</v>
      </c>
      <c r="Z96" s="17">
        <f t="shared" si="35"/>
        <v>7.5485500264454617E-4</v>
      </c>
      <c r="AA96" s="17">
        <f t="shared" si="35"/>
        <v>1.5990394159134374E-3</v>
      </c>
      <c r="AC96" s="18">
        <f t="shared" si="36"/>
        <v>-7.3327551293917966E-3</v>
      </c>
      <c r="AD96" s="18">
        <f t="shared" si="36"/>
        <v>-5.832337310395788E-3</v>
      </c>
      <c r="AE96" s="18"/>
      <c r="AF96" s="18"/>
      <c r="AH96">
        <f t="shared" si="44"/>
        <v>0</v>
      </c>
      <c r="AI96">
        <f t="shared" si="45"/>
        <v>1</v>
      </c>
      <c r="AJ96">
        <f t="shared" si="46"/>
        <v>0</v>
      </c>
      <c r="AK96">
        <f t="shared" si="40"/>
        <v>0</v>
      </c>
      <c r="AL96" s="18">
        <f t="shared" si="47"/>
        <v>0</v>
      </c>
      <c r="AM96" s="18">
        <f t="shared" si="48"/>
        <v>0</v>
      </c>
      <c r="AN96" s="18">
        <f t="shared" si="49"/>
        <v>0</v>
      </c>
      <c r="AO96" s="19">
        <f t="shared" si="50"/>
        <v>1.5887475302798302E-2</v>
      </c>
      <c r="AQ96" s="18"/>
      <c r="AS96">
        <f t="shared" si="51"/>
        <v>1</v>
      </c>
      <c r="AT96">
        <f t="shared" si="52"/>
        <v>0</v>
      </c>
      <c r="AU96">
        <f t="shared" si="53"/>
        <v>0</v>
      </c>
      <c r="AV96">
        <f t="shared" si="54"/>
        <v>0</v>
      </c>
      <c r="AW96" s="18">
        <f t="shared" si="55"/>
        <v>0</v>
      </c>
      <c r="AX96" s="18">
        <f t="shared" si="56"/>
        <v>0</v>
      </c>
      <c r="AY96" s="18">
        <f t="shared" si="57"/>
        <v>0</v>
      </c>
      <c r="AZ96" s="19">
        <f t="shared" si="58"/>
        <v>1.5959131725021336E-2</v>
      </c>
      <c r="BB96" s="19">
        <f t="shared" si="59"/>
        <v>0</v>
      </c>
      <c r="BC96" s="19">
        <f t="shared" si="60"/>
        <v>3.1846607027819641E-2</v>
      </c>
    </row>
    <row r="97" spans="1:55" x14ac:dyDescent="0.3">
      <c r="A97" s="1">
        <v>46162</v>
      </c>
      <c r="B97" s="10">
        <v>21.95</v>
      </c>
      <c r="C97" s="10">
        <v>41.42</v>
      </c>
      <c r="D97" s="11">
        <v>1.8870159453302899</v>
      </c>
      <c r="E97" s="11">
        <v>1.8778822651217899</v>
      </c>
      <c r="F97" s="11">
        <v>1.8854415807372</v>
      </c>
      <c r="G97" s="11">
        <v>1.8835488215254601</v>
      </c>
      <c r="H97" s="10">
        <v>41.219515719423299</v>
      </c>
      <c r="I97" s="10">
        <v>41.387807066026802</v>
      </c>
      <c r="J97" s="10">
        <v>41.331264048214301</v>
      </c>
      <c r="K97" s="12">
        <v>4.8520292538262004E-3</v>
      </c>
      <c r="L97" s="12">
        <v>7.77533827683573E-4</v>
      </c>
      <c r="M97" s="12">
        <v>2.14464363337515E-3</v>
      </c>
      <c r="N97" s="26">
        <v>0.17</v>
      </c>
      <c r="O97" s="13">
        <v>0</v>
      </c>
      <c r="P97" s="23">
        <f t="shared" si="41"/>
        <v>22.12</v>
      </c>
      <c r="Q97" s="23">
        <f t="shared" si="42"/>
        <v>41.42</v>
      </c>
      <c r="R97" s="14">
        <f t="shared" si="32"/>
        <v>1.8725135623869802</v>
      </c>
      <c r="S97" s="14">
        <f t="shared" si="33"/>
        <v>1.8657810486417497</v>
      </c>
      <c r="T97" s="14">
        <f t="shared" si="37"/>
        <v>1.871027630926267</v>
      </c>
      <c r="U97" s="14">
        <f t="shared" si="39"/>
        <v>1.8703159845025592</v>
      </c>
      <c r="V97" s="16">
        <f t="shared" si="34"/>
        <v>41.271076795955501</v>
      </c>
      <c r="W97" s="16">
        <f t="shared" si="38"/>
        <v>41.390051675875789</v>
      </c>
      <c r="X97" s="16">
        <f t="shared" si="43"/>
        <v>41.363110471051357</v>
      </c>
      <c r="Y97" s="17">
        <f t="shared" si="35"/>
        <v>3.6019210493703343E-3</v>
      </c>
      <c r="Z97" s="17">
        <f t="shared" si="35"/>
        <v>7.233016964437464E-4</v>
      </c>
      <c r="AA97" s="17">
        <f t="shared" si="35"/>
        <v>1.3744237823509629E-3</v>
      </c>
      <c r="AC97" s="18">
        <f t="shared" si="36"/>
        <v>9.6132578281170108E-3</v>
      </c>
      <c r="AD97" s="18">
        <f t="shared" si="36"/>
        <v>9.4603495133433503E-3</v>
      </c>
      <c r="AE97" s="18"/>
      <c r="AF97" s="18"/>
      <c r="AH97">
        <f t="shared" si="44"/>
        <v>0</v>
      </c>
      <c r="AI97">
        <f t="shared" si="45"/>
        <v>1</v>
      </c>
      <c r="AJ97">
        <f t="shared" si="46"/>
        <v>0</v>
      </c>
      <c r="AK97">
        <f t="shared" si="40"/>
        <v>0</v>
      </c>
      <c r="AL97" s="18">
        <f t="shared" si="47"/>
        <v>0</v>
      </c>
      <c r="AM97" s="18">
        <f t="shared" si="48"/>
        <v>0</v>
      </c>
      <c r="AN97" s="18">
        <f t="shared" si="49"/>
        <v>0</v>
      </c>
      <c r="AO97" s="19">
        <f t="shared" si="50"/>
        <v>1.5887475302798302E-2</v>
      </c>
      <c r="AQ97" s="18"/>
      <c r="AS97">
        <f t="shared" si="51"/>
        <v>1</v>
      </c>
      <c r="AT97">
        <f t="shared" si="52"/>
        <v>0</v>
      </c>
      <c r="AU97">
        <f t="shared" si="53"/>
        <v>0</v>
      </c>
      <c r="AV97">
        <f t="shared" si="54"/>
        <v>1</v>
      </c>
      <c r="AW97" s="18">
        <f t="shared" si="55"/>
        <v>9.6132578281170108E-3</v>
      </c>
      <c r="AX97" s="18">
        <f t="shared" si="56"/>
        <v>-9.4603495133433503E-3</v>
      </c>
      <c r="AY97" s="18">
        <f t="shared" si="57"/>
        <v>1.5290831477366047E-4</v>
      </c>
      <c r="AZ97" s="19">
        <f t="shared" si="58"/>
        <v>1.6112040039794995E-2</v>
      </c>
      <c r="BB97" s="19">
        <f t="shared" si="59"/>
        <v>1.5290831477366047E-4</v>
      </c>
      <c r="BC97" s="19">
        <f t="shared" si="60"/>
        <v>3.19995153425933E-2</v>
      </c>
    </row>
    <row r="98" spans="1:55" x14ac:dyDescent="0.3">
      <c r="A98" s="1">
        <v>46163</v>
      </c>
      <c r="B98" s="10">
        <v>21.94</v>
      </c>
      <c r="C98" s="10">
        <v>41.43</v>
      </c>
      <c r="D98" s="11">
        <v>1.8883318140382801</v>
      </c>
      <c r="E98" s="11">
        <v>1.8778822651217899</v>
      </c>
      <c r="F98" s="11">
        <v>1.8857494371746499</v>
      </c>
      <c r="G98" s="11">
        <v>1.88403216910604</v>
      </c>
      <c r="H98" s="10">
        <v>41.200736896772099</v>
      </c>
      <c r="I98" s="10">
        <v>41.366588281374298</v>
      </c>
      <c r="J98" s="10">
        <v>41.325061144268702</v>
      </c>
      <c r="K98" s="12">
        <v>5.54911404979471E-3</v>
      </c>
      <c r="L98" s="12">
        <v>1.5317474388794299E-3</v>
      </c>
      <c r="M98" s="12">
        <v>2.5361327881869202E-3</v>
      </c>
      <c r="N98" s="26">
        <v>0.17</v>
      </c>
      <c r="O98" s="13">
        <v>0</v>
      </c>
      <c r="P98" s="23">
        <f t="shared" si="41"/>
        <v>22.110000000000003</v>
      </c>
      <c r="Q98" s="23">
        <f t="shared" si="42"/>
        <v>41.43</v>
      </c>
      <c r="R98" s="14">
        <f t="shared" si="32"/>
        <v>1.8738127544097691</v>
      </c>
      <c r="S98" s="14">
        <f t="shared" si="33"/>
        <v>1.8657810486417497</v>
      </c>
      <c r="T98" s="14">
        <f t="shared" si="37"/>
        <v>1.8713092622391301</v>
      </c>
      <c r="U98" s="14">
        <f t="shared" si="39"/>
        <v>1.8706000288164539</v>
      </c>
      <c r="V98" s="16">
        <f t="shared" si="34"/>
        <v>41.252418985469092</v>
      </c>
      <c r="W98" s="16">
        <f t="shared" si="38"/>
        <v>41.368420919779766</v>
      </c>
      <c r="X98" s="16">
        <f t="shared" si="43"/>
        <v>41.352686417351592</v>
      </c>
      <c r="Y98" s="17">
        <f t="shared" si="35"/>
        <v>4.2955029560214509E-3</v>
      </c>
      <c r="Z98" s="17">
        <f t="shared" si="35"/>
        <v>1.4874460379750093E-3</v>
      </c>
      <c r="AA98" s="17">
        <f t="shared" si="35"/>
        <v>1.8678689584228057E-3</v>
      </c>
      <c r="AC98" s="18">
        <f t="shared" si="36"/>
        <v>-4.5568467409612439E-4</v>
      </c>
      <c r="AD98" s="18">
        <f t="shared" si="36"/>
        <v>2.4140012187237939E-4</v>
      </c>
      <c r="AE98" s="18"/>
      <c r="AF98" s="18"/>
      <c r="AH98">
        <f t="shared" si="44"/>
        <v>0</v>
      </c>
      <c r="AI98">
        <f t="shared" si="45"/>
        <v>1</v>
      </c>
      <c r="AJ98">
        <f t="shared" si="46"/>
        <v>0</v>
      </c>
      <c r="AK98">
        <f t="shared" si="40"/>
        <v>0</v>
      </c>
      <c r="AL98" s="18">
        <f t="shared" si="47"/>
        <v>0</v>
      </c>
      <c r="AM98" s="18">
        <f t="shared" si="48"/>
        <v>0</v>
      </c>
      <c r="AN98" s="18">
        <f t="shared" si="49"/>
        <v>0</v>
      </c>
      <c r="AO98" s="19">
        <f t="shared" si="50"/>
        <v>1.5887475302798302E-2</v>
      </c>
      <c r="AQ98" s="18"/>
      <c r="AS98">
        <f t="shared" si="51"/>
        <v>1</v>
      </c>
      <c r="AT98">
        <f t="shared" si="52"/>
        <v>0</v>
      </c>
      <c r="AU98">
        <f t="shared" si="53"/>
        <v>1</v>
      </c>
      <c r="AV98">
        <f t="shared" si="54"/>
        <v>1</v>
      </c>
      <c r="AW98" s="18">
        <f t="shared" si="55"/>
        <v>-4.5568467409612439E-4</v>
      </c>
      <c r="AX98" s="18">
        <f t="shared" si="56"/>
        <v>-2.4140012187237939E-4</v>
      </c>
      <c r="AY98" s="18">
        <f t="shared" si="57"/>
        <v>-6.9708479596850372E-4</v>
      </c>
      <c r="AZ98" s="19">
        <f t="shared" si="58"/>
        <v>1.5414955243826491E-2</v>
      </c>
      <c r="BB98" s="19">
        <f t="shared" si="59"/>
        <v>-6.9708479596850372E-4</v>
      </c>
      <c r="BC98" s="19">
        <f t="shared" si="60"/>
        <v>3.1302430546624793E-2</v>
      </c>
    </row>
    <row r="99" spans="1:55" x14ac:dyDescent="0.3">
      <c r="A99" s="1">
        <v>46164</v>
      </c>
      <c r="B99" s="10">
        <v>21.93</v>
      </c>
      <c r="C99" s="10">
        <v>41.43</v>
      </c>
      <c r="D99" s="11">
        <v>1.8891928864569001</v>
      </c>
      <c r="E99" s="11">
        <v>1.8778822651217899</v>
      </c>
      <c r="F99" s="11">
        <v>1.8858790875889899</v>
      </c>
      <c r="G99" s="11">
        <v>1.8844918134288899</v>
      </c>
      <c r="H99" s="10">
        <v>41.181958074120899</v>
      </c>
      <c r="I99" s="10">
        <v>41.354485157240099</v>
      </c>
      <c r="J99" s="10">
        <v>41.316825468495601</v>
      </c>
      <c r="K99" s="12">
        <v>6.005006467082E-3</v>
      </c>
      <c r="L99" s="12">
        <v>1.8243723702893199E-3</v>
      </c>
      <c r="M99" s="12">
        <v>2.73544275406427E-3</v>
      </c>
      <c r="N99" s="26">
        <v>0.17</v>
      </c>
      <c r="O99" s="13">
        <v>0</v>
      </c>
      <c r="P99" s="23">
        <f t="shared" si="41"/>
        <v>22.1</v>
      </c>
      <c r="Q99" s="23">
        <f t="shared" si="42"/>
        <v>41.43</v>
      </c>
      <c r="R99" s="14">
        <f t="shared" si="32"/>
        <v>1.8746606334841627</v>
      </c>
      <c r="S99" s="14">
        <f t="shared" si="33"/>
        <v>1.8657810486417497</v>
      </c>
      <c r="T99" s="14">
        <f t="shared" si="37"/>
        <v>1.8714083043109508</v>
      </c>
      <c r="U99" s="14">
        <f t="shared" si="39"/>
        <v>1.8708582001554668</v>
      </c>
      <c r="V99" s="16">
        <f t="shared" si="34"/>
        <v>41.233761174982668</v>
      </c>
      <c r="W99" s="16">
        <f t="shared" si="38"/>
        <v>41.355934695484777</v>
      </c>
      <c r="X99" s="16">
        <f t="shared" si="43"/>
        <v>41.340260636843638</v>
      </c>
      <c r="Y99" s="17">
        <f t="shared" si="35"/>
        <v>4.7478893016694489E-3</v>
      </c>
      <c r="Z99" s="17">
        <f t="shared" si="35"/>
        <v>1.7893214481113538E-3</v>
      </c>
      <c r="AA99" s="17">
        <f t="shared" si="35"/>
        <v>2.168397142364051E-3</v>
      </c>
      <c r="AC99" s="18">
        <f t="shared" si="36"/>
        <v>-4.5589241728744554E-4</v>
      </c>
      <c r="AD99" s="18">
        <f t="shared" si="36"/>
        <v>0</v>
      </c>
      <c r="AE99" s="18"/>
      <c r="AF99" s="18"/>
      <c r="AH99">
        <f t="shared" si="44"/>
        <v>0</v>
      </c>
      <c r="AI99">
        <f t="shared" si="45"/>
        <v>1</v>
      </c>
      <c r="AJ99">
        <f t="shared" si="46"/>
        <v>0</v>
      </c>
      <c r="AK99">
        <f t="shared" si="40"/>
        <v>0</v>
      </c>
      <c r="AL99" s="18">
        <f t="shared" si="47"/>
        <v>0</v>
      </c>
      <c r="AM99" s="18">
        <f t="shared" si="48"/>
        <v>0</v>
      </c>
      <c r="AN99" s="18">
        <f t="shared" si="49"/>
        <v>0</v>
      </c>
      <c r="AO99" s="19">
        <f t="shared" si="50"/>
        <v>1.5887475302798302E-2</v>
      </c>
      <c r="AQ99" s="18"/>
      <c r="AS99">
        <f t="shared" si="51"/>
        <v>1</v>
      </c>
      <c r="AT99">
        <f t="shared" si="52"/>
        <v>0</v>
      </c>
      <c r="AU99">
        <f t="shared" si="53"/>
        <v>1</v>
      </c>
      <c r="AV99">
        <f t="shared" si="54"/>
        <v>1</v>
      </c>
      <c r="AW99" s="18">
        <f t="shared" si="55"/>
        <v>-4.5589241728744554E-4</v>
      </c>
      <c r="AX99" s="18">
        <f t="shared" si="56"/>
        <v>0</v>
      </c>
      <c r="AY99" s="18">
        <f t="shared" si="57"/>
        <v>-4.5589241728744554E-4</v>
      </c>
      <c r="AZ99" s="19">
        <f t="shared" si="58"/>
        <v>1.4959062826539046E-2</v>
      </c>
      <c r="BB99" s="19">
        <f t="shared" si="59"/>
        <v>-4.5589241728744554E-4</v>
      </c>
      <c r="BC99" s="19">
        <f t="shared" si="60"/>
        <v>3.0846538129337346E-2</v>
      </c>
    </row>
    <row r="100" spans="1:55" x14ac:dyDescent="0.3">
      <c r="A100" s="1">
        <v>46168</v>
      </c>
      <c r="B100" s="10">
        <v>22.04</v>
      </c>
      <c r="C100" s="10">
        <v>41.68</v>
      </c>
      <c r="D100" s="11">
        <v>1.89110707803992</v>
      </c>
      <c r="E100" s="11">
        <v>1.8778822651217899</v>
      </c>
      <c r="F100" s="11">
        <v>1.88625045039522</v>
      </c>
      <c r="G100" s="11">
        <v>1.8850633908549901</v>
      </c>
      <c r="H100" s="10">
        <v>41.388525123284303</v>
      </c>
      <c r="I100" s="10">
        <v>41.564775090461303</v>
      </c>
      <c r="J100" s="10">
        <v>41.534199567972699</v>
      </c>
      <c r="K100" s="12">
        <v>7.0177259679663198E-3</v>
      </c>
      <c r="L100" s="12">
        <v>2.7683415085449801E-3</v>
      </c>
      <c r="M100" s="12">
        <v>3.5042236056230499E-3</v>
      </c>
      <c r="N100" s="26">
        <v>0.17</v>
      </c>
      <c r="O100" s="13">
        <v>0</v>
      </c>
      <c r="P100" s="23">
        <f t="shared" si="41"/>
        <v>22.21</v>
      </c>
      <c r="Q100" s="23">
        <f t="shared" si="42"/>
        <v>41.68</v>
      </c>
      <c r="R100" s="14">
        <f t="shared" si="32"/>
        <v>1.8766321476812247</v>
      </c>
      <c r="S100" s="14">
        <f t="shared" si="33"/>
        <v>1.8657810486417497</v>
      </c>
      <c r="T100" s="14">
        <f t="shared" si="37"/>
        <v>1.8717607443684767</v>
      </c>
      <c r="U100" s="14">
        <f t="shared" si="39"/>
        <v>1.8712324918326046</v>
      </c>
      <c r="V100" s="16">
        <f t="shared" si="34"/>
        <v>41.43899709033326</v>
      </c>
      <c r="W100" s="16">
        <f t="shared" si="38"/>
        <v>41.563978438746219</v>
      </c>
      <c r="X100" s="16">
        <f t="shared" si="43"/>
        <v>41.551760625452921</v>
      </c>
      <c r="Y100" s="17">
        <f t="shared" si="35"/>
        <v>5.7990012748417039E-3</v>
      </c>
      <c r="Z100" s="17">
        <f t="shared" si="35"/>
        <v>2.7875082031323115E-3</v>
      </c>
      <c r="AA100" s="17">
        <f t="shared" si="35"/>
        <v>3.0815033842822464E-3</v>
      </c>
      <c r="AC100" s="18">
        <f t="shared" si="36"/>
        <v>5.0034218549168414E-3</v>
      </c>
      <c r="AD100" s="18">
        <f t="shared" si="36"/>
        <v>6.0161413558009556E-3</v>
      </c>
      <c r="AE100" s="18"/>
      <c r="AF100" s="18"/>
      <c r="AH100">
        <f t="shared" si="44"/>
        <v>0</v>
      </c>
      <c r="AI100">
        <f t="shared" si="45"/>
        <v>1</v>
      </c>
      <c r="AJ100">
        <f t="shared" si="46"/>
        <v>0</v>
      </c>
      <c r="AK100">
        <f t="shared" si="40"/>
        <v>0</v>
      </c>
      <c r="AL100" s="18">
        <f t="shared" si="47"/>
        <v>0</v>
      </c>
      <c r="AM100" s="18">
        <f t="shared" si="48"/>
        <v>0</v>
      </c>
      <c r="AN100" s="18">
        <f t="shared" si="49"/>
        <v>0</v>
      </c>
      <c r="AO100" s="19">
        <f t="shared" si="50"/>
        <v>1.5887475302798302E-2</v>
      </c>
      <c r="AQ100" s="18"/>
      <c r="AS100">
        <f t="shared" si="51"/>
        <v>1</v>
      </c>
      <c r="AT100">
        <f t="shared" si="52"/>
        <v>0</v>
      </c>
      <c r="AU100">
        <f t="shared" si="53"/>
        <v>1</v>
      </c>
      <c r="AV100">
        <f t="shared" si="54"/>
        <v>1</v>
      </c>
      <c r="AW100" s="18">
        <f t="shared" si="55"/>
        <v>5.0034218549168414E-3</v>
      </c>
      <c r="AX100" s="18">
        <f t="shared" si="56"/>
        <v>-6.0161413558009556E-3</v>
      </c>
      <c r="AY100" s="18">
        <f t="shared" si="57"/>
        <v>-1.0127195008841142E-3</v>
      </c>
      <c r="AZ100" s="19">
        <f t="shared" si="58"/>
        <v>1.3946343325654932E-2</v>
      </c>
      <c r="BB100" s="19">
        <f t="shared" si="59"/>
        <v>-1.0127195008841142E-3</v>
      </c>
      <c r="BC100" s="19">
        <f t="shared" si="60"/>
        <v>2.9833818628453232E-2</v>
      </c>
    </row>
    <row r="101" spans="1:55" x14ac:dyDescent="0.3">
      <c r="A101" s="1">
        <v>46169</v>
      </c>
      <c r="B101" s="10">
        <v>22.04</v>
      </c>
      <c r="C101" s="10">
        <v>41.68</v>
      </c>
      <c r="D101" s="11">
        <v>1.89110707803992</v>
      </c>
      <c r="E101" s="11">
        <v>1.8778822651217899</v>
      </c>
      <c r="F101" s="11">
        <v>1.8869691076120401</v>
      </c>
      <c r="G101" s="11">
        <v>1.8856286860132001</v>
      </c>
      <c r="H101" s="10">
        <v>41.388525123284303</v>
      </c>
      <c r="I101" s="10">
        <v>41.572959926710702</v>
      </c>
      <c r="J101" s="10">
        <v>41.546797134444098</v>
      </c>
      <c r="K101" s="12">
        <v>7.0177259679663198E-3</v>
      </c>
      <c r="L101" s="12">
        <v>2.5714432823858201E-3</v>
      </c>
      <c r="M101" s="12">
        <v>3.2009637250742999E-3</v>
      </c>
      <c r="N101" s="26">
        <v>0.17</v>
      </c>
      <c r="O101" s="13">
        <v>0</v>
      </c>
      <c r="P101" s="23">
        <f t="shared" si="41"/>
        <v>22.21</v>
      </c>
      <c r="Q101" s="23">
        <f t="shared" si="42"/>
        <v>41.68</v>
      </c>
      <c r="R101" s="14">
        <f t="shared" si="32"/>
        <v>1.8766321476812247</v>
      </c>
      <c r="S101" s="14">
        <f t="shared" si="33"/>
        <v>1.8657810486417497</v>
      </c>
      <c r="T101" s="14">
        <f t="shared" si="37"/>
        <v>1.8724674373974686</v>
      </c>
      <c r="U101" s="14">
        <f t="shared" si="39"/>
        <v>1.8716019558780903</v>
      </c>
      <c r="V101" s="16">
        <f t="shared" si="34"/>
        <v>41.43899709033326</v>
      </c>
      <c r="W101" s="16">
        <f t="shared" si="38"/>
        <v>41.571806132423866</v>
      </c>
      <c r="X101" s="16">
        <f t="shared" si="43"/>
        <v>41.560073643602152</v>
      </c>
      <c r="Y101" s="17">
        <f t="shared" si="35"/>
        <v>5.7990012748417039E-3</v>
      </c>
      <c r="Z101" s="17">
        <f t="shared" si="35"/>
        <v>2.599197146920995E-3</v>
      </c>
      <c r="AA101" s="17">
        <f t="shared" si="35"/>
        <v>2.8814592329273613E-3</v>
      </c>
      <c r="AC101" s="18">
        <f t="shared" si="36"/>
        <v>0</v>
      </c>
      <c r="AD101" s="18">
        <f t="shared" si="36"/>
        <v>0</v>
      </c>
      <c r="AE101" s="18"/>
      <c r="AF101" s="18"/>
      <c r="AH101">
        <f t="shared" si="44"/>
        <v>0</v>
      </c>
      <c r="AI101">
        <f t="shared" si="45"/>
        <v>1</v>
      </c>
      <c r="AJ101">
        <f t="shared" si="46"/>
        <v>0</v>
      </c>
      <c r="AK101">
        <f t="shared" si="40"/>
        <v>0</v>
      </c>
      <c r="AL101" s="18">
        <f t="shared" si="47"/>
        <v>0</v>
      </c>
      <c r="AM101" s="18">
        <f t="shared" si="48"/>
        <v>0</v>
      </c>
      <c r="AN101" s="18">
        <f t="shared" si="49"/>
        <v>0</v>
      </c>
      <c r="AO101" s="19">
        <f t="shared" si="50"/>
        <v>1.5887475302798302E-2</v>
      </c>
      <c r="AQ101" s="18"/>
      <c r="AS101">
        <f t="shared" si="51"/>
        <v>1</v>
      </c>
      <c r="AT101">
        <f t="shared" si="52"/>
        <v>0</v>
      </c>
      <c r="AU101">
        <f t="shared" si="53"/>
        <v>1</v>
      </c>
      <c r="AV101">
        <f t="shared" si="54"/>
        <v>1</v>
      </c>
      <c r="AW101" s="18">
        <f t="shared" si="55"/>
        <v>0</v>
      </c>
      <c r="AX101" s="18">
        <f t="shared" si="56"/>
        <v>0</v>
      </c>
      <c r="AY101" s="18">
        <f t="shared" si="57"/>
        <v>0</v>
      </c>
      <c r="AZ101" s="19">
        <f t="shared" si="58"/>
        <v>1.3946343325654932E-2</v>
      </c>
      <c r="BB101" s="19">
        <f t="shared" si="59"/>
        <v>0</v>
      </c>
      <c r="BC101" s="19">
        <f t="shared" si="60"/>
        <v>2.9833818628453232E-2</v>
      </c>
    </row>
    <row r="102" spans="1:55" x14ac:dyDescent="0.3">
      <c r="A102" s="1">
        <v>46170</v>
      </c>
      <c r="B102" s="10">
        <v>22.11</v>
      </c>
      <c r="C102" s="10">
        <v>41.93</v>
      </c>
      <c r="D102" s="11">
        <v>1.8964269561284399</v>
      </c>
      <c r="E102" s="11">
        <v>1.8778822651217899</v>
      </c>
      <c r="F102" s="11">
        <v>1.8878284472773501</v>
      </c>
      <c r="G102" s="11">
        <v>1.88647824128095</v>
      </c>
      <c r="H102" s="10">
        <v>41.519976881842801</v>
      </c>
      <c r="I102" s="10">
        <v>41.720886969302299</v>
      </c>
      <c r="J102" s="10">
        <v>41.691250247752002</v>
      </c>
      <c r="K102" s="12">
        <v>9.8268791208848405E-3</v>
      </c>
      <c r="L102" s="12">
        <v>4.9996712256993696E-3</v>
      </c>
      <c r="M102" s="12">
        <v>5.7102805875076197E-3</v>
      </c>
      <c r="N102" s="26">
        <v>0.17</v>
      </c>
      <c r="O102" s="13">
        <v>0</v>
      </c>
      <c r="P102" s="23">
        <f t="shared" si="41"/>
        <v>22.28</v>
      </c>
      <c r="Q102" s="23">
        <f t="shared" si="42"/>
        <v>41.93</v>
      </c>
      <c r="R102" s="14">
        <f t="shared" si="32"/>
        <v>1.8819569120287252</v>
      </c>
      <c r="S102" s="14">
        <f t="shared" si="33"/>
        <v>1.8657810486417497</v>
      </c>
      <c r="T102" s="14">
        <f t="shared" si="37"/>
        <v>1.8733202201622803</v>
      </c>
      <c r="U102" s="14">
        <f t="shared" si="39"/>
        <v>1.8722594033795492</v>
      </c>
      <c r="V102" s="16">
        <f t="shared" si="34"/>
        <v>41.569601763738184</v>
      </c>
      <c r="W102" s="16">
        <f t="shared" si="38"/>
        <v>41.718574505215599</v>
      </c>
      <c r="X102" s="16">
        <f t="shared" si="43"/>
        <v>41.699291576963851</v>
      </c>
      <c r="Y102" s="17">
        <f t="shared" si="35"/>
        <v>8.6323878596542645E-3</v>
      </c>
      <c r="Z102" s="17">
        <f t="shared" si="35"/>
        <v>5.0550997734506303E-3</v>
      </c>
      <c r="AA102" s="17">
        <f t="shared" si="35"/>
        <v>5.5174210842406498E-3</v>
      </c>
      <c r="AC102" s="18">
        <f t="shared" si="36"/>
        <v>3.1710105846412331E-3</v>
      </c>
      <c r="AD102" s="18">
        <f t="shared" si="36"/>
        <v>5.9801637375598354E-3</v>
      </c>
      <c r="AE102" s="18"/>
      <c r="AF102" s="18"/>
      <c r="AH102">
        <f t="shared" si="44"/>
        <v>0</v>
      </c>
      <c r="AI102">
        <f t="shared" si="45"/>
        <v>1</v>
      </c>
      <c r="AJ102">
        <f t="shared" si="46"/>
        <v>0</v>
      </c>
      <c r="AK102">
        <f t="shared" si="40"/>
        <v>0</v>
      </c>
      <c r="AL102" s="18">
        <f t="shared" si="47"/>
        <v>0</v>
      </c>
      <c r="AM102" s="18">
        <f t="shared" si="48"/>
        <v>0</v>
      </c>
      <c r="AN102" s="18">
        <f t="shared" si="49"/>
        <v>0</v>
      </c>
      <c r="AO102" s="19">
        <f t="shared" si="50"/>
        <v>1.5887475302798302E-2</v>
      </c>
      <c r="AQ102" s="18"/>
      <c r="AS102">
        <f t="shared" si="51"/>
        <v>1</v>
      </c>
      <c r="AT102">
        <f t="shared" si="52"/>
        <v>0</v>
      </c>
      <c r="AU102">
        <f t="shared" si="53"/>
        <v>1</v>
      </c>
      <c r="AV102">
        <f t="shared" si="54"/>
        <v>1</v>
      </c>
      <c r="AW102" s="18">
        <f t="shared" si="55"/>
        <v>3.1710105846412331E-3</v>
      </c>
      <c r="AX102" s="18">
        <f t="shared" si="56"/>
        <v>-5.9801637375598354E-3</v>
      </c>
      <c r="AY102" s="18">
        <f t="shared" si="57"/>
        <v>-2.8091531529186023E-3</v>
      </c>
      <c r="AZ102" s="19">
        <f t="shared" si="58"/>
        <v>1.113719017273633E-2</v>
      </c>
      <c r="BB102" s="19">
        <f t="shared" si="59"/>
        <v>-2.8091531529186023E-3</v>
      </c>
      <c r="BC102" s="19">
        <f t="shared" si="60"/>
        <v>2.7024665475534629E-2</v>
      </c>
    </row>
    <row r="103" spans="1:55" x14ac:dyDescent="0.3">
      <c r="A103" s="1">
        <v>46171</v>
      </c>
      <c r="B103" s="10">
        <v>22.17</v>
      </c>
      <c r="C103" s="10">
        <v>41.98</v>
      </c>
      <c r="D103" s="11">
        <v>1.893549842129</v>
      </c>
      <c r="E103" s="11">
        <v>1.8778822651217899</v>
      </c>
      <c r="F103" s="11">
        <v>1.88888411176236</v>
      </c>
      <c r="G103" s="11">
        <v>1.8871278932437101</v>
      </c>
      <c r="H103" s="10">
        <v>41.632649817750099</v>
      </c>
      <c r="I103" s="10">
        <v>41.853156676139001</v>
      </c>
      <c r="J103" s="10">
        <v>41.823222609198801</v>
      </c>
      <c r="K103" s="12">
        <v>8.3086035718350302E-3</v>
      </c>
      <c r="L103" s="12">
        <v>3.02609195894846E-3</v>
      </c>
      <c r="M103" s="12">
        <v>3.7415643174024699E-3</v>
      </c>
      <c r="N103" s="26">
        <v>0.17</v>
      </c>
      <c r="O103" s="13">
        <v>0</v>
      </c>
      <c r="P103" s="23">
        <f t="shared" si="41"/>
        <v>22.340000000000003</v>
      </c>
      <c r="Q103" s="23">
        <f t="shared" si="42"/>
        <v>41.98</v>
      </c>
      <c r="R103" s="14">
        <f t="shared" si="32"/>
        <v>1.8791405550581912</v>
      </c>
      <c r="S103" s="14">
        <f t="shared" si="33"/>
        <v>1.8657810486417497</v>
      </c>
      <c r="T103" s="14">
        <f t="shared" si="37"/>
        <v>1.8743755897995122</v>
      </c>
      <c r="U103" s="14">
        <f t="shared" si="39"/>
        <v>1.8727134170668189</v>
      </c>
      <c r="V103" s="16">
        <f t="shared" si="34"/>
        <v>41.681548626656692</v>
      </c>
      <c r="W103" s="16">
        <f t="shared" si="38"/>
        <v>41.849973718425346</v>
      </c>
      <c r="X103" s="16">
        <f t="shared" si="43"/>
        <v>41.826275071499133</v>
      </c>
      <c r="Y103" s="17">
        <f t="shared" si="35"/>
        <v>7.134762487498213E-3</v>
      </c>
      <c r="Z103" s="17">
        <f t="shared" si="35"/>
        <v>3.1021454518150278E-3</v>
      </c>
      <c r="AA103" s="17">
        <f t="shared" si="35"/>
        <v>3.668582114609352E-3</v>
      </c>
      <c r="AC103" s="18">
        <f t="shared" si="36"/>
        <v>2.7100287588653796E-3</v>
      </c>
      <c r="AD103" s="18">
        <f t="shared" si="36"/>
        <v>1.1917532098156072E-3</v>
      </c>
      <c r="AE103" s="18"/>
      <c r="AF103" s="18"/>
      <c r="AH103">
        <f t="shared" si="44"/>
        <v>0</v>
      </c>
      <c r="AI103">
        <f t="shared" si="45"/>
        <v>1</v>
      </c>
      <c r="AJ103">
        <f t="shared" si="46"/>
        <v>0</v>
      </c>
      <c r="AK103" s="22">
        <v>0</v>
      </c>
      <c r="AL103" s="18">
        <f t="shared" si="47"/>
        <v>0</v>
      </c>
      <c r="AM103" s="18">
        <f t="shared" si="48"/>
        <v>0</v>
      </c>
      <c r="AN103" s="18">
        <f t="shared" si="49"/>
        <v>0</v>
      </c>
      <c r="AO103" s="19">
        <f t="shared" si="50"/>
        <v>1.5887475302798302E-2</v>
      </c>
      <c r="AQ103" s="18"/>
      <c r="AS103">
        <f t="shared" si="51"/>
        <v>1</v>
      </c>
      <c r="AT103">
        <f t="shared" si="52"/>
        <v>0</v>
      </c>
      <c r="AU103">
        <f t="shared" si="53"/>
        <v>1</v>
      </c>
      <c r="AV103">
        <f t="shared" si="54"/>
        <v>1</v>
      </c>
      <c r="AW103" s="18">
        <f t="shared" si="55"/>
        <v>2.7100287588653796E-3</v>
      </c>
      <c r="AX103" s="18">
        <f t="shared" si="56"/>
        <v>-1.1917532098156072E-3</v>
      </c>
      <c r="AY103" s="18">
        <f t="shared" si="57"/>
        <v>1.5182755490497724E-3</v>
      </c>
      <c r="AZ103" s="19">
        <f t="shared" si="58"/>
        <v>1.2655465721786103E-2</v>
      </c>
      <c r="BB103" s="19">
        <f t="shared" si="59"/>
        <v>1.5182755490497724E-3</v>
      </c>
      <c r="BC103" s="19">
        <f t="shared" si="60"/>
        <v>2.8542941024584403E-2</v>
      </c>
    </row>
    <row r="104" spans="1:55" x14ac:dyDescent="0.3">
      <c r="A104" s="1">
        <v>46174</v>
      </c>
      <c r="B104" s="10">
        <v>22.03</v>
      </c>
      <c r="C104" s="10">
        <v>41.77</v>
      </c>
      <c r="D104" s="11">
        <v>1.8960508397639499</v>
      </c>
      <c r="E104" s="11">
        <v>1.8778822651217899</v>
      </c>
      <c r="F104" s="11">
        <v>1.89045618335911</v>
      </c>
      <c r="G104" s="11">
        <v>1.88786835695931</v>
      </c>
      <c r="H104" s="10">
        <v>41.369746300633103</v>
      </c>
      <c r="I104" s="10">
        <v>41.612116982124903</v>
      </c>
      <c r="J104" s="10">
        <v>41.573427488159098</v>
      </c>
      <c r="K104" s="12">
        <v>9.6285305024006295E-3</v>
      </c>
      <c r="L104" s="12">
        <v>3.7869800450164299E-3</v>
      </c>
      <c r="M104" s="12">
        <v>4.7171776412914196E-3</v>
      </c>
      <c r="N104" s="26">
        <v>0.215</v>
      </c>
      <c r="O104" s="13">
        <v>0</v>
      </c>
      <c r="P104" s="23">
        <f t="shared" si="41"/>
        <v>22.245000000000001</v>
      </c>
      <c r="Q104" s="23">
        <f t="shared" si="42"/>
        <v>41.77</v>
      </c>
      <c r="R104" s="14">
        <f t="shared" si="32"/>
        <v>1.8777253315351765</v>
      </c>
      <c r="S104" s="14">
        <f t="shared" si="33"/>
        <v>1.8657810486417497</v>
      </c>
      <c r="T104" s="14">
        <f t="shared" si="37"/>
        <v>1.8755694150367426</v>
      </c>
      <c r="U104" s="14">
        <f t="shared" si="39"/>
        <v>1.8732514693578632</v>
      </c>
      <c r="V104" s="16">
        <f t="shared" si="34"/>
        <v>41.504299427035726</v>
      </c>
      <c r="W104" s="16">
        <f t="shared" si="38"/>
        <v>41.695484995090155</v>
      </c>
      <c r="X104" s="16">
        <f t="shared" si="43"/>
        <v>41.658509962651387</v>
      </c>
      <c r="Y104" s="17">
        <f t="shared" si="35"/>
        <v>6.3813559871450437E-3</v>
      </c>
      <c r="Z104" s="17">
        <f t="shared" si="35"/>
        <v>1.785529065363793E-3</v>
      </c>
      <c r="AA104" s="17">
        <f t="shared" si="35"/>
        <v>2.6727099349245949E-3</v>
      </c>
      <c r="AC104" s="18">
        <f t="shared" si="36"/>
        <v>-6.3348628139683217E-3</v>
      </c>
      <c r="AD104" s="18">
        <f t="shared" si="36"/>
        <v>-5.014935883402784E-3</v>
      </c>
      <c r="AE104" s="18"/>
      <c r="AF104" s="18"/>
      <c r="AH104">
        <f t="shared" si="44"/>
        <v>0</v>
      </c>
      <c r="AI104">
        <f t="shared" si="45"/>
        <v>1</v>
      </c>
      <c r="AJ104">
        <f t="shared" si="46"/>
        <v>0</v>
      </c>
      <c r="AK104">
        <f t="shared" si="40"/>
        <v>0</v>
      </c>
      <c r="AL104" s="18">
        <f t="shared" si="47"/>
        <v>0</v>
      </c>
      <c r="AM104" s="18">
        <f t="shared" si="48"/>
        <v>0</v>
      </c>
      <c r="AN104" s="18">
        <f t="shared" si="49"/>
        <v>0</v>
      </c>
      <c r="AO104" s="19">
        <f t="shared" si="50"/>
        <v>1.5887475302798302E-2</v>
      </c>
      <c r="AQ104" s="18"/>
      <c r="AS104">
        <f t="shared" si="51"/>
        <v>1</v>
      </c>
      <c r="AT104">
        <f t="shared" si="52"/>
        <v>0</v>
      </c>
      <c r="AU104">
        <f t="shared" si="53"/>
        <v>1</v>
      </c>
      <c r="AV104">
        <f t="shared" si="54"/>
        <v>1</v>
      </c>
      <c r="AW104" s="18">
        <f t="shared" si="55"/>
        <v>-6.3348628139683217E-3</v>
      </c>
      <c r="AX104" s="18">
        <f t="shared" si="56"/>
        <v>5.014935883402784E-3</v>
      </c>
      <c r="AY104" s="18">
        <f t="shared" si="57"/>
        <v>-1.3199269305655377E-3</v>
      </c>
      <c r="AZ104" s="19">
        <f t="shared" si="58"/>
        <v>1.1335538791220564E-2</v>
      </c>
      <c r="BB104" s="19">
        <f t="shared" si="59"/>
        <v>-1.3199269305655377E-3</v>
      </c>
      <c r="BC104" s="19">
        <f t="shared" si="60"/>
        <v>2.7223014094018866E-2</v>
      </c>
    </row>
    <row r="105" spans="1:55" x14ac:dyDescent="0.3">
      <c r="A105" s="1">
        <v>46175</v>
      </c>
      <c r="B105" s="10">
        <v>22.02</v>
      </c>
      <c r="C105" s="10">
        <v>41.8</v>
      </c>
      <c r="D105" s="11">
        <v>1.8982742960944501</v>
      </c>
      <c r="E105" s="11">
        <v>1.8778822651217899</v>
      </c>
      <c r="F105" s="11">
        <v>1.89183612438409</v>
      </c>
      <c r="G105" s="11">
        <v>1.8887242317278801</v>
      </c>
      <c r="H105" s="10">
        <v>41.350967477981897</v>
      </c>
      <c r="I105" s="10">
        <v>41.627845157567798</v>
      </c>
      <c r="J105" s="10">
        <v>41.570861220243998</v>
      </c>
      <c r="K105" s="12">
        <v>1.08005210437451E-2</v>
      </c>
      <c r="L105" s="12">
        <v>4.12704143224224E-3</v>
      </c>
      <c r="M105" s="12">
        <v>5.4968691306565001E-3</v>
      </c>
      <c r="N105" s="26">
        <v>0.215</v>
      </c>
      <c r="O105" s="13">
        <v>0</v>
      </c>
      <c r="P105" s="23">
        <f t="shared" si="41"/>
        <v>22.234999999999999</v>
      </c>
      <c r="Q105" s="23">
        <f t="shared" si="42"/>
        <v>41.8</v>
      </c>
      <c r="R105" s="14">
        <f t="shared" si="32"/>
        <v>1.8799190465482347</v>
      </c>
      <c r="S105" s="14">
        <f t="shared" si="33"/>
        <v>1.8657810486417497</v>
      </c>
      <c r="T105" s="14">
        <f t="shared" si="37"/>
        <v>1.8765653976254129</v>
      </c>
      <c r="U105" s="14">
        <f t="shared" si="39"/>
        <v>1.8739066145103869</v>
      </c>
      <c r="V105" s="16">
        <f t="shared" si="34"/>
        <v>41.485641616549302</v>
      </c>
      <c r="W105" s="16">
        <f t="shared" si="38"/>
        <v>41.703285943341967</v>
      </c>
      <c r="X105" s="16">
        <f t="shared" si="43"/>
        <v>41.651746421172085</v>
      </c>
      <c r="Y105" s="17">
        <f t="shared" si="35"/>
        <v>7.5489573041169549E-3</v>
      </c>
      <c r="Z105" s="17">
        <f t="shared" si="35"/>
        <v>2.3164142299534861E-3</v>
      </c>
      <c r="AA105" s="17">
        <f t="shared" si="35"/>
        <v>3.5530409164513895E-3</v>
      </c>
      <c r="AC105" s="18">
        <f t="shared" si="36"/>
        <v>-4.5402951971796203E-4</v>
      </c>
      <c r="AD105" s="18">
        <f t="shared" si="36"/>
        <v>7.1796102162656396E-4</v>
      </c>
      <c r="AE105" s="18"/>
      <c r="AF105" s="18"/>
      <c r="AH105">
        <f t="shared" si="44"/>
        <v>0</v>
      </c>
      <c r="AI105">
        <f t="shared" si="45"/>
        <v>1</v>
      </c>
      <c r="AJ105">
        <f t="shared" si="46"/>
        <v>0</v>
      </c>
      <c r="AK105">
        <f t="shared" si="40"/>
        <v>0</v>
      </c>
      <c r="AL105" s="18">
        <f t="shared" si="47"/>
        <v>0</v>
      </c>
      <c r="AM105" s="18">
        <f t="shared" si="48"/>
        <v>0</v>
      </c>
      <c r="AN105" s="18">
        <f t="shared" si="49"/>
        <v>0</v>
      </c>
      <c r="AO105" s="19">
        <f t="shared" si="50"/>
        <v>1.5887475302798302E-2</v>
      </c>
      <c r="AQ105" s="18"/>
      <c r="AS105">
        <f t="shared" si="51"/>
        <v>1</v>
      </c>
      <c r="AT105">
        <f t="shared" si="52"/>
        <v>0</v>
      </c>
      <c r="AU105">
        <f t="shared" si="53"/>
        <v>1</v>
      </c>
      <c r="AV105">
        <f t="shared" si="54"/>
        <v>1</v>
      </c>
      <c r="AW105" s="18">
        <f t="shared" si="55"/>
        <v>-4.5402951971796203E-4</v>
      </c>
      <c r="AX105" s="18">
        <f t="shared" si="56"/>
        <v>-7.1796102162656396E-4</v>
      </c>
      <c r="AY105" s="18">
        <f t="shared" si="57"/>
        <v>-1.171990541344526E-3</v>
      </c>
      <c r="AZ105" s="19">
        <f t="shared" si="58"/>
        <v>1.0163548249876038E-2</v>
      </c>
      <c r="BB105" s="19">
        <f t="shared" si="59"/>
        <v>-1.171990541344526E-3</v>
      </c>
      <c r="BC105" s="19">
        <f t="shared" si="60"/>
        <v>2.605102355267434E-2</v>
      </c>
    </row>
    <row r="106" spans="1:55" x14ac:dyDescent="0.3">
      <c r="A106" s="1">
        <v>46176</v>
      </c>
      <c r="B106" s="10">
        <v>21.89</v>
      </c>
      <c r="C106" s="10">
        <v>41.45</v>
      </c>
      <c r="D106" s="11">
        <v>1.89355870260392</v>
      </c>
      <c r="E106" s="11">
        <v>1.8778822651217899</v>
      </c>
      <c r="F106" s="11">
        <v>1.8924615438625101</v>
      </c>
      <c r="G106" s="11">
        <v>1.8890054203601101</v>
      </c>
      <c r="H106" s="10">
        <v>41.106842783516001</v>
      </c>
      <c r="I106" s="10">
        <v>41.412292762767699</v>
      </c>
      <c r="J106" s="10">
        <v>41.344173432523299</v>
      </c>
      <c r="K106" s="12">
        <v>8.3132828541010104E-3</v>
      </c>
      <c r="L106" s="12">
        <v>9.10118187123141E-4</v>
      </c>
      <c r="M106" s="12">
        <v>2.5563785643654899E-3</v>
      </c>
      <c r="N106" s="26">
        <v>0.215</v>
      </c>
      <c r="O106" s="13">
        <v>0</v>
      </c>
      <c r="P106" s="23">
        <f t="shared" si="41"/>
        <v>22.105</v>
      </c>
      <c r="Q106" s="23">
        <f t="shared" si="42"/>
        <v>41.45</v>
      </c>
      <c r="R106" s="14">
        <f t="shared" si="32"/>
        <v>1.8751413707306039</v>
      </c>
      <c r="S106" s="14">
        <f t="shared" si="33"/>
        <v>1.8657810486417497</v>
      </c>
      <c r="T106" s="14">
        <f t="shared" si="37"/>
        <v>1.8768134461544292</v>
      </c>
      <c r="U106" s="14">
        <f t="shared" si="39"/>
        <v>1.8739865530020743</v>
      </c>
      <c r="V106" s="16">
        <f t="shared" si="34"/>
        <v>41.243090080225876</v>
      </c>
      <c r="W106" s="16">
        <f t="shared" si="38"/>
        <v>41.481478114509756</v>
      </c>
      <c r="X106" s="16">
        <f t="shared" si="43"/>
        <v>41.422705713752102</v>
      </c>
      <c r="Y106" s="17">
        <f t="shared" si="35"/>
        <v>5.0042960391637591E-3</v>
      </c>
      <c r="Z106" s="17">
        <f t="shared" si="35"/>
        <v>-7.5913553543537158E-4</v>
      </c>
      <c r="AA106" s="17">
        <f t="shared" si="35"/>
        <v>6.5870390014959404E-4</v>
      </c>
      <c r="AC106" s="18">
        <f t="shared" si="36"/>
        <v>-5.9212197597622532E-3</v>
      </c>
      <c r="AD106" s="18">
        <f t="shared" si="36"/>
        <v>-8.4084579494065528E-3</v>
      </c>
      <c r="AE106" s="18"/>
      <c r="AF106" s="18"/>
      <c r="AH106">
        <f t="shared" si="44"/>
        <v>0</v>
      </c>
      <c r="AI106">
        <f t="shared" si="45"/>
        <v>1</v>
      </c>
      <c r="AJ106">
        <f t="shared" si="46"/>
        <v>0</v>
      </c>
      <c r="AK106">
        <f t="shared" si="40"/>
        <v>0</v>
      </c>
      <c r="AL106" s="18">
        <f t="shared" si="47"/>
        <v>0</v>
      </c>
      <c r="AM106" s="18">
        <f t="shared" si="48"/>
        <v>0</v>
      </c>
      <c r="AN106" s="18">
        <f t="shared" si="49"/>
        <v>0</v>
      </c>
      <c r="AO106" s="19">
        <f t="shared" si="50"/>
        <v>1.5887475302798302E-2</v>
      </c>
      <c r="AQ106" s="18"/>
      <c r="AS106">
        <f t="shared" si="51"/>
        <v>0</v>
      </c>
      <c r="AT106">
        <f t="shared" si="52"/>
        <v>0</v>
      </c>
      <c r="AU106">
        <f t="shared" si="53"/>
        <v>1</v>
      </c>
      <c r="AV106">
        <f t="shared" si="54"/>
        <v>1</v>
      </c>
      <c r="AW106" s="18">
        <f t="shared" si="55"/>
        <v>-5.9212197597622532E-3</v>
      </c>
      <c r="AX106" s="18">
        <f t="shared" si="56"/>
        <v>8.4084579494065528E-3</v>
      </c>
      <c r="AY106" s="18">
        <f t="shared" si="57"/>
        <v>2.4872381896442995E-3</v>
      </c>
      <c r="AZ106" s="19">
        <f t="shared" si="58"/>
        <v>1.2650786439520337E-2</v>
      </c>
      <c r="BB106" s="19">
        <f t="shared" si="59"/>
        <v>2.4872381896442995E-3</v>
      </c>
      <c r="BC106" s="19">
        <f t="shared" si="60"/>
        <v>2.8538261742318639E-2</v>
      </c>
    </row>
    <row r="107" spans="1:55" x14ac:dyDescent="0.3">
      <c r="A107" s="1">
        <v>46177</v>
      </c>
      <c r="B107" s="10">
        <v>21.93</v>
      </c>
      <c r="C107" s="10">
        <v>41.54</v>
      </c>
      <c r="D107" s="11">
        <v>1.8942088463292199</v>
      </c>
      <c r="E107" s="11">
        <v>1.8778822651217899</v>
      </c>
      <c r="F107" s="11">
        <v>1.8931808339623999</v>
      </c>
      <c r="G107" s="11">
        <v>1.8893112073498</v>
      </c>
      <c r="H107" s="10">
        <v>41.181958074120899</v>
      </c>
      <c r="I107" s="10">
        <v>41.5016816569049</v>
      </c>
      <c r="J107" s="10">
        <v>41.425888868497303</v>
      </c>
      <c r="K107" s="12">
        <v>8.6565688257379397E-3</v>
      </c>
      <c r="L107" s="12">
        <v>9.22870179170583E-4</v>
      </c>
      <c r="M107" s="12">
        <v>2.7507980692905399E-3</v>
      </c>
      <c r="N107" s="26">
        <v>0.215</v>
      </c>
      <c r="O107" s="13">
        <v>0</v>
      </c>
      <c r="P107" s="23">
        <f t="shared" si="41"/>
        <v>22.145</v>
      </c>
      <c r="Q107" s="23">
        <f t="shared" si="42"/>
        <v>41.54</v>
      </c>
      <c r="R107" s="14">
        <f t="shared" si="32"/>
        <v>1.8758184691804018</v>
      </c>
      <c r="S107" s="14">
        <f t="shared" si="33"/>
        <v>1.8657810486417497</v>
      </c>
      <c r="T107" s="14">
        <f t="shared" si="37"/>
        <v>1.8771439368337712</v>
      </c>
      <c r="U107" s="14">
        <f t="shared" si="39"/>
        <v>1.8740857838800191</v>
      </c>
      <c r="V107" s="16">
        <f t="shared" si="34"/>
        <v>41.317721322171543</v>
      </c>
      <c r="W107" s="16">
        <f t="shared" si="38"/>
        <v>41.562033765089836</v>
      </c>
      <c r="X107" s="16">
        <f t="shared" si="43"/>
        <v>41.499432216230936</v>
      </c>
      <c r="Y107" s="17">
        <f t="shared" si="35"/>
        <v>5.3653228088710861E-3</v>
      </c>
      <c r="Z107" s="17">
        <f t="shared" si="35"/>
        <v>-5.3028222313895412E-4</v>
      </c>
      <c r="AA107" s="17">
        <f t="shared" si="35"/>
        <v>9.7707284151073441E-4</v>
      </c>
      <c r="AC107" s="18">
        <f t="shared" si="36"/>
        <v>1.8256508950251426E-3</v>
      </c>
      <c r="AD107" s="18">
        <f t="shared" si="36"/>
        <v>2.1689368666622786E-3</v>
      </c>
      <c r="AE107" s="18"/>
      <c r="AF107" s="18"/>
      <c r="AH107">
        <f t="shared" si="44"/>
        <v>0</v>
      </c>
      <c r="AI107">
        <f t="shared" si="45"/>
        <v>1</v>
      </c>
      <c r="AJ107">
        <f t="shared" si="46"/>
        <v>0</v>
      </c>
      <c r="AK107">
        <f t="shared" si="40"/>
        <v>0</v>
      </c>
      <c r="AL107" s="18">
        <f t="shared" si="47"/>
        <v>0</v>
      </c>
      <c r="AM107" s="18">
        <f t="shared" si="48"/>
        <v>0</v>
      </c>
      <c r="AN107" s="18">
        <f t="shared" si="49"/>
        <v>0</v>
      </c>
      <c r="AO107" s="19">
        <f t="shared" si="50"/>
        <v>1.5887475302798302E-2</v>
      </c>
      <c r="AQ107" s="18"/>
      <c r="AS107">
        <f t="shared" si="51"/>
        <v>0</v>
      </c>
      <c r="AT107">
        <f t="shared" si="52"/>
        <v>0</v>
      </c>
      <c r="AU107">
        <f t="shared" si="53"/>
        <v>1</v>
      </c>
      <c r="AV107">
        <f t="shared" si="54"/>
        <v>1</v>
      </c>
      <c r="AW107" s="18">
        <f t="shared" si="55"/>
        <v>1.8256508950251426E-3</v>
      </c>
      <c r="AX107" s="18">
        <f t="shared" si="56"/>
        <v>-2.1689368666622786E-3</v>
      </c>
      <c r="AY107" s="18">
        <f t="shared" si="57"/>
        <v>-3.4328597163713601E-4</v>
      </c>
      <c r="AZ107" s="19">
        <f t="shared" si="58"/>
        <v>1.2307500467883202E-2</v>
      </c>
      <c r="BB107" s="19">
        <f t="shared" si="59"/>
        <v>-3.4328597163713601E-4</v>
      </c>
      <c r="BC107" s="19">
        <f t="shared" si="60"/>
        <v>2.8194975770681502E-2</v>
      </c>
    </row>
    <row r="108" spans="1:55" x14ac:dyDescent="0.3">
      <c r="A108" s="1">
        <v>46178</v>
      </c>
      <c r="B108" s="10">
        <v>21.74</v>
      </c>
      <c r="C108" s="10">
        <v>41.17</v>
      </c>
      <c r="D108" s="11">
        <v>1.8937442502299899</v>
      </c>
      <c r="E108" s="11">
        <v>1.8778822651217899</v>
      </c>
      <c r="F108" s="11">
        <v>1.89372207758157</v>
      </c>
      <c r="G108" s="11">
        <v>1.8897357573781099</v>
      </c>
      <c r="H108" s="10">
        <v>40.825160443747798</v>
      </c>
      <c r="I108" s="10">
        <v>41.157751330342698</v>
      </c>
      <c r="J108" s="10">
        <v>41.073625647784802</v>
      </c>
      <c r="K108" s="12">
        <v>8.4112668963185894E-3</v>
      </c>
      <c r="L108" s="12">
        <v>2.9755871014835197E-4</v>
      </c>
      <c r="M108" s="12">
        <v>2.3436319974548198E-3</v>
      </c>
      <c r="N108" s="26">
        <v>0.215</v>
      </c>
      <c r="O108" s="13">
        <v>0</v>
      </c>
      <c r="P108" s="23">
        <f t="shared" si="41"/>
        <v>21.954999999999998</v>
      </c>
      <c r="Q108" s="23">
        <f t="shared" si="42"/>
        <v>41.17</v>
      </c>
      <c r="R108" s="14">
        <f t="shared" si="32"/>
        <v>1.8751992712366206</v>
      </c>
      <c r="S108" s="14">
        <f t="shared" si="33"/>
        <v>1.8657810486417497</v>
      </c>
      <c r="T108" s="14">
        <f t="shared" si="37"/>
        <v>1.8772825885164568</v>
      </c>
      <c r="U108" s="14">
        <f t="shared" si="39"/>
        <v>1.8742959253777933</v>
      </c>
      <c r="V108" s="16">
        <f t="shared" si="34"/>
        <v>40.96322292292961</v>
      </c>
      <c r="W108" s="16">
        <f t="shared" si="38"/>
        <v>41.212695133185441</v>
      </c>
      <c r="X108" s="16">
        <f t="shared" si="43"/>
        <v>41.145553385085819</v>
      </c>
      <c r="Y108" s="17">
        <f t="shared" si="35"/>
        <v>5.0351735041989226E-3</v>
      </c>
      <c r="Z108" s="17">
        <f t="shared" si="35"/>
        <v>-1.0365074106611608E-3</v>
      </c>
      <c r="AA108" s="17">
        <f t="shared" si="35"/>
        <v>5.9397318313723143E-4</v>
      </c>
      <c r="AC108" s="18">
        <f t="shared" si="36"/>
        <v>-8.7016807367334848E-3</v>
      </c>
      <c r="AD108" s="18">
        <f t="shared" si="36"/>
        <v>-8.9469826661528126E-3</v>
      </c>
      <c r="AE108" s="18"/>
      <c r="AF108" s="18"/>
      <c r="AH108">
        <f t="shared" si="44"/>
        <v>0</v>
      </c>
      <c r="AI108">
        <f t="shared" si="45"/>
        <v>1</v>
      </c>
      <c r="AJ108">
        <f t="shared" si="46"/>
        <v>0</v>
      </c>
      <c r="AK108">
        <f t="shared" si="40"/>
        <v>0</v>
      </c>
      <c r="AL108" s="18">
        <f t="shared" si="47"/>
        <v>0</v>
      </c>
      <c r="AM108" s="18">
        <f t="shared" si="48"/>
        <v>0</v>
      </c>
      <c r="AN108" s="18">
        <f t="shared" si="49"/>
        <v>0</v>
      </c>
      <c r="AO108" s="19">
        <f t="shared" si="50"/>
        <v>1.5887475302798302E-2</v>
      </c>
      <c r="AQ108" s="18"/>
      <c r="AS108">
        <f t="shared" si="51"/>
        <v>0</v>
      </c>
      <c r="AT108">
        <f t="shared" si="52"/>
        <v>0</v>
      </c>
      <c r="AU108">
        <f t="shared" si="53"/>
        <v>1</v>
      </c>
      <c r="AV108">
        <f t="shared" si="54"/>
        <v>1</v>
      </c>
      <c r="AW108" s="18">
        <f t="shared" si="55"/>
        <v>-8.7016807367334848E-3</v>
      </c>
      <c r="AX108" s="18">
        <f t="shared" si="56"/>
        <v>8.9469826661528126E-3</v>
      </c>
      <c r="AY108" s="18">
        <f t="shared" si="57"/>
        <v>2.4530192941932781E-4</v>
      </c>
      <c r="AZ108" s="19">
        <f t="shared" si="58"/>
        <v>1.2552802397302529E-2</v>
      </c>
      <c r="BB108" s="19">
        <f t="shared" si="59"/>
        <v>2.4530192941932781E-4</v>
      </c>
      <c r="BC108" s="19">
        <f t="shared" si="60"/>
        <v>2.8440277700100831E-2</v>
      </c>
    </row>
    <row r="109" spans="1:55" x14ac:dyDescent="0.3">
      <c r="A109" s="1">
        <v>46181</v>
      </c>
      <c r="B109" s="10">
        <v>21.7</v>
      </c>
      <c r="C109" s="10">
        <v>41.08</v>
      </c>
      <c r="D109" s="11">
        <v>1.8930875576036801</v>
      </c>
      <c r="E109" s="11">
        <v>1.8778822651217899</v>
      </c>
      <c r="F109" s="11">
        <v>1.89411154469625</v>
      </c>
      <c r="G109" s="11">
        <v>1.88999531614262</v>
      </c>
      <c r="H109" s="10">
        <v>40.750045153142899</v>
      </c>
      <c r="I109" s="10">
        <v>41.093769083520201</v>
      </c>
      <c r="J109" s="10">
        <v>41.007265935105103</v>
      </c>
      <c r="K109" s="12">
        <v>8.0644373215121006E-3</v>
      </c>
      <c r="L109" s="12">
        <v>-3.3512114151928199E-4</v>
      </c>
      <c r="M109" s="12">
        <v>1.7721161278988699E-3</v>
      </c>
      <c r="N109" s="26">
        <v>0.215</v>
      </c>
      <c r="O109" s="13">
        <v>0</v>
      </c>
      <c r="P109" s="23">
        <f t="shared" si="41"/>
        <v>21.914999999999999</v>
      </c>
      <c r="Q109" s="23">
        <f t="shared" si="42"/>
        <v>41.08</v>
      </c>
      <c r="R109" s="14">
        <f t="shared" si="32"/>
        <v>1.8745151722564453</v>
      </c>
      <c r="S109" s="14">
        <f t="shared" si="33"/>
        <v>1.8657810486417497</v>
      </c>
      <c r="T109" s="14">
        <f t="shared" si="37"/>
        <v>1.8772680423936847</v>
      </c>
      <c r="U109" s="14">
        <f t="shared" si="39"/>
        <v>1.8743381733523177</v>
      </c>
      <c r="V109" s="16">
        <f t="shared" si="34"/>
        <v>40.888591680983943</v>
      </c>
      <c r="W109" s="16">
        <f t="shared" si="38"/>
        <v>41.140647927338151</v>
      </c>
      <c r="X109" s="16">
        <f t="shared" si="43"/>
        <v>41.075195204654342</v>
      </c>
      <c r="Y109" s="17">
        <f t="shared" si="35"/>
        <v>4.6702929256510657E-3</v>
      </c>
      <c r="Z109" s="17">
        <f t="shared" si="35"/>
        <v>-1.4752483680509913E-3</v>
      </c>
      <c r="AA109" s="17">
        <f t="shared" si="35"/>
        <v>1.1696875259477666E-4</v>
      </c>
      <c r="AC109" s="18">
        <f t="shared" si="36"/>
        <v>-1.841621146649472E-3</v>
      </c>
      <c r="AD109" s="18">
        <f t="shared" si="36"/>
        <v>-2.1884507214558718E-3</v>
      </c>
      <c r="AE109" s="18"/>
      <c r="AF109" s="18"/>
      <c r="AH109">
        <f t="shared" si="44"/>
        <v>0</v>
      </c>
      <c r="AI109">
        <f t="shared" si="45"/>
        <v>1</v>
      </c>
      <c r="AJ109">
        <f t="shared" si="46"/>
        <v>0</v>
      </c>
      <c r="AK109">
        <f t="shared" si="40"/>
        <v>0</v>
      </c>
      <c r="AL109" s="18">
        <f t="shared" si="47"/>
        <v>0</v>
      </c>
      <c r="AM109" s="18">
        <f t="shared" si="48"/>
        <v>0</v>
      </c>
      <c r="AN109" s="18">
        <f t="shared" si="49"/>
        <v>0</v>
      </c>
      <c r="AO109" s="19">
        <f t="shared" si="50"/>
        <v>1.5887475302798302E-2</v>
      </c>
      <c r="AQ109" s="18"/>
      <c r="AS109">
        <f t="shared" si="51"/>
        <v>0</v>
      </c>
      <c r="AT109">
        <f t="shared" si="52"/>
        <v>0</v>
      </c>
      <c r="AU109">
        <f t="shared" si="53"/>
        <v>1</v>
      </c>
      <c r="AV109">
        <f t="shared" si="54"/>
        <v>1</v>
      </c>
      <c r="AW109" s="18">
        <f t="shared" si="55"/>
        <v>-1.841621146649472E-3</v>
      </c>
      <c r="AX109" s="18">
        <f t="shared" si="56"/>
        <v>2.1884507214558718E-3</v>
      </c>
      <c r="AY109" s="18">
        <f t="shared" si="57"/>
        <v>3.4682957480639985E-4</v>
      </c>
      <c r="AZ109" s="19">
        <f t="shared" si="58"/>
        <v>1.289963197210893E-2</v>
      </c>
      <c r="BB109" s="19">
        <f t="shared" si="59"/>
        <v>3.4682957480639985E-4</v>
      </c>
      <c r="BC109" s="19">
        <f t="shared" si="60"/>
        <v>2.8787107274907232E-2</v>
      </c>
    </row>
    <row r="110" spans="1:55" x14ac:dyDescent="0.3">
      <c r="A110" s="1">
        <v>46182</v>
      </c>
      <c r="B110" s="10">
        <v>21.78</v>
      </c>
      <c r="C110" s="10">
        <v>41.15</v>
      </c>
      <c r="D110" s="11">
        <v>1.8893480257116599</v>
      </c>
      <c r="E110" s="11">
        <v>1.8778822651217899</v>
      </c>
      <c r="F110" s="11">
        <v>1.8939356394634199</v>
      </c>
      <c r="G110" s="11">
        <v>1.8900930449293201</v>
      </c>
      <c r="H110" s="10">
        <v>40.900275734352597</v>
      </c>
      <c r="I110" s="10">
        <v>41.253749443484402</v>
      </c>
      <c r="J110" s="10">
        <v>41.164097985586302</v>
      </c>
      <c r="K110" s="12">
        <v>6.0871224258327297E-3</v>
      </c>
      <c r="L110" s="12">
        <v>-2.5180771264797898E-3</v>
      </c>
      <c r="M110" s="12">
        <v>-3.4254121879985402E-4</v>
      </c>
      <c r="N110" s="26">
        <v>0.215</v>
      </c>
      <c r="O110" s="13">
        <v>0</v>
      </c>
      <c r="P110" s="23">
        <f t="shared" si="41"/>
        <v>21.995000000000001</v>
      </c>
      <c r="Q110" s="23">
        <f t="shared" si="42"/>
        <v>41.15</v>
      </c>
      <c r="R110" s="14">
        <f t="shared" si="32"/>
        <v>1.870879745396681</v>
      </c>
      <c r="S110" s="14">
        <f t="shared" si="33"/>
        <v>1.8657810486417497</v>
      </c>
      <c r="T110" s="14">
        <f t="shared" si="37"/>
        <v>1.8766928021652305</v>
      </c>
      <c r="U110" s="14">
        <f t="shared" si="39"/>
        <v>1.8742267732668534</v>
      </c>
      <c r="V110" s="16">
        <f t="shared" si="34"/>
        <v>41.037854164875284</v>
      </c>
      <c r="W110" s="16">
        <f t="shared" si="38"/>
        <v>41.290510592449095</v>
      </c>
      <c r="X110" s="16">
        <f t="shared" si="43"/>
        <v>41.226068122884229</v>
      </c>
      <c r="Y110" s="17">
        <f t="shared" si="35"/>
        <v>2.7290140584618617E-3</v>
      </c>
      <c r="Z110" s="17">
        <f t="shared" si="35"/>
        <v>-3.4087787059476253E-3</v>
      </c>
      <c r="AA110" s="17">
        <f t="shared" si="35"/>
        <v>-1.8468505778209906E-3</v>
      </c>
      <c r="AC110" s="18">
        <f t="shared" si="36"/>
        <v>3.679856958400618E-3</v>
      </c>
      <c r="AD110" s="18">
        <f t="shared" si="36"/>
        <v>1.7025420627212612E-3</v>
      </c>
      <c r="AE110" s="18"/>
      <c r="AF110" s="18"/>
      <c r="AH110">
        <f t="shared" si="44"/>
        <v>1</v>
      </c>
      <c r="AI110">
        <f t="shared" si="45"/>
        <v>0</v>
      </c>
      <c r="AJ110">
        <f t="shared" si="46"/>
        <v>0</v>
      </c>
      <c r="AK110">
        <f t="shared" si="40"/>
        <v>0</v>
      </c>
      <c r="AL110" s="18">
        <f t="shared" si="47"/>
        <v>0</v>
      </c>
      <c r="AM110" s="18">
        <f t="shared" si="48"/>
        <v>0</v>
      </c>
      <c r="AN110" s="18">
        <f t="shared" si="49"/>
        <v>0</v>
      </c>
      <c r="AO110" s="19">
        <f t="shared" si="50"/>
        <v>1.5887475302798302E-2</v>
      </c>
      <c r="AQ110" s="18"/>
      <c r="AS110">
        <f t="shared" si="51"/>
        <v>0</v>
      </c>
      <c r="AT110">
        <f t="shared" si="52"/>
        <v>1</v>
      </c>
      <c r="AU110">
        <f t="shared" si="53"/>
        <v>1</v>
      </c>
      <c r="AV110">
        <f t="shared" si="54"/>
        <v>1</v>
      </c>
      <c r="AW110" s="18">
        <f t="shared" si="55"/>
        <v>3.679856958400618E-3</v>
      </c>
      <c r="AX110" s="18">
        <f t="shared" si="56"/>
        <v>-1.7025420627212612E-3</v>
      </c>
      <c r="AY110" s="18">
        <f t="shared" si="57"/>
        <v>1.9773148956793571E-3</v>
      </c>
      <c r="AZ110" s="19">
        <f t="shared" si="58"/>
        <v>1.4876946867788288E-2</v>
      </c>
      <c r="BB110" s="19">
        <f t="shared" si="59"/>
        <v>1.9773148956793571E-3</v>
      </c>
      <c r="BC110" s="19">
        <f t="shared" si="60"/>
        <v>3.076442217058659E-2</v>
      </c>
    </row>
    <row r="111" spans="1:55" x14ac:dyDescent="0.3">
      <c r="A111" s="1">
        <v>46183</v>
      </c>
      <c r="B111" s="10">
        <v>21.72</v>
      </c>
      <c r="C111" s="10">
        <v>41.08</v>
      </c>
      <c r="D111" s="11">
        <v>1.89134438305709</v>
      </c>
      <c r="E111" s="11">
        <v>1.8778822651217899</v>
      </c>
      <c r="F111" s="11">
        <v>1.89395936996514</v>
      </c>
      <c r="G111" s="11">
        <v>1.8904642387885899</v>
      </c>
      <c r="H111" s="10">
        <v>40.787602798445299</v>
      </c>
      <c r="I111" s="10">
        <v>41.136282089145602</v>
      </c>
      <c r="J111" s="10">
        <v>41.052820935865</v>
      </c>
      <c r="K111" s="12">
        <v>7.1432028021913103E-3</v>
      </c>
      <c r="L111" s="12">
        <v>-1.36912291597869E-3</v>
      </c>
      <c r="M111" s="12">
        <v>6.6183201349690498E-4</v>
      </c>
      <c r="N111" s="26">
        <v>0.215</v>
      </c>
      <c r="O111" s="13">
        <v>0</v>
      </c>
      <c r="P111" s="23">
        <f t="shared" si="41"/>
        <v>21.934999999999999</v>
      </c>
      <c r="Q111" s="23">
        <f t="shared" si="42"/>
        <v>41.08</v>
      </c>
      <c r="R111" s="14">
        <f t="shared" si="32"/>
        <v>1.872806017779804</v>
      </c>
      <c r="S111" s="14">
        <f t="shared" si="33"/>
        <v>1.8657810486417497</v>
      </c>
      <c r="T111" s="14">
        <f t="shared" si="37"/>
        <v>1.8763101891750886</v>
      </c>
      <c r="U111" s="14">
        <f t="shared" si="39"/>
        <v>1.8743888132862785</v>
      </c>
      <c r="V111" s="16">
        <f t="shared" si="34"/>
        <v>40.925907301956777</v>
      </c>
      <c r="W111" s="16">
        <f t="shared" si="38"/>
        <v>41.165256615494329</v>
      </c>
      <c r="X111" s="16">
        <f t="shared" si="43"/>
        <v>41.111164271608423</v>
      </c>
      <c r="Y111" s="17">
        <f t="shared" si="35"/>
        <v>3.7580921782463623E-3</v>
      </c>
      <c r="Z111" s="17">
        <f t="shared" si="35"/>
        <v>-2.0732294977443663E-3</v>
      </c>
      <c r="AA111" s="17">
        <f t="shared" si="35"/>
        <v>-7.5833633403515877E-4</v>
      </c>
      <c r="AC111" s="18">
        <f t="shared" si="36"/>
        <v>-2.7586224390798624E-3</v>
      </c>
      <c r="AD111" s="18">
        <f t="shared" si="36"/>
        <v>-1.7025420627213349E-3</v>
      </c>
      <c r="AE111" s="18"/>
      <c r="AF111" s="18"/>
      <c r="AH111">
        <f t="shared" si="44"/>
        <v>0</v>
      </c>
      <c r="AI111">
        <f t="shared" si="45"/>
        <v>0</v>
      </c>
      <c r="AJ111">
        <f t="shared" si="46"/>
        <v>1</v>
      </c>
      <c r="AK111">
        <f t="shared" si="40"/>
        <v>1</v>
      </c>
      <c r="AL111" s="18">
        <f t="shared" si="47"/>
        <v>2.7586224390798624E-3</v>
      </c>
      <c r="AM111" s="18">
        <f t="shared" si="48"/>
        <v>-1.7025420627213349E-3</v>
      </c>
      <c r="AN111" s="18">
        <f t="shared" si="49"/>
        <v>1.0560803763585275E-3</v>
      </c>
      <c r="AO111" s="19">
        <f t="shared" si="50"/>
        <v>1.6943555679156831E-2</v>
      </c>
      <c r="AQ111" s="18"/>
      <c r="AS111">
        <f t="shared" si="51"/>
        <v>0</v>
      </c>
      <c r="AT111">
        <f t="shared" si="52"/>
        <v>1</v>
      </c>
      <c r="AU111">
        <f t="shared" si="53"/>
        <v>1</v>
      </c>
      <c r="AV111">
        <f t="shared" si="54"/>
        <v>0</v>
      </c>
      <c r="AW111" s="18">
        <f t="shared" si="55"/>
        <v>0</v>
      </c>
      <c r="AX111" s="18">
        <f t="shared" si="56"/>
        <v>0</v>
      </c>
      <c r="AY111" s="18">
        <f t="shared" si="57"/>
        <v>0</v>
      </c>
      <c r="AZ111" s="19">
        <f t="shared" si="58"/>
        <v>1.4876946867788288E-2</v>
      </c>
      <c r="BB111" s="19">
        <f t="shared" si="59"/>
        <v>1.0560803763585275E-3</v>
      </c>
      <c r="BC111" s="19">
        <f t="shared" si="60"/>
        <v>3.1820502546945115E-2</v>
      </c>
    </row>
    <row r="112" spans="1:55" x14ac:dyDescent="0.3">
      <c r="A112" s="1">
        <v>46184</v>
      </c>
      <c r="B112" s="10">
        <v>21.94</v>
      </c>
      <c r="C112" s="10">
        <v>41.5</v>
      </c>
      <c r="D112" s="11">
        <v>1.89152233363719</v>
      </c>
      <c r="E112" s="11">
        <v>1.8778822651217899</v>
      </c>
      <c r="F112" s="11">
        <v>1.8934689077160201</v>
      </c>
      <c r="G112" s="11">
        <v>1.89064867749668</v>
      </c>
      <c r="H112" s="10">
        <v>41.200736896772099</v>
      </c>
      <c r="I112" s="10">
        <v>41.553468577035297</v>
      </c>
      <c r="J112" s="10">
        <v>41.4767853990218</v>
      </c>
      <c r="K112" s="12">
        <v>7.2372851971368897E-3</v>
      </c>
      <c r="L112" s="12">
        <v>-1.28757017228138E-3</v>
      </c>
      <c r="M112" s="12">
        <v>5.5954449120304095E-4</v>
      </c>
      <c r="N112" s="26">
        <v>0.215</v>
      </c>
      <c r="O112" s="13">
        <v>0</v>
      </c>
      <c r="P112" s="23">
        <f t="shared" si="41"/>
        <v>22.155000000000001</v>
      </c>
      <c r="Q112" s="23">
        <f t="shared" si="42"/>
        <v>41.5</v>
      </c>
      <c r="R112" s="14">
        <f t="shared" si="32"/>
        <v>1.8731663281426314</v>
      </c>
      <c r="S112" s="14">
        <f t="shared" si="33"/>
        <v>1.8657810486417497</v>
      </c>
      <c r="T112" s="14">
        <f t="shared" si="37"/>
        <v>1.8754311307864793</v>
      </c>
      <c r="U112" s="14">
        <f t="shared" si="39"/>
        <v>1.8743756754743797</v>
      </c>
      <c r="V112" s="16">
        <f t="shared" si="34"/>
        <v>41.336379132657967</v>
      </c>
      <c r="W112" s="16">
        <f t="shared" si="38"/>
        <v>41.56965224117409</v>
      </c>
      <c r="X112" s="16">
        <f t="shared" si="43"/>
        <v>41.527084158357503</v>
      </c>
      <c r="Y112" s="17">
        <f t="shared" si="35"/>
        <v>3.9504643212659313E-3</v>
      </c>
      <c r="Z112" s="17">
        <f t="shared" si="35"/>
        <v>-1.6769603728411266E-3</v>
      </c>
      <c r="AA112" s="17">
        <f t="shared" si="35"/>
        <v>-6.5241745131123542E-4</v>
      </c>
      <c r="AC112" s="18">
        <f t="shared" si="36"/>
        <v>1.0077959781349637E-2</v>
      </c>
      <c r="AD112" s="18">
        <f t="shared" si="36"/>
        <v>1.017204217629512E-2</v>
      </c>
      <c r="AE112" s="18"/>
      <c r="AF112" s="18"/>
      <c r="AH112">
        <f t="shared" si="44"/>
        <v>0</v>
      </c>
      <c r="AI112">
        <f t="shared" si="45"/>
        <v>0</v>
      </c>
      <c r="AJ112">
        <f t="shared" si="46"/>
        <v>1</v>
      </c>
      <c r="AK112">
        <f t="shared" si="40"/>
        <v>1</v>
      </c>
      <c r="AL112" s="18">
        <f t="shared" si="47"/>
        <v>-1.0077959781349637E-2</v>
      </c>
      <c r="AM112" s="18">
        <f t="shared" si="48"/>
        <v>1.017204217629512E-2</v>
      </c>
      <c r="AN112" s="18">
        <f t="shared" si="49"/>
        <v>9.4082394945483108E-5</v>
      </c>
      <c r="AO112" s="19">
        <f t="shared" si="50"/>
        <v>1.7037638074102315E-2</v>
      </c>
      <c r="AQ112" s="18"/>
      <c r="AS112">
        <f t="shared" si="51"/>
        <v>0</v>
      </c>
      <c r="AT112">
        <f t="shared" si="52"/>
        <v>1</v>
      </c>
      <c r="AU112">
        <f t="shared" si="53"/>
        <v>0</v>
      </c>
      <c r="AV112">
        <f t="shared" si="54"/>
        <v>0</v>
      </c>
      <c r="AW112" s="18">
        <f t="shared" si="55"/>
        <v>0</v>
      </c>
      <c r="AX112" s="18">
        <f t="shared" si="56"/>
        <v>0</v>
      </c>
      <c r="AY112" s="18">
        <f t="shared" si="57"/>
        <v>0</v>
      </c>
      <c r="AZ112" s="19">
        <f t="shared" si="58"/>
        <v>1.4876946867788288E-2</v>
      </c>
      <c r="BB112" s="19">
        <f t="shared" si="59"/>
        <v>9.4082394945483108E-5</v>
      </c>
      <c r="BC112" s="19">
        <f t="shared" si="60"/>
        <v>3.1914584941890596E-2</v>
      </c>
    </row>
    <row r="113" spans="1:55" x14ac:dyDescent="0.3">
      <c r="A113" s="1">
        <v>46185</v>
      </c>
      <c r="B113" s="10">
        <v>21.94</v>
      </c>
      <c r="C113" s="10">
        <v>41.49</v>
      </c>
      <c r="D113" s="11">
        <v>1.8910665451230599</v>
      </c>
      <c r="E113" s="11">
        <v>1.8778822651217899</v>
      </c>
      <c r="F113" s="11">
        <v>1.8932205780154201</v>
      </c>
      <c r="G113" s="11">
        <v>1.8910523448888901</v>
      </c>
      <c r="H113" s="10">
        <v>41.200736896772099</v>
      </c>
      <c r="I113" s="10">
        <v>41.542707835289399</v>
      </c>
      <c r="J113" s="10">
        <v>41.480831984277302</v>
      </c>
      <c r="K113" s="12">
        <v>6.9962923052608404E-3</v>
      </c>
      <c r="L113" s="12">
        <v>-1.26956819169607E-3</v>
      </c>
      <c r="M113" s="12">
        <v>2.2099370443119E-4</v>
      </c>
      <c r="N113" s="26">
        <v>0.215</v>
      </c>
      <c r="O113" s="13">
        <v>0</v>
      </c>
      <c r="P113" s="23">
        <f t="shared" si="41"/>
        <v>22.155000000000001</v>
      </c>
      <c r="Q113" s="23">
        <f t="shared" si="42"/>
        <v>41.49</v>
      </c>
      <c r="R113" s="14">
        <f t="shared" si="32"/>
        <v>1.8727149627623561</v>
      </c>
      <c r="S113" s="14">
        <f t="shared" si="33"/>
        <v>1.8657810486417497</v>
      </c>
      <c r="T113" s="14">
        <f t="shared" si="37"/>
        <v>1.8747885715568955</v>
      </c>
      <c r="U113" s="14">
        <f t="shared" si="39"/>
        <v>1.8745820806782039</v>
      </c>
      <c r="V113" s="16">
        <f t="shared" si="34"/>
        <v>41.336379132657967</v>
      </c>
      <c r="W113" s="16">
        <f t="shared" si="38"/>
        <v>41.550176702574447</v>
      </c>
      <c r="X113" s="16">
        <f t="shared" si="43"/>
        <v>41.526793090134881</v>
      </c>
      <c r="Y113" s="17">
        <f t="shared" si="35"/>
        <v>3.7094714293899869E-3</v>
      </c>
      <c r="Z113" s="17">
        <f t="shared" si="35"/>
        <v>-1.44933971717907E-3</v>
      </c>
      <c r="AA113" s="17">
        <f t="shared" si="35"/>
        <v>-8.8640120087460632E-4</v>
      </c>
      <c r="AC113" s="18">
        <f t="shared" si="36"/>
        <v>0</v>
      </c>
      <c r="AD113" s="18">
        <f t="shared" si="36"/>
        <v>-2.4099289187599953E-4</v>
      </c>
      <c r="AE113" s="18"/>
      <c r="AF113" s="18"/>
      <c r="AH113">
        <f t="shared" si="44"/>
        <v>0</v>
      </c>
      <c r="AI113">
        <f t="shared" si="45"/>
        <v>0</v>
      </c>
      <c r="AJ113">
        <f t="shared" si="46"/>
        <v>1</v>
      </c>
      <c r="AK113">
        <f t="shared" si="40"/>
        <v>1</v>
      </c>
      <c r="AL113" s="18">
        <f t="shared" si="47"/>
        <v>0</v>
      </c>
      <c r="AM113" s="18">
        <f t="shared" si="48"/>
        <v>-2.4099289187599953E-4</v>
      </c>
      <c r="AN113" s="18">
        <f t="shared" si="49"/>
        <v>-2.4099289187599953E-4</v>
      </c>
      <c r="AO113" s="19">
        <f t="shared" si="50"/>
        <v>1.6796645182226316E-2</v>
      </c>
      <c r="AQ113" s="18"/>
      <c r="AS113">
        <f t="shared" si="51"/>
        <v>0</v>
      </c>
      <c r="AT113">
        <f t="shared" si="52"/>
        <v>1</v>
      </c>
      <c r="AU113">
        <f t="shared" si="53"/>
        <v>0</v>
      </c>
      <c r="AV113">
        <f t="shared" si="54"/>
        <v>0</v>
      </c>
      <c r="AW113" s="18">
        <f t="shared" si="55"/>
        <v>0</v>
      </c>
      <c r="AX113" s="18">
        <f t="shared" si="56"/>
        <v>0</v>
      </c>
      <c r="AY113" s="18">
        <f t="shared" si="57"/>
        <v>0</v>
      </c>
      <c r="AZ113" s="19">
        <f t="shared" si="58"/>
        <v>1.4876946867788288E-2</v>
      </c>
      <c r="BB113" s="19">
        <f t="shared" si="59"/>
        <v>-2.4099289187599953E-4</v>
      </c>
      <c r="BC113" s="19">
        <f t="shared" si="60"/>
        <v>3.1673592050014597E-2</v>
      </c>
    </row>
    <row r="114" spans="1:55" x14ac:dyDescent="0.3">
      <c r="A114" s="1">
        <v>46188</v>
      </c>
      <c r="B114" s="10">
        <v>22</v>
      </c>
      <c r="C114" s="10">
        <v>41.58</v>
      </c>
      <c r="D114" s="11">
        <v>1.89</v>
      </c>
      <c r="E114" s="11">
        <v>1.8778822651217899</v>
      </c>
      <c r="F114" s="11">
        <v>1.8926154940390301</v>
      </c>
      <c r="G114" s="11">
        <v>1.8915358386990699</v>
      </c>
      <c r="H114" s="10">
        <v>41.313409832679397</v>
      </c>
      <c r="I114" s="10">
        <v>41.650852716339301</v>
      </c>
      <c r="J114" s="10">
        <v>41.603151587555701</v>
      </c>
      <c r="K114" s="12">
        <v>6.4321418791194098E-3</v>
      </c>
      <c r="L114" s="12">
        <v>-1.70255935490554E-3</v>
      </c>
      <c r="M114" s="12">
        <v>-5.56641284001689E-4</v>
      </c>
      <c r="N114" s="26">
        <v>0.215</v>
      </c>
      <c r="O114" s="13">
        <v>0</v>
      </c>
      <c r="P114" s="23">
        <f t="shared" si="41"/>
        <v>22.215</v>
      </c>
      <c r="Q114" s="23">
        <f t="shared" si="42"/>
        <v>41.58</v>
      </c>
      <c r="R114" s="14">
        <f t="shared" si="32"/>
        <v>1.8717083051991896</v>
      </c>
      <c r="S114" s="14">
        <f t="shared" si="33"/>
        <v>1.8657810486417497</v>
      </c>
      <c r="T114" s="14">
        <f t="shared" si="37"/>
        <v>1.8741868689232966</v>
      </c>
      <c r="U114" s="14">
        <f t="shared" si="39"/>
        <v>1.87487814198002</v>
      </c>
      <c r="V114" s="16">
        <f t="shared" si="34"/>
        <v>41.448325995576468</v>
      </c>
      <c r="W114" s="16">
        <f t="shared" si="38"/>
        <v>41.648428117136433</v>
      </c>
      <c r="X114" s="16">
        <f t="shared" si="43"/>
        <v>41.6438409222663</v>
      </c>
      <c r="Y114" s="17">
        <f t="shared" si="35"/>
        <v>3.1717877780611898E-3</v>
      </c>
      <c r="Z114" s="17">
        <f t="shared" si="35"/>
        <v>-1.6443451859629128E-3</v>
      </c>
      <c r="AA114" s="17">
        <f t="shared" si="35"/>
        <v>-1.5341982316855361E-3</v>
      </c>
      <c r="AC114" s="18">
        <f t="shared" si="36"/>
        <v>2.7309985112315125E-3</v>
      </c>
      <c r="AD114" s="18">
        <f t="shared" si="36"/>
        <v>2.1668480850902932E-3</v>
      </c>
      <c r="AE114" s="18"/>
      <c r="AF114" s="18"/>
      <c r="AH114">
        <f t="shared" si="44"/>
        <v>1</v>
      </c>
      <c r="AI114">
        <f t="shared" si="45"/>
        <v>0</v>
      </c>
      <c r="AJ114">
        <f t="shared" si="46"/>
        <v>1</v>
      </c>
      <c r="AK114">
        <f t="shared" si="40"/>
        <v>1</v>
      </c>
      <c r="AL114" s="18">
        <f t="shared" si="47"/>
        <v>-2.7309985112315125E-3</v>
      </c>
      <c r="AM114" s="18">
        <f t="shared" si="48"/>
        <v>2.1668480850902932E-3</v>
      </c>
      <c r="AN114" s="18">
        <f t="shared" si="49"/>
        <v>-5.6415042614121934E-4</v>
      </c>
      <c r="AO114" s="19">
        <f t="shared" si="50"/>
        <v>1.6232494756085097E-2</v>
      </c>
      <c r="AQ114" s="18"/>
      <c r="AS114">
        <f t="shared" si="51"/>
        <v>0</v>
      </c>
      <c r="AT114">
        <f t="shared" si="52"/>
        <v>1</v>
      </c>
      <c r="AU114">
        <f t="shared" si="53"/>
        <v>0</v>
      </c>
      <c r="AV114">
        <f t="shared" si="54"/>
        <v>0</v>
      </c>
      <c r="AW114" s="18">
        <f t="shared" si="55"/>
        <v>0</v>
      </c>
      <c r="AX114" s="18">
        <f t="shared" si="56"/>
        <v>0</v>
      </c>
      <c r="AY114" s="18">
        <f t="shared" si="57"/>
        <v>0</v>
      </c>
      <c r="AZ114" s="19">
        <f t="shared" si="58"/>
        <v>1.4876946867788288E-2</v>
      </c>
      <c r="BB114" s="19">
        <f t="shared" si="59"/>
        <v>-5.6415042614121934E-4</v>
      </c>
      <c r="BC114" s="19">
        <f t="shared" si="60"/>
        <v>3.1109441623873378E-2</v>
      </c>
    </row>
    <row r="115" spans="1:55" x14ac:dyDescent="0.3">
      <c r="A115" s="1">
        <v>46189</v>
      </c>
      <c r="B115" s="10">
        <v>22.06</v>
      </c>
      <c r="C115" s="10">
        <v>41.72</v>
      </c>
      <c r="D115" s="11">
        <v>1.8912058023572</v>
      </c>
      <c r="E115" s="11">
        <v>1.8778822651217899</v>
      </c>
      <c r="F115" s="11">
        <v>1.8919086446653</v>
      </c>
      <c r="G115" s="11">
        <v>1.8918723845246901</v>
      </c>
      <c r="H115" s="10">
        <v>41.426082768586703</v>
      </c>
      <c r="I115" s="10">
        <v>41.751097798501</v>
      </c>
      <c r="J115" s="10">
        <v>41.727280601701501</v>
      </c>
      <c r="K115" s="12">
        <v>7.0699291147838603E-3</v>
      </c>
      <c r="L115" s="12">
        <v>-7.4511539347076104E-4</v>
      </c>
      <c r="M115" s="12">
        <v>-1.7449584138801101E-4</v>
      </c>
      <c r="N115" s="26">
        <v>0.215</v>
      </c>
      <c r="O115" s="13">
        <v>0</v>
      </c>
      <c r="P115" s="23">
        <f t="shared" si="41"/>
        <v>22.274999999999999</v>
      </c>
      <c r="Q115" s="23">
        <f t="shared" si="42"/>
        <v>41.72</v>
      </c>
      <c r="R115" s="14">
        <f t="shared" si="32"/>
        <v>1.8729517396184063</v>
      </c>
      <c r="S115" s="14">
        <f t="shared" si="33"/>
        <v>1.8657810486417497</v>
      </c>
      <c r="T115" s="14">
        <f t="shared" si="37"/>
        <v>1.873490138230314</v>
      </c>
      <c r="U115" s="14">
        <f t="shared" si="39"/>
        <v>1.8750277679278635</v>
      </c>
      <c r="V115" s="16">
        <f t="shared" si="34"/>
        <v>41.560272858494969</v>
      </c>
      <c r="W115" s="16">
        <f t="shared" si="38"/>
        <v>41.747512505266428</v>
      </c>
      <c r="X115" s="16">
        <f t="shared" si="43"/>
        <v>41.762910612604941</v>
      </c>
      <c r="Y115" s="17">
        <f t="shared" si="35"/>
        <v>3.8358985117650513E-3</v>
      </c>
      <c r="Z115" s="17">
        <f t="shared" si="35"/>
        <v>-6.5923867711030319E-4</v>
      </c>
      <c r="AA115" s="17">
        <f t="shared" si="35"/>
        <v>-1.0280095906831631E-3</v>
      </c>
      <c r="AC115" s="18">
        <f t="shared" si="36"/>
        <v>2.7235604670405207E-3</v>
      </c>
      <c r="AD115" s="18">
        <f t="shared" si="36"/>
        <v>3.3613477027049274E-3</v>
      </c>
      <c r="AE115" s="18"/>
      <c r="AF115" s="18"/>
      <c r="AH115">
        <f t="shared" si="44"/>
        <v>1</v>
      </c>
      <c r="AI115">
        <f t="shared" si="45"/>
        <v>0</v>
      </c>
      <c r="AJ115">
        <f t="shared" si="46"/>
        <v>1</v>
      </c>
      <c r="AK115">
        <f t="shared" si="40"/>
        <v>1</v>
      </c>
      <c r="AL115" s="18">
        <f t="shared" si="47"/>
        <v>-2.7235604670405207E-3</v>
      </c>
      <c r="AM115" s="18">
        <f t="shared" si="48"/>
        <v>3.3613477027049274E-3</v>
      </c>
      <c r="AN115" s="18">
        <f t="shared" si="49"/>
        <v>6.3778723566440673E-4</v>
      </c>
      <c r="AO115" s="19">
        <f t="shared" si="50"/>
        <v>1.6870281991749503E-2</v>
      </c>
      <c r="AQ115" s="18"/>
      <c r="AS115">
        <f t="shared" si="51"/>
        <v>0</v>
      </c>
      <c r="AT115">
        <f t="shared" si="52"/>
        <v>1</v>
      </c>
      <c r="AU115">
        <f t="shared" si="53"/>
        <v>0</v>
      </c>
      <c r="AV115">
        <f t="shared" si="54"/>
        <v>0</v>
      </c>
      <c r="AW115" s="18">
        <f t="shared" si="55"/>
        <v>0</v>
      </c>
      <c r="AX115" s="18">
        <f t="shared" si="56"/>
        <v>0</v>
      </c>
      <c r="AY115" s="18">
        <f t="shared" si="57"/>
        <v>0</v>
      </c>
      <c r="AZ115" s="19">
        <f t="shared" si="58"/>
        <v>1.4876946867788288E-2</v>
      </c>
      <c r="BB115" s="19">
        <f t="shared" si="59"/>
        <v>6.3778723566440673E-4</v>
      </c>
      <c r="BC115" s="19">
        <f t="shared" si="60"/>
        <v>3.1747228859537784E-2</v>
      </c>
    </row>
    <row r="116" spans="1:55" x14ac:dyDescent="0.3">
      <c r="A116" s="1">
        <v>46190</v>
      </c>
      <c r="B116" s="10">
        <v>21.87</v>
      </c>
      <c r="C116" s="10">
        <v>41.33</v>
      </c>
      <c r="D116" s="11">
        <v>1.8898033836305399</v>
      </c>
      <c r="E116" s="11">
        <v>1.8778822651217899</v>
      </c>
      <c r="F116" s="11">
        <v>1.89153311276796</v>
      </c>
      <c r="G116" s="11">
        <v>1.89199732831524</v>
      </c>
      <c r="H116" s="10">
        <v>41.069285138213601</v>
      </c>
      <c r="I116" s="10">
        <v>41.376042058830201</v>
      </c>
      <c r="J116" s="10">
        <v>41.375249049555102</v>
      </c>
      <c r="K116" s="12">
        <v>6.32810664253298E-3</v>
      </c>
      <c r="L116" s="12">
        <v>-1.1133905683400401E-3</v>
      </c>
      <c r="M116" s="12">
        <v>-1.09422448006547E-3</v>
      </c>
      <c r="N116" s="26">
        <v>0.215</v>
      </c>
      <c r="O116" s="13">
        <v>0</v>
      </c>
      <c r="P116" s="23">
        <f t="shared" si="41"/>
        <v>22.085000000000001</v>
      </c>
      <c r="Q116" s="23">
        <f t="shared" si="42"/>
        <v>41.33</v>
      </c>
      <c r="R116" s="14">
        <f t="shared" si="32"/>
        <v>1.8714059316278016</v>
      </c>
      <c r="S116" s="14">
        <f t="shared" si="33"/>
        <v>1.8657810486417497</v>
      </c>
      <c r="T116" s="14">
        <f t="shared" si="37"/>
        <v>1.8731165943200339</v>
      </c>
      <c r="U116" s="14">
        <f t="shared" si="39"/>
        <v>1.8749650202372314</v>
      </c>
      <c r="V116" s="16">
        <f t="shared" si="34"/>
        <v>41.205774459253043</v>
      </c>
      <c r="W116" s="16">
        <f t="shared" si="38"/>
        <v>41.376029702816489</v>
      </c>
      <c r="X116" s="16">
        <f t="shared" si="43"/>
        <v>41.409988254686866</v>
      </c>
      <c r="Y116" s="17">
        <f t="shared" si="35"/>
        <v>3.0102252112173948E-3</v>
      </c>
      <c r="Z116" s="17">
        <f t="shared" si="35"/>
        <v>-1.1130919410435685E-3</v>
      </c>
      <c r="AA116" s="17">
        <f t="shared" si="35"/>
        <v>-1.9334853990897369E-3</v>
      </c>
      <c r="AC116" s="18">
        <f t="shared" si="36"/>
        <v>-8.6501791366798229E-3</v>
      </c>
      <c r="AD116" s="18">
        <f t="shared" si="36"/>
        <v>-9.3920016089307362E-3</v>
      </c>
      <c r="AE116" s="18"/>
      <c r="AF116" s="18"/>
      <c r="AH116">
        <f t="shared" si="44"/>
        <v>1</v>
      </c>
      <c r="AI116">
        <f t="shared" si="45"/>
        <v>0</v>
      </c>
      <c r="AJ116">
        <f t="shared" si="46"/>
        <v>1</v>
      </c>
      <c r="AK116">
        <f t="shared" si="40"/>
        <v>1</v>
      </c>
      <c r="AL116" s="18">
        <f t="shared" si="47"/>
        <v>8.6501791366798229E-3</v>
      </c>
      <c r="AM116" s="18">
        <f t="shared" si="48"/>
        <v>-9.3920016089307362E-3</v>
      </c>
      <c r="AN116" s="18">
        <f t="shared" si="49"/>
        <v>-7.4182247225091334E-4</v>
      </c>
      <c r="AO116" s="19">
        <f t="shared" si="50"/>
        <v>1.6128459519498588E-2</v>
      </c>
      <c r="AQ116" s="18"/>
      <c r="AS116">
        <f t="shared" si="51"/>
        <v>0</v>
      </c>
      <c r="AT116">
        <f t="shared" si="52"/>
        <v>1</v>
      </c>
      <c r="AU116">
        <f t="shared" si="53"/>
        <v>0</v>
      </c>
      <c r="AV116">
        <f t="shared" si="54"/>
        <v>0</v>
      </c>
      <c r="AW116" s="18">
        <f t="shared" si="55"/>
        <v>0</v>
      </c>
      <c r="AX116" s="18">
        <f t="shared" si="56"/>
        <v>0</v>
      </c>
      <c r="AY116" s="18">
        <f t="shared" si="57"/>
        <v>0</v>
      </c>
      <c r="AZ116" s="19">
        <f t="shared" si="58"/>
        <v>1.4876946867788288E-2</v>
      </c>
      <c r="BB116" s="19">
        <f t="shared" si="59"/>
        <v>-7.4182247225091334E-4</v>
      </c>
      <c r="BC116" s="19">
        <f t="shared" si="60"/>
        <v>3.1005406387286868E-2</v>
      </c>
    </row>
    <row r="117" spans="1:55" x14ac:dyDescent="0.3">
      <c r="A117" s="1">
        <v>46191</v>
      </c>
      <c r="B117" s="10">
        <v>21.82</v>
      </c>
      <c r="C117" s="10">
        <v>41.2</v>
      </c>
      <c r="D117" s="11">
        <v>1.8881759853345499</v>
      </c>
      <c r="E117" s="11">
        <v>1.8778822651217899</v>
      </c>
      <c r="F117" s="11">
        <v>1.89092982666849</v>
      </c>
      <c r="G117" s="11">
        <v>1.8920553303154499</v>
      </c>
      <c r="H117" s="10">
        <v>40.975391024957503</v>
      </c>
      <c r="I117" s="10">
        <v>41.273252520596998</v>
      </c>
      <c r="J117" s="10">
        <v>41.283381703838501</v>
      </c>
      <c r="K117" s="12">
        <v>5.4665887581243997E-3</v>
      </c>
      <c r="L117" s="12">
        <v>-1.77639507649033E-3</v>
      </c>
      <c r="M117" s="12">
        <v>-2.02178258259474E-3</v>
      </c>
      <c r="N117" s="26">
        <v>0.215</v>
      </c>
      <c r="O117" s="13">
        <v>0</v>
      </c>
      <c r="P117" s="23">
        <f t="shared" si="41"/>
        <v>22.035</v>
      </c>
      <c r="Q117" s="23">
        <f t="shared" si="42"/>
        <v>41.2</v>
      </c>
      <c r="R117" s="14">
        <f t="shared" si="32"/>
        <v>1.8697526662128434</v>
      </c>
      <c r="S117" s="14">
        <f t="shared" si="33"/>
        <v>1.8657810486417497</v>
      </c>
      <c r="T117" s="14">
        <f t="shared" si="37"/>
        <v>1.872510014023278</v>
      </c>
      <c r="U117" s="14">
        <f t="shared" si="39"/>
        <v>1.8748269754285247</v>
      </c>
      <c r="V117" s="16">
        <f t="shared" si="34"/>
        <v>41.112485406820952</v>
      </c>
      <c r="W117" s="16">
        <f t="shared" si="38"/>
        <v>41.274124155841946</v>
      </c>
      <c r="X117" s="16">
        <f t="shared" si="43"/>
        <v>41.314854220927394</v>
      </c>
      <c r="Y117" s="17">
        <f t="shared" si="35"/>
        <v>2.126399797596669E-3</v>
      </c>
      <c r="Z117" s="17">
        <f t="shared" si="35"/>
        <v>-1.797513500359074E-3</v>
      </c>
      <c r="AA117" s="17">
        <f t="shared" si="35"/>
        <v>-2.7838453133441649E-3</v>
      </c>
      <c r="AC117" s="18">
        <f t="shared" si="36"/>
        <v>-2.2888542837517139E-3</v>
      </c>
      <c r="AD117" s="18">
        <f t="shared" si="36"/>
        <v>-3.1503721681601245E-3</v>
      </c>
      <c r="AE117" s="18"/>
      <c r="AF117" s="18"/>
      <c r="AH117">
        <f t="shared" si="44"/>
        <v>1</v>
      </c>
      <c r="AI117">
        <f t="shared" si="45"/>
        <v>0</v>
      </c>
      <c r="AJ117">
        <f t="shared" si="46"/>
        <v>1</v>
      </c>
      <c r="AK117">
        <f t="shared" si="40"/>
        <v>1</v>
      </c>
      <c r="AL117" s="18">
        <f t="shared" si="47"/>
        <v>2.2888542837517139E-3</v>
      </c>
      <c r="AM117" s="18">
        <f t="shared" si="48"/>
        <v>-3.1503721681601245E-3</v>
      </c>
      <c r="AN117" s="18">
        <f t="shared" si="49"/>
        <v>-8.6151788440841067E-4</v>
      </c>
      <c r="AO117" s="19">
        <f t="shared" si="50"/>
        <v>1.5266941635090178E-2</v>
      </c>
      <c r="AQ117" s="18"/>
      <c r="AS117">
        <f t="shared" si="51"/>
        <v>0</v>
      </c>
      <c r="AT117">
        <f t="shared" si="52"/>
        <v>1</v>
      </c>
      <c r="AU117">
        <f t="shared" si="53"/>
        <v>0</v>
      </c>
      <c r="AV117">
        <f t="shared" si="54"/>
        <v>0</v>
      </c>
      <c r="AW117" s="18">
        <f t="shared" si="55"/>
        <v>0</v>
      </c>
      <c r="AX117" s="18">
        <f t="shared" si="56"/>
        <v>0</v>
      </c>
      <c r="AY117" s="18">
        <f t="shared" si="57"/>
        <v>0</v>
      </c>
      <c r="AZ117" s="19">
        <f t="shared" si="58"/>
        <v>1.4876946867788288E-2</v>
      </c>
      <c r="BB117" s="19">
        <f t="shared" si="59"/>
        <v>-8.6151788440841067E-4</v>
      </c>
      <c r="BC117" s="19">
        <f t="shared" si="60"/>
        <v>3.0143888502878458E-2</v>
      </c>
    </row>
    <row r="118" spans="1:55" x14ac:dyDescent="0.3">
      <c r="A118" s="1">
        <v>46195</v>
      </c>
      <c r="B118" s="10">
        <v>21.72</v>
      </c>
      <c r="C118" s="10">
        <v>41.02</v>
      </c>
      <c r="D118" s="11">
        <v>1.88858195211786</v>
      </c>
      <c r="E118" s="11">
        <v>1.8778822651217899</v>
      </c>
      <c r="F118" s="11">
        <v>1.8904135968572799</v>
      </c>
      <c r="G118" s="11">
        <v>1.8920678372194299</v>
      </c>
      <c r="H118" s="10">
        <v>40.787602798445299</v>
      </c>
      <c r="I118" s="10">
        <v>41.070995835239799</v>
      </c>
      <c r="J118" s="10">
        <v>41.095441774451601</v>
      </c>
      <c r="K118" s="12">
        <v>5.6815703860684302E-3</v>
      </c>
      <c r="L118" s="12">
        <v>-1.2424222968854301E-3</v>
      </c>
      <c r="M118" s="12">
        <v>-1.83745697635559E-3</v>
      </c>
      <c r="N118" s="26">
        <v>0.215</v>
      </c>
      <c r="O118" s="13">
        <v>0</v>
      </c>
      <c r="P118" s="23">
        <f t="shared" si="41"/>
        <v>21.934999999999999</v>
      </c>
      <c r="Q118" s="23">
        <f t="shared" si="42"/>
        <v>41.02</v>
      </c>
      <c r="R118" s="14">
        <f t="shared" si="32"/>
        <v>1.8700706633234558</v>
      </c>
      <c r="S118" s="14">
        <f t="shared" si="33"/>
        <v>1.8657810486417497</v>
      </c>
      <c r="T118" s="14">
        <f t="shared" si="37"/>
        <v>1.8719971532319615</v>
      </c>
      <c r="U118" s="14">
        <f t="shared" si="39"/>
        <v>1.8746398708742091</v>
      </c>
      <c r="V118" s="16">
        <f t="shared" si="34"/>
        <v>40.925907301956777</v>
      </c>
      <c r="W118" s="16">
        <f t="shared" si="38"/>
        <v>41.073507157600602</v>
      </c>
      <c r="X118" s="16">
        <f t="shared" si="43"/>
        <v>41.124329706024689</v>
      </c>
      <c r="Y118" s="17">
        <f t="shared" si="35"/>
        <v>2.2964597621235646E-3</v>
      </c>
      <c r="Z118" s="17">
        <f t="shared" si="35"/>
        <v>-1.3035663118855737E-3</v>
      </c>
      <c r="AA118" s="17">
        <f t="shared" si="35"/>
        <v>-2.540157366823192E-3</v>
      </c>
      <c r="AC118" s="18">
        <f t="shared" si="36"/>
        <v>-4.5934853391900949E-3</v>
      </c>
      <c r="AD118" s="18">
        <f t="shared" si="36"/>
        <v>-4.3785037112461286E-3</v>
      </c>
      <c r="AE118" s="18"/>
      <c r="AF118" s="18"/>
      <c r="AH118">
        <f t="shared" si="44"/>
        <v>1</v>
      </c>
      <c r="AI118">
        <f t="shared" si="45"/>
        <v>0</v>
      </c>
      <c r="AJ118">
        <f t="shared" si="46"/>
        <v>1</v>
      </c>
      <c r="AK118">
        <f t="shared" si="40"/>
        <v>1</v>
      </c>
      <c r="AL118" s="18">
        <f t="shared" si="47"/>
        <v>4.5934853391900949E-3</v>
      </c>
      <c r="AM118" s="18">
        <f t="shared" si="48"/>
        <v>-4.3785037112461286E-3</v>
      </c>
      <c r="AN118" s="18">
        <f t="shared" si="49"/>
        <v>2.149816279439663E-4</v>
      </c>
      <c r="AO118" s="19">
        <f t="shared" si="50"/>
        <v>1.5481923263034145E-2</v>
      </c>
      <c r="AQ118" s="18"/>
      <c r="AS118">
        <f t="shared" si="51"/>
        <v>0</v>
      </c>
      <c r="AT118">
        <f t="shared" si="52"/>
        <v>1</v>
      </c>
      <c r="AU118">
        <f t="shared" si="53"/>
        <v>0</v>
      </c>
      <c r="AV118">
        <f t="shared" si="54"/>
        <v>0</v>
      </c>
      <c r="AW118" s="18">
        <f t="shared" si="55"/>
        <v>0</v>
      </c>
      <c r="AX118" s="18">
        <f t="shared" si="56"/>
        <v>0</v>
      </c>
      <c r="AY118" s="18">
        <f t="shared" si="57"/>
        <v>0</v>
      </c>
      <c r="AZ118" s="19">
        <f t="shared" si="58"/>
        <v>1.4876946867788288E-2</v>
      </c>
      <c r="BB118" s="19">
        <f t="shared" si="59"/>
        <v>2.149816279439663E-4</v>
      </c>
      <c r="BC118" s="19">
        <f t="shared" si="60"/>
        <v>3.0358870130822425E-2</v>
      </c>
    </row>
    <row r="119" spans="1:55" x14ac:dyDescent="0.3">
      <c r="A119" s="1">
        <v>46196</v>
      </c>
      <c r="B119" s="10">
        <v>21.67</v>
      </c>
      <c r="C119" s="10">
        <v>40.909999999999997</v>
      </c>
      <c r="D119" s="11">
        <v>1.8878634056299</v>
      </c>
      <c r="E119" s="11">
        <v>1.8778822651217899</v>
      </c>
      <c r="F119" s="11">
        <v>1.8898911816599</v>
      </c>
      <c r="G119" s="11">
        <v>1.8920013631780801</v>
      </c>
      <c r="H119" s="10">
        <v>40.6937086851892</v>
      </c>
      <c r="I119" s="10">
        <v>40.965262643897397</v>
      </c>
      <c r="J119" s="10">
        <v>41.001110032545</v>
      </c>
      <c r="K119" s="12">
        <v>5.3010292006079101E-3</v>
      </c>
      <c r="L119" s="12">
        <v>-1.3499230538000101E-3</v>
      </c>
      <c r="M119" s="12">
        <v>-2.2246083610220199E-3</v>
      </c>
      <c r="N119" s="26">
        <v>0.215</v>
      </c>
      <c r="O119" s="13">
        <v>0</v>
      </c>
      <c r="P119" s="23">
        <f t="shared" si="41"/>
        <v>21.885000000000002</v>
      </c>
      <c r="Q119" s="23">
        <f t="shared" si="42"/>
        <v>40.909999999999997</v>
      </c>
      <c r="R119" s="14">
        <f t="shared" si="32"/>
        <v>1.8693168837103036</v>
      </c>
      <c r="S119" s="14">
        <f t="shared" si="33"/>
        <v>1.8657810486417497</v>
      </c>
      <c r="T119" s="14">
        <f t="shared" si="37"/>
        <v>1.8714773243773475</v>
      </c>
      <c r="U119" s="14">
        <f t="shared" si="39"/>
        <v>1.8743726833855159</v>
      </c>
      <c r="V119" s="16">
        <f t="shared" si="34"/>
        <v>40.832618249524693</v>
      </c>
      <c r="W119" s="16">
        <f t="shared" si="38"/>
        <v>40.968657698481479</v>
      </c>
      <c r="X119" s="16">
        <f t="shared" si="43"/>
        <v>41.026493574082068</v>
      </c>
      <c r="Y119" s="17">
        <f t="shared" si="35"/>
        <v>1.8933030345145464E-3</v>
      </c>
      <c r="Z119" s="17">
        <f t="shared" si="35"/>
        <v>-1.4327960463733902E-3</v>
      </c>
      <c r="AA119" s="17">
        <f t="shared" si="35"/>
        <v>-2.8435108092502472E-3</v>
      </c>
      <c r="AC119" s="18">
        <f t="shared" si="36"/>
        <v>-2.304679517466917E-3</v>
      </c>
      <c r="AD119" s="18">
        <f t="shared" si="36"/>
        <v>-2.6852207029275542E-3</v>
      </c>
      <c r="AE119" s="18"/>
      <c r="AF119" s="18"/>
      <c r="AH119">
        <f t="shared" si="44"/>
        <v>1</v>
      </c>
      <c r="AI119">
        <f t="shared" si="45"/>
        <v>0</v>
      </c>
      <c r="AJ119">
        <f t="shared" si="46"/>
        <v>1</v>
      </c>
      <c r="AK119">
        <f t="shared" si="40"/>
        <v>1</v>
      </c>
      <c r="AL119" s="18">
        <f t="shared" si="47"/>
        <v>2.304679517466917E-3</v>
      </c>
      <c r="AM119" s="18">
        <f t="shared" si="48"/>
        <v>-2.6852207029275542E-3</v>
      </c>
      <c r="AN119" s="18">
        <f t="shared" si="49"/>
        <v>-3.8054118546063716E-4</v>
      </c>
      <c r="AO119" s="19">
        <f t="shared" si="50"/>
        <v>1.5101382077573507E-2</v>
      </c>
      <c r="AQ119" s="18"/>
      <c r="AS119">
        <f t="shared" si="51"/>
        <v>0</v>
      </c>
      <c r="AT119">
        <f t="shared" si="52"/>
        <v>1</v>
      </c>
      <c r="AU119">
        <f t="shared" si="53"/>
        <v>0</v>
      </c>
      <c r="AV119">
        <f t="shared" si="54"/>
        <v>0</v>
      </c>
      <c r="AW119" s="18">
        <f t="shared" si="55"/>
        <v>0</v>
      </c>
      <c r="AX119" s="18">
        <f t="shared" si="56"/>
        <v>0</v>
      </c>
      <c r="AY119" s="18">
        <f t="shared" si="57"/>
        <v>0</v>
      </c>
      <c r="AZ119" s="19">
        <f t="shared" si="58"/>
        <v>1.4876946867788288E-2</v>
      </c>
      <c r="BB119" s="19">
        <f t="shared" si="59"/>
        <v>-3.8054118546063716E-4</v>
      </c>
      <c r="BC119" s="19">
        <f t="shared" si="60"/>
        <v>2.9978328945361787E-2</v>
      </c>
    </row>
    <row r="120" spans="1:55" x14ac:dyDescent="0.3">
      <c r="A120" s="1">
        <v>46197</v>
      </c>
      <c r="B120" s="10">
        <v>21.66</v>
      </c>
      <c r="C120" s="10">
        <v>40.97</v>
      </c>
      <c r="D120" s="11">
        <v>1.8915050784856799</v>
      </c>
      <c r="E120" s="11">
        <v>1.8778822651217899</v>
      </c>
      <c r="F120" s="11">
        <v>1.8901068869373101</v>
      </c>
      <c r="G120" s="11">
        <v>1.8920212632003699</v>
      </c>
      <c r="H120" s="10">
        <v>40.674929862538001</v>
      </c>
      <c r="I120" s="10">
        <v>40.935042994753601</v>
      </c>
      <c r="J120" s="10">
        <v>40.980749526437201</v>
      </c>
      <c r="K120" s="12">
        <v>7.2281627935034997E-3</v>
      </c>
      <c r="L120" s="12">
        <v>8.5359841325478695E-4</v>
      </c>
      <c r="M120" s="12">
        <v>-2.6234113930705198E-4</v>
      </c>
      <c r="N120" s="26">
        <v>0.215</v>
      </c>
      <c r="O120" s="13">
        <v>0</v>
      </c>
      <c r="P120" s="23">
        <f t="shared" si="41"/>
        <v>21.875</v>
      </c>
      <c r="Q120" s="23">
        <f t="shared" si="42"/>
        <v>40.97</v>
      </c>
      <c r="R120" s="14">
        <f t="shared" si="32"/>
        <v>1.8729142857142858</v>
      </c>
      <c r="S120" s="14">
        <f t="shared" si="33"/>
        <v>1.8657810486417497</v>
      </c>
      <c r="T120" s="14">
        <f t="shared" si="37"/>
        <v>1.8716807784091081</v>
      </c>
      <c r="U120" s="14">
        <f t="shared" si="39"/>
        <v>1.8741867902871694</v>
      </c>
      <c r="V120" s="16">
        <f t="shared" si="34"/>
        <v>40.813960439038276</v>
      </c>
      <c r="W120" s="16">
        <f t="shared" si="38"/>
        <v>40.938566470754473</v>
      </c>
      <c r="X120" s="16">
        <f t="shared" si="43"/>
        <v>41.001902449058157</v>
      </c>
      <c r="Y120" s="17">
        <f t="shared" si="35"/>
        <v>3.8159010511678053E-3</v>
      </c>
      <c r="Z120" s="17">
        <f t="shared" si="35"/>
        <v>7.6752730863307379E-4</v>
      </c>
      <c r="AA120" s="17">
        <f t="shared" si="35"/>
        <v>-7.7837526556637378E-4</v>
      </c>
      <c r="AC120" s="18">
        <f t="shared" si="36"/>
        <v>-4.615739754231516E-4</v>
      </c>
      <c r="AD120" s="18">
        <f t="shared" si="36"/>
        <v>1.4655596174725845E-3</v>
      </c>
      <c r="AE120" s="18"/>
      <c r="AF120" s="18"/>
      <c r="AH120">
        <f t="shared" si="44"/>
        <v>0</v>
      </c>
      <c r="AI120">
        <f t="shared" si="45"/>
        <v>0</v>
      </c>
      <c r="AJ120">
        <f t="shared" si="46"/>
        <v>1</v>
      </c>
      <c r="AK120">
        <f t="shared" si="40"/>
        <v>1</v>
      </c>
      <c r="AL120" s="18">
        <f t="shared" si="47"/>
        <v>4.615739754231516E-4</v>
      </c>
      <c r="AM120" s="18">
        <f t="shared" si="48"/>
        <v>1.4655596174725845E-3</v>
      </c>
      <c r="AN120" s="18">
        <f t="shared" si="49"/>
        <v>1.9271335928957361E-3</v>
      </c>
      <c r="AO120" s="19">
        <f t="shared" si="50"/>
        <v>1.7028515670469244E-2</v>
      </c>
      <c r="AQ120" s="18"/>
      <c r="AS120">
        <f t="shared" si="51"/>
        <v>0</v>
      </c>
      <c r="AT120">
        <f t="shared" si="52"/>
        <v>1</v>
      </c>
      <c r="AU120">
        <f t="shared" si="53"/>
        <v>0</v>
      </c>
      <c r="AV120">
        <f t="shared" si="54"/>
        <v>0</v>
      </c>
      <c r="AW120" s="18">
        <f t="shared" si="55"/>
        <v>0</v>
      </c>
      <c r="AX120" s="18">
        <f t="shared" si="56"/>
        <v>0</v>
      </c>
      <c r="AY120" s="18">
        <f t="shared" si="57"/>
        <v>0</v>
      </c>
      <c r="AZ120" s="19">
        <f t="shared" si="58"/>
        <v>1.4876946867788288E-2</v>
      </c>
      <c r="BB120" s="19">
        <f t="shared" si="59"/>
        <v>1.9271335928957361E-3</v>
      </c>
      <c r="BC120" s="19">
        <f t="shared" si="60"/>
        <v>3.1905462538257524E-2</v>
      </c>
    </row>
    <row r="121" spans="1:55" x14ac:dyDescent="0.3">
      <c r="A121" s="1">
        <v>46198</v>
      </c>
      <c r="B121" s="10">
        <v>21.68</v>
      </c>
      <c r="C121" s="10">
        <v>41</v>
      </c>
      <c r="D121" s="11">
        <v>1.89114391143911</v>
      </c>
      <c r="E121" s="11">
        <v>1.8778822651217899</v>
      </c>
      <c r="F121" s="11">
        <v>1.89008683977551</v>
      </c>
      <c r="G121" s="11">
        <v>1.89202310487032</v>
      </c>
      <c r="H121" s="10">
        <v>40.7124875078405</v>
      </c>
      <c r="I121" s="10">
        <v>40.977517308800799</v>
      </c>
      <c r="J121" s="10">
        <v>41.019020986184003</v>
      </c>
      <c r="K121" s="12">
        <v>7.0372029404308202E-3</v>
      </c>
      <c r="L121" s="12">
        <v>5.4850872534002195E-4</v>
      </c>
      <c r="M121" s="12">
        <v>-4.63818911669831E-4</v>
      </c>
      <c r="N121" s="26">
        <v>0.215</v>
      </c>
      <c r="O121" s="13">
        <v>0</v>
      </c>
      <c r="P121" s="23">
        <f t="shared" si="41"/>
        <v>21.895</v>
      </c>
      <c r="Q121" s="23">
        <f t="shared" si="42"/>
        <v>41</v>
      </c>
      <c r="R121" s="14">
        <f t="shared" si="32"/>
        <v>1.8725736469513588</v>
      </c>
      <c r="S121" s="14">
        <f t="shared" si="33"/>
        <v>1.8657810486417497</v>
      </c>
      <c r="T121" s="14">
        <f t="shared" si="37"/>
        <v>1.8716575413262633</v>
      </c>
      <c r="U121" s="14">
        <f t="shared" si="39"/>
        <v>1.873983865250676</v>
      </c>
      <c r="V121" s="16">
        <f t="shared" si="34"/>
        <v>40.851276060011109</v>
      </c>
      <c r="W121" s="16">
        <f t="shared" si="38"/>
        <v>40.980450643267417</v>
      </c>
      <c r="X121" s="16">
        <f t="shared" si="43"/>
        <v>41.035319773337577</v>
      </c>
      <c r="Y121" s="17">
        <f t="shared" si="35"/>
        <v>3.6340081870122375E-3</v>
      </c>
      <c r="Z121" s="17">
        <f t="shared" si="35"/>
        <v>4.7692729058553039E-4</v>
      </c>
      <c r="AA121" s="17">
        <f t="shared" si="35"/>
        <v>-8.6108704439855782E-4</v>
      </c>
      <c r="AC121" s="18">
        <f t="shared" si="36"/>
        <v>9.2293499860089873E-4</v>
      </c>
      <c r="AD121" s="18">
        <f t="shared" si="36"/>
        <v>7.3197514552809353E-4</v>
      </c>
      <c r="AE121" s="18"/>
      <c r="AF121" s="18"/>
      <c r="AH121">
        <f t="shared" si="44"/>
        <v>0</v>
      </c>
      <c r="AI121">
        <f t="shared" si="45"/>
        <v>0</v>
      </c>
      <c r="AJ121">
        <f t="shared" si="46"/>
        <v>1</v>
      </c>
      <c r="AK121">
        <f t="shared" si="40"/>
        <v>1</v>
      </c>
      <c r="AL121" s="18">
        <f t="shared" si="47"/>
        <v>-9.2293499860089873E-4</v>
      </c>
      <c r="AM121" s="18">
        <f t="shared" si="48"/>
        <v>7.3197514552809353E-4</v>
      </c>
      <c r="AN121" s="18">
        <f t="shared" si="49"/>
        <v>-1.909598530728052E-4</v>
      </c>
      <c r="AO121" s="19">
        <f t="shared" si="50"/>
        <v>1.6837555817396439E-2</v>
      </c>
      <c r="AQ121" s="18"/>
      <c r="AS121">
        <f t="shared" si="51"/>
        <v>0</v>
      </c>
      <c r="AT121">
        <f t="shared" si="52"/>
        <v>1</v>
      </c>
      <c r="AU121">
        <f t="shared" si="53"/>
        <v>0</v>
      </c>
      <c r="AV121">
        <f t="shared" si="54"/>
        <v>0</v>
      </c>
      <c r="AW121" s="18">
        <f t="shared" si="55"/>
        <v>0</v>
      </c>
      <c r="AX121" s="18">
        <f t="shared" si="56"/>
        <v>0</v>
      </c>
      <c r="AY121" s="18">
        <f t="shared" si="57"/>
        <v>0</v>
      </c>
      <c r="AZ121" s="19">
        <f t="shared" si="58"/>
        <v>1.4876946867788288E-2</v>
      </c>
      <c r="BB121" s="19">
        <f t="shared" si="59"/>
        <v>-1.909598530728052E-4</v>
      </c>
      <c r="BC121" s="19">
        <f t="shared" si="60"/>
        <v>3.171450268518472E-2</v>
      </c>
    </row>
    <row r="122" spans="1:55" x14ac:dyDescent="0.3">
      <c r="A122" s="1">
        <v>46199</v>
      </c>
      <c r="B122" s="10">
        <v>21.73</v>
      </c>
      <c r="C122" s="10">
        <v>41.04</v>
      </c>
      <c r="D122" s="11">
        <v>1.8886332259548999</v>
      </c>
      <c r="E122" s="11">
        <v>1.8778822651217899</v>
      </c>
      <c r="F122" s="11">
        <v>1.8897979290072799</v>
      </c>
      <c r="G122" s="11">
        <v>1.8916334183616501</v>
      </c>
      <c r="H122" s="10">
        <v>40.806381621096598</v>
      </c>
      <c r="I122" s="10">
        <v>41.0715870283219</v>
      </c>
      <c r="J122" s="10">
        <v>41.113662068832198</v>
      </c>
      <c r="K122" s="12">
        <v>5.7087194017441598E-3</v>
      </c>
      <c r="L122" s="12">
        <v>-7.6936839301659299E-4</v>
      </c>
      <c r="M122" s="12">
        <v>-1.7932758374417401E-3</v>
      </c>
      <c r="N122" s="26">
        <v>0.215</v>
      </c>
      <c r="O122" s="13">
        <v>0</v>
      </c>
      <c r="P122" s="23">
        <f t="shared" si="41"/>
        <v>21.945</v>
      </c>
      <c r="Q122" s="23">
        <f t="shared" si="42"/>
        <v>41.04</v>
      </c>
      <c r="R122" s="14">
        <f t="shared" si="32"/>
        <v>1.8701298701298701</v>
      </c>
      <c r="S122" s="14">
        <f t="shared" si="33"/>
        <v>1.8657810486417497</v>
      </c>
      <c r="T122" s="14">
        <f t="shared" si="37"/>
        <v>1.8713538955249871</v>
      </c>
      <c r="U122" s="14">
        <f t="shared" si="39"/>
        <v>1.8733925131557334</v>
      </c>
      <c r="V122" s="16">
        <f t="shared" si="34"/>
        <v>40.944565112443193</v>
      </c>
      <c r="W122" s="16">
        <f t="shared" si="38"/>
        <v>41.07352474440485</v>
      </c>
      <c r="X122" s="16">
        <f t="shared" si="43"/>
        <v>41.124575922926084</v>
      </c>
      <c r="Y122" s="17">
        <f t="shared" si="35"/>
        <v>2.3281194583830993E-3</v>
      </c>
      <c r="Z122" s="17">
        <f t="shared" si="35"/>
        <v>-8.1654627229601324E-4</v>
      </c>
      <c r="AA122" s="17">
        <f t="shared" si="35"/>
        <v>-2.0586962653209215E-3</v>
      </c>
      <c r="AC122" s="18">
        <f t="shared" si="36"/>
        <v>2.303617696892751E-3</v>
      </c>
      <c r="AD122" s="18">
        <f t="shared" si="36"/>
        <v>9.7513415820629139E-4</v>
      </c>
      <c r="AE122" s="18"/>
      <c r="AF122" s="18"/>
      <c r="AH122">
        <f t="shared" si="44"/>
        <v>1</v>
      </c>
      <c r="AI122">
        <f t="shared" si="45"/>
        <v>0</v>
      </c>
      <c r="AJ122">
        <f t="shared" si="46"/>
        <v>1</v>
      </c>
      <c r="AK122">
        <f t="shared" si="40"/>
        <v>1</v>
      </c>
      <c r="AL122" s="18">
        <f t="shared" si="47"/>
        <v>-2.303617696892751E-3</v>
      </c>
      <c r="AM122" s="18">
        <f t="shared" si="48"/>
        <v>9.7513415820629139E-4</v>
      </c>
      <c r="AN122" s="18">
        <f t="shared" si="49"/>
        <v>-1.3284835386864597E-3</v>
      </c>
      <c r="AO122" s="19">
        <f t="shared" si="50"/>
        <v>1.5509072278709979E-2</v>
      </c>
      <c r="AQ122" s="18"/>
      <c r="AS122">
        <f t="shared" si="51"/>
        <v>0</v>
      </c>
      <c r="AT122">
        <f t="shared" si="52"/>
        <v>1</v>
      </c>
      <c r="AU122">
        <f t="shared" si="53"/>
        <v>0</v>
      </c>
      <c r="AV122">
        <f t="shared" si="54"/>
        <v>0</v>
      </c>
      <c r="AW122" s="18">
        <f t="shared" si="55"/>
        <v>0</v>
      </c>
      <c r="AX122" s="18">
        <f t="shared" si="56"/>
        <v>0</v>
      </c>
      <c r="AY122" s="18">
        <f t="shared" si="57"/>
        <v>0</v>
      </c>
      <c r="AZ122" s="19">
        <f t="shared" si="58"/>
        <v>1.4876946867788288E-2</v>
      </c>
      <c r="BB122" s="19">
        <f t="shared" si="59"/>
        <v>-1.3284835386864597E-3</v>
      </c>
      <c r="BC122" s="19">
        <f t="shared" si="60"/>
        <v>3.0386019146498262E-2</v>
      </c>
    </row>
    <row r="123" spans="1:55" x14ac:dyDescent="0.3">
      <c r="A123" s="1">
        <v>46202</v>
      </c>
      <c r="B123" s="10">
        <v>21.75</v>
      </c>
      <c r="C123" s="10">
        <v>41.16</v>
      </c>
      <c r="D123" s="11">
        <v>1.8924137931034399</v>
      </c>
      <c r="E123" s="11">
        <v>1.8778822651217899</v>
      </c>
      <c r="F123" s="11">
        <v>1.8899326538053201</v>
      </c>
      <c r="G123" s="11">
        <v>1.89157661591037</v>
      </c>
      <c r="H123" s="10">
        <v>40.843939266398998</v>
      </c>
      <c r="I123" s="10">
        <v>41.1031049559084</v>
      </c>
      <c r="J123" s="10">
        <v>41.143026849365903</v>
      </c>
      <c r="K123" s="12">
        <v>7.7084662387241704E-3</v>
      </c>
      <c r="L123" s="12">
        <v>1.3832459446753299E-3</v>
      </c>
      <c r="M123" s="12">
        <v>4.1245508274564101E-4</v>
      </c>
      <c r="N123" s="26">
        <v>0.215</v>
      </c>
      <c r="O123" s="13">
        <v>0</v>
      </c>
      <c r="P123" s="23">
        <f t="shared" si="41"/>
        <v>21.965</v>
      </c>
      <c r="Q123" s="23">
        <f t="shared" si="42"/>
        <v>41.16</v>
      </c>
      <c r="R123" s="14">
        <f t="shared" si="32"/>
        <v>1.8738902799908945</v>
      </c>
      <c r="S123" s="14">
        <f t="shared" si="33"/>
        <v>1.8657810486417497</v>
      </c>
      <c r="T123" s="14">
        <f t="shared" si="37"/>
        <v>1.871471427247841</v>
      </c>
      <c r="U123" s="14">
        <f t="shared" si="39"/>
        <v>1.8731299994023687</v>
      </c>
      <c r="V123" s="16">
        <f t="shared" si="34"/>
        <v>40.981880733416034</v>
      </c>
      <c r="W123" s="16">
        <f t="shared" si="38"/>
        <v>41.10428831520634</v>
      </c>
      <c r="X123" s="16">
        <f t="shared" si="43"/>
        <v>41.149066551465687</v>
      </c>
      <c r="Y123" s="17">
        <f t="shared" si="35"/>
        <v>4.3368752741720215E-3</v>
      </c>
      <c r="Z123" s="17">
        <f t="shared" si="35"/>
        <v>1.3544563370524866E-3</v>
      </c>
      <c r="AA123" s="17">
        <f t="shared" si="35"/>
        <v>2.6566814706316378E-4</v>
      </c>
      <c r="AC123" s="18">
        <f t="shared" si="36"/>
        <v>9.1996326635479715E-4</v>
      </c>
      <c r="AD123" s="18">
        <f t="shared" si="36"/>
        <v>2.9197101033346246E-3</v>
      </c>
      <c r="AE123" s="18"/>
      <c r="AF123" s="18"/>
      <c r="AH123">
        <f t="shared" si="44"/>
        <v>0</v>
      </c>
      <c r="AI123">
        <f t="shared" si="45"/>
        <v>1</v>
      </c>
      <c r="AJ123">
        <f t="shared" si="46"/>
        <v>1</v>
      </c>
      <c r="AK123">
        <f t="shared" si="40"/>
        <v>1</v>
      </c>
      <c r="AL123" s="18">
        <f t="shared" si="47"/>
        <v>-9.1996326635479715E-4</v>
      </c>
      <c r="AM123" s="18">
        <f t="shared" si="48"/>
        <v>2.9197101033346246E-3</v>
      </c>
      <c r="AN123" s="18">
        <f t="shared" si="49"/>
        <v>1.9997468369798276E-3</v>
      </c>
      <c r="AO123" s="19">
        <f t="shared" si="50"/>
        <v>1.7508819115689807E-2</v>
      </c>
      <c r="AQ123" s="18"/>
      <c r="AS123">
        <f t="shared" si="51"/>
        <v>0</v>
      </c>
      <c r="AT123">
        <f t="shared" si="52"/>
        <v>0</v>
      </c>
      <c r="AU123">
        <f t="shared" si="53"/>
        <v>0</v>
      </c>
      <c r="AV123">
        <f t="shared" si="54"/>
        <v>0</v>
      </c>
      <c r="AW123" s="18">
        <f t="shared" si="55"/>
        <v>0</v>
      </c>
      <c r="AX123" s="18">
        <f t="shared" si="56"/>
        <v>0</v>
      </c>
      <c r="AY123" s="18">
        <f t="shared" si="57"/>
        <v>0</v>
      </c>
      <c r="AZ123" s="19">
        <f t="shared" si="58"/>
        <v>1.4876946867788288E-2</v>
      </c>
      <c r="BB123" s="19">
        <f t="shared" si="59"/>
        <v>1.9997468369798276E-3</v>
      </c>
      <c r="BC123" s="19">
        <f t="shared" si="60"/>
        <v>3.2385765983478088E-2</v>
      </c>
    </row>
    <row r="124" spans="1:55" x14ac:dyDescent="0.3">
      <c r="A124" s="1">
        <v>46203</v>
      </c>
      <c r="B124" s="10">
        <v>21.68</v>
      </c>
      <c r="C124" s="10">
        <v>41.03</v>
      </c>
      <c r="D124" s="11">
        <v>1.8925276752767499</v>
      </c>
      <c r="E124" s="11">
        <v>1.8778822651217899</v>
      </c>
      <c r="F124" s="11">
        <v>1.8901854213329901</v>
      </c>
      <c r="G124" s="11">
        <v>1.89140045768601</v>
      </c>
      <c r="H124" s="10">
        <v>40.7124875078405</v>
      </c>
      <c r="I124" s="10">
        <v>40.973739934499399</v>
      </c>
      <c r="J124" s="10">
        <v>41.009381032936901</v>
      </c>
      <c r="K124" s="12">
        <v>7.7686426902177997E-3</v>
      </c>
      <c r="L124" s="12">
        <v>1.3721343532020901E-3</v>
      </c>
      <c r="M124" s="12">
        <v>5.0266024042665096E-4</v>
      </c>
      <c r="N124" s="26">
        <v>0.215</v>
      </c>
      <c r="O124" s="13">
        <v>0</v>
      </c>
      <c r="P124" s="23">
        <f t="shared" si="41"/>
        <v>21.895</v>
      </c>
      <c r="Q124" s="23">
        <f t="shared" si="42"/>
        <v>41.03</v>
      </c>
      <c r="R124" s="14">
        <f t="shared" si="32"/>
        <v>1.8739438227905916</v>
      </c>
      <c r="S124" s="14">
        <f t="shared" si="33"/>
        <v>1.8657810486417497</v>
      </c>
      <c r="T124" s="14">
        <f t="shared" si="37"/>
        <v>1.8716949790069812</v>
      </c>
      <c r="U124" s="14">
        <f t="shared" si="39"/>
        <v>1.8729409239651393</v>
      </c>
      <c r="V124" s="16">
        <f t="shared" si="34"/>
        <v>40.851276060011109</v>
      </c>
      <c r="W124" s="16">
        <f t="shared" si="38"/>
        <v>40.97586689959148</v>
      </c>
      <c r="X124" s="16">
        <f t="shared" si="43"/>
        <v>41.012181336914864</v>
      </c>
      <c r="Y124" s="17">
        <f t="shared" si="35"/>
        <v>4.365447936799223E-3</v>
      </c>
      <c r="Z124" s="17">
        <f t="shared" si="35"/>
        <v>1.3202252550444031E-3</v>
      </c>
      <c r="AA124" s="17">
        <f t="shared" si="35"/>
        <v>4.3437809855742158E-4</v>
      </c>
      <c r="AC124" s="18">
        <f t="shared" si="36"/>
        <v>-3.2235809632476754E-3</v>
      </c>
      <c r="AD124" s="18">
        <f t="shared" si="36"/>
        <v>-3.1634045117540244E-3</v>
      </c>
      <c r="AE124" s="18"/>
      <c r="AF124" s="18"/>
      <c r="AH124">
        <f t="shared" si="44"/>
        <v>0</v>
      </c>
      <c r="AI124">
        <f t="shared" si="45"/>
        <v>1</v>
      </c>
      <c r="AJ124">
        <f t="shared" si="46"/>
        <v>0</v>
      </c>
      <c r="AK124">
        <f t="shared" si="40"/>
        <v>0</v>
      </c>
      <c r="AL124" s="18">
        <f t="shared" si="47"/>
        <v>0</v>
      </c>
      <c r="AM124" s="18">
        <f t="shared" si="48"/>
        <v>0</v>
      </c>
      <c r="AN124" s="18">
        <f t="shared" si="49"/>
        <v>0</v>
      </c>
      <c r="AO124" s="19">
        <f t="shared" si="50"/>
        <v>1.7508819115689807E-2</v>
      </c>
      <c r="AQ124" s="18"/>
      <c r="AS124">
        <f t="shared" si="51"/>
        <v>0</v>
      </c>
      <c r="AT124">
        <f t="shared" si="52"/>
        <v>0</v>
      </c>
      <c r="AU124">
        <f t="shared" si="53"/>
        <v>0</v>
      </c>
      <c r="AV124">
        <f t="shared" si="54"/>
        <v>0</v>
      </c>
      <c r="AW124" s="18">
        <f t="shared" si="55"/>
        <v>0</v>
      </c>
      <c r="AX124" s="18">
        <f t="shared" si="56"/>
        <v>0</v>
      </c>
      <c r="AY124" s="18">
        <f t="shared" si="57"/>
        <v>0</v>
      </c>
      <c r="AZ124" s="19">
        <f t="shared" si="58"/>
        <v>1.4876946867788288E-2</v>
      </c>
      <c r="BB124" s="19">
        <f t="shared" si="59"/>
        <v>0</v>
      </c>
      <c r="BC124" s="19">
        <f t="shared" si="60"/>
        <v>3.2385765983478088E-2</v>
      </c>
    </row>
    <row r="125" spans="1:55" x14ac:dyDescent="0.3">
      <c r="A125" s="1">
        <v>46204</v>
      </c>
      <c r="B125" s="10">
        <v>21.59</v>
      </c>
      <c r="C125" s="10">
        <v>40.9</v>
      </c>
      <c r="D125" s="11">
        <v>1.8943955534969801</v>
      </c>
      <c r="E125" s="11">
        <v>1.8778822651217899</v>
      </c>
      <c r="F125" s="11">
        <v>1.8905043964469701</v>
      </c>
      <c r="G125" s="11">
        <v>1.8912065205561399</v>
      </c>
      <c r="H125" s="10">
        <v>40.543478103979503</v>
      </c>
      <c r="I125" s="10">
        <v>40.809103246579397</v>
      </c>
      <c r="J125" s="10">
        <v>40.835335881440997</v>
      </c>
      <c r="K125" s="12">
        <v>8.7551313296085793E-3</v>
      </c>
      <c r="L125" s="12">
        <v>2.2248877372236298E-3</v>
      </c>
      <c r="M125" s="12">
        <v>1.5822809401289601E-3</v>
      </c>
      <c r="N125" s="26">
        <v>0.26</v>
      </c>
      <c r="O125" s="23">
        <v>0</v>
      </c>
      <c r="P125" s="23">
        <f t="shared" si="41"/>
        <v>21.85</v>
      </c>
      <c r="Q125" s="23">
        <f t="shared" si="42"/>
        <v>40.9</v>
      </c>
      <c r="R125" s="14">
        <f t="shared" si="32"/>
        <v>1.8718535469107549</v>
      </c>
      <c r="S125" s="14">
        <f t="shared" si="33"/>
        <v>1.8657810486417497</v>
      </c>
      <c r="T125" s="14">
        <f t="shared" si="37"/>
        <v>1.8715851597362161</v>
      </c>
      <c r="U125" s="14">
        <f t="shared" si="39"/>
        <v>1.8725376489832652</v>
      </c>
      <c r="V125" s="16">
        <f t="shared" si="34"/>
        <v>40.767315912822234</v>
      </c>
      <c r="W125" s="16">
        <f t="shared" si="38"/>
        <v>40.896535291302541</v>
      </c>
      <c r="X125" s="16">
        <f t="shared" si="43"/>
        <v>40.9237591886383</v>
      </c>
      <c r="Y125" s="17">
        <f t="shared" si="35"/>
        <v>3.2493832432228744E-3</v>
      </c>
      <c r="Z125" s="17">
        <f t="shared" si="35"/>
        <v>8.4715292333394326E-5</v>
      </c>
      <c r="AA125" s="17">
        <f t="shared" si="35"/>
        <v>-5.8074059519255567E-4</v>
      </c>
      <c r="AC125" s="18">
        <f t="shared" si="36"/>
        <v>-4.1599320447295021E-3</v>
      </c>
      <c r="AD125" s="18">
        <f t="shared" si="36"/>
        <v>-3.1734434053387185E-3</v>
      </c>
      <c r="AE125" s="18"/>
      <c r="AF125" s="18"/>
      <c r="AH125">
        <f t="shared" si="44"/>
        <v>0</v>
      </c>
      <c r="AI125">
        <f t="shared" si="45"/>
        <v>0</v>
      </c>
      <c r="AJ125">
        <f t="shared" si="46"/>
        <v>0</v>
      </c>
      <c r="AK125">
        <f t="shared" si="40"/>
        <v>0</v>
      </c>
      <c r="AL125" s="18">
        <f t="shared" si="47"/>
        <v>0</v>
      </c>
      <c r="AM125" s="18">
        <f t="shared" si="48"/>
        <v>0</v>
      </c>
      <c r="AN125" s="18">
        <f t="shared" si="49"/>
        <v>0</v>
      </c>
      <c r="AO125" s="19">
        <f t="shared" si="50"/>
        <v>1.7508819115689807E-2</v>
      </c>
      <c r="AQ125" s="18"/>
      <c r="AS125">
        <f t="shared" si="51"/>
        <v>0</v>
      </c>
      <c r="AT125">
        <f t="shared" si="52"/>
        <v>1</v>
      </c>
      <c r="AU125">
        <f t="shared" si="53"/>
        <v>0</v>
      </c>
      <c r="AV125">
        <f t="shared" si="54"/>
        <v>0</v>
      </c>
      <c r="AW125" s="18">
        <f t="shared" si="55"/>
        <v>0</v>
      </c>
      <c r="AX125" s="18">
        <f t="shared" si="56"/>
        <v>0</v>
      </c>
      <c r="AY125" s="18">
        <f t="shared" si="57"/>
        <v>0</v>
      </c>
      <c r="AZ125" s="19">
        <f t="shared" si="58"/>
        <v>1.4876946867788288E-2</v>
      </c>
      <c r="BB125" s="19">
        <f t="shared" si="59"/>
        <v>0</v>
      </c>
      <c r="BC125" s="19">
        <f t="shared" si="60"/>
        <v>3.2385765983478088E-2</v>
      </c>
    </row>
    <row r="126" spans="1:55" x14ac:dyDescent="0.3">
      <c r="A126" s="1">
        <v>46205</v>
      </c>
      <c r="B126" s="10">
        <v>21.68</v>
      </c>
      <c r="C126" s="10">
        <v>41.04</v>
      </c>
      <c r="D126" s="11">
        <v>1.8929889298892899</v>
      </c>
      <c r="E126" s="11">
        <v>1.8778822651217899</v>
      </c>
      <c r="F126" s="11">
        <v>1.89082295107285</v>
      </c>
      <c r="G126" s="11">
        <v>1.8911780319203999</v>
      </c>
      <c r="H126" s="10">
        <v>40.7124875078405</v>
      </c>
      <c r="I126" s="10">
        <v>40.986135314970397</v>
      </c>
      <c r="J126" s="10">
        <v>41.0013573656571</v>
      </c>
      <c r="K126" s="12">
        <v>8.0123370986372004E-3</v>
      </c>
      <c r="L126" s="12">
        <v>1.3133543977250899E-3</v>
      </c>
      <c r="M126" s="12">
        <v>9.4202822677135801E-4</v>
      </c>
      <c r="N126" s="26">
        <v>0.26</v>
      </c>
      <c r="O126" s="23">
        <v>0</v>
      </c>
      <c r="P126" s="23">
        <f t="shared" si="41"/>
        <v>21.94</v>
      </c>
      <c r="Q126" s="23">
        <f t="shared" si="42"/>
        <v>41.04</v>
      </c>
      <c r="R126" s="14">
        <f t="shared" si="32"/>
        <v>1.8705560619872377</v>
      </c>
      <c r="S126" s="14">
        <f t="shared" si="33"/>
        <v>1.8657810486417497</v>
      </c>
      <c r="T126" s="14">
        <f t="shared" si="37"/>
        <v>1.8715001727721596</v>
      </c>
      <c r="U126" s="14">
        <f t="shared" si="39"/>
        <v>1.872308383546097</v>
      </c>
      <c r="V126" s="16">
        <f t="shared" si="34"/>
        <v>40.935236207199992</v>
      </c>
      <c r="W126" s="16">
        <f t="shared" si="38"/>
        <v>41.06257840461258</v>
      </c>
      <c r="X126" s="16">
        <f t="shared" si="43"/>
        <v>41.083476018692842</v>
      </c>
      <c r="Y126" s="17">
        <f t="shared" si="35"/>
        <v>2.555987751496052E-3</v>
      </c>
      <c r="Z126" s="17">
        <f t="shared" si="35"/>
        <v>-5.5000477745008368E-4</v>
      </c>
      <c r="AA126" s="17">
        <f t="shared" si="35"/>
        <v>-1.0587964577756603E-3</v>
      </c>
      <c r="AC126" s="18">
        <f t="shared" si="36"/>
        <v>4.1599320447295715E-3</v>
      </c>
      <c r="AD126" s="18">
        <f t="shared" si="36"/>
        <v>3.4171378137580373E-3</v>
      </c>
      <c r="AE126" s="18"/>
      <c r="AF126" s="18"/>
      <c r="AH126">
        <f t="shared" si="44"/>
        <v>1</v>
      </c>
      <c r="AI126">
        <f t="shared" si="45"/>
        <v>0</v>
      </c>
      <c r="AJ126">
        <f t="shared" si="46"/>
        <v>0</v>
      </c>
      <c r="AK126">
        <f t="shared" si="40"/>
        <v>0</v>
      </c>
      <c r="AL126" s="18">
        <f t="shared" si="47"/>
        <v>0</v>
      </c>
      <c r="AM126" s="18">
        <f t="shared" si="48"/>
        <v>0</v>
      </c>
      <c r="AN126" s="18">
        <f t="shared" si="49"/>
        <v>0</v>
      </c>
      <c r="AO126" s="19">
        <f t="shared" si="50"/>
        <v>1.7508819115689807E-2</v>
      </c>
      <c r="AQ126" s="18"/>
      <c r="AS126">
        <f t="shared" si="51"/>
        <v>0</v>
      </c>
      <c r="AT126">
        <f t="shared" si="52"/>
        <v>1</v>
      </c>
      <c r="AU126">
        <f t="shared" si="53"/>
        <v>0</v>
      </c>
      <c r="AV126">
        <f t="shared" si="54"/>
        <v>0</v>
      </c>
      <c r="AW126" s="18">
        <f t="shared" si="55"/>
        <v>0</v>
      </c>
      <c r="AX126" s="18">
        <f t="shared" si="56"/>
        <v>0</v>
      </c>
      <c r="AY126" s="18">
        <f t="shared" si="57"/>
        <v>0</v>
      </c>
      <c r="AZ126" s="19">
        <f t="shared" si="58"/>
        <v>1.4876946867788288E-2</v>
      </c>
      <c r="BB126" s="19">
        <f t="shared" si="59"/>
        <v>0</v>
      </c>
      <c r="BC126" s="19">
        <f t="shared" si="60"/>
        <v>3.2385765983478088E-2</v>
      </c>
    </row>
    <row r="127" spans="1:55" x14ac:dyDescent="0.3">
      <c r="A127" s="1">
        <v>46209</v>
      </c>
      <c r="B127" s="10">
        <v>21.67</v>
      </c>
      <c r="C127" s="10">
        <v>40.97</v>
      </c>
      <c r="D127" s="11">
        <v>1.89063221042916</v>
      </c>
      <c r="E127" s="11">
        <v>1.8778822651217899</v>
      </c>
      <c r="F127" s="11">
        <v>1.8910685735823101</v>
      </c>
      <c r="G127" s="11">
        <v>1.8909992001253999</v>
      </c>
      <c r="H127" s="10">
        <v>40.6937086851892</v>
      </c>
      <c r="I127" s="10">
        <v>40.974133349748598</v>
      </c>
      <c r="J127" s="10">
        <v>40.981827951715204</v>
      </c>
      <c r="K127" s="12">
        <v>6.7665888180803704E-3</v>
      </c>
      <c r="L127" s="12">
        <v>-1.00882139653797E-4</v>
      </c>
      <c r="M127" s="12">
        <v>-2.88656204334204E-4</v>
      </c>
      <c r="N127" s="26">
        <v>0.26</v>
      </c>
      <c r="O127" s="23">
        <v>0</v>
      </c>
      <c r="P127" s="23">
        <f t="shared" si="41"/>
        <v>21.930000000000003</v>
      </c>
      <c r="Q127" s="23">
        <f t="shared" si="42"/>
        <v>40.97</v>
      </c>
      <c r="R127" s="14">
        <f t="shared" si="32"/>
        <v>1.8682170542635657</v>
      </c>
      <c r="S127" s="14">
        <f t="shared" si="33"/>
        <v>1.8657810486417497</v>
      </c>
      <c r="T127" s="14">
        <f t="shared" si="37"/>
        <v>1.8713466115772319</v>
      </c>
      <c r="U127" s="14">
        <f t="shared" si="39"/>
        <v>1.8719283128002551</v>
      </c>
      <c r="V127" s="16">
        <f t="shared" si="34"/>
        <v>40.916578396713575</v>
      </c>
      <c r="W127" s="16">
        <f t="shared" si="38"/>
        <v>41.041998788893466</v>
      </c>
      <c r="X127" s="16">
        <f t="shared" si="43"/>
        <v>41.059722851165915</v>
      </c>
      <c r="Y127" s="17">
        <f t="shared" si="35"/>
        <v>1.3047708650488626E-3</v>
      </c>
      <c r="Z127" s="17">
        <f t="shared" si="35"/>
        <v>-1.7558115508373915E-3</v>
      </c>
      <c r="AA127" s="17">
        <f t="shared" si="35"/>
        <v>-2.1875701593959402E-3</v>
      </c>
      <c r="AC127" s="18">
        <f t="shared" si="36"/>
        <v>-4.6136102317763242E-4</v>
      </c>
      <c r="AD127" s="18">
        <f t="shared" si="36"/>
        <v>-1.7071093037344352E-3</v>
      </c>
      <c r="AE127" s="18"/>
      <c r="AF127" s="18"/>
      <c r="AH127">
        <f t="shared" si="44"/>
        <v>1</v>
      </c>
      <c r="AI127">
        <f t="shared" si="45"/>
        <v>0</v>
      </c>
      <c r="AJ127">
        <f t="shared" si="46"/>
        <v>1</v>
      </c>
      <c r="AK127">
        <f t="shared" si="40"/>
        <v>1</v>
      </c>
      <c r="AL127" s="18">
        <f t="shared" si="47"/>
        <v>4.6136102317763242E-4</v>
      </c>
      <c r="AM127" s="18">
        <f t="shared" si="48"/>
        <v>-1.7071093037344352E-3</v>
      </c>
      <c r="AN127" s="18">
        <f t="shared" si="49"/>
        <v>-1.2457482805568027E-3</v>
      </c>
      <c r="AO127" s="19">
        <f t="shared" si="50"/>
        <v>1.6263070835133005E-2</v>
      </c>
      <c r="AQ127" s="18"/>
      <c r="AS127">
        <f t="shared" si="51"/>
        <v>0</v>
      </c>
      <c r="AT127">
        <f t="shared" si="52"/>
        <v>1</v>
      </c>
      <c r="AU127">
        <f t="shared" si="53"/>
        <v>0</v>
      </c>
      <c r="AV127">
        <f t="shared" si="54"/>
        <v>0</v>
      </c>
      <c r="AW127" s="18">
        <f t="shared" si="55"/>
        <v>0</v>
      </c>
      <c r="AX127" s="18">
        <f t="shared" si="56"/>
        <v>0</v>
      </c>
      <c r="AY127" s="18">
        <f t="shared" si="57"/>
        <v>0</v>
      </c>
      <c r="AZ127" s="19">
        <f t="shared" si="58"/>
        <v>1.4876946867788288E-2</v>
      </c>
      <c r="BB127" s="19">
        <f t="shared" si="59"/>
        <v>-1.2457482805568027E-3</v>
      </c>
      <c r="BC127" s="19">
        <f t="shared" si="60"/>
        <v>3.1140017702921286E-2</v>
      </c>
    </row>
    <row r="128" spans="1:55" x14ac:dyDescent="0.3">
      <c r="A128" s="1">
        <v>46210</v>
      </c>
      <c r="B128" s="10">
        <v>21.55</v>
      </c>
      <c r="C128" s="10">
        <v>40.75</v>
      </c>
      <c r="D128" s="11">
        <v>1.8909512761020799</v>
      </c>
      <c r="E128" s="11">
        <v>1.8778822651217899</v>
      </c>
      <c r="F128" s="11">
        <v>1.89130550598073</v>
      </c>
      <c r="G128" s="11">
        <v>1.8908595514190101</v>
      </c>
      <c r="H128" s="10">
        <v>40.468362813374597</v>
      </c>
      <c r="I128" s="10">
        <v>40.752527760698797</v>
      </c>
      <c r="J128" s="10">
        <v>40.751032762702401</v>
      </c>
      <c r="K128" s="12">
        <v>6.9353359446834599E-3</v>
      </c>
      <c r="L128" s="12">
        <v>-6.2029013555675298E-5</v>
      </c>
      <c r="M128" s="12">
        <v>-2.5343548849443E-5</v>
      </c>
      <c r="N128" s="26">
        <v>0.26</v>
      </c>
      <c r="O128" s="23">
        <v>0</v>
      </c>
      <c r="P128" s="23">
        <f t="shared" si="41"/>
        <v>21.810000000000002</v>
      </c>
      <c r="Q128" s="23">
        <f t="shared" si="42"/>
        <v>40.75</v>
      </c>
      <c r="R128" s="14">
        <f t="shared" si="32"/>
        <v>1.8684089867033469</v>
      </c>
      <c r="S128" s="14">
        <f t="shared" si="33"/>
        <v>1.8657810486417497</v>
      </c>
      <c r="T128" s="14">
        <f t="shared" si="37"/>
        <v>1.8711804439152206</v>
      </c>
      <c r="U128" s="14">
        <f t="shared" si="39"/>
        <v>1.8715887985735911</v>
      </c>
      <c r="V128" s="16">
        <f t="shared" si="34"/>
        <v>40.692684670876567</v>
      </c>
      <c r="W128" s="16">
        <f t="shared" si="38"/>
        <v>40.81406959849943</v>
      </c>
      <c r="X128" s="16">
        <f t="shared" si="43"/>
        <v>40.826756502173566</v>
      </c>
      <c r="Y128" s="17">
        <f t="shared" si="35"/>
        <v>1.4075012094000962E-3</v>
      </c>
      <c r="Z128" s="17">
        <f t="shared" si="35"/>
        <v>-1.5710253790042318E-3</v>
      </c>
      <c r="AA128" s="17">
        <f t="shared" si="35"/>
        <v>-1.8818234045072143E-3</v>
      </c>
      <c r="AC128" s="18">
        <f t="shared" si="36"/>
        <v>-5.5529989985109258E-3</v>
      </c>
      <c r="AD128" s="18">
        <f t="shared" si="36"/>
        <v>-5.3842518719079734E-3</v>
      </c>
      <c r="AE128" s="18"/>
      <c r="AF128" s="18"/>
      <c r="AH128">
        <f t="shared" si="44"/>
        <v>1</v>
      </c>
      <c r="AI128">
        <f t="shared" si="45"/>
        <v>0</v>
      </c>
      <c r="AJ128">
        <f t="shared" si="46"/>
        <v>1</v>
      </c>
      <c r="AK128">
        <f t="shared" si="40"/>
        <v>1</v>
      </c>
      <c r="AL128" s="18">
        <f t="shared" si="47"/>
        <v>5.5529989985109258E-3</v>
      </c>
      <c r="AM128" s="18">
        <f t="shared" si="48"/>
        <v>-5.3842518719079734E-3</v>
      </c>
      <c r="AN128" s="18">
        <f t="shared" si="49"/>
        <v>1.6874712660295242E-4</v>
      </c>
      <c r="AO128" s="19">
        <f t="shared" si="50"/>
        <v>1.6431817961735956E-2</v>
      </c>
      <c r="AQ128" s="18"/>
      <c r="AS128">
        <f t="shared" si="51"/>
        <v>0</v>
      </c>
      <c r="AT128">
        <f t="shared" si="52"/>
        <v>1</v>
      </c>
      <c r="AU128">
        <f t="shared" si="53"/>
        <v>0</v>
      </c>
      <c r="AV128">
        <f t="shared" si="54"/>
        <v>0</v>
      </c>
      <c r="AW128" s="18">
        <f t="shared" si="55"/>
        <v>0</v>
      </c>
      <c r="AX128" s="18">
        <f t="shared" si="56"/>
        <v>0</v>
      </c>
      <c r="AY128" s="18">
        <f t="shared" si="57"/>
        <v>0</v>
      </c>
      <c r="AZ128" s="19">
        <f t="shared" si="58"/>
        <v>1.4876946867788288E-2</v>
      </c>
      <c r="BB128" s="19">
        <f t="shared" si="59"/>
        <v>1.6874712660295242E-4</v>
      </c>
      <c r="BC128" s="19">
        <f t="shared" si="60"/>
        <v>3.1308764829524237E-2</v>
      </c>
    </row>
    <row r="129" spans="1:55" x14ac:dyDescent="0.3">
      <c r="A129" s="1">
        <v>46211</v>
      </c>
      <c r="B129" s="10">
        <v>21.5</v>
      </c>
      <c r="C129" s="10">
        <v>40.659999999999997</v>
      </c>
      <c r="D129" s="11">
        <v>1.89116279069767</v>
      </c>
      <c r="E129" s="11">
        <v>1.8778822651217899</v>
      </c>
      <c r="F129" s="11">
        <v>1.8916354444875101</v>
      </c>
      <c r="G129" s="11">
        <v>1.89076331307371</v>
      </c>
      <c r="H129" s="10">
        <v>40.374468700118499</v>
      </c>
      <c r="I129" s="10">
        <v>40.663068378585798</v>
      </c>
      <c r="J129" s="10">
        <v>40.653480355508698</v>
      </c>
      <c r="K129" s="12">
        <v>7.04718587415183E-3</v>
      </c>
      <c r="L129" s="12">
        <v>-7.5461456347740197E-5</v>
      </c>
      <c r="M129" s="12">
        <v>1.6035826966808101E-4</v>
      </c>
      <c r="N129" s="26">
        <v>0.26</v>
      </c>
      <c r="O129" s="23">
        <v>0</v>
      </c>
      <c r="P129" s="23">
        <f t="shared" si="41"/>
        <v>21.76</v>
      </c>
      <c r="Q129" s="23">
        <f t="shared" si="42"/>
        <v>40.659999999999997</v>
      </c>
      <c r="R129" s="14">
        <f t="shared" si="32"/>
        <v>1.8685661764705879</v>
      </c>
      <c r="S129" s="14">
        <f t="shared" si="33"/>
        <v>1.8657810486417497</v>
      </c>
      <c r="T129" s="14">
        <f t="shared" si="37"/>
        <v>1.8711053731912493</v>
      </c>
      <c r="U129" s="14">
        <f t="shared" si="39"/>
        <v>1.8712913487842981</v>
      </c>
      <c r="V129" s="16">
        <f t="shared" si="34"/>
        <v>40.599395618444476</v>
      </c>
      <c r="W129" s="16">
        <f t="shared" si="38"/>
        <v>40.716886459595202</v>
      </c>
      <c r="X129" s="16">
        <f t="shared" si="43"/>
        <v>40.725772256961342</v>
      </c>
      <c r="Y129" s="17">
        <f t="shared" si="35"/>
        <v>1.4916279485247992E-3</v>
      </c>
      <c r="Z129" s="17">
        <f t="shared" si="35"/>
        <v>-1.3980989279969269E-3</v>
      </c>
      <c r="AA129" s="17">
        <f t="shared" si="35"/>
        <v>-1.6163088327674784E-3</v>
      </c>
      <c r="AC129" s="18">
        <f t="shared" si="36"/>
        <v>-2.3228814161397496E-3</v>
      </c>
      <c r="AD129" s="18">
        <f t="shared" si="36"/>
        <v>-2.2110314866712615E-3</v>
      </c>
      <c r="AE129" s="18"/>
      <c r="AF129" s="18"/>
      <c r="AH129">
        <f t="shared" si="44"/>
        <v>1</v>
      </c>
      <c r="AI129">
        <f t="shared" si="45"/>
        <v>0</v>
      </c>
      <c r="AJ129">
        <f t="shared" si="46"/>
        <v>1</v>
      </c>
      <c r="AK129">
        <f t="shared" si="40"/>
        <v>1</v>
      </c>
      <c r="AL129" s="18">
        <f t="shared" si="47"/>
        <v>2.3228814161397496E-3</v>
      </c>
      <c r="AM129" s="18">
        <f t="shared" si="48"/>
        <v>-2.2110314866712615E-3</v>
      </c>
      <c r="AN129" s="18">
        <f t="shared" si="49"/>
        <v>1.1184992946848809E-4</v>
      </c>
      <c r="AO129" s="19">
        <f t="shared" si="50"/>
        <v>1.6543667891204445E-2</v>
      </c>
      <c r="AQ129" s="18"/>
      <c r="AS129">
        <f t="shared" si="51"/>
        <v>0</v>
      </c>
      <c r="AT129">
        <f t="shared" si="52"/>
        <v>1</v>
      </c>
      <c r="AU129">
        <f t="shared" si="53"/>
        <v>0</v>
      </c>
      <c r="AV129">
        <f t="shared" si="54"/>
        <v>0</v>
      </c>
      <c r="AW129" s="18">
        <f t="shared" si="55"/>
        <v>0</v>
      </c>
      <c r="AX129" s="18">
        <f t="shared" si="56"/>
        <v>0</v>
      </c>
      <c r="AY129" s="18">
        <f t="shared" si="57"/>
        <v>0</v>
      </c>
      <c r="AZ129" s="19">
        <f t="shared" si="58"/>
        <v>1.4876946867788288E-2</v>
      </c>
      <c r="BB129" s="19">
        <f t="shared" si="59"/>
        <v>1.1184992946848809E-4</v>
      </c>
      <c r="BC129" s="19">
        <f t="shared" si="60"/>
        <v>3.1420614758992722E-2</v>
      </c>
    </row>
    <row r="130" spans="1:55" x14ac:dyDescent="0.3">
      <c r="A130" s="1">
        <v>46212</v>
      </c>
      <c r="B130" s="10">
        <v>21.52</v>
      </c>
      <c r="C130" s="10">
        <v>40.75</v>
      </c>
      <c r="D130" s="11">
        <v>1.8935873605947899</v>
      </c>
      <c r="E130" s="11">
        <v>1.8778822651217899</v>
      </c>
      <c r="F130" s="11">
        <v>1.89184367269842</v>
      </c>
      <c r="G130" s="11">
        <v>1.8909752798178601</v>
      </c>
      <c r="H130" s="10">
        <v>40.412026345420998</v>
      </c>
      <c r="I130" s="10">
        <v>40.707994765371197</v>
      </c>
      <c r="J130" s="10">
        <v>40.689226497346198</v>
      </c>
      <c r="K130" s="12">
        <v>8.3284172008564802E-3</v>
      </c>
      <c r="L130" s="12">
        <v>1.0313349468760401E-3</v>
      </c>
      <c r="M130" s="12">
        <v>1.4924875038422999E-3</v>
      </c>
      <c r="N130" s="26">
        <v>0.26</v>
      </c>
      <c r="O130" s="23">
        <v>0</v>
      </c>
      <c r="P130" s="23">
        <f t="shared" si="41"/>
        <v>21.78</v>
      </c>
      <c r="Q130" s="23">
        <f t="shared" si="42"/>
        <v>40.75</v>
      </c>
      <c r="R130" s="14">
        <f t="shared" si="32"/>
        <v>1.8709825528007344</v>
      </c>
      <c r="S130" s="14">
        <f t="shared" si="33"/>
        <v>1.8657810486417497</v>
      </c>
      <c r="T130" s="14">
        <f t="shared" si="37"/>
        <v>1.8709121998998941</v>
      </c>
      <c r="U130" s="14">
        <f t="shared" si="39"/>
        <v>1.871296489154501</v>
      </c>
      <c r="V130" s="16">
        <f t="shared" si="34"/>
        <v>40.636711239417309</v>
      </c>
      <c r="W130" s="16">
        <f t="shared" si="38"/>
        <v>40.752675028105408</v>
      </c>
      <c r="X130" s="16">
        <f t="shared" si="43"/>
        <v>40.756725576522015</v>
      </c>
      <c r="Y130" s="17">
        <f t="shared" si="35"/>
        <v>2.7839639181235177E-3</v>
      </c>
      <c r="Z130" s="17">
        <f t="shared" si="35"/>
        <v>-6.5642706952800952E-5</v>
      </c>
      <c r="AA130" s="17">
        <f t="shared" si="35"/>
        <v>-1.65031204227779E-4</v>
      </c>
      <c r="AC130" s="18">
        <f t="shared" si="36"/>
        <v>9.2980015996652738E-4</v>
      </c>
      <c r="AD130" s="18">
        <f t="shared" si="36"/>
        <v>2.2110314866712138E-3</v>
      </c>
      <c r="AE130" s="18"/>
      <c r="AF130" s="18"/>
      <c r="AH130">
        <f t="shared" si="44"/>
        <v>0</v>
      </c>
      <c r="AI130">
        <f t="shared" si="45"/>
        <v>0</v>
      </c>
      <c r="AJ130">
        <f t="shared" si="46"/>
        <v>1</v>
      </c>
      <c r="AK130">
        <f t="shared" si="40"/>
        <v>1</v>
      </c>
      <c r="AL130" s="18">
        <f t="shared" si="47"/>
        <v>-9.2980015996652738E-4</v>
      </c>
      <c r="AM130" s="18">
        <f t="shared" si="48"/>
        <v>2.2110314866712138E-3</v>
      </c>
      <c r="AN130" s="18">
        <f t="shared" si="49"/>
        <v>1.2812313267046864E-3</v>
      </c>
      <c r="AO130" s="19">
        <f t="shared" si="50"/>
        <v>1.782489921790913E-2</v>
      </c>
      <c r="AQ130" s="18"/>
      <c r="AS130">
        <f t="shared" si="51"/>
        <v>0</v>
      </c>
      <c r="AT130">
        <f t="shared" si="52"/>
        <v>1</v>
      </c>
      <c r="AU130">
        <f t="shared" si="53"/>
        <v>0</v>
      </c>
      <c r="AV130">
        <f t="shared" si="54"/>
        <v>0</v>
      </c>
      <c r="AW130" s="18">
        <f t="shared" si="55"/>
        <v>0</v>
      </c>
      <c r="AX130" s="18">
        <f t="shared" si="56"/>
        <v>0</v>
      </c>
      <c r="AY130" s="18">
        <f t="shared" si="57"/>
        <v>0</v>
      </c>
      <c r="AZ130" s="19">
        <f t="shared" si="58"/>
        <v>1.4876946867788288E-2</v>
      </c>
      <c r="BB130" s="19">
        <f t="shared" si="59"/>
        <v>1.2812313267046864E-3</v>
      </c>
      <c r="BC130" s="19">
        <f t="shared" si="60"/>
        <v>3.2701846085697407E-2</v>
      </c>
    </row>
    <row r="131" spans="1:55" x14ac:dyDescent="0.3">
      <c r="A131" s="1">
        <v>46213</v>
      </c>
      <c r="B131" s="10">
        <v>21.59</v>
      </c>
      <c r="C131" s="10">
        <v>40.840000000000003</v>
      </c>
      <c r="D131" s="11">
        <v>1.89161648911533</v>
      </c>
      <c r="E131" s="11">
        <v>1.8778822651217899</v>
      </c>
      <c r="F131" s="11">
        <v>1.8918909304660401</v>
      </c>
      <c r="G131" s="11">
        <v>1.8909888851207699</v>
      </c>
      <c r="H131" s="10">
        <v>40.543478103979503</v>
      </c>
      <c r="I131" s="10">
        <v>40.844904893558898</v>
      </c>
      <c r="J131" s="10">
        <v>40.826156291267701</v>
      </c>
      <c r="K131" s="12">
        <v>7.2870615773174396E-3</v>
      </c>
      <c r="L131" s="12">
        <v>-1.20093022602446E-4</v>
      </c>
      <c r="M131" s="12">
        <v>3.3903172363081299E-4</v>
      </c>
      <c r="N131" s="26">
        <v>0.26</v>
      </c>
      <c r="O131" s="23">
        <v>0</v>
      </c>
      <c r="P131" s="23">
        <f t="shared" si="41"/>
        <v>21.85</v>
      </c>
      <c r="Q131" s="23">
        <f t="shared" si="42"/>
        <v>40.840000000000003</v>
      </c>
      <c r="R131" s="14">
        <f t="shared" ref="R131:R156" si="61">Q131/P131</f>
        <v>1.8691075514874143</v>
      </c>
      <c r="S131" s="14">
        <f t="shared" ref="S131:S156" si="62">AVERAGE(R:R)</f>
        <v>1.8657810486417497</v>
      </c>
      <c r="T131" s="14">
        <f t="shared" si="37"/>
        <v>1.8705655903534997</v>
      </c>
      <c r="U131" s="14">
        <f t="shared" si="39"/>
        <v>1.8711115658398818</v>
      </c>
      <c r="V131" s="16">
        <f t="shared" si="34"/>
        <v>40.767315912822234</v>
      </c>
      <c r="W131" s="16">
        <f t="shared" si="38"/>
        <v>40.879431567812688</v>
      </c>
      <c r="X131" s="16">
        <f t="shared" si="43"/>
        <v>40.887828288025851</v>
      </c>
      <c r="Y131" s="17">
        <f t="shared" si="35"/>
        <v>1.781313490931774E-3</v>
      </c>
      <c r="Z131" s="17">
        <f t="shared" si="35"/>
        <v>-9.6504760536018583E-4</v>
      </c>
      <c r="AA131" s="17">
        <f t="shared" si="35"/>
        <v>-1.1704285917716649E-3</v>
      </c>
      <c r="AC131" s="18">
        <f t="shared" si="36"/>
        <v>3.2475092331322323E-3</v>
      </c>
      <c r="AD131" s="18">
        <f t="shared" si="36"/>
        <v>2.2061536095932116E-3</v>
      </c>
      <c r="AE131" s="18"/>
      <c r="AF131" s="18"/>
      <c r="AH131">
        <f t="shared" si="44"/>
        <v>1</v>
      </c>
      <c r="AI131">
        <f t="shared" si="45"/>
        <v>0</v>
      </c>
      <c r="AJ131">
        <f t="shared" si="46"/>
        <v>1</v>
      </c>
      <c r="AK131">
        <f t="shared" si="40"/>
        <v>1</v>
      </c>
      <c r="AL131" s="18">
        <f t="shared" si="47"/>
        <v>-3.2475092331322323E-3</v>
      </c>
      <c r="AM131" s="18">
        <f t="shared" si="48"/>
        <v>2.2061536095932116E-3</v>
      </c>
      <c r="AN131" s="18">
        <f t="shared" si="49"/>
        <v>-1.0413556235390206E-3</v>
      </c>
      <c r="AO131" s="19">
        <f t="shared" si="50"/>
        <v>1.678354359437011E-2</v>
      </c>
      <c r="AQ131" s="18"/>
      <c r="AS131">
        <f t="shared" si="51"/>
        <v>0</v>
      </c>
      <c r="AT131">
        <f t="shared" si="52"/>
        <v>1</v>
      </c>
      <c r="AU131">
        <f t="shared" si="53"/>
        <v>0</v>
      </c>
      <c r="AV131">
        <f t="shared" si="54"/>
        <v>0</v>
      </c>
      <c r="AW131" s="18">
        <f t="shared" si="55"/>
        <v>0</v>
      </c>
      <c r="AX131" s="18">
        <f t="shared" si="56"/>
        <v>0</v>
      </c>
      <c r="AY131" s="18">
        <f t="shared" si="57"/>
        <v>0</v>
      </c>
      <c r="AZ131" s="19">
        <f t="shared" si="58"/>
        <v>1.4876946867788288E-2</v>
      </c>
      <c r="BB131" s="19">
        <f t="shared" si="59"/>
        <v>-1.0413556235390206E-3</v>
      </c>
      <c r="BC131" s="19">
        <f t="shared" si="60"/>
        <v>3.1660490462158387E-2</v>
      </c>
    </row>
    <row r="132" spans="1:55" x14ac:dyDescent="0.3">
      <c r="A132" s="1">
        <v>46216</v>
      </c>
      <c r="B132" s="10">
        <v>21.45</v>
      </c>
      <c r="C132" s="10">
        <v>40.58</v>
      </c>
      <c r="D132" s="11">
        <v>1.8918414918414901</v>
      </c>
      <c r="E132" s="11">
        <v>1.8778822651217899</v>
      </c>
      <c r="F132" s="11">
        <v>1.8922117570546999</v>
      </c>
      <c r="G132" s="11">
        <v>1.89100484303099</v>
      </c>
      <c r="H132" s="10">
        <v>40.2805745868624</v>
      </c>
      <c r="I132" s="10">
        <v>40.581060458496601</v>
      </c>
      <c r="J132" s="10">
        <v>40.561711585840698</v>
      </c>
      <c r="K132" s="12">
        <v>7.4060018312111899E-3</v>
      </c>
      <c r="L132" s="12">
        <v>-2.6132199129015001E-5</v>
      </c>
      <c r="M132" s="12">
        <v>4.5077714313743802E-4</v>
      </c>
      <c r="N132" s="26">
        <v>0.26</v>
      </c>
      <c r="O132" s="23">
        <v>0</v>
      </c>
      <c r="P132" s="23">
        <f t="shared" si="41"/>
        <v>21.71</v>
      </c>
      <c r="Q132" s="23">
        <f t="shared" si="42"/>
        <v>40.58</v>
      </c>
      <c r="R132" s="14">
        <f t="shared" si="61"/>
        <v>1.8691847075080605</v>
      </c>
      <c r="S132" s="14">
        <f t="shared" si="62"/>
        <v>1.8657810486417497</v>
      </c>
      <c r="T132" s="14">
        <f t="shared" si="37"/>
        <v>1.8704710740913193</v>
      </c>
      <c r="U132" s="14">
        <f t="shared" si="39"/>
        <v>1.8709124848081533</v>
      </c>
      <c r="V132" s="16">
        <f t="shared" ref="V132:V156" si="63">S131*P132</f>
        <v>40.506106566012384</v>
      </c>
      <c r="W132" s="16">
        <f t="shared" si="38"/>
        <v>40.609978966574481</v>
      </c>
      <c r="X132" s="16">
        <f t="shared" si="43"/>
        <v>40.621832094383834</v>
      </c>
      <c r="Y132" s="17">
        <f t="shared" ref="Y132:AA156" si="64">LN($C132/V132)</f>
        <v>1.8225922435343362E-3</v>
      </c>
      <c r="Z132" s="17">
        <f t="shared" si="64"/>
        <v>-7.384893633063744E-4</v>
      </c>
      <c r="AA132" s="17">
        <f t="shared" si="64"/>
        <v>-1.0303239965286347E-3</v>
      </c>
      <c r="AC132" s="18">
        <f t="shared" ref="AC132:AD156" si="65">LN(B132/B131)</f>
        <v>-6.505599152690035E-3</v>
      </c>
      <c r="AD132" s="18">
        <f t="shared" si="65"/>
        <v>-6.3866588987961919E-3</v>
      </c>
      <c r="AE132" s="18"/>
      <c r="AF132" s="18"/>
      <c r="AH132">
        <f t="shared" si="44"/>
        <v>1</v>
      </c>
      <c r="AI132">
        <f t="shared" si="45"/>
        <v>0</v>
      </c>
      <c r="AJ132">
        <f t="shared" si="46"/>
        <v>1</v>
      </c>
      <c r="AK132">
        <f t="shared" si="40"/>
        <v>1</v>
      </c>
      <c r="AL132" s="18">
        <f t="shared" si="47"/>
        <v>6.505599152690035E-3</v>
      </c>
      <c r="AM132" s="18">
        <f t="shared" si="48"/>
        <v>-6.3866588987961919E-3</v>
      </c>
      <c r="AN132" s="18">
        <f t="shared" si="49"/>
        <v>1.1894025389384312E-4</v>
      </c>
      <c r="AO132" s="19">
        <f t="shared" si="50"/>
        <v>1.6902483848263955E-2</v>
      </c>
      <c r="AQ132" s="18"/>
      <c r="AS132">
        <f t="shared" si="51"/>
        <v>0</v>
      </c>
      <c r="AT132">
        <f t="shared" si="52"/>
        <v>1</v>
      </c>
      <c r="AU132">
        <f t="shared" si="53"/>
        <v>0</v>
      </c>
      <c r="AV132">
        <f t="shared" si="54"/>
        <v>0</v>
      </c>
      <c r="AW132" s="18">
        <f t="shared" si="55"/>
        <v>0</v>
      </c>
      <c r="AX132" s="18">
        <f t="shared" si="56"/>
        <v>0</v>
      </c>
      <c r="AY132" s="18">
        <f t="shared" si="57"/>
        <v>0</v>
      </c>
      <c r="AZ132" s="19">
        <f t="shared" si="58"/>
        <v>1.4876946867788288E-2</v>
      </c>
      <c r="BB132" s="19">
        <f t="shared" si="59"/>
        <v>1.1894025389384312E-4</v>
      </c>
      <c r="BC132" s="19">
        <f t="shared" si="60"/>
        <v>3.1779430716052229E-2</v>
      </c>
    </row>
    <row r="133" spans="1:55" x14ac:dyDescent="0.3">
      <c r="A133" s="1">
        <v>46217</v>
      </c>
      <c r="B133" s="10">
        <v>21.59</v>
      </c>
      <c r="C133" s="10">
        <v>40.799999999999997</v>
      </c>
      <c r="D133" s="11">
        <v>1.8897637795275499</v>
      </c>
      <c r="E133" s="11">
        <v>1.8778822651217899</v>
      </c>
      <c r="F133" s="11">
        <v>1.8919467556971099</v>
      </c>
      <c r="G133" s="11">
        <v>1.89093970475121</v>
      </c>
      <c r="H133" s="10">
        <v>40.543478103979503</v>
      </c>
      <c r="I133" s="10">
        <v>40.852851834810998</v>
      </c>
      <c r="J133" s="10">
        <v>40.826794561039101</v>
      </c>
      <c r="K133" s="12">
        <v>6.3071496909684402E-3</v>
      </c>
      <c r="L133" s="12">
        <v>-1.29454981680236E-3</v>
      </c>
      <c r="M133" s="12">
        <v>-6.56513884825363E-4</v>
      </c>
      <c r="N133" s="26">
        <v>0.26</v>
      </c>
      <c r="O133" s="23">
        <v>0</v>
      </c>
      <c r="P133" s="23">
        <f t="shared" si="41"/>
        <v>21.85</v>
      </c>
      <c r="Q133" s="23">
        <f t="shared" si="42"/>
        <v>40.799999999999997</v>
      </c>
      <c r="R133" s="14">
        <f t="shared" si="61"/>
        <v>1.8672768878718533</v>
      </c>
      <c r="S133" s="14">
        <f t="shared" si="62"/>
        <v>1.8657810486417497</v>
      </c>
      <c r="T133" s="14">
        <f t="shared" si="37"/>
        <v>1.8698097348794147</v>
      </c>
      <c r="U133" s="14">
        <f t="shared" si="39"/>
        <v>1.8706405810636277</v>
      </c>
      <c r="V133" s="16">
        <f t="shared" si="63"/>
        <v>40.767315912822234</v>
      </c>
      <c r="W133" s="16">
        <f t="shared" si="38"/>
        <v>40.869792968895332</v>
      </c>
      <c r="X133" s="16">
        <f t="shared" si="43"/>
        <v>40.879437793058152</v>
      </c>
      <c r="Y133" s="17">
        <f t="shared" si="64"/>
        <v>8.0140160458293881E-4</v>
      </c>
      <c r="Z133" s="17">
        <f t="shared" si="64"/>
        <v>-1.7091505524404649E-3</v>
      </c>
      <c r="AA133" s="17">
        <f t="shared" si="64"/>
        <v>-1.945111774770604E-3</v>
      </c>
      <c r="AC133" s="18">
        <f t="shared" si="65"/>
        <v>6.5055991526899639E-3</v>
      </c>
      <c r="AD133" s="18">
        <f t="shared" si="65"/>
        <v>5.4067470124472515E-3</v>
      </c>
      <c r="AE133" s="18"/>
      <c r="AF133" s="18"/>
      <c r="AH133">
        <f t="shared" si="44"/>
        <v>1</v>
      </c>
      <c r="AI133">
        <f t="shared" si="45"/>
        <v>0</v>
      </c>
      <c r="AJ133">
        <f t="shared" si="46"/>
        <v>1</v>
      </c>
      <c r="AK133">
        <f t="shared" si="40"/>
        <v>1</v>
      </c>
      <c r="AL133" s="18">
        <f t="shared" si="47"/>
        <v>-6.5055991526899639E-3</v>
      </c>
      <c r="AM133" s="18">
        <f t="shared" si="48"/>
        <v>5.4067470124472515E-3</v>
      </c>
      <c r="AN133" s="18">
        <f t="shared" si="49"/>
        <v>-1.0988521402427124E-3</v>
      </c>
      <c r="AO133" s="19">
        <f t="shared" si="50"/>
        <v>1.5803631708021244E-2</v>
      </c>
      <c r="AQ133" s="18"/>
      <c r="AS133">
        <f t="shared" si="51"/>
        <v>0</v>
      </c>
      <c r="AT133">
        <f t="shared" si="52"/>
        <v>1</v>
      </c>
      <c r="AU133">
        <f t="shared" si="53"/>
        <v>0</v>
      </c>
      <c r="AV133">
        <f t="shared" si="54"/>
        <v>0</v>
      </c>
      <c r="AW133" s="18">
        <f t="shared" si="55"/>
        <v>0</v>
      </c>
      <c r="AX133" s="18">
        <f t="shared" si="56"/>
        <v>0</v>
      </c>
      <c r="AY133" s="18">
        <f t="shared" si="57"/>
        <v>0</v>
      </c>
      <c r="AZ133" s="19">
        <f t="shared" si="58"/>
        <v>1.4876946867788288E-2</v>
      </c>
      <c r="BB133" s="19">
        <f t="shared" si="59"/>
        <v>-1.0988521402427124E-3</v>
      </c>
      <c r="BC133" s="19">
        <f t="shared" si="60"/>
        <v>3.0680578575809518E-2</v>
      </c>
    </row>
    <row r="134" spans="1:55" x14ac:dyDescent="0.3">
      <c r="A134" s="1">
        <v>46218</v>
      </c>
      <c r="B134" s="10">
        <v>21.66</v>
      </c>
      <c r="C134" s="10">
        <v>41</v>
      </c>
      <c r="D134" s="11">
        <v>1.8928901200369299</v>
      </c>
      <c r="E134" s="11">
        <v>1.8778822651217899</v>
      </c>
      <c r="F134" s="11">
        <v>1.8919830001731299</v>
      </c>
      <c r="G134" s="11">
        <v>1.8910842107530601</v>
      </c>
      <c r="H134" s="10">
        <v>40.674929862538001</v>
      </c>
      <c r="I134" s="10">
        <v>40.979566728399497</v>
      </c>
      <c r="J134" s="10">
        <v>40.957754004911301</v>
      </c>
      <c r="K134" s="12">
        <v>7.9601379390316692E-3</v>
      </c>
      <c r="L134" s="12">
        <v>4.9849670690083796E-4</v>
      </c>
      <c r="M134" s="12">
        <v>1.03092134095496E-3</v>
      </c>
      <c r="N134" s="26">
        <v>0.26</v>
      </c>
      <c r="O134" s="23">
        <v>0</v>
      </c>
      <c r="P134" s="23">
        <f t="shared" si="41"/>
        <v>21.92</v>
      </c>
      <c r="Q134" s="23">
        <f t="shared" si="42"/>
        <v>41</v>
      </c>
      <c r="R134" s="14">
        <f t="shared" si="61"/>
        <v>1.8704379562043794</v>
      </c>
      <c r="S134" s="14">
        <f t="shared" si="62"/>
        <v>1.8657810486417497</v>
      </c>
      <c r="T134" s="14">
        <f t="shared" si="37"/>
        <v>1.8694591482207936</v>
      </c>
      <c r="U134" s="14">
        <f t="shared" si="39"/>
        <v>1.8705770636138872</v>
      </c>
      <c r="V134" s="16">
        <f t="shared" si="63"/>
        <v>40.897920586227158</v>
      </c>
      <c r="W134" s="16">
        <f t="shared" si="38"/>
        <v>40.986229388556772</v>
      </c>
      <c r="X134" s="16">
        <f t="shared" si="43"/>
        <v>41.004441536914726</v>
      </c>
      <c r="Y134" s="17">
        <f t="shared" si="64"/>
        <v>2.4928463605591177E-3</v>
      </c>
      <c r="Z134" s="17">
        <f t="shared" si="64"/>
        <v>3.3592498826754503E-4</v>
      </c>
      <c r="AA134" s="17">
        <f t="shared" si="64"/>
        <v>-1.0832430136283479E-4</v>
      </c>
      <c r="AC134" s="18">
        <f t="shared" si="65"/>
        <v>3.2369970461284705E-3</v>
      </c>
      <c r="AD134" s="18">
        <f t="shared" si="65"/>
        <v>4.8899852941917702E-3</v>
      </c>
      <c r="AE134" s="18"/>
      <c r="AF134" s="18"/>
      <c r="AH134">
        <f t="shared" si="44"/>
        <v>0</v>
      </c>
      <c r="AI134">
        <f t="shared" si="45"/>
        <v>0</v>
      </c>
      <c r="AJ134">
        <f t="shared" si="46"/>
        <v>1</v>
      </c>
      <c r="AK134">
        <f t="shared" si="40"/>
        <v>1</v>
      </c>
      <c r="AL134" s="18">
        <f t="shared" si="47"/>
        <v>-3.2369970461284705E-3</v>
      </c>
      <c r="AM134" s="18">
        <f t="shared" si="48"/>
        <v>4.8899852941917702E-3</v>
      </c>
      <c r="AN134" s="18">
        <f t="shared" si="49"/>
        <v>1.6529882480632997E-3</v>
      </c>
      <c r="AO134" s="19">
        <f t="shared" si="50"/>
        <v>1.7456619956084544E-2</v>
      </c>
      <c r="AQ134" s="18"/>
      <c r="AS134">
        <f t="shared" si="51"/>
        <v>0</v>
      </c>
      <c r="AT134">
        <f t="shared" si="52"/>
        <v>1</v>
      </c>
      <c r="AU134">
        <f t="shared" si="53"/>
        <v>0</v>
      </c>
      <c r="AV134">
        <f t="shared" si="54"/>
        <v>0</v>
      </c>
      <c r="AW134" s="18">
        <f t="shared" si="55"/>
        <v>0</v>
      </c>
      <c r="AX134" s="18">
        <f t="shared" si="56"/>
        <v>0</v>
      </c>
      <c r="AY134" s="18">
        <f t="shared" si="57"/>
        <v>0</v>
      </c>
      <c r="AZ134" s="19">
        <f t="shared" si="58"/>
        <v>1.4876946867788288E-2</v>
      </c>
      <c r="BB134" s="19">
        <f t="shared" si="59"/>
        <v>1.6529882480632997E-3</v>
      </c>
      <c r="BC134" s="19">
        <f t="shared" si="60"/>
        <v>3.2333566823872818E-2</v>
      </c>
    </row>
    <row r="135" spans="1:55" x14ac:dyDescent="0.3">
      <c r="A135" s="1">
        <v>46219</v>
      </c>
      <c r="B135" s="10">
        <v>21.59</v>
      </c>
      <c r="C135" s="10">
        <v>40.85</v>
      </c>
      <c r="D135" s="11">
        <v>1.8920796665122701</v>
      </c>
      <c r="E135" s="11">
        <v>1.8778822651217899</v>
      </c>
      <c r="F135" s="11">
        <v>1.8917514114746601</v>
      </c>
      <c r="G135" s="11">
        <v>1.89112790396081</v>
      </c>
      <c r="H135" s="10">
        <v>40.543478103979503</v>
      </c>
      <c r="I135" s="10">
        <v>40.847912973737898</v>
      </c>
      <c r="J135" s="10">
        <v>40.828508110158602</v>
      </c>
      <c r="K135" s="12">
        <v>7.5318895868644702E-3</v>
      </c>
      <c r="L135" s="12">
        <v>5.1091299313656098E-5</v>
      </c>
      <c r="M135" s="12">
        <v>5.2625570262232197E-4</v>
      </c>
      <c r="N135" s="26">
        <v>0.26</v>
      </c>
      <c r="O135" s="23">
        <v>0</v>
      </c>
      <c r="P135" s="23">
        <f t="shared" si="41"/>
        <v>21.85</v>
      </c>
      <c r="Q135" s="23">
        <f t="shared" si="42"/>
        <v>40.85</v>
      </c>
      <c r="R135" s="14">
        <f t="shared" si="61"/>
        <v>1.8695652173913042</v>
      </c>
      <c r="S135" s="14">
        <f t="shared" si="62"/>
        <v>1.8657810486417497</v>
      </c>
      <c r="T135" s="14">
        <f t="shared" si="37"/>
        <v>1.8692303152688481</v>
      </c>
      <c r="U135" s="14">
        <f t="shared" si="39"/>
        <v>1.8704077375025321</v>
      </c>
      <c r="V135" s="16">
        <f t="shared" si="63"/>
        <v>40.767315912822234</v>
      </c>
      <c r="W135" s="16">
        <f t="shared" si="38"/>
        <v>40.847682388624342</v>
      </c>
      <c r="X135" s="16">
        <f t="shared" si="43"/>
        <v>40.872108839963438</v>
      </c>
      <c r="Y135" s="17">
        <f t="shared" si="64"/>
        <v>2.0261415004789794E-3</v>
      </c>
      <c r="Z135" s="17">
        <f t="shared" si="64"/>
        <v>5.6736282071250214E-5</v>
      </c>
      <c r="AA135" s="17">
        <f t="shared" si="64"/>
        <v>-5.4107366578404453E-4</v>
      </c>
      <c r="AC135" s="18">
        <f t="shared" si="65"/>
        <v>-3.2369970461285365E-3</v>
      </c>
      <c r="AD135" s="18">
        <f t="shared" si="65"/>
        <v>-3.6652453982959172E-3</v>
      </c>
      <c r="AE135" s="18"/>
      <c r="AF135" s="18"/>
      <c r="AH135">
        <f t="shared" si="44"/>
        <v>0</v>
      </c>
      <c r="AI135">
        <f t="shared" si="45"/>
        <v>0</v>
      </c>
      <c r="AJ135">
        <f t="shared" si="46"/>
        <v>1</v>
      </c>
      <c r="AK135">
        <f t="shared" si="40"/>
        <v>1</v>
      </c>
      <c r="AL135" s="18">
        <f t="shared" si="47"/>
        <v>3.2369970461285365E-3</v>
      </c>
      <c r="AM135" s="18">
        <f t="shared" si="48"/>
        <v>-3.6652453982959172E-3</v>
      </c>
      <c r="AN135" s="18">
        <f t="shared" si="49"/>
        <v>-4.2824835216738076E-4</v>
      </c>
      <c r="AO135" s="19">
        <f t="shared" si="50"/>
        <v>1.7028371603917163E-2</v>
      </c>
      <c r="AQ135" s="18"/>
      <c r="AS135">
        <f t="shared" si="51"/>
        <v>0</v>
      </c>
      <c r="AT135">
        <f t="shared" si="52"/>
        <v>1</v>
      </c>
      <c r="AU135">
        <f t="shared" si="53"/>
        <v>0</v>
      </c>
      <c r="AV135">
        <f t="shared" si="54"/>
        <v>0</v>
      </c>
      <c r="AW135" s="18">
        <f t="shared" si="55"/>
        <v>0</v>
      </c>
      <c r="AX135" s="18">
        <f t="shared" si="56"/>
        <v>0</v>
      </c>
      <c r="AY135" s="18">
        <f t="shared" si="57"/>
        <v>0</v>
      </c>
      <c r="AZ135" s="19">
        <f t="shared" si="58"/>
        <v>1.4876946867788288E-2</v>
      </c>
      <c r="BB135" s="19">
        <f t="shared" si="59"/>
        <v>-4.2824835216738076E-4</v>
      </c>
      <c r="BC135" s="19">
        <f t="shared" si="60"/>
        <v>3.1905318471705441E-2</v>
      </c>
    </row>
    <row r="136" spans="1:55" x14ac:dyDescent="0.3">
      <c r="A136" s="1">
        <v>46220</v>
      </c>
      <c r="B136" s="10">
        <v>21.56</v>
      </c>
      <c r="C136" s="10">
        <v>40.770000000000003</v>
      </c>
      <c r="D136" s="11">
        <v>1.89100185528756</v>
      </c>
      <c r="E136" s="11">
        <v>1.8778822651217899</v>
      </c>
      <c r="F136" s="11">
        <v>1.8915527040144799</v>
      </c>
      <c r="G136" s="11">
        <v>1.89118782754367</v>
      </c>
      <c r="H136" s="10">
        <v>40.487141636025797</v>
      </c>
      <c r="I136" s="10">
        <v>40.786160431393597</v>
      </c>
      <c r="J136" s="10">
        <v>40.772717609395201</v>
      </c>
      <c r="K136" s="12">
        <v>6.9620835979342099E-3</v>
      </c>
      <c r="L136" s="12">
        <v>-3.9630192298685502E-4</v>
      </c>
      <c r="M136" s="12">
        <v>-6.6654864491360593E-5</v>
      </c>
      <c r="N136" s="26">
        <v>0.26</v>
      </c>
      <c r="O136" s="23">
        <v>0</v>
      </c>
      <c r="P136" s="23">
        <f t="shared" si="41"/>
        <v>21.82</v>
      </c>
      <c r="Q136" s="23">
        <f t="shared" si="42"/>
        <v>40.770000000000003</v>
      </c>
      <c r="R136" s="14">
        <f t="shared" si="61"/>
        <v>1.8684692942254812</v>
      </c>
      <c r="S136" s="14">
        <f t="shared" si="62"/>
        <v>1.8657810486417497</v>
      </c>
      <c r="T136" s="14">
        <f t="shared" si="37"/>
        <v>1.8690216384926726</v>
      </c>
      <c r="U136" s="14">
        <f t="shared" si="39"/>
        <v>1.870260905632416</v>
      </c>
      <c r="V136" s="16">
        <f t="shared" si="63"/>
        <v>40.711342481362976</v>
      </c>
      <c r="W136" s="16">
        <f t="shared" si="38"/>
        <v>40.786605479166269</v>
      </c>
      <c r="X136" s="16">
        <f t="shared" si="43"/>
        <v>40.81229683230525</v>
      </c>
      <c r="Y136" s="17">
        <f t="shared" si="64"/>
        <v>1.4397781623035314E-3</v>
      </c>
      <c r="Z136" s="17">
        <f t="shared" si="64"/>
        <v>-4.0721359841225645E-4</v>
      </c>
      <c r="AA136" s="17">
        <f t="shared" si="64"/>
        <v>-1.0369121178811919E-3</v>
      </c>
      <c r="AC136" s="18">
        <f t="shared" si="65"/>
        <v>-1.3904984859196496E-3</v>
      </c>
      <c r="AD136" s="18">
        <f t="shared" si="65"/>
        <v>-1.9603044748497966E-3</v>
      </c>
      <c r="AE136" s="18"/>
      <c r="AF136" s="18"/>
      <c r="AH136">
        <f t="shared" si="44"/>
        <v>1</v>
      </c>
      <c r="AI136">
        <f t="shared" si="45"/>
        <v>0</v>
      </c>
      <c r="AJ136">
        <f t="shared" si="46"/>
        <v>1</v>
      </c>
      <c r="AK136">
        <f t="shared" si="40"/>
        <v>1</v>
      </c>
      <c r="AL136" s="18">
        <f t="shared" si="47"/>
        <v>1.3904984859196496E-3</v>
      </c>
      <c r="AM136" s="18">
        <f t="shared" si="48"/>
        <v>-1.9603044748497966E-3</v>
      </c>
      <c r="AN136" s="18">
        <f t="shared" si="49"/>
        <v>-5.6980598893014702E-4</v>
      </c>
      <c r="AO136" s="19">
        <f t="shared" si="50"/>
        <v>1.6458565614987018E-2</v>
      </c>
      <c r="AQ136" s="18"/>
      <c r="AS136">
        <f t="shared" si="51"/>
        <v>0</v>
      </c>
      <c r="AT136">
        <f t="shared" si="52"/>
        <v>1</v>
      </c>
      <c r="AU136">
        <f t="shared" si="53"/>
        <v>0</v>
      </c>
      <c r="AV136">
        <f t="shared" si="54"/>
        <v>0</v>
      </c>
      <c r="AW136" s="18">
        <f t="shared" si="55"/>
        <v>0</v>
      </c>
      <c r="AX136" s="18">
        <f t="shared" si="56"/>
        <v>0</v>
      </c>
      <c r="AY136" s="18">
        <f t="shared" si="57"/>
        <v>0</v>
      </c>
      <c r="AZ136" s="19">
        <f t="shared" si="58"/>
        <v>1.4876946867788288E-2</v>
      </c>
      <c r="BB136" s="19">
        <f t="shared" si="59"/>
        <v>-5.6980598893014702E-4</v>
      </c>
      <c r="BC136" s="19">
        <f t="shared" si="60"/>
        <v>3.1335512482775295E-2</v>
      </c>
    </row>
    <row r="137" spans="1:55" x14ac:dyDescent="0.3">
      <c r="A137" s="1">
        <v>46223</v>
      </c>
      <c r="B137" s="10">
        <v>21.51</v>
      </c>
      <c r="C137" s="10">
        <v>40.68</v>
      </c>
      <c r="D137" s="11">
        <v>1.8912133891213301</v>
      </c>
      <c r="E137" s="11">
        <v>1.8778822651217899</v>
      </c>
      <c r="F137" s="11">
        <v>1.8916108218837</v>
      </c>
      <c r="G137" s="11">
        <v>1.8913396977329999</v>
      </c>
      <c r="H137" s="10">
        <v>40.393247522769798</v>
      </c>
      <c r="I137" s="10">
        <v>40.687298663351598</v>
      </c>
      <c r="J137" s="10">
        <v>40.6794501704643</v>
      </c>
      <c r="K137" s="12">
        <v>7.0739407082890003E-3</v>
      </c>
      <c r="L137" s="12">
        <v>-1.79400410020274E-4</v>
      </c>
      <c r="M137" s="12">
        <v>1.35160582947442E-5</v>
      </c>
      <c r="N137" s="26">
        <v>0.26</v>
      </c>
      <c r="O137" s="23">
        <v>0</v>
      </c>
      <c r="P137" s="23">
        <f t="shared" si="41"/>
        <v>21.770000000000003</v>
      </c>
      <c r="Q137" s="23">
        <f t="shared" si="42"/>
        <v>40.68</v>
      </c>
      <c r="R137" s="14">
        <f t="shared" si="61"/>
        <v>1.8686265502985757</v>
      </c>
      <c r="S137" s="14">
        <f t="shared" si="62"/>
        <v>1.8657810486417497</v>
      </c>
      <c r="T137" s="14">
        <f t="shared" si="37"/>
        <v>1.8690625880961735</v>
      </c>
      <c r="U137" s="14">
        <f t="shared" si="39"/>
        <v>1.870204599836703</v>
      </c>
      <c r="V137" s="16">
        <f t="shared" si="63"/>
        <v>40.618053428930892</v>
      </c>
      <c r="W137" s="16">
        <f t="shared" si="38"/>
        <v>40.688601069985488</v>
      </c>
      <c r="X137" s="16">
        <f t="shared" si="43"/>
        <v>40.715579915617703</v>
      </c>
      <c r="Y137" s="17">
        <f t="shared" si="64"/>
        <v>1.5239376699691955E-3</v>
      </c>
      <c r="Z137" s="17">
        <f t="shared" si="64"/>
        <v>-2.1141005017706607E-4</v>
      </c>
      <c r="AA137" s="17">
        <f t="shared" si="64"/>
        <v>-8.7424692890581031E-4</v>
      </c>
      <c r="AC137" s="18">
        <f t="shared" si="65"/>
        <v>-2.3218027611575692E-3</v>
      </c>
      <c r="AD137" s="18">
        <f t="shared" si="65"/>
        <v>-2.2099456508029554E-3</v>
      </c>
      <c r="AE137" s="18"/>
      <c r="AF137" s="18"/>
      <c r="AH137">
        <f t="shared" si="44"/>
        <v>0</v>
      </c>
      <c r="AI137">
        <f t="shared" si="45"/>
        <v>0</v>
      </c>
      <c r="AJ137">
        <f t="shared" si="46"/>
        <v>1</v>
      </c>
      <c r="AK137">
        <f t="shared" si="40"/>
        <v>1</v>
      </c>
      <c r="AL137" s="18">
        <f t="shared" si="47"/>
        <v>2.3218027611575692E-3</v>
      </c>
      <c r="AM137" s="18">
        <f t="shared" si="48"/>
        <v>-2.2099456508029554E-3</v>
      </c>
      <c r="AN137" s="18">
        <f t="shared" si="49"/>
        <v>1.1185711035461383E-4</v>
      </c>
      <c r="AO137" s="19">
        <f t="shared" si="50"/>
        <v>1.6570422725341632E-2</v>
      </c>
      <c r="AQ137" s="18"/>
      <c r="AS137">
        <f t="shared" si="51"/>
        <v>0</v>
      </c>
      <c r="AT137">
        <f t="shared" si="52"/>
        <v>1</v>
      </c>
      <c r="AU137">
        <f t="shared" si="53"/>
        <v>0</v>
      </c>
      <c r="AV137">
        <f t="shared" si="54"/>
        <v>0</v>
      </c>
      <c r="AW137" s="18">
        <f t="shared" si="55"/>
        <v>0</v>
      </c>
      <c r="AX137" s="18">
        <f t="shared" si="56"/>
        <v>0</v>
      </c>
      <c r="AY137" s="18">
        <f t="shared" si="57"/>
        <v>0</v>
      </c>
      <c r="AZ137" s="19">
        <f t="shared" si="58"/>
        <v>1.4876946867788288E-2</v>
      </c>
      <c r="BB137" s="19">
        <f t="shared" si="59"/>
        <v>1.1185711035461383E-4</v>
      </c>
      <c r="BC137" s="19">
        <f t="shared" si="60"/>
        <v>3.1447369593129909E-2</v>
      </c>
    </row>
    <row r="138" spans="1:55" x14ac:dyDescent="0.3">
      <c r="A138" s="1">
        <v>46224</v>
      </c>
      <c r="B138" s="10">
        <v>21.46</v>
      </c>
      <c r="C138" s="10">
        <v>40.58</v>
      </c>
      <c r="D138" s="11">
        <v>1.8909599254426801</v>
      </c>
      <c r="E138" s="11">
        <v>1.8778822651217899</v>
      </c>
      <c r="F138" s="11">
        <v>1.8916116868177599</v>
      </c>
      <c r="G138" s="11">
        <v>1.8914585963992501</v>
      </c>
      <c r="H138" s="10">
        <v>40.299353409513699</v>
      </c>
      <c r="I138" s="10">
        <v>40.593968237624303</v>
      </c>
      <c r="J138" s="10">
        <v>40.5881499133503</v>
      </c>
      <c r="K138" s="12">
        <v>6.9399100026847401E-3</v>
      </c>
      <c r="L138" s="12">
        <v>-3.4415559730463101E-4</v>
      </c>
      <c r="M138" s="12">
        <v>-2.00815551086671E-4</v>
      </c>
      <c r="N138" s="26">
        <v>0.26</v>
      </c>
      <c r="O138" s="23">
        <v>0</v>
      </c>
      <c r="P138" s="23">
        <f t="shared" si="41"/>
        <v>21.720000000000002</v>
      </c>
      <c r="Q138" s="23">
        <f t="shared" si="42"/>
        <v>40.58</v>
      </c>
      <c r="R138" s="14">
        <f t="shared" si="61"/>
        <v>1.8683241252302023</v>
      </c>
      <c r="S138" s="14">
        <f t="shared" si="62"/>
        <v>1.8657810486417497</v>
      </c>
      <c r="T138" s="14">
        <f t="shared" si="37"/>
        <v>1.8690541019488596</v>
      </c>
      <c r="U138" s="14">
        <f t="shared" si="39"/>
        <v>1.8701172729320401</v>
      </c>
      <c r="V138" s="16">
        <f t="shared" si="63"/>
        <v>40.524764376498808</v>
      </c>
      <c r="W138" s="16">
        <f t="shared" si="38"/>
        <v>40.596039413448892</v>
      </c>
      <c r="X138" s="16">
        <f t="shared" si="43"/>
        <v>40.620843908453196</v>
      </c>
      <c r="Y138" s="17">
        <f t="shared" si="64"/>
        <v>1.3620810680000524E-3</v>
      </c>
      <c r="Z138" s="17">
        <f t="shared" si="64"/>
        <v>-3.951760586872603E-4</v>
      </c>
      <c r="AA138" s="17">
        <f t="shared" si="64"/>
        <v>-1.0059972269217403E-3</v>
      </c>
      <c r="AC138" s="18">
        <f t="shared" si="65"/>
        <v>-2.3272060770862563E-3</v>
      </c>
      <c r="AD138" s="18">
        <f t="shared" si="65"/>
        <v>-2.4612367826905711E-3</v>
      </c>
      <c r="AE138" s="18"/>
      <c r="AF138" s="18"/>
      <c r="AH138">
        <f t="shared" si="44"/>
        <v>1</v>
      </c>
      <c r="AI138">
        <f t="shared" si="45"/>
        <v>0</v>
      </c>
      <c r="AJ138">
        <f t="shared" si="46"/>
        <v>1</v>
      </c>
      <c r="AK138">
        <f t="shared" si="40"/>
        <v>1</v>
      </c>
      <c r="AL138" s="18">
        <f t="shared" si="47"/>
        <v>2.3272060770862563E-3</v>
      </c>
      <c r="AM138" s="18">
        <f t="shared" si="48"/>
        <v>-2.4612367826905711E-3</v>
      </c>
      <c r="AN138" s="18">
        <f t="shared" si="49"/>
        <v>-1.3403070560431482E-4</v>
      </c>
      <c r="AO138" s="19">
        <f t="shared" si="50"/>
        <v>1.6436392019737317E-2</v>
      </c>
      <c r="AQ138" s="18"/>
      <c r="AS138">
        <f t="shared" si="51"/>
        <v>0</v>
      </c>
      <c r="AT138">
        <f t="shared" si="52"/>
        <v>1</v>
      </c>
      <c r="AU138">
        <f t="shared" si="53"/>
        <v>0</v>
      </c>
      <c r="AV138">
        <f t="shared" si="54"/>
        <v>0</v>
      </c>
      <c r="AW138" s="18">
        <f t="shared" si="55"/>
        <v>0</v>
      </c>
      <c r="AX138" s="18">
        <f t="shared" si="56"/>
        <v>0</v>
      </c>
      <c r="AY138" s="18">
        <f t="shared" si="57"/>
        <v>0</v>
      </c>
      <c r="AZ138" s="19">
        <f t="shared" si="58"/>
        <v>1.4876946867788288E-2</v>
      </c>
      <c r="BB138" s="19">
        <f t="shared" si="59"/>
        <v>-1.3403070560431482E-4</v>
      </c>
      <c r="BC138" s="19">
        <f t="shared" si="60"/>
        <v>3.1313338887525591E-2</v>
      </c>
    </row>
    <row r="139" spans="1:55" x14ac:dyDescent="0.3">
      <c r="A139" s="1">
        <v>46225</v>
      </c>
      <c r="B139" s="10">
        <v>21.46</v>
      </c>
      <c r="C139" s="10">
        <v>40.549999999999997</v>
      </c>
      <c r="D139" s="11">
        <v>1.88956197576887</v>
      </c>
      <c r="E139" s="11">
        <v>1.8778822651217899</v>
      </c>
      <c r="F139" s="11">
        <v>1.89145160532488</v>
      </c>
      <c r="G139" s="11">
        <v>1.89154352490619</v>
      </c>
      <c r="H139" s="10">
        <v>40.299353409513699</v>
      </c>
      <c r="I139" s="10">
        <v>40.593986799109203</v>
      </c>
      <c r="J139" s="10">
        <v>40.590701478727901</v>
      </c>
      <c r="K139" s="12">
        <v>6.2003561664378103E-3</v>
      </c>
      <c r="L139" s="12">
        <v>-1.0841666808095E-3</v>
      </c>
      <c r="M139" s="12">
        <v>-1.0032321978960001E-3</v>
      </c>
      <c r="N139" s="26">
        <v>0.26</v>
      </c>
      <c r="O139" s="23">
        <v>0</v>
      </c>
      <c r="P139" s="23">
        <f t="shared" si="41"/>
        <v>21.720000000000002</v>
      </c>
      <c r="Q139" s="23">
        <f t="shared" si="42"/>
        <v>40.549999999999997</v>
      </c>
      <c r="R139" s="14">
        <f t="shared" si="61"/>
        <v>1.866942909760589</v>
      </c>
      <c r="S139" s="14">
        <f t="shared" si="62"/>
        <v>1.8657810486417497</v>
      </c>
      <c r="T139" s="14">
        <f t="shared" si="37"/>
        <v>1.8688917752778593</v>
      </c>
      <c r="U139" s="14">
        <f t="shared" si="39"/>
        <v>1.8699985742345544</v>
      </c>
      <c r="V139" s="16">
        <f t="shared" si="63"/>
        <v>40.524764376498808</v>
      </c>
      <c r="W139" s="16">
        <f t="shared" si="38"/>
        <v>40.595855094329231</v>
      </c>
      <c r="X139" s="16">
        <f t="shared" si="43"/>
        <v>40.618947168083913</v>
      </c>
      <c r="Y139" s="17">
        <f t="shared" si="64"/>
        <v>6.2252723175330285E-4</v>
      </c>
      <c r="Z139" s="17">
        <f t="shared" si="64"/>
        <v>-1.1301895619173431E-3</v>
      </c>
      <c r="AA139" s="17">
        <f t="shared" si="64"/>
        <v>-1.6988562023252404E-3</v>
      </c>
      <c r="AC139" s="18">
        <f t="shared" si="65"/>
        <v>0</v>
      </c>
      <c r="AD139" s="18">
        <f t="shared" si="65"/>
        <v>-7.3955383624675565E-4</v>
      </c>
      <c r="AE139" s="18"/>
      <c r="AF139" s="18"/>
      <c r="AH139">
        <f t="shared" si="44"/>
        <v>1</v>
      </c>
      <c r="AI139">
        <f t="shared" si="45"/>
        <v>0</v>
      </c>
      <c r="AJ139">
        <f t="shared" si="46"/>
        <v>1</v>
      </c>
      <c r="AK139">
        <f t="shared" si="40"/>
        <v>1</v>
      </c>
      <c r="AL139" s="18">
        <f t="shared" si="47"/>
        <v>0</v>
      </c>
      <c r="AM139" s="18">
        <f t="shared" si="48"/>
        <v>-7.3955383624675565E-4</v>
      </c>
      <c r="AN139" s="18">
        <f t="shared" si="49"/>
        <v>-7.3955383624675565E-4</v>
      </c>
      <c r="AO139" s="19">
        <f t="shared" si="50"/>
        <v>1.5696838183490561E-2</v>
      </c>
      <c r="AQ139" s="18"/>
      <c r="AS139">
        <f t="shared" si="51"/>
        <v>0</v>
      </c>
      <c r="AT139">
        <f t="shared" si="52"/>
        <v>1</v>
      </c>
      <c r="AU139">
        <f t="shared" si="53"/>
        <v>0</v>
      </c>
      <c r="AV139">
        <f t="shared" si="54"/>
        <v>0</v>
      </c>
      <c r="AW139" s="18">
        <f t="shared" si="55"/>
        <v>0</v>
      </c>
      <c r="AX139" s="18">
        <f t="shared" si="56"/>
        <v>0</v>
      </c>
      <c r="AY139" s="18">
        <f t="shared" si="57"/>
        <v>0</v>
      </c>
      <c r="AZ139" s="19">
        <f t="shared" si="58"/>
        <v>1.4876946867788288E-2</v>
      </c>
      <c r="BB139" s="19">
        <f t="shared" si="59"/>
        <v>-7.3955383624675565E-4</v>
      </c>
      <c r="BC139" s="19">
        <f t="shared" si="60"/>
        <v>3.0573785051278835E-2</v>
      </c>
    </row>
    <row r="140" spans="1:55" x14ac:dyDescent="0.3">
      <c r="A140" s="1">
        <v>46226</v>
      </c>
      <c r="B140" s="10">
        <v>21.36</v>
      </c>
      <c r="C140" s="10">
        <v>40.35</v>
      </c>
      <c r="D140" s="11">
        <v>1.8890449438202199</v>
      </c>
      <c r="E140" s="11">
        <v>1.8778822651217899</v>
      </c>
      <c r="F140" s="11">
        <v>1.89099736364742</v>
      </c>
      <c r="G140" s="11">
        <v>1.89142051817292</v>
      </c>
      <c r="H140" s="10">
        <v>40.111565183001503</v>
      </c>
      <c r="I140" s="10">
        <v>40.401406289739498</v>
      </c>
      <c r="J140" s="10">
        <v>40.403369691996303</v>
      </c>
      <c r="K140" s="12">
        <v>5.9266934315322199E-3</v>
      </c>
      <c r="L140" s="12">
        <v>-1.27319879729087E-3</v>
      </c>
      <c r="M140" s="12">
        <v>-1.3217949906070899E-3</v>
      </c>
      <c r="N140" s="26">
        <v>0.26</v>
      </c>
      <c r="O140" s="23">
        <v>0</v>
      </c>
      <c r="P140" s="23">
        <f t="shared" si="41"/>
        <v>21.62</v>
      </c>
      <c r="Q140" s="23">
        <f t="shared" si="42"/>
        <v>40.35</v>
      </c>
      <c r="R140" s="14">
        <f t="shared" si="61"/>
        <v>1.866327474560592</v>
      </c>
      <c r="S140" s="14">
        <f t="shared" si="62"/>
        <v>1.8657810486417497</v>
      </c>
      <c r="T140" s="14">
        <f t="shared" ref="T140:T156" si="66">AVERAGE(R131:R140)</f>
        <v>1.8684262674538452</v>
      </c>
      <c r="U140" s="14">
        <f t="shared" si="39"/>
        <v>1.8696692336768694</v>
      </c>
      <c r="V140" s="16">
        <f t="shared" si="63"/>
        <v>40.338186271634626</v>
      </c>
      <c r="W140" s="16">
        <f t="shared" si="38"/>
        <v>40.405440181507323</v>
      </c>
      <c r="X140" s="16">
        <f t="shared" si="43"/>
        <v>40.42936917495107</v>
      </c>
      <c r="Y140" s="17">
        <f t="shared" si="64"/>
        <v>2.9282424096190095E-4</v>
      </c>
      <c r="Z140" s="17">
        <f t="shared" si="64"/>
        <v>-1.3730391436795419E-3</v>
      </c>
      <c r="AA140" s="17">
        <f t="shared" si="64"/>
        <v>-1.9650859198942733E-3</v>
      </c>
      <c r="AC140" s="18">
        <f t="shared" si="65"/>
        <v>-4.6707231105583445E-3</v>
      </c>
      <c r="AD140" s="18">
        <f t="shared" si="65"/>
        <v>-4.944385845463967E-3</v>
      </c>
      <c r="AE140" s="18"/>
      <c r="AF140" s="18"/>
      <c r="AH140">
        <f t="shared" si="44"/>
        <v>1</v>
      </c>
      <c r="AI140">
        <f t="shared" si="45"/>
        <v>0</v>
      </c>
      <c r="AJ140">
        <f t="shared" si="46"/>
        <v>1</v>
      </c>
      <c r="AK140">
        <f t="shared" si="40"/>
        <v>1</v>
      </c>
      <c r="AL140" s="18">
        <f t="shared" si="47"/>
        <v>4.6707231105583445E-3</v>
      </c>
      <c r="AM140" s="18">
        <f t="shared" si="48"/>
        <v>-4.944385845463967E-3</v>
      </c>
      <c r="AN140" s="18">
        <f t="shared" si="49"/>
        <v>-2.7366273490562251E-4</v>
      </c>
      <c r="AO140" s="19">
        <f t="shared" si="50"/>
        <v>1.5423175448584937E-2</v>
      </c>
      <c r="AQ140" s="18"/>
      <c r="AS140">
        <f t="shared" si="51"/>
        <v>0</v>
      </c>
      <c r="AT140">
        <f t="shared" si="52"/>
        <v>1</v>
      </c>
      <c r="AU140">
        <f t="shared" si="53"/>
        <v>0</v>
      </c>
      <c r="AV140">
        <f t="shared" si="54"/>
        <v>0</v>
      </c>
      <c r="AW140" s="18">
        <f t="shared" si="55"/>
        <v>0</v>
      </c>
      <c r="AX140" s="18">
        <f t="shared" si="56"/>
        <v>0</v>
      </c>
      <c r="AY140" s="18">
        <f t="shared" si="57"/>
        <v>0</v>
      </c>
      <c r="AZ140" s="19">
        <f t="shared" si="58"/>
        <v>1.4876946867788288E-2</v>
      </c>
      <c r="BB140" s="19">
        <f t="shared" si="59"/>
        <v>-2.7366273490562251E-4</v>
      </c>
      <c r="BC140" s="19">
        <f t="shared" si="60"/>
        <v>3.0300122316373211E-2</v>
      </c>
    </row>
    <row r="141" spans="1:55" x14ac:dyDescent="0.3">
      <c r="A141" s="1">
        <v>46227</v>
      </c>
      <c r="B141" s="10">
        <v>21.4</v>
      </c>
      <c r="C141" s="10">
        <v>40.44</v>
      </c>
      <c r="D141" s="11">
        <v>1.8897196261682201</v>
      </c>
      <c r="E141" s="11">
        <v>1.8778822651217899</v>
      </c>
      <c r="F141" s="11">
        <v>1.89080767735271</v>
      </c>
      <c r="G141" s="11">
        <v>1.8913493039093801</v>
      </c>
      <c r="H141" s="10">
        <v>40.186680473606401</v>
      </c>
      <c r="I141" s="10">
        <v>40.467343582054902</v>
      </c>
      <c r="J141" s="10">
        <v>40.4763990889006</v>
      </c>
      <c r="K141" s="12">
        <v>6.28378493203349E-3</v>
      </c>
      <c r="L141" s="12">
        <v>-6.7592339299255401E-4</v>
      </c>
      <c r="M141" s="12">
        <v>-8.9967155646076299E-4</v>
      </c>
      <c r="N141" s="26">
        <v>0.26</v>
      </c>
      <c r="O141" s="23">
        <v>0</v>
      </c>
      <c r="P141" s="23">
        <f t="shared" si="41"/>
        <v>21.66</v>
      </c>
      <c r="Q141" s="23">
        <f t="shared" si="42"/>
        <v>40.44</v>
      </c>
      <c r="R141" s="14">
        <f t="shared" si="61"/>
        <v>1.8670360110803323</v>
      </c>
      <c r="S141" s="14">
        <f t="shared" si="62"/>
        <v>1.8657810486417497</v>
      </c>
      <c r="T141" s="14">
        <f t="shared" si="66"/>
        <v>1.8682191134131372</v>
      </c>
      <c r="U141" s="14">
        <f t="shared" si="39"/>
        <v>1.8693923518833184</v>
      </c>
      <c r="V141" s="16">
        <f t="shared" si="63"/>
        <v>40.4128175135803</v>
      </c>
      <c r="W141" s="16">
        <f t="shared" ref="W141:W156" si="67">T140*P141</f>
        <v>40.47011295305029</v>
      </c>
      <c r="X141" s="16">
        <f t="shared" si="43"/>
        <v>40.497035601440992</v>
      </c>
      <c r="Y141" s="17">
        <f t="shared" si="64"/>
        <v>6.723943154922585E-4</v>
      </c>
      <c r="Z141" s="17">
        <f t="shared" si="64"/>
        <v>-7.44355763244181E-4</v>
      </c>
      <c r="AA141" s="17">
        <f t="shared" si="64"/>
        <v>-1.4093822551878748E-3</v>
      </c>
      <c r="AC141" s="18">
        <f t="shared" si="65"/>
        <v>1.8709079358116025E-3</v>
      </c>
      <c r="AD141" s="18">
        <f t="shared" si="65"/>
        <v>2.2279994363127147E-3</v>
      </c>
      <c r="AE141" s="18"/>
      <c r="AF141" s="18"/>
      <c r="AH141">
        <f t="shared" si="44"/>
        <v>1</v>
      </c>
      <c r="AI141">
        <f t="shared" si="45"/>
        <v>0</v>
      </c>
      <c r="AJ141">
        <f t="shared" si="46"/>
        <v>1</v>
      </c>
      <c r="AK141">
        <f t="shared" si="40"/>
        <v>1</v>
      </c>
      <c r="AL141" s="18">
        <f t="shared" si="47"/>
        <v>-1.8709079358116025E-3</v>
      </c>
      <c r="AM141" s="18">
        <f t="shared" si="48"/>
        <v>2.2279994363127147E-3</v>
      </c>
      <c r="AN141" s="18">
        <f t="shared" si="49"/>
        <v>3.5709150050111226E-4</v>
      </c>
      <c r="AO141" s="19">
        <f t="shared" si="50"/>
        <v>1.578026694908605E-2</v>
      </c>
      <c r="AQ141" s="18"/>
      <c r="AS141">
        <f t="shared" si="51"/>
        <v>0</v>
      </c>
      <c r="AT141">
        <f t="shared" si="52"/>
        <v>1</v>
      </c>
      <c r="AU141">
        <f t="shared" si="53"/>
        <v>0</v>
      </c>
      <c r="AV141">
        <f t="shared" si="54"/>
        <v>0</v>
      </c>
      <c r="AW141" s="18">
        <f t="shared" si="55"/>
        <v>0</v>
      </c>
      <c r="AX141" s="18">
        <f t="shared" si="56"/>
        <v>0</v>
      </c>
      <c r="AY141" s="18">
        <f t="shared" si="57"/>
        <v>0</v>
      </c>
      <c r="AZ141" s="19">
        <f t="shared" si="58"/>
        <v>1.4876946867788288E-2</v>
      </c>
      <c r="BB141" s="19">
        <f t="shared" si="59"/>
        <v>3.5709150050111226E-4</v>
      </c>
      <c r="BC141" s="19">
        <f t="shared" si="60"/>
        <v>3.0657213816874324E-2</v>
      </c>
    </row>
    <row r="142" spans="1:55" x14ac:dyDescent="0.3">
      <c r="A142" s="1">
        <v>46230</v>
      </c>
      <c r="B142" s="10">
        <v>21.44</v>
      </c>
      <c r="C142" s="10">
        <v>40.549999999999997</v>
      </c>
      <c r="D142" s="11">
        <v>1.89132462686567</v>
      </c>
      <c r="E142" s="11">
        <v>1.8778822651217899</v>
      </c>
      <c r="F142" s="11">
        <v>1.8907559908551299</v>
      </c>
      <c r="G142" s="11">
        <v>1.89148387395491</v>
      </c>
      <c r="H142" s="10">
        <v>40.2617957642112</v>
      </c>
      <c r="I142" s="10">
        <v>40.5389166024422</v>
      </c>
      <c r="J142" s="10">
        <v>40.550529075817103</v>
      </c>
      <c r="K142" s="12">
        <v>7.1327571663891299E-3</v>
      </c>
      <c r="L142" s="12">
        <v>2.7336405741100798E-4</v>
      </c>
      <c r="M142" s="12">
        <v>-1.3047407289825E-5</v>
      </c>
      <c r="N142" s="26">
        <v>0.26</v>
      </c>
      <c r="O142" s="23">
        <v>0</v>
      </c>
      <c r="P142" s="23">
        <f t="shared" si="41"/>
        <v>21.700000000000003</v>
      </c>
      <c r="Q142" s="23">
        <f t="shared" si="42"/>
        <v>40.549999999999997</v>
      </c>
      <c r="R142" s="14">
        <f t="shared" si="61"/>
        <v>1.8686635944700456</v>
      </c>
      <c r="S142" s="14">
        <f t="shared" si="62"/>
        <v>1.8657810486417497</v>
      </c>
      <c r="T142" s="14">
        <f t="shared" si="66"/>
        <v>1.8681670021093357</v>
      </c>
      <c r="U142" s="14">
        <f t="shared" si="39"/>
        <v>1.8693190381003273</v>
      </c>
      <c r="V142" s="16">
        <f t="shared" si="63"/>
        <v>40.487448755525975</v>
      </c>
      <c r="W142" s="16">
        <f t="shared" si="67"/>
        <v>40.540354761065082</v>
      </c>
      <c r="X142" s="16">
        <f t="shared" si="43"/>
        <v>40.565814035868016</v>
      </c>
      <c r="Y142" s="17">
        <f t="shared" si="64"/>
        <v>1.5437617510740097E-3</v>
      </c>
      <c r="Z142" s="17">
        <f t="shared" si="64"/>
        <v>2.3788868623939632E-4</v>
      </c>
      <c r="AA142" s="17">
        <f t="shared" si="64"/>
        <v>-3.8991252831116057E-4</v>
      </c>
      <c r="AC142" s="18">
        <f t="shared" si="65"/>
        <v>1.8674141747954624E-3</v>
      </c>
      <c r="AD142" s="18">
        <f t="shared" si="65"/>
        <v>2.7163864091513086E-3</v>
      </c>
      <c r="AE142" s="18"/>
      <c r="AF142" s="18"/>
      <c r="AH142">
        <f t="shared" si="44"/>
        <v>0</v>
      </c>
      <c r="AI142">
        <f t="shared" si="45"/>
        <v>0</v>
      </c>
      <c r="AJ142">
        <f t="shared" si="46"/>
        <v>1</v>
      </c>
      <c r="AK142">
        <f t="shared" si="40"/>
        <v>1</v>
      </c>
      <c r="AL142" s="18">
        <f t="shared" si="47"/>
        <v>-1.8674141747954624E-3</v>
      </c>
      <c r="AM142" s="18">
        <f t="shared" si="48"/>
        <v>2.7163864091513086E-3</v>
      </c>
      <c r="AN142" s="18">
        <f t="shared" si="49"/>
        <v>8.4897223435584628E-4</v>
      </c>
      <c r="AO142" s="19">
        <f t="shared" si="50"/>
        <v>1.6629239183441898E-2</v>
      </c>
      <c r="AQ142" s="18"/>
      <c r="AS142">
        <f t="shared" si="51"/>
        <v>0</v>
      </c>
      <c r="AT142">
        <f t="shared" si="52"/>
        <v>1</v>
      </c>
      <c r="AU142">
        <f t="shared" si="53"/>
        <v>0</v>
      </c>
      <c r="AV142">
        <f t="shared" si="54"/>
        <v>0</v>
      </c>
      <c r="AW142" s="18">
        <f t="shared" si="55"/>
        <v>0</v>
      </c>
      <c r="AX142" s="18">
        <f t="shared" si="56"/>
        <v>0</v>
      </c>
      <c r="AY142" s="18">
        <f t="shared" si="57"/>
        <v>0</v>
      </c>
      <c r="AZ142" s="19">
        <f t="shared" si="58"/>
        <v>1.4876946867788288E-2</v>
      </c>
      <c r="BB142" s="19">
        <f t="shared" si="59"/>
        <v>8.4897223435584628E-4</v>
      </c>
      <c r="BC142" s="19">
        <f t="shared" si="60"/>
        <v>3.1506186051230171E-2</v>
      </c>
    </row>
    <row r="143" spans="1:55" x14ac:dyDescent="0.3">
      <c r="A143" s="1">
        <v>46231</v>
      </c>
      <c r="B143" s="10">
        <v>21.47</v>
      </c>
      <c r="C143" s="10">
        <v>40.659999999999997</v>
      </c>
      <c r="D143" s="11">
        <v>1.89380530973451</v>
      </c>
      <c r="E143" s="11">
        <v>1.8778822651217899</v>
      </c>
      <c r="F143" s="11">
        <v>1.8911601438758301</v>
      </c>
      <c r="G143" s="11">
        <v>1.8915534497864701</v>
      </c>
      <c r="H143" s="10">
        <v>40.318132232164899</v>
      </c>
      <c r="I143" s="10">
        <v>40.594531123659699</v>
      </c>
      <c r="J143" s="10">
        <v>40.610158773812103</v>
      </c>
      <c r="K143" s="12">
        <v>8.4435091170794799E-3</v>
      </c>
      <c r="L143" s="12">
        <v>1.61145205325124E-3</v>
      </c>
      <c r="M143" s="12">
        <v>1.22655678759502E-3</v>
      </c>
      <c r="N143" s="26">
        <v>0.26</v>
      </c>
      <c r="O143" s="23">
        <v>0</v>
      </c>
      <c r="P143" s="23">
        <f t="shared" si="41"/>
        <v>21.73</v>
      </c>
      <c r="Q143" s="23">
        <f t="shared" si="42"/>
        <v>40.659999999999997</v>
      </c>
      <c r="R143" s="14">
        <f t="shared" si="61"/>
        <v>1.8711458812701334</v>
      </c>
      <c r="S143" s="14">
        <f t="shared" si="62"/>
        <v>1.8657810486417497</v>
      </c>
      <c r="T143" s="14">
        <f t="shared" si="66"/>
        <v>1.8685539014491634</v>
      </c>
      <c r="U143" s="14">
        <f t="shared" si="39"/>
        <v>1.8691818181642887</v>
      </c>
      <c r="V143" s="16">
        <f t="shared" si="63"/>
        <v>40.543422186985218</v>
      </c>
      <c r="W143" s="16">
        <f t="shared" si="67"/>
        <v>40.595268955835863</v>
      </c>
      <c r="X143" s="16">
        <f t="shared" si="43"/>
        <v>40.62030269792011</v>
      </c>
      <c r="Y143" s="17">
        <f t="shared" si="64"/>
        <v>2.8712556679284184E-3</v>
      </c>
      <c r="Z143" s="17">
        <f t="shared" si="64"/>
        <v>1.59327656383224E-3</v>
      </c>
      <c r="AA143" s="17">
        <f t="shared" si="64"/>
        <v>9.7680013283953744E-4</v>
      </c>
      <c r="AC143" s="18">
        <f t="shared" si="65"/>
        <v>1.3982756880883357E-3</v>
      </c>
      <c r="AD143" s="18">
        <f t="shared" si="65"/>
        <v>2.7090276387786278E-3</v>
      </c>
      <c r="AE143" s="18"/>
      <c r="AF143" s="18"/>
      <c r="AH143">
        <f t="shared" si="44"/>
        <v>0</v>
      </c>
      <c r="AI143">
        <f t="shared" si="45"/>
        <v>1</v>
      </c>
      <c r="AJ143">
        <f t="shared" si="46"/>
        <v>1</v>
      </c>
      <c r="AK143">
        <f t="shared" si="40"/>
        <v>1</v>
      </c>
      <c r="AL143" s="18">
        <f t="shared" si="47"/>
        <v>-1.3982756880883357E-3</v>
      </c>
      <c r="AM143" s="18">
        <f t="shared" si="48"/>
        <v>2.7090276387786278E-3</v>
      </c>
      <c r="AN143" s="18">
        <f t="shared" si="49"/>
        <v>1.3107519506902921E-3</v>
      </c>
      <c r="AO143" s="19">
        <f t="shared" si="50"/>
        <v>1.793999113413219E-2</v>
      </c>
      <c r="AQ143" s="18"/>
      <c r="AS143">
        <f t="shared" si="51"/>
        <v>0</v>
      </c>
      <c r="AT143">
        <f t="shared" si="52"/>
        <v>0</v>
      </c>
      <c r="AU143">
        <f t="shared" si="53"/>
        <v>0</v>
      </c>
      <c r="AV143">
        <f t="shared" si="54"/>
        <v>0</v>
      </c>
      <c r="AW143" s="18">
        <f t="shared" si="55"/>
        <v>0</v>
      </c>
      <c r="AX143" s="18">
        <f t="shared" si="56"/>
        <v>0</v>
      </c>
      <c r="AY143" s="18">
        <f t="shared" si="57"/>
        <v>0</v>
      </c>
      <c r="AZ143" s="19">
        <f t="shared" si="58"/>
        <v>1.4876946867788288E-2</v>
      </c>
      <c r="BB143" s="19">
        <f t="shared" si="59"/>
        <v>1.3107519506902921E-3</v>
      </c>
      <c r="BC143" s="19">
        <f t="shared" si="60"/>
        <v>3.2816938001920461E-2</v>
      </c>
    </row>
    <row r="144" spans="1:55" x14ac:dyDescent="0.3">
      <c r="A144" s="1">
        <v>46232</v>
      </c>
      <c r="B144" s="10">
        <v>21.5</v>
      </c>
      <c r="C144" s="10">
        <v>40.68</v>
      </c>
      <c r="D144" s="11">
        <v>1.89209302325581</v>
      </c>
      <c r="E144" s="11">
        <v>1.8778822651217899</v>
      </c>
      <c r="F144" s="11">
        <v>1.8910804341977101</v>
      </c>
      <c r="G144" s="11">
        <v>1.89153171718542</v>
      </c>
      <c r="H144" s="10">
        <v>40.374468700118499</v>
      </c>
      <c r="I144" s="10">
        <v>40.659943093330298</v>
      </c>
      <c r="J144" s="10">
        <v>40.668399170409103</v>
      </c>
      <c r="K144" s="12">
        <v>7.5389488543106597E-3</v>
      </c>
      <c r="L144" s="12">
        <v>4.9316255491175999E-4</v>
      </c>
      <c r="M144" s="12">
        <v>2.8521347163026401E-4</v>
      </c>
      <c r="N144" s="26">
        <v>0.26</v>
      </c>
      <c r="O144" s="23">
        <v>0</v>
      </c>
      <c r="P144" s="23">
        <f t="shared" si="41"/>
        <v>21.76</v>
      </c>
      <c r="Q144" s="23">
        <f t="shared" si="42"/>
        <v>40.68</v>
      </c>
      <c r="R144" s="14">
        <f t="shared" si="61"/>
        <v>1.869485294117647</v>
      </c>
      <c r="S144" s="14">
        <f t="shared" si="62"/>
        <v>1.8657810486417497</v>
      </c>
      <c r="T144" s="14">
        <f t="shared" si="66"/>
        <v>1.8684586352404904</v>
      </c>
      <c r="U144" s="14">
        <f t="shared" si="39"/>
        <v>1.8689588917306417</v>
      </c>
      <c r="V144" s="16">
        <f t="shared" si="63"/>
        <v>40.599395618444476</v>
      </c>
      <c r="W144" s="16">
        <f t="shared" si="67"/>
        <v>40.6597328955338</v>
      </c>
      <c r="X144" s="16">
        <f t="shared" si="43"/>
        <v>40.673396363254923</v>
      </c>
      <c r="Y144" s="17">
        <f t="shared" si="64"/>
        <v>1.9833909286833731E-3</v>
      </c>
      <c r="Z144" s="17">
        <f t="shared" si="64"/>
        <v>4.9833222126865974E-4</v>
      </c>
      <c r="AA144" s="17">
        <f t="shared" si="64"/>
        <v>1.6234446390155807E-4</v>
      </c>
      <c r="AC144" s="18">
        <f t="shared" si="65"/>
        <v>1.3963232429274324E-3</v>
      </c>
      <c r="AD144" s="18">
        <f t="shared" si="65"/>
        <v>4.9176298015866839E-4</v>
      </c>
      <c r="AE144" s="18"/>
      <c r="AF144" s="18"/>
      <c r="AH144">
        <f t="shared" si="44"/>
        <v>0</v>
      </c>
      <c r="AI144">
        <f t="shared" si="45"/>
        <v>1</v>
      </c>
      <c r="AJ144">
        <f t="shared" si="46"/>
        <v>0</v>
      </c>
      <c r="AK144">
        <f t="shared" si="40"/>
        <v>0</v>
      </c>
      <c r="AL144" s="18">
        <f t="shared" si="47"/>
        <v>0</v>
      </c>
      <c r="AM144" s="18">
        <f t="shared" si="48"/>
        <v>0</v>
      </c>
      <c r="AN144" s="18">
        <f t="shared" si="49"/>
        <v>0</v>
      </c>
      <c r="AO144" s="19">
        <f t="shared" si="50"/>
        <v>1.793999113413219E-2</v>
      </c>
      <c r="AQ144" s="18"/>
      <c r="AS144">
        <f t="shared" si="51"/>
        <v>0</v>
      </c>
      <c r="AT144">
        <f t="shared" si="52"/>
        <v>0</v>
      </c>
      <c r="AU144">
        <f t="shared" si="53"/>
        <v>0</v>
      </c>
      <c r="AV144">
        <f t="shared" si="54"/>
        <v>0</v>
      </c>
      <c r="AW144" s="18">
        <f t="shared" si="55"/>
        <v>0</v>
      </c>
      <c r="AX144" s="18">
        <f t="shared" si="56"/>
        <v>0</v>
      </c>
      <c r="AY144" s="18">
        <f t="shared" si="57"/>
        <v>0</v>
      </c>
      <c r="AZ144" s="19">
        <f t="shared" si="58"/>
        <v>1.4876946867788288E-2</v>
      </c>
      <c r="BB144" s="19">
        <f t="shared" si="59"/>
        <v>0</v>
      </c>
      <c r="BC144" s="19">
        <f t="shared" si="60"/>
        <v>3.2816938001920461E-2</v>
      </c>
    </row>
    <row r="145" spans="1:55" x14ac:dyDescent="0.3">
      <c r="A145" s="1">
        <v>46233</v>
      </c>
      <c r="B145" s="10">
        <v>21.77</v>
      </c>
      <c r="C145" s="10">
        <v>41.15</v>
      </c>
      <c r="D145" s="11">
        <v>1.89021589343132</v>
      </c>
      <c r="E145" s="11">
        <v>1.8778822651217899</v>
      </c>
      <c r="F145" s="11">
        <v>1.89089405688962</v>
      </c>
      <c r="G145" s="11">
        <v>1.8913227341821399</v>
      </c>
      <c r="H145" s="10">
        <v>40.881496911701397</v>
      </c>
      <c r="I145" s="10">
        <v>41.168821052484297</v>
      </c>
      <c r="J145" s="10">
        <v>41.178645483126701</v>
      </c>
      <c r="K145" s="12">
        <v>6.5463646841911801E-3</v>
      </c>
      <c r="L145" s="12">
        <v>-4.5727216623515601E-4</v>
      </c>
      <c r="M145" s="12">
        <v>-6.9588134517662998E-4</v>
      </c>
      <c r="N145" s="26">
        <v>0.26</v>
      </c>
      <c r="O145" s="23">
        <v>0</v>
      </c>
      <c r="P145" s="23">
        <f t="shared" si="41"/>
        <v>22.03</v>
      </c>
      <c r="Q145" s="23">
        <f t="shared" si="42"/>
        <v>41.15</v>
      </c>
      <c r="R145" s="14">
        <f t="shared" si="61"/>
        <v>1.8679073990013617</v>
      </c>
      <c r="S145" s="14">
        <f t="shared" si="62"/>
        <v>1.8657810486417497</v>
      </c>
      <c r="T145" s="14">
        <f t="shared" si="66"/>
        <v>1.868292853401496</v>
      </c>
      <c r="U145" s="14">
        <f t="shared" si="39"/>
        <v>1.8687615843351719</v>
      </c>
      <c r="V145" s="16">
        <f t="shared" si="63"/>
        <v>41.10315650157775</v>
      </c>
      <c r="W145" s="16">
        <f t="shared" si="67"/>
        <v>41.162143734348007</v>
      </c>
      <c r="X145" s="16">
        <f t="shared" si="43"/>
        <v>41.173164384826038</v>
      </c>
      <c r="Y145" s="17">
        <f t="shared" si="64"/>
        <v>1.139008044893045E-3</v>
      </c>
      <c r="Z145" s="17">
        <f t="shared" si="64"/>
        <v>-2.9506543956155909E-4</v>
      </c>
      <c r="AA145" s="17">
        <f t="shared" si="64"/>
        <v>-5.627671290455718E-4</v>
      </c>
      <c r="AC145" s="18">
        <f t="shared" si="65"/>
        <v>1.2479940112838954E-2</v>
      </c>
      <c r="AD145" s="18">
        <f t="shared" si="65"/>
        <v>1.1487355942719676E-2</v>
      </c>
      <c r="AE145" s="18"/>
      <c r="AF145" s="18"/>
      <c r="AH145">
        <f t="shared" si="44"/>
        <v>0</v>
      </c>
      <c r="AI145">
        <f t="shared" si="45"/>
        <v>0</v>
      </c>
      <c r="AJ145">
        <f t="shared" si="46"/>
        <v>0</v>
      </c>
      <c r="AK145">
        <f t="shared" si="40"/>
        <v>0</v>
      </c>
      <c r="AL145" s="18">
        <f t="shared" si="47"/>
        <v>0</v>
      </c>
      <c r="AM145" s="18">
        <f t="shared" si="48"/>
        <v>0</v>
      </c>
      <c r="AN145" s="18">
        <f t="shared" si="49"/>
        <v>0</v>
      </c>
      <c r="AO145" s="19">
        <f t="shared" si="50"/>
        <v>1.793999113413219E-2</v>
      </c>
      <c r="AQ145" s="18"/>
      <c r="AS145">
        <f t="shared" si="51"/>
        <v>0</v>
      </c>
      <c r="AT145">
        <f t="shared" si="52"/>
        <v>1</v>
      </c>
      <c r="AU145">
        <f t="shared" si="53"/>
        <v>0</v>
      </c>
      <c r="AV145">
        <f t="shared" si="54"/>
        <v>0</v>
      </c>
      <c r="AW145" s="18">
        <f t="shared" si="55"/>
        <v>0</v>
      </c>
      <c r="AX145" s="18">
        <f t="shared" si="56"/>
        <v>0</v>
      </c>
      <c r="AY145" s="18">
        <f t="shared" si="57"/>
        <v>0</v>
      </c>
      <c r="AZ145" s="19">
        <f t="shared" si="58"/>
        <v>1.4876946867788288E-2</v>
      </c>
      <c r="BB145" s="19">
        <f t="shared" si="59"/>
        <v>0</v>
      </c>
      <c r="BC145" s="19">
        <f t="shared" si="60"/>
        <v>3.2816938001920461E-2</v>
      </c>
    </row>
    <row r="146" spans="1:55" x14ac:dyDescent="0.3">
      <c r="A146" s="1">
        <v>46234</v>
      </c>
      <c r="B146" s="10">
        <v>21.72</v>
      </c>
      <c r="C146" s="10">
        <v>41.01</v>
      </c>
      <c r="D146" s="11">
        <v>1.88812154696132</v>
      </c>
      <c r="E146" s="11">
        <v>1.8778822651217899</v>
      </c>
      <c r="F146" s="11">
        <v>1.8906060260569899</v>
      </c>
      <c r="G146" s="11">
        <v>1.89107936503574</v>
      </c>
      <c r="H146" s="10">
        <v>40.787602798445299</v>
      </c>
      <c r="I146" s="10">
        <v>41.070218915642599</v>
      </c>
      <c r="J146" s="10">
        <v>41.079529786436098</v>
      </c>
      <c r="K146" s="12">
        <v>5.4377571458016603E-3</v>
      </c>
      <c r="L146" s="12">
        <v>-1.4673188556897001E-3</v>
      </c>
      <c r="M146" s="12">
        <v>-1.69399930159447E-3</v>
      </c>
      <c r="N146" s="26">
        <v>0.26</v>
      </c>
      <c r="O146" s="23">
        <v>0</v>
      </c>
      <c r="P146" s="23">
        <f t="shared" si="41"/>
        <v>21.98</v>
      </c>
      <c r="Q146" s="23">
        <f t="shared" si="42"/>
        <v>41.01</v>
      </c>
      <c r="R146" s="14">
        <f t="shared" si="61"/>
        <v>1.8657870791628752</v>
      </c>
      <c r="S146" s="14">
        <f t="shared" si="62"/>
        <v>1.8657810486417497</v>
      </c>
      <c r="T146" s="14">
        <f t="shared" si="66"/>
        <v>1.8680246318952354</v>
      </c>
      <c r="U146" s="14">
        <f t="shared" si="39"/>
        <v>1.8685231351939542</v>
      </c>
      <c r="V146" s="16">
        <f t="shared" si="63"/>
        <v>41.009867449145659</v>
      </c>
      <c r="W146" s="16">
        <f t="shared" si="67"/>
        <v>41.065076917764884</v>
      </c>
      <c r="X146" s="16">
        <f t="shared" si="43"/>
        <v>41.075379623687077</v>
      </c>
      <c r="Y146" s="17">
        <f t="shared" si="64"/>
        <v>3.232164558591944E-6</v>
      </c>
      <c r="Z146" s="17">
        <f t="shared" si="64"/>
        <v>-1.3421108599727201E-3</v>
      </c>
      <c r="AA146" s="17">
        <f t="shared" si="64"/>
        <v>-1.5929666844961734E-3</v>
      </c>
      <c r="AC146" s="18">
        <f t="shared" si="65"/>
        <v>-2.2993801807213751E-3</v>
      </c>
      <c r="AD146" s="18">
        <f t="shared" si="65"/>
        <v>-3.4079877191109296E-3</v>
      </c>
      <c r="AE146" s="18"/>
      <c r="AF146" s="18"/>
      <c r="AH146">
        <f t="shared" si="44"/>
        <v>1</v>
      </c>
      <c r="AI146">
        <f t="shared" si="45"/>
        <v>0</v>
      </c>
      <c r="AJ146">
        <f t="shared" si="46"/>
        <v>0</v>
      </c>
      <c r="AK146" s="22">
        <v>0</v>
      </c>
      <c r="AL146" s="18">
        <f t="shared" si="47"/>
        <v>0</v>
      </c>
      <c r="AM146" s="18">
        <f t="shared" si="48"/>
        <v>0</v>
      </c>
      <c r="AN146" s="18">
        <f t="shared" si="49"/>
        <v>0</v>
      </c>
      <c r="AO146" s="19">
        <f t="shared" si="50"/>
        <v>1.793999113413219E-2</v>
      </c>
      <c r="AQ146" s="18"/>
      <c r="AS146">
        <f t="shared" si="51"/>
        <v>0</v>
      </c>
      <c r="AT146">
        <f t="shared" si="52"/>
        <v>1</v>
      </c>
      <c r="AU146">
        <f t="shared" si="53"/>
        <v>0</v>
      </c>
      <c r="AV146">
        <f t="shared" si="54"/>
        <v>0</v>
      </c>
      <c r="AW146" s="18">
        <f t="shared" si="55"/>
        <v>0</v>
      </c>
      <c r="AX146" s="18">
        <f t="shared" si="56"/>
        <v>0</v>
      </c>
      <c r="AY146" s="18">
        <f t="shared" si="57"/>
        <v>0</v>
      </c>
      <c r="AZ146" s="19">
        <f t="shared" si="58"/>
        <v>1.4876946867788288E-2</v>
      </c>
      <c r="BB146" s="19">
        <f t="shared" si="59"/>
        <v>0</v>
      </c>
      <c r="BC146" s="19">
        <f t="shared" si="60"/>
        <v>3.2816938001920461E-2</v>
      </c>
    </row>
    <row r="147" spans="1:55" x14ac:dyDescent="0.3">
      <c r="A147" s="1">
        <v>46237</v>
      </c>
      <c r="B147" s="10">
        <v>21.77</v>
      </c>
      <c r="C147" s="10">
        <v>41.24</v>
      </c>
      <c r="D147" s="11">
        <v>1.89435002296738</v>
      </c>
      <c r="E147" s="11">
        <v>1.8778822651217899</v>
      </c>
      <c r="F147" s="11">
        <v>1.8909196894416</v>
      </c>
      <c r="G147" s="11">
        <v>1.8912652556626499</v>
      </c>
      <c r="H147" s="10">
        <v>40.881496911701397</v>
      </c>
      <c r="I147" s="10">
        <v>41.158493187260802</v>
      </c>
      <c r="J147" s="10">
        <v>41.1687977768281</v>
      </c>
      <c r="K147" s="12">
        <v>8.7310967098715893E-3</v>
      </c>
      <c r="L147" s="12">
        <v>1.9783575201551898E-3</v>
      </c>
      <c r="M147" s="12">
        <v>1.72802523057282E-3</v>
      </c>
      <c r="N147" s="26">
        <v>0.28000000000000003</v>
      </c>
      <c r="O147" s="13">
        <v>0</v>
      </c>
      <c r="P147" s="23">
        <f t="shared" si="41"/>
        <v>22.05</v>
      </c>
      <c r="Q147" s="23">
        <f t="shared" si="42"/>
        <v>41.24</v>
      </c>
      <c r="R147" s="14">
        <f t="shared" si="61"/>
        <v>1.8702947845804989</v>
      </c>
      <c r="S147" s="14">
        <f t="shared" si="62"/>
        <v>1.8657810486417497</v>
      </c>
      <c r="T147" s="14">
        <f t="shared" si="66"/>
        <v>1.8681914553234276</v>
      </c>
      <c r="U147" s="14">
        <f t="shared" si="39"/>
        <v>1.8686270217098013</v>
      </c>
      <c r="V147" s="16">
        <f t="shared" si="63"/>
        <v>41.140472122550584</v>
      </c>
      <c r="W147" s="16">
        <f t="shared" si="67"/>
        <v>41.189943133289944</v>
      </c>
      <c r="X147" s="16">
        <f t="shared" si="43"/>
        <v>41.200935131026689</v>
      </c>
      <c r="Y147" s="17">
        <f t="shared" si="64"/>
        <v>2.4162989919703482E-3</v>
      </c>
      <c r="Z147" s="17">
        <f t="shared" si="64"/>
        <v>1.2145312967715399E-3</v>
      </c>
      <c r="AA147" s="17">
        <f t="shared" si="64"/>
        <v>9.4770569584276207E-4</v>
      </c>
      <c r="AC147" s="18">
        <f t="shared" si="65"/>
        <v>2.2993801807215147E-3</v>
      </c>
      <c r="AD147" s="18">
        <f t="shared" si="65"/>
        <v>5.5927197447914944E-3</v>
      </c>
      <c r="AE147" s="18"/>
      <c r="AF147" s="18"/>
      <c r="AH147">
        <f t="shared" si="44"/>
        <v>0</v>
      </c>
      <c r="AI147">
        <f t="shared" si="45"/>
        <v>1</v>
      </c>
      <c r="AJ147">
        <f t="shared" si="46"/>
        <v>1</v>
      </c>
      <c r="AK147">
        <f t="shared" si="40"/>
        <v>1</v>
      </c>
      <c r="AL147" s="18">
        <f t="shared" si="47"/>
        <v>-2.2993801807215147E-3</v>
      </c>
      <c r="AM147" s="18">
        <f t="shared" si="48"/>
        <v>5.5927197447914944E-3</v>
      </c>
      <c r="AN147" s="18">
        <f t="shared" si="49"/>
        <v>3.2933395640699797E-3</v>
      </c>
      <c r="AO147" s="19">
        <f t="shared" si="50"/>
        <v>2.1233330698202171E-2</v>
      </c>
      <c r="AQ147" s="18"/>
      <c r="AS147">
        <f t="shared" si="51"/>
        <v>0</v>
      </c>
      <c r="AT147">
        <f t="shared" si="52"/>
        <v>0</v>
      </c>
      <c r="AU147">
        <f t="shared" si="53"/>
        <v>0</v>
      </c>
      <c r="AV147">
        <f t="shared" si="54"/>
        <v>0</v>
      </c>
      <c r="AW147" s="18">
        <f t="shared" si="55"/>
        <v>0</v>
      </c>
      <c r="AX147" s="18">
        <f t="shared" si="56"/>
        <v>0</v>
      </c>
      <c r="AY147" s="18">
        <f t="shared" si="57"/>
        <v>0</v>
      </c>
      <c r="AZ147" s="19">
        <f t="shared" si="58"/>
        <v>1.4876946867788288E-2</v>
      </c>
      <c r="BB147" s="19">
        <f t="shared" si="59"/>
        <v>3.2933395640699797E-3</v>
      </c>
      <c r="BC147" s="19">
        <f t="shared" si="60"/>
        <v>3.6110277565990438E-2</v>
      </c>
    </row>
    <row r="148" spans="1:55" x14ac:dyDescent="0.3">
      <c r="A148" s="1">
        <v>46238</v>
      </c>
      <c r="B148" s="10">
        <v>21.88</v>
      </c>
      <c r="C148" s="10">
        <v>41.38</v>
      </c>
      <c r="D148" s="11">
        <v>1.89122486288848</v>
      </c>
      <c r="E148" s="11">
        <v>1.8778822651217899</v>
      </c>
      <c r="F148" s="11">
        <v>1.89094618318618</v>
      </c>
      <c r="G148" s="11">
        <v>1.8912789350019701</v>
      </c>
      <c r="H148" s="10">
        <v>41.088063960864801</v>
      </c>
      <c r="I148" s="10">
        <v>41.373322804982202</v>
      </c>
      <c r="J148" s="10">
        <v>41.380883793898803</v>
      </c>
      <c r="K148" s="12">
        <v>7.0800075711850803E-3</v>
      </c>
      <c r="L148" s="12">
        <v>1.6137587726680901E-4</v>
      </c>
      <c r="M148" s="12">
        <v>-2.13577685110434E-5</v>
      </c>
      <c r="N148" s="26">
        <v>0.32500000000000001</v>
      </c>
      <c r="O148" s="13">
        <v>0</v>
      </c>
      <c r="P148" s="23">
        <f t="shared" si="41"/>
        <v>22.204999999999998</v>
      </c>
      <c r="Q148" s="23">
        <f t="shared" si="42"/>
        <v>41.38</v>
      </c>
      <c r="R148" s="14">
        <f t="shared" si="61"/>
        <v>1.8635442467912635</v>
      </c>
      <c r="S148" s="14">
        <f t="shared" si="62"/>
        <v>1.8657810486417497</v>
      </c>
      <c r="T148" s="14">
        <f t="shared" si="66"/>
        <v>1.8677134674795339</v>
      </c>
      <c r="U148" s="14">
        <f t="shared" si="39"/>
        <v>1.8683837847141969</v>
      </c>
      <c r="V148" s="16">
        <f t="shared" si="63"/>
        <v>41.429668185090051</v>
      </c>
      <c r="W148" s="16">
        <f t="shared" si="67"/>
        <v>41.483191265456703</v>
      </c>
      <c r="X148" s="16">
        <f t="shared" si="43"/>
        <v>41.492863017066135</v>
      </c>
      <c r="Y148" s="17">
        <f t="shared" si="64"/>
        <v>-1.1995746906023955E-3</v>
      </c>
      <c r="Z148" s="17">
        <f t="shared" si="64"/>
        <v>-2.4906431245210114E-3</v>
      </c>
      <c r="AA148" s="17">
        <f t="shared" si="64"/>
        <v>-2.7237646373926439E-3</v>
      </c>
      <c r="AC148" s="18">
        <f t="shared" si="65"/>
        <v>5.0401023073243035E-3</v>
      </c>
      <c r="AD148" s="18">
        <f t="shared" si="65"/>
        <v>3.3890131686378452E-3</v>
      </c>
      <c r="AE148" s="18"/>
      <c r="AF148" s="18"/>
      <c r="AH148">
        <f t="shared" si="44"/>
        <v>1</v>
      </c>
      <c r="AI148">
        <f t="shared" si="45"/>
        <v>0</v>
      </c>
      <c r="AJ148">
        <f t="shared" si="46"/>
        <v>0</v>
      </c>
      <c r="AK148">
        <f t="shared" si="40"/>
        <v>0</v>
      </c>
      <c r="AL148" s="18">
        <f t="shared" si="47"/>
        <v>0</v>
      </c>
      <c r="AM148" s="18">
        <f t="shared" si="48"/>
        <v>0</v>
      </c>
      <c r="AN148" s="18">
        <f t="shared" si="49"/>
        <v>0</v>
      </c>
      <c r="AO148" s="19">
        <f t="shared" si="50"/>
        <v>2.1233330698202171E-2</v>
      </c>
      <c r="AQ148" s="18"/>
      <c r="AS148">
        <f t="shared" si="51"/>
        <v>0</v>
      </c>
      <c r="AT148">
        <f t="shared" si="52"/>
        <v>1</v>
      </c>
      <c r="AU148">
        <f t="shared" si="53"/>
        <v>0</v>
      </c>
      <c r="AV148">
        <f t="shared" si="54"/>
        <v>0</v>
      </c>
      <c r="AW148" s="18">
        <f t="shared" si="55"/>
        <v>0</v>
      </c>
      <c r="AX148" s="18">
        <f t="shared" si="56"/>
        <v>0</v>
      </c>
      <c r="AY148" s="18">
        <f t="shared" si="57"/>
        <v>0</v>
      </c>
      <c r="AZ148" s="19">
        <f t="shared" si="58"/>
        <v>1.4876946867788288E-2</v>
      </c>
      <c r="BB148" s="19">
        <f t="shared" si="59"/>
        <v>0</v>
      </c>
      <c r="BC148" s="19">
        <f t="shared" si="60"/>
        <v>3.6110277565990438E-2</v>
      </c>
    </row>
    <row r="149" spans="1:55" x14ac:dyDescent="0.3">
      <c r="A149" s="1">
        <v>46239</v>
      </c>
      <c r="B149" s="10">
        <v>21.91</v>
      </c>
      <c r="C149" s="10">
        <v>41.46</v>
      </c>
      <c r="D149" s="11">
        <v>1.8922866271109</v>
      </c>
      <c r="E149" s="11">
        <v>1.8778822651217899</v>
      </c>
      <c r="F149" s="11">
        <v>1.8912186483203799</v>
      </c>
      <c r="G149" s="11">
        <v>1.8913351268226299</v>
      </c>
      <c r="H149" s="10">
        <v>41.1444004288185</v>
      </c>
      <c r="I149" s="10">
        <v>41.430630873609203</v>
      </c>
      <c r="J149" s="10">
        <v>41.437921465893197</v>
      </c>
      <c r="K149" s="12">
        <v>7.6412662078268996E-3</v>
      </c>
      <c r="L149" s="12">
        <v>7.0862357567200499E-4</v>
      </c>
      <c r="M149" s="12">
        <v>5.32667990664898E-4</v>
      </c>
      <c r="N149" s="26">
        <v>0.32500000000000001</v>
      </c>
      <c r="O149" s="13">
        <v>0</v>
      </c>
      <c r="P149" s="23">
        <f t="shared" si="41"/>
        <v>22.234999999999999</v>
      </c>
      <c r="Q149" s="23">
        <f t="shared" si="42"/>
        <v>41.46</v>
      </c>
      <c r="R149" s="14">
        <f t="shared" si="61"/>
        <v>1.8646278389925794</v>
      </c>
      <c r="S149" s="14">
        <f t="shared" si="62"/>
        <v>1.8657810486417497</v>
      </c>
      <c r="T149" s="14">
        <f t="shared" si="66"/>
        <v>1.8674819604027331</v>
      </c>
      <c r="U149" s="14">
        <f t="shared" si="39"/>
        <v>1.8681868678402964</v>
      </c>
      <c r="V149" s="16">
        <f t="shared" si="63"/>
        <v>41.485641616549302</v>
      </c>
      <c r="W149" s="16">
        <f t="shared" si="67"/>
        <v>41.528608949407435</v>
      </c>
      <c r="X149" s="16">
        <f t="shared" si="43"/>
        <v>41.543513453120163</v>
      </c>
      <c r="Y149" s="17">
        <f t="shared" si="64"/>
        <v>-6.1827521895996696E-4</v>
      </c>
      <c r="Z149" s="17">
        <f t="shared" si="64"/>
        <v>-1.6534549959782861E-3</v>
      </c>
      <c r="AA149" s="17">
        <f t="shared" si="64"/>
        <v>-2.0122878617243492E-3</v>
      </c>
      <c r="AC149" s="18">
        <f t="shared" si="65"/>
        <v>1.3701760535947173E-3</v>
      </c>
      <c r="AD149" s="18">
        <f t="shared" si="65"/>
        <v>1.9314346902364408E-3</v>
      </c>
      <c r="AE149" s="18"/>
      <c r="AF149" s="18"/>
      <c r="AH149">
        <f t="shared" si="44"/>
        <v>1</v>
      </c>
      <c r="AI149">
        <f t="shared" si="45"/>
        <v>0</v>
      </c>
      <c r="AJ149">
        <f t="shared" si="46"/>
        <v>1</v>
      </c>
      <c r="AK149">
        <f t="shared" si="40"/>
        <v>1</v>
      </c>
      <c r="AL149" s="18">
        <f t="shared" si="47"/>
        <v>-1.3701760535947173E-3</v>
      </c>
      <c r="AM149" s="18">
        <f t="shared" si="48"/>
        <v>1.9314346902364408E-3</v>
      </c>
      <c r="AN149" s="18">
        <f t="shared" si="49"/>
        <v>5.6125863664172352E-4</v>
      </c>
      <c r="AO149" s="19">
        <f t="shared" si="50"/>
        <v>2.1794589334843895E-2</v>
      </c>
      <c r="AQ149" s="18"/>
      <c r="AS149">
        <f t="shared" si="51"/>
        <v>0</v>
      </c>
      <c r="AT149">
        <f t="shared" si="52"/>
        <v>1</v>
      </c>
      <c r="AU149">
        <f t="shared" si="53"/>
        <v>0</v>
      </c>
      <c r="AV149">
        <f t="shared" si="54"/>
        <v>0</v>
      </c>
      <c r="AW149" s="18">
        <f t="shared" si="55"/>
        <v>0</v>
      </c>
      <c r="AX149" s="18">
        <f t="shared" si="56"/>
        <v>0</v>
      </c>
      <c r="AY149" s="18">
        <f t="shared" si="57"/>
        <v>0</v>
      </c>
      <c r="AZ149" s="19">
        <f t="shared" si="58"/>
        <v>1.4876946867788288E-2</v>
      </c>
      <c r="BB149" s="19">
        <f t="shared" si="59"/>
        <v>5.6125863664172352E-4</v>
      </c>
      <c r="BC149" s="19">
        <f t="shared" si="60"/>
        <v>3.6671536202632159E-2</v>
      </c>
    </row>
    <row r="150" spans="1:55" x14ac:dyDescent="0.3">
      <c r="A150" s="1">
        <v>46240</v>
      </c>
      <c r="B150" s="10">
        <v>21.86</v>
      </c>
      <c r="C150" s="10">
        <v>41.27</v>
      </c>
      <c r="D150" s="11">
        <v>1.8879231473010001</v>
      </c>
      <c r="E150" s="11">
        <v>1.8778822651217899</v>
      </c>
      <c r="F150" s="11">
        <v>1.89110646866846</v>
      </c>
      <c r="G150" s="11">
        <v>1.89105191615794</v>
      </c>
      <c r="H150" s="10">
        <v>41.050506315562401</v>
      </c>
      <c r="I150" s="10">
        <v>41.342039652283603</v>
      </c>
      <c r="J150" s="10">
        <v>41.344585872342797</v>
      </c>
      <c r="K150" s="12">
        <v>5.3326738236665503E-3</v>
      </c>
      <c r="L150" s="12">
        <v>-1.7440477404301201E-3</v>
      </c>
      <c r="M150" s="12">
        <v>-1.8056349691699699E-3</v>
      </c>
      <c r="N150" s="26">
        <v>0.32500000000000001</v>
      </c>
      <c r="O150" s="13">
        <v>0</v>
      </c>
      <c r="P150" s="23">
        <f t="shared" si="41"/>
        <v>22.184999999999999</v>
      </c>
      <c r="Q150" s="23">
        <f t="shared" si="42"/>
        <v>41.27</v>
      </c>
      <c r="R150" s="14">
        <f t="shared" si="61"/>
        <v>1.8602659454586434</v>
      </c>
      <c r="S150" s="14">
        <f t="shared" si="62"/>
        <v>1.8657810486417497</v>
      </c>
      <c r="T150" s="14">
        <f t="shared" si="66"/>
        <v>1.8668758074925382</v>
      </c>
      <c r="U150" s="14">
        <f t="shared" ref="U150:U156" si="68">AVERAGE(R131:R150)</f>
        <v>1.8676510374731918</v>
      </c>
      <c r="V150" s="16">
        <f t="shared" si="63"/>
        <v>41.392352564117211</v>
      </c>
      <c r="W150" s="16">
        <f t="shared" si="67"/>
        <v>41.430087291534633</v>
      </c>
      <c r="X150" s="16">
        <f t="shared" si="43"/>
        <v>41.445725663036974</v>
      </c>
      <c r="Y150" s="17">
        <f t="shared" si="64"/>
        <v>-2.9602993303159781E-3</v>
      </c>
      <c r="Z150" s="17">
        <f t="shared" si="64"/>
        <v>-3.8715192869892465E-3</v>
      </c>
      <c r="AA150" s="17">
        <f t="shared" si="64"/>
        <v>-4.2489121868096247E-3</v>
      </c>
      <c r="AC150" s="18">
        <f t="shared" si="65"/>
        <v>-2.2846708589826497E-3</v>
      </c>
      <c r="AD150" s="18">
        <f t="shared" si="65"/>
        <v>-4.5932632431430727E-3</v>
      </c>
      <c r="AE150" s="18"/>
      <c r="AF150" s="18"/>
      <c r="AH150">
        <f t="shared" si="44"/>
        <v>1</v>
      </c>
      <c r="AI150">
        <f t="shared" si="45"/>
        <v>0</v>
      </c>
      <c r="AJ150">
        <f t="shared" si="46"/>
        <v>1</v>
      </c>
      <c r="AK150">
        <f t="shared" ref="AK150:AK156" si="69">IF(AH149,1,IF(AI149,0,AJ149))</f>
        <v>1</v>
      </c>
      <c r="AL150" s="18">
        <f t="shared" si="47"/>
        <v>2.2846708589826497E-3</v>
      </c>
      <c r="AM150" s="18">
        <f t="shared" si="48"/>
        <v>-4.5932632431430727E-3</v>
      </c>
      <c r="AN150" s="18">
        <f t="shared" si="49"/>
        <v>-2.308592384160423E-3</v>
      </c>
      <c r="AO150" s="19">
        <f t="shared" si="50"/>
        <v>1.9485996950683471E-2</v>
      </c>
      <c r="AQ150" s="18"/>
      <c r="AS150">
        <f t="shared" si="51"/>
        <v>0</v>
      </c>
      <c r="AT150">
        <f t="shared" si="52"/>
        <v>1</v>
      </c>
      <c r="AU150">
        <f t="shared" si="53"/>
        <v>0</v>
      </c>
      <c r="AV150">
        <f t="shared" si="54"/>
        <v>0</v>
      </c>
      <c r="AW150" s="18">
        <f t="shared" si="55"/>
        <v>0</v>
      </c>
      <c r="AX150" s="18">
        <f t="shared" si="56"/>
        <v>0</v>
      </c>
      <c r="AY150" s="18">
        <f t="shared" si="57"/>
        <v>0</v>
      </c>
      <c r="AZ150" s="19">
        <f t="shared" si="58"/>
        <v>1.4876946867788288E-2</v>
      </c>
      <c r="BB150" s="19">
        <f t="shared" si="59"/>
        <v>-2.308592384160423E-3</v>
      </c>
      <c r="BC150" s="19">
        <f t="shared" si="60"/>
        <v>3.4362943818471735E-2</v>
      </c>
    </row>
    <row r="151" spans="1:55" x14ac:dyDescent="0.3">
      <c r="A151" s="1">
        <v>46241</v>
      </c>
      <c r="B151" s="10">
        <v>21.99</v>
      </c>
      <c r="C151" s="10">
        <v>41.45</v>
      </c>
      <c r="D151" s="11">
        <v>1.88494770350159</v>
      </c>
      <c r="E151" s="11">
        <v>1.8778822651217899</v>
      </c>
      <c r="F151" s="11">
        <v>1.8906292764018</v>
      </c>
      <c r="G151" s="11">
        <v>1.89071847687725</v>
      </c>
      <c r="H151" s="10">
        <v>41.294631010028198</v>
      </c>
      <c r="I151" s="10">
        <v>41.585431246019503</v>
      </c>
      <c r="J151" s="10">
        <v>41.584231636313199</v>
      </c>
      <c r="K151" s="12">
        <v>3.7553898222026801E-3</v>
      </c>
      <c r="L151" s="12">
        <v>-3.2620139156968502E-3</v>
      </c>
      <c r="M151" s="12">
        <v>-3.2331666253552702E-3</v>
      </c>
      <c r="N151" s="26">
        <v>0.32500000000000001</v>
      </c>
      <c r="O151" s="13">
        <v>0</v>
      </c>
      <c r="P151" s="23">
        <f t="shared" ref="P151:P156" si="70">B151+N151</f>
        <v>22.314999999999998</v>
      </c>
      <c r="Q151" s="23">
        <f t="shared" ref="Q151:Q156" si="71">C151+O151</f>
        <v>41.45</v>
      </c>
      <c r="R151" s="14">
        <f t="shared" si="61"/>
        <v>1.8574949585480622</v>
      </c>
      <c r="S151" s="14">
        <f t="shared" si="62"/>
        <v>1.8657810486417497</v>
      </c>
      <c r="T151" s="14">
        <f t="shared" si="66"/>
        <v>1.8659217022393111</v>
      </c>
      <c r="U151" s="14">
        <f t="shared" si="68"/>
        <v>1.8670704078262239</v>
      </c>
      <c r="V151" s="16">
        <f t="shared" si="63"/>
        <v>41.634904100440636</v>
      </c>
      <c r="W151" s="16">
        <f t="shared" si="67"/>
        <v>41.659333644195989</v>
      </c>
      <c r="X151" s="16">
        <f t="shared" ref="X151:X156" si="72">U150*P151</f>
        <v>41.676632901214269</v>
      </c>
      <c r="Y151" s="17">
        <f t="shared" si="64"/>
        <v>-4.4509747638627958E-3</v>
      </c>
      <c r="Z151" s="17">
        <f t="shared" si="64"/>
        <v>-5.0375590250869165E-3</v>
      </c>
      <c r="AA151" s="17">
        <f t="shared" si="64"/>
        <v>-5.45272808075121E-3</v>
      </c>
      <c r="AC151" s="18">
        <f t="shared" si="65"/>
        <v>5.9293218182771678E-3</v>
      </c>
      <c r="AD151" s="18">
        <f t="shared" si="65"/>
        <v>4.3520378168134637E-3</v>
      </c>
      <c r="AE151" s="18"/>
      <c r="AF151" s="18"/>
      <c r="AH151">
        <f t="shared" ref="AH151:AH156" si="73">IF(AA151&lt;AG$1,1,0)</f>
        <v>1</v>
      </c>
      <c r="AI151">
        <f t="shared" ref="AI151:AI156" si="74">IF($AA151&gt;AG$2,1,0)</f>
        <v>0</v>
      </c>
      <c r="AJ151">
        <f t="shared" ref="AJ151:AJ156" si="75">AK151</f>
        <v>1</v>
      </c>
      <c r="AK151">
        <f t="shared" si="69"/>
        <v>1</v>
      </c>
      <c r="AL151" s="18">
        <f t="shared" ref="AL151:AL156" si="76">-AK151*$AC151</f>
        <v>-5.9293218182771678E-3</v>
      </c>
      <c r="AM151" s="18">
        <f t="shared" ref="AM151:AM156" si="77">AK151*$AD151</f>
        <v>4.3520378168134637E-3</v>
      </c>
      <c r="AN151" s="18">
        <f t="shared" ref="AN151:AN156" si="78">AL151+AM151</f>
        <v>-1.5772840014637041E-3</v>
      </c>
      <c r="AO151" s="19">
        <f t="shared" ref="AO151:AO156" si="79">AO150+AN151</f>
        <v>1.7908712949219766E-2</v>
      </c>
      <c r="AQ151" s="18"/>
      <c r="AS151">
        <f t="shared" ref="AS151:AS156" si="80">IF($AA151&gt;AR$1,1,0)</f>
        <v>0</v>
      </c>
      <c r="AT151">
        <f t="shared" ref="AT151:AT156" si="81">IF($AA151&lt;AR$2,1,0)</f>
        <v>1</v>
      </c>
      <c r="AU151">
        <f t="shared" ref="AU151:AU156" si="82">AV150</f>
        <v>0</v>
      </c>
      <c r="AV151">
        <f t="shared" ref="AV151:AV156" si="83">IF(AS150,1,IF(AT150,0,AU150))</f>
        <v>0</v>
      </c>
      <c r="AW151" s="18">
        <f t="shared" ref="AW151:AW156" si="84">AV151*$AC151</f>
        <v>0</v>
      </c>
      <c r="AX151" s="18">
        <f t="shared" ref="AX151:AX156" si="85">-AV151*$AD151</f>
        <v>0</v>
      </c>
      <c r="AY151" s="18">
        <f t="shared" ref="AY151:AY156" si="86">AW151+AX151</f>
        <v>0</v>
      </c>
      <c r="AZ151" s="19">
        <f t="shared" ref="AZ151:AZ156" si="87">AZ150+AY151</f>
        <v>1.4876946867788288E-2</v>
      </c>
      <c r="BB151" s="19">
        <f t="shared" ref="BB151:BB156" si="88">AN151+AY151</f>
        <v>-1.5772840014637041E-3</v>
      </c>
      <c r="BC151" s="19">
        <f t="shared" ref="BC151:BC156" si="89">BC150+BB151</f>
        <v>3.2785659817008032E-2</v>
      </c>
    </row>
    <row r="152" spans="1:55" x14ac:dyDescent="0.3">
      <c r="A152" s="1">
        <v>46244</v>
      </c>
      <c r="B152" s="10">
        <v>21.79</v>
      </c>
      <c r="C152" s="10">
        <v>41.19</v>
      </c>
      <c r="D152" s="11">
        <v>1.8903166590178899</v>
      </c>
      <c r="E152" s="11">
        <v>1.8778822651217899</v>
      </c>
      <c r="F152" s="11">
        <v>1.8905284796170201</v>
      </c>
      <c r="G152" s="11">
        <v>1.8906422352360801</v>
      </c>
      <c r="H152" s="10">
        <v>40.919054557003903</v>
      </c>
      <c r="I152" s="10">
        <v>41.1968119327952</v>
      </c>
      <c r="J152" s="10">
        <v>41.198755611155399</v>
      </c>
      <c r="K152" s="12">
        <v>6.5996722990293499E-3</v>
      </c>
      <c r="L152" s="12">
        <v>-1.65364641524432E-4</v>
      </c>
      <c r="M152" s="12">
        <v>-2.12543838622296E-4</v>
      </c>
      <c r="N152" s="26">
        <v>0.32500000000000001</v>
      </c>
      <c r="O152" s="13">
        <v>0</v>
      </c>
      <c r="P152" s="23">
        <f t="shared" si="70"/>
        <v>22.114999999999998</v>
      </c>
      <c r="Q152" s="23">
        <f t="shared" si="71"/>
        <v>41.19</v>
      </c>
      <c r="R152" s="14">
        <f t="shared" si="61"/>
        <v>1.8625367397693873</v>
      </c>
      <c r="S152" s="14">
        <f t="shared" si="62"/>
        <v>1.8657810486417497</v>
      </c>
      <c r="T152" s="14">
        <f t="shared" si="66"/>
        <v>1.865309016769245</v>
      </c>
      <c r="U152" s="14">
        <f t="shared" si="68"/>
        <v>1.8667380094392905</v>
      </c>
      <c r="V152" s="16">
        <f t="shared" si="63"/>
        <v>41.261747890712293</v>
      </c>
      <c r="W152" s="16">
        <f t="shared" si="67"/>
        <v>41.264858445022362</v>
      </c>
      <c r="X152" s="16">
        <f t="shared" si="72"/>
        <v>41.290262069076938</v>
      </c>
      <c r="Y152" s="17">
        <f t="shared" si="64"/>
        <v>-1.740361136234562E-3</v>
      </c>
      <c r="Z152" s="17">
        <f t="shared" si="64"/>
        <v>-1.8157442023669086E-3</v>
      </c>
      <c r="AA152" s="17">
        <f t="shared" si="64"/>
        <v>-2.4311784649104877E-3</v>
      </c>
      <c r="AC152" s="18">
        <f t="shared" si="65"/>
        <v>-9.1366556101412557E-3</v>
      </c>
      <c r="AD152" s="18">
        <f t="shared" si="65"/>
        <v>-6.2923731333147702E-3</v>
      </c>
      <c r="AE152" s="18"/>
      <c r="AF152" s="18"/>
      <c r="AH152">
        <f t="shared" si="73"/>
        <v>1</v>
      </c>
      <c r="AI152">
        <f t="shared" si="74"/>
        <v>0</v>
      </c>
      <c r="AJ152">
        <f t="shared" si="75"/>
        <v>1</v>
      </c>
      <c r="AK152">
        <f t="shared" si="69"/>
        <v>1</v>
      </c>
      <c r="AL152" s="18">
        <f t="shared" si="76"/>
        <v>9.1366556101412557E-3</v>
      </c>
      <c r="AM152" s="18">
        <f t="shared" si="77"/>
        <v>-6.2923731333147702E-3</v>
      </c>
      <c r="AN152" s="18">
        <f t="shared" si="78"/>
        <v>2.8442824768264855E-3</v>
      </c>
      <c r="AO152" s="19">
        <f t="shared" si="79"/>
        <v>2.075299542604625E-2</v>
      </c>
      <c r="AQ152" s="18"/>
      <c r="AS152">
        <f t="shared" si="80"/>
        <v>0</v>
      </c>
      <c r="AT152">
        <f t="shared" si="81"/>
        <v>1</v>
      </c>
      <c r="AU152">
        <f t="shared" si="82"/>
        <v>0</v>
      </c>
      <c r="AV152">
        <f t="shared" si="83"/>
        <v>0</v>
      </c>
      <c r="AW152" s="18">
        <f t="shared" si="84"/>
        <v>0</v>
      </c>
      <c r="AX152" s="18">
        <f t="shared" si="85"/>
        <v>0</v>
      </c>
      <c r="AY152" s="18">
        <f t="shared" si="86"/>
        <v>0</v>
      </c>
      <c r="AZ152" s="19">
        <f t="shared" si="87"/>
        <v>1.4876946867788288E-2</v>
      </c>
      <c r="BB152" s="19">
        <f t="shared" si="88"/>
        <v>2.8442824768264855E-3</v>
      </c>
      <c r="BC152" s="19">
        <f t="shared" si="89"/>
        <v>3.5629942293834517E-2</v>
      </c>
    </row>
    <row r="153" spans="1:55" x14ac:dyDescent="0.3">
      <c r="A153" s="1">
        <v>46245</v>
      </c>
      <c r="B153" s="10">
        <v>21.83</v>
      </c>
      <c r="C153" s="10">
        <v>41.24</v>
      </c>
      <c r="D153" s="11">
        <v>1.8891433806688001</v>
      </c>
      <c r="E153" s="11">
        <v>1.8778822651217899</v>
      </c>
      <c r="F153" s="11">
        <v>1.89006228671045</v>
      </c>
      <c r="G153" s="11">
        <v>1.89061121529314</v>
      </c>
      <c r="H153" s="10">
        <v>40.994169847608703</v>
      </c>
      <c r="I153" s="10">
        <v>41.270236710039597</v>
      </c>
      <c r="J153" s="10">
        <v>41.272719995203602</v>
      </c>
      <c r="K153" s="12">
        <v>5.9788013944753098E-3</v>
      </c>
      <c r="L153" s="12">
        <v>-7.32920243567993E-4</v>
      </c>
      <c r="M153" s="12">
        <v>-7.9308976653731102E-4</v>
      </c>
      <c r="N153" s="26">
        <v>0.32500000000000001</v>
      </c>
      <c r="O153" s="13">
        <v>0</v>
      </c>
      <c r="P153" s="23">
        <f t="shared" si="70"/>
        <v>22.154999999999998</v>
      </c>
      <c r="Q153" s="23">
        <f t="shared" si="71"/>
        <v>41.24</v>
      </c>
      <c r="R153" s="14">
        <f t="shared" si="61"/>
        <v>1.861430828255473</v>
      </c>
      <c r="S153" s="14">
        <f t="shared" si="62"/>
        <v>1.8657810486417497</v>
      </c>
      <c r="T153" s="14">
        <f t="shared" si="66"/>
        <v>1.8643375114677787</v>
      </c>
      <c r="U153" s="14">
        <f t="shared" si="68"/>
        <v>1.8664457064584714</v>
      </c>
      <c r="V153" s="16">
        <f t="shared" si="63"/>
        <v>41.33637913265796</v>
      </c>
      <c r="W153" s="16">
        <f t="shared" si="67"/>
        <v>41.32592126652262</v>
      </c>
      <c r="X153" s="16">
        <f t="shared" si="72"/>
        <v>41.357580599127473</v>
      </c>
      <c r="Y153" s="17">
        <f t="shared" si="64"/>
        <v>-2.3343037666272684E-3</v>
      </c>
      <c r="Z153" s="17">
        <f t="shared" si="64"/>
        <v>-2.081277510628322E-3</v>
      </c>
      <c r="AA153" s="17">
        <f t="shared" si="64"/>
        <v>-2.8470731878238961E-3</v>
      </c>
      <c r="AC153" s="18">
        <f t="shared" si="65"/>
        <v>1.8340216053240443E-3</v>
      </c>
      <c r="AD153" s="18">
        <f t="shared" si="65"/>
        <v>1.2131507007699974E-3</v>
      </c>
      <c r="AE153" s="18"/>
      <c r="AF153" s="18"/>
      <c r="AH153">
        <f t="shared" si="73"/>
        <v>1</v>
      </c>
      <c r="AI153">
        <f t="shared" si="74"/>
        <v>0</v>
      </c>
      <c r="AJ153">
        <f t="shared" si="75"/>
        <v>1</v>
      </c>
      <c r="AK153">
        <f t="shared" si="69"/>
        <v>1</v>
      </c>
      <c r="AL153" s="18">
        <f t="shared" si="76"/>
        <v>-1.8340216053240443E-3</v>
      </c>
      <c r="AM153" s="18">
        <f t="shared" si="77"/>
        <v>1.2131507007699974E-3</v>
      </c>
      <c r="AN153" s="18">
        <f t="shared" si="78"/>
        <v>-6.2087090455404683E-4</v>
      </c>
      <c r="AO153" s="19">
        <f t="shared" si="79"/>
        <v>2.0132124521492205E-2</v>
      </c>
      <c r="AQ153" s="18"/>
      <c r="AS153">
        <f t="shared" si="80"/>
        <v>0</v>
      </c>
      <c r="AT153">
        <f t="shared" si="81"/>
        <v>1</v>
      </c>
      <c r="AU153">
        <f t="shared" si="82"/>
        <v>0</v>
      </c>
      <c r="AV153">
        <f t="shared" si="83"/>
        <v>0</v>
      </c>
      <c r="AW153" s="18">
        <f t="shared" si="84"/>
        <v>0</v>
      </c>
      <c r="AX153" s="18">
        <f t="shared" si="85"/>
        <v>0</v>
      </c>
      <c r="AY153" s="18">
        <f t="shared" si="86"/>
        <v>0</v>
      </c>
      <c r="AZ153" s="19">
        <f t="shared" si="87"/>
        <v>1.4876946867788288E-2</v>
      </c>
      <c r="BB153" s="19">
        <f t="shared" si="88"/>
        <v>-6.2087090455404683E-4</v>
      </c>
      <c r="BC153" s="19">
        <f t="shared" si="89"/>
        <v>3.5009071389280472E-2</v>
      </c>
    </row>
    <row r="154" spans="1:55" x14ac:dyDescent="0.3">
      <c r="A154" s="1">
        <v>46246</v>
      </c>
      <c r="B154" s="10">
        <v>21.84</v>
      </c>
      <c r="C154" s="10">
        <v>41.19</v>
      </c>
      <c r="D154" s="11">
        <v>1.8859890109890101</v>
      </c>
      <c r="E154" s="11">
        <v>1.8778822651217899</v>
      </c>
      <c r="F154" s="11">
        <v>1.8894518854837701</v>
      </c>
      <c r="G154" s="11">
        <v>1.89026615984074</v>
      </c>
      <c r="H154" s="10">
        <v>41.012948670259902</v>
      </c>
      <c r="I154" s="10">
        <v>41.278960341756303</v>
      </c>
      <c r="J154" s="10">
        <v>41.290948942002203</v>
      </c>
      <c r="K154" s="12">
        <v>4.3076703788536E-3</v>
      </c>
      <c r="L154" s="12">
        <v>-2.1574268886885299E-3</v>
      </c>
      <c r="M154" s="12">
        <v>-2.4478135545854501E-3</v>
      </c>
      <c r="N154" s="26">
        <v>0.32500000000000001</v>
      </c>
      <c r="O154" s="13">
        <v>0</v>
      </c>
      <c r="P154" s="23">
        <f t="shared" si="70"/>
        <v>22.164999999999999</v>
      </c>
      <c r="Q154" s="23">
        <f t="shared" si="71"/>
        <v>41.19</v>
      </c>
      <c r="R154" s="14">
        <f t="shared" si="61"/>
        <v>1.8583352131739228</v>
      </c>
      <c r="S154" s="14">
        <f t="shared" si="62"/>
        <v>1.8657810486417497</v>
      </c>
      <c r="T154" s="14">
        <f t="shared" si="66"/>
        <v>1.8632225033734067</v>
      </c>
      <c r="U154" s="14">
        <f t="shared" si="68"/>
        <v>1.8658405693069482</v>
      </c>
      <c r="V154" s="16">
        <f t="shared" si="63"/>
        <v>41.355036943144377</v>
      </c>
      <c r="W154" s="16">
        <f t="shared" si="67"/>
        <v>41.323040941683317</v>
      </c>
      <c r="X154" s="16">
        <f t="shared" si="72"/>
        <v>41.369769083652017</v>
      </c>
      <c r="Y154" s="17">
        <f t="shared" si="64"/>
        <v>-3.9987180129612545E-3</v>
      </c>
      <c r="Z154" s="17">
        <f t="shared" si="64"/>
        <v>-3.2247280055271959E-3</v>
      </c>
      <c r="AA154" s="17">
        <f t="shared" si="64"/>
        <v>-4.3548902754530676E-3</v>
      </c>
      <c r="AC154" s="18">
        <f t="shared" si="65"/>
        <v>4.5798031485189659E-4</v>
      </c>
      <c r="AD154" s="18">
        <f t="shared" si="65"/>
        <v>-1.2131507007699163E-3</v>
      </c>
      <c r="AE154" s="18"/>
      <c r="AF154" s="18"/>
      <c r="AH154">
        <f t="shared" si="73"/>
        <v>1</v>
      </c>
      <c r="AI154">
        <f t="shared" si="74"/>
        <v>0</v>
      </c>
      <c r="AJ154">
        <f t="shared" si="75"/>
        <v>1</v>
      </c>
      <c r="AK154">
        <f t="shared" si="69"/>
        <v>1</v>
      </c>
      <c r="AL154" s="18">
        <f t="shared" si="76"/>
        <v>-4.5798031485189659E-4</v>
      </c>
      <c r="AM154" s="18">
        <f t="shared" si="77"/>
        <v>-1.2131507007699163E-3</v>
      </c>
      <c r="AN154" s="18">
        <f t="shared" si="78"/>
        <v>-1.671131015621813E-3</v>
      </c>
      <c r="AO154" s="19">
        <f t="shared" si="79"/>
        <v>1.8460993505870393E-2</v>
      </c>
      <c r="AQ154" s="18"/>
      <c r="AS154">
        <f t="shared" si="80"/>
        <v>0</v>
      </c>
      <c r="AT154">
        <f t="shared" si="81"/>
        <v>1</v>
      </c>
      <c r="AU154">
        <f t="shared" si="82"/>
        <v>0</v>
      </c>
      <c r="AV154">
        <f t="shared" si="83"/>
        <v>0</v>
      </c>
      <c r="AW154" s="18">
        <f t="shared" si="84"/>
        <v>0</v>
      </c>
      <c r="AX154" s="18">
        <f t="shared" si="85"/>
        <v>0</v>
      </c>
      <c r="AY154" s="18">
        <f t="shared" si="86"/>
        <v>0</v>
      </c>
      <c r="AZ154" s="19">
        <f t="shared" si="87"/>
        <v>1.4876946867788288E-2</v>
      </c>
      <c r="BB154" s="19">
        <f t="shared" si="88"/>
        <v>-1.671131015621813E-3</v>
      </c>
      <c r="BC154" s="19">
        <f t="shared" si="89"/>
        <v>3.3337940373658656E-2</v>
      </c>
    </row>
    <row r="155" spans="1:55" x14ac:dyDescent="0.3">
      <c r="A155" s="1">
        <v>46247</v>
      </c>
      <c r="B155" s="10">
        <v>21.83</v>
      </c>
      <c r="C155" s="10">
        <v>41.29</v>
      </c>
      <c r="D155" s="11">
        <v>1.8914338066880401</v>
      </c>
      <c r="E155" s="11">
        <v>1.8778822651217899</v>
      </c>
      <c r="F155" s="11">
        <v>1.88957367680944</v>
      </c>
      <c r="G155" s="11">
        <v>1.89023386684953</v>
      </c>
      <c r="H155" s="10">
        <v>40.994169847608703</v>
      </c>
      <c r="I155" s="10">
        <v>41.246734660110697</v>
      </c>
      <c r="J155" s="10">
        <v>41.264510269323402</v>
      </c>
      <c r="K155" s="12">
        <v>7.1904821437147803E-3</v>
      </c>
      <c r="L155" s="12">
        <v>1.04839000549774E-3</v>
      </c>
      <c r="M155" s="12">
        <v>6.1752486698443796E-4</v>
      </c>
      <c r="N155" s="26">
        <v>0.32500000000000001</v>
      </c>
      <c r="O155" s="13">
        <v>0</v>
      </c>
      <c r="P155" s="23">
        <f t="shared" si="70"/>
        <v>22.154999999999998</v>
      </c>
      <c r="Q155" s="23">
        <f t="shared" si="71"/>
        <v>41.29</v>
      </c>
      <c r="R155" s="14">
        <f t="shared" si="61"/>
        <v>1.8636876551568495</v>
      </c>
      <c r="S155" s="14">
        <f t="shared" si="62"/>
        <v>1.8657810486417497</v>
      </c>
      <c r="T155" s="14">
        <f t="shared" si="66"/>
        <v>1.8628005289889553</v>
      </c>
      <c r="U155" s="14">
        <f t="shared" si="68"/>
        <v>1.8655466911952256</v>
      </c>
      <c r="V155" s="16">
        <f t="shared" si="63"/>
        <v>41.33637913265796</v>
      </c>
      <c r="W155" s="16">
        <f t="shared" si="67"/>
        <v>41.279694562237822</v>
      </c>
      <c r="X155" s="16">
        <f t="shared" si="72"/>
        <v>41.33769781299543</v>
      </c>
      <c r="Y155" s="17">
        <f t="shared" si="64"/>
        <v>-1.1226230173877092E-3</v>
      </c>
      <c r="Z155" s="17">
        <f t="shared" si="64"/>
        <v>2.4961792266089375E-4</v>
      </c>
      <c r="AA155" s="17">
        <f t="shared" si="64"/>
        <v>-1.1545237143485063E-3</v>
      </c>
      <c r="AC155" s="18">
        <f t="shared" si="65"/>
        <v>-4.5798031485187529E-4</v>
      </c>
      <c r="AD155" s="18">
        <f t="shared" si="65"/>
        <v>2.4248314500094387E-3</v>
      </c>
      <c r="AE155" s="18"/>
      <c r="AF155" s="18"/>
      <c r="AH155">
        <f t="shared" si="73"/>
        <v>1</v>
      </c>
      <c r="AI155">
        <f t="shared" si="74"/>
        <v>0</v>
      </c>
      <c r="AJ155">
        <f t="shared" si="75"/>
        <v>1</v>
      </c>
      <c r="AK155">
        <f t="shared" si="69"/>
        <v>1</v>
      </c>
      <c r="AL155" s="18">
        <f t="shared" si="76"/>
        <v>4.5798031485187529E-4</v>
      </c>
      <c r="AM155" s="18">
        <f t="shared" si="77"/>
        <v>2.4248314500094387E-3</v>
      </c>
      <c r="AN155" s="18">
        <f t="shared" si="78"/>
        <v>2.8828117648613139E-3</v>
      </c>
      <c r="AO155" s="19">
        <f t="shared" si="79"/>
        <v>2.1343805270731708E-2</v>
      </c>
      <c r="AQ155" s="18"/>
      <c r="AS155">
        <f t="shared" si="80"/>
        <v>0</v>
      </c>
      <c r="AT155">
        <f t="shared" si="81"/>
        <v>1</v>
      </c>
      <c r="AU155">
        <f t="shared" si="82"/>
        <v>0</v>
      </c>
      <c r="AV155">
        <f t="shared" si="83"/>
        <v>0</v>
      </c>
      <c r="AW155" s="18">
        <f t="shared" si="84"/>
        <v>0</v>
      </c>
      <c r="AX155" s="18">
        <f t="shared" si="85"/>
        <v>0</v>
      </c>
      <c r="AY155" s="18">
        <f t="shared" si="86"/>
        <v>0</v>
      </c>
      <c r="AZ155" s="19">
        <f t="shared" si="87"/>
        <v>1.4876946867788288E-2</v>
      </c>
      <c r="BB155" s="19">
        <f t="shared" si="88"/>
        <v>2.8828117648613139E-3</v>
      </c>
      <c r="BC155" s="19">
        <f t="shared" si="89"/>
        <v>3.6220752138519968E-2</v>
      </c>
    </row>
    <row r="156" spans="1:55" x14ac:dyDescent="0.3">
      <c r="A156" s="1">
        <v>46248</v>
      </c>
      <c r="B156" s="10">
        <v>21.78</v>
      </c>
      <c r="C156" s="10">
        <v>41.2</v>
      </c>
      <c r="D156" s="11">
        <v>1.8916437098255201</v>
      </c>
      <c r="E156" s="11">
        <v>1.8778822651217899</v>
      </c>
      <c r="F156" s="11">
        <v>1.88992589309586</v>
      </c>
      <c r="G156" s="11">
        <v>1.89026595957643</v>
      </c>
      <c r="H156" s="10">
        <v>40.900275734352597</v>
      </c>
      <c r="I156" s="10">
        <v>41.154914680909698</v>
      </c>
      <c r="J156" s="10">
        <v>41.169293619982803</v>
      </c>
      <c r="K156" s="12">
        <v>7.3014516582347597E-3</v>
      </c>
      <c r="L156" s="12">
        <v>1.0949030490534999E-3</v>
      </c>
      <c r="M156" s="12">
        <v>7.4557836033505801E-4</v>
      </c>
      <c r="N156" s="26">
        <v>0.32500000000000001</v>
      </c>
      <c r="O156" s="13">
        <v>0</v>
      </c>
      <c r="P156" s="23">
        <f t="shared" si="70"/>
        <v>22.105</v>
      </c>
      <c r="Q156" s="23">
        <f t="shared" si="71"/>
        <v>41.2</v>
      </c>
      <c r="R156" s="14">
        <f t="shared" si="61"/>
        <v>1.8638317122822892</v>
      </c>
      <c r="S156" s="14">
        <f t="shared" si="62"/>
        <v>1.8657810486417497</v>
      </c>
      <c r="T156" s="14">
        <f t="shared" si="66"/>
        <v>1.8626049923008967</v>
      </c>
      <c r="U156" s="14">
        <f t="shared" si="68"/>
        <v>1.865314812098066</v>
      </c>
      <c r="V156" s="16">
        <f t="shared" si="63"/>
        <v>41.243090080225876</v>
      </c>
      <c r="W156" s="16">
        <f t="shared" si="67"/>
        <v>41.177205693300856</v>
      </c>
      <c r="X156" s="16">
        <f t="shared" si="72"/>
        <v>41.237909608870467</v>
      </c>
      <c r="Y156" s="17">
        <f t="shared" si="64"/>
        <v>-1.0453291866595934E-3</v>
      </c>
      <c r="Z156" s="17">
        <f t="shared" si="64"/>
        <v>5.5341297605489325E-4</v>
      </c>
      <c r="AA156" s="17">
        <f t="shared" si="64"/>
        <v>-9.1971307187561923E-4</v>
      </c>
      <c r="AC156" s="18">
        <f t="shared" si="65"/>
        <v>-2.2930530570379913E-3</v>
      </c>
      <c r="AD156" s="18">
        <f t="shared" si="65"/>
        <v>-2.1820835425180904E-3</v>
      </c>
      <c r="AE156" s="18"/>
      <c r="AF156" s="18"/>
      <c r="AH156">
        <f t="shared" si="73"/>
        <v>0</v>
      </c>
      <c r="AI156">
        <f t="shared" si="74"/>
        <v>0</v>
      </c>
      <c r="AJ156">
        <f t="shared" si="75"/>
        <v>1</v>
      </c>
      <c r="AK156">
        <f t="shared" si="69"/>
        <v>1</v>
      </c>
      <c r="AL156" s="18">
        <f t="shared" si="76"/>
        <v>2.2930530570379913E-3</v>
      </c>
      <c r="AM156" s="18">
        <f t="shared" si="77"/>
        <v>-2.1820835425180904E-3</v>
      </c>
      <c r="AN156" s="18">
        <f t="shared" si="78"/>
        <v>1.109695145199009E-4</v>
      </c>
      <c r="AO156" s="19">
        <f t="shared" si="79"/>
        <v>2.145477478525161E-2</v>
      </c>
      <c r="AQ156" s="18"/>
      <c r="AS156">
        <f t="shared" si="80"/>
        <v>0</v>
      </c>
      <c r="AT156">
        <f t="shared" si="81"/>
        <v>1</v>
      </c>
      <c r="AU156">
        <f t="shared" si="82"/>
        <v>0</v>
      </c>
      <c r="AV156">
        <f t="shared" si="83"/>
        <v>0</v>
      </c>
      <c r="AW156" s="18">
        <f t="shared" si="84"/>
        <v>0</v>
      </c>
      <c r="AX156" s="18">
        <f t="shared" si="85"/>
        <v>0</v>
      </c>
      <c r="AY156" s="18">
        <f t="shared" si="86"/>
        <v>0</v>
      </c>
      <c r="AZ156" s="19">
        <f t="shared" si="87"/>
        <v>1.4876946867788288E-2</v>
      </c>
      <c r="BB156" s="19">
        <f t="shared" si="88"/>
        <v>1.109695145199009E-4</v>
      </c>
      <c r="BC156" s="19">
        <f t="shared" si="89"/>
        <v>3.633172165303987E-2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BWX_IGOV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2026-09-03T01:25:19Z</dcterms:created>
  <dcterms:modified xsi:type="dcterms:W3CDTF">2026-09-03T01:36:24Z</dcterms:modified>
</cp:coreProperties>
</file>