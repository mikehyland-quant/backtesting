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D982FEC4-DB17-4186-8BBD-B6ADEB396834}" xr6:coauthVersionLast="47" xr6:coauthVersionMax="47" xr10:uidLastSave="{00000000-0000-0000-0000-000000000000}"/>
  <bookViews>
    <workbookView xWindow="29220" yWindow="4155" windowWidth="28305" windowHeight="10515" xr2:uid="{D61927D2-AADE-4714-9982-0C9BD5475699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3" i="1"/>
  <c r="AX176" i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M153" i="1"/>
  <c r="AK153" i="1"/>
  <c r="AJ153" i="1"/>
  <c r="AN154" i="1" s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N147" i="1" s="1"/>
  <c r="AX145" i="1"/>
  <c r="AV145" i="1"/>
  <c r="AU145" i="1"/>
  <c r="AM145" i="1"/>
  <c r="AK145" i="1"/>
  <c r="AJ145" i="1"/>
  <c r="AN146" i="1" s="1"/>
  <c r="AX144" i="1"/>
  <c r="AV144" i="1"/>
  <c r="AU144" i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M105" i="1"/>
  <c r="AK105" i="1"/>
  <c r="AJ105" i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N94" i="1" s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N92" i="1" s="1"/>
  <c r="AX90" i="1"/>
  <c r="AV90" i="1"/>
  <c r="AU90" i="1"/>
  <c r="AM90" i="1"/>
  <c r="AK90" i="1"/>
  <c r="AJ90" i="1"/>
  <c r="AN91" i="1" s="1"/>
  <c r="AX89" i="1"/>
  <c r="AV89" i="1"/>
  <c r="AU89" i="1"/>
  <c r="AY90" i="1" s="1"/>
  <c r="AM89" i="1"/>
  <c r="AK89" i="1"/>
  <c r="AJ89" i="1"/>
  <c r="AN90" i="1" s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N83" i="1" s="1"/>
  <c r="AX81" i="1"/>
  <c r="AV81" i="1"/>
  <c r="AU81" i="1"/>
  <c r="AY82" i="1" s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N50" i="1" s="1"/>
  <c r="AX48" i="1"/>
  <c r="AV48" i="1"/>
  <c r="AU48" i="1"/>
  <c r="AM48" i="1"/>
  <c r="AK48" i="1"/>
  <c r="AJ48" i="1"/>
  <c r="AN49" i="1" s="1"/>
  <c r="AX47" i="1"/>
  <c r="AV47" i="1"/>
  <c r="AU47" i="1"/>
  <c r="AM47" i="1"/>
  <c r="AK47" i="1"/>
  <c r="AJ47" i="1"/>
  <c r="AN48" i="1" s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N34" i="1" s="1"/>
  <c r="AX32" i="1"/>
  <c r="AV32" i="1"/>
  <c r="AU32" i="1"/>
  <c r="AY33" i="1" s="1"/>
  <c r="AM32" i="1"/>
  <c r="AK32" i="1"/>
  <c r="AJ32" i="1"/>
  <c r="AN33" i="1" s="1"/>
  <c r="AX31" i="1"/>
  <c r="AV31" i="1"/>
  <c r="AU31" i="1"/>
  <c r="AY32" i="1" s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00" i="1" l="1"/>
  <c r="AN64" i="1"/>
  <c r="AN51" i="1"/>
  <c r="AN73" i="1"/>
  <c r="AN59" i="1"/>
  <c r="AN72" i="1"/>
  <c r="AN63" i="1"/>
  <c r="AN164" i="1"/>
  <c r="AN56" i="1"/>
  <c r="AN151" i="1"/>
  <c r="AY61" i="1"/>
  <c r="AY91" i="1"/>
  <c r="AY43" i="1"/>
  <c r="AY68" i="1"/>
  <c r="AY64" i="1"/>
  <c r="AY41" i="1"/>
  <c r="AY36" i="1"/>
  <c r="AY34" i="1"/>
  <c r="AY26" i="1"/>
  <c r="AY58" i="1"/>
  <c r="AY70" i="1"/>
  <c r="AY65" i="1"/>
  <c r="AY120" i="1"/>
  <c r="AY115" i="1"/>
  <c r="AY113" i="1"/>
  <c r="AY112" i="1"/>
  <c r="AY92" i="1"/>
  <c r="AY89" i="1"/>
  <c r="AY88" i="1"/>
  <c r="AY79" i="1"/>
  <c r="AY72" i="1"/>
  <c r="AY66" i="1"/>
  <c r="AY59" i="1"/>
  <c r="AY42" i="1"/>
  <c r="AY38" i="1"/>
  <c r="AY37" i="1"/>
  <c r="AY35" i="1"/>
  <c r="AY106" i="1"/>
  <c r="AY86" i="1"/>
  <c r="AY85" i="1"/>
  <c r="AY93" i="1"/>
  <c r="AN52" i="1"/>
  <c r="AN153" i="1"/>
  <c r="AN134" i="1"/>
  <c r="AN173" i="1"/>
  <c r="AN169" i="1"/>
  <c r="AN138" i="1"/>
  <c r="AN174" i="1"/>
  <c r="AY97" i="1"/>
  <c r="AN78" i="1"/>
  <c r="AN167" i="1"/>
  <c r="AY145" i="1"/>
  <c r="AN102" i="1"/>
  <c r="AN172" i="1"/>
  <c r="AY157" i="1"/>
  <c r="AN98" i="1"/>
  <c r="AZ176" i="1"/>
  <c r="BA176" i="1"/>
  <c r="AW176" i="1"/>
  <c r="AO176" i="1"/>
  <c r="AP176" i="1"/>
  <c r="AL176" i="1"/>
  <c r="AO175" i="1"/>
  <c r="AP175" i="1"/>
  <c r="AL175" i="1"/>
  <c r="AZ174" i="1"/>
  <c r="BA174" i="1"/>
  <c r="AW174" i="1"/>
  <c r="AY175" i="1" s="1"/>
  <c r="AZ173" i="1"/>
  <c r="BA173" i="1"/>
  <c r="AW173" i="1"/>
  <c r="BA171" i="1"/>
  <c r="AW171" i="1"/>
  <c r="AY172" i="1" s="1"/>
  <c r="AZ171" i="1"/>
  <c r="BB171" i="1" s="1"/>
  <c r="AP171" i="1"/>
  <c r="AL171" i="1"/>
  <c r="AO171" i="1"/>
  <c r="AQ171" i="1" s="1"/>
  <c r="BA170" i="1"/>
  <c r="AW170" i="1"/>
  <c r="AZ170" i="1"/>
  <c r="BB170" i="1" s="1"/>
  <c r="AL170" i="1"/>
  <c r="AP170" i="1"/>
  <c r="AO170" i="1"/>
  <c r="AQ170" i="1" s="1"/>
  <c r="AW169" i="1"/>
  <c r="BA169" i="1"/>
  <c r="AZ169" i="1"/>
  <c r="AZ168" i="1"/>
  <c r="AW168" i="1"/>
  <c r="BA168" i="1"/>
  <c r="AO168" i="1"/>
  <c r="AP168" i="1"/>
  <c r="AL168" i="1"/>
  <c r="AW167" i="1"/>
  <c r="BA167" i="1"/>
  <c r="AZ167" i="1"/>
  <c r="BB167" i="1" s="1"/>
  <c r="AL166" i="1"/>
  <c r="AP166" i="1"/>
  <c r="AO166" i="1"/>
  <c r="AO165" i="1"/>
  <c r="AL165" i="1"/>
  <c r="AP165" i="1"/>
  <c r="AW164" i="1"/>
  <c r="AY165" i="1" s="1"/>
  <c r="BA164" i="1"/>
  <c r="AZ164" i="1"/>
  <c r="BB164" i="1" s="1"/>
  <c r="AL164" i="1"/>
  <c r="AP164" i="1"/>
  <c r="AO164" i="1"/>
  <c r="AQ164" i="1" s="1"/>
  <c r="BA163" i="1"/>
  <c r="AZ163" i="1"/>
  <c r="BB163" i="1" s="1"/>
  <c r="AW163" i="1"/>
  <c r="AL163" i="1"/>
  <c r="AO163" i="1"/>
  <c r="AP163" i="1"/>
  <c r="BA162" i="1"/>
  <c r="AZ162" i="1"/>
  <c r="BB162" i="1" s="1"/>
  <c r="AW162" i="1"/>
  <c r="AL162" i="1"/>
  <c r="AP162" i="1"/>
  <c r="AO162" i="1"/>
  <c r="AQ162" i="1" s="1"/>
  <c r="AZ161" i="1"/>
  <c r="AW161" i="1"/>
  <c r="BA161" i="1"/>
  <c r="AP161" i="1"/>
  <c r="AO161" i="1"/>
  <c r="AQ161" i="1" s="1"/>
  <c r="AL161" i="1"/>
  <c r="AW160" i="1"/>
  <c r="BA160" i="1"/>
  <c r="AZ160" i="1"/>
  <c r="BB160" i="1" s="1"/>
  <c r="AO160" i="1"/>
  <c r="AL160" i="1"/>
  <c r="AP160" i="1"/>
  <c r="BA159" i="1"/>
  <c r="AW159" i="1"/>
  <c r="AZ159" i="1"/>
  <c r="BB159" i="1" s="1"/>
  <c r="AP159" i="1"/>
  <c r="AO159" i="1"/>
  <c r="AL159" i="1"/>
  <c r="BA158" i="1"/>
  <c r="AW158" i="1"/>
  <c r="AZ158" i="1"/>
  <c r="BB158" i="1" s="1"/>
  <c r="AW157" i="1"/>
  <c r="BA157" i="1"/>
  <c r="AZ157" i="1"/>
  <c r="AO157" i="1"/>
  <c r="AL157" i="1"/>
  <c r="AN158" i="1" s="1"/>
  <c r="AP157" i="1"/>
  <c r="AL156" i="1"/>
  <c r="AO156" i="1"/>
  <c r="AP156" i="1"/>
  <c r="BA155" i="1"/>
  <c r="AW155" i="1"/>
  <c r="AY156" i="1" s="1"/>
  <c r="AZ155" i="1"/>
  <c r="AP155" i="1"/>
  <c r="AL155" i="1"/>
  <c r="AO155" i="1"/>
  <c r="AQ155" i="1" s="1"/>
  <c r="AO154" i="1"/>
  <c r="AP154" i="1"/>
  <c r="AL154" i="1"/>
  <c r="AO152" i="1"/>
  <c r="AL152" i="1"/>
  <c r="AP152" i="1"/>
  <c r="AZ151" i="1"/>
  <c r="BA151" i="1"/>
  <c r="AW151" i="1"/>
  <c r="AY152" i="1" s="1"/>
  <c r="AZ150" i="1"/>
  <c r="AW150" i="1"/>
  <c r="BA150" i="1"/>
  <c r="AL150" i="1"/>
  <c r="AO150" i="1"/>
  <c r="AP150" i="1"/>
  <c r="AZ149" i="1"/>
  <c r="AW149" i="1"/>
  <c r="BA149" i="1"/>
  <c r="AL149" i="1"/>
  <c r="AO149" i="1"/>
  <c r="AP149" i="1"/>
  <c r="AO148" i="1"/>
  <c r="AL148" i="1"/>
  <c r="AP148" i="1"/>
  <c r="AO147" i="1"/>
  <c r="AL147" i="1"/>
  <c r="AP147" i="1"/>
  <c r="AO146" i="1"/>
  <c r="AL146" i="1"/>
  <c r="AP146" i="1"/>
  <c r="AZ145" i="1"/>
  <c r="AW145" i="1"/>
  <c r="AY146" i="1" s="1"/>
  <c r="BA145" i="1"/>
  <c r="AL145" i="1"/>
  <c r="AO145" i="1"/>
  <c r="AP145" i="1"/>
  <c r="AW144" i="1"/>
  <c r="BA144" i="1"/>
  <c r="AZ144" i="1"/>
  <c r="AW143" i="1"/>
  <c r="AZ143" i="1"/>
  <c r="BA143" i="1"/>
  <c r="AO143" i="1"/>
  <c r="AP143" i="1"/>
  <c r="AL143" i="1"/>
  <c r="AN144" i="1" s="1"/>
  <c r="BA142" i="1"/>
  <c r="AW142" i="1"/>
  <c r="AZ142" i="1"/>
  <c r="BB142" i="1" s="1"/>
  <c r="AP142" i="1"/>
  <c r="AO142" i="1"/>
  <c r="AQ142" i="1" s="1"/>
  <c r="AL142" i="1"/>
  <c r="AZ141" i="1"/>
  <c r="BA141" i="1"/>
  <c r="AW141" i="1"/>
  <c r="AO141" i="1"/>
  <c r="AL141" i="1"/>
  <c r="AP141" i="1"/>
  <c r="AW140" i="1"/>
  <c r="AZ140" i="1"/>
  <c r="BA140" i="1"/>
  <c r="AW139" i="1"/>
  <c r="AZ139" i="1"/>
  <c r="BA139" i="1"/>
  <c r="AO139" i="1"/>
  <c r="AL139" i="1"/>
  <c r="AN140" i="1" s="1"/>
  <c r="AP139" i="1"/>
  <c r="AO137" i="1"/>
  <c r="AL137" i="1"/>
  <c r="AP137" i="1"/>
  <c r="AP136" i="1"/>
  <c r="AL136" i="1"/>
  <c r="AO136" i="1"/>
  <c r="AQ136" i="1" s="1"/>
  <c r="AL135" i="1"/>
  <c r="AO135" i="1"/>
  <c r="AP135" i="1"/>
  <c r="BA134" i="1"/>
  <c r="AZ134" i="1"/>
  <c r="AW134" i="1"/>
  <c r="AY135" i="1" s="1"/>
  <c r="AP134" i="1"/>
  <c r="AO134" i="1"/>
  <c r="AQ134" i="1" s="1"/>
  <c r="AL134" i="1"/>
  <c r="AW133" i="1"/>
  <c r="AZ133" i="1"/>
  <c r="BA133" i="1"/>
  <c r="AL133" i="1"/>
  <c r="AO133" i="1"/>
  <c r="AP133" i="1"/>
  <c r="BA132" i="1"/>
  <c r="AW132" i="1"/>
  <c r="AZ132" i="1"/>
  <c r="BB132" i="1" s="1"/>
  <c r="AW131" i="1"/>
  <c r="BA131" i="1"/>
  <c r="AZ131" i="1"/>
  <c r="BB131" i="1" s="1"/>
  <c r="AO131" i="1"/>
  <c r="AL131" i="1"/>
  <c r="AN132" i="1" s="1"/>
  <c r="AP131" i="1"/>
  <c r="BA130" i="1"/>
  <c r="AW130" i="1"/>
  <c r="AZ130" i="1"/>
  <c r="BB130" i="1" s="1"/>
  <c r="BA129" i="1"/>
  <c r="AZ129" i="1"/>
  <c r="BB129" i="1" s="1"/>
  <c r="AW129" i="1"/>
  <c r="AW128" i="1"/>
  <c r="BA128" i="1"/>
  <c r="AZ128" i="1"/>
  <c r="BB128" i="1" s="1"/>
  <c r="AL128" i="1"/>
  <c r="AN129" i="1" s="1"/>
  <c r="AP128" i="1"/>
  <c r="AO128" i="1"/>
  <c r="AQ128" i="1" s="1"/>
  <c r="BE128" i="1" s="1"/>
  <c r="AW127" i="1"/>
  <c r="AZ127" i="1"/>
  <c r="BA127" i="1"/>
  <c r="AZ126" i="1"/>
  <c r="BA126" i="1"/>
  <c r="AW126" i="1"/>
  <c r="AO126" i="1"/>
  <c r="AL126" i="1"/>
  <c r="AN127" i="1" s="1"/>
  <c r="AP126" i="1"/>
  <c r="AW125" i="1"/>
  <c r="BA125" i="1"/>
  <c r="AZ125" i="1"/>
  <c r="BB125" i="1" s="1"/>
  <c r="AL125" i="1"/>
  <c r="AO125" i="1"/>
  <c r="AP125" i="1"/>
  <c r="BA124" i="1"/>
  <c r="AZ124" i="1"/>
  <c r="BB124" i="1" s="1"/>
  <c r="AW124" i="1"/>
  <c r="AL124" i="1"/>
  <c r="AO124" i="1"/>
  <c r="AP124" i="1"/>
  <c r="AW123" i="1"/>
  <c r="AZ123" i="1"/>
  <c r="BA123" i="1"/>
  <c r="AO123" i="1"/>
  <c r="AP123" i="1"/>
  <c r="AL123" i="1"/>
  <c r="AZ122" i="1"/>
  <c r="BA122" i="1"/>
  <c r="AW122" i="1"/>
  <c r="AO122" i="1"/>
  <c r="AP122" i="1"/>
  <c r="AL122" i="1"/>
  <c r="AZ121" i="1"/>
  <c r="BA121" i="1"/>
  <c r="AW121" i="1"/>
  <c r="AP121" i="1"/>
  <c r="AO121" i="1"/>
  <c r="AQ121" i="1" s="1"/>
  <c r="AL121" i="1"/>
  <c r="AZ120" i="1"/>
  <c r="AW120" i="1"/>
  <c r="BA120" i="1"/>
  <c r="AO120" i="1"/>
  <c r="AP120" i="1"/>
  <c r="AL120" i="1"/>
  <c r="AZ119" i="1"/>
  <c r="AW119" i="1"/>
  <c r="BA119" i="1"/>
  <c r="AP119" i="1"/>
  <c r="AL119" i="1"/>
  <c r="AO119" i="1"/>
  <c r="AQ119" i="1" s="1"/>
  <c r="AW118" i="1"/>
  <c r="AZ118" i="1"/>
  <c r="BA118" i="1"/>
  <c r="AO118" i="1"/>
  <c r="AL118" i="1"/>
  <c r="AP118" i="1"/>
  <c r="AZ117" i="1"/>
  <c r="AW117" i="1"/>
  <c r="BA117" i="1"/>
  <c r="AP117" i="1"/>
  <c r="AL117" i="1"/>
  <c r="AO117" i="1"/>
  <c r="AQ117" i="1" s="1"/>
  <c r="AW116" i="1"/>
  <c r="AZ116" i="1"/>
  <c r="BA116" i="1"/>
  <c r="AP116" i="1"/>
  <c r="AL116" i="1"/>
  <c r="AO116" i="1"/>
  <c r="AQ116" i="1" s="1"/>
  <c r="AW115" i="1"/>
  <c r="AZ115" i="1"/>
  <c r="BA115" i="1"/>
  <c r="AW114" i="1"/>
  <c r="BA114" i="1"/>
  <c r="AZ114" i="1"/>
  <c r="BB114" i="1" s="1"/>
  <c r="AZ113" i="1"/>
  <c r="AW113" i="1"/>
  <c r="BA113" i="1"/>
  <c r="AZ112" i="1"/>
  <c r="BA112" i="1"/>
  <c r="AW112" i="1"/>
  <c r="AL112" i="1"/>
  <c r="AN113" i="1" s="1"/>
  <c r="AP112" i="1"/>
  <c r="AO112" i="1"/>
  <c r="AZ111" i="1"/>
  <c r="AW111" i="1"/>
  <c r="BA111" i="1"/>
  <c r="AL111" i="1"/>
  <c r="AO111" i="1"/>
  <c r="AP111" i="1"/>
  <c r="BA110" i="1"/>
  <c r="AW110" i="1"/>
  <c r="AZ110" i="1"/>
  <c r="BB110" i="1" s="1"/>
  <c r="AP110" i="1"/>
  <c r="AL110" i="1"/>
  <c r="AO110" i="1"/>
  <c r="AQ110" i="1" s="1"/>
  <c r="AZ109" i="1"/>
  <c r="AW109" i="1"/>
  <c r="BA109" i="1"/>
  <c r="AL109" i="1"/>
  <c r="AO109" i="1"/>
  <c r="AP109" i="1"/>
  <c r="BA108" i="1"/>
  <c r="AZ108" i="1"/>
  <c r="BB108" i="1" s="1"/>
  <c r="AW108" i="1"/>
  <c r="AO108" i="1"/>
  <c r="AL108" i="1"/>
  <c r="AP108" i="1"/>
  <c r="AZ107" i="1"/>
  <c r="AW107" i="1"/>
  <c r="BA107" i="1"/>
  <c r="AP107" i="1"/>
  <c r="AL107" i="1"/>
  <c r="AO107" i="1"/>
  <c r="AQ107" i="1" s="1"/>
  <c r="AW106" i="1"/>
  <c r="BA106" i="1"/>
  <c r="AZ106" i="1"/>
  <c r="BB106" i="1" s="1"/>
  <c r="BA105" i="1"/>
  <c r="AZ105" i="1"/>
  <c r="BB105" i="1" s="1"/>
  <c r="AW105" i="1"/>
  <c r="AL105" i="1"/>
  <c r="AN106" i="1" s="1"/>
  <c r="AO105" i="1"/>
  <c r="AP105" i="1"/>
  <c r="AO104" i="1"/>
  <c r="AL104" i="1"/>
  <c r="AP104" i="1"/>
  <c r="AL103" i="1"/>
  <c r="AP103" i="1"/>
  <c r="AO103" i="1"/>
  <c r="AQ103" i="1" s="1"/>
  <c r="BA101" i="1"/>
  <c r="AZ101" i="1"/>
  <c r="BB101" i="1" s="1"/>
  <c r="AW101" i="1"/>
  <c r="AY102" i="1" s="1"/>
  <c r="AP100" i="1"/>
  <c r="AL100" i="1"/>
  <c r="AN101" i="1" s="1"/>
  <c r="AO100" i="1"/>
  <c r="AQ100" i="1" s="1"/>
  <c r="AL99" i="1"/>
  <c r="AO99" i="1"/>
  <c r="AP99" i="1"/>
  <c r="AL97" i="1"/>
  <c r="AO97" i="1"/>
  <c r="AP97" i="1"/>
  <c r="AZ96" i="1"/>
  <c r="BA96" i="1"/>
  <c r="AW96" i="1"/>
  <c r="AL96" i="1"/>
  <c r="AP96" i="1"/>
  <c r="AO96" i="1"/>
  <c r="AQ96" i="1" s="1"/>
  <c r="AZ95" i="1"/>
  <c r="AW95" i="1"/>
  <c r="BA95" i="1"/>
  <c r="AW94" i="1"/>
  <c r="AZ94" i="1"/>
  <c r="BA94" i="1"/>
  <c r="AL94" i="1"/>
  <c r="AN95" i="1" s="1"/>
  <c r="AO94" i="1"/>
  <c r="AP94" i="1"/>
  <c r="AP92" i="1"/>
  <c r="AL92" i="1"/>
  <c r="AN93" i="1" s="1"/>
  <c r="AO92" i="1"/>
  <c r="AQ92" i="1" s="1"/>
  <c r="AL91" i="1"/>
  <c r="AO91" i="1"/>
  <c r="AP91" i="1"/>
  <c r="AW90" i="1"/>
  <c r="BA90" i="1"/>
  <c r="AZ90" i="1"/>
  <c r="BB90" i="1" s="1"/>
  <c r="AL90" i="1"/>
  <c r="AO90" i="1"/>
  <c r="AP90" i="1"/>
  <c r="AO89" i="1"/>
  <c r="AL89" i="1"/>
  <c r="AP89" i="1"/>
  <c r="AW87" i="1"/>
  <c r="BA87" i="1"/>
  <c r="AZ87" i="1"/>
  <c r="BB87" i="1" s="1"/>
  <c r="AO86" i="1"/>
  <c r="AL86" i="1"/>
  <c r="AN87" i="1" s="1"/>
  <c r="AP86" i="1"/>
  <c r="AP85" i="1"/>
  <c r="AO85" i="1"/>
  <c r="AQ85" i="1" s="1"/>
  <c r="AL85" i="1"/>
  <c r="AW84" i="1"/>
  <c r="AZ84" i="1"/>
  <c r="BA84" i="1"/>
  <c r="AW83" i="1"/>
  <c r="AZ83" i="1"/>
  <c r="BA83" i="1"/>
  <c r="AL83" i="1"/>
  <c r="AN84" i="1" s="1"/>
  <c r="AP83" i="1"/>
  <c r="AO83" i="1"/>
  <c r="AQ83" i="1" s="1"/>
  <c r="AZ82" i="1"/>
  <c r="BA82" i="1"/>
  <c r="AW82" i="1"/>
  <c r="AO82" i="1"/>
  <c r="AL82" i="1"/>
  <c r="AP82" i="1"/>
  <c r="BA81" i="1"/>
  <c r="AW81" i="1"/>
  <c r="AZ81" i="1"/>
  <c r="BB81" i="1" s="1"/>
  <c r="AL81" i="1"/>
  <c r="AP81" i="1"/>
  <c r="AO81" i="1"/>
  <c r="AQ81" i="1" s="1"/>
  <c r="AO80" i="1"/>
  <c r="AL80" i="1"/>
  <c r="AP80" i="1"/>
  <c r="BA78" i="1"/>
  <c r="AW78" i="1"/>
  <c r="AZ78" i="1"/>
  <c r="BB78" i="1" s="1"/>
  <c r="AP78" i="1"/>
  <c r="AL78" i="1"/>
  <c r="AN79" i="1" s="1"/>
  <c r="AO78" i="1"/>
  <c r="AQ78" i="1" s="1"/>
  <c r="BE78" i="1" s="1"/>
  <c r="AW77" i="1"/>
  <c r="AZ77" i="1"/>
  <c r="BA77" i="1"/>
  <c r="AL77" i="1"/>
  <c r="AP77" i="1"/>
  <c r="AO77" i="1"/>
  <c r="AQ77" i="1" s="1"/>
  <c r="AP76" i="1"/>
  <c r="AL76" i="1"/>
  <c r="AO76" i="1"/>
  <c r="AQ76" i="1" s="1"/>
  <c r="AW75" i="1"/>
  <c r="AY76" i="1" s="1"/>
  <c r="AZ75" i="1"/>
  <c r="BA75" i="1"/>
  <c r="AO75" i="1"/>
  <c r="AP75" i="1"/>
  <c r="AL75" i="1"/>
  <c r="AW74" i="1"/>
  <c r="AZ74" i="1"/>
  <c r="BA74" i="1"/>
  <c r="AP74" i="1"/>
  <c r="AO74" i="1"/>
  <c r="AQ74" i="1" s="1"/>
  <c r="AL74" i="1"/>
  <c r="AW73" i="1"/>
  <c r="BA73" i="1"/>
  <c r="AZ73" i="1"/>
  <c r="BB73" i="1" s="1"/>
  <c r="AO73" i="1"/>
  <c r="AL73" i="1"/>
  <c r="AP73" i="1"/>
  <c r="AL72" i="1"/>
  <c r="AP72" i="1"/>
  <c r="AO72" i="1"/>
  <c r="AQ72" i="1" s="1"/>
  <c r="BA71" i="1"/>
  <c r="AZ71" i="1"/>
  <c r="BB71" i="1" s="1"/>
  <c r="AW71" i="1"/>
  <c r="AW70" i="1"/>
  <c r="BA70" i="1"/>
  <c r="AZ70" i="1"/>
  <c r="BB70" i="1" s="1"/>
  <c r="AW69" i="1"/>
  <c r="BA69" i="1"/>
  <c r="AZ69" i="1"/>
  <c r="BB69" i="1" s="1"/>
  <c r="AW68" i="1"/>
  <c r="BA68" i="1"/>
  <c r="AZ68" i="1"/>
  <c r="BB68" i="1" s="1"/>
  <c r="AP68" i="1"/>
  <c r="AL68" i="1"/>
  <c r="AN69" i="1" s="1"/>
  <c r="AO68" i="1"/>
  <c r="AQ68" i="1" s="1"/>
  <c r="AW67" i="1"/>
  <c r="AZ67" i="1"/>
  <c r="BA67" i="1"/>
  <c r="AL66" i="1"/>
  <c r="AN67" i="1" s="1"/>
  <c r="AP66" i="1"/>
  <c r="AO66" i="1"/>
  <c r="AQ66" i="1" s="1"/>
  <c r="AW65" i="1"/>
  <c r="AZ65" i="1"/>
  <c r="BA65" i="1"/>
  <c r="AO65" i="1"/>
  <c r="AL65" i="1"/>
  <c r="AP65" i="1"/>
  <c r="BA64" i="1"/>
  <c r="AW64" i="1"/>
  <c r="AZ64" i="1"/>
  <c r="BB64" i="1" s="1"/>
  <c r="AP64" i="1"/>
  <c r="AO64" i="1"/>
  <c r="AQ64" i="1" s="1"/>
  <c r="AL64" i="1"/>
  <c r="AP63" i="1"/>
  <c r="AO63" i="1"/>
  <c r="AQ63" i="1" s="1"/>
  <c r="AL63" i="1"/>
  <c r="AO62" i="1"/>
  <c r="AP62" i="1"/>
  <c r="AL62" i="1"/>
  <c r="AZ61" i="1"/>
  <c r="AW61" i="1"/>
  <c r="AY62" i="1" s="1"/>
  <c r="BA61" i="1"/>
  <c r="AO61" i="1"/>
  <c r="AL61" i="1"/>
  <c r="AP61" i="1"/>
  <c r="AP60" i="1"/>
  <c r="AL60" i="1"/>
  <c r="AO60" i="1"/>
  <c r="AQ60" i="1" s="1"/>
  <c r="AW59" i="1"/>
  <c r="AY60" i="1" s="1"/>
  <c r="AZ59" i="1"/>
  <c r="BA59" i="1"/>
  <c r="AP59" i="1"/>
  <c r="AL59" i="1"/>
  <c r="AO59" i="1"/>
  <c r="AW58" i="1"/>
  <c r="BA58" i="1"/>
  <c r="AZ58" i="1"/>
  <c r="BB58" i="1" s="1"/>
  <c r="AO58" i="1"/>
  <c r="AP58" i="1"/>
  <c r="AL58" i="1"/>
  <c r="AL57" i="1"/>
  <c r="AO57" i="1"/>
  <c r="AP57" i="1"/>
  <c r="AO56" i="1"/>
  <c r="AL56" i="1"/>
  <c r="AP56" i="1"/>
  <c r="AP55" i="1"/>
  <c r="AO55" i="1"/>
  <c r="AQ55" i="1" s="1"/>
  <c r="AL55" i="1"/>
  <c r="AO54" i="1"/>
  <c r="AP54" i="1"/>
  <c r="AL54" i="1"/>
  <c r="AW53" i="1"/>
  <c r="AY54" i="1" s="1"/>
  <c r="BA53" i="1"/>
  <c r="AZ53" i="1"/>
  <c r="BB53" i="1" s="1"/>
  <c r="AL53" i="1"/>
  <c r="AP53" i="1"/>
  <c r="AO53" i="1"/>
  <c r="AQ53" i="1" s="1"/>
  <c r="AW52" i="1"/>
  <c r="AZ52" i="1"/>
  <c r="BA52" i="1"/>
  <c r="AP52" i="1"/>
  <c r="AL52" i="1"/>
  <c r="AO52" i="1"/>
  <c r="AQ52" i="1" s="1"/>
  <c r="BA51" i="1"/>
  <c r="AW51" i="1"/>
  <c r="AZ51" i="1"/>
  <c r="BB51" i="1" s="1"/>
  <c r="AP51" i="1"/>
  <c r="AO51" i="1"/>
  <c r="AQ51" i="1" s="1"/>
  <c r="AL51" i="1"/>
  <c r="AW50" i="1"/>
  <c r="BA50" i="1"/>
  <c r="AZ50" i="1"/>
  <c r="BB50" i="1" s="1"/>
  <c r="AO50" i="1"/>
  <c r="AL50" i="1"/>
  <c r="AP50" i="1"/>
  <c r="AP49" i="1"/>
  <c r="AL49" i="1"/>
  <c r="AO49" i="1"/>
  <c r="AQ49" i="1" s="1"/>
  <c r="AL48" i="1"/>
  <c r="AO48" i="1"/>
  <c r="AP48" i="1"/>
  <c r="AO47" i="1"/>
  <c r="AP47" i="1"/>
  <c r="AL47" i="1"/>
  <c r="AO46" i="1"/>
  <c r="AL46" i="1"/>
  <c r="AP46" i="1"/>
  <c r="AP45" i="1"/>
  <c r="AL45" i="1"/>
  <c r="AO45" i="1"/>
  <c r="AQ45" i="1" s="1"/>
  <c r="BA44" i="1"/>
  <c r="AW44" i="1"/>
  <c r="AY45" i="1" s="1"/>
  <c r="AZ44" i="1"/>
  <c r="BB44" i="1" s="1"/>
  <c r="AO44" i="1"/>
  <c r="AL44" i="1"/>
  <c r="AP44" i="1"/>
  <c r="AZ43" i="1"/>
  <c r="AW43" i="1"/>
  <c r="BA43" i="1"/>
  <c r="BA42" i="1"/>
  <c r="AW42" i="1"/>
  <c r="AZ42" i="1"/>
  <c r="BB42" i="1" s="1"/>
  <c r="AL42" i="1"/>
  <c r="AN43" i="1" s="1"/>
  <c r="AP42" i="1"/>
  <c r="AO42" i="1"/>
  <c r="AW41" i="1"/>
  <c r="AZ41" i="1"/>
  <c r="BA41" i="1"/>
  <c r="AZ40" i="1"/>
  <c r="AW40" i="1"/>
  <c r="BA40" i="1"/>
  <c r="AP40" i="1"/>
  <c r="AO40" i="1"/>
  <c r="AQ40" i="1" s="1"/>
  <c r="AL40" i="1"/>
  <c r="AN41" i="1" s="1"/>
  <c r="AZ39" i="1"/>
  <c r="AW39" i="1"/>
  <c r="BA39" i="1"/>
  <c r="AO39" i="1"/>
  <c r="AP39" i="1"/>
  <c r="AL39" i="1"/>
  <c r="BA38" i="1"/>
  <c r="AW38" i="1"/>
  <c r="AZ38" i="1"/>
  <c r="BB38" i="1" s="1"/>
  <c r="AL38" i="1"/>
  <c r="AP38" i="1"/>
  <c r="AO38" i="1"/>
  <c r="AQ38" i="1" s="1"/>
  <c r="BA37" i="1"/>
  <c r="AZ37" i="1"/>
  <c r="BB37" i="1" s="1"/>
  <c r="AW37" i="1"/>
  <c r="AO37" i="1"/>
  <c r="AP37" i="1"/>
  <c r="AL37" i="1"/>
  <c r="AZ36" i="1"/>
  <c r="BA36" i="1"/>
  <c r="AW36" i="1"/>
  <c r="AP36" i="1"/>
  <c r="AL36" i="1"/>
  <c r="AO36" i="1"/>
  <c r="BA35" i="1"/>
  <c r="AW35" i="1"/>
  <c r="AZ35" i="1"/>
  <c r="BB35" i="1" s="1"/>
  <c r="AP35" i="1"/>
  <c r="AL35" i="1"/>
  <c r="AO35" i="1"/>
  <c r="AQ35" i="1" s="1"/>
  <c r="AZ34" i="1"/>
  <c r="AW34" i="1"/>
  <c r="BA34" i="1"/>
  <c r="AO33" i="1"/>
  <c r="AL33" i="1"/>
  <c r="AP33" i="1"/>
  <c r="AO34" i="1"/>
  <c r="AL34" i="1"/>
  <c r="AP34" i="1"/>
  <c r="AW33" i="1"/>
  <c r="BA33" i="1"/>
  <c r="AZ33" i="1"/>
  <c r="BB33" i="1" s="1"/>
  <c r="BA32" i="1"/>
  <c r="AW32" i="1"/>
  <c r="AZ32" i="1"/>
  <c r="BB32" i="1" s="1"/>
  <c r="AO32" i="1"/>
  <c r="AL32" i="1"/>
  <c r="AP32" i="1"/>
  <c r="AW31" i="1"/>
  <c r="AZ31" i="1"/>
  <c r="BA31" i="1"/>
  <c r="AP31" i="1"/>
  <c r="AO31" i="1"/>
  <c r="AQ31" i="1" s="1"/>
  <c r="AL31" i="1"/>
  <c r="AW30" i="1"/>
  <c r="BA30" i="1"/>
  <c r="AZ30" i="1"/>
  <c r="BB30" i="1" s="1"/>
  <c r="AL30" i="1"/>
  <c r="AO30" i="1"/>
  <c r="AP30" i="1"/>
  <c r="BA29" i="1"/>
  <c r="AZ29" i="1"/>
  <c r="BB29" i="1" s="1"/>
  <c r="AW29" i="1"/>
  <c r="AP29" i="1"/>
  <c r="AO29" i="1"/>
  <c r="AQ29" i="1" s="1"/>
  <c r="AL29" i="1"/>
  <c r="BA28" i="1"/>
  <c r="AZ28" i="1"/>
  <c r="BB28" i="1" s="1"/>
  <c r="AW28" i="1"/>
  <c r="AP28" i="1"/>
  <c r="AL28" i="1"/>
  <c r="AO28" i="1"/>
  <c r="AQ28" i="1" s="1"/>
  <c r="BA27" i="1"/>
  <c r="AZ27" i="1"/>
  <c r="BB27" i="1" s="1"/>
  <c r="AW27" i="1"/>
  <c r="AL27" i="1"/>
  <c r="AO27" i="1"/>
  <c r="AP27" i="1"/>
  <c r="AW26" i="1"/>
  <c r="AZ26" i="1"/>
  <c r="BA26" i="1"/>
  <c r="AO26" i="1"/>
  <c r="AL26" i="1"/>
  <c r="AP26" i="1"/>
  <c r="BA25" i="1"/>
  <c r="AW25" i="1"/>
  <c r="AZ25" i="1"/>
  <c r="BB25" i="1" s="1"/>
  <c r="AL25" i="1"/>
  <c r="AO25" i="1"/>
  <c r="AP25" i="1"/>
  <c r="AZ24" i="1"/>
  <c r="BA24" i="1"/>
  <c r="AW24" i="1"/>
  <c r="AO24" i="1"/>
  <c r="AL24" i="1"/>
  <c r="AP24" i="1"/>
  <c r="BA23" i="1"/>
  <c r="AZ23" i="1"/>
  <c r="BB23" i="1" s="1"/>
  <c r="AW23" i="1"/>
  <c r="AO23" i="1"/>
  <c r="AL23" i="1"/>
  <c r="AP23" i="1"/>
  <c r="AZ22" i="1"/>
  <c r="BB22" i="1" s="1"/>
  <c r="BA22" i="1"/>
  <c r="AO22" i="1"/>
  <c r="AQ22" i="1" s="1"/>
  <c r="AP22" i="1"/>
  <c r="AQ112" i="1" l="1"/>
  <c r="AP98" i="1"/>
  <c r="AL98" i="1"/>
  <c r="AO98" i="1"/>
  <c r="AQ98" i="1" s="1"/>
  <c r="AQ122" i="1"/>
  <c r="AQ23" i="1"/>
  <c r="AQ36" i="1"/>
  <c r="AP151" i="1"/>
  <c r="AL151" i="1"/>
  <c r="AO151" i="1"/>
  <c r="AQ151" i="1" s="1"/>
  <c r="AP153" i="1"/>
  <c r="AO153" i="1"/>
  <c r="AQ153" i="1" s="1"/>
  <c r="AL153" i="1"/>
  <c r="AO173" i="1"/>
  <c r="AL173" i="1"/>
  <c r="AP173" i="1"/>
  <c r="AO169" i="1"/>
  <c r="AL169" i="1"/>
  <c r="AP169" i="1"/>
  <c r="AP138" i="1"/>
  <c r="AL138" i="1"/>
  <c r="AO138" i="1"/>
  <c r="AQ138" i="1" s="1"/>
  <c r="AL174" i="1"/>
  <c r="AP174" i="1"/>
  <c r="AO174" i="1"/>
  <c r="AQ174" i="1" s="1"/>
  <c r="AL167" i="1"/>
  <c r="AP167" i="1"/>
  <c r="AO167" i="1"/>
  <c r="AQ167" i="1" s="1"/>
  <c r="AO172" i="1"/>
  <c r="AL172" i="1"/>
  <c r="AP172" i="1"/>
  <c r="AQ159" i="1"/>
  <c r="AQ44" i="1"/>
  <c r="BE44" i="1" s="1"/>
  <c r="AO102" i="1"/>
  <c r="AP102" i="1"/>
  <c r="AL102" i="1"/>
  <c r="BE171" i="1"/>
  <c r="BB169" i="1"/>
  <c r="BA91" i="1"/>
  <c r="AW91" i="1"/>
  <c r="AZ91" i="1"/>
  <c r="BB91" i="1" s="1"/>
  <c r="AZ92" i="1"/>
  <c r="AW92" i="1"/>
  <c r="BA92" i="1"/>
  <c r="AW89" i="1"/>
  <c r="AZ89" i="1"/>
  <c r="BA89" i="1"/>
  <c r="AW88" i="1"/>
  <c r="BA88" i="1"/>
  <c r="AZ88" i="1"/>
  <c r="BB88" i="1" s="1"/>
  <c r="AW79" i="1"/>
  <c r="AY80" i="1" s="1"/>
  <c r="AZ79" i="1"/>
  <c r="BA79" i="1"/>
  <c r="AZ72" i="1"/>
  <c r="AW72" i="1"/>
  <c r="BA72" i="1"/>
  <c r="AW66" i="1"/>
  <c r="BA66" i="1"/>
  <c r="AZ66" i="1"/>
  <c r="BB66" i="1" s="1"/>
  <c r="BE66" i="1" s="1"/>
  <c r="BB126" i="1"/>
  <c r="BB119" i="1"/>
  <c r="BE29" i="1"/>
  <c r="BE28" i="1"/>
  <c r="BB134" i="1"/>
  <c r="BA86" i="1"/>
  <c r="AW86" i="1"/>
  <c r="AZ86" i="1"/>
  <c r="BB86" i="1" s="1"/>
  <c r="AW85" i="1"/>
  <c r="AZ85" i="1"/>
  <c r="BA85" i="1"/>
  <c r="AZ93" i="1"/>
  <c r="AW93" i="1"/>
  <c r="BA93" i="1"/>
  <c r="BA97" i="1"/>
  <c r="AZ97" i="1"/>
  <c r="BB97" i="1" s="1"/>
  <c r="AW97" i="1"/>
  <c r="AY98" i="1" s="1"/>
  <c r="BE68" i="1"/>
  <c r="BE64" i="1"/>
  <c r="BE38" i="1"/>
  <c r="BE35" i="1"/>
  <c r="BB157" i="1"/>
  <c r="BB149" i="1"/>
  <c r="BB141" i="1"/>
  <c r="BB133" i="1"/>
  <c r="BE81" i="1"/>
  <c r="BE51" i="1"/>
  <c r="BE167" i="1"/>
  <c r="BE159" i="1"/>
  <c r="BB140" i="1"/>
  <c r="BE134" i="1"/>
  <c r="BE170" i="1"/>
  <c r="BE162" i="1"/>
  <c r="BB92" i="1"/>
  <c r="BE92" i="1" s="1"/>
  <c r="BB89" i="1"/>
  <c r="BB40" i="1"/>
  <c r="BE40" i="1" s="1"/>
  <c r="BB36" i="1"/>
  <c r="BE36" i="1" s="1"/>
  <c r="BB31" i="1"/>
  <c r="BE31" i="1" s="1"/>
  <c r="BB26" i="1"/>
  <c r="BE119" i="1"/>
  <c r="BE110" i="1"/>
  <c r="BE142" i="1"/>
  <c r="BE23" i="1"/>
  <c r="BE164" i="1"/>
  <c r="BB150" i="1"/>
  <c r="BB139" i="1"/>
  <c r="BB127" i="1"/>
  <c r="BB121" i="1"/>
  <c r="BE121" i="1" s="1"/>
  <c r="BB118" i="1"/>
  <c r="AQ118" i="1"/>
  <c r="BE118" i="1" s="1"/>
  <c r="AQ59" i="1"/>
  <c r="AQ39" i="1"/>
  <c r="AQ27" i="1"/>
  <c r="BE27" i="1" s="1"/>
  <c r="AQ147" i="1"/>
  <c r="AQ143" i="1"/>
  <c r="AQ135" i="1"/>
  <c r="AQ133" i="1"/>
  <c r="BE133" i="1" s="1"/>
  <c r="AQ124" i="1"/>
  <c r="BE124" i="1" s="1"/>
  <c r="AQ123" i="1"/>
  <c r="AQ120" i="1"/>
  <c r="AQ42" i="1"/>
  <c r="BE42" i="1" s="1"/>
  <c r="AQ94" i="1"/>
  <c r="AQ33" i="1"/>
  <c r="BB123" i="1"/>
  <c r="BE123" i="1" s="1"/>
  <c r="BB43" i="1"/>
  <c r="AQ166" i="1"/>
  <c r="BB155" i="1"/>
  <c r="BE155" i="1" s="1"/>
  <c r="BB144" i="1"/>
  <c r="AQ126" i="1"/>
  <c r="BE126" i="1" s="1"/>
  <c r="BB93" i="1"/>
  <c r="AQ54" i="1"/>
  <c r="AQ30" i="1"/>
  <c r="BE30" i="1" s="1"/>
  <c r="AQ24" i="1"/>
  <c r="BB120" i="1"/>
  <c r="BE120" i="1" s="1"/>
  <c r="AQ86" i="1"/>
  <c r="BE86" i="1" s="1"/>
  <c r="BB85" i="1"/>
  <c r="BE85" i="1" s="1"/>
  <c r="BB84" i="1"/>
  <c r="BB83" i="1"/>
  <c r="BE83" i="1" s="1"/>
  <c r="BB82" i="1"/>
  <c r="AQ80" i="1"/>
  <c r="BB77" i="1"/>
  <c r="BE77" i="1" s="1"/>
  <c r="BB75" i="1"/>
  <c r="AQ75" i="1"/>
  <c r="BE75" i="1" s="1"/>
  <c r="BB74" i="1"/>
  <c r="BE74" i="1" s="1"/>
  <c r="BB67" i="1"/>
  <c r="BB24" i="1"/>
  <c r="AW175" i="1"/>
  <c r="BA175" i="1"/>
  <c r="AZ175" i="1"/>
  <c r="AW172" i="1"/>
  <c r="BA172" i="1"/>
  <c r="AZ172" i="1"/>
  <c r="AW165" i="1"/>
  <c r="AY166" i="1" s="1"/>
  <c r="AZ165" i="1"/>
  <c r="BA165" i="1"/>
  <c r="AP158" i="1"/>
  <c r="AO158" i="1"/>
  <c r="AQ158" i="1" s="1"/>
  <c r="BE158" i="1" s="1"/>
  <c r="AL158" i="1"/>
  <c r="BA156" i="1"/>
  <c r="AZ156" i="1"/>
  <c r="BB156" i="1" s="1"/>
  <c r="AW156" i="1"/>
  <c r="AZ152" i="1"/>
  <c r="AW152" i="1"/>
  <c r="AY153" i="1" s="1"/>
  <c r="BA152" i="1"/>
  <c r="AW146" i="1"/>
  <c r="AY147" i="1" s="1"/>
  <c r="AZ146" i="1"/>
  <c r="BA146" i="1"/>
  <c r="AO144" i="1"/>
  <c r="AL144" i="1"/>
  <c r="AP144" i="1"/>
  <c r="AO140" i="1"/>
  <c r="AL140" i="1"/>
  <c r="AP140" i="1"/>
  <c r="BA135" i="1"/>
  <c r="AZ135" i="1"/>
  <c r="BB135" i="1" s="1"/>
  <c r="AW135" i="1"/>
  <c r="AY136" i="1" s="1"/>
  <c r="AP132" i="1"/>
  <c r="AO132" i="1"/>
  <c r="AQ132" i="1" s="1"/>
  <c r="BE132" i="1" s="1"/>
  <c r="AL132" i="1"/>
  <c r="AO129" i="1"/>
  <c r="AP129" i="1"/>
  <c r="AL129" i="1"/>
  <c r="AN130" i="1" s="1"/>
  <c r="AP127" i="1"/>
  <c r="AL127" i="1"/>
  <c r="AO127" i="1"/>
  <c r="AL113" i="1"/>
  <c r="AN114" i="1" s="1"/>
  <c r="AP113" i="1"/>
  <c r="AO113" i="1"/>
  <c r="AQ113" i="1" s="1"/>
  <c r="AO106" i="1"/>
  <c r="AP106" i="1"/>
  <c r="AL106" i="1"/>
  <c r="AZ102" i="1"/>
  <c r="AW102" i="1"/>
  <c r="AY103" i="1" s="1"/>
  <c r="BA102" i="1"/>
  <c r="AP101" i="1"/>
  <c r="AO101" i="1"/>
  <c r="AQ101" i="1" s="1"/>
  <c r="BE101" i="1" s="1"/>
  <c r="AL101" i="1"/>
  <c r="BA98" i="1"/>
  <c r="AZ98" i="1"/>
  <c r="BB98" i="1" s="1"/>
  <c r="BE98" i="1" s="1"/>
  <c r="AW98" i="1"/>
  <c r="AY99" i="1" s="1"/>
  <c r="AP95" i="1"/>
  <c r="AO95" i="1"/>
  <c r="AQ95" i="1" s="1"/>
  <c r="AL95" i="1"/>
  <c r="AP93" i="1"/>
  <c r="AL93" i="1"/>
  <c r="AO93" i="1"/>
  <c r="AQ93" i="1" s="1"/>
  <c r="BE93" i="1" s="1"/>
  <c r="AL87" i="1"/>
  <c r="AN88" i="1" s="1"/>
  <c r="AO87" i="1"/>
  <c r="AP87" i="1"/>
  <c r="AO84" i="1"/>
  <c r="AP84" i="1"/>
  <c r="AL84" i="1"/>
  <c r="BA80" i="1"/>
  <c r="AW80" i="1"/>
  <c r="AZ80" i="1"/>
  <c r="BB80" i="1" s="1"/>
  <c r="AP79" i="1"/>
  <c r="AL79" i="1"/>
  <c r="AO79" i="1"/>
  <c r="AQ79" i="1" s="1"/>
  <c r="AW76" i="1"/>
  <c r="BA76" i="1"/>
  <c r="AZ76" i="1"/>
  <c r="BB76" i="1" s="1"/>
  <c r="BE76" i="1" s="1"/>
  <c r="AP69" i="1"/>
  <c r="AL69" i="1"/>
  <c r="AN70" i="1" s="1"/>
  <c r="AO69" i="1"/>
  <c r="AQ69" i="1" s="1"/>
  <c r="BE69" i="1" s="1"/>
  <c r="AO67" i="1"/>
  <c r="AP67" i="1"/>
  <c r="AL67" i="1"/>
  <c r="BA62" i="1"/>
  <c r="AW62" i="1"/>
  <c r="AY63" i="1" s="1"/>
  <c r="AZ62" i="1"/>
  <c r="BB62" i="1" s="1"/>
  <c r="AZ60" i="1"/>
  <c r="BA60" i="1"/>
  <c r="AW60" i="1"/>
  <c r="BA54" i="1"/>
  <c r="AW54" i="1"/>
  <c r="AY55" i="1" s="1"/>
  <c r="AZ54" i="1"/>
  <c r="BB54" i="1" s="1"/>
  <c r="BA45" i="1"/>
  <c r="AZ45" i="1"/>
  <c r="BB45" i="1" s="1"/>
  <c r="BE45" i="1" s="1"/>
  <c r="AW45" i="1"/>
  <c r="AY46" i="1" s="1"/>
  <c r="AP43" i="1"/>
  <c r="AO43" i="1"/>
  <c r="AQ43" i="1" s="1"/>
  <c r="AL43" i="1"/>
  <c r="AO41" i="1"/>
  <c r="AL41" i="1"/>
  <c r="AP41" i="1"/>
  <c r="BC22" i="1"/>
  <c r="BC23" i="1" s="1"/>
  <c r="AR22" i="1"/>
  <c r="AR23" i="1" s="1"/>
  <c r="AR24" i="1" s="1"/>
  <c r="BE22" i="1"/>
  <c r="AQ141" i="1"/>
  <c r="AQ91" i="1"/>
  <c r="BE91" i="1" s="1"/>
  <c r="AQ90" i="1"/>
  <c r="BE90" i="1" s="1"/>
  <c r="BB61" i="1"/>
  <c r="AQ34" i="1"/>
  <c r="BB116" i="1"/>
  <c r="BE116" i="1" s="1"/>
  <c r="BB115" i="1"/>
  <c r="BB113" i="1"/>
  <c r="BB112" i="1"/>
  <c r="BE112" i="1" s="1"/>
  <c r="BB111" i="1"/>
  <c r="AQ111" i="1"/>
  <c r="BE111" i="1" s="1"/>
  <c r="BB109" i="1"/>
  <c r="AQ109" i="1"/>
  <c r="BE109" i="1" s="1"/>
  <c r="AQ108" i="1"/>
  <c r="BE108" i="1" s="1"/>
  <c r="BB107" i="1"/>
  <c r="BE107" i="1" s="1"/>
  <c r="AQ105" i="1"/>
  <c r="BE105" i="1" s="1"/>
  <c r="AQ104" i="1"/>
  <c r="AQ102" i="1"/>
  <c r="AQ99" i="1"/>
  <c r="AQ97" i="1"/>
  <c r="BB96" i="1"/>
  <c r="BE96" i="1" s="1"/>
  <c r="BB95" i="1"/>
  <c r="BB94" i="1"/>
  <c r="BE94" i="1" s="1"/>
  <c r="AQ58" i="1"/>
  <c r="BE58" i="1" s="1"/>
  <c r="BE53" i="1"/>
  <c r="BB52" i="1"/>
  <c r="BE52" i="1" s="1"/>
  <c r="AQ50" i="1"/>
  <c r="BE50" i="1" s="1"/>
  <c r="AQ48" i="1"/>
  <c r="AQ47" i="1"/>
  <c r="AQ46" i="1"/>
  <c r="AQ37" i="1"/>
  <c r="BE37" i="1" s="1"/>
  <c r="AQ131" i="1"/>
  <c r="BE131" i="1" s="1"/>
  <c r="AQ89" i="1"/>
  <c r="AQ82" i="1"/>
  <c r="AQ73" i="1"/>
  <c r="BE73" i="1" s="1"/>
  <c r="BB72" i="1"/>
  <c r="BE72" i="1" s="1"/>
  <c r="BB65" i="1"/>
  <c r="BB59" i="1"/>
  <c r="BE59" i="1" s="1"/>
  <c r="AQ56" i="1"/>
  <c r="BB34" i="1"/>
  <c r="AQ32" i="1"/>
  <c r="BE32" i="1" s="1"/>
  <c r="BB117" i="1"/>
  <c r="BE117" i="1" s="1"/>
  <c r="BB79" i="1"/>
  <c r="AQ65" i="1"/>
  <c r="BE65" i="1" s="1"/>
  <c r="AQ61" i="1"/>
  <c r="BE61" i="1" s="1"/>
  <c r="AQ57" i="1"/>
  <c r="BB41" i="1"/>
  <c r="AQ26" i="1"/>
  <c r="AQ25" i="1"/>
  <c r="BB176" i="1"/>
  <c r="AQ176" i="1"/>
  <c r="AQ175" i="1"/>
  <c r="BB174" i="1"/>
  <c r="BE174" i="1" s="1"/>
  <c r="BB173" i="1"/>
  <c r="AQ173" i="1"/>
  <c r="BE173" i="1" s="1"/>
  <c r="AQ172" i="1"/>
  <c r="AQ169" i="1"/>
  <c r="BE169" i="1" s="1"/>
  <c r="BB168" i="1"/>
  <c r="AQ168" i="1"/>
  <c r="AQ165" i="1"/>
  <c r="AQ163" i="1"/>
  <c r="BE163" i="1" s="1"/>
  <c r="BB161" i="1"/>
  <c r="BE161" i="1" s="1"/>
  <c r="AQ160" i="1"/>
  <c r="BE160" i="1" s="1"/>
  <c r="AQ157" i="1"/>
  <c r="AQ156" i="1"/>
  <c r="AQ154" i="1"/>
  <c r="AQ152" i="1"/>
  <c r="BB151" i="1"/>
  <c r="BE151" i="1" s="1"/>
  <c r="AQ150" i="1"/>
  <c r="AQ149" i="1"/>
  <c r="AQ148" i="1"/>
  <c r="AQ146" i="1"/>
  <c r="BB145" i="1"/>
  <c r="AQ145" i="1"/>
  <c r="BB143" i="1"/>
  <c r="BE143" i="1" s="1"/>
  <c r="AQ139" i="1"/>
  <c r="AQ137" i="1"/>
  <c r="AQ125" i="1"/>
  <c r="BE125" i="1" s="1"/>
  <c r="BB122" i="1"/>
  <c r="BE122" i="1" s="1"/>
  <c r="AQ62" i="1"/>
  <c r="BE62" i="1" s="1"/>
  <c r="BB39" i="1"/>
  <c r="BE39" i="1" s="1"/>
  <c r="BE33" i="1"/>
  <c r="BE54" i="1" l="1"/>
  <c r="BE80" i="1"/>
  <c r="BE135" i="1"/>
  <c r="BE43" i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E141" i="1"/>
  <c r="BE97" i="1"/>
  <c r="BE89" i="1"/>
  <c r="BE82" i="1"/>
  <c r="BE26" i="1"/>
  <c r="BE157" i="1"/>
  <c r="BE156" i="1"/>
  <c r="BE150" i="1"/>
  <c r="BE149" i="1"/>
  <c r="BE139" i="1"/>
  <c r="BB175" i="1"/>
  <c r="BE175" i="1" s="1"/>
  <c r="BE145" i="1"/>
  <c r="BE168" i="1"/>
  <c r="AQ84" i="1"/>
  <c r="BE84" i="1" s="1"/>
  <c r="BE24" i="1"/>
  <c r="BB172" i="1"/>
  <c r="BE172" i="1" s="1"/>
  <c r="AQ127" i="1"/>
  <c r="BE127" i="1" s="1"/>
  <c r="BA166" i="1"/>
  <c r="AZ166" i="1"/>
  <c r="BB166" i="1" s="1"/>
  <c r="BE166" i="1" s="1"/>
  <c r="AW166" i="1"/>
  <c r="AZ153" i="1"/>
  <c r="BA153" i="1"/>
  <c r="AW153" i="1"/>
  <c r="AY154" i="1" s="1"/>
  <c r="AZ147" i="1"/>
  <c r="AW147" i="1"/>
  <c r="AY148" i="1" s="1"/>
  <c r="BA147" i="1"/>
  <c r="AZ136" i="1"/>
  <c r="AW136" i="1"/>
  <c r="AY137" i="1" s="1"/>
  <c r="BA136" i="1"/>
  <c r="AP130" i="1"/>
  <c r="AO130" i="1"/>
  <c r="AQ130" i="1" s="1"/>
  <c r="BE130" i="1" s="1"/>
  <c r="AL130" i="1"/>
  <c r="AP114" i="1"/>
  <c r="AO114" i="1"/>
  <c r="AQ114" i="1" s="1"/>
  <c r="BE114" i="1" s="1"/>
  <c r="AL114" i="1"/>
  <c r="AN115" i="1" s="1"/>
  <c r="BA103" i="1"/>
  <c r="AW103" i="1"/>
  <c r="AY104" i="1" s="1"/>
  <c r="AZ103" i="1"/>
  <c r="BB103" i="1" s="1"/>
  <c r="BE103" i="1" s="1"/>
  <c r="AW99" i="1"/>
  <c r="AY100" i="1" s="1"/>
  <c r="BA99" i="1"/>
  <c r="AZ99" i="1"/>
  <c r="BB99" i="1" s="1"/>
  <c r="BE99" i="1" s="1"/>
  <c r="AO88" i="1"/>
  <c r="AL88" i="1"/>
  <c r="AP88" i="1"/>
  <c r="AO70" i="1"/>
  <c r="AP70" i="1"/>
  <c r="AL70" i="1"/>
  <c r="AN71" i="1" s="1"/>
  <c r="AW63" i="1"/>
  <c r="AZ63" i="1"/>
  <c r="BA63" i="1"/>
  <c r="AZ55" i="1"/>
  <c r="AW55" i="1"/>
  <c r="AY56" i="1" s="1"/>
  <c r="BA55" i="1"/>
  <c r="AZ46" i="1"/>
  <c r="BA46" i="1"/>
  <c r="AW46" i="1"/>
  <c r="AY47" i="1" s="1"/>
  <c r="BF22" i="1"/>
  <c r="BF23" i="1" s="1"/>
  <c r="BE176" i="1"/>
  <c r="BE34" i="1"/>
  <c r="AR25" i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BB165" i="1"/>
  <c r="BE165" i="1" s="1"/>
  <c r="BB152" i="1"/>
  <c r="BE152" i="1" s="1"/>
  <c r="BB146" i="1"/>
  <c r="BE146" i="1" s="1"/>
  <c r="AQ144" i="1"/>
  <c r="BE144" i="1" s="1"/>
  <c r="AQ140" i="1"/>
  <c r="BE140" i="1" s="1"/>
  <c r="AQ129" i="1"/>
  <c r="BE129" i="1" s="1"/>
  <c r="BE113" i="1"/>
  <c r="AQ106" i="1"/>
  <c r="BE106" i="1" s="1"/>
  <c r="BB102" i="1"/>
  <c r="BE102" i="1" s="1"/>
  <c r="BE95" i="1"/>
  <c r="AQ87" i="1"/>
  <c r="BE87" i="1" s="1"/>
  <c r="BE79" i="1"/>
  <c r="AQ67" i="1"/>
  <c r="BE67" i="1" s="1"/>
  <c r="BB60" i="1"/>
  <c r="BE60" i="1" s="1"/>
  <c r="AQ41" i="1"/>
  <c r="BE41" i="1" s="1"/>
  <c r="BE25" i="1"/>
  <c r="BF24" i="1" l="1"/>
  <c r="BF25" i="1" s="1"/>
  <c r="BF26" i="1" s="1"/>
  <c r="BF27" i="1" s="1"/>
  <c r="BF28" i="1" s="1"/>
  <c r="BF29" i="1" s="1"/>
  <c r="BF30" i="1" s="1"/>
  <c r="BF31" i="1" s="1"/>
  <c r="BF32" i="1" s="1"/>
  <c r="BF33" i="1" s="1"/>
  <c r="AR41" i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BA154" i="1"/>
  <c r="AW154" i="1"/>
  <c r="AZ154" i="1"/>
  <c r="BB154" i="1" s="1"/>
  <c r="BE154" i="1" s="1"/>
  <c r="BA148" i="1"/>
  <c r="AZ148" i="1"/>
  <c r="AW148" i="1"/>
  <c r="BA137" i="1"/>
  <c r="AZ137" i="1"/>
  <c r="BB137" i="1" s="1"/>
  <c r="BE137" i="1" s="1"/>
  <c r="AW137" i="1"/>
  <c r="AY138" i="1" s="1"/>
  <c r="AO115" i="1"/>
  <c r="AP115" i="1"/>
  <c r="AL115" i="1"/>
  <c r="AW104" i="1"/>
  <c r="AZ104" i="1"/>
  <c r="BA104" i="1"/>
  <c r="BA100" i="1"/>
  <c r="AW100" i="1"/>
  <c r="AZ100" i="1"/>
  <c r="BB100" i="1" s="1"/>
  <c r="BE100" i="1" s="1"/>
  <c r="AO71" i="1"/>
  <c r="AP71" i="1"/>
  <c r="AL71" i="1"/>
  <c r="AW56" i="1"/>
  <c r="AY57" i="1" s="1"/>
  <c r="BA56" i="1"/>
  <c r="AZ56" i="1"/>
  <c r="AW47" i="1"/>
  <c r="AY48" i="1" s="1"/>
  <c r="AZ47" i="1"/>
  <c r="BA47" i="1"/>
  <c r="BB153" i="1"/>
  <c r="BE153" i="1" s="1"/>
  <c r="BB147" i="1"/>
  <c r="BE147" i="1" s="1"/>
  <c r="BB136" i="1"/>
  <c r="BE136" i="1" s="1"/>
  <c r="AQ88" i="1"/>
  <c r="BE88" i="1" s="1"/>
  <c r="AQ70" i="1"/>
  <c r="BB63" i="1"/>
  <c r="BE63" i="1" s="1"/>
  <c r="BB55" i="1"/>
  <c r="BE55" i="1" s="1"/>
  <c r="BB46" i="1"/>
  <c r="BF34" i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B56" i="1" l="1"/>
  <c r="BE56" i="1" s="1"/>
  <c r="BB148" i="1"/>
  <c r="BE148" i="1" s="1"/>
  <c r="AQ71" i="1"/>
  <c r="BE71" i="1" s="1"/>
  <c r="BB47" i="1"/>
  <c r="BE47" i="1" s="1"/>
  <c r="AZ138" i="1"/>
  <c r="AW138" i="1"/>
  <c r="BA138" i="1"/>
  <c r="AZ57" i="1"/>
  <c r="BA57" i="1"/>
  <c r="AW57" i="1"/>
  <c r="AW48" i="1"/>
  <c r="AY49" i="1" s="1"/>
  <c r="BA48" i="1"/>
  <c r="AZ48" i="1"/>
  <c r="BB48" i="1" s="1"/>
  <c r="BE48" i="1" s="1"/>
  <c r="AR70" i="1"/>
  <c r="BE70" i="1"/>
  <c r="BC46" i="1"/>
  <c r="BE46" i="1"/>
  <c r="BB104" i="1"/>
  <c r="BE104" i="1" s="1"/>
  <c r="AQ115" i="1"/>
  <c r="BC47" i="1" l="1"/>
  <c r="BC48" i="1" s="1"/>
  <c r="AR71" i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A49" i="1"/>
  <c r="AZ49" i="1"/>
  <c r="BB49" i="1" s="1"/>
  <c r="AW49" i="1"/>
  <c r="BF46" i="1"/>
  <c r="BF47" i="1" s="1"/>
  <c r="BF48" i="1" s="1"/>
  <c r="BB138" i="1"/>
  <c r="BE138" i="1" s="1"/>
  <c r="BB57" i="1"/>
  <c r="BE57" i="1" s="1"/>
  <c r="BE115" i="1"/>
  <c r="AQ15" i="1"/>
  <c r="AQ14" i="1"/>
  <c r="AQ19" i="1"/>
  <c r="AQ16" i="1" l="1"/>
  <c r="AI1" i="1" s="1"/>
  <c r="BC49" i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9" i="1"/>
  <c r="BB15" i="1"/>
  <c r="BB14" i="1"/>
  <c r="BE49" i="1"/>
  <c r="BF49" i="1" l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4" i="1"/>
  <c r="BE15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<sst xmlns="http://schemas.openxmlformats.org/spreadsheetml/2006/main" count="74" uniqueCount="53">
  <si>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</si>
  <si>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IYC</t>
  </si>
  <si>
    <t>XLI</t>
  </si>
  <si>
    <t>IYC log rtn</t>
  </si>
  <si>
    <t>XLI log rtn</t>
  </si>
  <si>
    <t>IYC div</t>
  </si>
  <si>
    <t>IYC div cumsum</t>
  </si>
  <si>
    <t>XLI div</t>
  </si>
  <si>
    <t>XLI div cumsum</t>
  </si>
  <si>
    <t>IYC div adjustment</t>
  </si>
  <si>
    <t>XLI div adjustment</t>
  </si>
  <si>
    <t>IYC*</t>
  </si>
  <si>
    <t>XLI*</t>
  </si>
  <si>
    <t>XLI/IYC</t>
  </si>
  <si>
    <t>XLI/IYC avg</t>
  </si>
  <si>
    <t>XLI/IYC 10 dma</t>
  </si>
  <si>
    <t>XLI/IYC 20 dma</t>
  </si>
  <si>
    <t>IYC x avg</t>
  </si>
  <si>
    <t>IYC x 10 dma</t>
  </si>
  <si>
    <t>IYC x 20 dma</t>
  </si>
  <si>
    <t>log diff IYC x avg / XLI</t>
  </si>
  <si>
    <t>log diff IYC x 10 dma / XLI</t>
  </si>
  <si>
    <t>log diff IYC x 20 dma / XLI</t>
  </si>
  <si>
    <t>XLI*/IYC*</t>
  </si>
  <si>
    <t>XLI*/IYC* avg</t>
  </si>
  <si>
    <t>XLI*/IYC* 10 dma</t>
  </si>
  <si>
    <t>XLI*/IYC* 20 dma</t>
  </si>
  <si>
    <t>IYC* x avg</t>
  </si>
  <si>
    <t>IYC* x 10 dma</t>
  </si>
  <si>
    <t>IYC* x 20 dma</t>
  </si>
  <si>
    <t>log diff IYC* x avg / XLI*</t>
  </si>
  <si>
    <t>log diff IYC* x 10 dma / XLI*</t>
  </si>
  <si>
    <t>log diff IYC* x 20 dma / XLI*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</si>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</sst>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  <xf numFmtId="10" fontId="21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XLI/IYC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1.71162160919586</c:v>
                </c:pt>
                <c:pt idx="1">
                  <c:v>1.71162160919586</c:v>
                </c:pt>
                <c:pt idx="2">
                  <c:v>1.71162160919586</c:v>
                </c:pt>
                <c:pt idx="3">
                  <c:v>1.71162160919586</c:v>
                </c:pt>
                <c:pt idx="4">
                  <c:v>1.71162160919586</c:v>
                </c:pt>
                <c:pt idx="5">
                  <c:v>1.71162160919586</c:v>
                </c:pt>
                <c:pt idx="6">
                  <c:v>1.71162160919586</c:v>
                </c:pt>
                <c:pt idx="7">
                  <c:v>1.71162160919586</c:v>
                </c:pt>
                <c:pt idx="8">
                  <c:v>1.71162160919586</c:v>
                </c:pt>
                <c:pt idx="9">
                  <c:v>1.71162160919586</c:v>
                </c:pt>
                <c:pt idx="10">
                  <c:v>1.71162160919586</c:v>
                </c:pt>
                <c:pt idx="11">
                  <c:v>1.71162160919586</c:v>
                </c:pt>
                <c:pt idx="12">
                  <c:v>1.71162160919586</c:v>
                </c:pt>
                <c:pt idx="13">
                  <c:v>1.71162160919586</c:v>
                </c:pt>
                <c:pt idx="14">
                  <c:v>1.71162160919586</c:v>
                </c:pt>
                <c:pt idx="15">
                  <c:v>1.71162160919586</c:v>
                </c:pt>
                <c:pt idx="16">
                  <c:v>1.71162160919586</c:v>
                </c:pt>
                <c:pt idx="17">
                  <c:v>1.71162160919586</c:v>
                </c:pt>
                <c:pt idx="18">
                  <c:v>1.71162160919586</c:v>
                </c:pt>
                <c:pt idx="19">
                  <c:v>1.71162160919586</c:v>
                </c:pt>
                <c:pt idx="20">
                  <c:v>1.71162160919586</c:v>
                </c:pt>
                <c:pt idx="21">
                  <c:v>1.71162160919586</c:v>
                </c:pt>
                <c:pt idx="22">
                  <c:v>1.71162160919586</c:v>
                </c:pt>
                <c:pt idx="23">
                  <c:v>1.71162160919586</c:v>
                </c:pt>
                <c:pt idx="24">
                  <c:v>1.71162160919586</c:v>
                </c:pt>
                <c:pt idx="25">
                  <c:v>1.71162160919586</c:v>
                </c:pt>
                <c:pt idx="26">
                  <c:v>1.71162160919586</c:v>
                </c:pt>
                <c:pt idx="27">
                  <c:v>1.71162160919586</c:v>
                </c:pt>
                <c:pt idx="28">
                  <c:v>1.71162160919586</c:v>
                </c:pt>
                <c:pt idx="29">
                  <c:v>1.71162160919586</c:v>
                </c:pt>
                <c:pt idx="30">
                  <c:v>1.71162160919586</c:v>
                </c:pt>
                <c:pt idx="31">
                  <c:v>1.71162160919586</c:v>
                </c:pt>
                <c:pt idx="32">
                  <c:v>1.71162160919586</c:v>
                </c:pt>
                <c:pt idx="33">
                  <c:v>1.71162160919586</c:v>
                </c:pt>
                <c:pt idx="34">
                  <c:v>1.71162160919586</c:v>
                </c:pt>
                <c:pt idx="35">
                  <c:v>1.71162160919586</c:v>
                </c:pt>
                <c:pt idx="36">
                  <c:v>1.71162160919586</c:v>
                </c:pt>
                <c:pt idx="37">
                  <c:v>1.71162160919586</c:v>
                </c:pt>
                <c:pt idx="38">
                  <c:v>1.71162160919586</c:v>
                </c:pt>
                <c:pt idx="39">
                  <c:v>1.71162160919586</c:v>
                </c:pt>
                <c:pt idx="40">
                  <c:v>1.71162160919586</c:v>
                </c:pt>
                <c:pt idx="41">
                  <c:v>1.71162160919586</c:v>
                </c:pt>
                <c:pt idx="42">
                  <c:v>1.71162160919586</c:v>
                </c:pt>
                <c:pt idx="43">
                  <c:v>1.71162160919586</c:v>
                </c:pt>
                <c:pt idx="44">
                  <c:v>1.71162160919586</c:v>
                </c:pt>
                <c:pt idx="45">
                  <c:v>1.71162160919586</c:v>
                </c:pt>
                <c:pt idx="46">
                  <c:v>1.71162160919586</c:v>
                </c:pt>
                <c:pt idx="47">
                  <c:v>1.71162160919586</c:v>
                </c:pt>
                <c:pt idx="48">
                  <c:v>1.71162160919586</c:v>
                </c:pt>
                <c:pt idx="49">
                  <c:v>1.71162160919586</c:v>
                </c:pt>
                <c:pt idx="50">
                  <c:v>1.71162160919586</c:v>
                </c:pt>
                <c:pt idx="51">
                  <c:v>1.71162160919586</c:v>
                </c:pt>
                <c:pt idx="52">
                  <c:v>1.71162160919586</c:v>
                </c:pt>
                <c:pt idx="53">
                  <c:v>1.71162160919586</c:v>
                </c:pt>
                <c:pt idx="54">
                  <c:v>1.71162160919586</c:v>
                </c:pt>
                <c:pt idx="55">
                  <c:v>1.71162160919586</c:v>
                </c:pt>
                <c:pt idx="56">
                  <c:v>1.71162160919586</c:v>
                </c:pt>
                <c:pt idx="57">
                  <c:v>1.71162160919586</c:v>
                </c:pt>
                <c:pt idx="58">
                  <c:v>1.71162160919586</c:v>
                </c:pt>
                <c:pt idx="59">
                  <c:v>1.71162160919586</c:v>
                </c:pt>
                <c:pt idx="60">
                  <c:v>1.71162160919586</c:v>
                </c:pt>
                <c:pt idx="61">
                  <c:v>1.71162160919586</c:v>
                </c:pt>
                <c:pt idx="62">
                  <c:v>1.71162160919586</c:v>
                </c:pt>
                <c:pt idx="63">
                  <c:v>1.71162160919586</c:v>
                </c:pt>
                <c:pt idx="64">
                  <c:v>1.71162160919586</c:v>
                </c:pt>
                <c:pt idx="65">
                  <c:v>1.71162160919586</c:v>
                </c:pt>
                <c:pt idx="66">
                  <c:v>1.71162160919586</c:v>
                </c:pt>
                <c:pt idx="67">
                  <c:v>1.71162160919586</c:v>
                </c:pt>
                <c:pt idx="68">
                  <c:v>1.71162160919586</c:v>
                </c:pt>
                <c:pt idx="69">
                  <c:v>1.71162160919586</c:v>
                </c:pt>
                <c:pt idx="70">
                  <c:v>1.71162160919586</c:v>
                </c:pt>
                <c:pt idx="71">
                  <c:v>1.71162160919586</c:v>
                </c:pt>
                <c:pt idx="72">
                  <c:v>1.71162160919586</c:v>
                </c:pt>
                <c:pt idx="73">
                  <c:v>1.71162160919586</c:v>
                </c:pt>
                <c:pt idx="74">
                  <c:v>1.71162160919586</c:v>
                </c:pt>
                <c:pt idx="75">
                  <c:v>1.71162160919586</c:v>
                </c:pt>
                <c:pt idx="76">
                  <c:v>1.71162160919586</c:v>
                </c:pt>
                <c:pt idx="77">
                  <c:v>1.71162160919586</c:v>
                </c:pt>
                <c:pt idx="78">
                  <c:v>1.71162160919586</c:v>
                </c:pt>
                <c:pt idx="79">
                  <c:v>1.71162160919586</c:v>
                </c:pt>
                <c:pt idx="80">
                  <c:v>1.71162160919586</c:v>
                </c:pt>
                <c:pt idx="81">
                  <c:v>1.71162160919586</c:v>
                </c:pt>
                <c:pt idx="82">
                  <c:v>1.71162160919586</c:v>
                </c:pt>
                <c:pt idx="83">
                  <c:v>1.71162160919586</c:v>
                </c:pt>
                <c:pt idx="84">
                  <c:v>1.71162160919586</c:v>
                </c:pt>
                <c:pt idx="85">
                  <c:v>1.71162160919586</c:v>
                </c:pt>
                <c:pt idx="86">
                  <c:v>1.71162160919586</c:v>
                </c:pt>
                <c:pt idx="87">
                  <c:v>1.71162160919586</c:v>
                </c:pt>
                <c:pt idx="88">
                  <c:v>1.71162160919586</c:v>
                </c:pt>
                <c:pt idx="89">
                  <c:v>1.71162160919586</c:v>
                </c:pt>
                <c:pt idx="90">
                  <c:v>1.71162160919586</c:v>
                </c:pt>
                <c:pt idx="91">
                  <c:v>1.71162160919586</c:v>
                </c:pt>
                <c:pt idx="92">
                  <c:v>1.71162160919586</c:v>
                </c:pt>
                <c:pt idx="93">
                  <c:v>1.71162160919586</c:v>
                </c:pt>
                <c:pt idx="94">
                  <c:v>1.71162160919586</c:v>
                </c:pt>
                <c:pt idx="95">
                  <c:v>1.71162160919586</c:v>
                </c:pt>
                <c:pt idx="96">
                  <c:v>1.71162160919586</c:v>
                </c:pt>
                <c:pt idx="97">
                  <c:v>1.71162160919586</c:v>
                </c:pt>
                <c:pt idx="98">
                  <c:v>1.71162160919586</c:v>
                </c:pt>
                <c:pt idx="99">
                  <c:v>1.71162160919586</c:v>
                </c:pt>
                <c:pt idx="100">
                  <c:v>1.71162160919586</c:v>
                </c:pt>
                <c:pt idx="101">
                  <c:v>1.71162160919586</c:v>
                </c:pt>
                <c:pt idx="102">
                  <c:v>1.71162160919586</c:v>
                </c:pt>
                <c:pt idx="103">
                  <c:v>1.71162160919586</c:v>
                </c:pt>
                <c:pt idx="104">
                  <c:v>1.71162160919586</c:v>
                </c:pt>
                <c:pt idx="105">
                  <c:v>1.71162160919586</c:v>
                </c:pt>
                <c:pt idx="106">
                  <c:v>1.71162160919586</c:v>
                </c:pt>
                <c:pt idx="107">
                  <c:v>1.71162160919586</c:v>
                </c:pt>
                <c:pt idx="108">
                  <c:v>1.71162160919586</c:v>
                </c:pt>
                <c:pt idx="109">
                  <c:v>1.71162160919586</c:v>
                </c:pt>
                <c:pt idx="110">
                  <c:v>1.71162160919586</c:v>
                </c:pt>
                <c:pt idx="111">
                  <c:v>1.71162160919586</c:v>
                </c:pt>
                <c:pt idx="112">
                  <c:v>1.71162160919586</c:v>
                </c:pt>
                <c:pt idx="113">
                  <c:v>1.71162160919586</c:v>
                </c:pt>
                <c:pt idx="114">
                  <c:v>1.71162160919586</c:v>
                </c:pt>
                <c:pt idx="115">
                  <c:v>1.71162160919586</c:v>
                </c:pt>
                <c:pt idx="116">
                  <c:v>1.71162160919586</c:v>
                </c:pt>
                <c:pt idx="117">
                  <c:v>1.71162160919586</c:v>
                </c:pt>
                <c:pt idx="118">
                  <c:v>1.71162160919586</c:v>
                </c:pt>
                <c:pt idx="119">
                  <c:v>1.71162160919586</c:v>
                </c:pt>
                <c:pt idx="120">
                  <c:v>1.71162160919586</c:v>
                </c:pt>
                <c:pt idx="121">
                  <c:v>1.71162160919586</c:v>
                </c:pt>
                <c:pt idx="122">
                  <c:v>1.71162160919586</c:v>
                </c:pt>
                <c:pt idx="123">
                  <c:v>1.71162160919586</c:v>
                </c:pt>
                <c:pt idx="124">
                  <c:v>1.71162160919586</c:v>
                </c:pt>
                <c:pt idx="125">
                  <c:v>1.71162160919586</c:v>
                </c:pt>
                <c:pt idx="126">
                  <c:v>1.71162160919586</c:v>
                </c:pt>
                <c:pt idx="127">
                  <c:v>1.71162160919586</c:v>
                </c:pt>
                <c:pt idx="128">
                  <c:v>1.71162160919586</c:v>
                </c:pt>
                <c:pt idx="129">
                  <c:v>1.71162160919586</c:v>
                </c:pt>
                <c:pt idx="130">
                  <c:v>1.71162160919586</c:v>
                </c:pt>
                <c:pt idx="131">
                  <c:v>1.71162160919586</c:v>
                </c:pt>
                <c:pt idx="132">
                  <c:v>1.71162160919586</c:v>
                </c:pt>
                <c:pt idx="133">
                  <c:v>1.71162160919586</c:v>
                </c:pt>
                <c:pt idx="134">
                  <c:v>1.71162160919586</c:v>
                </c:pt>
                <c:pt idx="135">
                  <c:v>1.71162160919586</c:v>
                </c:pt>
                <c:pt idx="136">
                  <c:v>1.71162160919586</c:v>
                </c:pt>
                <c:pt idx="137">
                  <c:v>1.71162160919586</c:v>
                </c:pt>
                <c:pt idx="138">
                  <c:v>1.71162160919586</c:v>
                </c:pt>
                <c:pt idx="139">
                  <c:v>1.71162160919586</c:v>
                </c:pt>
                <c:pt idx="140">
                  <c:v>1.71162160919586</c:v>
                </c:pt>
                <c:pt idx="141">
                  <c:v>1.71162160919586</c:v>
                </c:pt>
                <c:pt idx="142">
                  <c:v>1.71162160919586</c:v>
                </c:pt>
                <c:pt idx="143">
                  <c:v>1.71162160919586</c:v>
                </c:pt>
                <c:pt idx="144">
                  <c:v>1.71162160919586</c:v>
                </c:pt>
                <c:pt idx="145">
                  <c:v>1.71162160919586</c:v>
                </c:pt>
                <c:pt idx="146">
                  <c:v>1.71162160919586</c:v>
                </c:pt>
                <c:pt idx="147">
                  <c:v>1.71162160919586</c:v>
                </c:pt>
                <c:pt idx="148">
                  <c:v>1.71162160919586</c:v>
                </c:pt>
                <c:pt idx="149">
                  <c:v>1.71162160919586</c:v>
                </c:pt>
                <c:pt idx="150">
                  <c:v>1.71162160919586</c:v>
                </c:pt>
                <c:pt idx="151">
                  <c:v>1.71162160919586</c:v>
                </c:pt>
                <c:pt idx="152">
                  <c:v>1.71162160919586</c:v>
                </c:pt>
                <c:pt idx="153">
                  <c:v>1.71162160919586</c:v>
                </c:pt>
                <c:pt idx="154">
                  <c:v>1.71162160919586</c:v>
                </c:pt>
                <c:pt idx="155">
                  <c:v>1.71162160919586</c:v>
                </c:pt>
                <c:pt idx="156">
                  <c:v>1.71162160919586</c:v>
                </c:pt>
                <c:pt idx="157">
                  <c:v>1.71162160919586</c:v>
                </c:pt>
                <c:pt idx="158">
                  <c:v>1.71162160919586</c:v>
                </c:pt>
                <c:pt idx="159">
                  <c:v>1.71162160919586</c:v>
                </c:pt>
                <c:pt idx="160">
                  <c:v>1.71162160919586</c:v>
                </c:pt>
                <c:pt idx="161">
                  <c:v>1.71162160919586</c:v>
                </c:pt>
                <c:pt idx="162">
                  <c:v>1.71162160919586</c:v>
                </c:pt>
                <c:pt idx="163">
                  <c:v>1.71162160919586</c:v>
                </c:pt>
                <c:pt idx="164">
                  <c:v>1.71162160919586</c:v>
                </c:pt>
                <c:pt idx="165">
                  <c:v>1.71162160919586</c:v>
                </c:pt>
                <c:pt idx="166">
                  <c:v>1.71162160919586</c:v>
                </c:pt>
                <c:pt idx="167">
                  <c:v>1.71162160919586</c:v>
                </c:pt>
                <c:pt idx="168">
                  <c:v>1.71162160919586</c:v>
                </c:pt>
                <c:pt idx="169">
                  <c:v>1.71162160919586</c:v>
                </c:pt>
                <c:pt idx="170">
                  <c:v>1.71162160919586</c:v>
                </c:pt>
                <c:pt idx="171">
                  <c:v>1.71162160919586</c:v>
                </c:pt>
                <c:pt idx="172">
                  <c:v>1.71162160919586</c:v>
                </c:pt>
                <c:pt idx="173">
                  <c:v>1.71162160919586</c:v>
                </c:pt>
                <c:pt idx="174">
                  <c:v>1.71162160919586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2-4181-B660-665149FAFFAE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XLI/IYC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1.5328023186455899</c:v>
                </c:pt>
                <c:pt idx="10">
                  <c:v>1.5364134894711401</c:v>
                </c:pt>
                <c:pt idx="11">
                  <c:v>1.54016504950403</c:v>
                </c:pt>
                <c:pt idx="12">
                  <c:v>1.5436993358045199</c:v>
                </c:pt>
                <c:pt idx="13">
                  <c:v>1.54850582536599</c:v>
                </c:pt>
                <c:pt idx="14">
                  <c:v>1.5527480698835401</c:v>
                </c:pt>
                <c:pt idx="15">
                  <c:v>1.5574317443268599</c:v>
                </c:pt>
                <c:pt idx="16">
                  <c:v>1.5619406646267999</c:v>
                </c:pt>
                <c:pt idx="17">
                  <c:v>1.5662755881467301</c:v>
                </c:pt>
                <c:pt idx="18">
                  <c:v>1.5704918557498899</c:v>
                </c:pt>
                <c:pt idx="19">
                  <c:v>1.57393305209935</c:v>
                </c:pt>
                <c:pt idx="20">
                  <c:v>1.5764744917989399</c:v>
                </c:pt>
                <c:pt idx="21">
                  <c:v>1.58157531135322</c:v>
                </c:pt>
                <c:pt idx="22">
                  <c:v>1.5870120679904101</c:v>
                </c:pt>
                <c:pt idx="23">
                  <c:v>1.5953571204838699</c:v>
                </c:pt>
                <c:pt idx="24">
                  <c:v>1.6080327552359901</c:v>
                </c:pt>
                <c:pt idx="25">
                  <c:v>1.6211553353197801</c:v>
                </c:pt>
                <c:pt idx="26">
                  <c:v>1.6327296929994799</c:v>
                </c:pt>
                <c:pt idx="27">
                  <c:v>1.6459307872928599</c:v>
                </c:pt>
                <c:pt idx="28">
                  <c:v>1.6576570944028499</c:v>
                </c:pt>
                <c:pt idx="29">
                  <c:v>1.6699665081511501</c:v>
                </c:pt>
                <c:pt idx="30">
                  <c:v>1.68261793395365</c:v>
                </c:pt>
                <c:pt idx="31">
                  <c:v>1.69130805721289</c:v>
                </c:pt>
                <c:pt idx="32">
                  <c:v>1.7018370747574101</c:v>
                </c:pt>
                <c:pt idx="33">
                  <c:v>1.7098864167224801</c:v>
                </c:pt>
                <c:pt idx="34">
                  <c:v>1.7162336770847899</c:v>
                </c:pt>
                <c:pt idx="35">
                  <c:v>1.72086799005854</c:v>
                </c:pt>
                <c:pt idx="36">
                  <c:v>1.7242892868372399</c:v>
                </c:pt>
                <c:pt idx="37">
                  <c:v>1.7259189741624701</c:v>
                </c:pt>
                <c:pt idx="38">
                  <c:v>1.7267457476391099</c:v>
                </c:pt>
                <c:pt idx="39">
                  <c:v>1.7303021677059101</c:v>
                </c:pt>
                <c:pt idx="40">
                  <c:v>1.7302656809879899</c:v>
                </c:pt>
                <c:pt idx="41">
                  <c:v>1.7303373102809601</c:v>
                </c:pt>
                <c:pt idx="42">
                  <c:v>1.72449141765606</c:v>
                </c:pt>
                <c:pt idx="43">
                  <c:v>1.7193860563877299</c:v>
                </c:pt>
                <c:pt idx="44">
                  <c:v>1.7142614034799399</c:v>
                </c:pt>
                <c:pt idx="45">
                  <c:v>1.70933301736205</c:v>
                </c:pt>
                <c:pt idx="46">
                  <c:v>1.70647955450438</c:v>
                </c:pt>
                <c:pt idx="47">
                  <c:v>1.70233727177592</c:v>
                </c:pt>
                <c:pt idx="48">
                  <c:v>1.6984448018812</c:v>
                </c:pt>
                <c:pt idx="49">
                  <c:v>1.6907927953901001</c:v>
                </c:pt>
                <c:pt idx="50">
                  <c:v>1.6852348556055701</c:v>
                </c:pt>
                <c:pt idx="51">
                  <c:v>1.6830642487206</c:v>
                </c:pt>
                <c:pt idx="52">
                  <c:v>1.6842263681368099</c:v>
                </c:pt>
                <c:pt idx="53">
                  <c:v>1.6853057861016101</c:v>
                </c:pt>
                <c:pt idx="54">
                  <c:v>1.68366392413254</c:v>
                </c:pt>
                <c:pt idx="55">
                  <c:v>1.6842677425485599</c:v>
                </c:pt>
                <c:pt idx="56">
                  <c:v>1.6844484074320001</c:v>
                </c:pt>
                <c:pt idx="57">
                  <c:v>1.6839378734107999</c:v>
                </c:pt>
                <c:pt idx="58">
                  <c:v>1.6850814624528601</c:v>
                </c:pt>
                <c:pt idx="59">
                  <c:v>1.6835185980043199</c:v>
                </c:pt>
                <c:pt idx="60">
                  <c:v>1.68333691197737</c:v>
                </c:pt>
                <c:pt idx="61">
                  <c:v>1.6831746631017099</c:v>
                </c:pt>
                <c:pt idx="62">
                  <c:v>1.68289293801189</c:v>
                </c:pt>
                <c:pt idx="63">
                  <c:v>1.68214236054814</c:v>
                </c:pt>
                <c:pt idx="64">
                  <c:v>1.68475124542798</c:v>
                </c:pt>
                <c:pt idx="65">
                  <c:v>1.68716070059252</c:v>
                </c:pt>
                <c:pt idx="66">
                  <c:v>1.6894173407695601</c:v>
                </c:pt>
                <c:pt idx="67">
                  <c:v>1.69343581119957</c:v>
                </c:pt>
                <c:pt idx="68">
                  <c:v>1.6959997561872899</c:v>
                </c:pt>
                <c:pt idx="69">
                  <c:v>1.69929852427983</c:v>
                </c:pt>
                <c:pt idx="70">
                  <c:v>1.6978522113156</c:v>
                </c:pt>
                <c:pt idx="71">
                  <c:v>1.69379318497592</c:v>
                </c:pt>
                <c:pt idx="72">
                  <c:v>1.69028867066915</c:v>
                </c:pt>
                <c:pt idx="73">
                  <c:v>1.6878626154135801</c:v>
                </c:pt>
                <c:pt idx="74">
                  <c:v>1.6826590061162301</c:v>
                </c:pt>
                <c:pt idx="75">
                  <c:v>1.675677826214</c:v>
                </c:pt>
                <c:pt idx="76">
                  <c:v>1.6732210846055999</c:v>
                </c:pt>
                <c:pt idx="77">
                  <c:v>1.66865941510671</c:v>
                </c:pt>
                <c:pt idx="78">
                  <c:v>1.6653839378181601</c:v>
                </c:pt>
                <c:pt idx="79">
                  <c:v>1.6642683638026601</c:v>
                </c:pt>
                <c:pt idx="80">
                  <c:v>1.6662308304061499</c:v>
                </c:pt>
                <c:pt idx="81">
                  <c:v>1.6709551534379401</c:v>
                </c:pt>
                <c:pt idx="82">
                  <c:v>1.6742441518959601</c:v>
                </c:pt>
                <c:pt idx="83">
                  <c:v>1.6765705668923101</c:v>
                </c:pt>
                <c:pt idx="84">
                  <c:v>1.6811882033657499</c:v>
                </c:pt>
                <c:pt idx="85">
                  <c:v>1.6875037889008</c:v>
                </c:pt>
                <c:pt idx="86">
                  <c:v>1.68735372651417</c:v>
                </c:pt>
                <c:pt idx="87">
                  <c:v>1.68887636049628</c:v>
                </c:pt>
                <c:pt idx="88">
                  <c:v>1.6932969037133601</c:v>
                </c:pt>
                <c:pt idx="89">
                  <c:v>1.69715299538889</c:v>
                </c:pt>
                <c:pt idx="90">
                  <c:v>1.7011253320189801</c:v>
                </c:pt>
                <c:pt idx="91">
                  <c:v>1.7032281150455999</c:v>
                </c:pt>
                <c:pt idx="92">
                  <c:v>1.70539102893678</c:v>
                </c:pt>
                <c:pt idx="93">
                  <c:v>1.7061476702654099</c:v>
                </c:pt>
                <c:pt idx="94">
                  <c:v>1.7052919866137799</c:v>
                </c:pt>
                <c:pt idx="95">
                  <c:v>1.7018656817118201</c:v>
                </c:pt>
                <c:pt idx="96">
                  <c:v>1.70003797708144</c:v>
                </c:pt>
                <c:pt idx="97">
                  <c:v>1.6996280061008899</c:v>
                </c:pt>
                <c:pt idx="98">
                  <c:v>1.6976021016150999</c:v>
                </c:pt>
                <c:pt idx="99">
                  <c:v>1.6940779548584901</c:v>
                </c:pt>
                <c:pt idx="100">
                  <c:v>1.6901895287586699</c:v>
                </c:pt>
                <c:pt idx="101">
                  <c:v>1.6869066503304999</c:v>
                </c:pt>
                <c:pt idx="102">
                  <c:v>1.6856539164019699</c:v>
                </c:pt>
                <c:pt idx="103">
                  <c:v>1.68940488762621</c:v>
                </c:pt>
                <c:pt idx="104">
                  <c:v>1.69445181027268</c:v>
                </c:pt>
                <c:pt idx="105">
                  <c:v>1.7017867894493199</c:v>
                </c:pt>
                <c:pt idx="106">
                  <c:v>1.7095631305033001</c:v>
                </c:pt>
                <c:pt idx="107">
                  <c:v>1.7155404409369299</c:v>
                </c:pt>
                <c:pt idx="108">
                  <c:v>1.7196701630578299</c:v>
                </c:pt>
                <c:pt idx="109">
                  <c:v>1.7219366878121201</c:v>
                </c:pt>
                <c:pt idx="110">
                  <c:v>1.7271987959052899</c:v>
                </c:pt>
                <c:pt idx="111">
                  <c:v>1.73215985385868</c:v>
                </c:pt>
                <c:pt idx="112">
                  <c:v>1.7367961542972401</c:v>
                </c:pt>
                <c:pt idx="113">
                  <c:v>1.7394175743001701</c:v>
                </c:pt>
                <c:pt idx="114">
                  <c:v>1.74518934743224</c:v>
                </c:pt>
                <c:pt idx="115">
                  <c:v>1.7485456290996</c:v>
                </c:pt>
                <c:pt idx="116">
                  <c:v>1.75616034708413</c:v>
                </c:pt>
                <c:pt idx="117">
                  <c:v>1.7614113340573501</c:v>
                </c:pt>
                <c:pt idx="118">
                  <c:v>1.76569638726247</c:v>
                </c:pt>
                <c:pt idx="119">
                  <c:v>1.78051251266016</c:v>
                </c:pt>
                <c:pt idx="120">
                  <c:v>1.7881151521405501</c:v>
                </c:pt>
                <c:pt idx="121">
                  <c:v>1.7946649842164299</c:v>
                </c:pt>
                <c:pt idx="122">
                  <c:v>1.80359167937191</c:v>
                </c:pt>
                <c:pt idx="123">
                  <c:v>1.80869287736108</c:v>
                </c:pt>
                <c:pt idx="124">
                  <c:v>1.8093987778618601</c:v>
                </c:pt>
                <c:pt idx="125">
                  <c:v>1.8129452814020199</c:v>
                </c:pt>
                <c:pt idx="126">
                  <c:v>1.8098883707661</c:v>
                </c:pt>
                <c:pt idx="127">
                  <c:v>1.8103813413057801</c:v>
                </c:pt>
                <c:pt idx="128">
                  <c:v>1.8105100525654501</c:v>
                </c:pt>
                <c:pt idx="129">
                  <c:v>1.8046334943962401</c:v>
                </c:pt>
                <c:pt idx="130">
                  <c:v>1.8032375915552701</c:v>
                </c:pt>
                <c:pt idx="131">
                  <c:v>1.8029271268718201</c:v>
                </c:pt>
                <c:pt idx="132">
                  <c:v>1.7975495249375499</c:v>
                </c:pt>
                <c:pt idx="133">
                  <c:v>1.79339580062684</c:v>
                </c:pt>
                <c:pt idx="134">
                  <c:v>1.7919463550566901</c:v>
                </c:pt>
                <c:pt idx="135">
                  <c:v>1.78852004119548</c:v>
                </c:pt>
                <c:pt idx="136">
                  <c:v>1.7885327600459699</c:v>
                </c:pt>
                <c:pt idx="137">
                  <c:v>1.78958199679608</c:v>
                </c:pt>
                <c:pt idx="138">
                  <c:v>1.8000266793727699</c:v>
                </c:pt>
                <c:pt idx="139">
                  <c:v>1.8090544495376999</c:v>
                </c:pt>
                <c:pt idx="140">
                  <c:v>1.8162569857205</c:v>
                </c:pt>
                <c:pt idx="141">
                  <c:v>1.81883329131229</c:v>
                </c:pt>
                <c:pt idx="142">
                  <c:v>1.8179570876920601</c:v>
                </c:pt>
                <c:pt idx="143">
                  <c:v>1.82049508998478</c:v>
                </c:pt>
                <c:pt idx="144">
                  <c:v>1.81957719968042</c:v>
                </c:pt>
                <c:pt idx="145">
                  <c:v>1.81942287570354</c:v>
                </c:pt>
                <c:pt idx="146">
                  <c:v>1.82117245989599</c:v>
                </c:pt>
                <c:pt idx="147">
                  <c:v>1.8212541183039199</c:v>
                </c:pt>
                <c:pt idx="148">
                  <c:v>1.8116423189978801</c:v>
                </c:pt>
                <c:pt idx="149">
                  <c:v>1.80111689072824</c:v>
                </c:pt>
                <c:pt idx="150">
                  <c:v>1.7924929314308899</c:v>
                </c:pt>
                <c:pt idx="151">
                  <c:v>1.78943325393358</c:v>
                </c:pt>
                <c:pt idx="152">
                  <c:v>1.7932719536361199</c:v>
                </c:pt>
                <c:pt idx="153">
                  <c:v>1.7937446757255</c:v>
                </c:pt>
                <c:pt idx="154">
                  <c:v>1.7962217383235299</c:v>
                </c:pt>
                <c:pt idx="155">
                  <c:v>1.80051219284512</c:v>
                </c:pt>
                <c:pt idx="156">
                  <c:v>1.79944220757402</c:v>
                </c:pt>
                <c:pt idx="157">
                  <c:v>1.7941460646846401</c:v>
                </c:pt>
                <c:pt idx="158">
                  <c:v>1.7906602657391</c:v>
                </c:pt>
                <c:pt idx="159">
                  <c:v>1.7879766406078399</c:v>
                </c:pt>
                <c:pt idx="160">
                  <c:v>1.7835569510225999</c:v>
                </c:pt>
                <c:pt idx="161">
                  <c:v>1.7771953640039</c:v>
                </c:pt>
                <c:pt idx="162">
                  <c:v>1.7725779332682901</c:v>
                </c:pt>
                <c:pt idx="163">
                  <c:v>1.7701179192907299</c:v>
                </c:pt>
                <c:pt idx="164">
                  <c:v>1.76342651291269</c:v>
                </c:pt>
                <c:pt idx="165">
                  <c:v>1.7536714981946699</c:v>
                </c:pt>
                <c:pt idx="166">
                  <c:v>1.7464271979572299</c:v>
                </c:pt>
                <c:pt idx="167">
                  <c:v>1.74284036794945</c:v>
                </c:pt>
                <c:pt idx="168">
                  <c:v>1.7387744090191799</c:v>
                </c:pt>
                <c:pt idx="169">
                  <c:v>1.7380964791320299</c:v>
                </c:pt>
                <c:pt idx="170">
                  <c:v>1.7410386637570301</c:v>
                </c:pt>
                <c:pt idx="171">
                  <c:v>1.7439686456385</c:v>
                </c:pt>
                <c:pt idx="172">
                  <c:v>1.7428712368180399</c:v>
                </c:pt>
                <c:pt idx="173">
                  <c:v>1.74119281101153</c:v>
                </c:pt>
                <c:pt idx="174">
                  <c:v>1.73924068686929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2-4181-B660-665149FAFFAE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XLI/IYC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1.5533676853724701</c:v>
                </c:pt>
                <c:pt idx="20">
                  <c:v>1.55644399063504</c:v>
                </c:pt>
                <c:pt idx="21">
                  <c:v>1.56087018042862</c:v>
                </c:pt>
                <c:pt idx="22">
                  <c:v>1.56535570189747</c:v>
                </c:pt>
                <c:pt idx="23">
                  <c:v>1.5719314729249301</c:v>
                </c:pt>
                <c:pt idx="24">
                  <c:v>1.5803904125597601</c:v>
                </c:pt>
                <c:pt idx="25">
                  <c:v>1.5892935398233199</c:v>
                </c:pt>
                <c:pt idx="26">
                  <c:v>1.59733517881314</c:v>
                </c:pt>
                <c:pt idx="27">
                  <c:v>1.6061031877198</c:v>
                </c:pt>
                <c:pt idx="28">
                  <c:v>1.61407447507637</c:v>
                </c:pt>
                <c:pt idx="29">
                  <c:v>1.62194978012525</c:v>
                </c:pt>
                <c:pt idx="30">
                  <c:v>1.6295462128762901</c:v>
                </c:pt>
                <c:pt idx="31">
                  <c:v>1.63644168428305</c:v>
                </c:pt>
                <c:pt idx="32">
                  <c:v>1.6444245713739101</c:v>
                </c:pt>
                <c:pt idx="33">
                  <c:v>1.6526217686031801</c:v>
                </c:pt>
                <c:pt idx="34">
                  <c:v>1.6621332161603899</c:v>
                </c:pt>
                <c:pt idx="35">
                  <c:v>1.67101166268916</c:v>
                </c:pt>
                <c:pt idx="36">
                  <c:v>1.6785094899183599</c:v>
                </c:pt>
                <c:pt idx="37">
                  <c:v>1.6859248807276701</c:v>
                </c:pt>
                <c:pt idx="38">
                  <c:v>1.6922014210209799</c:v>
                </c:pt>
                <c:pt idx="39">
                  <c:v>1.7001343379285301</c:v>
                </c:pt>
                <c:pt idx="40">
                  <c:v>1.7064418074708201</c:v>
                </c:pt>
                <c:pt idx="41">
                  <c:v>1.71082268374692</c:v>
                </c:pt>
                <c:pt idx="42">
                  <c:v>1.71316424620674</c:v>
                </c:pt>
                <c:pt idx="43">
                  <c:v>1.71463623655511</c:v>
                </c:pt>
                <c:pt idx="44">
                  <c:v>1.7152475402823699</c:v>
                </c:pt>
                <c:pt idx="45">
                  <c:v>1.7151005037103</c:v>
                </c:pt>
                <c:pt idx="46">
                  <c:v>1.71538442067081</c:v>
                </c:pt>
                <c:pt idx="47">
                  <c:v>1.7141281229692</c:v>
                </c:pt>
                <c:pt idx="48">
                  <c:v>1.71259527476016</c:v>
                </c:pt>
                <c:pt idx="49">
                  <c:v>1.710547481548</c:v>
                </c:pt>
                <c:pt idx="50">
                  <c:v>1.70775026829678</c:v>
                </c:pt>
                <c:pt idx="51">
                  <c:v>1.70670077950078</c:v>
                </c:pt>
                <c:pt idx="52">
                  <c:v>1.7043588928964399</c:v>
                </c:pt>
                <c:pt idx="53">
                  <c:v>1.7023459212446701</c:v>
                </c:pt>
                <c:pt idx="54">
                  <c:v>1.6989626638062401</c:v>
                </c:pt>
                <c:pt idx="55">
                  <c:v>1.69680037995531</c:v>
                </c:pt>
                <c:pt idx="56">
                  <c:v>1.69546398096819</c:v>
                </c:pt>
                <c:pt idx="57">
                  <c:v>1.69313757259336</c:v>
                </c:pt>
                <c:pt idx="58">
                  <c:v>1.6917631321670299</c:v>
                </c:pt>
                <c:pt idx="59">
                  <c:v>1.6871556966972101</c:v>
                </c:pt>
                <c:pt idx="60">
                  <c:v>1.68428588379147</c:v>
                </c:pt>
                <c:pt idx="61">
                  <c:v>1.68311945591115</c:v>
                </c:pt>
                <c:pt idx="62">
                  <c:v>1.68355965307435</c:v>
                </c:pt>
                <c:pt idx="63">
                  <c:v>1.68372407332487</c:v>
                </c:pt>
                <c:pt idx="64">
                  <c:v>1.68420758478026</c:v>
                </c:pt>
                <c:pt idx="65">
                  <c:v>1.6857142215705401</c:v>
                </c:pt>
                <c:pt idx="66">
                  <c:v>1.6869328741007801</c:v>
                </c:pt>
                <c:pt idx="67">
                  <c:v>1.68868684230518</c:v>
                </c:pt>
                <c:pt idx="68">
                  <c:v>1.6905406093200801</c:v>
                </c:pt>
                <c:pt idx="69">
                  <c:v>1.6914085611420799</c:v>
                </c:pt>
                <c:pt idx="70">
                  <c:v>1.6905945616464799</c:v>
                </c:pt>
                <c:pt idx="71">
                  <c:v>1.6884839240388201</c:v>
                </c:pt>
                <c:pt idx="72">
                  <c:v>1.68659080434052</c:v>
                </c:pt>
                <c:pt idx="73">
                  <c:v>1.6850024879808601</c:v>
                </c:pt>
                <c:pt idx="74">
                  <c:v>1.6837051257721001</c:v>
                </c:pt>
                <c:pt idx="75">
                  <c:v>1.6814192634032601</c:v>
                </c:pt>
                <c:pt idx="76">
                  <c:v>1.68131921268758</c:v>
                </c:pt>
                <c:pt idx="77">
                  <c:v>1.68104761315314</c:v>
                </c:pt>
                <c:pt idx="78">
                  <c:v>1.6806918470027301</c:v>
                </c:pt>
                <c:pt idx="79">
                  <c:v>1.68178344404124</c:v>
                </c:pt>
                <c:pt idx="80">
                  <c:v>1.6820415208608801</c:v>
                </c:pt>
                <c:pt idx="81">
                  <c:v>1.6823741692069301</c:v>
                </c:pt>
                <c:pt idx="82">
                  <c:v>1.6822664112825501</c:v>
                </c:pt>
                <c:pt idx="83">
                  <c:v>1.6822165911529501</c:v>
                </c:pt>
                <c:pt idx="84">
                  <c:v>1.68192360474099</c:v>
                </c:pt>
                <c:pt idx="85">
                  <c:v>1.6815908075574</c:v>
                </c:pt>
                <c:pt idx="86">
                  <c:v>1.68028740555988</c:v>
                </c:pt>
                <c:pt idx="87">
                  <c:v>1.67876788780149</c:v>
                </c:pt>
                <c:pt idx="88">
                  <c:v>1.6793404207657601</c:v>
                </c:pt>
                <c:pt idx="89">
                  <c:v>1.68071067959577</c:v>
                </c:pt>
                <c:pt idx="90">
                  <c:v>1.68367808121256</c:v>
                </c:pt>
                <c:pt idx="91">
                  <c:v>1.6870916342417701</c:v>
                </c:pt>
                <c:pt idx="92">
                  <c:v>1.6898175904163699</c:v>
                </c:pt>
                <c:pt idx="93">
                  <c:v>1.6913591185788599</c:v>
                </c:pt>
                <c:pt idx="94">
                  <c:v>1.6932400949897599</c:v>
                </c:pt>
                <c:pt idx="95">
                  <c:v>1.6946847353063099</c:v>
                </c:pt>
                <c:pt idx="96">
                  <c:v>1.6936958517978</c:v>
                </c:pt>
                <c:pt idx="97">
                  <c:v>1.69425218329859</c:v>
                </c:pt>
                <c:pt idx="98">
                  <c:v>1.69544950266423</c:v>
                </c:pt>
                <c:pt idx="99">
                  <c:v>1.69561547512369</c:v>
                </c:pt>
                <c:pt idx="100">
                  <c:v>1.6956574303888201</c:v>
                </c:pt>
                <c:pt idx="101">
                  <c:v>1.69506738268805</c:v>
                </c:pt>
                <c:pt idx="102">
                  <c:v>1.6955224726693801</c:v>
                </c:pt>
                <c:pt idx="103">
                  <c:v>1.69777627894581</c:v>
                </c:pt>
                <c:pt idx="104">
                  <c:v>1.6998718984432299</c:v>
                </c:pt>
                <c:pt idx="105">
                  <c:v>1.70182623558057</c:v>
                </c:pt>
                <c:pt idx="106">
                  <c:v>1.7048005537923701</c:v>
                </c:pt>
                <c:pt idx="107">
                  <c:v>1.70758422351891</c:v>
                </c:pt>
                <c:pt idx="108">
                  <c:v>1.7086361323364601</c:v>
                </c:pt>
                <c:pt idx="109">
                  <c:v>1.70800732133531</c:v>
                </c:pt>
                <c:pt idx="110">
                  <c:v>1.70869416233198</c:v>
                </c:pt>
                <c:pt idx="111">
                  <c:v>1.7095332520945901</c:v>
                </c:pt>
                <c:pt idx="112">
                  <c:v>1.7112250353495999</c:v>
                </c:pt>
                <c:pt idx="113">
                  <c:v>1.71441123096319</c:v>
                </c:pt>
                <c:pt idx="114">
                  <c:v>1.7198205788524601</c:v>
                </c:pt>
                <c:pt idx="115">
                  <c:v>1.72516620927446</c:v>
                </c:pt>
                <c:pt idx="116">
                  <c:v>1.73286173879372</c:v>
                </c:pt>
                <c:pt idx="117">
                  <c:v>1.73847588749714</c:v>
                </c:pt>
                <c:pt idx="118">
                  <c:v>1.74268327516015</c:v>
                </c:pt>
                <c:pt idx="119">
                  <c:v>1.75122460023614</c:v>
                </c:pt>
                <c:pt idx="120">
                  <c:v>1.75765697402292</c:v>
                </c:pt>
                <c:pt idx="121">
                  <c:v>1.76341241903756</c:v>
                </c:pt>
                <c:pt idx="122">
                  <c:v>1.7701939168345699</c:v>
                </c:pt>
                <c:pt idx="123">
                  <c:v>1.7740552258306299</c:v>
                </c:pt>
                <c:pt idx="124">
                  <c:v>1.7772940626470499</c:v>
                </c:pt>
                <c:pt idx="125">
                  <c:v>1.78074545525081</c:v>
                </c:pt>
                <c:pt idx="126">
                  <c:v>1.78302435892511</c:v>
                </c:pt>
                <c:pt idx="127">
                  <c:v>1.78589633768156</c:v>
                </c:pt>
                <c:pt idx="128">
                  <c:v>1.7881032199139599</c:v>
                </c:pt>
                <c:pt idx="129">
                  <c:v>1.7925730035281999</c:v>
                </c:pt>
                <c:pt idx="130">
                  <c:v>1.7956763718479101</c:v>
                </c:pt>
                <c:pt idx="131">
                  <c:v>1.79879605554413</c:v>
                </c:pt>
                <c:pt idx="132">
                  <c:v>1.8005706021547301</c:v>
                </c:pt>
                <c:pt idx="133">
                  <c:v>1.8010443389939601</c:v>
                </c:pt>
                <c:pt idx="134">
                  <c:v>1.80067256645928</c:v>
                </c:pt>
                <c:pt idx="135">
                  <c:v>1.80073266129875</c:v>
                </c:pt>
                <c:pt idx="136">
                  <c:v>1.79921056540603</c:v>
                </c:pt>
                <c:pt idx="137">
                  <c:v>1.79998166905093</c:v>
                </c:pt>
                <c:pt idx="138">
                  <c:v>1.80526836596911</c:v>
                </c:pt>
                <c:pt idx="139">
                  <c:v>1.80684397196697</c:v>
                </c:pt>
                <c:pt idx="140">
                  <c:v>1.80974728863789</c:v>
                </c:pt>
                <c:pt idx="141">
                  <c:v>1.8108802090920599</c:v>
                </c:pt>
                <c:pt idx="142">
                  <c:v>1.8077533063147999</c:v>
                </c:pt>
                <c:pt idx="143">
                  <c:v>1.80694544530581</c:v>
                </c:pt>
                <c:pt idx="144">
                  <c:v>1.8057617773685599</c:v>
                </c:pt>
                <c:pt idx="145">
                  <c:v>1.8039714584495099</c:v>
                </c:pt>
                <c:pt idx="146">
                  <c:v>1.8048526099709801</c:v>
                </c:pt>
                <c:pt idx="147">
                  <c:v>1.8054180575500001</c:v>
                </c:pt>
                <c:pt idx="148">
                  <c:v>1.8058344991853299</c:v>
                </c:pt>
                <c:pt idx="149">
                  <c:v>1.8050856701329701</c:v>
                </c:pt>
                <c:pt idx="150">
                  <c:v>1.8043749585757001</c:v>
                </c:pt>
                <c:pt idx="151">
                  <c:v>1.80413327262293</c:v>
                </c:pt>
                <c:pt idx="152">
                  <c:v>1.8056145206640899</c:v>
                </c:pt>
                <c:pt idx="153">
                  <c:v>1.80711988285514</c:v>
                </c:pt>
                <c:pt idx="154">
                  <c:v>1.8078994690019701</c:v>
                </c:pt>
                <c:pt idx="155">
                  <c:v>1.80996753427433</c:v>
                </c:pt>
                <c:pt idx="156">
                  <c:v>1.81030733373501</c:v>
                </c:pt>
                <c:pt idx="157">
                  <c:v>1.80770009149428</c:v>
                </c:pt>
                <c:pt idx="158">
                  <c:v>1.80115129236849</c:v>
                </c:pt>
                <c:pt idx="159">
                  <c:v>1.7945467656680401</c:v>
                </c:pt>
                <c:pt idx="160">
                  <c:v>1.7880249412267399</c:v>
                </c:pt>
                <c:pt idx="161">
                  <c:v>1.78331430896874</c:v>
                </c:pt>
                <c:pt idx="162">
                  <c:v>1.7829249434522101</c:v>
                </c:pt>
                <c:pt idx="163">
                  <c:v>1.7819312975081101</c:v>
                </c:pt>
                <c:pt idx="164">
                  <c:v>1.77982412561811</c:v>
                </c:pt>
                <c:pt idx="165">
                  <c:v>1.7770918455198901</c:v>
                </c:pt>
                <c:pt idx="166">
                  <c:v>1.7729347027656299</c:v>
                </c:pt>
                <c:pt idx="167">
                  <c:v>1.7684932163170499</c:v>
                </c:pt>
                <c:pt idx="168">
                  <c:v>1.76471733737914</c:v>
                </c:pt>
                <c:pt idx="169">
                  <c:v>1.76303655986993</c:v>
                </c:pt>
                <c:pt idx="170">
                  <c:v>1.7622978073898099</c:v>
                </c:pt>
                <c:pt idx="171">
                  <c:v>1.7605820048212</c:v>
                </c:pt>
                <c:pt idx="172">
                  <c:v>1.75772458504317</c:v>
                </c:pt>
                <c:pt idx="173">
                  <c:v>1.75565536515113</c:v>
                </c:pt>
                <c:pt idx="174">
                  <c:v>1.75133359989099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2-4181-B660-665149FA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IYC* x 10 dma / XLI*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-2.6858095636084298E-2</c:v>
                </c:pt>
                <c:pt idx="11">
                  <c:v>-2.4790716056529501E-2</c:v>
                </c:pt>
                <c:pt idx="12">
                  <c:v>-2.5261194561276401E-2</c:v>
                </c:pt>
                <c:pt idx="13">
                  <c:v>-1.6268131388480499E-2</c:v>
                </c:pt>
                <c:pt idx="14">
                  <c:v>-2.4605129166839698E-3</c:v>
                </c:pt>
                <c:pt idx="15">
                  <c:v>-5.1511766667883298E-3</c:v>
                </c:pt>
                <c:pt idx="16">
                  <c:v>-7.8829951638311399E-3</c:v>
                </c:pt>
                <c:pt idx="17">
                  <c:v>-7.4234236123269801E-3</c:v>
                </c:pt>
                <c:pt idx="18">
                  <c:v>-1.5939445242677E-2</c:v>
                </c:pt>
                <c:pt idx="19">
                  <c:v>-1.4464790790513E-2</c:v>
                </c:pt>
                <c:pt idx="20">
                  <c:v>-1.6390199924487699E-2</c:v>
                </c:pt>
                <c:pt idx="21">
                  <c:v>-3.0923704595520799E-2</c:v>
                </c:pt>
                <c:pt idx="22">
                  <c:v>-3.2569588429129902E-2</c:v>
                </c:pt>
                <c:pt idx="23">
                  <c:v>-4.0417092889381299E-2</c:v>
                </c:pt>
                <c:pt idx="24">
                  <c:v>-5.1146616232004699E-2</c:v>
                </c:pt>
                <c:pt idx="25">
                  <c:v>-5.0895575393957698E-2</c:v>
                </c:pt>
                <c:pt idx="26">
                  <c:v>-3.8923823193317497E-2</c:v>
                </c:pt>
                <c:pt idx="27">
                  <c:v>-4.3657642775866E-2</c:v>
                </c:pt>
                <c:pt idx="28">
                  <c:v>-3.7429284282842902E-2</c:v>
                </c:pt>
                <c:pt idx="29">
                  <c:v>-3.48634289456922E-2</c:v>
                </c:pt>
                <c:pt idx="30">
                  <c:v>-3.3267735470537199E-2</c:v>
                </c:pt>
                <c:pt idx="31">
                  <c:v>-1.7829819054572298E-2</c:v>
                </c:pt>
                <c:pt idx="32">
                  <c:v>-2.79372547908396E-2</c:v>
                </c:pt>
                <c:pt idx="33">
                  <c:v>-1.8123649439396001E-2</c:v>
                </c:pt>
                <c:pt idx="34">
                  <c:v>-1.8922374932876001E-2</c:v>
                </c:pt>
                <c:pt idx="35">
                  <c:v>-1.2796233468024099E-2</c:v>
                </c:pt>
                <c:pt idx="36">
                  <c:v>6.7079128400905597E-4</c:v>
                </c:pt>
                <c:pt idx="37">
                  <c:v>1.3944241424423401E-3</c:v>
                </c:pt>
                <c:pt idx="38">
                  <c:v>5.1973800042321898E-3</c:v>
                </c:pt>
                <c:pt idx="39">
                  <c:v>-1.45377606017309E-2</c:v>
                </c:pt>
                <c:pt idx="40">
                  <c:v>2.4361110139610302E-3</c:v>
                </c:pt>
                <c:pt idx="41">
                  <c:v>9.6761847905526294E-3</c:v>
                </c:pt>
                <c:pt idx="42">
                  <c:v>2.9066814283632399E-2</c:v>
                </c:pt>
                <c:pt idx="43">
                  <c:v>2.50032211348452E-2</c:v>
                </c:pt>
                <c:pt idx="44">
                  <c:v>1.6468011493785101E-2</c:v>
                </c:pt>
                <c:pt idx="45">
                  <c:v>1.48147434877652E-2</c:v>
                </c:pt>
                <c:pt idx="46">
                  <c:v>1.06770876012685E-2</c:v>
                </c:pt>
                <c:pt idx="47">
                  <c:v>1.53627146037543E-2</c:v>
                </c:pt>
                <c:pt idx="48">
                  <c:v>1.4371383118104E-2</c:v>
                </c:pt>
                <c:pt idx="49">
                  <c:v>1.3594185518671399E-2</c:v>
                </c:pt>
                <c:pt idx="50">
                  <c:v>1.33376565055038E-2</c:v>
                </c:pt>
                <c:pt idx="51">
                  <c:v>-2.7746767218981001E-3</c:v>
                </c:pt>
                <c:pt idx="52">
                  <c:v>-4.4738208137165402E-3</c:v>
                </c:pt>
                <c:pt idx="53">
                  <c:v>-4.08137494330968E-3</c:v>
                </c:pt>
                <c:pt idx="54">
                  <c:v>5.6824884277352702E-3</c:v>
                </c:pt>
                <c:pt idx="55">
                  <c:v>-7.2846415060129396E-3</c:v>
                </c:pt>
                <c:pt idx="56">
                  <c:v>-5.6836552774916097E-3</c:v>
                </c:pt>
                <c:pt idx="57">
                  <c:v>4.8904115963819298E-3</c:v>
                </c:pt>
                <c:pt idx="58">
                  <c:v>-3.8084350690553901E-3</c:v>
                </c:pt>
                <c:pt idx="59">
                  <c:v>1.45461084246594E-2</c:v>
                </c:pt>
                <c:pt idx="60">
                  <c:v>8.3227081228501292E-3</c:v>
                </c:pt>
                <c:pt idx="61">
                  <c:v>-4.5083412795498502E-3</c:v>
                </c:pt>
                <c:pt idx="62">
                  <c:v>-4.0568206775577704E-3</c:v>
                </c:pt>
                <c:pt idx="63">
                  <c:v>-1.5012057599283E-3</c:v>
                </c:pt>
                <c:pt idx="64">
                  <c:v>-1.1132413011377899E-2</c:v>
                </c:pt>
                <c:pt idx="65">
                  <c:v>-2.0232411959288099E-2</c:v>
                </c:pt>
                <c:pt idx="66">
                  <c:v>-1.6688103239917599E-2</c:v>
                </c:pt>
                <c:pt idx="67">
                  <c:v>-1.53460111838532E-2</c:v>
                </c:pt>
                <c:pt idx="68">
                  <c:v>-1.2725092529078301E-2</c:v>
                </c:pt>
                <c:pt idx="69">
                  <c:v>1.8464340865868101E-3</c:v>
                </c:pt>
                <c:pt idx="70">
                  <c:v>2.68782559936393E-2</c:v>
                </c:pt>
                <c:pt idx="71">
                  <c:v>2.87795471532768E-2</c:v>
                </c:pt>
                <c:pt idx="72">
                  <c:v>2.3456755218325499E-2</c:v>
                </c:pt>
                <c:pt idx="73">
                  <c:v>1.7518021911525201E-2</c:v>
                </c:pt>
                <c:pt idx="74">
                  <c:v>2.33320487130649E-2</c:v>
                </c:pt>
                <c:pt idx="75">
                  <c:v>1.9979951894124999E-2</c:v>
                </c:pt>
                <c:pt idx="76">
                  <c:v>-9.0934671541857397E-3</c:v>
                </c:pt>
                <c:pt idx="77">
                  <c:v>1.9710001075929698E-3</c:v>
                </c:pt>
                <c:pt idx="78">
                  <c:v>-8.1816808391756597E-3</c:v>
                </c:pt>
                <c:pt idx="79">
                  <c:v>-9.7586261769730398E-3</c:v>
                </c:pt>
                <c:pt idx="80">
                  <c:v>-5.7451584207791903E-3</c:v>
                </c:pt>
                <c:pt idx="81">
                  <c:v>-1.8255741005759399E-2</c:v>
                </c:pt>
                <c:pt idx="82">
                  <c:v>-9.8021442173506605E-3</c:v>
                </c:pt>
                <c:pt idx="83">
                  <c:v>-5.92895635944303E-3</c:v>
                </c:pt>
                <c:pt idx="84">
                  <c:v>-1.09993567181354E-2</c:v>
                </c:pt>
                <c:pt idx="85">
                  <c:v>-1.8470445578210499E-2</c:v>
                </c:pt>
                <c:pt idx="86">
                  <c:v>-1.1730140402410199E-3</c:v>
                </c:pt>
                <c:pt idx="87">
                  <c:v>1.30524485912371E-3</c:v>
                </c:pt>
                <c:pt idx="88">
                  <c:v>-2.2075253828115E-2</c:v>
                </c:pt>
                <c:pt idx="89">
                  <c:v>-1.5807441087887699E-2</c:v>
                </c:pt>
                <c:pt idx="90">
                  <c:v>-9.6330392548470006E-3</c:v>
                </c:pt>
                <c:pt idx="91">
                  <c:v>-9.8453891432318894E-3</c:v>
                </c:pt>
                <c:pt idx="92">
                  <c:v>-3.4086754129071901E-3</c:v>
                </c:pt>
                <c:pt idx="93">
                  <c:v>8.02113572530023E-3</c:v>
                </c:pt>
                <c:pt idx="94">
                  <c:v>1.15489969740959E-2</c:v>
                </c:pt>
                <c:pt idx="95">
                  <c:v>1.5975232741761099E-2</c:v>
                </c:pt>
                <c:pt idx="96">
                  <c:v>1.8178768072639701E-2</c:v>
                </c:pt>
                <c:pt idx="97">
                  <c:v>1.1230181526040399E-2</c:v>
                </c:pt>
                <c:pt idx="98">
                  <c:v>-3.9262240854003403E-3</c:v>
                </c:pt>
                <c:pt idx="99">
                  <c:v>7.43050880637429E-3</c:v>
                </c:pt>
                <c:pt idx="100">
                  <c:v>1.1506674495710099E-2</c:v>
                </c:pt>
                <c:pt idx="101">
                  <c:v>2.9994374895760101E-3</c:v>
                </c:pt>
                <c:pt idx="102">
                  <c:v>-5.68052474933448E-3</c:v>
                </c:pt>
                <c:pt idx="103">
                  <c:v>-2.5549418063661899E-2</c:v>
                </c:pt>
                <c:pt idx="104">
                  <c:v>-2.7798096185948099E-2</c:v>
                </c:pt>
                <c:pt idx="105">
                  <c:v>-3.3179397764055901E-2</c:v>
                </c:pt>
                <c:pt idx="106">
                  <c:v>-2.7348737610697602E-2</c:v>
                </c:pt>
                <c:pt idx="107">
                  <c:v>-1.8121939601713901E-2</c:v>
                </c:pt>
                <c:pt idx="108">
                  <c:v>-1.85218215942154E-2</c:v>
                </c:pt>
                <c:pt idx="109">
                  <c:v>6.9850413901630199E-3</c:v>
                </c:pt>
                <c:pt idx="110">
                  <c:v>-3.12001981640978E-3</c:v>
                </c:pt>
                <c:pt idx="111">
                  <c:v>-4.3555397637681202E-3</c:v>
                </c:pt>
                <c:pt idx="112">
                  <c:v>-4.7988582047300901E-3</c:v>
                </c:pt>
                <c:pt idx="113">
                  <c:v>-9.4720566970117204E-3</c:v>
                </c:pt>
                <c:pt idx="114">
                  <c:v>-3.01833249875679E-2</c:v>
                </c:pt>
                <c:pt idx="115">
                  <c:v>-2.16878778396715E-2</c:v>
                </c:pt>
                <c:pt idx="116">
                  <c:v>-4.3420028617383498E-2</c:v>
                </c:pt>
                <c:pt idx="117">
                  <c:v>-2.1505130959914399E-2</c:v>
                </c:pt>
                <c:pt idx="118">
                  <c:v>-1.6913994847676601E-2</c:v>
                </c:pt>
                <c:pt idx="119">
                  <c:v>-5.03580795415009E-2</c:v>
                </c:pt>
                <c:pt idx="120">
                  <c:v>-1.32911679792785E-2</c:v>
                </c:pt>
                <c:pt idx="121">
                  <c:v>-7.30330630578981E-3</c:v>
                </c:pt>
                <c:pt idx="122">
                  <c:v>-2.1215196056141101E-2</c:v>
                </c:pt>
                <c:pt idx="123">
                  <c:v>-2.0228506998099501E-3</c:v>
                </c:pt>
                <c:pt idx="124">
                  <c:v>3.5407266884991098E-3</c:v>
                </c:pt>
                <c:pt idx="125">
                  <c:v>-6.3321818965650298E-3</c:v>
                </c:pt>
                <c:pt idx="126">
                  <c:v>1.0199094715971401E-2</c:v>
                </c:pt>
                <c:pt idx="127">
                  <c:v>6.4424564749795696E-3</c:v>
                </c:pt>
                <c:pt idx="128">
                  <c:v>1.0345209934445E-2</c:v>
                </c:pt>
                <c:pt idx="129">
                  <c:v>7.4367281863436299E-3</c:v>
                </c:pt>
                <c:pt idx="130">
                  <c:v>8.48557992653679E-3</c:v>
                </c:pt>
                <c:pt idx="131">
                  <c:v>3.3917840244261999E-3</c:v>
                </c:pt>
                <c:pt idx="132">
                  <c:v>1.37141030023217E-2</c:v>
                </c:pt>
                <c:pt idx="133">
                  <c:v>1.82933775758462E-2</c:v>
                </c:pt>
                <c:pt idx="134">
                  <c:v>3.4002127577152201E-3</c:v>
                </c:pt>
                <c:pt idx="135">
                  <c:v>3.1108706976006699E-3</c:v>
                </c:pt>
                <c:pt idx="136">
                  <c:v>-3.4360425205839E-3</c:v>
                </c:pt>
                <c:pt idx="137">
                  <c:v>-1.12448753953211E-2</c:v>
                </c:pt>
                <c:pt idx="138">
                  <c:v>-5.7867668700864697E-2</c:v>
                </c:pt>
                <c:pt idx="139">
                  <c:v>-4.7384653232320301E-2</c:v>
                </c:pt>
                <c:pt idx="140">
                  <c:v>-2.8530111595075701E-2</c:v>
                </c:pt>
                <c:pt idx="141">
                  <c:v>-3.64801344147058E-3</c:v>
                </c:pt>
                <c:pt idx="142">
                  <c:v>2.74370048309515E-2</c:v>
                </c:pt>
                <c:pt idx="143">
                  <c:v>1.5304916977731099E-2</c:v>
                </c:pt>
                <c:pt idx="144">
                  <c:v>2.3546620506622502E-2</c:v>
                </c:pt>
                <c:pt idx="145">
                  <c:v>1.9276923958076599E-2</c:v>
                </c:pt>
                <c:pt idx="146">
                  <c:v>3.9932876349610801E-3</c:v>
                </c:pt>
                <c:pt idx="147">
                  <c:v>6.3886711021230299E-3</c:v>
                </c:pt>
                <c:pt idx="148">
                  <c:v>1.1695374520991699E-2</c:v>
                </c:pt>
                <c:pt idx="149">
                  <c:v>1.6430607283816599E-2</c:v>
                </c:pt>
                <c:pt idx="150">
                  <c:v>1.4510385927201899E-2</c:v>
                </c:pt>
                <c:pt idx="151">
                  <c:v>1.0873197513585301E-4</c:v>
                </c:pt>
                <c:pt idx="152">
                  <c:v>-1.03197278577186E-2</c:v>
                </c:pt>
                <c:pt idx="153">
                  <c:v>-1.00353258977211E-3</c:v>
                </c:pt>
                <c:pt idx="154">
                  <c:v>-5.09102047306924E-3</c:v>
                </c:pt>
                <c:pt idx="155">
                  <c:v>-1.7395796086802098E-2</c:v>
                </c:pt>
                <c:pt idx="156">
                  <c:v>-5.3294990825936801E-4</c:v>
                </c:pt>
                <c:pt idx="157">
                  <c:v>2.4089069134418099E-2</c:v>
                </c:pt>
                <c:pt idx="158">
                  <c:v>1.6253876954961201E-2</c:v>
                </c:pt>
                <c:pt idx="159">
                  <c:v>1.9954380425775499E-2</c:v>
                </c:pt>
                <c:pt idx="160">
                  <c:v>3.2400475485108403E-2</c:v>
                </c:pt>
                <c:pt idx="161">
                  <c:v>3.1250290377088298E-2</c:v>
                </c:pt>
                <c:pt idx="162">
                  <c:v>8.6885367004419095E-3</c:v>
                </c:pt>
                <c:pt idx="163">
                  <c:v>1.18858575003136E-3</c:v>
                </c:pt>
                <c:pt idx="164">
                  <c:v>1.94706783270382E-2</c:v>
                </c:pt>
                <c:pt idx="165">
                  <c:v>1.9026609168965199E-2</c:v>
                </c:pt>
                <c:pt idx="166">
                  <c:v>1.41515931266331E-2</c:v>
                </c:pt>
                <c:pt idx="167">
                  <c:v>1.48147948201673E-2</c:v>
                </c:pt>
                <c:pt idx="168">
                  <c:v>1.0544021391716899E-2</c:v>
                </c:pt>
                <c:pt idx="169">
                  <c:v>-5.5798290833913196E-3</c:v>
                </c:pt>
                <c:pt idx="170">
                  <c:v>-1.27480422917432E-2</c:v>
                </c:pt>
                <c:pt idx="171">
                  <c:v>-9.6846859224300006E-3</c:v>
                </c:pt>
                <c:pt idx="172">
                  <c:v>-3.9362871749066396E-3</c:v>
                </c:pt>
                <c:pt idx="173">
                  <c:v>-6.1871472376819796E-3</c:v>
                </c:pt>
                <c:pt idx="174">
                  <c:v>1.43036645209095E-2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2-4BD8-8F53-7FD6104D0F2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IYC* x 20 dma / XLI*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-2.9542541134500899E-2</c:v>
                </c:pt>
                <c:pt idx="21">
                  <c:v>-4.3710998114885602E-2</c:v>
                </c:pt>
                <c:pt idx="22">
                  <c:v>-4.5747497551788301E-2</c:v>
                </c:pt>
                <c:pt idx="23">
                  <c:v>-5.4157054959357798E-2</c:v>
                </c:pt>
                <c:pt idx="24">
                  <c:v>-6.5939126626934894E-2</c:v>
                </c:pt>
                <c:pt idx="25">
                  <c:v>-6.8235203042536802E-2</c:v>
                </c:pt>
                <c:pt idx="26">
                  <c:v>-5.8773285284601802E-2</c:v>
                </c:pt>
                <c:pt idx="27">
                  <c:v>-6.5574187704964398E-2</c:v>
                </c:pt>
                <c:pt idx="28">
                  <c:v>-6.19244717786228E-2</c:v>
                </c:pt>
                <c:pt idx="29">
                  <c:v>-6.1506933499511897E-2</c:v>
                </c:pt>
                <c:pt idx="30">
                  <c:v>-6.2442313183253703E-2</c:v>
                </c:pt>
                <c:pt idx="31">
                  <c:v>-4.9879114558875302E-2</c:v>
                </c:pt>
                <c:pt idx="32">
                  <c:v>-6.0915302783255999E-2</c:v>
                </c:pt>
                <c:pt idx="33">
                  <c:v>-5.24414308636219E-2</c:v>
                </c:pt>
                <c:pt idx="34">
                  <c:v>-5.2986342737414802E-2</c:v>
                </c:pt>
                <c:pt idx="35">
                  <c:v>-4.4826553371218103E-2</c:v>
                </c:pt>
                <c:pt idx="36">
                  <c:v>-2.8728788577785099E-2</c:v>
                </c:pt>
                <c:pt idx="37">
                  <c:v>-2.5514342580886799E-2</c:v>
                </c:pt>
                <c:pt idx="38">
                  <c:v>-1.8247963410626601E-2</c:v>
                </c:pt>
                <c:pt idx="39">
                  <c:v>-3.47460296916604E-2</c:v>
                </c:pt>
                <c:pt idx="40">
                  <c:v>-1.51526754066954E-2</c:v>
                </c:pt>
                <c:pt idx="41">
                  <c:v>-4.1883964854697803E-3</c:v>
                </c:pt>
                <c:pt idx="42">
                  <c:v>1.7724804167163901E-2</c:v>
                </c:pt>
                <c:pt idx="43">
                  <c:v>1.8413141411335401E-2</c:v>
                </c:pt>
                <c:pt idx="44">
                  <c:v>1.3701679503790601E-2</c:v>
                </c:pt>
                <c:pt idx="45">
                  <c:v>1.5389832718193001E-2</c:v>
                </c:pt>
                <c:pt idx="46">
                  <c:v>1.4045523148976899E-2</c:v>
                </c:pt>
                <c:pt idx="47">
                  <c:v>2.0567413757743801E-2</c:v>
                </c:pt>
                <c:pt idx="48">
                  <c:v>2.1273778806974099E-2</c:v>
                </c:pt>
                <c:pt idx="49">
                  <c:v>2.1891100087856798E-2</c:v>
                </c:pt>
                <c:pt idx="50">
                  <c:v>2.4953611790553502E-2</c:v>
                </c:pt>
                <c:pt idx="51">
                  <c:v>1.0561036930802299E-2</c:v>
                </c:pt>
                <c:pt idx="52">
                  <c:v>9.6022097118331103E-3</c:v>
                </c:pt>
                <c:pt idx="53">
                  <c:v>7.9973547665949194E-3</c:v>
                </c:pt>
                <c:pt idx="54">
                  <c:v>1.6005539306550201E-2</c:v>
                </c:pt>
                <c:pt idx="55">
                  <c:v>2.0237144594137699E-3</c:v>
                </c:pt>
                <c:pt idx="56">
                  <c:v>1.9920968669892999E-3</c:v>
                </c:pt>
                <c:pt idx="57">
                  <c:v>1.16707340768702E-2</c:v>
                </c:pt>
                <c:pt idx="58">
                  <c:v>1.9017436941735899E-3</c:v>
                </c:pt>
                <c:pt idx="59">
                  <c:v>1.87647368921115E-2</c:v>
                </c:pt>
                <c:pt idx="60">
                  <c:v>1.0741846342285701E-2</c:v>
                </c:pt>
                <c:pt idx="61">
                  <c:v>-3.8101690410180401E-3</c:v>
                </c:pt>
                <c:pt idx="62">
                  <c:v>-4.0855313903593897E-3</c:v>
                </c:pt>
                <c:pt idx="63">
                  <c:v>-1.23223495165931E-3</c:v>
                </c:pt>
                <c:pt idx="64">
                  <c:v>-1.04529507269724E-2</c:v>
                </c:pt>
                <c:pt idx="65">
                  <c:v>-2.0815476713711499E-2</c:v>
                </c:pt>
                <c:pt idx="66">
                  <c:v>-1.7805901183068001E-2</c:v>
                </c:pt>
                <c:pt idx="67">
                  <c:v>-1.70775963889893E-2</c:v>
                </c:pt>
                <c:pt idx="68">
                  <c:v>-1.5792998715846999E-2</c:v>
                </c:pt>
                <c:pt idx="69">
                  <c:v>-1.6369370246825401E-3</c:v>
                </c:pt>
                <c:pt idx="70">
                  <c:v>2.19651634360482E-2</c:v>
                </c:pt>
                <c:pt idx="71">
                  <c:v>2.42991996198967E-2</c:v>
                </c:pt>
                <c:pt idx="72">
                  <c:v>2.01854302154384E-2</c:v>
                </c:pt>
                <c:pt idx="73">
                  <c:v>1.52614132033563E-2</c:v>
                </c:pt>
                <c:pt idx="74">
                  <c:v>2.16360851742993E-2</c:v>
                </c:pt>
                <c:pt idx="75">
                  <c:v>2.0601464985737301E-2</c:v>
                </c:pt>
                <c:pt idx="76">
                  <c:v>-5.6729865224120699E-3</c:v>
                </c:pt>
                <c:pt idx="77">
                  <c:v>6.7991691535551103E-3</c:v>
                </c:pt>
                <c:pt idx="78">
                  <c:v>-7.8506112186350896E-4</c:v>
                </c:pt>
                <c:pt idx="79">
                  <c:v>-6.0879397573421396E-4</c:v>
                </c:pt>
                <c:pt idx="80">
                  <c:v>4.7240400383194003E-3</c:v>
                </c:pt>
                <c:pt idx="81">
                  <c:v>-8.8115821610687609E-3</c:v>
                </c:pt>
                <c:pt idx="82">
                  <c:v>-2.9915635623853701E-3</c:v>
                </c:pt>
                <c:pt idx="83">
                  <c:v>-1.1488285981552E-3</c:v>
                </c:pt>
                <c:pt idx="84">
                  <c:v>-7.6374112819444402E-3</c:v>
                </c:pt>
                <c:pt idx="85">
                  <c:v>-1.8033111686910099E-2</c:v>
                </c:pt>
                <c:pt idx="86">
                  <c:v>-4.6831484370530602E-3</c:v>
                </c:pt>
                <c:pt idx="87">
                  <c:v>-2.89136104267023E-3</c:v>
                </c:pt>
                <c:pt idx="88">
                  <c:v>-2.8078561961832501E-2</c:v>
                </c:pt>
                <c:pt idx="89">
                  <c:v>-2.4083790585711199E-2</c:v>
                </c:pt>
                <c:pt idx="90">
                  <c:v>-1.93684502953483E-2</c:v>
                </c:pt>
                <c:pt idx="91">
                  <c:v>-2.0154646846989699E-2</c:v>
                </c:pt>
                <c:pt idx="92">
                  <c:v>-1.29278971078058E-2</c:v>
                </c:pt>
                <c:pt idx="93">
                  <c:v>-1.1527027553806799E-3</c:v>
                </c:pt>
                <c:pt idx="94">
                  <c:v>2.8434101987482299E-3</c:v>
                </c:pt>
                <c:pt idx="95">
                  <c:v>8.8827929149108194E-3</c:v>
                </c:pt>
                <c:pt idx="96">
                  <c:v>1.3950385612206601E-2</c:v>
                </c:pt>
                <c:pt idx="97">
                  <c:v>7.4926269702917997E-3</c:v>
                </c:pt>
                <c:pt idx="98">
                  <c:v>-7.0941775771248897E-3</c:v>
                </c:pt>
                <c:pt idx="99">
                  <c:v>6.1616809247431997E-3</c:v>
                </c:pt>
                <c:pt idx="100">
                  <c:v>1.2413848198820999E-2</c:v>
                </c:pt>
                <c:pt idx="101">
                  <c:v>6.2292978167285797E-3</c:v>
                </c:pt>
                <c:pt idx="102">
                  <c:v>-8.5449822349206196E-4</c:v>
                </c:pt>
                <c:pt idx="103">
                  <c:v>-1.9712050736860699E-2</c:v>
                </c:pt>
                <c:pt idx="104">
                  <c:v>-2.28551020247896E-2</c:v>
                </c:pt>
                <c:pt idx="105">
                  <c:v>-2.99857761519782E-2</c:v>
                </c:pt>
                <c:pt idx="106">
                  <c:v>-2.7325558635319099E-2</c:v>
                </c:pt>
                <c:pt idx="107">
                  <c:v>-2.0911671592834701E-2</c:v>
                </c:pt>
                <c:pt idx="108">
                  <c:v>-2.31703416014559E-2</c:v>
                </c:pt>
                <c:pt idx="109">
                  <c:v>5.4800346495084695E-4</c:v>
                </c:pt>
                <c:pt idx="110">
                  <c:v>-1.12422766331376E-2</c:v>
                </c:pt>
                <c:pt idx="111">
                  <c:v>-1.51270118171532E-2</c:v>
                </c:pt>
                <c:pt idx="112">
                  <c:v>-1.7947577196866401E-2</c:v>
                </c:pt>
                <c:pt idx="113">
                  <c:v>-2.4236968257879601E-2</c:v>
                </c:pt>
                <c:pt idx="114">
                  <c:v>-4.4528134137354701E-2</c:v>
                </c:pt>
                <c:pt idx="115">
                  <c:v>-3.6124508482241698E-2</c:v>
                </c:pt>
                <c:pt idx="116">
                  <c:v>-5.6604866128503802E-2</c:v>
                </c:pt>
                <c:pt idx="117">
                  <c:v>-3.4585741005881701E-2</c:v>
                </c:pt>
                <c:pt idx="118">
                  <c:v>-2.9746355504737199E-2</c:v>
                </c:pt>
                <c:pt idx="119">
                  <c:v>-6.3203658787334999E-2</c:v>
                </c:pt>
                <c:pt idx="120">
                  <c:v>-2.9606799453917899E-2</c:v>
                </c:pt>
                <c:pt idx="121">
                  <c:v>-2.42147365283252E-2</c:v>
                </c:pt>
                <c:pt idx="122">
                  <c:v>-3.8514855632521397E-2</c:v>
                </c:pt>
                <c:pt idx="123">
                  <c:v>-2.0579965562495899E-2</c:v>
                </c:pt>
                <c:pt idx="124">
                  <c:v>-1.5795467904553301E-2</c:v>
                </c:pt>
                <c:pt idx="125">
                  <c:v>-2.4373394114621399E-2</c:v>
                </c:pt>
                <c:pt idx="126">
                  <c:v>-7.9963741124544404E-3</c:v>
                </c:pt>
                <c:pt idx="127">
                  <c:v>-8.78615195346274E-3</c:v>
                </c:pt>
                <c:pt idx="128">
                  <c:v>-3.5458576141231902E-3</c:v>
                </c:pt>
                <c:pt idx="129">
                  <c:v>-5.2901296487941297E-3</c:v>
                </c:pt>
                <c:pt idx="130">
                  <c:v>1.5071016929937399E-3</c:v>
                </c:pt>
                <c:pt idx="131">
                  <c:v>-1.08267270416806E-3</c:v>
                </c:pt>
                <c:pt idx="132">
                  <c:v>1.1148127765845501E-2</c:v>
                </c:pt>
                <c:pt idx="133">
                  <c:v>1.9767173009382601E-2</c:v>
                </c:pt>
                <c:pt idx="134">
                  <c:v>7.5173854838043999E-3</c:v>
                </c:pt>
                <c:pt idx="135">
                  <c:v>7.9000480946079896E-3</c:v>
                </c:pt>
                <c:pt idx="136">
                  <c:v>3.36908837760514E-3</c:v>
                </c:pt>
                <c:pt idx="137">
                  <c:v>-5.2924780699959697E-3</c:v>
                </c:pt>
                <c:pt idx="138">
                  <c:v>-5.2073258950535502E-2</c:v>
                </c:pt>
                <c:pt idx="139">
                  <c:v>-4.4476879957907098E-2</c:v>
                </c:pt>
                <c:pt idx="140">
                  <c:v>-2.9752755368998001E-2</c:v>
                </c:pt>
                <c:pt idx="141">
                  <c:v>-7.2385795763870798E-3</c:v>
                </c:pt>
                <c:pt idx="142">
                  <c:v>2.3054788467701301E-2</c:v>
                </c:pt>
                <c:pt idx="143">
                  <c:v>9.6763326688965E-3</c:v>
                </c:pt>
                <c:pt idx="144">
                  <c:v>1.60759493459076E-2</c:v>
                </c:pt>
                <c:pt idx="145">
                  <c:v>1.1655297800368799E-2</c:v>
                </c:pt>
                <c:pt idx="146">
                  <c:v>-4.5354616480301297E-3</c:v>
                </c:pt>
                <c:pt idx="147">
                  <c:v>-2.61289938227363E-3</c:v>
                </c:pt>
                <c:pt idx="148">
                  <c:v>2.96221054320001E-3</c:v>
                </c:pt>
                <c:pt idx="149">
                  <c:v>1.3219626208034499E-2</c:v>
                </c:pt>
                <c:pt idx="150">
                  <c:v>1.67114719394666E-2</c:v>
                </c:pt>
                <c:pt idx="151">
                  <c:v>6.7156303823629202E-3</c:v>
                </c:pt>
                <c:pt idx="152">
                  <c:v>-2.1383845736330899E-3</c:v>
                </c:pt>
                <c:pt idx="153">
                  <c:v>5.8555975921991896E-3</c:v>
                </c:pt>
                <c:pt idx="154">
                  <c:v>2.3379002350170201E-3</c:v>
                </c:pt>
                <c:pt idx="155">
                  <c:v>-1.09155636682427E-2</c:v>
                </c:pt>
                <c:pt idx="156">
                  <c:v>4.7047823379794303E-3</c:v>
                </c:pt>
                <c:pt idx="157">
                  <c:v>3.0108965444974701E-2</c:v>
                </c:pt>
                <c:pt idx="158">
                  <c:v>2.3780067803140199E-2</c:v>
                </c:pt>
                <c:pt idx="159">
                  <c:v>2.5796032357353602E-2</c:v>
                </c:pt>
                <c:pt idx="160">
                  <c:v>3.6068355178251903E-2</c:v>
                </c:pt>
                <c:pt idx="161">
                  <c:v>3.3752258787548103E-2</c:v>
                </c:pt>
                <c:pt idx="162">
                  <c:v>1.2125657534736401E-2</c:v>
                </c:pt>
                <c:pt idx="163">
                  <c:v>7.00888164185514E-3</c:v>
                </c:pt>
                <c:pt idx="164">
                  <c:v>2.6122287610667601E-2</c:v>
                </c:pt>
                <c:pt idx="165">
                  <c:v>2.82823640912148E-2</c:v>
                </c:pt>
                <c:pt idx="166">
                  <c:v>2.74182375036119E-2</c:v>
                </c:pt>
                <c:pt idx="167">
                  <c:v>2.9878892703098701E-2</c:v>
                </c:pt>
                <c:pt idx="168">
                  <c:v>2.5155737517264801E-2</c:v>
                </c:pt>
                <c:pt idx="169">
                  <c:v>9.2301972691148197E-3</c:v>
                </c:pt>
                <c:pt idx="170">
                  <c:v>1.49906132873082E-3</c:v>
                </c:pt>
                <c:pt idx="171">
                  <c:v>2.45197566326899E-3</c:v>
                </c:pt>
                <c:pt idx="172">
                  <c:v>5.5448048616831697E-3</c:v>
                </c:pt>
                <c:pt idx="173">
                  <c:v>2.2990866042011801E-3</c:v>
                </c:pt>
                <c:pt idx="174">
                  <c:v>2.2575477236276901E-2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2-4BD8-8F53-7FD6104D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XLI*/IYC*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1.71151559356553</c:v>
                </c:pt>
                <c:pt idx="1">
                  <c:v>1.71151559356553</c:v>
                </c:pt>
                <c:pt idx="2">
                  <c:v>1.71151559356553</c:v>
                </c:pt>
                <c:pt idx="3">
                  <c:v>1.71151559356553</c:v>
                </c:pt>
                <c:pt idx="4">
                  <c:v>1.71151559356553</c:v>
                </c:pt>
                <c:pt idx="5">
                  <c:v>1.71151559356553</c:v>
                </c:pt>
                <c:pt idx="6">
                  <c:v>1.71151559356553</c:v>
                </c:pt>
                <c:pt idx="7">
                  <c:v>1.71151559356553</c:v>
                </c:pt>
                <c:pt idx="8">
                  <c:v>1.71151559356553</c:v>
                </c:pt>
                <c:pt idx="9">
                  <c:v>1.71151559356553</c:v>
                </c:pt>
                <c:pt idx="10">
                  <c:v>1.71151559356553</c:v>
                </c:pt>
                <c:pt idx="11">
                  <c:v>1.71151559356553</c:v>
                </c:pt>
                <c:pt idx="12">
                  <c:v>1.71151559356553</c:v>
                </c:pt>
                <c:pt idx="13">
                  <c:v>1.71151559356553</c:v>
                </c:pt>
                <c:pt idx="14">
                  <c:v>1.71151559356553</c:v>
                </c:pt>
                <c:pt idx="15">
                  <c:v>1.71151559356553</c:v>
                </c:pt>
                <c:pt idx="16">
                  <c:v>1.71151559356553</c:v>
                </c:pt>
                <c:pt idx="17">
                  <c:v>1.71151559356553</c:v>
                </c:pt>
                <c:pt idx="18">
                  <c:v>1.71151559356553</c:v>
                </c:pt>
                <c:pt idx="19">
                  <c:v>1.71151559356553</c:v>
                </c:pt>
                <c:pt idx="20">
                  <c:v>1.71151559356553</c:v>
                </c:pt>
                <c:pt idx="21">
                  <c:v>1.71151559356553</c:v>
                </c:pt>
                <c:pt idx="22">
                  <c:v>1.71151559356553</c:v>
                </c:pt>
                <c:pt idx="23">
                  <c:v>1.71151559356553</c:v>
                </c:pt>
                <c:pt idx="24">
                  <c:v>1.71151559356553</c:v>
                </c:pt>
                <c:pt idx="25">
                  <c:v>1.71151559356553</c:v>
                </c:pt>
                <c:pt idx="26">
                  <c:v>1.71151559356553</c:v>
                </c:pt>
                <c:pt idx="27">
                  <c:v>1.71151559356553</c:v>
                </c:pt>
                <c:pt idx="28">
                  <c:v>1.71151559356553</c:v>
                </c:pt>
                <c:pt idx="29">
                  <c:v>1.71151559356553</c:v>
                </c:pt>
                <c:pt idx="30">
                  <c:v>1.71151559356553</c:v>
                </c:pt>
                <c:pt idx="31">
                  <c:v>1.71151559356553</c:v>
                </c:pt>
                <c:pt idx="32">
                  <c:v>1.71151559356553</c:v>
                </c:pt>
                <c:pt idx="33">
                  <c:v>1.71151559356553</c:v>
                </c:pt>
                <c:pt idx="34">
                  <c:v>1.71151559356553</c:v>
                </c:pt>
                <c:pt idx="35">
                  <c:v>1.71151559356553</c:v>
                </c:pt>
                <c:pt idx="36">
                  <c:v>1.71151559356553</c:v>
                </c:pt>
                <c:pt idx="37">
                  <c:v>1.71151559356553</c:v>
                </c:pt>
                <c:pt idx="38">
                  <c:v>1.71151559356553</c:v>
                </c:pt>
                <c:pt idx="39">
                  <c:v>1.71151559356553</c:v>
                </c:pt>
                <c:pt idx="40">
                  <c:v>1.71151559356553</c:v>
                </c:pt>
                <c:pt idx="41">
                  <c:v>1.71151559356553</c:v>
                </c:pt>
                <c:pt idx="42">
                  <c:v>1.71151559356553</c:v>
                </c:pt>
                <c:pt idx="43">
                  <c:v>1.71151559356553</c:v>
                </c:pt>
                <c:pt idx="44">
                  <c:v>1.71151559356553</c:v>
                </c:pt>
                <c:pt idx="45">
                  <c:v>1.71151559356553</c:v>
                </c:pt>
                <c:pt idx="46">
                  <c:v>1.71151559356553</c:v>
                </c:pt>
                <c:pt idx="47">
                  <c:v>1.71151559356553</c:v>
                </c:pt>
                <c:pt idx="48">
                  <c:v>1.71151559356553</c:v>
                </c:pt>
                <c:pt idx="49">
                  <c:v>1.71151559356553</c:v>
                </c:pt>
                <c:pt idx="50">
                  <c:v>1.71151559356553</c:v>
                </c:pt>
                <c:pt idx="51">
                  <c:v>1.71151559356553</c:v>
                </c:pt>
                <c:pt idx="52">
                  <c:v>1.71151559356553</c:v>
                </c:pt>
                <c:pt idx="53">
                  <c:v>1.71151559356553</c:v>
                </c:pt>
                <c:pt idx="54">
                  <c:v>1.71151559356553</c:v>
                </c:pt>
                <c:pt idx="55">
                  <c:v>1.71151559356553</c:v>
                </c:pt>
                <c:pt idx="56">
                  <c:v>1.71151559356553</c:v>
                </c:pt>
                <c:pt idx="57">
                  <c:v>1.71151559356553</c:v>
                </c:pt>
                <c:pt idx="58">
                  <c:v>1.71151559356553</c:v>
                </c:pt>
                <c:pt idx="59">
                  <c:v>1.71151559356553</c:v>
                </c:pt>
                <c:pt idx="60">
                  <c:v>1.71151559356553</c:v>
                </c:pt>
                <c:pt idx="61">
                  <c:v>1.71151559356553</c:v>
                </c:pt>
                <c:pt idx="62">
                  <c:v>1.71151559356553</c:v>
                </c:pt>
                <c:pt idx="63">
                  <c:v>1.71151559356553</c:v>
                </c:pt>
                <c:pt idx="64">
                  <c:v>1.71151559356553</c:v>
                </c:pt>
                <c:pt idx="65">
                  <c:v>1.71151559356553</c:v>
                </c:pt>
                <c:pt idx="66">
                  <c:v>1.71151559356553</c:v>
                </c:pt>
                <c:pt idx="67">
                  <c:v>1.71151559356553</c:v>
                </c:pt>
                <c:pt idx="68">
                  <c:v>1.71151559356553</c:v>
                </c:pt>
                <c:pt idx="69">
                  <c:v>1.71151559356553</c:v>
                </c:pt>
                <c:pt idx="70">
                  <c:v>1.71151559356553</c:v>
                </c:pt>
                <c:pt idx="71">
                  <c:v>1.71151559356553</c:v>
                </c:pt>
                <c:pt idx="72">
                  <c:v>1.71151559356553</c:v>
                </c:pt>
                <c:pt idx="73">
                  <c:v>1.71151559356553</c:v>
                </c:pt>
                <c:pt idx="74">
                  <c:v>1.71151559356553</c:v>
                </c:pt>
                <c:pt idx="75">
                  <c:v>1.71151559356553</c:v>
                </c:pt>
                <c:pt idx="76">
                  <c:v>1.71151559356553</c:v>
                </c:pt>
                <c:pt idx="77">
                  <c:v>1.71151559356553</c:v>
                </c:pt>
                <c:pt idx="78">
                  <c:v>1.71151559356553</c:v>
                </c:pt>
                <c:pt idx="79">
                  <c:v>1.71151559356553</c:v>
                </c:pt>
                <c:pt idx="80">
                  <c:v>1.71151559356553</c:v>
                </c:pt>
                <c:pt idx="81">
                  <c:v>1.71151559356553</c:v>
                </c:pt>
                <c:pt idx="82">
                  <c:v>1.71151559356553</c:v>
                </c:pt>
                <c:pt idx="83">
                  <c:v>1.71151559356553</c:v>
                </c:pt>
                <c:pt idx="84">
                  <c:v>1.71151559356553</c:v>
                </c:pt>
                <c:pt idx="85">
                  <c:v>1.71151559356553</c:v>
                </c:pt>
                <c:pt idx="86">
                  <c:v>1.71151559356553</c:v>
                </c:pt>
                <c:pt idx="87">
                  <c:v>1.71151559356553</c:v>
                </c:pt>
                <c:pt idx="88">
                  <c:v>1.71151559356553</c:v>
                </c:pt>
                <c:pt idx="89">
                  <c:v>1.71151559356553</c:v>
                </c:pt>
                <c:pt idx="90">
                  <c:v>1.71151559356553</c:v>
                </c:pt>
                <c:pt idx="91">
                  <c:v>1.71151559356553</c:v>
                </c:pt>
                <c:pt idx="92">
                  <c:v>1.71151559356553</c:v>
                </c:pt>
                <c:pt idx="93">
                  <c:v>1.71151559356553</c:v>
                </c:pt>
                <c:pt idx="94">
                  <c:v>1.71151559356553</c:v>
                </c:pt>
                <c:pt idx="95">
                  <c:v>1.71151559356553</c:v>
                </c:pt>
                <c:pt idx="96">
                  <c:v>1.71151559356553</c:v>
                </c:pt>
                <c:pt idx="97">
                  <c:v>1.71151559356553</c:v>
                </c:pt>
                <c:pt idx="98">
                  <c:v>1.71151559356553</c:v>
                </c:pt>
                <c:pt idx="99">
                  <c:v>1.71151559356553</c:v>
                </c:pt>
                <c:pt idx="100">
                  <c:v>1.71151559356553</c:v>
                </c:pt>
                <c:pt idx="101">
                  <c:v>1.71151559356553</c:v>
                </c:pt>
                <c:pt idx="102">
                  <c:v>1.71151559356553</c:v>
                </c:pt>
                <c:pt idx="103">
                  <c:v>1.71151559356553</c:v>
                </c:pt>
                <c:pt idx="104">
                  <c:v>1.71151559356553</c:v>
                </c:pt>
                <c:pt idx="105">
                  <c:v>1.71151559356553</c:v>
                </c:pt>
                <c:pt idx="106">
                  <c:v>1.71151559356553</c:v>
                </c:pt>
                <c:pt idx="107">
                  <c:v>1.71151559356553</c:v>
                </c:pt>
                <c:pt idx="108">
                  <c:v>1.71151559356553</c:v>
                </c:pt>
                <c:pt idx="109">
                  <c:v>1.71151559356553</c:v>
                </c:pt>
                <c:pt idx="110">
                  <c:v>1.71151559356553</c:v>
                </c:pt>
                <c:pt idx="111">
                  <c:v>1.71151559356553</c:v>
                </c:pt>
                <c:pt idx="112">
                  <c:v>1.71151559356553</c:v>
                </c:pt>
                <c:pt idx="113">
                  <c:v>1.71151559356553</c:v>
                </c:pt>
                <c:pt idx="114">
                  <c:v>1.71151559356553</c:v>
                </c:pt>
                <c:pt idx="115">
                  <c:v>1.71151559356553</c:v>
                </c:pt>
                <c:pt idx="116">
                  <c:v>1.71151559356553</c:v>
                </c:pt>
                <c:pt idx="117">
                  <c:v>1.71151559356553</c:v>
                </c:pt>
                <c:pt idx="118">
                  <c:v>1.71151559356553</c:v>
                </c:pt>
                <c:pt idx="119">
                  <c:v>1.71151559356553</c:v>
                </c:pt>
                <c:pt idx="120">
                  <c:v>1.71151559356553</c:v>
                </c:pt>
                <c:pt idx="121">
                  <c:v>1.71151559356553</c:v>
                </c:pt>
                <c:pt idx="122">
                  <c:v>1.71151559356553</c:v>
                </c:pt>
                <c:pt idx="123">
                  <c:v>1.71151559356553</c:v>
                </c:pt>
                <c:pt idx="124">
                  <c:v>1.71151559356553</c:v>
                </c:pt>
                <c:pt idx="125">
                  <c:v>1.71151559356553</c:v>
                </c:pt>
                <c:pt idx="126">
                  <c:v>1.71151559356553</c:v>
                </c:pt>
                <c:pt idx="127">
                  <c:v>1.71151559356553</c:v>
                </c:pt>
                <c:pt idx="128">
                  <c:v>1.71151559356553</c:v>
                </c:pt>
                <c:pt idx="129">
                  <c:v>1.71151559356553</c:v>
                </c:pt>
                <c:pt idx="130">
                  <c:v>1.71151559356553</c:v>
                </c:pt>
                <c:pt idx="131">
                  <c:v>1.71151559356553</c:v>
                </c:pt>
                <c:pt idx="132">
                  <c:v>1.71151559356553</c:v>
                </c:pt>
                <c:pt idx="133">
                  <c:v>1.71151559356553</c:v>
                </c:pt>
                <c:pt idx="134">
                  <c:v>1.71151559356553</c:v>
                </c:pt>
                <c:pt idx="135">
                  <c:v>1.71151559356553</c:v>
                </c:pt>
                <c:pt idx="136">
                  <c:v>1.71151559356553</c:v>
                </c:pt>
                <c:pt idx="137">
                  <c:v>1.71151559356553</c:v>
                </c:pt>
                <c:pt idx="138">
                  <c:v>1.71151559356553</c:v>
                </c:pt>
                <c:pt idx="139">
                  <c:v>1.71151559356553</c:v>
                </c:pt>
                <c:pt idx="140">
                  <c:v>1.71151559356553</c:v>
                </c:pt>
                <c:pt idx="141">
                  <c:v>1.71151559356553</c:v>
                </c:pt>
                <c:pt idx="142">
                  <c:v>1.71151559356553</c:v>
                </c:pt>
                <c:pt idx="143">
                  <c:v>1.71151559356553</c:v>
                </c:pt>
                <c:pt idx="144">
                  <c:v>1.71151559356553</c:v>
                </c:pt>
                <c:pt idx="145">
                  <c:v>1.71151559356553</c:v>
                </c:pt>
                <c:pt idx="146">
                  <c:v>1.71151559356553</c:v>
                </c:pt>
                <c:pt idx="147">
                  <c:v>1.71151559356553</c:v>
                </c:pt>
                <c:pt idx="148">
                  <c:v>1.71151559356553</c:v>
                </c:pt>
                <c:pt idx="149">
                  <c:v>1.71151559356553</c:v>
                </c:pt>
                <c:pt idx="150">
                  <c:v>1.71151559356553</c:v>
                </c:pt>
                <c:pt idx="151">
                  <c:v>1.71151559356553</c:v>
                </c:pt>
                <c:pt idx="152">
                  <c:v>1.71151559356553</c:v>
                </c:pt>
                <c:pt idx="153">
                  <c:v>1.71151559356553</c:v>
                </c:pt>
                <c:pt idx="154">
                  <c:v>1.71151559356553</c:v>
                </c:pt>
                <c:pt idx="155">
                  <c:v>1.71151559356553</c:v>
                </c:pt>
                <c:pt idx="156">
                  <c:v>1.71151559356553</c:v>
                </c:pt>
                <c:pt idx="157">
                  <c:v>1.71151559356553</c:v>
                </c:pt>
                <c:pt idx="158">
                  <c:v>1.71151559356553</c:v>
                </c:pt>
                <c:pt idx="159">
                  <c:v>1.71151559356553</c:v>
                </c:pt>
                <c:pt idx="160">
                  <c:v>1.71151559356553</c:v>
                </c:pt>
                <c:pt idx="161">
                  <c:v>1.71151559356553</c:v>
                </c:pt>
                <c:pt idx="162">
                  <c:v>1.71151559356553</c:v>
                </c:pt>
                <c:pt idx="163">
                  <c:v>1.71151559356553</c:v>
                </c:pt>
                <c:pt idx="164">
                  <c:v>1.71151559356553</c:v>
                </c:pt>
                <c:pt idx="165">
                  <c:v>1.71151559356553</c:v>
                </c:pt>
                <c:pt idx="166">
                  <c:v>1.71151559356553</c:v>
                </c:pt>
                <c:pt idx="167">
                  <c:v>1.71151559356553</c:v>
                </c:pt>
                <c:pt idx="168">
                  <c:v>1.71151559356553</c:v>
                </c:pt>
                <c:pt idx="169">
                  <c:v>1.71151559356553</c:v>
                </c:pt>
                <c:pt idx="170">
                  <c:v>1.71151559356553</c:v>
                </c:pt>
                <c:pt idx="171">
                  <c:v>1.71151559356553</c:v>
                </c:pt>
                <c:pt idx="172">
                  <c:v>1.71151559356553</c:v>
                </c:pt>
                <c:pt idx="173">
                  <c:v>1.71151559356553</c:v>
                </c:pt>
                <c:pt idx="174">
                  <c:v>1.71151559356553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8-4651-A3B6-88C84076D7AB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XLI*/IYC*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1.5328023186455899</c:v>
                </c:pt>
                <c:pt idx="10">
                  <c:v>1.5364134894711401</c:v>
                </c:pt>
                <c:pt idx="11">
                  <c:v>1.54016504950403</c:v>
                </c:pt>
                <c:pt idx="12">
                  <c:v>1.5436993358045199</c:v>
                </c:pt>
                <c:pt idx="13">
                  <c:v>1.54850582536599</c:v>
                </c:pt>
                <c:pt idx="14">
                  <c:v>1.5527480698835401</c:v>
                </c:pt>
                <c:pt idx="15">
                  <c:v>1.5574317443268599</c:v>
                </c:pt>
                <c:pt idx="16">
                  <c:v>1.5619406646267999</c:v>
                </c:pt>
                <c:pt idx="17">
                  <c:v>1.5662755881467301</c:v>
                </c:pt>
                <c:pt idx="18">
                  <c:v>1.5704918557498899</c:v>
                </c:pt>
                <c:pt idx="19">
                  <c:v>1.57393305209935</c:v>
                </c:pt>
                <c:pt idx="20">
                  <c:v>1.5764744917989399</c:v>
                </c:pt>
                <c:pt idx="21">
                  <c:v>1.58157531135322</c:v>
                </c:pt>
                <c:pt idx="22">
                  <c:v>1.5870120679904101</c:v>
                </c:pt>
                <c:pt idx="23">
                  <c:v>1.5953571204838699</c:v>
                </c:pt>
                <c:pt idx="24">
                  <c:v>1.6080327552359901</c:v>
                </c:pt>
                <c:pt idx="25">
                  <c:v>1.6211553353197801</c:v>
                </c:pt>
                <c:pt idx="26">
                  <c:v>1.6327296929994799</c:v>
                </c:pt>
                <c:pt idx="27">
                  <c:v>1.6459307872928599</c:v>
                </c:pt>
                <c:pt idx="28">
                  <c:v>1.6576570944028499</c:v>
                </c:pt>
                <c:pt idx="29">
                  <c:v>1.6699665081511501</c:v>
                </c:pt>
                <c:pt idx="30">
                  <c:v>1.68261793395365</c:v>
                </c:pt>
                <c:pt idx="31">
                  <c:v>1.69130805721289</c:v>
                </c:pt>
                <c:pt idx="32">
                  <c:v>1.7018370747574101</c:v>
                </c:pt>
                <c:pt idx="33">
                  <c:v>1.7098864167224801</c:v>
                </c:pt>
                <c:pt idx="34">
                  <c:v>1.7162336770847899</c:v>
                </c:pt>
                <c:pt idx="35">
                  <c:v>1.72086799005854</c:v>
                </c:pt>
                <c:pt idx="36">
                  <c:v>1.7242892868372399</c:v>
                </c:pt>
                <c:pt idx="37">
                  <c:v>1.7259189741624701</c:v>
                </c:pt>
                <c:pt idx="38">
                  <c:v>1.7267457476391099</c:v>
                </c:pt>
                <c:pt idx="39">
                  <c:v>1.7303021677059101</c:v>
                </c:pt>
                <c:pt idx="40">
                  <c:v>1.7302656809879899</c:v>
                </c:pt>
                <c:pt idx="41">
                  <c:v>1.7303373102809601</c:v>
                </c:pt>
                <c:pt idx="42">
                  <c:v>1.72449141765606</c:v>
                </c:pt>
                <c:pt idx="43">
                  <c:v>1.7193860563877299</c:v>
                </c:pt>
                <c:pt idx="44">
                  <c:v>1.7142614034799399</c:v>
                </c:pt>
                <c:pt idx="45">
                  <c:v>1.70933301736205</c:v>
                </c:pt>
                <c:pt idx="46">
                  <c:v>1.70647955450438</c:v>
                </c:pt>
                <c:pt idx="47">
                  <c:v>1.70233727177592</c:v>
                </c:pt>
                <c:pt idx="48">
                  <c:v>1.6984448018812</c:v>
                </c:pt>
                <c:pt idx="49">
                  <c:v>1.6907927953901001</c:v>
                </c:pt>
                <c:pt idx="50">
                  <c:v>1.68502271698117</c:v>
                </c:pt>
                <c:pt idx="51">
                  <c:v>1.6826327721430001</c:v>
                </c:pt>
                <c:pt idx="52">
                  <c:v>1.68357393058692</c:v>
                </c:pt>
                <c:pt idx="53">
                  <c:v>1.68442904189902</c:v>
                </c:pt>
                <c:pt idx="54">
                  <c:v>1.6827871799299501</c:v>
                </c:pt>
                <c:pt idx="55">
                  <c:v>1.6833909983459701</c:v>
                </c:pt>
                <c:pt idx="56">
                  <c:v>1.68357166322941</c:v>
                </c:pt>
                <c:pt idx="57">
                  <c:v>1.68306112920821</c:v>
                </c:pt>
                <c:pt idx="58">
                  <c:v>1.68420471825027</c:v>
                </c:pt>
                <c:pt idx="59">
                  <c:v>1.68264185380173</c:v>
                </c:pt>
                <c:pt idx="60">
                  <c:v>1.68267230639918</c:v>
                </c:pt>
                <c:pt idx="61">
                  <c:v>1.68272939547672</c:v>
                </c:pt>
                <c:pt idx="62">
                  <c:v>1.6826686313591901</c:v>
                </c:pt>
                <c:pt idx="63">
                  <c:v>1.68214236054814</c:v>
                </c:pt>
                <c:pt idx="64">
                  <c:v>1.68475124542798</c:v>
                </c:pt>
                <c:pt idx="65">
                  <c:v>1.68716070059252</c:v>
                </c:pt>
                <c:pt idx="66">
                  <c:v>1.6894173407695601</c:v>
                </c:pt>
                <c:pt idx="67">
                  <c:v>1.69343581119957</c:v>
                </c:pt>
                <c:pt idx="68">
                  <c:v>1.6959997561872899</c:v>
                </c:pt>
                <c:pt idx="69">
                  <c:v>1.69929852427983</c:v>
                </c:pt>
                <c:pt idx="70">
                  <c:v>1.6978522113156</c:v>
                </c:pt>
                <c:pt idx="71">
                  <c:v>1.69379318497592</c:v>
                </c:pt>
                <c:pt idx="72">
                  <c:v>1.69028867066915</c:v>
                </c:pt>
                <c:pt idx="73">
                  <c:v>1.6878626154135801</c:v>
                </c:pt>
                <c:pt idx="74">
                  <c:v>1.6826590061162301</c:v>
                </c:pt>
                <c:pt idx="75">
                  <c:v>1.67567782621401</c:v>
                </c:pt>
                <c:pt idx="76">
                  <c:v>1.6732210846055999</c:v>
                </c:pt>
                <c:pt idx="77">
                  <c:v>1.66865941510671</c:v>
                </c:pt>
                <c:pt idx="78">
                  <c:v>1.6653839378181601</c:v>
                </c:pt>
                <c:pt idx="79">
                  <c:v>1.6642683638026601</c:v>
                </c:pt>
                <c:pt idx="80">
                  <c:v>1.6662308304061499</c:v>
                </c:pt>
                <c:pt idx="81">
                  <c:v>1.6709551534379401</c:v>
                </c:pt>
                <c:pt idx="82">
                  <c:v>1.6742441518959601</c:v>
                </c:pt>
                <c:pt idx="83">
                  <c:v>1.6765705668923101</c:v>
                </c:pt>
                <c:pt idx="84">
                  <c:v>1.6811882033657499</c:v>
                </c:pt>
                <c:pt idx="85">
                  <c:v>1.6875037889008</c:v>
                </c:pt>
                <c:pt idx="86">
                  <c:v>1.68735372651417</c:v>
                </c:pt>
                <c:pt idx="87">
                  <c:v>1.68887636049628</c:v>
                </c:pt>
                <c:pt idx="88">
                  <c:v>1.6932969037133601</c:v>
                </c:pt>
                <c:pt idx="89">
                  <c:v>1.69715299538889</c:v>
                </c:pt>
                <c:pt idx="90">
                  <c:v>1.7011253320189801</c:v>
                </c:pt>
                <c:pt idx="91">
                  <c:v>1.7032281150455999</c:v>
                </c:pt>
                <c:pt idx="92">
                  <c:v>1.70539102893678</c:v>
                </c:pt>
                <c:pt idx="93">
                  <c:v>1.7061476702654099</c:v>
                </c:pt>
                <c:pt idx="94">
                  <c:v>1.7052919866137799</c:v>
                </c:pt>
                <c:pt idx="95">
                  <c:v>1.7018656817118201</c:v>
                </c:pt>
                <c:pt idx="96">
                  <c:v>1.70003797708144</c:v>
                </c:pt>
                <c:pt idx="97">
                  <c:v>1.6996280061008899</c:v>
                </c:pt>
                <c:pt idx="98">
                  <c:v>1.6976021016150999</c:v>
                </c:pt>
                <c:pt idx="99">
                  <c:v>1.6940779548584901</c:v>
                </c:pt>
                <c:pt idx="100">
                  <c:v>1.6901895287586699</c:v>
                </c:pt>
                <c:pt idx="101">
                  <c:v>1.6869066503304999</c:v>
                </c:pt>
                <c:pt idx="102">
                  <c:v>1.6856539164019699</c:v>
                </c:pt>
                <c:pt idx="103">
                  <c:v>1.68940488762621</c:v>
                </c:pt>
                <c:pt idx="104">
                  <c:v>1.69445181027268</c:v>
                </c:pt>
                <c:pt idx="105">
                  <c:v>1.7017867894493199</c:v>
                </c:pt>
                <c:pt idx="106">
                  <c:v>1.7095631305033001</c:v>
                </c:pt>
                <c:pt idx="107">
                  <c:v>1.7155404409369299</c:v>
                </c:pt>
                <c:pt idx="108">
                  <c:v>1.7196701630578299</c:v>
                </c:pt>
                <c:pt idx="109">
                  <c:v>1.7219366878121201</c:v>
                </c:pt>
                <c:pt idx="110">
                  <c:v>1.7271987959052899</c:v>
                </c:pt>
                <c:pt idx="111">
                  <c:v>1.73215985385868</c:v>
                </c:pt>
                <c:pt idx="112">
                  <c:v>1.7365574325131301</c:v>
                </c:pt>
                <c:pt idx="113">
                  <c:v>1.738938239336</c:v>
                </c:pt>
                <c:pt idx="114">
                  <c:v>1.7444581767815299</c:v>
                </c:pt>
                <c:pt idx="115">
                  <c:v>1.7475670997715</c:v>
                </c:pt>
                <c:pt idx="116">
                  <c:v>1.7551818177560401</c:v>
                </c:pt>
                <c:pt idx="117">
                  <c:v>1.7604328047292499</c:v>
                </c:pt>
                <c:pt idx="118">
                  <c:v>1.7647178579343801</c:v>
                </c:pt>
                <c:pt idx="119">
                  <c:v>1.77953398333206</c:v>
                </c:pt>
                <c:pt idx="120">
                  <c:v>1.7871366228124601</c:v>
                </c:pt>
                <c:pt idx="121">
                  <c:v>1.79368645488834</c:v>
                </c:pt>
                <c:pt idx="122">
                  <c:v>1.8028518718279201</c:v>
                </c:pt>
                <c:pt idx="123">
                  <c:v>1.8081936829971601</c:v>
                </c:pt>
                <c:pt idx="124">
                  <c:v>1.80915141918447</c:v>
                </c:pt>
                <c:pt idx="125">
                  <c:v>1.8129452814020199</c:v>
                </c:pt>
                <c:pt idx="126">
                  <c:v>1.8098883707661</c:v>
                </c:pt>
                <c:pt idx="127">
                  <c:v>1.8103813413057801</c:v>
                </c:pt>
                <c:pt idx="128">
                  <c:v>1.8105100525654501</c:v>
                </c:pt>
                <c:pt idx="129">
                  <c:v>1.8046334943962401</c:v>
                </c:pt>
                <c:pt idx="130">
                  <c:v>1.8032375915552701</c:v>
                </c:pt>
                <c:pt idx="131">
                  <c:v>1.8029271268718201</c:v>
                </c:pt>
                <c:pt idx="132">
                  <c:v>1.7975495249375499</c:v>
                </c:pt>
                <c:pt idx="133">
                  <c:v>1.79339580062684</c:v>
                </c:pt>
                <c:pt idx="134">
                  <c:v>1.7919463550566901</c:v>
                </c:pt>
                <c:pt idx="135">
                  <c:v>1.78852004119548</c:v>
                </c:pt>
                <c:pt idx="136">
                  <c:v>1.7885327600459699</c:v>
                </c:pt>
                <c:pt idx="137">
                  <c:v>1.78958199679608</c:v>
                </c:pt>
                <c:pt idx="138">
                  <c:v>1.8000266793727699</c:v>
                </c:pt>
                <c:pt idx="139">
                  <c:v>1.8090544495376999</c:v>
                </c:pt>
                <c:pt idx="140">
                  <c:v>1.8162569857205</c:v>
                </c:pt>
                <c:pt idx="141">
                  <c:v>1.81883329131229</c:v>
                </c:pt>
                <c:pt idx="142">
                  <c:v>1.8179570876920601</c:v>
                </c:pt>
                <c:pt idx="143">
                  <c:v>1.82049508998478</c:v>
                </c:pt>
                <c:pt idx="144">
                  <c:v>1.81957719968042</c:v>
                </c:pt>
                <c:pt idx="145">
                  <c:v>1.81942287570354</c:v>
                </c:pt>
                <c:pt idx="146">
                  <c:v>1.82117245989599</c:v>
                </c:pt>
                <c:pt idx="147">
                  <c:v>1.8212541183039199</c:v>
                </c:pt>
                <c:pt idx="148">
                  <c:v>1.8116423189978801</c:v>
                </c:pt>
                <c:pt idx="149">
                  <c:v>1.80111689072824</c:v>
                </c:pt>
                <c:pt idx="150">
                  <c:v>1.7924929314308899</c:v>
                </c:pt>
                <c:pt idx="151">
                  <c:v>1.78943325393358</c:v>
                </c:pt>
                <c:pt idx="152">
                  <c:v>1.7932719536361199</c:v>
                </c:pt>
                <c:pt idx="153">
                  <c:v>1.7937446757255</c:v>
                </c:pt>
                <c:pt idx="154">
                  <c:v>1.7962217383235299</c:v>
                </c:pt>
                <c:pt idx="155">
                  <c:v>1.80051219284512</c:v>
                </c:pt>
                <c:pt idx="156">
                  <c:v>1.79944220757402</c:v>
                </c:pt>
                <c:pt idx="157">
                  <c:v>1.7941460646846401</c:v>
                </c:pt>
                <c:pt idx="158">
                  <c:v>1.7906602657391</c:v>
                </c:pt>
                <c:pt idx="159">
                  <c:v>1.7879766406078399</c:v>
                </c:pt>
                <c:pt idx="160">
                  <c:v>1.7835569510225999</c:v>
                </c:pt>
                <c:pt idx="161">
                  <c:v>1.7771953640039</c:v>
                </c:pt>
                <c:pt idx="162">
                  <c:v>1.7725779332682901</c:v>
                </c:pt>
                <c:pt idx="163">
                  <c:v>1.7701179192907299</c:v>
                </c:pt>
                <c:pt idx="164">
                  <c:v>1.76342651291269</c:v>
                </c:pt>
                <c:pt idx="165">
                  <c:v>1.7536714981946699</c:v>
                </c:pt>
                <c:pt idx="166">
                  <c:v>1.7464271979572299</c:v>
                </c:pt>
                <c:pt idx="167">
                  <c:v>1.74284036794945</c:v>
                </c:pt>
                <c:pt idx="168">
                  <c:v>1.7387744090191799</c:v>
                </c:pt>
                <c:pt idx="169">
                  <c:v>1.7380964791320299</c:v>
                </c:pt>
                <c:pt idx="170">
                  <c:v>1.7410386637570301</c:v>
                </c:pt>
                <c:pt idx="171">
                  <c:v>1.7439686456385</c:v>
                </c:pt>
                <c:pt idx="172">
                  <c:v>1.7428712368180399</c:v>
                </c:pt>
                <c:pt idx="173">
                  <c:v>1.74119281101153</c:v>
                </c:pt>
                <c:pt idx="174">
                  <c:v>1.73924068686929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8-4651-A3B6-88C84076D7AB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XLI*/IYC*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1.5533676853724701</c:v>
                </c:pt>
                <c:pt idx="20">
                  <c:v>1.55644399063504</c:v>
                </c:pt>
                <c:pt idx="21">
                  <c:v>1.56087018042862</c:v>
                </c:pt>
                <c:pt idx="22">
                  <c:v>1.56535570189747</c:v>
                </c:pt>
                <c:pt idx="23">
                  <c:v>1.5719314729249301</c:v>
                </c:pt>
                <c:pt idx="24">
                  <c:v>1.5803904125597601</c:v>
                </c:pt>
                <c:pt idx="25">
                  <c:v>1.5892935398233199</c:v>
                </c:pt>
                <c:pt idx="26">
                  <c:v>1.59733517881314</c:v>
                </c:pt>
                <c:pt idx="27">
                  <c:v>1.6061031877198</c:v>
                </c:pt>
                <c:pt idx="28">
                  <c:v>1.61407447507637</c:v>
                </c:pt>
                <c:pt idx="29">
                  <c:v>1.62194978012525</c:v>
                </c:pt>
                <c:pt idx="30">
                  <c:v>1.6295462128762901</c:v>
                </c:pt>
                <c:pt idx="31">
                  <c:v>1.63644168428305</c:v>
                </c:pt>
                <c:pt idx="32">
                  <c:v>1.6444245713739101</c:v>
                </c:pt>
                <c:pt idx="33">
                  <c:v>1.6526217686031801</c:v>
                </c:pt>
                <c:pt idx="34">
                  <c:v>1.6621332161603899</c:v>
                </c:pt>
                <c:pt idx="35">
                  <c:v>1.67101166268916</c:v>
                </c:pt>
                <c:pt idx="36">
                  <c:v>1.6785094899183599</c:v>
                </c:pt>
                <c:pt idx="37">
                  <c:v>1.6859248807276701</c:v>
                </c:pt>
                <c:pt idx="38">
                  <c:v>1.6922014210209799</c:v>
                </c:pt>
                <c:pt idx="39">
                  <c:v>1.7001343379285301</c:v>
                </c:pt>
                <c:pt idx="40">
                  <c:v>1.7064418074708201</c:v>
                </c:pt>
                <c:pt idx="41">
                  <c:v>1.71082268374692</c:v>
                </c:pt>
                <c:pt idx="42">
                  <c:v>1.71316424620674</c:v>
                </c:pt>
                <c:pt idx="43">
                  <c:v>1.71463623655511</c:v>
                </c:pt>
                <c:pt idx="44">
                  <c:v>1.7152475402823699</c:v>
                </c:pt>
                <c:pt idx="45">
                  <c:v>1.7151005037103</c:v>
                </c:pt>
                <c:pt idx="46">
                  <c:v>1.71538442067081</c:v>
                </c:pt>
                <c:pt idx="47">
                  <c:v>1.7141281229692</c:v>
                </c:pt>
                <c:pt idx="48">
                  <c:v>1.71259527476016</c:v>
                </c:pt>
                <c:pt idx="49">
                  <c:v>1.710547481548</c:v>
                </c:pt>
                <c:pt idx="50">
                  <c:v>1.7076441989845801</c:v>
                </c:pt>
                <c:pt idx="51">
                  <c:v>1.7064850412119801</c:v>
                </c:pt>
                <c:pt idx="52">
                  <c:v>1.70403267412149</c:v>
                </c:pt>
                <c:pt idx="53">
                  <c:v>1.7019075491433799</c:v>
                </c:pt>
                <c:pt idx="54">
                  <c:v>1.6985242917049399</c:v>
                </c:pt>
                <c:pt idx="55">
                  <c:v>1.69636200785401</c:v>
                </c:pt>
                <c:pt idx="56">
                  <c:v>1.6950256088669</c:v>
                </c:pt>
                <c:pt idx="57">
                  <c:v>1.69269920049206</c:v>
                </c:pt>
                <c:pt idx="58">
                  <c:v>1.69132476006574</c:v>
                </c:pt>
                <c:pt idx="59">
                  <c:v>1.68671732459591</c:v>
                </c:pt>
                <c:pt idx="60">
                  <c:v>1.6838475116901701</c:v>
                </c:pt>
                <c:pt idx="61">
                  <c:v>1.68268108380986</c:v>
                </c:pt>
                <c:pt idx="62">
                  <c:v>1.68312128097305</c:v>
                </c:pt>
                <c:pt idx="63">
                  <c:v>1.68328570122358</c:v>
                </c:pt>
                <c:pt idx="64">
                  <c:v>1.6837692126789601</c:v>
                </c:pt>
                <c:pt idx="65">
                  <c:v>1.6852758494692499</c:v>
                </c:pt>
                <c:pt idx="66">
                  <c:v>1.6864945019994899</c:v>
                </c:pt>
                <c:pt idx="67">
                  <c:v>1.68824847020389</c:v>
                </c:pt>
                <c:pt idx="68">
                  <c:v>1.6901022372187799</c:v>
                </c:pt>
                <c:pt idx="69">
                  <c:v>1.69097018904078</c:v>
                </c:pt>
                <c:pt idx="70">
                  <c:v>1.6902622588573899</c:v>
                </c:pt>
                <c:pt idx="71">
                  <c:v>1.6882612902263201</c:v>
                </c:pt>
                <c:pt idx="72">
                  <c:v>1.68647865101417</c:v>
                </c:pt>
                <c:pt idx="73">
                  <c:v>1.6850024879808601</c:v>
                </c:pt>
                <c:pt idx="74">
                  <c:v>1.6837051257721001</c:v>
                </c:pt>
                <c:pt idx="75">
                  <c:v>1.6814192634032601</c:v>
                </c:pt>
                <c:pt idx="76">
                  <c:v>1.68131921268758</c:v>
                </c:pt>
                <c:pt idx="77">
                  <c:v>1.68104761315314</c:v>
                </c:pt>
                <c:pt idx="78">
                  <c:v>1.6806918470027301</c:v>
                </c:pt>
                <c:pt idx="79">
                  <c:v>1.68178344404124</c:v>
                </c:pt>
                <c:pt idx="80">
                  <c:v>1.6820415208608801</c:v>
                </c:pt>
                <c:pt idx="81">
                  <c:v>1.6823741692069301</c:v>
                </c:pt>
                <c:pt idx="82">
                  <c:v>1.6822664112825501</c:v>
                </c:pt>
                <c:pt idx="83">
                  <c:v>1.6822165911529501</c:v>
                </c:pt>
                <c:pt idx="84">
                  <c:v>1.68192360474099</c:v>
                </c:pt>
                <c:pt idx="85">
                  <c:v>1.6815908075574</c:v>
                </c:pt>
                <c:pt idx="86">
                  <c:v>1.68028740555988</c:v>
                </c:pt>
                <c:pt idx="87">
                  <c:v>1.67876788780149</c:v>
                </c:pt>
                <c:pt idx="88">
                  <c:v>1.6793404207657601</c:v>
                </c:pt>
                <c:pt idx="89">
                  <c:v>1.68071067959577</c:v>
                </c:pt>
                <c:pt idx="90">
                  <c:v>1.68367808121256</c:v>
                </c:pt>
                <c:pt idx="91">
                  <c:v>1.6870916342417701</c:v>
                </c:pt>
                <c:pt idx="92">
                  <c:v>1.6898175904163699</c:v>
                </c:pt>
                <c:pt idx="93">
                  <c:v>1.6913591185788599</c:v>
                </c:pt>
                <c:pt idx="94">
                  <c:v>1.6932400949897599</c:v>
                </c:pt>
                <c:pt idx="95">
                  <c:v>1.6946847353063099</c:v>
                </c:pt>
                <c:pt idx="96">
                  <c:v>1.6936958517978</c:v>
                </c:pt>
                <c:pt idx="97">
                  <c:v>1.69425218329859</c:v>
                </c:pt>
                <c:pt idx="98">
                  <c:v>1.69544950266423</c:v>
                </c:pt>
                <c:pt idx="99">
                  <c:v>1.69561547512369</c:v>
                </c:pt>
                <c:pt idx="100">
                  <c:v>1.6956574303888201</c:v>
                </c:pt>
                <c:pt idx="101">
                  <c:v>1.69506738268805</c:v>
                </c:pt>
                <c:pt idx="102">
                  <c:v>1.6955224726693801</c:v>
                </c:pt>
                <c:pt idx="103">
                  <c:v>1.69777627894581</c:v>
                </c:pt>
                <c:pt idx="104">
                  <c:v>1.6998718984432299</c:v>
                </c:pt>
                <c:pt idx="105">
                  <c:v>1.70182623558057</c:v>
                </c:pt>
                <c:pt idx="106">
                  <c:v>1.7048005537923701</c:v>
                </c:pt>
                <c:pt idx="107">
                  <c:v>1.70758422351891</c:v>
                </c:pt>
                <c:pt idx="108">
                  <c:v>1.7086361323364601</c:v>
                </c:pt>
                <c:pt idx="109">
                  <c:v>1.70800732133531</c:v>
                </c:pt>
                <c:pt idx="110">
                  <c:v>1.70869416233198</c:v>
                </c:pt>
                <c:pt idx="111">
                  <c:v>1.7095332520945901</c:v>
                </c:pt>
                <c:pt idx="112">
                  <c:v>1.7111056744575499</c:v>
                </c:pt>
                <c:pt idx="113">
                  <c:v>1.7141715634810999</c:v>
                </c:pt>
                <c:pt idx="114">
                  <c:v>1.7194549935271</c:v>
                </c:pt>
                <c:pt idx="115">
                  <c:v>1.72467694461041</c:v>
                </c:pt>
                <c:pt idx="116">
                  <c:v>1.73237247412967</c:v>
                </c:pt>
                <c:pt idx="117">
                  <c:v>1.73798662283309</c:v>
                </c:pt>
                <c:pt idx="118">
                  <c:v>1.7421940104961</c:v>
                </c:pt>
                <c:pt idx="119">
                  <c:v>1.75073533557209</c:v>
                </c:pt>
                <c:pt idx="120">
                  <c:v>1.75716770935887</c:v>
                </c:pt>
                <c:pt idx="121">
                  <c:v>1.76292315437351</c:v>
                </c:pt>
                <c:pt idx="122">
                  <c:v>1.76970465217053</c:v>
                </c:pt>
                <c:pt idx="123">
                  <c:v>1.7735659611665799</c:v>
                </c:pt>
                <c:pt idx="124">
                  <c:v>1.776804797983</c:v>
                </c:pt>
                <c:pt idx="125">
                  <c:v>1.78025619058676</c:v>
                </c:pt>
                <c:pt idx="126">
                  <c:v>1.78253509426107</c:v>
                </c:pt>
                <c:pt idx="127">
                  <c:v>1.78540707301751</c:v>
                </c:pt>
                <c:pt idx="128">
                  <c:v>1.78761395524991</c:v>
                </c:pt>
                <c:pt idx="129">
                  <c:v>1.79208373886415</c:v>
                </c:pt>
                <c:pt idx="130">
                  <c:v>1.7951871071838701</c:v>
                </c:pt>
                <c:pt idx="131">
                  <c:v>1.7983067908800801</c:v>
                </c:pt>
                <c:pt idx="132">
                  <c:v>1.8002006983827299</c:v>
                </c:pt>
                <c:pt idx="133">
                  <c:v>1.8007947418120001</c:v>
                </c:pt>
                <c:pt idx="134">
                  <c:v>1.8005488871205799</c:v>
                </c:pt>
                <c:pt idx="135">
                  <c:v>1.80073266129875</c:v>
                </c:pt>
                <c:pt idx="136">
                  <c:v>1.79921056540603</c:v>
                </c:pt>
                <c:pt idx="137">
                  <c:v>1.79998166905093</c:v>
                </c:pt>
                <c:pt idx="138">
                  <c:v>1.80526836596911</c:v>
                </c:pt>
                <c:pt idx="139">
                  <c:v>1.80684397196697</c:v>
                </c:pt>
                <c:pt idx="140">
                  <c:v>1.80974728863789</c:v>
                </c:pt>
                <c:pt idx="141">
                  <c:v>1.8108802090920599</c:v>
                </c:pt>
                <c:pt idx="142">
                  <c:v>1.8077533063147999</c:v>
                </c:pt>
                <c:pt idx="143">
                  <c:v>1.80694544530581</c:v>
                </c:pt>
                <c:pt idx="144">
                  <c:v>1.8057617773685599</c:v>
                </c:pt>
                <c:pt idx="145">
                  <c:v>1.8039714584495099</c:v>
                </c:pt>
                <c:pt idx="146">
                  <c:v>1.8048526099709801</c:v>
                </c:pt>
                <c:pt idx="147">
                  <c:v>1.8054180575500001</c:v>
                </c:pt>
                <c:pt idx="148">
                  <c:v>1.8058344991853299</c:v>
                </c:pt>
                <c:pt idx="149">
                  <c:v>1.8050856701329701</c:v>
                </c:pt>
                <c:pt idx="150">
                  <c:v>1.8043749585757001</c:v>
                </c:pt>
                <c:pt idx="151">
                  <c:v>1.80413327262293</c:v>
                </c:pt>
                <c:pt idx="152">
                  <c:v>1.8056145206640899</c:v>
                </c:pt>
                <c:pt idx="153">
                  <c:v>1.80711988285514</c:v>
                </c:pt>
                <c:pt idx="154">
                  <c:v>1.8078994690019701</c:v>
                </c:pt>
                <c:pt idx="155">
                  <c:v>1.80996753427433</c:v>
                </c:pt>
                <c:pt idx="156">
                  <c:v>1.81030733373501</c:v>
                </c:pt>
                <c:pt idx="157">
                  <c:v>1.80770009149428</c:v>
                </c:pt>
                <c:pt idx="158">
                  <c:v>1.80115129236849</c:v>
                </c:pt>
                <c:pt idx="159">
                  <c:v>1.7945467656680401</c:v>
                </c:pt>
                <c:pt idx="160">
                  <c:v>1.7880249412267399</c:v>
                </c:pt>
                <c:pt idx="161">
                  <c:v>1.78331430896874</c:v>
                </c:pt>
                <c:pt idx="162">
                  <c:v>1.7829249434522101</c:v>
                </c:pt>
                <c:pt idx="163">
                  <c:v>1.7819312975081101</c:v>
                </c:pt>
                <c:pt idx="164">
                  <c:v>1.77982412561811</c:v>
                </c:pt>
                <c:pt idx="165">
                  <c:v>1.7770918455198901</c:v>
                </c:pt>
                <c:pt idx="166">
                  <c:v>1.7729347027656299</c:v>
                </c:pt>
                <c:pt idx="167">
                  <c:v>1.7684932163170499</c:v>
                </c:pt>
                <c:pt idx="168">
                  <c:v>1.76471733737914</c:v>
                </c:pt>
                <c:pt idx="169">
                  <c:v>1.76303655986993</c:v>
                </c:pt>
                <c:pt idx="170">
                  <c:v>1.7622978073898099</c:v>
                </c:pt>
                <c:pt idx="171">
                  <c:v>1.7605820048212</c:v>
                </c:pt>
                <c:pt idx="172">
                  <c:v>1.75772458504317</c:v>
                </c:pt>
                <c:pt idx="173">
                  <c:v>1.75565536515113</c:v>
                </c:pt>
                <c:pt idx="174">
                  <c:v>1.75133359989099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8-4651-A3B6-88C84076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IYC x avg / XLI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0.10730775110850201</c:v>
                </c:pt>
                <c:pt idx="2">
                  <c:v>0.102919601220802</c:v>
                </c:pt>
                <c:pt idx="3">
                  <c:v>0.118104166104105</c:v>
                </c:pt>
                <c:pt idx="4">
                  <c:v>0.12539900588182201</c:v>
                </c:pt>
                <c:pt idx="5">
                  <c:v>0.12273202033278199</c:v>
                </c:pt>
                <c:pt idx="6">
                  <c:v>0.115664361404653</c:v>
                </c:pt>
                <c:pt idx="7">
                  <c:v>0.112023493116161</c:v>
                </c:pt>
                <c:pt idx="8">
                  <c:v>9.9651888009072501E-2</c:v>
                </c:pt>
                <c:pt idx="9">
                  <c:v>9.3421130537286401E-2</c:v>
                </c:pt>
                <c:pt idx="10">
                  <c:v>8.34854940687519E-2</c:v>
                </c:pt>
                <c:pt idx="11">
                  <c:v>8.3199717195537704E-2</c:v>
                </c:pt>
                <c:pt idx="12">
                  <c:v>8.0290450377871803E-2</c:v>
                </c:pt>
                <c:pt idx="13">
                  <c:v>8.6991397292442693E-2</c:v>
                </c:pt>
                <c:pt idx="14">
                  <c:v>9.7690235342514795E-2</c:v>
                </c:pt>
                <c:pt idx="15">
                  <c:v>9.2263744532228895E-2</c:v>
                </c:pt>
                <c:pt idx="16">
                  <c:v>8.6520088608644796E-2</c:v>
                </c:pt>
                <c:pt idx="17">
                  <c:v>8.40887431107884E-2</c:v>
                </c:pt>
                <c:pt idx="18">
                  <c:v>7.2801221082485004E-2</c:v>
                </c:pt>
                <c:pt idx="19">
                  <c:v>7.1587585619772603E-2</c:v>
                </c:pt>
                <c:pt idx="20">
                  <c:v>6.7473415218403707E-2</c:v>
                </c:pt>
                <c:pt idx="21">
                  <c:v>5.13265064303055E-2</c:v>
                </c:pt>
                <c:pt idx="22">
                  <c:v>4.6450259361204498E-2</c:v>
                </c:pt>
                <c:pt idx="23">
                  <c:v>3.5171091940959902E-2</c:v>
                </c:pt>
                <c:pt idx="24">
                  <c:v>1.91970032276318E-2</c:v>
                </c:pt>
                <c:pt idx="25">
                  <c:v>1.15341145095721E-2</c:v>
                </c:pt>
                <c:pt idx="26">
                  <c:v>1.53783424212269E-2</c:v>
                </c:pt>
                <c:pt idx="27">
                  <c:v>3.5303154246706099E-3</c:v>
                </c:pt>
                <c:pt idx="28">
                  <c:v>1.7058940031205801E-3</c:v>
                </c:pt>
                <c:pt idx="29">
                  <c:v>-2.8274148282276899E-3</c:v>
                </c:pt>
                <c:pt idx="30">
                  <c:v>-8.6300760743153893E-3</c:v>
                </c:pt>
                <c:pt idx="31">
                  <c:v>-7.3946298502441303E-4</c:v>
                </c:pt>
                <c:pt idx="32">
                  <c:v>-1.5998252069918201E-2</c:v>
                </c:pt>
                <c:pt idx="33">
                  <c:v>-1.23907186246525E-2</c:v>
                </c:pt>
                <c:pt idx="34">
                  <c:v>-1.7908089647561999E-2</c:v>
                </c:pt>
                <c:pt idx="35">
                  <c:v>-1.54871700956254E-2</c:v>
                </c:pt>
                <c:pt idx="36">
                  <c:v>-4.71678700909532E-3</c:v>
                </c:pt>
                <c:pt idx="37">
                  <c:v>-5.9793031873575202E-3</c:v>
                </c:pt>
                <c:pt idx="38">
                  <c:v>-3.12103664467815E-3</c:v>
                </c:pt>
                <c:pt idx="39">
                  <c:v>-2.3335096322752599E-2</c:v>
                </c:pt>
                <c:pt idx="40">
                  <c:v>-8.4187150331952298E-3</c:v>
                </c:pt>
                <c:pt idx="41">
                  <c:v>-1.1575541289922E-3</c:v>
                </c:pt>
                <c:pt idx="42">
                  <c:v>1.8191678362951502E-2</c:v>
                </c:pt>
                <c:pt idx="43">
                  <c:v>1.7512275091314599E-2</c:v>
                </c:pt>
                <c:pt idx="44">
                  <c:v>1.19419589731734E-2</c:v>
                </c:pt>
                <c:pt idx="45">
                  <c:v>1.32736547834753E-2</c:v>
                </c:pt>
                <c:pt idx="46">
                  <c:v>1.20150721260898E-2</c:v>
                </c:pt>
                <c:pt idx="47">
                  <c:v>1.8371436887975299E-2</c:v>
                </c:pt>
                <c:pt idx="48">
                  <c:v>1.9810441192389401E-2</c:v>
                </c:pt>
                <c:pt idx="49">
                  <c:v>2.13224062092068E-2</c:v>
                </c:pt>
                <c:pt idx="50">
                  <c:v>2.43106501833407E-2</c:v>
                </c:pt>
                <c:pt idx="51">
                  <c:v>1.15902654794834E-2</c:v>
                </c:pt>
                <c:pt idx="52">
                  <c:v>1.13012464671002E-2</c:v>
                </c:pt>
                <c:pt idx="53">
                  <c:v>1.11149640576055E-2</c:v>
                </c:pt>
                <c:pt idx="54">
                  <c:v>2.1697060207354599E-2</c:v>
                </c:pt>
                <c:pt idx="55">
                  <c:v>9.7051347101671792E-3</c:v>
                </c:pt>
                <c:pt idx="56">
                  <c:v>1.0947364871407799E-2</c:v>
                </c:pt>
                <c:pt idx="57">
                  <c:v>2.14141155070132E-2</c:v>
                </c:pt>
                <c:pt idx="58">
                  <c:v>1.30185594328566E-2</c:v>
                </c:pt>
                <c:pt idx="59">
                  <c:v>3.06938639606908E-2</c:v>
                </c:pt>
                <c:pt idx="60">
                  <c:v>2.5398848441112301E-2</c:v>
                </c:pt>
                <c:pt idx="61">
                  <c:v>1.25497011161964E-2</c:v>
                </c:pt>
                <c:pt idx="62">
                  <c:v>1.29672946672148E-2</c:v>
                </c:pt>
                <c:pt idx="63">
                  <c:v>1.5559020687929701E-2</c:v>
                </c:pt>
                <c:pt idx="64">
                  <c:v>6.2406219815123003E-3</c:v>
                </c:pt>
                <c:pt idx="65">
                  <c:v>-4.4091054148091601E-3</c:v>
                </c:pt>
                <c:pt idx="66">
                  <c:v>-2.2939298479112999E-3</c:v>
                </c:pt>
                <c:pt idx="67">
                  <c:v>-2.2884812725386702E-3</c:v>
                </c:pt>
                <c:pt idx="68">
                  <c:v>-2.04335142066547E-3</c:v>
                </c:pt>
                <c:pt idx="69">
                  <c:v>1.10152710988493E-2</c:v>
                </c:pt>
                <c:pt idx="70">
                  <c:v>3.41039534888391E-2</c:v>
                </c:pt>
                <c:pt idx="71">
                  <c:v>3.6856730593130299E-2</c:v>
                </c:pt>
                <c:pt idx="72">
                  <c:v>3.3927483857207598E-2</c:v>
                </c:pt>
                <c:pt idx="73">
                  <c:v>3.00599271407282E-2</c:v>
                </c:pt>
                <c:pt idx="74">
                  <c:v>3.7310275449031503E-2</c:v>
                </c:pt>
                <c:pt idx="75">
                  <c:v>3.7045898583220903E-2</c:v>
                </c:pt>
                <c:pt idx="76">
                  <c:v>1.21300076844649E-2</c:v>
                </c:pt>
                <c:pt idx="77">
                  <c:v>2.4661668859552E-2</c:v>
                </c:pt>
                <c:pt idx="78">
                  <c:v>1.7238991174375998E-2</c:v>
                </c:pt>
                <c:pt idx="79">
                  <c:v>1.76269143134563E-2</c:v>
                </c:pt>
                <c:pt idx="80">
                  <c:v>2.2310466484592201E-2</c:v>
                </c:pt>
                <c:pt idx="81">
                  <c:v>8.6214018065796805E-3</c:v>
                </c:pt>
                <c:pt idx="82">
                  <c:v>1.4243675312038699E-2</c:v>
                </c:pt>
                <c:pt idx="83">
                  <c:v>1.6150463432518702E-2</c:v>
                </c:pt>
                <c:pt idx="84">
                  <c:v>9.6914960742190692E-3</c:v>
                </c:pt>
                <c:pt idx="85">
                  <c:v>-5.30022283841003E-4</c:v>
                </c:pt>
                <c:pt idx="86">
                  <c:v>1.3017827547655399E-2</c:v>
                </c:pt>
                <c:pt idx="87">
                  <c:v>1.5585016060223E-2</c:v>
                </c:pt>
                <c:pt idx="88">
                  <c:v>-8.69745556493879E-3</c:v>
                </c:pt>
                <c:pt idx="89">
                  <c:v>-5.0436695991768598E-3</c:v>
                </c:pt>
                <c:pt idx="90">
                  <c:v>-1.1439472057133101E-3</c:v>
                </c:pt>
                <c:pt idx="91">
                  <c:v>-3.69415059320658E-3</c:v>
                </c:pt>
                <c:pt idx="92">
                  <c:v>1.50721356091177E-3</c:v>
                </c:pt>
                <c:pt idx="93">
                  <c:v>1.1667939424343E-2</c:v>
                </c:pt>
                <c:pt idx="94">
                  <c:v>1.47522229167359E-2</c:v>
                </c:pt>
                <c:pt idx="95">
                  <c:v>1.96801141469891E-2</c:v>
                </c:pt>
                <c:pt idx="96">
                  <c:v>2.3894889573261999E-2</c:v>
                </c:pt>
                <c:pt idx="97">
                  <c:v>1.8020821878192098E-2</c:v>
                </c:pt>
                <c:pt idx="98">
                  <c:v>3.1055993621300401E-3</c:v>
                </c:pt>
                <c:pt idx="99">
                  <c:v>1.56550125621009E-2</c:v>
                </c:pt>
                <c:pt idx="100">
                  <c:v>2.1809291732776102E-2</c:v>
                </c:pt>
                <c:pt idx="101">
                  <c:v>1.55999982726112E-2</c:v>
                </c:pt>
                <c:pt idx="102">
                  <c:v>8.8642385604672802E-3</c:v>
                </c:pt>
                <c:pt idx="103">
                  <c:v>-1.0261756910306201E-2</c:v>
                </c:pt>
                <c:pt idx="104">
                  <c:v>-1.4733194982209199E-2</c:v>
                </c:pt>
                <c:pt idx="105">
                  <c:v>-2.3097439893506599E-2</c:v>
                </c:pt>
                <c:pt idx="106">
                  <c:v>-2.1586258696570999E-2</c:v>
                </c:pt>
                <c:pt idx="107">
                  <c:v>-1.6918567613595701E-2</c:v>
                </c:pt>
                <c:pt idx="108">
                  <c:v>-2.0808747856653299E-2</c:v>
                </c:pt>
                <c:pt idx="109">
                  <c:v>2.29376524271144E-3</c:v>
                </c:pt>
                <c:pt idx="110">
                  <c:v>-9.1284278619387406E-3</c:v>
                </c:pt>
                <c:pt idx="111">
                  <c:v>-1.34152122206976E-2</c:v>
                </c:pt>
                <c:pt idx="112">
                  <c:v>-1.8097364363573301E-2</c:v>
                </c:pt>
                <c:pt idx="113">
                  <c:v>-2.5307064832249801E-2</c:v>
                </c:pt>
                <c:pt idx="114">
                  <c:v>-4.7420984141260197E-2</c:v>
                </c:pt>
                <c:pt idx="115">
                  <c:v>-4.2077239360931697E-2</c:v>
                </c:pt>
                <c:pt idx="116">
                  <c:v>-6.4203389961829893E-2</c:v>
                </c:pt>
                <c:pt idx="117">
                  <c:v>-4.6636351748166299E-2</c:v>
                </c:pt>
                <c:pt idx="118">
                  <c:v>-4.5032454819904998E-2</c:v>
                </c:pt>
                <c:pt idx="119">
                  <c:v>-8.0907672662755295E-2</c:v>
                </c:pt>
                <c:pt idx="120">
                  <c:v>-5.2201460264515998E-2</c:v>
                </c:pt>
                <c:pt idx="121">
                  <c:v>-5.04767626644642E-2</c:v>
                </c:pt>
                <c:pt idx="122">
                  <c:v>-6.8046939483731694E-2</c:v>
                </c:pt>
                <c:pt idx="123">
                  <c:v>-5.3951404420058503E-2</c:v>
                </c:pt>
                <c:pt idx="124">
                  <c:v>-5.1346424471008401E-2</c:v>
                </c:pt>
                <c:pt idx="125">
                  <c:v>-6.1748857435215299E-2</c:v>
                </c:pt>
                <c:pt idx="126">
                  <c:v>-4.7312424731370102E-2</c:v>
                </c:pt>
                <c:pt idx="127">
                  <c:v>-4.9381482666497098E-2</c:v>
                </c:pt>
                <c:pt idx="128">
                  <c:v>-4.5751068331976799E-2</c:v>
                </c:pt>
                <c:pt idx="129">
                  <c:v>-4.8730643767091103E-2</c:v>
                </c:pt>
                <c:pt idx="130">
                  <c:v>-4.4430710420365303E-2</c:v>
                </c:pt>
                <c:pt idx="131">
                  <c:v>-4.8750696572978397E-2</c:v>
                </c:pt>
                <c:pt idx="132">
                  <c:v>-3.8256192069207801E-2</c:v>
                </c:pt>
                <c:pt idx="133">
                  <c:v>-3.0689754154221E-2</c:v>
                </c:pt>
                <c:pt idx="134">
                  <c:v>-4.3269474580031199E-2</c:v>
                </c:pt>
                <c:pt idx="135">
                  <c:v>-4.27502769883258E-2</c:v>
                </c:pt>
                <c:pt idx="136">
                  <c:v>-4.7383297139013403E-2</c:v>
                </c:pt>
                <c:pt idx="137">
                  <c:v>-5.5199241371171798E-2</c:v>
                </c:pt>
                <c:pt idx="138">
                  <c:v>-0.102408509315732</c:v>
                </c:pt>
                <c:pt idx="139">
                  <c:v>-9.7744909273885905E-2</c:v>
                </c:pt>
                <c:pt idx="140">
                  <c:v>-8.3893186177723303E-2</c:v>
                </c:pt>
                <c:pt idx="141">
                  <c:v>-6.2984564944857102E-2</c:v>
                </c:pt>
                <c:pt idx="142">
                  <c:v>-3.3317011344177999E-2</c:v>
                </c:pt>
                <c:pt idx="143">
                  <c:v>-4.4967243744722198E-2</c:v>
                </c:pt>
                <c:pt idx="144">
                  <c:v>-3.8120640429015001E-2</c:v>
                </c:pt>
                <c:pt idx="145">
                  <c:v>-4.1886011650601601E-2</c:v>
                </c:pt>
                <c:pt idx="146">
                  <c:v>-5.7084831280246502E-2</c:v>
                </c:pt>
                <c:pt idx="147">
                  <c:v>-5.5650600682797799E-2</c:v>
                </c:pt>
                <c:pt idx="148">
                  <c:v>-5.0388734630549298E-2</c:v>
                </c:pt>
                <c:pt idx="149">
                  <c:v>-4.0361954530871498E-2</c:v>
                </c:pt>
                <c:pt idx="150">
                  <c:v>-3.6455350772136103E-2</c:v>
                </c:pt>
                <c:pt idx="151">
                  <c:v>-4.6057387470525298E-2</c:v>
                </c:pt>
                <c:pt idx="152">
                  <c:v>-5.4777449037676E-2</c:v>
                </c:pt>
                <c:pt idx="153">
                  <c:v>-4.7604160288181201E-2</c:v>
                </c:pt>
                <c:pt idx="154">
                  <c:v>-5.1955222133329398E-2</c:v>
                </c:pt>
                <c:pt idx="155">
                  <c:v>-6.5639990039715504E-2</c:v>
                </c:pt>
                <c:pt idx="156">
                  <c:v>-5.1162895289405298E-2</c:v>
                </c:pt>
                <c:pt idx="157">
                  <c:v>-2.5946432437948998E-2</c:v>
                </c:pt>
                <c:pt idx="158">
                  <c:v>-3.0834071184699299E-2</c:v>
                </c:pt>
                <c:pt idx="159">
                  <c:v>-2.5188804330380499E-2</c:v>
                </c:pt>
                <c:pt idx="160">
                  <c:v>-1.1242906019397E-2</c:v>
                </c:pt>
                <c:pt idx="161">
                  <c:v>-9.9181364739722999E-3</c:v>
                </c:pt>
                <c:pt idx="162">
                  <c:v>-2.89067161556983E-2</c:v>
                </c:pt>
                <c:pt idx="163">
                  <c:v>-3.3805130076473899E-2</c:v>
                </c:pt>
                <c:pt idx="164">
                  <c:v>-1.41342564833519E-2</c:v>
                </c:pt>
                <c:pt idx="165">
                  <c:v>-1.0790958874166701E-2</c:v>
                </c:pt>
                <c:pt idx="166">
                  <c:v>-1.0118765426210799E-2</c:v>
                </c:pt>
                <c:pt idx="167">
                  <c:v>-5.3160744149189096E-3</c:v>
                </c:pt>
                <c:pt idx="168">
                  <c:v>-7.5309256743544498E-3</c:v>
                </c:pt>
                <c:pt idx="169">
                  <c:v>-2.1319100872797599E-2</c:v>
                </c:pt>
                <c:pt idx="170">
                  <c:v>-2.8097348553206301E-2</c:v>
                </c:pt>
                <c:pt idx="171">
                  <c:v>-2.6725323624340099E-2</c:v>
                </c:pt>
                <c:pt idx="172">
                  <c:v>-2.2658403457316199E-2</c:v>
                </c:pt>
                <c:pt idx="173">
                  <c:v>-2.4279805963287701E-2</c:v>
                </c:pt>
                <c:pt idx="174">
                  <c:v>-2.8255067869500101E-3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7-496F-B847-609C5CA49BF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IYC x 10 dma / XLI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-2.6858095636084298E-2</c:v>
                </c:pt>
                <c:pt idx="11">
                  <c:v>-2.4790716056529501E-2</c:v>
                </c:pt>
                <c:pt idx="12">
                  <c:v>-2.5261194561276401E-2</c:v>
                </c:pt>
                <c:pt idx="13">
                  <c:v>-1.6268131388480499E-2</c:v>
                </c:pt>
                <c:pt idx="14">
                  <c:v>-2.4605129166839698E-3</c:v>
                </c:pt>
                <c:pt idx="15">
                  <c:v>-5.1511766667883298E-3</c:v>
                </c:pt>
                <c:pt idx="16">
                  <c:v>-7.8829951638311399E-3</c:v>
                </c:pt>
                <c:pt idx="17">
                  <c:v>-7.4234236123269801E-3</c:v>
                </c:pt>
                <c:pt idx="18">
                  <c:v>-1.5939445242677E-2</c:v>
                </c:pt>
                <c:pt idx="19">
                  <c:v>-1.4464790790513E-2</c:v>
                </c:pt>
                <c:pt idx="20">
                  <c:v>-1.6390199924487699E-2</c:v>
                </c:pt>
                <c:pt idx="21">
                  <c:v>-3.0923704595520799E-2</c:v>
                </c:pt>
                <c:pt idx="22">
                  <c:v>-3.2569588429129902E-2</c:v>
                </c:pt>
                <c:pt idx="23">
                  <c:v>-4.0417092889381299E-2</c:v>
                </c:pt>
                <c:pt idx="24">
                  <c:v>-5.1146616232004699E-2</c:v>
                </c:pt>
                <c:pt idx="25">
                  <c:v>-5.0895575393957698E-2</c:v>
                </c:pt>
                <c:pt idx="26">
                  <c:v>-3.8923823193317497E-2</c:v>
                </c:pt>
                <c:pt idx="27">
                  <c:v>-4.3657642775866E-2</c:v>
                </c:pt>
                <c:pt idx="28">
                  <c:v>-3.7429284282842902E-2</c:v>
                </c:pt>
                <c:pt idx="29">
                  <c:v>-3.48634289456922E-2</c:v>
                </c:pt>
                <c:pt idx="30">
                  <c:v>-3.3267735470537199E-2</c:v>
                </c:pt>
                <c:pt idx="31">
                  <c:v>-1.7829819054572298E-2</c:v>
                </c:pt>
                <c:pt idx="32">
                  <c:v>-2.79372547908396E-2</c:v>
                </c:pt>
                <c:pt idx="33">
                  <c:v>-1.8123649439396001E-2</c:v>
                </c:pt>
                <c:pt idx="34">
                  <c:v>-1.8922374932876001E-2</c:v>
                </c:pt>
                <c:pt idx="35">
                  <c:v>-1.2796233468024099E-2</c:v>
                </c:pt>
                <c:pt idx="36">
                  <c:v>6.7079128400905597E-4</c:v>
                </c:pt>
                <c:pt idx="37">
                  <c:v>1.3944241424423401E-3</c:v>
                </c:pt>
                <c:pt idx="38">
                  <c:v>5.1973800042321898E-3</c:v>
                </c:pt>
                <c:pt idx="39">
                  <c:v>-1.45377606017309E-2</c:v>
                </c:pt>
                <c:pt idx="40">
                  <c:v>2.4361110139610302E-3</c:v>
                </c:pt>
                <c:pt idx="41">
                  <c:v>9.6761847905526294E-3</c:v>
                </c:pt>
                <c:pt idx="42">
                  <c:v>2.9066814283632399E-2</c:v>
                </c:pt>
                <c:pt idx="43">
                  <c:v>2.50032211348452E-2</c:v>
                </c:pt>
                <c:pt idx="44">
                  <c:v>1.6468011493785101E-2</c:v>
                </c:pt>
                <c:pt idx="45">
                  <c:v>1.48147434877652E-2</c:v>
                </c:pt>
                <c:pt idx="46">
                  <c:v>1.06770876012685E-2</c:v>
                </c:pt>
                <c:pt idx="47">
                  <c:v>1.53627146037543E-2</c:v>
                </c:pt>
                <c:pt idx="48">
                  <c:v>1.4371383118104E-2</c:v>
                </c:pt>
                <c:pt idx="49">
                  <c:v>1.3594185518671399E-2</c:v>
                </c:pt>
                <c:pt idx="50">
                  <c:v>1.20669481945776E-2</c:v>
                </c:pt>
                <c:pt idx="51">
                  <c:v>-3.9460308718298996E-3</c:v>
                </c:pt>
                <c:pt idx="52">
                  <c:v>-5.52389456113436E-3</c:v>
                </c:pt>
                <c:pt idx="53">
                  <c:v>-5.0199368965848402E-3</c:v>
                </c:pt>
                <c:pt idx="54">
                  <c:v>6.2028523537565397E-3</c:v>
                </c:pt>
                <c:pt idx="55">
                  <c:v>-6.7637700034655999E-3</c:v>
                </c:pt>
                <c:pt idx="56">
                  <c:v>-5.1629705586083603E-3</c:v>
                </c:pt>
                <c:pt idx="57">
                  <c:v>5.4110404548806199E-3</c:v>
                </c:pt>
                <c:pt idx="58">
                  <c:v>-3.2876483258906502E-3</c:v>
                </c:pt>
                <c:pt idx="59">
                  <c:v>1.50665416412862E-2</c:v>
                </c:pt>
                <c:pt idx="60">
                  <c:v>8.8436246002250203E-3</c:v>
                </c:pt>
                <c:pt idx="61">
                  <c:v>-4.1134489642276504E-3</c:v>
                </c:pt>
                <c:pt idx="62">
                  <c:v>-3.79224532434576E-3</c:v>
                </c:pt>
                <c:pt idx="63">
                  <c:v>-1.3679105291587201E-3</c:v>
                </c:pt>
                <c:pt idx="64">
                  <c:v>-1.1132413011377899E-2</c:v>
                </c:pt>
                <c:pt idx="65">
                  <c:v>-2.0232411959288099E-2</c:v>
                </c:pt>
                <c:pt idx="66">
                  <c:v>-1.6688103239917901E-2</c:v>
                </c:pt>
                <c:pt idx="67">
                  <c:v>-1.53460111838532E-2</c:v>
                </c:pt>
                <c:pt idx="68">
                  <c:v>-1.2725092529078301E-2</c:v>
                </c:pt>
                <c:pt idx="69">
                  <c:v>1.8464340865868101E-3</c:v>
                </c:pt>
                <c:pt idx="70">
                  <c:v>2.68782559936393E-2</c:v>
                </c:pt>
                <c:pt idx="71">
                  <c:v>2.87795471532768E-2</c:v>
                </c:pt>
                <c:pt idx="72">
                  <c:v>2.3456755218325499E-2</c:v>
                </c:pt>
                <c:pt idx="73">
                  <c:v>1.7518021911525201E-2</c:v>
                </c:pt>
                <c:pt idx="74">
                  <c:v>2.33320487130649E-2</c:v>
                </c:pt>
                <c:pt idx="75">
                  <c:v>1.9979951894124999E-2</c:v>
                </c:pt>
                <c:pt idx="76">
                  <c:v>-9.0934671541859705E-3</c:v>
                </c:pt>
                <c:pt idx="77">
                  <c:v>1.9710001075929698E-3</c:v>
                </c:pt>
                <c:pt idx="78">
                  <c:v>-8.1816808391756597E-3</c:v>
                </c:pt>
                <c:pt idx="79">
                  <c:v>-9.7586261769730398E-3</c:v>
                </c:pt>
                <c:pt idx="80">
                  <c:v>-5.7451584207791903E-3</c:v>
                </c:pt>
                <c:pt idx="81">
                  <c:v>-1.8255741005759201E-2</c:v>
                </c:pt>
                <c:pt idx="82">
                  <c:v>-9.8021442173506605E-3</c:v>
                </c:pt>
                <c:pt idx="83">
                  <c:v>-5.92895635944303E-3</c:v>
                </c:pt>
                <c:pt idx="84">
                  <c:v>-1.09993567181354E-2</c:v>
                </c:pt>
                <c:pt idx="85">
                  <c:v>-1.8470445578210499E-2</c:v>
                </c:pt>
                <c:pt idx="86">
                  <c:v>-1.1730140402410199E-3</c:v>
                </c:pt>
                <c:pt idx="87">
                  <c:v>1.30524485912371E-3</c:v>
                </c:pt>
                <c:pt idx="88">
                  <c:v>-2.2075253828115E-2</c:v>
                </c:pt>
                <c:pt idx="89">
                  <c:v>-1.5807441087887699E-2</c:v>
                </c:pt>
                <c:pt idx="90">
                  <c:v>-9.6330392548470006E-3</c:v>
                </c:pt>
                <c:pt idx="91">
                  <c:v>-9.8453891432318894E-3</c:v>
                </c:pt>
                <c:pt idx="92">
                  <c:v>-3.4086754129071901E-3</c:v>
                </c:pt>
                <c:pt idx="93">
                  <c:v>8.0211357252997894E-3</c:v>
                </c:pt>
                <c:pt idx="94">
                  <c:v>1.15489969740959E-2</c:v>
                </c:pt>
                <c:pt idx="95">
                  <c:v>1.5975232741761099E-2</c:v>
                </c:pt>
                <c:pt idx="96">
                  <c:v>1.8178768072639701E-2</c:v>
                </c:pt>
                <c:pt idx="97">
                  <c:v>1.1230181526040601E-2</c:v>
                </c:pt>
                <c:pt idx="98">
                  <c:v>-3.9262240854003403E-3</c:v>
                </c:pt>
                <c:pt idx="99">
                  <c:v>7.43050880637429E-3</c:v>
                </c:pt>
                <c:pt idx="100">
                  <c:v>1.1506674495710099E-2</c:v>
                </c:pt>
                <c:pt idx="101">
                  <c:v>2.9994374895760101E-3</c:v>
                </c:pt>
                <c:pt idx="102">
                  <c:v>-5.68052474933448E-3</c:v>
                </c:pt>
                <c:pt idx="103">
                  <c:v>-2.5549418063661799E-2</c:v>
                </c:pt>
                <c:pt idx="104">
                  <c:v>-2.7798096185948099E-2</c:v>
                </c:pt>
                <c:pt idx="105">
                  <c:v>-3.3179397764055901E-2</c:v>
                </c:pt>
                <c:pt idx="106">
                  <c:v>-2.7348737610697602E-2</c:v>
                </c:pt>
                <c:pt idx="107">
                  <c:v>-1.8121939601713499E-2</c:v>
                </c:pt>
                <c:pt idx="108">
                  <c:v>-1.85218215942154E-2</c:v>
                </c:pt>
                <c:pt idx="109">
                  <c:v>6.9850413901627996E-3</c:v>
                </c:pt>
                <c:pt idx="110">
                  <c:v>-3.1200198164100098E-3</c:v>
                </c:pt>
                <c:pt idx="111">
                  <c:v>-4.3555397637681202E-3</c:v>
                </c:pt>
                <c:pt idx="112">
                  <c:v>-6.1694947309821604E-3</c:v>
                </c:pt>
                <c:pt idx="113">
                  <c:v>-1.07061701234071E-2</c:v>
                </c:pt>
                <c:pt idx="114">
                  <c:v>-3.1311884986711801E-2</c:v>
                </c:pt>
                <c:pt idx="115">
                  <c:v>-2.2655411660485202E-2</c:v>
                </c:pt>
                <c:pt idx="116">
                  <c:v>-4.2860247266189297E-2</c:v>
                </c:pt>
                <c:pt idx="117">
                  <c:v>-2.0947777499334901E-2</c:v>
                </c:pt>
                <c:pt idx="118">
                  <c:v>-1.6358303389046199E-2</c:v>
                </c:pt>
                <c:pt idx="119">
                  <c:v>-4.9803737028021197E-2</c:v>
                </c:pt>
                <c:pt idx="120">
                  <c:v>-1.27414395676752E-2</c:v>
                </c:pt>
                <c:pt idx="121">
                  <c:v>-6.7559158482090598E-3</c:v>
                </c:pt>
                <c:pt idx="122">
                  <c:v>-2.0669803906594598E-2</c:v>
                </c:pt>
                <c:pt idx="123">
                  <c:v>-1.61258083485215E-3</c:v>
                </c:pt>
                <c:pt idx="124">
                  <c:v>3.8167620900830699E-3</c:v>
                </c:pt>
                <c:pt idx="125">
                  <c:v>-6.1954648887544801E-3</c:v>
                </c:pt>
                <c:pt idx="126">
                  <c:v>1.0199094715971401E-2</c:v>
                </c:pt>
                <c:pt idx="127">
                  <c:v>6.4424564749795696E-3</c:v>
                </c:pt>
                <c:pt idx="128">
                  <c:v>1.0345209934445E-2</c:v>
                </c:pt>
                <c:pt idx="129">
                  <c:v>7.4367281863436299E-3</c:v>
                </c:pt>
                <c:pt idx="130">
                  <c:v>8.4855799265370103E-3</c:v>
                </c:pt>
                <c:pt idx="131">
                  <c:v>3.3917840244261999E-3</c:v>
                </c:pt>
                <c:pt idx="132">
                  <c:v>1.3714103002321501E-2</c:v>
                </c:pt>
                <c:pt idx="133">
                  <c:v>1.82933775758462E-2</c:v>
                </c:pt>
                <c:pt idx="134">
                  <c:v>3.4002127577152201E-3</c:v>
                </c:pt>
                <c:pt idx="135">
                  <c:v>3.1108706976006699E-3</c:v>
                </c:pt>
                <c:pt idx="136">
                  <c:v>-3.4360425205839E-3</c:v>
                </c:pt>
                <c:pt idx="137">
                  <c:v>-1.12448753953211E-2</c:v>
                </c:pt>
                <c:pt idx="138">
                  <c:v>-5.7867668700864697E-2</c:v>
                </c:pt>
                <c:pt idx="139">
                  <c:v>-4.7384653232320301E-2</c:v>
                </c:pt>
                <c:pt idx="140">
                  <c:v>-2.8530111595075701E-2</c:v>
                </c:pt>
                <c:pt idx="141">
                  <c:v>-3.64801344147058E-3</c:v>
                </c:pt>
                <c:pt idx="142">
                  <c:v>2.7437004830951701E-2</c:v>
                </c:pt>
                <c:pt idx="143">
                  <c:v>1.5304916977731099E-2</c:v>
                </c:pt>
                <c:pt idx="144">
                  <c:v>2.3546620506622502E-2</c:v>
                </c:pt>
                <c:pt idx="145">
                  <c:v>1.9276923958076599E-2</c:v>
                </c:pt>
                <c:pt idx="146">
                  <c:v>3.9932876349610801E-3</c:v>
                </c:pt>
                <c:pt idx="147">
                  <c:v>6.3886711021232502E-3</c:v>
                </c:pt>
                <c:pt idx="148">
                  <c:v>1.1695374520991699E-2</c:v>
                </c:pt>
                <c:pt idx="149">
                  <c:v>1.6430607283816599E-2</c:v>
                </c:pt>
                <c:pt idx="150">
                  <c:v>1.4510385927201899E-2</c:v>
                </c:pt>
                <c:pt idx="151">
                  <c:v>1.0873197513585301E-4</c:v>
                </c:pt>
                <c:pt idx="152">
                  <c:v>-1.03197278577186E-2</c:v>
                </c:pt>
                <c:pt idx="153">
                  <c:v>-1.00353258977211E-3</c:v>
                </c:pt>
                <c:pt idx="154">
                  <c:v>-5.09102047306924E-3</c:v>
                </c:pt>
                <c:pt idx="155">
                  <c:v>-1.7395796086802098E-2</c:v>
                </c:pt>
                <c:pt idx="156">
                  <c:v>-5.3294990825936801E-4</c:v>
                </c:pt>
                <c:pt idx="157">
                  <c:v>2.4089069134418099E-2</c:v>
                </c:pt>
                <c:pt idx="158">
                  <c:v>1.6253876954961201E-2</c:v>
                </c:pt>
                <c:pt idx="159">
                  <c:v>1.9954380425775499E-2</c:v>
                </c:pt>
                <c:pt idx="160">
                  <c:v>3.2400475485108403E-2</c:v>
                </c:pt>
                <c:pt idx="161">
                  <c:v>3.1250290377088298E-2</c:v>
                </c:pt>
                <c:pt idx="162">
                  <c:v>8.6885367004419095E-3</c:v>
                </c:pt>
                <c:pt idx="163">
                  <c:v>1.18858575003136E-3</c:v>
                </c:pt>
                <c:pt idx="164">
                  <c:v>1.94706783270382E-2</c:v>
                </c:pt>
                <c:pt idx="165">
                  <c:v>1.9026609168965199E-2</c:v>
                </c:pt>
                <c:pt idx="166">
                  <c:v>1.41515931266331E-2</c:v>
                </c:pt>
                <c:pt idx="167">
                  <c:v>1.48147948201673E-2</c:v>
                </c:pt>
                <c:pt idx="168">
                  <c:v>1.0544021391716899E-2</c:v>
                </c:pt>
                <c:pt idx="169">
                  <c:v>-5.5798290833913196E-3</c:v>
                </c:pt>
                <c:pt idx="170">
                  <c:v>-1.27480422917432E-2</c:v>
                </c:pt>
                <c:pt idx="171">
                  <c:v>-9.6846859224300006E-3</c:v>
                </c:pt>
                <c:pt idx="172">
                  <c:v>-3.9362871749066396E-3</c:v>
                </c:pt>
                <c:pt idx="173">
                  <c:v>-6.1871472376819796E-3</c:v>
                </c:pt>
                <c:pt idx="174">
                  <c:v>1.43036645209095E-2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7-496F-B847-609C5CA49BF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IYC x 20 dma / XLI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-2.9542541134500899E-2</c:v>
                </c:pt>
                <c:pt idx="21">
                  <c:v>-4.3710998114885602E-2</c:v>
                </c:pt>
                <c:pt idx="22">
                  <c:v>-4.5747497551788301E-2</c:v>
                </c:pt>
                <c:pt idx="23">
                  <c:v>-5.4157054959357798E-2</c:v>
                </c:pt>
                <c:pt idx="24">
                  <c:v>-6.5939126626934894E-2</c:v>
                </c:pt>
                <c:pt idx="25">
                  <c:v>-6.8235203042536802E-2</c:v>
                </c:pt>
                <c:pt idx="26">
                  <c:v>-5.8773285284601802E-2</c:v>
                </c:pt>
                <c:pt idx="27">
                  <c:v>-6.5574187704964398E-2</c:v>
                </c:pt>
                <c:pt idx="28">
                  <c:v>-6.19244717786228E-2</c:v>
                </c:pt>
                <c:pt idx="29">
                  <c:v>-6.1506933499511897E-2</c:v>
                </c:pt>
                <c:pt idx="30">
                  <c:v>-6.2442313183253703E-2</c:v>
                </c:pt>
                <c:pt idx="31">
                  <c:v>-4.9879114558875302E-2</c:v>
                </c:pt>
                <c:pt idx="32">
                  <c:v>-6.0915302783255999E-2</c:v>
                </c:pt>
                <c:pt idx="33">
                  <c:v>-5.24414308636219E-2</c:v>
                </c:pt>
                <c:pt idx="34">
                  <c:v>-5.2986342737414802E-2</c:v>
                </c:pt>
                <c:pt idx="35">
                  <c:v>-4.4826553371218103E-2</c:v>
                </c:pt>
                <c:pt idx="36">
                  <c:v>-2.8728788577785099E-2</c:v>
                </c:pt>
                <c:pt idx="37">
                  <c:v>-2.5514342580886799E-2</c:v>
                </c:pt>
                <c:pt idx="38">
                  <c:v>-1.8247963410626601E-2</c:v>
                </c:pt>
                <c:pt idx="39">
                  <c:v>-3.47460296916604E-2</c:v>
                </c:pt>
                <c:pt idx="40">
                  <c:v>-1.51526754066954E-2</c:v>
                </c:pt>
                <c:pt idx="41">
                  <c:v>-4.1883964854697803E-3</c:v>
                </c:pt>
                <c:pt idx="42">
                  <c:v>1.7724804167163901E-2</c:v>
                </c:pt>
                <c:pt idx="43">
                  <c:v>1.8413141411335401E-2</c:v>
                </c:pt>
                <c:pt idx="44">
                  <c:v>1.3701679503790601E-2</c:v>
                </c:pt>
                <c:pt idx="45">
                  <c:v>1.5389832718193001E-2</c:v>
                </c:pt>
                <c:pt idx="46">
                  <c:v>1.4045523148976899E-2</c:v>
                </c:pt>
                <c:pt idx="47">
                  <c:v>2.0567413757743801E-2</c:v>
                </c:pt>
                <c:pt idx="48">
                  <c:v>2.1273778806974099E-2</c:v>
                </c:pt>
                <c:pt idx="49">
                  <c:v>2.1891100087856798E-2</c:v>
                </c:pt>
                <c:pt idx="50">
                  <c:v>2.3682903479627301E-2</c:v>
                </c:pt>
                <c:pt idx="51">
                  <c:v>9.3259065902413906E-3</c:v>
                </c:pt>
                <c:pt idx="52">
                  <c:v>8.4221540149160799E-3</c:v>
                </c:pt>
                <c:pt idx="53">
                  <c:v>6.8627575603930997E-3</c:v>
                </c:pt>
                <c:pt idx="54">
                  <c:v>1.6263083057350001E-2</c:v>
                </c:pt>
                <c:pt idx="55">
                  <c:v>2.2817711404068E-3</c:v>
                </c:pt>
                <c:pt idx="56">
                  <c:v>2.2504824398752801E-3</c:v>
                </c:pt>
                <c:pt idx="57">
                  <c:v>1.19293233408233E-2</c:v>
                </c:pt>
                <c:pt idx="58">
                  <c:v>2.1606883114861E-3</c:v>
                </c:pt>
                <c:pt idx="59">
                  <c:v>1.9023891911261501E-2</c:v>
                </c:pt>
                <c:pt idx="60">
                  <c:v>1.1001709177072499E-2</c:v>
                </c:pt>
                <c:pt idx="61">
                  <c:v>-3.5498633747646198E-3</c:v>
                </c:pt>
                <c:pt idx="62">
                  <c:v>-3.8250453047457399E-3</c:v>
                </c:pt>
                <c:pt idx="63">
                  <c:v>-9.7181698371955104E-4</c:v>
                </c:pt>
                <c:pt idx="64">
                  <c:v>-1.01925581928693E-2</c:v>
                </c:pt>
                <c:pt idx="65">
                  <c:v>-2.05551589442412E-2</c:v>
                </c:pt>
                <c:pt idx="66">
                  <c:v>-1.75458161074501E-2</c:v>
                </c:pt>
                <c:pt idx="67">
                  <c:v>-1.6817699225131998E-2</c:v>
                </c:pt>
                <c:pt idx="68">
                  <c:v>-1.5533371531320299E-2</c:v>
                </c:pt>
                <c:pt idx="69">
                  <c:v>-1.37759457198841E-3</c:v>
                </c:pt>
                <c:pt idx="70">
                  <c:v>2.2224372789066801E-2</c:v>
                </c:pt>
                <c:pt idx="71">
                  <c:v>2.44957786575811E-2</c:v>
                </c:pt>
                <c:pt idx="72">
                  <c:v>2.0317293177368401E-2</c:v>
                </c:pt>
                <c:pt idx="73">
                  <c:v>1.53279124722711E-2</c:v>
                </c:pt>
                <c:pt idx="74">
                  <c:v>2.1636085174299099E-2</c:v>
                </c:pt>
                <c:pt idx="75">
                  <c:v>2.0601464985737301E-2</c:v>
                </c:pt>
                <c:pt idx="76">
                  <c:v>-5.6729865224117403E-3</c:v>
                </c:pt>
                <c:pt idx="77">
                  <c:v>6.7991691535551103E-3</c:v>
                </c:pt>
                <c:pt idx="78">
                  <c:v>-7.8506112186350896E-4</c:v>
                </c:pt>
                <c:pt idx="79">
                  <c:v>-6.0879397573421396E-4</c:v>
                </c:pt>
                <c:pt idx="80">
                  <c:v>4.7240400383194003E-3</c:v>
                </c:pt>
                <c:pt idx="81">
                  <c:v>-8.8115821610687609E-3</c:v>
                </c:pt>
                <c:pt idx="82">
                  <c:v>-2.9915635623853701E-3</c:v>
                </c:pt>
                <c:pt idx="83">
                  <c:v>-1.1488285981552E-3</c:v>
                </c:pt>
                <c:pt idx="84">
                  <c:v>-7.6374112819444402E-3</c:v>
                </c:pt>
                <c:pt idx="85">
                  <c:v>-1.8033111686910099E-2</c:v>
                </c:pt>
                <c:pt idx="86">
                  <c:v>-4.6831484370530602E-3</c:v>
                </c:pt>
                <c:pt idx="87">
                  <c:v>-2.89136104267023E-3</c:v>
                </c:pt>
                <c:pt idx="88">
                  <c:v>-2.8078561961832501E-2</c:v>
                </c:pt>
                <c:pt idx="89">
                  <c:v>-2.4083790585711199E-2</c:v>
                </c:pt>
                <c:pt idx="90">
                  <c:v>-1.93684502953483E-2</c:v>
                </c:pt>
                <c:pt idx="91">
                  <c:v>-2.0154646846989699E-2</c:v>
                </c:pt>
                <c:pt idx="92">
                  <c:v>-1.29278971078058E-2</c:v>
                </c:pt>
                <c:pt idx="93">
                  <c:v>-1.1527027553804501E-3</c:v>
                </c:pt>
                <c:pt idx="94">
                  <c:v>2.8434101987477802E-3</c:v>
                </c:pt>
                <c:pt idx="95">
                  <c:v>8.8827929149108194E-3</c:v>
                </c:pt>
                <c:pt idx="96">
                  <c:v>1.3950385612206601E-2</c:v>
                </c:pt>
                <c:pt idx="97">
                  <c:v>7.4926269702917997E-3</c:v>
                </c:pt>
                <c:pt idx="98">
                  <c:v>-7.0941775771248897E-3</c:v>
                </c:pt>
                <c:pt idx="99">
                  <c:v>6.1616809247431997E-3</c:v>
                </c:pt>
                <c:pt idx="100">
                  <c:v>1.2413848198820999E-2</c:v>
                </c:pt>
                <c:pt idx="101">
                  <c:v>6.2292978167285797E-3</c:v>
                </c:pt>
                <c:pt idx="102">
                  <c:v>-8.5449822349206196E-4</c:v>
                </c:pt>
                <c:pt idx="103">
                  <c:v>-1.9712050736860501E-2</c:v>
                </c:pt>
                <c:pt idx="104">
                  <c:v>-2.28551020247896E-2</c:v>
                </c:pt>
                <c:pt idx="105">
                  <c:v>-2.99857761519782E-2</c:v>
                </c:pt>
                <c:pt idx="106">
                  <c:v>-2.7325558635319099E-2</c:v>
                </c:pt>
                <c:pt idx="107">
                  <c:v>-2.0911671592834701E-2</c:v>
                </c:pt>
                <c:pt idx="108">
                  <c:v>-2.31703416014559E-2</c:v>
                </c:pt>
                <c:pt idx="109">
                  <c:v>5.48003464951069E-4</c:v>
                </c:pt>
                <c:pt idx="110">
                  <c:v>-1.12422766331376E-2</c:v>
                </c:pt>
                <c:pt idx="111">
                  <c:v>-1.51270118171532E-2</c:v>
                </c:pt>
                <c:pt idx="112">
                  <c:v>-1.9318213723118701E-2</c:v>
                </c:pt>
                <c:pt idx="113">
                  <c:v>-2.5538786489228901E-2</c:v>
                </c:pt>
                <c:pt idx="114">
                  <c:v>-4.5792498651492597E-2</c:v>
                </c:pt>
                <c:pt idx="115">
                  <c:v>-3.7298499221855297E-2</c:v>
                </c:pt>
                <c:pt idx="116">
                  <c:v>-5.6321221542066598E-2</c:v>
                </c:pt>
                <c:pt idx="117">
                  <c:v>-3.4303356245005197E-2</c:v>
                </c:pt>
                <c:pt idx="118">
                  <c:v>-2.94648827916997E-2</c:v>
                </c:pt>
                <c:pt idx="119">
                  <c:v>-6.2922865733716804E-2</c:v>
                </c:pt>
                <c:pt idx="120">
                  <c:v>-2.9327376116016001E-2</c:v>
                </c:pt>
                <c:pt idx="121">
                  <c:v>-2.3936335918746599E-2</c:v>
                </c:pt>
                <c:pt idx="122">
                  <c:v>-3.8237363796023202E-2</c:v>
                </c:pt>
                <c:pt idx="123">
                  <c:v>-2.0303536926123699E-2</c:v>
                </c:pt>
                <c:pt idx="124">
                  <c:v>-1.55196410102148E-2</c:v>
                </c:pt>
                <c:pt idx="125">
                  <c:v>-2.40980699402954E-2</c:v>
                </c:pt>
                <c:pt idx="126">
                  <c:v>-7.7215836373092797E-3</c:v>
                </c:pt>
                <c:pt idx="127">
                  <c:v>-8.5117127393408605E-3</c:v>
                </c:pt>
                <c:pt idx="128">
                  <c:v>-3.27185979828771E-3</c:v>
                </c:pt>
                <c:pt idx="129">
                  <c:v>-5.0164700481417296E-3</c:v>
                </c:pt>
                <c:pt idx="130">
                  <c:v>1.78007882985572E-3</c:v>
                </c:pt>
                <c:pt idx="131">
                  <c:v>-8.1016740290438703E-4</c:v>
                </c:pt>
                <c:pt idx="132">
                  <c:v>1.1420160392074699E-2</c:v>
                </c:pt>
                <c:pt idx="133">
                  <c:v>1.9972631086233698E-2</c:v>
                </c:pt>
                <c:pt idx="134">
                  <c:v>7.6559797834153702E-3</c:v>
                </c:pt>
                <c:pt idx="135">
                  <c:v>7.9687355332112107E-3</c:v>
                </c:pt>
                <c:pt idx="136">
                  <c:v>3.36908837760514E-3</c:v>
                </c:pt>
                <c:pt idx="137">
                  <c:v>-5.2924780699959697E-3</c:v>
                </c:pt>
                <c:pt idx="138">
                  <c:v>-5.2073258950535203E-2</c:v>
                </c:pt>
                <c:pt idx="139">
                  <c:v>-4.4476879957907098E-2</c:v>
                </c:pt>
                <c:pt idx="140">
                  <c:v>-2.9752755368998001E-2</c:v>
                </c:pt>
                <c:pt idx="141">
                  <c:v>-7.2385795763870798E-3</c:v>
                </c:pt>
                <c:pt idx="142">
                  <c:v>2.3054788467701301E-2</c:v>
                </c:pt>
                <c:pt idx="143">
                  <c:v>9.6763326688965E-3</c:v>
                </c:pt>
                <c:pt idx="144">
                  <c:v>1.60759493459076E-2</c:v>
                </c:pt>
                <c:pt idx="145">
                  <c:v>1.1655297800369099E-2</c:v>
                </c:pt>
                <c:pt idx="146">
                  <c:v>-4.5354616480299103E-3</c:v>
                </c:pt>
                <c:pt idx="147">
                  <c:v>-2.61289938227363E-3</c:v>
                </c:pt>
                <c:pt idx="148">
                  <c:v>2.9622105432004601E-3</c:v>
                </c:pt>
                <c:pt idx="149">
                  <c:v>1.3219626208034499E-2</c:v>
                </c:pt>
                <c:pt idx="150">
                  <c:v>1.67114719394666E-2</c:v>
                </c:pt>
                <c:pt idx="151">
                  <c:v>6.7156303823629202E-3</c:v>
                </c:pt>
                <c:pt idx="152">
                  <c:v>-2.1383845736330899E-3</c:v>
                </c:pt>
                <c:pt idx="153">
                  <c:v>5.8555975921994099E-3</c:v>
                </c:pt>
                <c:pt idx="154">
                  <c:v>2.3379002350170201E-3</c:v>
                </c:pt>
                <c:pt idx="155">
                  <c:v>-1.09155636682427E-2</c:v>
                </c:pt>
                <c:pt idx="156">
                  <c:v>4.7047823379794303E-3</c:v>
                </c:pt>
                <c:pt idx="157">
                  <c:v>3.0108965444974701E-2</c:v>
                </c:pt>
                <c:pt idx="158">
                  <c:v>2.3780067803140199E-2</c:v>
                </c:pt>
                <c:pt idx="159">
                  <c:v>2.5796032357353602E-2</c:v>
                </c:pt>
                <c:pt idx="160">
                  <c:v>3.6068355178251903E-2</c:v>
                </c:pt>
                <c:pt idx="161">
                  <c:v>3.3752258787548103E-2</c:v>
                </c:pt>
                <c:pt idx="162">
                  <c:v>1.2125657534736401E-2</c:v>
                </c:pt>
                <c:pt idx="163">
                  <c:v>7.00888164185514E-3</c:v>
                </c:pt>
                <c:pt idx="164">
                  <c:v>2.6122287610667601E-2</c:v>
                </c:pt>
                <c:pt idx="165">
                  <c:v>2.82823640912148E-2</c:v>
                </c:pt>
                <c:pt idx="166">
                  <c:v>2.7418237503611501E-2</c:v>
                </c:pt>
                <c:pt idx="167">
                  <c:v>2.9878892703098701E-2</c:v>
                </c:pt>
                <c:pt idx="168">
                  <c:v>2.5155737517264801E-2</c:v>
                </c:pt>
                <c:pt idx="169">
                  <c:v>9.2301972691145994E-3</c:v>
                </c:pt>
                <c:pt idx="170">
                  <c:v>1.49906132873127E-3</c:v>
                </c:pt>
                <c:pt idx="171">
                  <c:v>2.45197566326899E-3</c:v>
                </c:pt>
                <c:pt idx="172">
                  <c:v>5.5448048616831697E-3</c:v>
                </c:pt>
                <c:pt idx="173">
                  <c:v>2.2990866042009498E-3</c:v>
                </c:pt>
                <c:pt idx="174">
                  <c:v>2.25754772362767E-2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7-496F-B847-609C5CA49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-1.6146908788098369E-2</c:v>
                </c:pt>
                <c:pt idx="2">
                  <c:v>-2.1023155857199168E-2</c:v>
                </c:pt>
                <c:pt idx="3">
                  <c:v>-3.230232327744384E-2</c:v>
                </c:pt>
                <c:pt idx="4">
                  <c:v>-4.8276411990771741E-2</c:v>
                </c:pt>
                <c:pt idx="5">
                  <c:v>-5.5939300708831477E-2</c:v>
                </c:pt>
                <c:pt idx="6">
                  <c:v>-5.2095072797176498E-2</c:v>
                </c:pt>
                <c:pt idx="7">
                  <c:v>-6.3943099793732847E-2</c:v>
                </c:pt>
                <c:pt idx="8">
                  <c:v>-6.5767521215282843E-2</c:v>
                </c:pt>
                <c:pt idx="9">
                  <c:v>-7.0300830046631346E-2</c:v>
                </c:pt>
                <c:pt idx="10">
                  <c:v>-7.610349129271915E-2</c:v>
                </c:pt>
                <c:pt idx="11">
                  <c:v>-6.821287820342814E-2</c:v>
                </c:pt>
                <c:pt idx="12">
                  <c:v>-8.3471667288322129E-2</c:v>
                </c:pt>
                <c:pt idx="13">
                  <c:v>-7.9864133843056309E-2</c:v>
                </c:pt>
                <c:pt idx="14">
                  <c:v>-8.5381504865965713E-2</c:v>
                </c:pt>
                <c:pt idx="15">
                  <c:v>-8.2960585314029112E-2</c:v>
                </c:pt>
                <c:pt idx="16">
                  <c:v>-7.219020222749914E-2</c:v>
                </c:pt>
                <c:pt idx="17">
                  <c:v>-7.345271840576123E-2</c:v>
                </c:pt>
                <c:pt idx="18">
                  <c:v>-7.0594451863081636E-2</c:v>
                </c:pt>
                <c:pt idx="19">
                  <c:v>-9.0808511541156267E-2</c:v>
                </c:pt>
                <c:pt idx="20">
                  <c:v>-7.5892130251598841E-2</c:v>
                </c:pt>
                <c:pt idx="21">
                  <c:v>-6.8630969347395987E-2</c:v>
                </c:pt>
                <c:pt idx="22">
                  <c:v>-6.8630969347395987E-2</c:v>
                </c:pt>
                <c:pt idx="23">
                  <c:v>-6.8630969347395987E-2</c:v>
                </c:pt>
                <c:pt idx="24">
                  <c:v>-6.8630969347395987E-2</c:v>
                </c:pt>
                <c:pt idx="25">
                  <c:v>-6.8630969347395987E-2</c:v>
                </c:pt>
                <c:pt idx="26">
                  <c:v>-6.8630969347395987E-2</c:v>
                </c:pt>
                <c:pt idx="27">
                  <c:v>-6.8630969347395987E-2</c:v>
                </c:pt>
                <c:pt idx="28">
                  <c:v>-6.8630969347395987E-2</c:v>
                </c:pt>
                <c:pt idx="29">
                  <c:v>-6.8630969347395987E-2</c:v>
                </c:pt>
                <c:pt idx="30">
                  <c:v>-6.8630969347395987E-2</c:v>
                </c:pt>
                <c:pt idx="31">
                  <c:v>-6.8630969347395987E-2</c:v>
                </c:pt>
                <c:pt idx="32">
                  <c:v>-6.8630969347395987E-2</c:v>
                </c:pt>
                <c:pt idx="33">
                  <c:v>-6.8630969347395987E-2</c:v>
                </c:pt>
                <c:pt idx="34">
                  <c:v>-6.8630969347395987E-2</c:v>
                </c:pt>
                <c:pt idx="35">
                  <c:v>-6.8630969347395987E-2</c:v>
                </c:pt>
                <c:pt idx="36">
                  <c:v>-6.8630969347395987E-2</c:v>
                </c:pt>
                <c:pt idx="37">
                  <c:v>-6.8630969347395987E-2</c:v>
                </c:pt>
                <c:pt idx="38">
                  <c:v>-6.8630969347395987E-2</c:v>
                </c:pt>
                <c:pt idx="39">
                  <c:v>-6.8630969347395987E-2</c:v>
                </c:pt>
                <c:pt idx="40">
                  <c:v>-6.8630969347395987E-2</c:v>
                </c:pt>
                <c:pt idx="41">
                  <c:v>-6.8630969347395987E-2</c:v>
                </c:pt>
                <c:pt idx="42">
                  <c:v>-6.8630969347395987E-2</c:v>
                </c:pt>
                <c:pt idx="43">
                  <c:v>-6.8630969347395987E-2</c:v>
                </c:pt>
                <c:pt idx="44">
                  <c:v>-6.8630969347395987E-2</c:v>
                </c:pt>
                <c:pt idx="45">
                  <c:v>-6.8630969347395987E-2</c:v>
                </c:pt>
                <c:pt idx="46">
                  <c:v>-6.6515793780498184E-2</c:v>
                </c:pt>
                <c:pt idx="47">
                  <c:v>-6.6510345205125609E-2</c:v>
                </c:pt>
                <c:pt idx="48">
                  <c:v>-6.6265215353252638E-2</c:v>
                </c:pt>
                <c:pt idx="49">
                  <c:v>-5.3206592833737916E-2</c:v>
                </c:pt>
                <c:pt idx="50">
                  <c:v>-5.3206592833737916E-2</c:v>
                </c:pt>
                <c:pt idx="51">
                  <c:v>-5.3206592833737916E-2</c:v>
                </c:pt>
                <c:pt idx="52">
                  <c:v>-5.3206592833737916E-2</c:v>
                </c:pt>
                <c:pt idx="53">
                  <c:v>-5.3206592833737916E-2</c:v>
                </c:pt>
                <c:pt idx="54">
                  <c:v>-5.3206592833737916E-2</c:v>
                </c:pt>
                <c:pt idx="55">
                  <c:v>-5.3206592833737916E-2</c:v>
                </c:pt>
                <c:pt idx="56">
                  <c:v>-5.3206592833737916E-2</c:v>
                </c:pt>
                <c:pt idx="57">
                  <c:v>-5.3206592833737916E-2</c:v>
                </c:pt>
                <c:pt idx="58">
                  <c:v>-5.3206592833737916E-2</c:v>
                </c:pt>
                <c:pt idx="59">
                  <c:v>-5.3206592833737916E-2</c:v>
                </c:pt>
                <c:pt idx="60">
                  <c:v>-5.3206592833737916E-2</c:v>
                </c:pt>
                <c:pt idx="61">
                  <c:v>-5.3206592833737916E-2</c:v>
                </c:pt>
                <c:pt idx="62">
                  <c:v>-5.3206592833737916E-2</c:v>
                </c:pt>
                <c:pt idx="63">
                  <c:v>-5.3206592833737916E-2</c:v>
                </c:pt>
                <c:pt idx="64">
                  <c:v>-5.3206592833737916E-2</c:v>
                </c:pt>
                <c:pt idx="65">
                  <c:v>-5.3206592833737916E-2</c:v>
                </c:pt>
                <c:pt idx="66">
                  <c:v>-5.3206592833737916E-2</c:v>
                </c:pt>
                <c:pt idx="67">
                  <c:v>-5.3206592833737916E-2</c:v>
                </c:pt>
                <c:pt idx="68">
                  <c:v>-5.3206592833737916E-2</c:v>
                </c:pt>
                <c:pt idx="69">
                  <c:v>-4.9552806867975897E-2</c:v>
                </c:pt>
                <c:pt idx="70">
                  <c:v>-4.5653084474512239E-2</c:v>
                </c:pt>
                <c:pt idx="71">
                  <c:v>-4.8203287862005367E-2</c:v>
                </c:pt>
                <c:pt idx="72">
                  <c:v>-4.3001923707886969E-2</c:v>
                </c:pt>
                <c:pt idx="73">
                  <c:v>-3.2841197844455772E-2</c:v>
                </c:pt>
                <c:pt idx="74">
                  <c:v>-3.2841197844455772E-2</c:v>
                </c:pt>
                <c:pt idx="75">
                  <c:v>-3.2841197844455772E-2</c:v>
                </c:pt>
                <c:pt idx="76">
                  <c:v>-3.2841197844455772E-2</c:v>
                </c:pt>
                <c:pt idx="77">
                  <c:v>-3.2841197844455772E-2</c:v>
                </c:pt>
                <c:pt idx="78">
                  <c:v>-3.2841197844455772E-2</c:v>
                </c:pt>
                <c:pt idx="79">
                  <c:v>-3.2841197844455772E-2</c:v>
                </c:pt>
                <c:pt idx="80">
                  <c:v>-3.2841197844455772E-2</c:v>
                </c:pt>
                <c:pt idx="81">
                  <c:v>-3.2841197844455772E-2</c:v>
                </c:pt>
                <c:pt idx="82">
                  <c:v>-3.2841197844455772E-2</c:v>
                </c:pt>
                <c:pt idx="83">
                  <c:v>-3.2841197844455772E-2</c:v>
                </c:pt>
                <c:pt idx="84">
                  <c:v>-3.2841197844455772E-2</c:v>
                </c:pt>
                <c:pt idx="85">
                  <c:v>-4.1205442755753129E-2</c:v>
                </c:pt>
                <c:pt idx="86">
                  <c:v>-3.9694261558817695E-2</c:v>
                </c:pt>
                <c:pt idx="87">
                  <c:v>-3.5026570475842296E-2</c:v>
                </c:pt>
                <c:pt idx="88">
                  <c:v>-3.8916750718900023E-2</c:v>
                </c:pt>
                <c:pt idx="89">
                  <c:v>-1.5814237619535224E-2</c:v>
                </c:pt>
                <c:pt idx="90">
                  <c:v>-1.5814237619535224E-2</c:v>
                </c:pt>
                <c:pt idx="91">
                  <c:v>-1.5814237619535224E-2</c:v>
                </c:pt>
                <c:pt idx="92">
                  <c:v>-1.5814237619535224E-2</c:v>
                </c:pt>
                <c:pt idx="93">
                  <c:v>-1.5814237619535224E-2</c:v>
                </c:pt>
                <c:pt idx="94">
                  <c:v>-3.7928156928545648E-2</c:v>
                </c:pt>
                <c:pt idx="95">
                  <c:v>-3.2584412148216946E-2</c:v>
                </c:pt>
                <c:pt idx="96">
                  <c:v>-3.2584412148216946E-2</c:v>
                </c:pt>
                <c:pt idx="97">
                  <c:v>-1.5017373934553303E-2</c:v>
                </c:pt>
                <c:pt idx="98">
                  <c:v>-1.3413477006292102E-2</c:v>
                </c:pt>
                <c:pt idx="99">
                  <c:v>-4.92886948491425E-2</c:v>
                </c:pt>
                <c:pt idx="100">
                  <c:v>-2.0582482450903099E-2</c:v>
                </c:pt>
                <c:pt idx="101">
                  <c:v>-1.8857784850851298E-2</c:v>
                </c:pt>
                <c:pt idx="102">
                  <c:v>-3.6427961670118657E-2</c:v>
                </c:pt>
                <c:pt idx="103">
                  <c:v>-2.2332426606445577E-2</c:v>
                </c:pt>
                <c:pt idx="104">
                  <c:v>-1.9727446657395557E-2</c:v>
                </c:pt>
                <c:pt idx="105">
                  <c:v>-3.012987962160258E-2</c:v>
                </c:pt>
                <c:pt idx="106">
                  <c:v>-1.5693446917757273E-2</c:v>
                </c:pt>
                <c:pt idx="107">
                  <c:v>-1.7762504852884074E-2</c:v>
                </c:pt>
                <c:pt idx="108">
                  <c:v>-1.4132090518363994E-2</c:v>
                </c:pt>
                <c:pt idx="109">
                  <c:v>-1.4132090518363994E-2</c:v>
                </c:pt>
                <c:pt idx="110">
                  <c:v>-1.4132090518363994E-2</c:v>
                </c:pt>
                <c:pt idx="111">
                  <c:v>-1.4132090518363994E-2</c:v>
                </c:pt>
                <c:pt idx="112">
                  <c:v>-1.4132090518363994E-2</c:v>
                </c:pt>
                <c:pt idx="113">
                  <c:v>-1.4132090518363994E-2</c:v>
                </c:pt>
                <c:pt idx="114">
                  <c:v>-1.4132090518363994E-2</c:v>
                </c:pt>
                <c:pt idx="115">
                  <c:v>-1.4132090518363994E-2</c:v>
                </c:pt>
                <c:pt idx="116">
                  <c:v>-1.4132090518363994E-2</c:v>
                </c:pt>
                <c:pt idx="117">
                  <c:v>-1.4132090518363994E-2</c:v>
                </c:pt>
                <c:pt idx="118">
                  <c:v>-1.4132090518363994E-2</c:v>
                </c:pt>
                <c:pt idx="119">
                  <c:v>-9.4684904765174535E-3</c:v>
                </c:pt>
                <c:pt idx="120">
                  <c:v>4.3832326196452491E-3</c:v>
                </c:pt>
                <c:pt idx="121">
                  <c:v>2.5291853852511457E-2</c:v>
                </c:pt>
                <c:pt idx="122">
                  <c:v>5.495940745319057E-2</c:v>
                </c:pt>
                <c:pt idx="123">
                  <c:v>5.495940745319057E-2</c:v>
                </c:pt>
                <c:pt idx="124">
                  <c:v>5.495940745319057E-2</c:v>
                </c:pt>
                <c:pt idx="125">
                  <c:v>5.495940745319057E-2</c:v>
                </c:pt>
                <c:pt idx="126">
                  <c:v>5.495940745319057E-2</c:v>
                </c:pt>
                <c:pt idx="127">
                  <c:v>5.495940745319057E-2</c:v>
                </c:pt>
                <c:pt idx="128">
                  <c:v>5.495940745319057E-2</c:v>
                </c:pt>
                <c:pt idx="129">
                  <c:v>5.495940745319057E-2</c:v>
                </c:pt>
                <c:pt idx="130">
                  <c:v>5.495940745319057E-2</c:v>
                </c:pt>
                <c:pt idx="131">
                  <c:v>5.495940745319057E-2</c:v>
                </c:pt>
                <c:pt idx="132">
                  <c:v>5.495940745319057E-2</c:v>
                </c:pt>
                <c:pt idx="133">
                  <c:v>5.495940745319057E-2</c:v>
                </c:pt>
                <c:pt idx="134">
                  <c:v>5.495940745319057E-2</c:v>
                </c:pt>
                <c:pt idx="135">
                  <c:v>5.495940745319057E-2</c:v>
                </c:pt>
                <c:pt idx="136">
                  <c:v>5.495940745319057E-2</c:v>
                </c:pt>
                <c:pt idx="137">
                  <c:v>5.495940745319057E-2</c:v>
                </c:pt>
                <c:pt idx="138">
                  <c:v>5.495940745319057E-2</c:v>
                </c:pt>
                <c:pt idx="139">
                  <c:v>5.495940745319057E-2</c:v>
                </c:pt>
                <c:pt idx="140">
                  <c:v>5.495940745319057E-2</c:v>
                </c:pt>
                <c:pt idx="141">
                  <c:v>5.495940745319057E-2</c:v>
                </c:pt>
                <c:pt idx="142">
                  <c:v>5.495940745319057E-2</c:v>
                </c:pt>
                <c:pt idx="143">
                  <c:v>5.495940745319057E-2</c:v>
                </c:pt>
                <c:pt idx="144">
                  <c:v>5.495940745319057E-2</c:v>
                </c:pt>
                <c:pt idx="145">
                  <c:v>5.495940745319057E-2</c:v>
                </c:pt>
                <c:pt idx="146">
                  <c:v>5.495940745319057E-2</c:v>
                </c:pt>
                <c:pt idx="147">
                  <c:v>5.495940745319057E-2</c:v>
                </c:pt>
                <c:pt idx="148">
                  <c:v>5.495940745319057E-2</c:v>
                </c:pt>
                <c:pt idx="149">
                  <c:v>5.495940745319057E-2</c:v>
                </c:pt>
                <c:pt idx="150">
                  <c:v>5.495940745319057E-2</c:v>
                </c:pt>
                <c:pt idx="151">
                  <c:v>5.495940745319057E-2</c:v>
                </c:pt>
                <c:pt idx="152">
                  <c:v>5.495940745319057E-2</c:v>
                </c:pt>
                <c:pt idx="153">
                  <c:v>5.495940745319057E-2</c:v>
                </c:pt>
                <c:pt idx="154">
                  <c:v>5.495940745319057E-2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4-4C25-9CAB-38C87CF80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-1.4390043044143499E-3</c:v>
                </c:pt>
                <c:pt idx="29">
                  <c:v>-2.9509693212314693E-3</c:v>
                </c:pt>
                <c:pt idx="30">
                  <c:v>-2.9509693212314693E-3</c:v>
                </c:pt>
                <c:pt idx="31">
                  <c:v>9.769415382625839E-3</c:v>
                </c:pt>
                <c:pt idx="32">
                  <c:v>1.0058434395008869E-2</c:v>
                </c:pt>
                <c:pt idx="33">
                  <c:v>1.0058434395008869E-2</c:v>
                </c:pt>
                <c:pt idx="34">
                  <c:v>1.0058434395008869E-2</c:v>
                </c:pt>
                <c:pt idx="35">
                  <c:v>1.0058434395008869E-2</c:v>
                </c:pt>
                <c:pt idx="36">
                  <c:v>1.0058434395008869E-2</c:v>
                </c:pt>
                <c:pt idx="37">
                  <c:v>1.0058434395008869E-2</c:v>
                </c:pt>
                <c:pt idx="38">
                  <c:v>1.0058434395008869E-2</c:v>
                </c:pt>
                <c:pt idx="39">
                  <c:v>1.0058434395008869E-2</c:v>
                </c:pt>
                <c:pt idx="40">
                  <c:v>1.0058434395008869E-2</c:v>
                </c:pt>
                <c:pt idx="41">
                  <c:v>1.0058434395008869E-2</c:v>
                </c:pt>
                <c:pt idx="42">
                  <c:v>1.0058434395008869E-2</c:v>
                </c:pt>
                <c:pt idx="43">
                  <c:v>1.0058434395008869E-2</c:v>
                </c:pt>
                <c:pt idx="44">
                  <c:v>1.0058434395008869E-2</c:v>
                </c:pt>
                <c:pt idx="45">
                  <c:v>1.0058434395008869E-2</c:v>
                </c:pt>
                <c:pt idx="46">
                  <c:v>1.0058434395008869E-2</c:v>
                </c:pt>
                <c:pt idx="47">
                  <c:v>1.0058434395008869E-2</c:v>
                </c:pt>
                <c:pt idx="48">
                  <c:v>1.0058434395008869E-2</c:v>
                </c:pt>
                <c:pt idx="49">
                  <c:v>1.0058434395008869E-2</c:v>
                </c:pt>
                <c:pt idx="50">
                  <c:v>1.0058434395008869E-2</c:v>
                </c:pt>
                <c:pt idx="51">
                  <c:v>7.3056572907175188E-3</c:v>
                </c:pt>
                <c:pt idx="52">
                  <c:v>1.0234904026640117E-2</c:v>
                </c:pt>
                <c:pt idx="53">
                  <c:v>1.4102460743119726E-2</c:v>
                </c:pt>
                <c:pt idx="54">
                  <c:v>6.852112434816416E-3</c:v>
                </c:pt>
                <c:pt idx="55">
                  <c:v>7.1164893006271067E-3</c:v>
                </c:pt>
                <c:pt idx="56">
                  <c:v>3.203238019938312E-2</c:v>
                </c:pt>
                <c:pt idx="57">
                  <c:v>3.203238019938312E-2</c:v>
                </c:pt>
                <c:pt idx="58">
                  <c:v>3.203238019938312E-2</c:v>
                </c:pt>
                <c:pt idx="59">
                  <c:v>3.203238019938312E-2</c:v>
                </c:pt>
                <c:pt idx="60">
                  <c:v>3.203238019938312E-2</c:v>
                </c:pt>
                <c:pt idx="61">
                  <c:v>3.203238019938312E-2</c:v>
                </c:pt>
                <c:pt idx="62">
                  <c:v>3.203238019938312E-2</c:v>
                </c:pt>
                <c:pt idx="63">
                  <c:v>3.203238019938312E-2</c:v>
                </c:pt>
                <c:pt idx="64">
                  <c:v>3.203238019938312E-2</c:v>
                </c:pt>
                <c:pt idx="65">
                  <c:v>3.203238019938312E-2</c:v>
                </c:pt>
                <c:pt idx="66">
                  <c:v>3.203238019938312E-2</c:v>
                </c:pt>
                <c:pt idx="67">
                  <c:v>3.203238019938312E-2</c:v>
                </c:pt>
                <c:pt idx="68">
                  <c:v>3.203238019938312E-2</c:v>
                </c:pt>
                <c:pt idx="69">
                  <c:v>3.203238019938312E-2</c:v>
                </c:pt>
                <c:pt idx="70">
                  <c:v>3.203238019938312E-2</c:v>
                </c:pt>
                <c:pt idx="71">
                  <c:v>3.203238019938312E-2</c:v>
                </c:pt>
                <c:pt idx="72">
                  <c:v>3.203238019938312E-2</c:v>
                </c:pt>
                <c:pt idx="73">
                  <c:v>3.203238019938312E-2</c:v>
                </c:pt>
                <c:pt idx="74">
                  <c:v>3.203238019938312E-2</c:v>
                </c:pt>
                <c:pt idx="75">
                  <c:v>3.203238019938312E-2</c:v>
                </c:pt>
                <c:pt idx="76">
                  <c:v>3.203238019938312E-2</c:v>
                </c:pt>
                <c:pt idx="77">
                  <c:v>3.203238019938312E-2</c:v>
                </c:pt>
                <c:pt idx="78">
                  <c:v>3.203238019938312E-2</c:v>
                </c:pt>
                <c:pt idx="79">
                  <c:v>3.203238019938312E-2</c:v>
                </c:pt>
                <c:pt idx="80">
                  <c:v>3.203238019938312E-2</c:v>
                </c:pt>
                <c:pt idx="81">
                  <c:v>3.203238019938312E-2</c:v>
                </c:pt>
                <c:pt idx="82">
                  <c:v>3.203238019938312E-2</c:v>
                </c:pt>
                <c:pt idx="83">
                  <c:v>3.203238019938312E-2</c:v>
                </c:pt>
                <c:pt idx="84">
                  <c:v>3.203238019938312E-2</c:v>
                </c:pt>
                <c:pt idx="85">
                  <c:v>3.203238019938312E-2</c:v>
                </c:pt>
                <c:pt idx="86">
                  <c:v>3.203238019938312E-2</c:v>
                </c:pt>
                <c:pt idx="87">
                  <c:v>3.203238019938312E-2</c:v>
                </c:pt>
                <c:pt idx="88">
                  <c:v>3.203238019938312E-2</c:v>
                </c:pt>
                <c:pt idx="89">
                  <c:v>3.203238019938312E-2</c:v>
                </c:pt>
                <c:pt idx="90">
                  <c:v>3.203238019938312E-2</c:v>
                </c:pt>
                <c:pt idx="91">
                  <c:v>3.203238019938312E-2</c:v>
                </c:pt>
                <c:pt idx="92">
                  <c:v>3.203238019938312E-2</c:v>
                </c:pt>
                <c:pt idx="93">
                  <c:v>3.203238019938312E-2</c:v>
                </c:pt>
                <c:pt idx="94">
                  <c:v>3.203238019938312E-2</c:v>
                </c:pt>
                <c:pt idx="95">
                  <c:v>3.203238019938312E-2</c:v>
                </c:pt>
                <c:pt idx="96">
                  <c:v>3.203238019938312E-2</c:v>
                </c:pt>
                <c:pt idx="97">
                  <c:v>3.203238019938312E-2</c:v>
                </c:pt>
                <c:pt idx="98">
                  <c:v>3.203238019938312E-2</c:v>
                </c:pt>
                <c:pt idx="99">
                  <c:v>3.203238019938312E-2</c:v>
                </c:pt>
                <c:pt idx="100">
                  <c:v>3.203238019938312E-2</c:v>
                </c:pt>
                <c:pt idx="101">
                  <c:v>3.203238019938312E-2</c:v>
                </c:pt>
                <c:pt idx="102">
                  <c:v>3.203238019938312E-2</c:v>
                </c:pt>
                <c:pt idx="103">
                  <c:v>3.203238019938312E-2</c:v>
                </c:pt>
                <c:pt idx="104">
                  <c:v>3.203238019938312E-2</c:v>
                </c:pt>
                <c:pt idx="105">
                  <c:v>3.203238019938312E-2</c:v>
                </c:pt>
                <c:pt idx="106">
                  <c:v>3.203238019938312E-2</c:v>
                </c:pt>
                <c:pt idx="107">
                  <c:v>3.203238019938312E-2</c:v>
                </c:pt>
                <c:pt idx="108">
                  <c:v>3.203238019938312E-2</c:v>
                </c:pt>
                <c:pt idx="109">
                  <c:v>3.203238019938312E-2</c:v>
                </c:pt>
                <c:pt idx="110">
                  <c:v>3.203238019938312E-2</c:v>
                </c:pt>
                <c:pt idx="111">
                  <c:v>3.203238019938312E-2</c:v>
                </c:pt>
                <c:pt idx="112">
                  <c:v>3.203238019938312E-2</c:v>
                </c:pt>
                <c:pt idx="113">
                  <c:v>3.203238019938312E-2</c:v>
                </c:pt>
                <c:pt idx="114">
                  <c:v>3.203238019938312E-2</c:v>
                </c:pt>
                <c:pt idx="115">
                  <c:v>3.203238019938312E-2</c:v>
                </c:pt>
                <c:pt idx="116">
                  <c:v>3.203238019938312E-2</c:v>
                </c:pt>
                <c:pt idx="117">
                  <c:v>3.203238019938312E-2</c:v>
                </c:pt>
                <c:pt idx="118">
                  <c:v>3.203238019938312E-2</c:v>
                </c:pt>
                <c:pt idx="119">
                  <c:v>3.203238019938312E-2</c:v>
                </c:pt>
                <c:pt idx="120">
                  <c:v>3.203238019938312E-2</c:v>
                </c:pt>
                <c:pt idx="121">
                  <c:v>3.203238019938312E-2</c:v>
                </c:pt>
                <c:pt idx="122">
                  <c:v>3.203238019938312E-2</c:v>
                </c:pt>
                <c:pt idx="123">
                  <c:v>4.3682612599927138E-2</c:v>
                </c:pt>
                <c:pt idx="124">
                  <c:v>4.3682612599927138E-2</c:v>
                </c:pt>
                <c:pt idx="125">
                  <c:v>4.3682612599927138E-2</c:v>
                </c:pt>
                <c:pt idx="126">
                  <c:v>4.3682612599927138E-2</c:v>
                </c:pt>
                <c:pt idx="127">
                  <c:v>4.3682612599927138E-2</c:v>
                </c:pt>
                <c:pt idx="128">
                  <c:v>4.3682612599927138E-2</c:v>
                </c:pt>
                <c:pt idx="129">
                  <c:v>4.3682612599927138E-2</c:v>
                </c:pt>
                <c:pt idx="130">
                  <c:v>4.3682612599927138E-2</c:v>
                </c:pt>
                <c:pt idx="131">
                  <c:v>4.3682612599927138E-2</c:v>
                </c:pt>
                <c:pt idx="132">
                  <c:v>4.3682612599927138E-2</c:v>
                </c:pt>
                <c:pt idx="133">
                  <c:v>4.3682612599927138E-2</c:v>
                </c:pt>
                <c:pt idx="134">
                  <c:v>4.3682612599927138E-2</c:v>
                </c:pt>
                <c:pt idx="135">
                  <c:v>4.3682612599927138E-2</c:v>
                </c:pt>
                <c:pt idx="136">
                  <c:v>4.3682612599927138E-2</c:v>
                </c:pt>
                <c:pt idx="137">
                  <c:v>4.3682612599927138E-2</c:v>
                </c:pt>
                <c:pt idx="138">
                  <c:v>4.8570251346677334E-2</c:v>
                </c:pt>
                <c:pt idx="139">
                  <c:v>4.2924984492358501E-2</c:v>
                </c:pt>
                <c:pt idx="140">
                  <c:v>2.8979086181375121E-2</c:v>
                </c:pt>
                <c:pt idx="141">
                  <c:v>2.765431663595045E-2</c:v>
                </c:pt>
                <c:pt idx="142">
                  <c:v>4.6642896317676402E-2</c:v>
                </c:pt>
                <c:pt idx="143">
                  <c:v>5.1541310238452098E-2</c:v>
                </c:pt>
                <c:pt idx="144">
                  <c:v>5.1541310238452098E-2</c:v>
                </c:pt>
                <c:pt idx="145">
                  <c:v>4.819801262926713E-2</c:v>
                </c:pt>
                <c:pt idx="146">
                  <c:v>4.7525819181311227E-2</c:v>
                </c:pt>
                <c:pt idx="147">
                  <c:v>4.2723128170019414E-2</c:v>
                </c:pt>
                <c:pt idx="148">
                  <c:v>4.4937979429454912E-2</c:v>
                </c:pt>
                <c:pt idx="149">
                  <c:v>5.8726154627898083E-2</c:v>
                </c:pt>
                <c:pt idx="150">
                  <c:v>5.8726154627898083E-2</c:v>
                </c:pt>
                <c:pt idx="151">
                  <c:v>5.8726154627898083E-2</c:v>
                </c:pt>
                <c:pt idx="152">
                  <c:v>5.8726154627898083E-2</c:v>
                </c:pt>
                <c:pt idx="153">
                  <c:v>5.8726154627898083E-2</c:v>
                </c:pt>
                <c:pt idx="154">
                  <c:v>5.8726154627898083E-2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3-4356-88BA-34406E063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-1.6146908788098369E-2</c:v>
                </c:pt>
                <c:pt idx="2">
                  <c:v>-2.1023155857199168E-2</c:v>
                </c:pt>
                <c:pt idx="3">
                  <c:v>-3.230232327744384E-2</c:v>
                </c:pt>
                <c:pt idx="4">
                  <c:v>-4.8276411990771741E-2</c:v>
                </c:pt>
                <c:pt idx="5">
                  <c:v>-5.5939300708831477E-2</c:v>
                </c:pt>
                <c:pt idx="6">
                  <c:v>-5.2095072797176498E-2</c:v>
                </c:pt>
                <c:pt idx="7">
                  <c:v>-6.3943099793732847E-2</c:v>
                </c:pt>
                <c:pt idx="8">
                  <c:v>-6.5767521215282843E-2</c:v>
                </c:pt>
                <c:pt idx="9">
                  <c:v>-7.0300830046631346E-2</c:v>
                </c:pt>
                <c:pt idx="10">
                  <c:v>-7.610349129271915E-2</c:v>
                </c:pt>
                <c:pt idx="11">
                  <c:v>-6.821287820342814E-2</c:v>
                </c:pt>
                <c:pt idx="12">
                  <c:v>-8.3471667288322129E-2</c:v>
                </c:pt>
                <c:pt idx="13">
                  <c:v>-7.9864133843056309E-2</c:v>
                </c:pt>
                <c:pt idx="14">
                  <c:v>-8.5381504865965713E-2</c:v>
                </c:pt>
                <c:pt idx="15">
                  <c:v>-8.2960585314029112E-2</c:v>
                </c:pt>
                <c:pt idx="16">
                  <c:v>-7.219020222749914E-2</c:v>
                </c:pt>
                <c:pt idx="17">
                  <c:v>-7.345271840576123E-2</c:v>
                </c:pt>
                <c:pt idx="18">
                  <c:v>-7.0594451863081636E-2</c:v>
                </c:pt>
                <c:pt idx="19">
                  <c:v>-9.0808511541156267E-2</c:v>
                </c:pt>
                <c:pt idx="20">
                  <c:v>-7.5892130251598841E-2</c:v>
                </c:pt>
                <c:pt idx="21">
                  <c:v>-6.8630969347395987E-2</c:v>
                </c:pt>
                <c:pt idx="22">
                  <c:v>-6.8630969347395987E-2</c:v>
                </c:pt>
                <c:pt idx="23">
                  <c:v>-6.8630969347395987E-2</c:v>
                </c:pt>
                <c:pt idx="24">
                  <c:v>-6.8630969347395987E-2</c:v>
                </c:pt>
                <c:pt idx="25">
                  <c:v>-6.8630969347395987E-2</c:v>
                </c:pt>
                <c:pt idx="26">
                  <c:v>-6.8630969347395987E-2</c:v>
                </c:pt>
                <c:pt idx="27">
                  <c:v>-6.8630969347395987E-2</c:v>
                </c:pt>
                <c:pt idx="28">
                  <c:v>-7.0069973651810336E-2</c:v>
                </c:pt>
                <c:pt idx="29">
                  <c:v>-7.1581938668627457E-2</c:v>
                </c:pt>
                <c:pt idx="30">
                  <c:v>-7.1581938668627457E-2</c:v>
                </c:pt>
                <c:pt idx="31">
                  <c:v>-5.886155396477015E-2</c:v>
                </c:pt>
                <c:pt idx="32">
                  <c:v>-5.8572534952387123E-2</c:v>
                </c:pt>
                <c:pt idx="33">
                  <c:v>-5.8572534952387123E-2</c:v>
                </c:pt>
                <c:pt idx="34">
                  <c:v>-5.8572534952387123E-2</c:v>
                </c:pt>
                <c:pt idx="35">
                  <c:v>-5.8572534952387123E-2</c:v>
                </c:pt>
                <c:pt idx="36">
                  <c:v>-5.8572534952387123E-2</c:v>
                </c:pt>
                <c:pt idx="37">
                  <c:v>-5.8572534952387123E-2</c:v>
                </c:pt>
                <c:pt idx="38">
                  <c:v>-5.8572534952387123E-2</c:v>
                </c:pt>
                <c:pt idx="39">
                  <c:v>-5.8572534952387123E-2</c:v>
                </c:pt>
                <c:pt idx="40">
                  <c:v>-5.8572534952387123E-2</c:v>
                </c:pt>
                <c:pt idx="41">
                  <c:v>-5.8572534952387123E-2</c:v>
                </c:pt>
                <c:pt idx="42">
                  <c:v>-5.8572534952387123E-2</c:v>
                </c:pt>
                <c:pt idx="43">
                  <c:v>-5.8572534952387123E-2</c:v>
                </c:pt>
                <c:pt idx="44">
                  <c:v>-5.8572534952387123E-2</c:v>
                </c:pt>
                <c:pt idx="45">
                  <c:v>-5.8572534952387123E-2</c:v>
                </c:pt>
                <c:pt idx="46">
                  <c:v>-5.645735938548932E-2</c:v>
                </c:pt>
                <c:pt idx="47">
                  <c:v>-5.6451910810116739E-2</c:v>
                </c:pt>
                <c:pt idx="48">
                  <c:v>-5.6206780958243767E-2</c:v>
                </c:pt>
                <c:pt idx="49">
                  <c:v>-4.3148158438729045E-2</c:v>
                </c:pt>
                <c:pt idx="50">
                  <c:v>-4.3148158438729045E-2</c:v>
                </c:pt>
                <c:pt idx="51">
                  <c:v>-4.5900935543020396E-2</c:v>
                </c:pt>
                <c:pt idx="52">
                  <c:v>-4.2971688807097799E-2</c:v>
                </c:pt>
                <c:pt idx="53">
                  <c:v>-3.9104132090618186E-2</c:v>
                </c:pt>
                <c:pt idx="54">
                  <c:v>-4.6354480398921497E-2</c:v>
                </c:pt>
                <c:pt idx="55">
                  <c:v>-4.6090103533110806E-2</c:v>
                </c:pt>
                <c:pt idx="56">
                  <c:v>-2.1174212634354796E-2</c:v>
                </c:pt>
                <c:pt idx="57">
                  <c:v>-2.1174212634354796E-2</c:v>
                </c:pt>
                <c:pt idx="58">
                  <c:v>-2.1174212634354796E-2</c:v>
                </c:pt>
                <c:pt idx="59">
                  <c:v>-2.1174212634354796E-2</c:v>
                </c:pt>
                <c:pt idx="60">
                  <c:v>-2.1174212634354796E-2</c:v>
                </c:pt>
                <c:pt idx="61">
                  <c:v>-2.1174212634354796E-2</c:v>
                </c:pt>
                <c:pt idx="62">
                  <c:v>-2.1174212634354796E-2</c:v>
                </c:pt>
                <c:pt idx="63">
                  <c:v>-2.1174212634354796E-2</c:v>
                </c:pt>
                <c:pt idx="64">
                  <c:v>-2.1174212634354796E-2</c:v>
                </c:pt>
                <c:pt idx="65">
                  <c:v>-2.1174212634354796E-2</c:v>
                </c:pt>
                <c:pt idx="66">
                  <c:v>-2.1174212634354796E-2</c:v>
                </c:pt>
                <c:pt idx="67">
                  <c:v>-2.1174212634354796E-2</c:v>
                </c:pt>
                <c:pt idx="68">
                  <c:v>-2.1174212634354796E-2</c:v>
                </c:pt>
                <c:pt idx="69">
                  <c:v>-1.7520426668592777E-2</c:v>
                </c:pt>
                <c:pt idx="70">
                  <c:v>-1.3620704275129115E-2</c:v>
                </c:pt>
                <c:pt idx="71">
                  <c:v>-1.6170907662622244E-2</c:v>
                </c:pt>
                <c:pt idx="72">
                  <c:v>-1.0969543508503843E-2</c:v>
                </c:pt>
                <c:pt idx="73">
                  <c:v>-8.0881764507264274E-4</c:v>
                </c:pt>
                <c:pt idx="74">
                  <c:v>-8.0881764507264274E-4</c:v>
                </c:pt>
                <c:pt idx="75">
                  <c:v>-8.0881764507264274E-4</c:v>
                </c:pt>
                <c:pt idx="76">
                  <c:v>-8.0881764507264274E-4</c:v>
                </c:pt>
                <c:pt idx="77">
                  <c:v>-8.0881764507264274E-4</c:v>
                </c:pt>
                <c:pt idx="78">
                  <c:v>-8.0881764507264274E-4</c:v>
                </c:pt>
                <c:pt idx="79">
                  <c:v>-8.0881764507264274E-4</c:v>
                </c:pt>
                <c:pt idx="80">
                  <c:v>-8.0881764507264274E-4</c:v>
                </c:pt>
                <c:pt idx="81">
                  <c:v>-8.0881764507264274E-4</c:v>
                </c:pt>
                <c:pt idx="82">
                  <c:v>-8.0881764507264274E-4</c:v>
                </c:pt>
                <c:pt idx="83">
                  <c:v>-8.0881764507264274E-4</c:v>
                </c:pt>
                <c:pt idx="84">
                  <c:v>-8.0881764507264274E-4</c:v>
                </c:pt>
                <c:pt idx="85">
                  <c:v>-9.1730625563700013E-3</c:v>
                </c:pt>
                <c:pt idx="86">
                  <c:v>-7.6618813594345712E-3</c:v>
                </c:pt>
                <c:pt idx="87">
                  <c:v>-2.9941902764591714E-3</c:v>
                </c:pt>
                <c:pt idx="88">
                  <c:v>-6.8843705195169008E-3</c:v>
                </c:pt>
                <c:pt idx="89">
                  <c:v>1.6218142579847897E-2</c:v>
                </c:pt>
                <c:pt idx="90">
                  <c:v>1.6218142579847897E-2</c:v>
                </c:pt>
                <c:pt idx="91">
                  <c:v>1.6218142579847897E-2</c:v>
                </c:pt>
                <c:pt idx="92">
                  <c:v>1.6218142579847897E-2</c:v>
                </c:pt>
                <c:pt idx="93">
                  <c:v>1.6218142579847897E-2</c:v>
                </c:pt>
                <c:pt idx="94">
                  <c:v>-5.8957767291625308E-3</c:v>
                </c:pt>
                <c:pt idx="95">
                  <c:v>-5.5203194883383065E-4</c:v>
                </c:pt>
                <c:pt idx="96">
                  <c:v>-5.5203194883383065E-4</c:v>
                </c:pt>
                <c:pt idx="97">
                  <c:v>1.701500626482981E-2</c:v>
                </c:pt>
                <c:pt idx="98">
                  <c:v>1.8618903193091011E-2</c:v>
                </c:pt>
                <c:pt idx="99">
                  <c:v>-1.725631464975939E-2</c:v>
                </c:pt>
                <c:pt idx="100">
                  <c:v>1.1449897748480011E-2</c:v>
                </c:pt>
                <c:pt idx="101">
                  <c:v>1.3174595348531812E-2</c:v>
                </c:pt>
                <c:pt idx="102">
                  <c:v>-4.3955814707355469E-3</c:v>
                </c:pt>
                <c:pt idx="103">
                  <c:v>9.6999535929375331E-3</c:v>
                </c:pt>
                <c:pt idx="104">
                  <c:v>1.2304933541987553E-2</c:v>
                </c:pt>
                <c:pt idx="105">
                  <c:v>1.9025005777805314E-3</c:v>
                </c:pt>
                <c:pt idx="106">
                  <c:v>1.6338933281625841E-2</c:v>
                </c:pt>
                <c:pt idx="107">
                  <c:v>1.4269875346499041E-2</c:v>
                </c:pt>
                <c:pt idx="108">
                  <c:v>1.7900289681019119E-2</c:v>
                </c:pt>
                <c:pt idx="109">
                  <c:v>1.7900289681019119E-2</c:v>
                </c:pt>
                <c:pt idx="110">
                  <c:v>1.7900289681019119E-2</c:v>
                </c:pt>
                <c:pt idx="111">
                  <c:v>1.7900289681019119E-2</c:v>
                </c:pt>
                <c:pt idx="112">
                  <c:v>1.7900289681019119E-2</c:v>
                </c:pt>
                <c:pt idx="113">
                  <c:v>1.7900289681019119E-2</c:v>
                </c:pt>
                <c:pt idx="114">
                  <c:v>1.7900289681019119E-2</c:v>
                </c:pt>
                <c:pt idx="115">
                  <c:v>1.7900289681019119E-2</c:v>
                </c:pt>
                <c:pt idx="116">
                  <c:v>1.7900289681019119E-2</c:v>
                </c:pt>
                <c:pt idx="117">
                  <c:v>1.7900289681019119E-2</c:v>
                </c:pt>
                <c:pt idx="118">
                  <c:v>1.7900289681019119E-2</c:v>
                </c:pt>
                <c:pt idx="119">
                  <c:v>2.256388972286566E-2</c:v>
                </c:pt>
                <c:pt idx="120">
                  <c:v>3.6415612819028359E-2</c:v>
                </c:pt>
                <c:pt idx="121">
                  <c:v>5.7324234051894567E-2</c:v>
                </c:pt>
                <c:pt idx="122">
                  <c:v>8.6991787652573677E-2</c:v>
                </c:pt>
                <c:pt idx="123">
                  <c:v>9.8642020053117702E-2</c:v>
                </c:pt>
                <c:pt idx="124">
                  <c:v>9.8642020053117702E-2</c:v>
                </c:pt>
                <c:pt idx="125">
                  <c:v>9.8642020053117702E-2</c:v>
                </c:pt>
                <c:pt idx="126">
                  <c:v>9.8642020053117702E-2</c:v>
                </c:pt>
                <c:pt idx="127">
                  <c:v>9.8642020053117702E-2</c:v>
                </c:pt>
                <c:pt idx="128">
                  <c:v>9.8642020053117702E-2</c:v>
                </c:pt>
                <c:pt idx="129">
                  <c:v>9.8642020053117702E-2</c:v>
                </c:pt>
                <c:pt idx="130">
                  <c:v>9.8642020053117702E-2</c:v>
                </c:pt>
                <c:pt idx="131">
                  <c:v>9.8642020053117702E-2</c:v>
                </c:pt>
                <c:pt idx="132">
                  <c:v>9.8642020053117702E-2</c:v>
                </c:pt>
                <c:pt idx="133">
                  <c:v>9.8642020053117702E-2</c:v>
                </c:pt>
                <c:pt idx="134">
                  <c:v>9.8642020053117702E-2</c:v>
                </c:pt>
                <c:pt idx="135">
                  <c:v>9.8642020053117702E-2</c:v>
                </c:pt>
                <c:pt idx="136">
                  <c:v>9.8642020053117702E-2</c:v>
                </c:pt>
                <c:pt idx="137">
                  <c:v>9.8642020053117702E-2</c:v>
                </c:pt>
                <c:pt idx="138">
                  <c:v>0.1035296587998679</c:v>
                </c:pt>
                <c:pt idx="139">
                  <c:v>9.7884391945549071E-2</c:v>
                </c:pt>
                <c:pt idx="140">
                  <c:v>8.3938493634565695E-2</c:v>
                </c:pt>
                <c:pt idx="141">
                  <c:v>8.2613724089141027E-2</c:v>
                </c:pt>
                <c:pt idx="142">
                  <c:v>0.10160230377086699</c:v>
                </c:pt>
                <c:pt idx="143">
                  <c:v>0.10650071769164268</c:v>
                </c:pt>
                <c:pt idx="144">
                  <c:v>0.10650071769164268</c:v>
                </c:pt>
                <c:pt idx="145">
                  <c:v>0.10315742008245771</c:v>
                </c:pt>
                <c:pt idx="146">
                  <c:v>0.10248522663450181</c:v>
                </c:pt>
                <c:pt idx="147">
                  <c:v>9.7682535623209998E-2</c:v>
                </c:pt>
                <c:pt idx="148">
                  <c:v>9.9897386882645503E-2</c:v>
                </c:pt>
                <c:pt idx="149">
                  <c:v>0.11368556208108867</c:v>
                </c:pt>
                <c:pt idx="150">
                  <c:v>0.11368556208108867</c:v>
                </c:pt>
                <c:pt idx="151">
                  <c:v>0.11368556208108867</c:v>
                </c:pt>
                <c:pt idx="152">
                  <c:v>0.11368556208108867</c:v>
                </c:pt>
                <c:pt idx="153">
                  <c:v>0.11368556208108867</c:v>
                </c:pt>
                <c:pt idx="154">
                  <c:v>0.11368556208108867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8-4CCA-BA44-E6B6C70E2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203A9-EFF0-4A6B-9E79-57FDACB94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89C57F-C8D1-4B3C-8E9D-4BF49331E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FEF28-E274-4D82-A1E2-47679EDFE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60261-F308-4211-8C63-941509E7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1D817F-7369-499E-B5A1-33B1E12CB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0A4E31-471C-4FAF-A462-A528EE21A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4DD9EB-FE89-46D1-A6F0-3C4EFBD4B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KBE_KBWB_0.xlsx" TargetMode="External"/><Relationship Id="rId1" Type="http://schemas.openxmlformats.org/officeDocument/2006/relationships/externalLinkPath" Target="KBE_KBW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 xml:space="preserve"> KBWB/KBE avg </v>
          </cell>
          <cell r="P1" t="str">
            <v xml:space="preserve"> KBWB/KBE 10 dma </v>
          </cell>
          <cell r="Q1" t="str">
            <v xml:space="preserve"> KBWB/KBE 20 dma </v>
          </cell>
          <cell r="U1" t="str">
            <v>log diff KBE x avg / KBWB</v>
          </cell>
          <cell r="V1" t="str">
            <v>log diff KBE x 10 dma / KBWB</v>
          </cell>
          <cell r="W1" t="str">
            <v>log diff KBE x 20 dma / KBWB</v>
          </cell>
          <cell r="Y1" t="str">
            <v xml:space="preserve"> KBWB*/KBE* avg </v>
          </cell>
          <cell r="Z1" t="str">
            <v xml:space="preserve"> KBWB*/KBE* 10 dma </v>
          </cell>
          <cell r="AA1" t="str">
            <v xml:space="preserve"> KBWB*/KBE* 20 dma </v>
          </cell>
          <cell r="AE1" t="str">
            <v>log diff KBE* x avg / KBWB*</v>
          </cell>
          <cell r="AF1" t="str">
            <v>log diff KBE* x 10 dma / KBWB*</v>
          </cell>
          <cell r="AG1" t="str">
            <v>log diff KBE* x 20 dma / KBWB*</v>
          </cell>
        </row>
        <row r="2">
          <cell r="O2">
            <v>1.3664000000000001</v>
          </cell>
          <cell r="Y2">
            <v>1.3664000000000001</v>
          </cell>
        </row>
        <row r="3">
          <cell r="O3">
            <v>1.3664000000000001</v>
          </cell>
          <cell r="U3">
            <v>-2.9739999999999999E-2</v>
          </cell>
          <cell r="Y3">
            <v>1.3664000000000001</v>
          </cell>
          <cell r="AE3">
            <v>-2.9739999999999999E-2</v>
          </cell>
        </row>
        <row r="4">
          <cell r="O4">
            <v>1.3664000000000001</v>
          </cell>
          <cell r="U4">
            <v>-2.9964999999999999E-2</v>
          </cell>
          <cell r="Y4">
            <v>1.3664000000000001</v>
          </cell>
          <cell r="AE4">
            <v>-2.9964999999999999E-2</v>
          </cell>
        </row>
        <row r="5">
          <cell r="O5">
            <v>1.3664000000000001</v>
          </cell>
          <cell r="U5">
            <v>-2.2520999999999999E-2</v>
          </cell>
          <cell r="Y5">
            <v>1.3664000000000001</v>
          </cell>
          <cell r="AE5">
            <v>-2.2520999999999999E-2</v>
          </cell>
        </row>
        <row r="6">
          <cell r="O6">
            <v>1.3664000000000001</v>
          </cell>
          <cell r="U6">
            <v>-1.2663000000000001E-2</v>
          </cell>
          <cell r="Y6">
            <v>1.3664000000000001</v>
          </cell>
          <cell r="AE6">
            <v>-1.2663000000000001E-2</v>
          </cell>
        </row>
        <row r="7">
          <cell r="O7">
            <v>1.3664000000000001</v>
          </cell>
          <cell r="U7">
            <v>-1.3635E-2</v>
          </cell>
          <cell r="Y7">
            <v>1.3664000000000001</v>
          </cell>
          <cell r="AE7">
            <v>-1.3635E-2</v>
          </cell>
        </row>
        <row r="8">
          <cell r="O8">
            <v>1.3664000000000001</v>
          </cell>
          <cell r="U8">
            <v>-1.7075E-2</v>
          </cell>
          <cell r="Y8">
            <v>1.3664000000000001</v>
          </cell>
          <cell r="AE8">
            <v>-1.7075E-2</v>
          </cell>
        </row>
        <row r="9">
          <cell r="O9">
            <v>1.3664000000000001</v>
          </cell>
          <cell r="U9">
            <v>-1.3346999999999999E-2</v>
          </cell>
          <cell r="Y9">
            <v>1.3664000000000001</v>
          </cell>
          <cell r="AE9">
            <v>-1.3346999999999999E-2</v>
          </cell>
        </row>
        <row r="10">
          <cell r="O10">
            <v>1.3664000000000001</v>
          </cell>
          <cell r="U10">
            <v>2.4689999999999998E-3</v>
          </cell>
          <cell r="Y10">
            <v>1.3664000000000001</v>
          </cell>
          <cell r="AE10">
            <v>2.4689999999999998E-3</v>
          </cell>
        </row>
        <row r="11">
          <cell r="O11">
            <v>1.3664000000000001</v>
          </cell>
          <cell r="P11">
            <v>1.3882000000000001</v>
          </cell>
          <cell r="U11">
            <v>4.1200000000000004E-3</v>
          </cell>
          <cell r="Y11">
            <v>1.3664000000000001</v>
          </cell>
          <cell r="Z11">
            <v>1.3882000000000001</v>
          </cell>
          <cell r="AE11">
            <v>4.1200000000000004E-3</v>
          </cell>
        </row>
        <row r="12">
          <cell r="O12">
            <v>1.3664000000000001</v>
          </cell>
          <cell r="P12">
            <v>1.3842000000000001</v>
          </cell>
          <cell r="U12">
            <v>3.444E-3</v>
          </cell>
          <cell r="V12">
            <v>1.9317999999999998E-2</v>
          </cell>
          <cell r="Y12">
            <v>1.3664000000000001</v>
          </cell>
          <cell r="Z12">
            <v>1.3842000000000001</v>
          </cell>
          <cell r="AE12">
            <v>3.444E-3</v>
          </cell>
          <cell r="AF12">
            <v>1.9317999999999998E-2</v>
          </cell>
        </row>
        <row r="13">
          <cell r="O13">
            <v>1.3664000000000001</v>
          </cell>
          <cell r="P13">
            <v>1.3793</v>
          </cell>
          <cell r="U13">
            <v>5.4920000000000004E-3</v>
          </cell>
          <cell r="V13">
            <v>1.8457000000000001E-2</v>
          </cell>
          <cell r="Y13">
            <v>1.3664000000000001</v>
          </cell>
          <cell r="Z13">
            <v>1.3793</v>
          </cell>
          <cell r="AE13">
            <v>5.4920000000000004E-3</v>
          </cell>
          <cell r="AF13">
            <v>1.8457000000000001E-2</v>
          </cell>
        </row>
        <row r="14">
          <cell r="O14">
            <v>1.3664000000000001</v>
          </cell>
          <cell r="P14">
            <v>1.3716999999999999</v>
          </cell>
          <cell r="U14">
            <v>2.6144000000000001E-2</v>
          </cell>
          <cell r="V14">
            <v>3.5582000000000003E-2</v>
          </cell>
          <cell r="Y14">
            <v>1.3664000000000001</v>
          </cell>
          <cell r="Z14">
            <v>1.3716999999999999</v>
          </cell>
          <cell r="AE14">
            <v>2.6144000000000001E-2</v>
          </cell>
          <cell r="AF14">
            <v>3.5582000000000003E-2</v>
          </cell>
        </row>
        <row r="15">
          <cell r="O15">
            <v>1.3664000000000001</v>
          </cell>
          <cell r="P15">
            <v>1.365</v>
          </cell>
          <cell r="U15">
            <v>2.622E-2</v>
          </cell>
          <cell r="V15">
            <v>3.0072999999999999E-2</v>
          </cell>
          <cell r="Y15">
            <v>1.3664000000000001</v>
          </cell>
          <cell r="Z15">
            <v>1.365</v>
          </cell>
          <cell r="AE15">
            <v>2.622E-2</v>
          </cell>
          <cell r="AF15">
            <v>3.0072999999999999E-2</v>
          </cell>
        </row>
        <row r="16">
          <cell r="O16">
            <v>1.3664000000000001</v>
          </cell>
          <cell r="P16">
            <v>1.3611</v>
          </cell>
          <cell r="U16">
            <v>1.6275000000000001E-2</v>
          </cell>
          <cell r="V16">
            <v>1.5270000000000001E-2</v>
          </cell>
          <cell r="Y16">
            <v>1.3664000000000001</v>
          </cell>
          <cell r="Z16">
            <v>1.3611</v>
          </cell>
          <cell r="AE16">
            <v>1.6275000000000001E-2</v>
          </cell>
          <cell r="AF16">
            <v>1.5270000000000001E-2</v>
          </cell>
        </row>
        <row r="17">
          <cell r="O17">
            <v>1.3664000000000001</v>
          </cell>
          <cell r="P17">
            <v>1.3573999999999999</v>
          </cell>
          <cell r="U17">
            <v>1.3339999999999999E-2</v>
          </cell>
          <cell r="V17">
            <v>9.4389999999999995E-3</v>
          </cell>
          <cell r="Y17">
            <v>1.3664000000000001</v>
          </cell>
          <cell r="Z17">
            <v>1.3573999999999999</v>
          </cell>
          <cell r="AE17">
            <v>1.3339999999999999E-2</v>
          </cell>
          <cell r="AF17">
            <v>9.4389999999999995E-3</v>
          </cell>
        </row>
        <row r="18">
          <cell r="O18">
            <v>1.3664000000000001</v>
          </cell>
          <cell r="P18">
            <v>1.3533999999999999</v>
          </cell>
          <cell r="U18">
            <v>1.1967E-2</v>
          </cell>
          <cell r="V18">
            <v>5.3540000000000003E-3</v>
          </cell>
          <cell r="Y18">
            <v>1.3664000000000001</v>
          </cell>
          <cell r="Z18">
            <v>1.3533999999999999</v>
          </cell>
          <cell r="AE18">
            <v>1.1967E-2</v>
          </cell>
          <cell r="AF18">
            <v>5.3540000000000003E-3</v>
          </cell>
        </row>
        <row r="19">
          <cell r="O19">
            <v>1.3664000000000001</v>
          </cell>
          <cell r="P19">
            <v>1.35</v>
          </cell>
          <cell r="U19">
            <v>1.159E-2</v>
          </cell>
          <cell r="V19">
            <v>2.042E-3</v>
          </cell>
          <cell r="Y19">
            <v>1.3664000000000001</v>
          </cell>
          <cell r="Z19">
            <v>1.35</v>
          </cell>
          <cell r="AE19">
            <v>1.159E-2</v>
          </cell>
          <cell r="AF19">
            <v>2.042E-3</v>
          </cell>
        </row>
        <row r="20">
          <cell r="O20">
            <v>1.3664000000000001</v>
          </cell>
          <cell r="P20">
            <v>1.3483000000000001</v>
          </cell>
          <cell r="U20">
            <v>1.4926999999999999E-2</v>
          </cell>
          <cell r="V20">
            <v>2.8549999999999999E-3</v>
          </cell>
          <cell r="Y20">
            <v>1.3664000000000001</v>
          </cell>
          <cell r="Z20">
            <v>1.3483000000000001</v>
          </cell>
          <cell r="AE20">
            <v>1.4926999999999999E-2</v>
          </cell>
          <cell r="AF20">
            <v>2.8549999999999999E-3</v>
          </cell>
        </row>
        <row r="21">
          <cell r="O21">
            <v>1.3664000000000001</v>
          </cell>
          <cell r="P21">
            <v>1.3478000000000001</v>
          </cell>
          <cell r="Q21">
            <v>1.3680000000000001</v>
          </cell>
          <cell r="U21">
            <v>7.6360000000000004E-3</v>
          </cell>
          <cell r="V21">
            <v>-5.6860000000000001E-3</v>
          </cell>
          <cell r="Y21">
            <v>1.3664000000000001</v>
          </cell>
          <cell r="Z21">
            <v>1.3478000000000001</v>
          </cell>
          <cell r="AA21">
            <v>1.3680000000000001</v>
          </cell>
          <cell r="AE21">
            <v>7.6360000000000004E-3</v>
          </cell>
          <cell r="AF21">
            <v>-5.6860000000000001E-3</v>
          </cell>
        </row>
        <row r="22">
          <cell r="O22">
            <v>1.3664000000000001</v>
          </cell>
          <cell r="P22">
            <v>1.3474999999999999</v>
          </cell>
          <cell r="Q22">
            <v>1.3658999999999999</v>
          </cell>
          <cell r="U22">
            <v>5.5929999999999999E-3</v>
          </cell>
          <cell r="V22">
            <v>-8.0839999999999992E-3</v>
          </cell>
          <cell r="W22">
            <v>6.7999999999999996E-3</v>
          </cell>
          <cell r="Y22">
            <v>1.3664000000000001</v>
          </cell>
          <cell r="Z22">
            <v>1.3474999999999999</v>
          </cell>
          <cell r="AA22">
            <v>1.3658999999999999</v>
          </cell>
          <cell r="AE22">
            <v>5.5929999999999999E-3</v>
          </cell>
          <cell r="AF22">
            <v>-8.0839999999999992E-3</v>
          </cell>
          <cell r="AG22">
            <v>6.7999999999999996E-3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1.3664000000000001</v>
          </cell>
          <cell r="P23">
            <v>1.3471</v>
          </cell>
          <cell r="Q23">
            <v>1.3632</v>
          </cell>
          <cell r="U23">
            <v>8.7779999999999993E-3</v>
          </cell>
          <cell r="V23">
            <v>-5.1149999999999998E-3</v>
          </cell>
          <cell r="W23">
            <v>8.404E-3</v>
          </cell>
          <cell r="Y23">
            <v>1.3664000000000001</v>
          </cell>
          <cell r="Z23">
            <v>1.3471</v>
          </cell>
          <cell r="AA23">
            <v>1.3632</v>
          </cell>
          <cell r="AE23">
            <v>8.7779999999999993E-3</v>
          </cell>
          <cell r="AF23">
            <v>-5.1149999999999998E-3</v>
          </cell>
          <cell r="AG23">
            <v>8.404E-3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1.3664000000000001</v>
          </cell>
          <cell r="P24">
            <v>1.3484</v>
          </cell>
          <cell r="Q24">
            <v>1.36</v>
          </cell>
          <cell r="U24">
            <v>1.6293999999999999E-2</v>
          </cell>
          <cell r="V24">
            <v>2.0690000000000001E-3</v>
          </cell>
          <cell r="W24">
            <v>1.3971000000000001E-2</v>
          </cell>
          <cell r="Y24">
            <v>1.3664000000000001</v>
          </cell>
          <cell r="Z24">
            <v>1.3484</v>
          </cell>
          <cell r="AA24">
            <v>1.36</v>
          </cell>
          <cell r="AE24">
            <v>1.6293999999999999E-2</v>
          </cell>
          <cell r="AF24">
            <v>2.0690000000000001E-3</v>
          </cell>
          <cell r="AG24">
            <v>1.3971000000000001E-2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1.3664000000000001</v>
          </cell>
          <cell r="P25">
            <v>1.3486</v>
          </cell>
          <cell r="Q25">
            <v>1.3568</v>
          </cell>
          <cell r="U25">
            <v>2.4974E-2</v>
          </cell>
          <cell r="V25">
            <v>1.1728000000000001E-2</v>
          </cell>
          <cell r="W25">
            <v>2.0313999999999999E-2</v>
          </cell>
          <cell r="Y25">
            <v>1.3664000000000001</v>
          </cell>
          <cell r="Z25">
            <v>1.3486</v>
          </cell>
          <cell r="AA25">
            <v>1.3568</v>
          </cell>
          <cell r="AE25">
            <v>2.4974E-2</v>
          </cell>
          <cell r="AF25">
            <v>1.1728000000000001E-2</v>
          </cell>
          <cell r="AG25">
            <v>2.0313999999999999E-2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1.3664000000000001</v>
          </cell>
          <cell r="P26">
            <v>1.3485</v>
          </cell>
          <cell r="Q26">
            <v>1.3548</v>
          </cell>
          <cell r="U26">
            <v>1.6504000000000001E-2</v>
          </cell>
          <cell r="V26">
            <v>3.3800000000000002E-3</v>
          </cell>
          <cell r="W26">
            <v>9.4579999999999994E-3</v>
          </cell>
          <cell r="Y26">
            <v>1.3664000000000001</v>
          </cell>
          <cell r="Z26">
            <v>1.3485</v>
          </cell>
          <cell r="AA26">
            <v>1.3548</v>
          </cell>
          <cell r="AE26">
            <v>1.6504000000000001E-2</v>
          </cell>
          <cell r="AF26">
            <v>3.3800000000000002E-3</v>
          </cell>
          <cell r="AG26">
            <v>9.4579999999999994E-3</v>
          </cell>
          <cell r="AR26">
            <v>0</v>
          </cell>
          <cell r="BC26">
            <v>8.4699999999999984E-3</v>
          </cell>
          <cell r="BF26">
            <v>8.4699999999999984E-3</v>
          </cell>
        </row>
        <row r="27">
          <cell r="O27">
            <v>1.3664000000000001</v>
          </cell>
          <cell r="P27">
            <v>1.3486</v>
          </cell>
          <cell r="Q27">
            <v>1.353</v>
          </cell>
          <cell r="U27">
            <v>1.3025E-2</v>
          </cell>
          <cell r="V27">
            <v>-1.22E-4</v>
          </cell>
          <cell r="W27">
            <v>4.5120000000000004E-3</v>
          </cell>
          <cell r="Y27">
            <v>1.3664000000000001</v>
          </cell>
          <cell r="Z27">
            <v>1.3486</v>
          </cell>
          <cell r="AA27">
            <v>1.353</v>
          </cell>
          <cell r="AE27">
            <v>1.3025E-2</v>
          </cell>
          <cell r="AF27">
            <v>-1.22E-4</v>
          </cell>
          <cell r="AG27">
            <v>4.5120000000000004E-3</v>
          </cell>
          <cell r="AR27">
            <v>0</v>
          </cell>
          <cell r="BC27">
            <v>1.1948999999999998E-2</v>
          </cell>
          <cell r="BF27">
            <v>1.1948999999999998E-2</v>
          </cell>
        </row>
        <row r="28">
          <cell r="O28">
            <v>1.3664000000000001</v>
          </cell>
          <cell r="P28">
            <v>1.3482000000000001</v>
          </cell>
          <cell r="Q28">
            <v>1.3508</v>
          </cell>
          <cell r="U28">
            <v>1.4446000000000001E-2</v>
          </cell>
          <cell r="V28">
            <v>1.3309999999999999E-3</v>
          </cell>
          <cell r="W28">
            <v>4.5880000000000001E-3</v>
          </cell>
          <cell r="Y28">
            <v>1.3664000000000001</v>
          </cell>
          <cell r="Z28">
            <v>1.3482000000000001</v>
          </cell>
          <cell r="AA28">
            <v>1.3508</v>
          </cell>
          <cell r="AE28">
            <v>1.4446000000000001E-2</v>
          </cell>
          <cell r="AF28">
            <v>1.3309999999999999E-3</v>
          </cell>
          <cell r="AG28">
            <v>4.5880000000000001E-3</v>
          </cell>
          <cell r="AR28">
            <v>0</v>
          </cell>
          <cell r="BC28">
            <v>1.1948999999999998E-2</v>
          </cell>
          <cell r="BF28">
            <v>1.1948999999999998E-2</v>
          </cell>
        </row>
        <row r="29">
          <cell r="O29">
            <v>1.3664000000000001</v>
          </cell>
          <cell r="P29">
            <v>1.3472999999999999</v>
          </cell>
          <cell r="Q29">
            <v>1.3487</v>
          </cell>
          <cell r="U29">
            <v>1.8454000000000002E-2</v>
          </cell>
          <cell r="V29">
            <v>5.091E-3</v>
          </cell>
          <cell r="W29">
            <v>7.0000000000000001E-3</v>
          </cell>
          <cell r="Y29">
            <v>1.3664000000000001</v>
          </cell>
          <cell r="Z29">
            <v>1.3472999999999999</v>
          </cell>
          <cell r="AA29">
            <v>1.3487</v>
          </cell>
          <cell r="AE29">
            <v>1.8454000000000002E-2</v>
          </cell>
          <cell r="AF29">
            <v>5.091E-3</v>
          </cell>
          <cell r="AG29">
            <v>7.0000000000000001E-3</v>
          </cell>
          <cell r="AR29">
            <v>0</v>
          </cell>
          <cell r="BC29">
            <v>1.1948999999999998E-2</v>
          </cell>
          <cell r="BF29">
            <v>1.1948999999999998E-2</v>
          </cell>
        </row>
        <row r="30">
          <cell r="O30">
            <v>1.3664000000000001</v>
          </cell>
          <cell r="P30">
            <v>1.3446</v>
          </cell>
          <cell r="Q30">
            <v>1.3464</v>
          </cell>
          <cell r="U30">
            <v>3.5437000000000003E-2</v>
          </cell>
          <cell r="V30">
            <v>2.1388999999999998E-2</v>
          </cell>
          <cell r="W30">
            <v>2.2377999999999999E-2</v>
          </cell>
          <cell r="Y30">
            <v>1.3664000000000001</v>
          </cell>
          <cell r="Z30">
            <v>1.3446</v>
          </cell>
          <cell r="AA30">
            <v>1.3464</v>
          </cell>
          <cell r="AE30">
            <v>3.5437000000000003E-2</v>
          </cell>
          <cell r="AF30">
            <v>2.1388999999999998E-2</v>
          </cell>
          <cell r="AG30">
            <v>2.2377999999999999E-2</v>
          </cell>
          <cell r="AR30">
            <v>0</v>
          </cell>
          <cell r="BC30">
            <v>1.1948999999999998E-2</v>
          </cell>
          <cell r="BF30">
            <v>1.1948999999999998E-2</v>
          </cell>
        </row>
        <row r="31">
          <cell r="O31">
            <v>1.3664000000000001</v>
          </cell>
          <cell r="P31">
            <v>1.3405</v>
          </cell>
          <cell r="Q31">
            <v>1.3442000000000001</v>
          </cell>
          <cell r="U31">
            <v>3.8134000000000001E-2</v>
          </cell>
          <cell r="V31">
            <v>2.2055000000000002E-2</v>
          </cell>
          <cell r="W31">
            <v>2.3434E-2</v>
          </cell>
          <cell r="Y31">
            <v>1.3664000000000001</v>
          </cell>
          <cell r="Z31">
            <v>1.3405</v>
          </cell>
          <cell r="AA31">
            <v>1.3442000000000001</v>
          </cell>
          <cell r="AE31">
            <v>3.8134000000000001E-2</v>
          </cell>
          <cell r="AF31">
            <v>2.2055000000000002E-2</v>
          </cell>
          <cell r="AG31">
            <v>2.3434E-2</v>
          </cell>
          <cell r="AR31">
            <v>0</v>
          </cell>
          <cell r="BC31">
            <v>9.2529999999999973E-3</v>
          </cell>
          <cell r="BF31">
            <v>9.2529999999999973E-3</v>
          </cell>
        </row>
        <row r="32">
          <cell r="O32">
            <v>1.3664000000000001</v>
          </cell>
          <cell r="P32">
            <v>1.3365</v>
          </cell>
          <cell r="Q32">
            <v>1.3420000000000001</v>
          </cell>
          <cell r="U32">
            <v>3.5673999999999997E-2</v>
          </cell>
          <cell r="V32">
            <v>1.6562E-2</v>
          </cell>
          <cell r="W32">
            <v>1.9283000000000002E-2</v>
          </cell>
          <cell r="Y32">
            <v>1.3664000000000001</v>
          </cell>
          <cell r="Z32">
            <v>1.3365</v>
          </cell>
          <cell r="AA32">
            <v>1.3420000000000001</v>
          </cell>
          <cell r="AE32">
            <v>3.5673999999999997E-2</v>
          </cell>
          <cell r="AF32">
            <v>1.6562E-2</v>
          </cell>
          <cell r="AG32">
            <v>1.9283000000000002E-2</v>
          </cell>
          <cell r="AR32">
            <v>0</v>
          </cell>
          <cell r="BC32">
            <v>1.1711999999999997E-2</v>
          </cell>
          <cell r="BF32">
            <v>1.1711999999999997E-2</v>
          </cell>
        </row>
        <row r="33">
          <cell r="O33">
            <v>1.3664000000000001</v>
          </cell>
          <cell r="P33">
            <v>1.3347</v>
          </cell>
          <cell r="Q33">
            <v>1.3409</v>
          </cell>
          <cell r="U33">
            <v>2.2380000000000001E-2</v>
          </cell>
          <cell r="V33">
            <v>2.5900000000000001E-4</v>
          </cell>
          <cell r="W33">
            <v>4.3819999999999996E-3</v>
          </cell>
          <cell r="Y33">
            <v>1.3664000000000001</v>
          </cell>
          <cell r="Z33">
            <v>1.3347</v>
          </cell>
          <cell r="AA33">
            <v>1.3409</v>
          </cell>
          <cell r="AE33">
            <v>2.2380000000000001E-2</v>
          </cell>
          <cell r="AF33">
            <v>2.5900000000000001E-4</v>
          </cell>
          <cell r="AG33">
            <v>4.3819999999999996E-3</v>
          </cell>
          <cell r="AR33">
            <v>0</v>
          </cell>
          <cell r="BC33">
            <v>2.5005999999999997E-2</v>
          </cell>
          <cell r="BF33">
            <v>2.5005999999999997E-2</v>
          </cell>
        </row>
        <row r="34">
          <cell r="O34">
            <v>1.3664000000000001</v>
          </cell>
          <cell r="P34">
            <v>1.3331</v>
          </cell>
          <cell r="Q34">
            <v>1.3407</v>
          </cell>
          <cell r="U34">
            <v>2.8187E-2</v>
          </cell>
          <cell r="V34">
            <v>4.6959999999999997E-3</v>
          </cell>
          <cell r="W34">
            <v>9.3399999999999993E-3</v>
          </cell>
          <cell r="Y34">
            <v>1.3664000000000001</v>
          </cell>
          <cell r="Z34">
            <v>1.3331</v>
          </cell>
          <cell r="AA34">
            <v>1.3407</v>
          </cell>
          <cell r="AE34">
            <v>2.8187E-2</v>
          </cell>
          <cell r="AF34">
            <v>4.6959999999999997E-3</v>
          </cell>
          <cell r="AG34">
            <v>9.3399999999999993E-3</v>
          </cell>
          <cell r="AR34">
            <v>0</v>
          </cell>
          <cell r="BC34">
            <v>2.5005999999999997E-2</v>
          </cell>
          <cell r="BF34">
            <v>2.5005999999999997E-2</v>
          </cell>
        </row>
        <row r="35">
          <cell r="O35">
            <v>1.3664000000000001</v>
          </cell>
          <cell r="P35">
            <v>1.3327</v>
          </cell>
          <cell r="Q35">
            <v>1.3406</v>
          </cell>
          <cell r="U35">
            <v>2.7692999999999999E-2</v>
          </cell>
          <cell r="V35">
            <v>3.0109999999999998E-3</v>
          </cell>
          <cell r="W35">
            <v>8.7449999999999993E-3</v>
          </cell>
          <cell r="Y35">
            <v>1.3664000000000001</v>
          </cell>
          <cell r="Z35">
            <v>1.3327</v>
          </cell>
          <cell r="AA35">
            <v>1.3406</v>
          </cell>
          <cell r="AE35">
            <v>2.7692999999999999E-2</v>
          </cell>
          <cell r="AF35">
            <v>3.0109999999999998E-3</v>
          </cell>
          <cell r="AG35">
            <v>8.7449999999999993E-3</v>
          </cell>
          <cell r="AR35">
            <v>0</v>
          </cell>
          <cell r="BC35">
            <v>2.5005999999999997E-2</v>
          </cell>
          <cell r="BF35">
            <v>2.5005999999999997E-2</v>
          </cell>
        </row>
        <row r="36">
          <cell r="O36">
            <v>1.3664000000000001</v>
          </cell>
          <cell r="P36">
            <v>1.3310999999999999</v>
          </cell>
          <cell r="Q36">
            <v>1.3398000000000001</v>
          </cell>
          <cell r="U36">
            <v>2.8199999999999999E-2</v>
          </cell>
          <cell r="V36">
            <v>3.2460000000000002E-3</v>
          </cell>
          <cell r="W36">
            <v>9.1780000000000004E-3</v>
          </cell>
          <cell r="Y36">
            <v>1.3664000000000001</v>
          </cell>
          <cell r="Z36">
            <v>1.3310999999999999</v>
          </cell>
          <cell r="AA36">
            <v>1.3398000000000001</v>
          </cell>
          <cell r="AE36">
            <v>2.8199999999999999E-2</v>
          </cell>
          <cell r="AF36">
            <v>3.2460000000000002E-3</v>
          </cell>
          <cell r="AG36">
            <v>9.1780000000000004E-3</v>
          </cell>
          <cell r="AR36">
            <v>0</v>
          </cell>
          <cell r="BC36">
            <v>2.5005999999999997E-2</v>
          </cell>
          <cell r="BF36">
            <v>2.5005999999999997E-2</v>
          </cell>
        </row>
        <row r="37">
          <cell r="O37">
            <v>1.3664000000000001</v>
          </cell>
          <cell r="P37">
            <v>1.3288</v>
          </cell>
          <cell r="Q37">
            <v>1.3387</v>
          </cell>
          <cell r="U37">
            <v>3.0481999999999999E-2</v>
          </cell>
          <cell r="V37">
            <v>4.3540000000000002E-3</v>
          </cell>
          <cell r="W37">
            <v>1.0866000000000001E-2</v>
          </cell>
          <cell r="Y37">
            <v>1.3664000000000001</v>
          </cell>
          <cell r="Z37">
            <v>1.3288</v>
          </cell>
          <cell r="AA37">
            <v>1.3387</v>
          </cell>
          <cell r="AE37">
            <v>3.0481999999999999E-2</v>
          </cell>
          <cell r="AF37">
            <v>4.3540000000000002E-3</v>
          </cell>
          <cell r="AG37">
            <v>1.0866000000000001E-2</v>
          </cell>
          <cell r="AR37">
            <v>0</v>
          </cell>
          <cell r="BC37">
            <v>2.5005999999999997E-2</v>
          </cell>
          <cell r="BF37">
            <v>2.5005999999999997E-2</v>
          </cell>
        </row>
        <row r="38">
          <cell r="O38">
            <v>1.3664000000000001</v>
          </cell>
          <cell r="P38">
            <v>1.3275999999999999</v>
          </cell>
          <cell r="Q38">
            <v>1.3379000000000001</v>
          </cell>
          <cell r="U38">
            <v>2.3817000000000001E-2</v>
          </cell>
          <cell r="V38">
            <v>-4.065E-3</v>
          </cell>
          <cell r="W38">
            <v>3.3449999999999999E-3</v>
          </cell>
          <cell r="Y38">
            <v>1.3664000000000001</v>
          </cell>
          <cell r="Z38">
            <v>1.3275999999999999</v>
          </cell>
          <cell r="AA38">
            <v>1.3379000000000001</v>
          </cell>
          <cell r="AE38">
            <v>2.3817000000000001E-2</v>
          </cell>
          <cell r="AF38">
            <v>-4.065E-3</v>
          </cell>
          <cell r="AG38">
            <v>3.3449999999999999E-3</v>
          </cell>
          <cell r="AR38">
            <v>0</v>
          </cell>
          <cell r="BC38">
            <v>2.5005999999999997E-2</v>
          </cell>
          <cell r="BF38">
            <v>2.5005999999999997E-2</v>
          </cell>
        </row>
        <row r="39">
          <cell r="O39">
            <v>1.3664000000000001</v>
          </cell>
          <cell r="P39">
            <v>1.3273999999999999</v>
          </cell>
          <cell r="Q39">
            <v>1.3373999999999999</v>
          </cell>
          <cell r="U39">
            <v>1.9474000000000002E-2</v>
          </cell>
          <cell r="V39">
            <v>-9.3539999999999995E-3</v>
          </cell>
          <cell r="W39">
            <v>-1.591E-3</v>
          </cell>
          <cell r="Y39">
            <v>1.3664000000000001</v>
          </cell>
          <cell r="Z39">
            <v>1.3273999999999999</v>
          </cell>
          <cell r="AA39">
            <v>1.3373999999999999</v>
          </cell>
          <cell r="AE39">
            <v>1.9474000000000002E-2</v>
          </cell>
          <cell r="AF39">
            <v>-9.3539999999999995E-3</v>
          </cell>
          <cell r="AG39">
            <v>-1.591E-3</v>
          </cell>
          <cell r="AR39">
            <v>0</v>
          </cell>
          <cell r="BC39">
            <v>2.5005999999999997E-2</v>
          </cell>
          <cell r="BF39">
            <v>2.5005999999999997E-2</v>
          </cell>
        </row>
        <row r="40">
          <cell r="O40">
            <v>1.3664000000000001</v>
          </cell>
          <cell r="P40">
            <v>1.3295999999999999</v>
          </cell>
          <cell r="Q40">
            <v>1.3371</v>
          </cell>
          <cell r="U40">
            <v>1.8848E-2</v>
          </cell>
          <cell r="V40">
            <v>-1.0083E-2</v>
          </cell>
          <cell r="W40">
            <v>-2.614E-3</v>
          </cell>
          <cell r="Y40">
            <v>1.3664000000000001</v>
          </cell>
          <cell r="Z40">
            <v>1.3295999999999999</v>
          </cell>
          <cell r="AA40">
            <v>1.3371</v>
          </cell>
          <cell r="AE40">
            <v>1.8848E-2</v>
          </cell>
          <cell r="AF40">
            <v>-1.0083E-2</v>
          </cell>
          <cell r="AG40">
            <v>-2.614E-3</v>
          </cell>
          <cell r="AR40">
            <v>0</v>
          </cell>
          <cell r="BC40">
            <v>2.5005999999999997E-2</v>
          </cell>
          <cell r="BF40">
            <v>2.5005999999999997E-2</v>
          </cell>
        </row>
        <row r="41">
          <cell r="O41">
            <v>1.3664000000000001</v>
          </cell>
          <cell r="P41">
            <v>1.3312999999999999</v>
          </cell>
          <cell r="Q41">
            <v>1.3359000000000001</v>
          </cell>
          <cell r="U41">
            <v>2.5574E-2</v>
          </cell>
          <cell r="V41">
            <v>-1.696E-3</v>
          </cell>
          <cell r="W41">
            <v>3.9150000000000001E-3</v>
          </cell>
          <cell r="Y41">
            <v>1.3664000000000001</v>
          </cell>
          <cell r="Z41">
            <v>1.3312999999999999</v>
          </cell>
          <cell r="AA41">
            <v>1.3359000000000001</v>
          </cell>
          <cell r="AE41">
            <v>2.5574E-2</v>
          </cell>
          <cell r="AF41">
            <v>-1.696E-3</v>
          </cell>
          <cell r="AG41">
            <v>3.9150000000000001E-3</v>
          </cell>
          <cell r="AR41">
            <v>0</v>
          </cell>
          <cell r="BC41">
            <v>2.5005999999999997E-2</v>
          </cell>
          <cell r="BF41">
            <v>2.5005999999999997E-2</v>
          </cell>
        </row>
        <row r="42">
          <cell r="O42">
            <v>1.3664000000000001</v>
          </cell>
          <cell r="P42">
            <v>1.3326</v>
          </cell>
          <cell r="Q42">
            <v>1.3346</v>
          </cell>
          <cell r="U42">
            <v>2.5377E-2</v>
          </cell>
          <cell r="V42">
            <v>-6.4400000000000004E-4</v>
          </cell>
          <cell r="W42">
            <v>2.8170000000000001E-3</v>
          </cell>
          <cell r="Y42">
            <v>1.3664000000000001</v>
          </cell>
          <cell r="Z42">
            <v>1.3326</v>
          </cell>
          <cell r="AA42">
            <v>1.3346</v>
          </cell>
          <cell r="AE42">
            <v>2.5377E-2</v>
          </cell>
          <cell r="AF42">
            <v>-6.4400000000000004E-4</v>
          </cell>
          <cell r="AG42">
            <v>2.8170000000000001E-3</v>
          </cell>
          <cell r="AR42">
            <v>0</v>
          </cell>
          <cell r="BC42">
            <v>2.5005999999999997E-2</v>
          </cell>
          <cell r="BF42">
            <v>2.5005999999999997E-2</v>
          </cell>
        </row>
        <row r="43">
          <cell r="O43">
            <v>1.3664000000000001</v>
          </cell>
          <cell r="P43">
            <v>1.3324</v>
          </cell>
          <cell r="Q43">
            <v>1.3334999999999999</v>
          </cell>
          <cell r="U43">
            <v>2.4362000000000002E-2</v>
          </cell>
          <cell r="V43">
            <v>-6.3500000000000004E-4</v>
          </cell>
          <cell r="W43">
            <v>8.0400000000000003E-4</v>
          </cell>
          <cell r="Y43">
            <v>1.3664000000000001</v>
          </cell>
          <cell r="Z43">
            <v>1.3324</v>
          </cell>
          <cell r="AA43">
            <v>1.3334999999999999</v>
          </cell>
          <cell r="AE43">
            <v>2.4362000000000002E-2</v>
          </cell>
          <cell r="AF43">
            <v>-6.3500000000000004E-4</v>
          </cell>
          <cell r="AG43">
            <v>8.0400000000000003E-4</v>
          </cell>
          <cell r="AR43">
            <v>0</v>
          </cell>
          <cell r="BC43">
            <v>2.5005999999999997E-2</v>
          </cell>
          <cell r="BF43">
            <v>2.5005999999999997E-2</v>
          </cell>
        </row>
        <row r="44">
          <cell r="O44">
            <v>1.3664000000000001</v>
          </cell>
          <cell r="P44">
            <v>1.3325</v>
          </cell>
          <cell r="Q44">
            <v>1.3328</v>
          </cell>
          <cell r="U44">
            <v>2.7029000000000001E-2</v>
          </cell>
          <cell r="V44">
            <v>1.8339999999999999E-3</v>
          </cell>
          <cell r="W44">
            <v>2.6870000000000002E-3</v>
          </cell>
          <cell r="Y44">
            <v>1.3664000000000001</v>
          </cell>
          <cell r="Z44">
            <v>1.3325</v>
          </cell>
          <cell r="AA44">
            <v>1.3328</v>
          </cell>
          <cell r="AE44">
            <v>2.7029000000000001E-2</v>
          </cell>
          <cell r="AF44">
            <v>1.8339999999999999E-3</v>
          </cell>
          <cell r="AG44">
            <v>2.6870000000000002E-3</v>
          </cell>
          <cell r="AR44">
            <v>0</v>
          </cell>
          <cell r="BC44">
            <v>2.5005999999999997E-2</v>
          </cell>
          <cell r="BF44">
            <v>2.5005999999999997E-2</v>
          </cell>
        </row>
        <row r="45">
          <cell r="O45">
            <v>1.3664000000000001</v>
          </cell>
          <cell r="P45">
            <v>1.3324</v>
          </cell>
          <cell r="Q45">
            <v>1.3326</v>
          </cell>
          <cell r="U45">
            <v>2.8395E-2</v>
          </cell>
          <cell r="V45">
            <v>3.3149999999999998E-3</v>
          </cell>
          <cell r="W45">
            <v>3.5140000000000002E-3</v>
          </cell>
          <cell r="Y45">
            <v>1.3664000000000001</v>
          </cell>
          <cell r="Z45">
            <v>1.3324</v>
          </cell>
          <cell r="AA45">
            <v>1.3326</v>
          </cell>
          <cell r="AE45">
            <v>2.8395E-2</v>
          </cell>
          <cell r="AF45">
            <v>3.3149999999999998E-3</v>
          </cell>
          <cell r="AG45">
            <v>3.5140000000000002E-3</v>
          </cell>
          <cell r="AR45">
            <v>0</v>
          </cell>
          <cell r="BC45">
            <v>2.5005999999999997E-2</v>
          </cell>
          <cell r="BF45">
            <v>2.5005999999999997E-2</v>
          </cell>
        </row>
        <row r="46">
          <cell r="O46">
            <v>1.3664000000000001</v>
          </cell>
          <cell r="P46">
            <v>1.3324</v>
          </cell>
          <cell r="Q46">
            <v>1.3318000000000001</v>
          </cell>
          <cell r="U46">
            <v>2.8740999999999999E-2</v>
          </cell>
          <cell r="V46">
            <v>3.5920000000000001E-3</v>
          </cell>
          <cell r="W46">
            <v>3.6900000000000001E-3</v>
          </cell>
          <cell r="Y46">
            <v>1.3664000000000001</v>
          </cell>
          <cell r="Z46">
            <v>1.3324</v>
          </cell>
          <cell r="AA46">
            <v>1.3318000000000001</v>
          </cell>
          <cell r="AE46">
            <v>2.8740999999999999E-2</v>
          </cell>
          <cell r="AF46">
            <v>3.5920000000000001E-3</v>
          </cell>
          <cell r="AG46">
            <v>3.6900000000000001E-3</v>
          </cell>
          <cell r="AR46">
            <v>0</v>
          </cell>
          <cell r="BC46">
            <v>2.5005999999999997E-2</v>
          </cell>
          <cell r="BF46">
            <v>2.5005999999999997E-2</v>
          </cell>
        </row>
        <row r="47">
          <cell r="O47">
            <v>1.3664000000000001</v>
          </cell>
          <cell r="P47">
            <v>1.3328</v>
          </cell>
          <cell r="Q47">
            <v>1.3308</v>
          </cell>
          <cell r="U47">
            <v>2.7352000000000001E-2</v>
          </cell>
          <cell r="V47">
            <v>2.1489999999999999E-3</v>
          </cell>
          <cell r="W47">
            <v>1.6869999999999999E-3</v>
          </cell>
          <cell r="Y47">
            <v>1.3664000000000001</v>
          </cell>
          <cell r="Z47">
            <v>1.3328</v>
          </cell>
          <cell r="AA47">
            <v>1.3308</v>
          </cell>
          <cell r="AE47">
            <v>2.7352000000000001E-2</v>
          </cell>
          <cell r="AF47">
            <v>2.1489999999999999E-3</v>
          </cell>
          <cell r="AG47">
            <v>1.6869999999999999E-3</v>
          </cell>
          <cell r="AR47">
            <v>0</v>
          </cell>
          <cell r="BC47">
            <v>2.5005999999999997E-2</v>
          </cell>
          <cell r="BF47">
            <v>2.5005999999999997E-2</v>
          </cell>
        </row>
        <row r="48">
          <cell r="O48">
            <v>1.3664000000000001</v>
          </cell>
          <cell r="P48">
            <v>1.3329</v>
          </cell>
          <cell r="Q48">
            <v>1.3302</v>
          </cell>
          <cell r="U48">
            <v>2.2865E-2</v>
          </cell>
          <cell r="V48">
            <v>-2.0270000000000002E-3</v>
          </cell>
          <cell r="W48">
            <v>-3.5209999999999998E-3</v>
          </cell>
          <cell r="Y48">
            <v>1.3664000000000001</v>
          </cell>
          <cell r="Z48">
            <v>1.3329</v>
          </cell>
          <cell r="AA48">
            <v>1.3302</v>
          </cell>
          <cell r="AE48">
            <v>2.2865E-2</v>
          </cell>
          <cell r="AF48">
            <v>-2.0270000000000002E-3</v>
          </cell>
          <cell r="AG48">
            <v>-3.5209999999999998E-3</v>
          </cell>
          <cell r="AR48">
            <v>0</v>
          </cell>
          <cell r="BC48">
            <v>2.5005999999999997E-2</v>
          </cell>
          <cell r="BF48">
            <v>2.5005999999999997E-2</v>
          </cell>
        </row>
        <row r="49">
          <cell r="O49">
            <v>1.3664000000000001</v>
          </cell>
          <cell r="P49">
            <v>1.3304</v>
          </cell>
          <cell r="Q49">
            <v>1.3289</v>
          </cell>
          <cell r="U49">
            <v>3.8093000000000002E-2</v>
          </cell>
          <cell r="V49">
            <v>1.3297E-2</v>
          </cell>
          <cell r="W49">
            <v>1.1283E-2</v>
          </cell>
          <cell r="Y49">
            <v>1.3664000000000001</v>
          </cell>
          <cell r="Z49">
            <v>1.3304</v>
          </cell>
          <cell r="AA49">
            <v>1.3289</v>
          </cell>
          <cell r="AE49">
            <v>3.8093000000000002E-2</v>
          </cell>
          <cell r="AF49">
            <v>1.3297E-2</v>
          </cell>
          <cell r="AG49">
            <v>1.1283E-2</v>
          </cell>
          <cell r="AR49">
            <v>0</v>
          </cell>
          <cell r="BC49">
            <v>2.5005999999999997E-2</v>
          </cell>
          <cell r="BF49">
            <v>2.5005999999999997E-2</v>
          </cell>
        </row>
        <row r="50">
          <cell r="O50">
            <v>1.3664000000000001</v>
          </cell>
          <cell r="P50">
            <v>1.3274999999999999</v>
          </cell>
          <cell r="Q50">
            <v>1.3286</v>
          </cell>
          <cell r="U50">
            <v>4.0874000000000001E-2</v>
          </cell>
          <cell r="V50">
            <v>1.4220999999999999E-2</v>
          </cell>
          <cell r="W50">
            <v>1.3082999999999999E-2</v>
          </cell>
          <cell r="Y50">
            <v>1.3664000000000001</v>
          </cell>
          <cell r="Z50">
            <v>1.3274999999999999</v>
          </cell>
          <cell r="AA50">
            <v>1.3286</v>
          </cell>
          <cell r="AE50">
            <v>4.0874000000000001E-2</v>
          </cell>
          <cell r="AF50">
            <v>1.4220999999999999E-2</v>
          </cell>
          <cell r="AG50">
            <v>1.3082999999999999E-2</v>
          </cell>
          <cell r="AR50">
            <v>0</v>
          </cell>
          <cell r="BC50">
            <v>2.5005999999999997E-2</v>
          </cell>
          <cell r="BF50">
            <v>2.5005999999999997E-2</v>
          </cell>
        </row>
        <row r="51">
          <cell r="O51">
            <v>1.3664000000000001</v>
          </cell>
          <cell r="P51">
            <v>1.3257000000000001</v>
          </cell>
          <cell r="Q51">
            <v>1.3285</v>
          </cell>
          <cell r="U51">
            <v>3.9118E-2</v>
          </cell>
          <cell r="V51">
            <v>1.0267999999999999E-2</v>
          </cell>
          <cell r="W51">
            <v>1.1058E-2</v>
          </cell>
          <cell r="Y51">
            <v>1.3664000000000001</v>
          </cell>
          <cell r="Z51">
            <v>1.3257000000000001</v>
          </cell>
          <cell r="AA51">
            <v>1.3285</v>
          </cell>
          <cell r="AE51">
            <v>3.9118E-2</v>
          </cell>
          <cell r="AF51">
            <v>1.0267999999999999E-2</v>
          </cell>
          <cell r="AG51">
            <v>1.1058E-2</v>
          </cell>
          <cell r="AR51">
            <v>0</v>
          </cell>
          <cell r="BC51">
            <v>2.5005999999999997E-2</v>
          </cell>
          <cell r="BF51">
            <v>2.5005999999999997E-2</v>
          </cell>
        </row>
        <row r="52">
          <cell r="O52">
            <v>1.3664000000000001</v>
          </cell>
          <cell r="P52">
            <v>1.3248</v>
          </cell>
          <cell r="Q52">
            <v>1.3287</v>
          </cell>
          <cell r="U52">
            <v>3.2198999999999998E-2</v>
          </cell>
          <cell r="V52">
            <v>1.9980000000000002E-3</v>
          </cell>
          <cell r="W52">
            <v>4.0899999999999999E-3</v>
          </cell>
          <cell r="Y52">
            <v>1.3664000000000001</v>
          </cell>
          <cell r="Z52">
            <v>1.3248</v>
          </cell>
          <cell r="AA52">
            <v>1.3287</v>
          </cell>
          <cell r="AE52">
            <v>3.2198999999999998E-2</v>
          </cell>
          <cell r="AF52">
            <v>1.9980000000000002E-3</v>
          </cell>
          <cell r="AG52">
            <v>4.0899999999999999E-3</v>
          </cell>
          <cell r="AR52">
            <v>0</v>
          </cell>
          <cell r="BC52">
            <v>2.5005999999999997E-2</v>
          </cell>
          <cell r="BF52">
            <v>2.5005999999999997E-2</v>
          </cell>
        </row>
        <row r="53">
          <cell r="O53">
            <v>1.3664000000000001</v>
          </cell>
          <cell r="P53">
            <v>1.3245</v>
          </cell>
          <cell r="Q53">
            <v>1.3285</v>
          </cell>
          <cell r="U53">
            <v>2.6613999999999999E-2</v>
          </cell>
          <cell r="V53">
            <v>-4.2709999999999996E-3</v>
          </cell>
          <cell r="W53">
            <v>-1.322E-3</v>
          </cell>
          <cell r="Y53">
            <v>1.3664000000000001</v>
          </cell>
          <cell r="Z53">
            <v>1.3245</v>
          </cell>
          <cell r="AA53">
            <v>1.3285</v>
          </cell>
          <cell r="AE53">
            <v>2.6613999999999999E-2</v>
          </cell>
          <cell r="AF53">
            <v>-4.2709999999999996E-3</v>
          </cell>
          <cell r="AG53">
            <v>-1.322E-3</v>
          </cell>
          <cell r="AR53">
            <v>0</v>
          </cell>
          <cell r="BC53">
            <v>2.5005999999999997E-2</v>
          </cell>
          <cell r="BF53">
            <v>2.5005999999999997E-2</v>
          </cell>
        </row>
        <row r="54">
          <cell r="O54">
            <v>1.3664000000000001</v>
          </cell>
          <cell r="P54">
            <v>1.3240000000000001</v>
          </cell>
          <cell r="Q54">
            <v>1.3283</v>
          </cell>
          <cell r="U54">
            <v>3.0759000000000002E-2</v>
          </cell>
          <cell r="V54">
            <v>-3.5199999999999999E-4</v>
          </cell>
          <cell r="W54">
            <v>2.6099999999999999E-3</v>
          </cell>
          <cell r="Y54">
            <v>1.3664000000000001</v>
          </cell>
          <cell r="Z54">
            <v>1.3240000000000001</v>
          </cell>
          <cell r="AA54">
            <v>1.3283</v>
          </cell>
          <cell r="AE54">
            <v>3.0759000000000002E-2</v>
          </cell>
          <cell r="AF54">
            <v>-3.5199999999999999E-4</v>
          </cell>
          <cell r="AG54">
            <v>2.6099999999999999E-3</v>
          </cell>
          <cell r="AR54">
            <v>0</v>
          </cell>
          <cell r="BC54">
            <v>2.5005999999999997E-2</v>
          </cell>
          <cell r="BF54">
            <v>2.5005999999999997E-2</v>
          </cell>
        </row>
        <row r="55">
          <cell r="O55">
            <v>1.3664000000000001</v>
          </cell>
          <cell r="P55">
            <v>1.3245</v>
          </cell>
          <cell r="Q55">
            <v>1.3285</v>
          </cell>
          <cell r="U55">
            <v>2.5174999999999999E-2</v>
          </cell>
          <cell r="V55">
            <v>-6.3099999999999996E-3</v>
          </cell>
          <cell r="W55">
            <v>-3.1020000000000002E-3</v>
          </cell>
          <cell r="Y55">
            <v>1.3664000000000001</v>
          </cell>
          <cell r="Z55">
            <v>1.3245</v>
          </cell>
          <cell r="AA55">
            <v>1.3285</v>
          </cell>
          <cell r="AE55">
            <v>2.5174999999999999E-2</v>
          </cell>
          <cell r="AF55">
            <v>-6.3099999999999996E-3</v>
          </cell>
          <cell r="AG55">
            <v>-3.1020000000000002E-3</v>
          </cell>
          <cell r="AR55">
            <v>0</v>
          </cell>
          <cell r="BC55">
            <v>2.5005999999999997E-2</v>
          </cell>
          <cell r="BF55">
            <v>2.5005999999999997E-2</v>
          </cell>
        </row>
        <row r="56">
          <cell r="O56">
            <v>1.3664000000000001</v>
          </cell>
          <cell r="P56">
            <v>1.3245</v>
          </cell>
          <cell r="Q56">
            <v>1.3285</v>
          </cell>
          <cell r="U56">
            <v>2.8080999999999998E-2</v>
          </cell>
          <cell r="V56">
            <v>-3.0799999999999998E-3</v>
          </cell>
          <cell r="W56">
            <v>-6.9999999999999994E-5</v>
          </cell>
          <cell r="Y56">
            <v>1.3664000000000001</v>
          </cell>
          <cell r="Z56">
            <v>1.3245</v>
          </cell>
          <cell r="AA56">
            <v>1.3285</v>
          </cell>
          <cell r="AE56">
            <v>2.8080999999999998E-2</v>
          </cell>
          <cell r="AF56">
            <v>-3.0799999999999998E-3</v>
          </cell>
          <cell r="AG56">
            <v>-6.9999999999999994E-5</v>
          </cell>
          <cell r="AR56">
            <v>0</v>
          </cell>
          <cell r="BC56">
            <v>2.5005999999999997E-2</v>
          </cell>
          <cell r="BF56">
            <v>2.5005999999999997E-2</v>
          </cell>
        </row>
        <row r="57">
          <cell r="O57">
            <v>1.3664000000000001</v>
          </cell>
          <cell r="P57">
            <v>1.3250999999999999</v>
          </cell>
          <cell r="Q57">
            <v>1.3289</v>
          </cell>
          <cell r="U57">
            <v>2.3507E-2</v>
          </cell>
          <cell r="V57">
            <v>-7.5880000000000001E-3</v>
          </cell>
          <cell r="W57">
            <v>-4.6379999999999998E-3</v>
          </cell>
          <cell r="Y57">
            <v>1.3664000000000001</v>
          </cell>
          <cell r="Z57">
            <v>1.3250999999999999</v>
          </cell>
          <cell r="AA57">
            <v>1.3289</v>
          </cell>
          <cell r="AE57">
            <v>2.3507E-2</v>
          </cell>
          <cell r="AF57">
            <v>-7.5880000000000001E-3</v>
          </cell>
          <cell r="AG57">
            <v>-4.6379999999999998E-3</v>
          </cell>
          <cell r="AR57">
            <v>0</v>
          </cell>
          <cell r="BC57">
            <v>2.5005999999999997E-2</v>
          </cell>
          <cell r="BF57">
            <v>2.5005999999999997E-2</v>
          </cell>
        </row>
        <row r="58">
          <cell r="O58">
            <v>1.3664000000000001</v>
          </cell>
          <cell r="P58">
            <v>1.325</v>
          </cell>
          <cell r="Q58">
            <v>1.3289</v>
          </cell>
          <cell r="U58">
            <v>2.3470000000000001E-2</v>
          </cell>
          <cell r="V58">
            <v>-7.2389999999999998E-3</v>
          </cell>
          <cell r="W58">
            <v>-4.326E-3</v>
          </cell>
          <cell r="Y58">
            <v>1.3664000000000001</v>
          </cell>
          <cell r="Z58">
            <v>1.325</v>
          </cell>
          <cell r="AA58">
            <v>1.3289</v>
          </cell>
          <cell r="AE58">
            <v>2.3470000000000001E-2</v>
          </cell>
          <cell r="AF58">
            <v>-7.2389999999999998E-3</v>
          </cell>
          <cell r="AG58">
            <v>-4.326E-3</v>
          </cell>
          <cell r="AR58">
            <v>0</v>
          </cell>
          <cell r="BC58">
            <v>2.5005999999999997E-2</v>
          </cell>
          <cell r="BF58">
            <v>2.5005999999999997E-2</v>
          </cell>
        </row>
        <row r="59">
          <cell r="O59">
            <v>1.3664000000000001</v>
          </cell>
          <cell r="P59">
            <v>1.3255999999999999</v>
          </cell>
          <cell r="Q59">
            <v>1.3280000000000001</v>
          </cell>
          <cell r="U59">
            <v>3.3620999999999998E-2</v>
          </cell>
          <cell r="V59">
            <v>2.8509999999999998E-3</v>
          </cell>
          <cell r="W59">
            <v>5.842E-3</v>
          </cell>
          <cell r="Y59">
            <v>1.3664000000000001</v>
          </cell>
          <cell r="Z59">
            <v>1.3255999999999999</v>
          </cell>
          <cell r="AA59">
            <v>1.3280000000000001</v>
          </cell>
          <cell r="AE59">
            <v>3.3620999999999998E-2</v>
          </cell>
          <cell r="AF59">
            <v>2.8509999999999998E-3</v>
          </cell>
          <cell r="AG59">
            <v>5.842E-3</v>
          </cell>
          <cell r="AR59">
            <v>0</v>
          </cell>
          <cell r="BC59">
            <v>2.5005999999999997E-2</v>
          </cell>
          <cell r="BF59">
            <v>2.5005999999999997E-2</v>
          </cell>
        </row>
        <row r="60">
          <cell r="O60">
            <v>1.3664000000000001</v>
          </cell>
          <cell r="P60">
            <v>1.3261000000000001</v>
          </cell>
          <cell r="Q60">
            <v>1.3268</v>
          </cell>
          <cell r="U60">
            <v>3.7044000000000001E-2</v>
          </cell>
          <cell r="V60">
            <v>6.7200000000000003E-3</v>
          </cell>
          <cell r="W60">
            <v>8.5570000000000004E-3</v>
          </cell>
          <cell r="Y60">
            <v>1.3664000000000001</v>
          </cell>
          <cell r="Z60">
            <v>1.3261000000000001</v>
          </cell>
          <cell r="AA60">
            <v>1.3268</v>
          </cell>
          <cell r="AE60">
            <v>3.7044000000000001E-2</v>
          </cell>
          <cell r="AF60">
            <v>6.7200000000000003E-3</v>
          </cell>
          <cell r="AG60">
            <v>8.5570000000000004E-3</v>
          </cell>
          <cell r="AR60">
            <v>0</v>
          </cell>
          <cell r="BC60">
            <v>2.5005999999999997E-2</v>
          </cell>
          <cell r="BF60">
            <v>2.5005999999999997E-2</v>
          </cell>
        </row>
        <row r="61">
          <cell r="O61">
            <v>1.3664000000000001</v>
          </cell>
          <cell r="P61">
            <v>1.3262</v>
          </cell>
          <cell r="Q61">
            <v>1.3260000000000001</v>
          </cell>
          <cell r="U61">
            <v>3.8176000000000002E-2</v>
          </cell>
          <cell r="V61">
            <v>8.2310000000000005E-3</v>
          </cell>
          <cell r="W61">
            <v>8.7779999999999993E-3</v>
          </cell>
          <cell r="Y61">
            <v>1.3664000000000001</v>
          </cell>
          <cell r="Z61">
            <v>1.3262</v>
          </cell>
          <cell r="AA61">
            <v>1.3260000000000001</v>
          </cell>
          <cell r="AE61">
            <v>3.8176000000000002E-2</v>
          </cell>
          <cell r="AF61">
            <v>8.2310000000000005E-3</v>
          </cell>
          <cell r="AG61">
            <v>8.7779999999999993E-3</v>
          </cell>
          <cell r="AR61">
            <v>0</v>
          </cell>
          <cell r="BC61">
            <v>2.5005999999999997E-2</v>
          </cell>
          <cell r="BF61">
            <v>2.5005999999999997E-2</v>
          </cell>
        </row>
        <row r="62">
          <cell r="O62">
            <v>1.3664000000000001</v>
          </cell>
          <cell r="P62">
            <v>1.3267</v>
          </cell>
          <cell r="Q62">
            <v>1.3258000000000001</v>
          </cell>
          <cell r="U62">
            <v>2.8015999999999999E-2</v>
          </cell>
          <cell r="V62">
            <v>-1.836E-3</v>
          </cell>
          <cell r="W62">
            <v>-2.0110000000000002E-3</v>
          </cell>
          <cell r="Y62">
            <v>1.3664000000000001</v>
          </cell>
          <cell r="Z62">
            <v>1.3267</v>
          </cell>
          <cell r="AA62">
            <v>1.3258000000000001</v>
          </cell>
          <cell r="AE62">
            <v>2.8015999999999999E-2</v>
          </cell>
          <cell r="AF62">
            <v>-1.836E-3</v>
          </cell>
          <cell r="AG62">
            <v>-2.0110000000000002E-3</v>
          </cell>
          <cell r="AR62">
            <v>0</v>
          </cell>
          <cell r="BC62">
            <v>2.5005999999999997E-2</v>
          </cell>
          <cell r="BF62">
            <v>2.5005999999999997E-2</v>
          </cell>
        </row>
        <row r="63">
          <cell r="O63">
            <v>1.3664000000000001</v>
          </cell>
          <cell r="P63">
            <v>1.327</v>
          </cell>
          <cell r="Q63">
            <v>1.3258000000000001</v>
          </cell>
          <cell r="U63">
            <v>2.4400000000000002E-2</v>
          </cell>
          <cell r="V63">
            <v>-5.0340000000000003E-3</v>
          </cell>
          <cell r="W63">
            <v>-5.7590000000000002E-3</v>
          </cell>
          <cell r="Y63">
            <v>1.3664000000000001</v>
          </cell>
          <cell r="Z63">
            <v>1.327</v>
          </cell>
          <cell r="AA63">
            <v>1.3258000000000001</v>
          </cell>
          <cell r="AE63">
            <v>2.4400000000000002E-2</v>
          </cell>
          <cell r="AF63">
            <v>-5.0340000000000003E-3</v>
          </cell>
          <cell r="AG63">
            <v>-5.7590000000000002E-3</v>
          </cell>
          <cell r="AR63">
            <v>0</v>
          </cell>
          <cell r="BC63">
            <v>2.5005999999999997E-2</v>
          </cell>
          <cell r="BF63">
            <v>2.5005999999999997E-2</v>
          </cell>
        </row>
        <row r="64">
          <cell r="O64">
            <v>1.3664000000000001</v>
          </cell>
          <cell r="P64">
            <v>1.3278000000000001</v>
          </cell>
          <cell r="Q64">
            <v>1.3259000000000001</v>
          </cell>
          <cell r="U64">
            <v>2.4856E-2</v>
          </cell>
          <cell r="V64">
            <v>-4.3550000000000004E-3</v>
          </cell>
          <cell r="W64">
            <v>-5.3039999999999997E-3</v>
          </cell>
          <cell r="Y64">
            <v>1.3664000000000001</v>
          </cell>
          <cell r="Z64">
            <v>1.3278000000000001</v>
          </cell>
          <cell r="AA64">
            <v>1.3259000000000001</v>
          </cell>
          <cell r="AE64">
            <v>2.4856E-2</v>
          </cell>
          <cell r="AF64">
            <v>-4.3550000000000004E-3</v>
          </cell>
          <cell r="AG64">
            <v>-5.3039999999999997E-3</v>
          </cell>
          <cell r="AR64">
            <v>0</v>
          </cell>
          <cell r="BC64">
            <v>2.5005999999999997E-2</v>
          </cell>
          <cell r="BF64">
            <v>2.5005999999999997E-2</v>
          </cell>
        </row>
        <row r="65">
          <cell r="O65">
            <v>1.3664000000000001</v>
          </cell>
          <cell r="P65">
            <v>1.3278000000000001</v>
          </cell>
          <cell r="Q65">
            <v>1.3261000000000001</v>
          </cell>
          <cell r="U65">
            <v>2.5592E-2</v>
          </cell>
          <cell r="V65">
            <v>-3.0279999999999999E-3</v>
          </cell>
          <cell r="W65">
            <v>-4.4590000000000003E-3</v>
          </cell>
          <cell r="Y65">
            <v>1.3664000000000001</v>
          </cell>
          <cell r="Z65">
            <v>1.3278000000000001</v>
          </cell>
          <cell r="AA65">
            <v>1.3261000000000001</v>
          </cell>
          <cell r="AE65">
            <v>2.5592E-2</v>
          </cell>
          <cell r="AF65">
            <v>-3.0279999999999999E-3</v>
          </cell>
          <cell r="AG65">
            <v>-4.4590000000000003E-3</v>
          </cell>
          <cell r="AR65">
            <v>0</v>
          </cell>
          <cell r="BC65">
            <v>2.5005999999999997E-2</v>
          </cell>
          <cell r="BF65">
            <v>2.5005999999999997E-2</v>
          </cell>
        </row>
        <row r="66">
          <cell r="O66">
            <v>1.3664000000000001</v>
          </cell>
          <cell r="P66">
            <v>1.3283</v>
          </cell>
          <cell r="Q66">
            <v>1.3264</v>
          </cell>
          <cell r="U66">
            <v>2.4441999999999998E-2</v>
          </cell>
          <cell r="V66">
            <v>-4.2199999999999998E-3</v>
          </cell>
          <cell r="W66">
            <v>-5.4689999999999999E-3</v>
          </cell>
          <cell r="Y66">
            <v>1.3664000000000001</v>
          </cell>
          <cell r="Z66">
            <v>1.3283</v>
          </cell>
          <cell r="AA66">
            <v>1.3264</v>
          </cell>
          <cell r="AE66">
            <v>2.4441999999999998E-2</v>
          </cell>
          <cell r="AF66">
            <v>-4.2199999999999998E-3</v>
          </cell>
          <cell r="AG66">
            <v>-5.4689999999999999E-3</v>
          </cell>
          <cell r="AR66">
            <v>0</v>
          </cell>
          <cell r="BC66">
            <v>2.5005999999999997E-2</v>
          </cell>
          <cell r="BF66">
            <v>2.5005999999999997E-2</v>
          </cell>
        </row>
        <row r="67">
          <cell r="O67">
            <v>1.3664000000000001</v>
          </cell>
          <cell r="P67">
            <v>1.3292999999999999</v>
          </cell>
          <cell r="Q67">
            <v>1.3271999999999999</v>
          </cell>
          <cell r="U67">
            <v>1.5907000000000001E-2</v>
          </cell>
          <cell r="V67">
            <v>-1.239E-2</v>
          </cell>
          <cell r="W67">
            <v>-1.3788E-2</v>
          </cell>
          <cell r="Y67">
            <v>1.3664000000000001</v>
          </cell>
          <cell r="Z67">
            <v>1.3292999999999999</v>
          </cell>
          <cell r="AA67">
            <v>1.3271999999999999</v>
          </cell>
          <cell r="AE67">
            <v>1.5907000000000001E-2</v>
          </cell>
          <cell r="AF67">
            <v>-1.239E-2</v>
          </cell>
          <cell r="AG67">
            <v>-1.3788E-2</v>
          </cell>
          <cell r="AR67">
            <v>0</v>
          </cell>
          <cell r="BC67">
            <v>2.5005999999999997E-2</v>
          </cell>
          <cell r="BF67">
            <v>2.5005999999999997E-2</v>
          </cell>
        </row>
        <row r="68">
          <cell r="O68">
            <v>1.3664000000000001</v>
          </cell>
          <cell r="P68">
            <v>1.3301000000000001</v>
          </cell>
          <cell r="Q68">
            <v>1.3275999999999999</v>
          </cell>
          <cell r="U68">
            <v>1.7080999999999999E-2</v>
          </cell>
          <cell r="V68">
            <v>-1.0449999999999999E-2</v>
          </cell>
          <cell r="W68">
            <v>-1.2038E-2</v>
          </cell>
          <cell r="Y68">
            <v>1.3664000000000001</v>
          </cell>
          <cell r="Z68">
            <v>1.3301000000000001</v>
          </cell>
          <cell r="AA68">
            <v>1.3275999999999999</v>
          </cell>
          <cell r="AE68">
            <v>1.7080999999999999E-2</v>
          </cell>
          <cell r="AF68">
            <v>-1.0449999999999999E-2</v>
          </cell>
          <cell r="AG68">
            <v>-1.2038E-2</v>
          </cell>
          <cell r="AR68">
            <v>0</v>
          </cell>
          <cell r="BC68">
            <v>2.5005999999999997E-2</v>
          </cell>
          <cell r="BF68">
            <v>2.5005999999999997E-2</v>
          </cell>
        </row>
        <row r="69">
          <cell r="O69">
            <v>1.3664000000000001</v>
          </cell>
          <cell r="P69">
            <v>1.333</v>
          </cell>
          <cell r="Q69">
            <v>1.3292999999999999</v>
          </cell>
          <cell r="U69">
            <v>1.1872000000000001E-2</v>
          </cell>
          <cell r="V69">
            <v>-1.5016E-2</v>
          </cell>
          <cell r="W69">
            <v>-1.6955000000000001E-2</v>
          </cell>
          <cell r="Y69">
            <v>1.3664000000000001</v>
          </cell>
          <cell r="Z69">
            <v>1.333</v>
          </cell>
          <cell r="AA69">
            <v>1.3292999999999999</v>
          </cell>
          <cell r="AE69">
            <v>1.1872000000000001E-2</v>
          </cell>
          <cell r="AF69">
            <v>-1.5016E-2</v>
          </cell>
          <cell r="AG69">
            <v>-1.6955000000000001E-2</v>
          </cell>
          <cell r="AR69">
            <v>0</v>
          </cell>
          <cell r="BC69">
            <v>2.5005999999999997E-2</v>
          </cell>
          <cell r="BF69">
            <v>2.5005999999999997E-2</v>
          </cell>
        </row>
        <row r="70">
          <cell r="O70">
            <v>1.3664000000000001</v>
          </cell>
          <cell r="P70">
            <v>1.3367</v>
          </cell>
          <cell r="Q70">
            <v>1.3313999999999999</v>
          </cell>
          <cell r="U70">
            <v>9.6030000000000004E-3</v>
          </cell>
          <cell r="V70">
            <v>-1.5103999999999999E-2</v>
          </cell>
          <cell r="W70">
            <v>-1.7909000000000001E-2</v>
          </cell>
          <cell r="Y70">
            <v>1.3664000000000001</v>
          </cell>
          <cell r="Z70">
            <v>1.3367</v>
          </cell>
          <cell r="AA70">
            <v>1.3313999999999999</v>
          </cell>
          <cell r="AE70">
            <v>9.6030000000000004E-3</v>
          </cell>
          <cell r="AF70">
            <v>-1.5103999999999999E-2</v>
          </cell>
          <cell r="AG70">
            <v>-1.7909000000000001E-2</v>
          </cell>
          <cell r="AR70">
            <v>0</v>
          </cell>
          <cell r="BC70">
            <v>2.5005999999999997E-2</v>
          </cell>
          <cell r="BF70">
            <v>2.5005999999999997E-2</v>
          </cell>
        </row>
        <row r="71">
          <cell r="O71">
            <v>1.3664000000000001</v>
          </cell>
          <cell r="P71">
            <v>1.3404</v>
          </cell>
          <cell r="Q71">
            <v>1.3332999999999999</v>
          </cell>
          <cell r="U71">
            <v>1.0104E-2</v>
          </cell>
          <cell r="V71">
            <v>-1.1858E-2</v>
          </cell>
          <cell r="W71">
            <v>-1.5841999999999998E-2</v>
          </cell>
          <cell r="Y71">
            <v>1.3664000000000001</v>
          </cell>
          <cell r="Z71">
            <v>1.3404</v>
          </cell>
          <cell r="AA71">
            <v>1.3332999999999999</v>
          </cell>
          <cell r="AE71">
            <v>1.0104E-2</v>
          </cell>
          <cell r="AF71">
            <v>-1.1858E-2</v>
          </cell>
          <cell r="AG71">
            <v>-1.5841999999999998E-2</v>
          </cell>
          <cell r="AR71">
            <v>0</v>
          </cell>
          <cell r="BC71">
            <v>2.5005999999999997E-2</v>
          </cell>
          <cell r="BF71">
            <v>2.5005999999999997E-2</v>
          </cell>
        </row>
        <row r="72">
          <cell r="O72">
            <v>1.3664000000000001</v>
          </cell>
          <cell r="P72">
            <v>1.3433999999999999</v>
          </cell>
          <cell r="Q72">
            <v>1.3351</v>
          </cell>
          <cell r="U72">
            <v>5.7949999999999998E-3</v>
          </cell>
          <cell r="V72">
            <v>-1.337E-2</v>
          </cell>
          <cell r="W72">
            <v>-1.8699E-2</v>
          </cell>
          <cell r="Y72">
            <v>1.3664000000000001</v>
          </cell>
          <cell r="Z72">
            <v>1.3433999999999999</v>
          </cell>
          <cell r="AA72">
            <v>1.3351</v>
          </cell>
          <cell r="AE72">
            <v>5.7949999999999998E-3</v>
          </cell>
          <cell r="AF72">
            <v>-1.337E-2</v>
          </cell>
          <cell r="AG72">
            <v>-1.8699E-2</v>
          </cell>
          <cell r="AR72">
            <v>0</v>
          </cell>
          <cell r="BC72">
            <v>2.5005999999999997E-2</v>
          </cell>
          <cell r="BF72">
            <v>2.5005999999999997E-2</v>
          </cell>
        </row>
        <row r="73">
          <cell r="O73">
            <v>1.3664000000000001</v>
          </cell>
          <cell r="P73">
            <v>1.3458000000000001</v>
          </cell>
          <cell r="Q73">
            <v>1.3364</v>
          </cell>
          <cell r="U73">
            <v>6.6579999999999999E-3</v>
          </cell>
          <cell r="V73">
            <v>-1.0281999999999999E-2</v>
          </cell>
          <cell r="W73">
            <v>-1.6508999999999999E-2</v>
          </cell>
          <cell r="Y73">
            <v>1.3664000000000001</v>
          </cell>
          <cell r="Z73">
            <v>1.3458000000000001</v>
          </cell>
          <cell r="AA73">
            <v>1.3364</v>
          </cell>
          <cell r="AE73">
            <v>6.6579999999999999E-3</v>
          </cell>
          <cell r="AF73">
            <v>-1.0281999999999999E-2</v>
          </cell>
          <cell r="AG73">
            <v>-1.6508999999999999E-2</v>
          </cell>
          <cell r="AR73">
            <v>0</v>
          </cell>
          <cell r="BC73">
            <v>2.5005999999999997E-2</v>
          </cell>
          <cell r="BF73">
            <v>2.5005999999999997E-2</v>
          </cell>
        </row>
        <row r="74">
          <cell r="O74">
            <v>1.3664000000000001</v>
          </cell>
          <cell r="P74">
            <v>1.3471</v>
          </cell>
          <cell r="Q74">
            <v>1.3374999999999999</v>
          </cell>
          <cell r="U74">
            <v>1.5117E-2</v>
          </cell>
          <cell r="V74">
            <v>-4.8000000000000001E-5</v>
          </cell>
          <cell r="W74">
            <v>-7.0460000000000002E-3</v>
          </cell>
          <cell r="Y74">
            <v>1.3664000000000001</v>
          </cell>
          <cell r="Z74">
            <v>1.3471</v>
          </cell>
          <cell r="AA74">
            <v>1.3374999999999999</v>
          </cell>
          <cell r="AE74">
            <v>1.5117E-2</v>
          </cell>
          <cell r="AF74">
            <v>-4.8000000000000001E-5</v>
          </cell>
          <cell r="AG74">
            <v>-7.0460000000000002E-3</v>
          </cell>
          <cell r="AR74">
            <v>0</v>
          </cell>
          <cell r="BC74">
            <v>2.5005999999999997E-2</v>
          </cell>
          <cell r="BF74">
            <v>2.5005999999999997E-2</v>
          </cell>
        </row>
        <row r="75">
          <cell r="O75">
            <v>1.3664000000000001</v>
          </cell>
          <cell r="P75">
            <v>1.3492999999999999</v>
          </cell>
          <cell r="Q75">
            <v>1.3386</v>
          </cell>
          <cell r="U75">
            <v>9.1000000000000004E-3</v>
          </cell>
          <cell r="V75">
            <v>-5.097E-3</v>
          </cell>
          <cell r="W75">
            <v>-1.2283000000000001E-2</v>
          </cell>
          <cell r="Y75">
            <v>1.3664000000000001</v>
          </cell>
          <cell r="Z75">
            <v>1.3492999999999999</v>
          </cell>
          <cell r="AA75">
            <v>1.3386</v>
          </cell>
          <cell r="AE75">
            <v>9.1000000000000004E-3</v>
          </cell>
          <cell r="AF75">
            <v>-5.097E-3</v>
          </cell>
          <cell r="AG75">
            <v>-1.2283000000000001E-2</v>
          </cell>
          <cell r="AR75">
            <v>0</v>
          </cell>
          <cell r="BC75">
            <v>2.5005999999999997E-2</v>
          </cell>
          <cell r="BF75">
            <v>2.5005999999999997E-2</v>
          </cell>
        </row>
        <row r="76">
          <cell r="O76">
            <v>1.3664000000000001</v>
          </cell>
          <cell r="P76">
            <v>1.3526</v>
          </cell>
          <cell r="Q76">
            <v>1.3404</v>
          </cell>
          <cell r="U76">
            <v>3.6999999999999998E-5</v>
          </cell>
          <cell r="V76">
            <v>-1.2515999999999999E-2</v>
          </cell>
          <cell r="W76">
            <v>-2.0538000000000001E-2</v>
          </cell>
          <cell r="Y76">
            <v>1.3664000000000001</v>
          </cell>
          <cell r="Z76">
            <v>1.3526</v>
          </cell>
          <cell r="AA76">
            <v>1.3404</v>
          </cell>
          <cell r="AE76">
            <v>3.6999999999999998E-5</v>
          </cell>
          <cell r="AF76">
            <v>-1.2515999999999999E-2</v>
          </cell>
          <cell r="AG76">
            <v>-2.0538000000000001E-2</v>
          </cell>
          <cell r="AR76">
            <v>0</v>
          </cell>
          <cell r="BC76">
            <v>2.5005999999999997E-2</v>
          </cell>
          <cell r="BF76">
            <v>2.5005999999999997E-2</v>
          </cell>
        </row>
        <row r="77">
          <cell r="O77">
            <v>1.3664000000000001</v>
          </cell>
          <cell r="P77">
            <v>1.3549</v>
          </cell>
          <cell r="Q77">
            <v>1.3421000000000001</v>
          </cell>
          <cell r="U77">
            <v>-6.4199999999999999E-4</v>
          </cell>
          <cell r="V77">
            <v>-1.0756999999999999E-2</v>
          </cell>
          <cell r="W77">
            <v>-1.9807000000000002E-2</v>
          </cell>
          <cell r="Y77">
            <v>1.3664000000000001</v>
          </cell>
          <cell r="Z77">
            <v>1.3549</v>
          </cell>
          <cell r="AA77">
            <v>1.3421000000000001</v>
          </cell>
          <cell r="AE77">
            <v>-6.4199999999999999E-4</v>
          </cell>
          <cell r="AF77">
            <v>-1.0756999999999999E-2</v>
          </cell>
          <cell r="AG77">
            <v>-1.9807000000000002E-2</v>
          </cell>
          <cell r="AR77">
            <v>-6.7899999999999992E-4</v>
          </cell>
          <cell r="BC77">
            <v>2.5005999999999997E-2</v>
          </cell>
          <cell r="BF77">
            <v>2.4326999999999998E-2</v>
          </cell>
        </row>
        <row r="78">
          <cell r="O78">
            <v>1.3664000000000001</v>
          </cell>
          <cell r="P78">
            <v>1.3556999999999999</v>
          </cell>
          <cell r="Q78">
            <v>1.3429</v>
          </cell>
          <cell r="U78">
            <v>1.0628E-2</v>
          </cell>
          <cell r="V78">
            <v>2.1700000000000001E-3</v>
          </cell>
          <cell r="W78">
            <v>-7.3210000000000003E-3</v>
          </cell>
          <cell r="Y78">
            <v>1.3664000000000001</v>
          </cell>
          <cell r="Z78">
            <v>1.3556999999999999</v>
          </cell>
          <cell r="AA78">
            <v>1.3429</v>
          </cell>
          <cell r="AE78">
            <v>1.0628E-2</v>
          </cell>
          <cell r="AF78">
            <v>2.1700000000000001E-3</v>
          </cell>
          <cell r="AG78">
            <v>-7.3210000000000003E-3</v>
          </cell>
          <cell r="AR78">
            <v>1.0590000000000002E-2</v>
          </cell>
          <cell r="BC78">
            <v>2.5005999999999997E-2</v>
          </cell>
          <cell r="BF78">
            <v>3.5596000000000003E-2</v>
          </cell>
        </row>
        <row r="79">
          <cell r="O79">
            <v>1.3664000000000001</v>
          </cell>
          <cell r="P79">
            <v>1.3557999999999999</v>
          </cell>
          <cell r="Q79">
            <v>1.3444</v>
          </cell>
          <cell r="U79">
            <v>1.1419E-2</v>
          </cell>
          <cell r="V79">
            <v>3.6029999999999999E-3</v>
          </cell>
          <cell r="W79">
            <v>-5.8869999999999999E-3</v>
          </cell>
          <cell r="Y79">
            <v>1.3664000000000001</v>
          </cell>
          <cell r="Z79">
            <v>1.3557999999999999</v>
          </cell>
          <cell r="AA79">
            <v>1.3444</v>
          </cell>
          <cell r="AE79">
            <v>1.1419E-2</v>
          </cell>
          <cell r="AF79">
            <v>3.6029999999999999E-3</v>
          </cell>
          <cell r="AG79">
            <v>-5.8869999999999999E-3</v>
          </cell>
          <cell r="AR79">
            <v>1.1381000000000002E-2</v>
          </cell>
          <cell r="BC79">
            <v>2.5005999999999997E-2</v>
          </cell>
          <cell r="BF79">
            <v>3.6387000000000003E-2</v>
          </cell>
        </row>
        <row r="80">
          <cell r="O80">
            <v>1.3664000000000001</v>
          </cell>
          <cell r="P80">
            <v>1.3555999999999999</v>
          </cell>
          <cell r="Q80">
            <v>1.3461000000000001</v>
          </cell>
          <cell r="U80">
            <v>1.1405E-2</v>
          </cell>
          <cell r="V80">
            <v>3.6340000000000001E-3</v>
          </cell>
          <cell r="W80">
            <v>-4.7980000000000002E-3</v>
          </cell>
          <cell r="Y80">
            <v>1.3664000000000001</v>
          </cell>
          <cell r="Z80">
            <v>1.3555999999999999</v>
          </cell>
          <cell r="AA80">
            <v>1.3461000000000001</v>
          </cell>
          <cell r="AE80">
            <v>1.1405E-2</v>
          </cell>
          <cell r="AF80">
            <v>3.6340000000000001E-3</v>
          </cell>
          <cell r="AG80">
            <v>-4.7980000000000002E-3</v>
          </cell>
          <cell r="AR80">
            <v>1.1367000000000002E-2</v>
          </cell>
          <cell r="BC80">
            <v>2.5005999999999997E-2</v>
          </cell>
          <cell r="BF80">
            <v>3.6373000000000003E-2</v>
          </cell>
        </row>
        <row r="81">
          <cell r="O81">
            <v>1.3664000000000001</v>
          </cell>
          <cell r="P81">
            <v>1.3547</v>
          </cell>
          <cell r="Q81">
            <v>1.3475999999999999</v>
          </cell>
          <cell r="U81">
            <v>1.6121E-2</v>
          </cell>
          <cell r="V81">
            <v>8.1709999999999994E-3</v>
          </cell>
          <cell r="W81">
            <v>1.1900000000000001E-3</v>
          </cell>
          <cell r="Y81">
            <v>1.3664000000000001</v>
          </cell>
          <cell r="Z81">
            <v>1.3547</v>
          </cell>
          <cell r="AA81">
            <v>1.3475999999999999</v>
          </cell>
          <cell r="AE81">
            <v>1.6121E-2</v>
          </cell>
          <cell r="AF81">
            <v>8.1709999999999994E-3</v>
          </cell>
          <cell r="AG81">
            <v>1.1900000000000001E-3</v>
          </cell>
          <cell r="AR81">
            <v>1.1367000000000002E-2</v>
          </cell>
          <cell r="BC81">
            <v>2.5005999999999997E-2</v>
          </cell>
          <cell r="BF81">
            <v>3.6373000000000003E-2</v>
          </cell>
        </row>
        <row r="82">
          <cell r="O82">
            <v>1.3664000000000001</v>
          </cell>
          <cell r="P82">
            <v>1.3541000000000001</v>
          </cell>
          <cell r="Q82">
            <v>1.3488</v>
          </cell>
          <cell r="U82">
            <v>1.0240000000000001E-2</v>
          </cell>
          <cell r="V82">
            <v>1.6900000000000001E-3</v>
          </cell>
          <cell r="W82">
            <v>-3.6029999999999999E-3</v>
          </cell>
          <cell r="Y82">
            <v>1.3664000000000001</v>
          </cell>
          <cell r="Z82">
            <v>1.3541000000000001</v>
          </cell>
          <cell r="AA82">
            <v>1.3488</v>
          </cell>
          <cell r="AE82">
            <v>1.0240000000000001E-2</v>
          </cell>
          <cell r="AF82">
            <v>1.6900000000000001E-3</v>
          </cell>
          <cell r="AG82">
            <v>-3.6029999999999999E-3</v>
          </cell>
          <cell r="AR82">
            <v>1.1367000000000002E-2</v>
          </cell>
          <cell r="BC82">
            <v>2.5005999999999997E-2</v>
          </cell>
          <cell r="BF82">
            <v>3.6373000000000003E-2</v>
          </cell>
        </row>
        <row r="83">
          <cell r="O83">
            <v>1.3664000000000001</v>
          </cell>
          <cell r="P83">
            <v>1.3545</v>
          </cell>
          <cell r="Q83">
            <v>1.3501000000000001</v>
          </cell>
          <cell r="U83">
            <v>4.3179999999999998E-3</v>
          </cell>
          <cell r="V83">
            <v>-4.6759999999999996E-3</v>
          </cell>
          <cell r="W83">
            <v>-8.6409999999999994E-3</v>
          </cell>
          <cell r="Y83">
            <v>1.3664000000000001</v>
          </cell>
          <cell r="Z83">
            <v>1.3545</v>
          </cell>
          <cell r="AA83">
            <v>1.3501000000000001</v>
          </cell>
          <cell r="AE83">
            <v>4.3179999999999998E-3</v>
          </cell>
          <cell r="AF83">
            <v>-4.6759999999999996E-3</v>
          </cell>
          <cell r="AG83">
            <v>-8.6409999999999994E-3</v>
          </cell>
          <cell r="AR83">
            <v>1.1367000000000002E-2</v>
          </cell>
          <cell r="BC83">
            <v>2.5005999999999997E-2</v>
          </cell>
          <cell r="BF83">
            <v>3.6373000000000003E-2</v>
          </cell>
        </row>
        <row r="84">
          <cell r="O84">
            <v>1.3664000000000001</v>
          </cell>
          <cell r="P84">
            <v>1.3553999999999999</v>
          </cell>
          <cell r="Q84">
            <v>1.3512</v>
          </cell>
          <cell r="U84">
            <v>8.5349999999999992E-3</v>
          </cell>
          <cell r="V84">
            <v>-2.2499999999999999E-4</v>
          </cell>
          <cell r="W84">
            <v>-3.4229999999999998E-3</v>
          </cell>
          <cell r="Y84">
            <v>1.3664000000000001</v>
          </cell>
          <cell r="Z84">
            <v>1.3553999999999999</v>
          </cell>
          <cell r="AA84">
            <v>1.3512</v>
          </cell>
          <cell r="AE84">
            <v>8.5349999999999992E-3</v>
          </cell>
          <cell r="AF84">
            <v>-2.2499999999999999E-4</v>
          </cell>
          <cell r="AG84">
            <v>-3.4229999999999998E-3</v>
          </cell>
          <cell r="AR84">
            <v>1.1367000000000002E-2</v>
          </cell>
          <cell r="BC84">
            <v>2.5005999999999997E-2</v>
          </cell>
          <cell r="BF84">
            <v>3.6373000000000003E-2</v>
          </cell>
        </row>
        <row r="85">
          <cell r="O85">
            <v>1.3664000000000001</v>
          </cell>
          <cell r="P85">
            <v>1.3548</v>
          </cell>
          <cell r="Q85">
            <v>1.3520000000000001</v>
          </cell>
          <cell r="U85">
            <v>1.3524E-2</v>
          </cell>
          <cell r="V85">
            <v>5.4209999999999996E-3</v>
          </cell>
          <cell r="W85">
            <v>2.379E-3</v>
          </cell>
          <cell r="Y85">
            <v>1.3664000000000001</v>
          </cell>
          <cell r="Z85">
            <v>1.3548</v>
          </cell>
          <cell r="AA85">
            <v>1.3520000000000001</v>
          </cell>
          <cell r="AE85">
            <v>1.3524E-2</v>
          </cell>
          <cell r="AF85">
            <v>5.4209999999999996E-3</v>
          </cell>
          <cell r="AG85">
            <v>2.379E-3</v>
          </cell>
          <cell r="AR85">
            <v>1.1367000000000002E-2</v>
          </cell>
          <cell r="BC85">
            <v>2.5005999999999997E-2</v>
          </cell>
          <cell r="BF85">
            <v>3.6373000000000003E-2</v>
          </cell>
        </row>
        <row r="86">
          <cell r="O86">
            <v>1.3664000000000001</v>
          </cell>
          <cell r="P86">
            <v>1.3527</v>
          </cell>
          <cell r="Q86">
            <v>1.3527</v>
          </cell>
          <cell r="U86">
            <v>1.5395000000000001E-2</v>
          </cell>
          <cell r="V86">
            <v>6.8510000000000003E-3</v>
          </cell>
          <cell r="W86">
            <v>4.8479999999999999E-3</v>
          </cell>
          <cell r="Y86">
            <v>1.3664000000000001</v>
          </cell>
          <cell r="Z86">
            <v>1.3527</v>
          </cell>
          <cell r="AA86">
            <v>1.3527</v>
          </cell>
          <cell r="AE86">
            <v>1.5395000000000001E-2</v>
          </cell>
          <cell r="AF86">
            <v>6.8510000000000003E-3</v>
          </cell>
          <cell r="AG86">
            <v>4.8479999999999999E-3</v>
          </cell>
          <cell r="AR86">
            <v>1.1367000000000002E-2</v>
          </cell>
          <cell r="BC86">
            <v>2.5005999999999997E-2</v>
          </cell>
          <cell r="BF86">
            <v>3.6373000000000003E-2</v>
          </cell>
        </row>
        <row r="87">
          <cell r="O87">
            <v>1.3664000000000001</v>
          </cell>
          <cell r="P87">
            <v>1.3508</v>
          </cell>
          <cell r="Q87">
            <v>1.3529</v>
          </cell>
          <cell r="U87">
            <v>1.2885000000000001E-2</v>
          </cell>
          <cell r="V87">
            <v>2.8019999999999998E-3</v>
          </cell>
          <cell r="W87">
            <v>2.7859999999999998E-3</v>
          </cell>
          <cell r="Y87">
            <v>1.3664000000000001</v>
          </cell>
          <cell r="Z87">
            <v>1.3508</v>
          </cell>
          <cell r="AA87">
            <v>1.3529</v>
          </cell>
          <cell r="AE87">
            <v>1.2885000000000001E-2</v>
          </cell>
          <cell r="AF87">
            <v>2.8019999999999998E-3</v>
          </cell>
          <cell r="AG87">
            <v>2.7859999999999998E-3</v>
          </cell>
          <cell r="AR87">
            <v>1.1367000000000002E-2</v>
          </cell>
          <cell r="BC87">
            <v>2.5005999999999997E-2</v>
          </cell>
          <cell r="BF87">
            <v>3.6373000000000003E-2</v>
          </cell>
        </row>
        <row r="88">
          <cell r="O88">
            <v>1.3664000000000001</v>
          </cell>
          <cell r="P88">
            <v>1.3495999999999999</v>
          </cell>
          <cell r="Q88">
            <v>1.3527</v>
          </cell>
          <cell r="U88">
            <v>2.0046999999999999E-2</v>
          </cell>
          <cell r="V88">
            <v>8.6060000000000008E-3</v>
          </cell>
          <cell r="W88">
            <v>1.0099E-2</v>
          </cell>
          <cell r="Y88">
            <v>1.3664000000000001</v>
          </cell>
          <cell r="Z88">
            <v>1.3495999999999999</v>
          </cell>
          <cell r="AA88">
            <v>1.3527</v>
          </cell>
          <cell r="AE88">
            <v>2.0046999999999999E-2</v>
          </cell>
          <cell r="AF88">
            <v>8.6060000000000008E-3</v>
          </cell>
          <cell r="AG88">
            <v>1.0099E-2</v>
          </cell>
          <cell r="AR88">
            <v>1.1367000000000002E-2</v>
          </cell>
          <cell r="BC88">
            <v>2.5005999999999997E-2</v>
          </cell>
          <cell r="BF88">
            <v>3.6373000000000003E-2</v>
          </cell>
        </row>
        <row r="89">
          <cell r="O89">
            <v>1.3664000000000001</v>
          </cell>
          <cell r="P89">
            <v>1.3475999999999999</v>
          </cell>
          <cell r="Q89">
            <v>1.3516999999999999</v>
          </cell>
          <cell r="U89">
            <v>2.6357999999999999E-2</v>
          </cell>
          <cell r="V89">
            <v>1.3978000000000001E-2</v>
          </cell>
          <cell r="W89">
            <v>1.6263E-2</v>
          </cell>
          <cell r="Y89">
            <v>1.3664000000000001</v>
          </cell>
          <cell r="Z89">
            <v>1.3475999999999999</v>
          </cell>
          <cell r="AA89">
            <v>1.3516999999999999</v>
          </cell>
          <cell r="AE89">
            <v>2.6357999999999999E-2</v>
          </cell>
          <cell r="AF89">
            <v>1.3978000000000001E-2</v>
          </cell>
          <cell r="AG89">
            <v>1.6263E-2</v>
          </cell>
          <cell r="AR89">
            <v>1.1367000000000002E-2</v>
          </cell>
          <cell r="BC89">
            <v>2.5005999999999997E-2</v>
          </cell>
          <cell r="BF89">
            <v>3.6373000000000003E-2</v>
          </cell>
        </row>
        <row r="90">
          <cell r="O90">
            <v>1.3664000000000001</v>
          </cell>
          <cell r="P90">
            <v>1.3464</v>
          </cell>
          <cell r="Q90">
            <v>1.351</v>
          </cell>
          <cell r="U90">
            <v>2.0358999999999999E-2</v>
          </cell>
          <cell r="V90">
            <v>6.4929999999999996E-3</v>
          </cell>
          <cell r="W90">
            <v>9.5460000000000007E-3</v>
          </cell>
          <cell r="Y90">
            <v>1.3664000000000001</v>
          </cell>
          <cell r="Z90">
            <v>1.3464</v>
          </cell>
          <cell r="AA90">
            <v>1.351</v>
          </cell>
          <cell r="AE90">
            <v>2.0358999999999999E-2</v>
          </cell>
          <cell r="AF90">
            <v>6.4929999999999996E-3</v>
          </cell>
          <cell r="AG90">
            <v>9.5460000000000007E-3</v>
          </cell>
          <cell r="AR90">
            <v>1.1367000000000002E-2</v>
          </cell>
          <cell r="BC90">
            <v>2.5005999999999997E-2</v>
          </cell>
          <cell r="BF90">
            <v>3.6373000000000003E-2</v>
          </cell>
        </row>
        <row r="91">
          <cell r="O91">
            <v>1.3664000000000001</v>
          </cell>
          <cell r="P91">
            <v>1.3469</v>
          </cell>
          <cell r="Q91">
            <v>1.3508</v>
          </cell>
          <cell r="U91">
            <v>1.1764999999999999E-2</v>
          </cell>
          <cell r="V91">
            <v>-2.9949999999999998E-3</v>
          </cell>
          <cell r="W91">
            <v>4.1599999999999997E-4</v>
          </cell>
          <cell r="Y91">
            <v>1.3664000000000001</v>
          </cell>
          <cell r="Z91">
            <v>1.3469</v>
          </cell>
          <cell r="AA91">
            <v>1.3508</v>
          </cell>
          <cell r="AE91">
            <v>1.1764999999999999E-2</v>
          </cell>
          <cell r="AF91">
            <v>-2.9949999999999998E-3</v>
          </cell>
          <cell r="AG91">
            <v>4.1599999999999997E-4</v>
          </cell>
          <cell r="AR91">
            <v>1.1367000000000002E-2</v>
          </cell>
          <cell r="BC91">
            <v>2.5005999999999997E-2</v>
          </cell>
          <cell r="BF91">
            <v>3.6373000000000003E-2</v>
          </cell>
        </row>
        <row r="92">
          <cell r="O92">
            <v>1.3664000000000001</v>
          </cell>
          <cell r="P92">
            <v>1.347</v>
          </cell>
          <cell r="Q92">
            <v>1.3506</v>
          </cell>
          <cell r="U92">
            <v>1.018E-2</v>
          </cell>
          <cell r="V92">
            <v>-4.1440000000000001E-3</v>
          </cell>
          <cell r="W92">
            <v>-1.253E-3</v>
          </cell>
          <cell r="Y92">
            <v>1.3664000000000001</v>
          </cell>
          <cell r="Z92">
            <v>1.347</v>
          </cell>
          <cell r="AA92">
            <v>1.3506</v>
          </cell>
          <cell r="AE92">
            <v>1.018E-2</v>
          </cell>
          <cell r="AF92">
            <v>-4.1440000000000001E-3</v>
          </cell>
          <cell r="AG92">
            <v>-1.253E-3</v>
          </cell>
          <cell r="AR92">
            <v>1.1367000000000002E-2</v>
          </cell>
          <cell r="BC92">
            <v>2.5005999999999997E-2</v>
          </cell>
          <cell r="BF92">
            <v>3.6373000000000003E-2</v>
          </cell>
        </row>
        <row r="93">
          <cell r="O93">
            <v>1.3664000000000001</v>
          </cell>
          <cell r="P93">
            <v>1.3461000000000001</v>
          </cell>
          <cell r="Q93">
            <v>1.3503000000000001</v>
          </cell>
          <cell r="U93">
            <v>1.0553E-2</v>
          </cell>
          <cell r="V93">
            <v>-3.764E-3</v>
          </cell>
          <cell r="W93">
            <v>-1.0989999999999999E-3</v>
          </cell>
          <cell r="Y93">
            <v>1.3664000000000001</v>
          </cell>
          <cell r="Z93">
            <v>1.3461000000000001</v>
          </cell>
          <cell r="AA93">
            <v>1.3503000000000001</v>
          </cell>
          <cell r="AE93">
            <v>1.0553E-2</v>
          </cell>
          <cell r="AF93">
            <v>-3.764E-3</v>
          </cell>
          <cell r="AG93">
            <v>-1.0989999999999999E-3</v>
          </cell>
          <cell r="AR93">
            <v>1.1367000000000002E-2</v>
          </cell>
          <cell r="BC93">
            <v>2.5005999999999997E-2</v>
          </cell>
          <cell r="BF93">
            <v>3.6373000000000003E-2</v>
          </cell>
        </row>
        <row r="94">
          <cell r="O94">
            <v>1.3664000000000001</v>
          </cell>
          <cell r="P94">
            <v>1.3463000000000001</v>
          </cell>
          <cell r="Q94">
            <v>1.3509</v>
          </cell>
          <cell r="U94">
            <v>6.7660000000000003E-3</v>
          </cell>
          <cell r="V94">
            <v>-8.1799999999999998E-3</v>
          </cell>
          <cell r="W94">
            <v>-5.0819999999999997E-3</v>
          </cell>
          <cell r="Y94">
            <v>1.3664000000000001</v>
          </cell>
          <cell r="Z94">
            <v>1.3463000000000001</v>
          </cell>
          <cell r="AA94">
            <v>1.3509</v>
          </cell>
          <cell r="AE94">
            <v>6.7660000000000003E-3</v>
          </cell>
          <cell r="AF94">
            <v>-8.1799999999999998E-3</v>
          </cell>
          <cell r="AG94">
            <v>-5.0819999999999997E-3</v>
          </cell>
          <cell r="AR94">
            <v>1.1367000000000002E-2</v>
          </cell>
          <cell r="BC94">
            <v>2.5005999999999997E-2</v>
          </cell>
          <cell r="BF94">
            <v>3.6373000000000003E-2</v>
          </cell>
        </row>
        <row r="95">
          <cell r="O95">
            <v>1.3664000000000001</v>
          </cell>
          <cell r="P95">
            <v>1.3465</v>
          </cell>
          <cell r="Q95">
            <v>1.3506</v>
          </cell>
          <cell r="U95">
            <v>1.2468999999999999E-2</v>
          </cell>
          <cell r="V95">
            <v>-2.2980000000000001E-3</v>
          </cell>
          <cell r="W95">
            <v>1.0399999999999999E-3</v>
          </cell>
          <cell r="Y95">
            <v>1.3664000000000001</v>
          </cell>
          <cell r="Z95">
            <v>1.3465</v>
          </cell>
          <cell r="AA95">
            <v>1.3506</v>
          </cell>
          <cell r="AE95">
            <v>1.2468999999999999E-2</v>
          </cell>
          <cell r="AF95">
            <v>-2.2980000000000001E-3</v>
          </cell>
          <cell r="AG95">
            <v>1.0399999999999999E-3</v>
          </cell>
          <cell r="AR95">
            <v>1.1367000000000002E-2</v>
          </cell>
          <cell r="BC95">
            <v>2.5005999999999997E-2</v>
          </cell>
          <cell r="BF95">
            <v>3.6373000000000003E-2</v>
          </cell>
        </row>
        <row r="96">
          <cell r="O96">
            <v>1.3664000000000001</v>
          </cell>
          <cell r="P96">
            <v>1.3468</v>
          </cell>
          <cell r="Q96">
            <v>1.3496999999999999</v>
          </cell>
          <cell r="U96">
            <v>1.3053E-2</v>
          </cell>
          <cell r="V96">
            <v>-1.609E-3</v>
          </cell>
          <cell r="W96">
            <v>1.454E-3</v>
          </cell>
          <cell r="Y96">
            <v>1.3664000000000001</v>
          </cell>
          <cell r="Z96">
            <v>1.3468</v>
          </cell>
          <cell r="AA96">
            <v>1.3496999999999999</v>
          </cell>
          <cell r="AE96">
            <v>1.3053E-2</v>
          </cell>
          <cell r="AF96">
            <v>-1.609E-3</v>
          </cell>
          <cell r="AG96">
            <v>1.454E-3</v>
          </cell>
          <cell r="AR96">
            <v>1.1367000000000002E-2</v>
          </cell>
          <cell r="BC96">
            <v>2.5005999999999997E-2</v>
          </cell>
          <cell r="BF96">
            <v>3.6373000000000003E-2</v>
          </cell>
        </row>
        <row r="97">
          <cell r="O97">
            <v>1.3664000000000001</v>
          </cell>
          <cell r="P97">
            <v>1.3471</v>
          </cell>
          <cell r="Q97">
            <v>1.349</v>
          </cell>
          <cell r="U97">
            <v>1.0612E-2</v>
          </cell>
          <cell r="V97">
            <v>-3.8159999999999999E-3</v>
          </cell>
          <cell r="W97">
            <v>-1.6410000000000001E-3</v>
          </cell>
          <cell r="Y97">
            <v>1.3664000000000001</v>
          </cell>
          <cell r="Z97">
            <v>1.3471</v>
          </cell>
          <cell r="AA97">
            <v>1.349</v>
          </cell>
          <cell r="AE97">
            <v>1.0612E-2</v>
          </cell>
          <cell r="AF97">
            <v>-3.8159999999999999E-3</v>
          </cell>
          <cell r="AG97">
            <v>-1.6410000000000001E-3</v>
          </cell>
          <cell r="AR97">
            <v>1.1367000000000002E-2</v>
          </cell>
          <cell r="BC97">
            <v>2.5005999999999997E-2</v>
          </cell>
          <cell r="BF97">
            <v>3.6373000000000003E-2</v>
          </cell>
        </row>
        <row r="98">
          <cell r="O98">
            <v>1.3664000000000001</v>
          </cell>
          <cell r="P98">
            <v>1.3489</v>
          </cell>
          <cell r="Q98">
            <v>1.3492</v>
          </cell>
          <cell r="U98">
            <v>7.0650000000000001E-3</v>
          </cell>
          <cell r="V98">
            <v>-7.1349999999999998E-3</v>
          </cell>
          <cell r="W98">
            <v>-5.7549999999999997E-3</v>
          </cell>
          <cell r="Y98">
            <v>1.3664000000000001</v>
          </cell>
          <cell r="Z98">
            <v>1.3489</v>
          </cell>
          <cell r="AA98">
            <v>1.3492</v>
          </cell>
          <cell r="AE98">
            <v>7.0650000000000001E-3</v>
          </cell>
          <cell r="AF98">
            <v>-7.1349999999999998E-3</v>
          </cell>
          <cell r="AG98">
            <v>-5.7549999999999997E-3</v>
          </cell>
          <cell r="AR98">
            <v>1.1367000000000002E-2</v>
          </cell>
          <cell r="BC98">
            <v>2.5005999999999997E-2</v>
          </cell>
          <cell r="BF98">
            <v>3.6373000000000003E-2</v>
          </cell>
        </row>
        <row r="99">
          <cell r="O99">
            <v>1.3664000000000001</v>
          </cell>
          <cell r="P99">
            <v>1.3520000000000001</v>
          </cell>
          <cell r="Q99">
            <v>1.3498000000000001</v>
          </cell>
          <cell r="U99">
            <v>3.3430000000000001E-3</v>
          </cell>
          <cell r="V99">
            <v>-9.5580000000000005E-3</v>
          </cell>
          <cell r="W99">
            <v>-9.2980000000000007E-3</v>
          </cell>
          <cell r="Y99">
            <v>1.3664000000000001</v>
          </cell>
          <cell r="Z99">
            <v>1.3520000000000001</v>
          </cell>
          <cell r="AA99">
            <v>1.3498000000000001</v>
          </cell>
          <cell r="AE99">
            <v>3.3430000000000001E-3</v>
          </cell>
          <cell r="AF99">
            <v>-9.5580000000000005E-3</v>
          </cell>
          <cell r="AG99">
            <v>-9.2980000000000007E-3</v>
          </cell>
          <cell r="AR99">
            <v>1.1367000000000002E-2</v>
          </cell>
          <cell r="BC99">
            <v>2.5005999999999997E-2</v>
          </cell>
          <cell r="BF99">
            <v>3.6373000000000003E-2</v>
          </cell>
        </row>
        <row r="100">
          <cell r="O100">
            <v>1.3664000000000001</v>
          </cell>
          <cell r="P100">
            <v>1.3539000000000001</v>
          </cell>
          <cell r="Q100">
            <v>1.3501000000000001</v>
          </cell>
          <cell r="U100">
            <v>5.7840000000000001E-3</v>
          </cell>
          <cell r="V100">
            <v>-4.823E-3</v>
          </cell>
          <cell r="W100">
            <v>-6.4510000000000001E-3</v>
          </cell>
          <cell r="Y100">
            <v>1.3664000000000001</v>
          </cell>
          <cell r="Z100">
            <v>1.3539000000000001</v>
          </cell>
          <cell r="AA100">
            <v>1.3501000000000001</v>
          </cell>
          <cell r="AE100">
            <v>5.7840000000000001E-3</v>
          </cell>
          <cell r="AF100">
            <v>-4.823E-3</v>
          </cell>
          <cell r="AG100">
            <v>-6.4510000000000001E-3</v>
          </cell>
          <cell r="AR100">
            <v>1.1367000000000002E-2</v>
          </cell>
          <cell r="BC100">
            <v>2.5005999999999997E-2</v>
          </cell>
          <cell r="BF100">
            <v>3.6373000000000003E-2</v>
          </cell>
        </row>
        <row r="101">
          <cell r="O101">
            <v>1.3664000000000001</v>
          </cell>
          <cell r="P101">
            <v>1.355</v>
          </cell>
          <cell r="Q101">
            <v>1.351</v>
          </cell>
          <cell r="U101">
            <v>3.7100000000000002E-3</v>
          </cell>
          <cell r="V101">
            <v>-5.4450000000000002E-3</v>
          </cell>
          <cell r="W101">
            <v>-8.2439999999999996E-3</v>
          </cell>
          <cell r="Y101">
            <v>1.3664000000000001</v>
          </cell>
          <cell r="Z101">
            <v>1.355</v>
          </cell>
          <cell r="AA101">
            <v>1.351</v>
          </cell>
          <cell r="AE101">
            <v>3.7100000000000002E-3</v>
          </cell>
          <cell r="AF101">
            <v>-5.4450000000000002E-3</v>
          </cell>
          <cell r="AG101">
            <v>-8.2439999999999996E-3</v>
          </cell>
          <cell r="AR101">
            <v>1.1367000000000002E-2</v>
          </cell>
          <cell r="BC101">
            <v>2.5005999999999997E-2</v>
          </cell>
          <cell r="BF101">
            <v>3.6373000000000003E-2</v>
          </cell>
        </row>
        <row r="102">
          <cell r="O102">
            <v>1.3664000000000001</v>
          </cell>
          <cell r="P102">
            <v>1.3560000000000001</v>
          </cell>
          <cell r="Q102">
            <v>1.3514999999999999</v>
          </cell>
          <cell r="U102">
            <v>2.8609999999999998E-3</v>
          </cell>
          <cell r="V102">
            <v>-5.4869999999999997E-3</v>
          </cell>
          <cell r="W102">
            <v>-8.4700000000000001E-3</v>
          </cell>
          <cell r="Y102">
            <v>1.3664000000000001</v>
          </cell>
          <cell r="Z102">
            <v>1.3560000000000001</v>
          </cell>
          <cell r="AA102">
            <v>1.3514999999999999</v>
          </cell>
          <cell r="AE102">
            <v>2.8609999999999998E-3</v>
          </cell>
          <cell r="AF102">
            <v>-5.4869999999999997E-3</v>
          </cell>
          <cell r="AG102">
            <v>-8.4700000000000001E-3</v>
          </cell>
          <cell r="AR102">
            <v>1.1367000000000002E-2</v>
          </cell>
          <cell r="BC102">
            <v>2.5005999999999997E-2</v>
          </cell>
          <cell r="BF102">
            <v>3.6373000000000003E-2</v>
          </cell>
        </row>
        <row r="103">
          <cell r="O103">
            <v>1.3664000000000001</v>
          </cell>
          <cell r="P103">
            <v>1.3581000000000001</v>
          </cell>
          <cell r="Q103">
            <v>1.3521000000000001</v>
          </cell>
          <cell r="U103">
            <v>-4.4689999999999999E-3</v>
          </cell>
          <cell r="V103">
            <v>-1.2083999999999999E-2</v>
          </cell>
          <cell r="W103">
            <v>-1.5429999999999999E-2</v>
          </cell>
          <cell r="Y103">
            <v>1.3664000000000001</v>
          </cell>
          <cell r="Z103">
            <v>1.3581000000000001</v>
          </cell>
          <cell r="AA103">
            <v>1.3521000000000001</v>
          </cell>
          <cell r="AE103">
            <v>-4.4689999999999999E-3</v>
          </cell>
          <cell r="AF103">
            <v>-1.2083999999999999E-2</v>
          </cell>
          <cell r="AG103">
            <v>-1.5429999999999999E-2</v>
          </cell>
          <cell r="AR103">
            <v>1.1367000000000002E-2</v>
          </cell>
          <cell r="BC103">
            <v>2.5005999999999997E-2</v>
          </cell>
          <cell r="BF103">
            <v>3.6373000000000003E-2</v>
          </cell>
        </row>
        <row r="104">
          <cell r="O104">
            <v>1.3664000000000001</v>
          </cell>
          <cell r="P104">
            <v>1.3613</v>
          </cell>
          <cell r="Q104">
            <v>1.3537999999999999</v>
          </cell>
          <cell r="U104">
            <v>-1.6716999999999999E-2</v>
          </cell>
          <cell r="V104">
            <v>-2.2824000000000001E-2</v>
          </cell>
          <cell r="W104">
            <v>-2.7233E-2</v>
          </cell>
          <cell r="Y104">
            <v>1.3664000000000001</v>
          </cell>
          <cell r="Z104">
            <v>1.3613</v>
          </cell>
          <cell r="AA104">
            <v>1.3537999999999999</v>
          </cell>
          <cell r="AE104">
            <v>-1.6716999999999999E-2</v>
          </cell>
          <cell r="AF104">
            <v>-2.2824000000000001E-2</v>
          </cell>
          <cell r="AG104">
            <v>-2.7233E-2</v>
          </cell>
          <cell r="AR104">
            <v>1.1367000000000002E-2</v>
          </cell>
          <cell r="BC104">
            <v>2.5005999999999997E-2</v>
          </cell>
          <cell r="BF104">
            <v>3.6373000000000003E-2</v>
          </cell>
        </row>
        <row r="105">
          <cell r="O105">
            <v>1.3664000000000001</v>
          </cell>
          <cell r="P105">
            <v>1.3654999999999999</v>
          </cell>
          <cell r="Q105">
            <v>1.3560000000000001</v>
          </cell>
          <cell r="U105">
            <v>-1.8238999999999998E-2</v>
          </cell>
          <cell r="V105">
            <v>-2.1975000000000001E-2</v>
          </cell>
          <cell r="W105">
            <v>-2.7476E-2</v>
          </cell>
          <cell r="Y105">
            <v>1.3664000000000001</v>
          </cell>
          <cell r="Z105">
            <v>1.3654999999999999</v>
          </cell>
          <cell r="AA105">
            <v>1.3560000000000001</v>
          </cell>
          <cell r="AE105">
            <v>-1.8238999999999998E-2</v>
          </cell>
          <cell r="AF105">
            <v>-2.1975000000000001E-2</v>
          </cell>
          <cell r="AG105">
            <v>-2.7476E-2</v>
          </cell>
          <cell r="AR105">
            <v>9.8440000000000021E-3</v>
          </cell>
          <cell r="BC105">
            <v>2.5005999999999997E-2</v>
          </cell>
          <cell r="BF105">
            <v>3.4850000000000006E-2</v>
          </cell>
        </row>
        <row r="106">
          <cell r="O106">
            <v>1.3664000000000001</v>
          </cell>
          <cell r="P106">
            <v>1.371</v>
          </cell>
          <cell r="Q106">
            <v>1.3589</v>
          </cell>
          <cell r="U106">
            <v>-2.7317999999999999E-2</v>
          </cell>
          <cell r="V106">
            <v>-2.7966999999999999E-2</v>
          </cell>
          <cell r="W106">
            <v>-3.4949000000000001E-2</v>
          </cell>
          <cell r="Y106">
            <v>1.3664000000000001</v>
          </cell>
          <cell r="Z106">
            <v>1.371</v>
          </cell>
          <cell r="AA106">
            <v>1.3589</v>
          </cell>
          <cell r="AE106">
            <v>-2.7317999999999999E-2</v>
          </cell>
          <cell r="AF106">
            <v>-2.7966999999999999E-2</v>
          </cell>
          <cell r="AG106">
            <v>-3.4949000000000001E-2</v>
          </cell>
          <cell r="AR106">
            <v>7.6500000000000005E-4</v>
          </cell>
          <cell r="BC106">
            <v>2.5005999999999997E-2</v>
          </cell>
          <cell r="BF106">
            <v>2.5771000000000002E-2</v>
          </cell>
        </row>
        <row r="107">
          <cell r="O107">
            <v>1.3664000000000001</v>
          </cell>
          <cell r="P107">
            <v>1.3771</v>
          </cell>
          <cell r="Q107">
            <v>1.3621000000000001</v>
          </cell>
          <cell r="U107">
            <v>-3.347E-2</v>
          </cell>
          <cell r="V107">
            <v>-3.0058999999999999E-2</v>
          </cell>
          <cell r="W107">
            <v>-3.8939000000000001E-2</v>
          </cell>
          <cell r="Y107">
            <v>1.3664000000000001</v>
          </cell>
          <cell r="Z107">
            <v>1.3771</v>
          </cell>
          <cell r="AA107">
            <v>1.3621000000000001</v>
          </cell>
          <cell r="AE107">
            <v>-3.347E-2</v>
          </cell>
          <cell r="AF107">
            <v>-3.0058999999999999E-2</v>
          </cell>
          <cell r="AG107">
            <v>-3.8939000000000001E-2</v>
          </cell>
          <cell r="AR107">
            <v>-5.3879999999999987E-3</v>
          </cell>
          <cell r="BC107">
            <v>2.5005999999999997E-2</v>
          </cell>
          <cell r="BF107">
            <v>1.9618000000000003E-2</v>
          </cell>
        </row>
        <row r="108">
          <cell r="O108">
            <v>1.3664000000000001</v>
          </cell>
          <cell r="P108">
            <v>1.3811</v>
          </cell>
          <cell r="Q108">
            <v>1.365</v>
          </cell>
          <cell r="U108">
            <v>-2.1988000000000001E-2</v>
          </cell>
          <cell r="V108">
            <v>-1.4142E-2</v>
          </cell>
          <cell r="W108">
            <v>-2.5104000000000001E-2</v>
          </cell>
          <cell r="Y108">
            <v>1.3664000000000001</v>
          </cell>
          <cell r="Z108">
            <v>1.3811</v>
          </cell>
          <cell r="AA108">
            <v>1.365</v>
          </cell>
          <cell r="AE108">
            <v>-2.1988000000000001E-2</v>
          </cell>
          <cell r="AF108">
            <v>-1.4142E-2</v>
          </cell>
          <cell r="AG108">
            <v>-2.5104000000000001E-2</v>
          </cell>
          <cell r="AR108">
            <v>6.0950000000000015E-3</v>
          </cell>
          <cell r="BC108">
            <v>2.5005999999999997E-2</v>
          </cell>
          <cell r="BF108">
            <v>3.1101000000000004E-2</v>
          </cell>
        </row>
        <row r="109">
          <cell r="O109">
            <v>1.3664000000000001</v>
          </cell>
          <cell r="P109">
            <v>1.3843000000000001</v>
          </cell>
          <cell r="Q109">
            <v>1.3681000000000001</v>
          </cell>
          <cell r="U109">
            <v>-1.9244000000000001E-2</v>
          </cell>
          <cell r="V109">
            <v>-8.4980000000000003E-3</v>
          </cell>
          <cell r="W109">
            <v>-2.0251999999999999E-2</v>
          </cell>
          <cell r="Y109">
            <v>1.3664000000000001</v>
          </cell>
          <cell r="Z109">
            <v>1.3843000000000001</v>
          </cell>
          <cell r="AA109">
            <v>1.3681000000000001</v>
          </cell>
          <cell r="AE109">
            <v>-1.9244000000000001E-2</v>
          </cell>
          <cell r="AF109">
            <v>-8.4980000000000003E-3</v>
          </cell>
          <cell r="AG109">
            <v>-2.0251999999999999E-2</v>
          </cell>
          <cell r="AR109">
            <v>8.8390000000000014E-3</v>
          </cell>
          <cell r="BC109">
            <v>2.5005999999999997E-2</v>
          </cell>
          <cell r="BF109">
            <v>3.3845E-2</v>
          </cell>
        </row>
        <row r="110">
          <cell r="O110">
            <v>1.3664000000000001</v>
          </cell>
          <cell r="P110">
            <v>1.387</v>
          </cell>
          <cell r="Q110">
            <v>1.3704000000000001</v>
          </cell>
          <cell r="U110">
            <v>-1.3983000000000001E-2</v>
          </cell>
          <cell r="V110">
            <v>-9.8700000000000003E-4</v>
          </cell>
          <cell r="W110">
            <v>-1.2718999999999999E-2</v>
          </cell>
          <cell r="Y110">
            <v>1.3664000000000001</v>
          </cell>
          <cell r="Z110">
            <v>1.387</v>
          </cell>
          <cell r="AA110">
            <v>1.3704000000000001</v>
          </cell>
          <cell r="AE110">
            <v>-1.3983000000000001E-2</v>
          </cell>
          <cell r="AF110">
            <v>-9.8700000000000003E-4</v>
          </cell>
          <cell r="AG110">
            <v>-1.2718999999999999E-2</v>
          </cell>
          <cell r="AR110">
            <v>1.4100000000000001E-2</v>
          </cell>
          <cell r="BC110">
            <v>2.5005999999999997E-2</v>
          </cell>
          <cell r="BF110">
            <v>3.9106000000000002E-2</v>
          </cell>
        </row>
        <row r="111">
          <cell r="O111">
            <v>1.3664000000000001</v>
          </cell>
          <cell r="P111">
            <v>1.3876999999999999</v>
          </cell>
          <cell r="Q111">
            <v>1.3714</v>
          </cell>
          <cell r="U111">
            <v>-1.864E-3</v>
          </cell>
          <cell r="V111">
            <v>1.3089E-2</v>
          </cell>
          <cell r="W111">
            <v>1.108E-3</v>
          </cell>
          <cell r="Y111">
            <v>1.3664000000000001</v>
          </cell>
          <cell r="Z111">
            <v>1.3876999999999999</v>
          </cell>
          <cell r="AA111">
            <v>1.3714</v>
          </cell>
          <cell r="AE111">
            <v>-1.864E-3</v>
          </cell>
          <cell r="AF111">
            <v>1.3089E-2</v>
          </cell>
          <cell r="AG111">
            <v>1.108E-3</v>
          </cell>
          <cell r="AR111">
            <v>2.6219000000000003E-2</v>
          </cell>
          <cell r="BC111">
            <v>2.5005999999999997E-2</v>
          </cell>
          <cell r="BF111">
            <v>5.1225000000000007E-2</v>
          </cell>
        </row>
        <row r="112">
          <cell r="O112">
            <v>1.3664000000000001</v>
          </cell>
          <cell r="P112">
            <v>1.3895</v>
          </cell>
          <cell r="Q112">
            <v>1.3727</v>
          </cell>
          <cell r="U112">
            <v>-9.7409999999999997E-3</v>
          </cell>
          <cell r="V112">
            <v>5.7609999999999996E-3</v>
          </cell>
          <cell r="W112">
            <v>-6.0930000000000003E-3</v>
          </cell>
          <cell r="Y112">
            <v>1.3664000000000001</v>
          </cell>
          <cell r="Z112">
            <v>1.3895</v>
          </cell>
          <cell r="AA112">
            <v>1.3727</v>
          </cell>
          <cell r="AE112">
            <v>-9.7409999999999997E-3</v>
          </cell>
          <cell r="AF112">
            <v>5.7609999999999996E-3</v>
          </cell>
          <cell r="AG112">
            <v>-6.0930000000000003E-3</v>
          </cell>
          <cell r="AR112">
            <v>2.6219000000000003E-2</v>
          </cell>
          <cell r="BC112">
            <v>2.5005999999999997E-2</v>
          </cell>
          <cell r="BF112">
            <v>5.1225000000000007E-2</v>
          </cell>
        </row>
        <row r="113">
          <cell r="O113">
            <v>1.3664000000000001</v>
          </cell>
          <cell r="P113">
            <v>1.3905000000000001</v>
          </cell>
          <cell r="Q113">
            <v>1.3743000000000001</v>
          </cell>
          <cell r="U113">
            <v>-1.2328E-2</v>
          </cell>
          <cell r="V113">
            <v>4.4180000000000001E-3</v>
          </cell>
          <cell r="W113">
            <v>-7.6880000000000004E-3</v>
          </cell>
          <cell r="Y113">
            <v>1.3664000000000001</v>
          </cell>
          <cell r="Z113">
            <v>1.3905000000000001</v>
          </cell>
          <cell r="AA113">
            <v>1.3743000000000001</v>
          </cell>
          <cell r="AE113">
            <v>-1.2328E-2</v>
          </cell>
          <cell r="AF113">
            <v>4.4180000000000001E-3</v>
          </cell>
          <cell r="AG113">
            <v>-7.6880000000000004E-3</v>
          </cell>
          <cell r="AR113">
            <v>2.6219000000000003E-2</v>
          </cell>
          <cell r="BC113">
            <v>2.5005999999999997E-2</v>
          </cell>
          <cell r="BF113">
            <v>5.1225000000000007E-2</v>
          </cell>
        </row>
        <row r="114">
          <cell r="O114">
            <v>1.3664000000000001</v>
          </cell>
          <cell r="P114">
            <v>1.3909</v>
          </cell>
          <cell r="Q114">
            <v>1.3761000000000001</v>
          </cell>
          <cell r="U114">
            <v>-1.9366999999999999E-2</v>
          </cell>
          <cell r="V114">
            <v>-1.8420000000000001E-3</v>
          </cell>
          <cell r="W114">
            <v>-1.3587999999999999E-2</v>
          </cell>
          <cell r="Y114">
            <v>1.3664000000000001</v>
          </cell>
          <cell r="Z114">
            <v>1.3909</v>
          </cell>
          <cell r="AA114">
            <v>1.3761000000000001</v>
          </cell>
          <cell r="AE114">
            <v>-1.9366999999999999E-2</v>
          </cell>
          <cell r="AF114">
            <v>-1.8420000000000001E-3</v>
          </cell>
          <cell r="AG114">
            <v>-1.3587999999999999E-2</v>
          </cell>
          <cell r="AR114">
            <v>2.6219000000000003E-2</v>
          </cell>
          <cell r="BC114">
            <v>2.5005999999999997E-2</v>
          </cell>
          <cell r="BF114">
            <v>5.1225000000000007E-2</v>
          </cell>
        </row>
        <row r="115">
          <cell r="O115">
            <v>1.3664000000000001</v>
          </cell>
          <cell r="P115">
            <v>1.3925000000000001</v>
          </cell>
          <cell r="Q115">
            <v>1.379</v>
          </cell>
          <cell r="U115">
            <v>-2.9579999999999999E-2</v>
          </cell>
          <cell r="V115">
            <v>-1.179E-2</v>
          </cell>
          <cell r="W115">
            <v>-2.2495000000000001E-2</v>
          </cell>
          <cell r="Y115">
            <v>1.3664000000000001</v>
          </cell>
          <cell r="Z115">
            <v>1.3925000000000001</v>
          </cell>
          <cell r="AA115">
            <v>1.379</v>
          </cell>
          <cell r="AE115">
            <v>-2.9579999999999999E-2</v>
          </cell>
          <cell r="AF115">
            <v>-1.179E-2</v>
          </cell>
          <cell r="AG115">
            <v>-2.2495000000000001E-2</v>
          </cell>
          <cell r="AR115">
            <v>2.6219000000000003E-2</v>
          </cell>
          <cell r="BC115">
            <v>2.5005999999999997E-2</v>
          </cell>
          <cell r="BF115">
            <v>5.1225000000000007E-2</v>
          </cell>
        </row>
        <row r="116">
          <cell r="O116">
            <v>1.3664000000000001</v>
          </cell>
          <cell r="P116">
            <v>1.3947000000000001</v>
          </cell>
          <cell r="Q116">
            <v>1.3829</v>
          </cell>
          <cell r="U116">
            <v>-4.2993999999999997E-2</v>
          </cell>
          <cell r="V116">
            <v>-2.4063999999999999E-2</v>
          </cell>
          <cell r="W116">
            <v>-3.3805000000000002E-2</v>
          </cell>
          <cell r="Y116">
            <v>1.3664000000000001</v>
          </cell>
          <cell r="Z116">
            <v>1.3947000000000001</v>
          </cell>
          <cell r="AA116">
            <v>1.3829</v>
          </cell>
          <cell r="AE116">
            <v>-4.2993999999999997E-2</v>
          </cell>
          <cell r="AF116">
            <v>-2.4063999999999999E-2</v>
          </cell>
          <cell r="AG116">
            <v>-3.3805000000000002E-2</v>
          </cell>
          <cell r="AR116">
            <v>1.2805000000000002E-2</v>
          </cell>
          <cell r="BC116">
            <v>2.5005999999999997E-2</v>
          </cell>
          <cell r="BF116">
            <v>3.7811000000000004E-2</v>
          </cell>
        </row>
        <row r="117">
          <cell r="O117">
            <v>1.3664000000000001</v>
          </cell>
          <cell r="P117">
            <v>1.3944000000000001</v>
          </cell>
          <cell r="Q117">
            <v>1.3857999999999999</v>
          </cell>
          <cell r="U117">
            <v>-3.1304999999999999E-2</v>
          </cell>
          <cell r="V117">
            <v>-1.0782E-2</v>
          </cell>
          <cell r="W117">
            <v>-1.9300999999999999E-2</v>
          </cell>
          <cell r="Y117">
            <v>1.3664000000000001</v>
          </cell>
          <cell r="Z117">
            <v>1.3944000000000001</v>
          </cell>
          <cell r="AA117">
            <v>1.3857999999999999</v>
          </cell>
          <cell r="AE117">
            <v>-3.1304999999999999E-2</v>
          </cell>
          <cell r="AF117">
            <v>-1.0782E-2</v>
          </cell>
          <cell r="AG117">
            <v>-1.9300999999999999E-2</v>
          </cell>
          <cell r="AR117">
            <v>2.4495000000000003E-2</v>
          </cell>
          <cell r="BC117">
            <v>2.5005999999999997E-2</v>
          </cell>
          <cell r="BF117">
            <v>4.9501000000000003E-2</v>
          </cell>
        </row>
        <row r="118">
          <cell r="O118">
            <v>1.3664000000000001</v>
          </cell>
          <cell r="P118">
            <v>1.3965000000000001</v>
          </cell>
          <cell r="Q118">
            <v>1.3888</v>
          </cell>
          <cell r="U118">
            <v>-3.6533999999999997E-2</v>
          </cell>
          <cell r="V118">
            <v>-1.6230999999999999E-2</v>
          </cell>
          <cell r="W118">
            <v>-2.2440000000000002E-2</v>
          </cell>
          <cell r="Y118">
            <v>1.3664000000000001</v>
          </cell>
          <cell r="Z118">
            <v>1.3965000000000001</v>
          </cell>
          <cell r="AA118">
            <v>1.3888</v>
          </cell>
          <cell r="AE118">
            <v>-3.6533999999999997E-2</v>
          </cell>
          <cell r="AF118">
            <v>-1.6230999999999999E-2</v>
          </cell>
          <cell r="AG118">
            <v>-2.2440000000000002E-2</v>
          </cell>
          <cell r="AR118">
            <v>2.4495000000000003E-2</v>
          </cell>
          <cell r="BC118">
            <v>2.5005999999999997E-2</v>
          </cell>
          <cell r="BF118">
            <v>4.9501000000000003E-2</v>
          </cell>
        </row>
        <row r="119">
          <cell r="O119">
            <v>1.3664000000000001</v>
          </cell>
          <cell r="P119">
            <v>1.3979999999999999</v>
          </cell>
          <cell r="Q119">
            <v>1.3911</v>
          </cell>
          <cell r="U119">
            <v>-3.0103999999999999E-2</v>
          </cell>
          <cell r="V119">
            <v>-8.3339999999999994E-3</v>
          </cell>
          <cell r="W119">
            <v>-1.3831E-2</v>
          </cell>
          <cell r="Y119">
            <v>1.3664000000000001</v>
          </cell>
          <cell r="Z119">
            <v>1.3979999999999999</v>
          </cell>
          <cell r="AA119">
            <v>1.3911</v>
          </cell>
          <cell r="AE119">
            <v>-3.0103999999999999E-2</v>
          </cell>
          <cell r="AF119">
            <v>-8.3339999999999994E-3</v>
          </cell>
          <cell r="AG119">
            <v>-1.3831E-2</v>
          </cell>
          <cell r="AR119">
            <v>3.0925000000000001E-2</v>
          </cell>
          <cell r="BC119">
            <v>2.5005999999999997E-2</v>
          </cell>
          <cell r="BF119">
            <v>5.5931000000000002E-2</v>
          </cell>
        </row>
        <row r="120">
          <cell r="O120">
            <v>1.3664000000000001</v>
          </cell>
          <cell r="P120">
            <v>1.3983000000000001</v>
          </cell>
          <cell r="Q120">
            <v>1.3926000000000001</v>
          </cell>
          <cell r="U120">
            <v>-1.6274E-2</v>
          </cell>
          <cell r="V120">
            <v>6.5849999999999997E-3</v>
          </cell>
          <cell r="W120">
            <v>1.6659999999999999E-3</v>
          </cell>
          <cell r="Y120">
            <v>1.3664000000000001</v>
          </cell>
          <cell r="Z120">
            <v>1.3983000000000001</v>
          </cell>
          <cell r="AA120">
            <v>1.3926000000000001</v>
          </cell>
          <cell r="AE120">
            <v>-1.6274E-2</v>
          </cell>
          <cell r="AF120">
            <v>6.5849999999999997E-3</v>
          </cell>
          <cell r="AG120">
            <v>1.6659999999999999E-3</v>
          </cell>
          <cell r="AR120">
            <v>4.4755000000000003E-2</v>
          </cell>
          <cell r="BC120">
            <v>2.5005999999999997E-2</v>
          </cell>
          <cell r="BF120">
            <v>6.9761000000000004E-2</v>
          </cell>
        </row>
        <row r="121">
          <cell r="O121">
            <v>1.3664000000000001</v>
          </cell>
          <cell r="P121">
            <v>1.4001999999999999</v>
          </cell>
          <cell r="Q121">
            <v>1.3939999999999999</v>
          </cell>
          <cell r="U121">
            <v>-1.5706000000000001E-2</v>
          </cell>
          <cell r="V121">
            <v>7.3800000000000003E-3</v>
          </cell>
          <cell r="W121">
            <v>3.3219999999999999E-3</v>
          </cell>
          <cell r="Y121">
            <v>1.3664000000000001</v>
          </cell>
          <cell r="Z121">
            <v>1.4001999999999999</v>
          </cell>
          <cell r="AA121">
            <v>1.3939999999999999</v>
          </cell>
          <cell r="AE121">
            <v>-1.5706000000000001E-2</v>
          </cell>
          <cell r="AF121">
            <v>7.3800000000000003E-3</v>
          </cell>
          <cell r="AG121">
            <v>3.3219999999999999E-3</v>
          </cell>
          <cell r="AR121">
            <v>4.4755000000000003E-2</v>
          </cell>
          <cell r="BC121">
            <v>2.5005999999999997E-2</v>
          </cell>
          <cell r="BF121">
            <v>6.9761000000000004E-2</v>
          </cell>
        </row>
        <row r="122">
          <cell r="O122">
            <v>1.3664000000000001</v>
          </cell>
          <cell r="P122">
            <v>1.3988</v>
          </cell>
          <cell r="Q122">
            <v>1.3940999999999999</v>
          </cell>
          <cell r="U122">
            <v>2.9700000000000001E-4</v>
          </cell>
          <cell r="V122">
            <v>2.4746000000000001E-2</v>
          </cell>
          <cell r="W122">
            <v>2.0282000000000001E-2</v>
          </cell>
          <cell r="Y122">
            <v>1.3664000000000001</v>
          </cell>
          <cell r="Z122">
            <v>1.3988</v>
          </cell>
          <cell r="AA122">
            <v>1.3940999999999999</v>
          </cell>
          <cell r="AE122">
            <v>2.9700000000000001E-4</v>
          </cell>
          <cell r="AF122">
            <v>2.4746000000000001E-2</v>
          </cell>
          <cell r="AG122">
            <v>2.0282000000000001E-2</v>
          </cell>
          <cell r="AR122">
            <v>4.4755000000000003E-2</v>
          </cell>
          <cell r="BC122">
            <v>2.5005999999999997E-2</v>
          </cell>
          <cell r="BF122">
            <v>6.9761000000000004E-2</v>
          </cell>
        </row>
        <row r="123">
          <cell r="O123">
            <v>1.3664000000000001</v>
          </cell>
          <cell r="P123">
            <v>1.3977999999999999</v>
          </cell>
          <cell r="Q123">
            <v>1.3942000000000001</v>
          </cell>
          <cell r="U123">
            <v>-5.1289999999999999E-3</v>
          </cell>
          <cell r="V123">
            <v>1.8336000000000002E-2</v>
          </cell>
          <cell r="W123">
            <v>1.4983E-2</v>
          </cell>
          <cell r="Y123">
            <v>1.3664000000000001</v>
          </cell>
          <cell r="Z123">
            <v>1.3977999999999999</v>
          </cell>
          <cell r="AA123">
            <v>1.3942000000000001</v>
          </cell>
          <cell r="AE123">
            <v>-5.1289999999999999E-3</v>
          </cell>
          <cell r="AF123">
            <v>1.8336000000000002E-2</v>
          </cell>
          <cell r="AG123">
            <v>1.4983E-2</v>
          </cell>
          <cell r="AR123">
            <v>4.4755000000000003E-2</v>
          </cell>
          <cell r="BC123">
            <v>3.0430999999999996E-2</v>
          </cell>
          <cell r="BF123">
            <v>7.5186000000000003E-2</v>
          </cell>
        </row>
        <row r="124">
          <cell r="O124">
            <v>1.3664000000000001</v>
          </cell>
          <cell r="P124">
            <v>1.3948</v>
          </cell>
          <cell r="Q124">
            <v>1.3929</v>
          </cell>
          <cell r="U124">
            <v>2.5179999999999998E-3</v>
          </cell>
          <cell r="V124">
            <v>2.5274000000000001E-2</v>
          </cell>
          <cell r="W124">
            <v>2.2662000000000002E-2</v>
          </cell>
          <cell r="Y124">
            <v>1.3664000000000001</v>
          </cell>
          <cell r="Z124">
            <v>1.3948</v>
          </cell>
          <cell r="AA124">
            <v>1.3929</v>
          </cell>
          <cell r="AE124">
            <v>2.5179999999999998E-3</v>
          </cell>
          <cell r="AF124">
            <v>2.5274000000000001E-2</v>
          </cell>
          <cell r="AG124">
            <v>2.2662000000000002E-2</v>
          </cell>
          <cell r="AR124">
            <v>4.4755000000000003E-2</v>
          </cell>
          <cell r="BC124">
            <v>2.2783999999999999E-2</v>
          </cell>
          <cell r="BF124">
            <v>6.7539000000000002E-2</v>
          </cell>
        </row>
        <row r="125">
          <cell r="O125">
            <v>1.3664000000000001</v>
          </cell>
          <cell r="P125">
            <v>1.3906000000000001</v>
          </cell>
          <cell r="Q125">
            <v>1.3915</v>
          </cell>
          <cell r="U125">
            <v>9.4399999999999996E-4</v>
          </cell>
          <cell r="V125">
            <v>2.154E-2</v>
          </cell>
          <cell r="W125">
            <v>2.0138E-2</v>
          </cell>
          <cell r="Y125">
            <v>1.3664000000000001</v>
          </cell>
          <cell r="Z125">
            <v>1.3906000000000001</v>
          </cell>
          <cell r="AA125">
            <v>1.3915</v>
          </cell>
          <cell r="AE125">
            <v>9.4399999999999996E-4</v>
          </cell>
          <cell r="AF125">
            <v>2.154E-2</v>
          </cell>
          <cell r="AG125">
            <v>2.0138E-2</v>
          </cell>
          <cell r="AR125">
            <v>4.4755000000000003E-2</v>
          </cell>
          <cell r="BC125">
            <v>2.4357999999999998E-2</v>
          </cell>
          <cell r="BF125">
            <v>6.9113000000000008E-2</v>
          </cell>
        </row>
        <row r="126">
          <cell r="O126">
            <v>1.3664000000000001</v>
          </cell>
          <cell r="P126">
            <v>1.3855999999999999</v>
          </cell>
          <cell r="Q126">
            <v>1.3900999999999999</v>
          </cell>
          <cell r="U126">
            <v>-7.2160000000000002E-3</v>
          </cell>
          <cell r="V126">
            <v>1.0342E-2</v>
          </cell>
          <cell r="W126">
            <v>1.1029000000000001E-2</v>
          </cell>
          <cell r="Y126">
            <v>1.3664000000000001</v>
          </cell>
          <cell r="Z126">
            <v>1.3855999999999999</v>
          </cell>
          <cell r="AA126">
            <v>1.3900999999999999</v>
          </cell>
          <cell r="AE126">
            <v>-7.2160000000000002E-3</v>
          </cell>
          <cell r="AF126">
            <v>1.0342E-2</v>
          </cell>
          <cell r="AG126">
            <v>1.1029000000000001E-2</v>
          </cell>
          <cell r="AR126">
            <v>4.4755000000000003E-2</v>
          </cell>
          <cell r="BC126">
            <v>3.2517999999999998E-2</v>
          </cell>
          <cell r="BF126">
            <v>7.7273000000000008E-2</v>
          </cell>
        </row>
        <row r="127">
          <cell r="O127">
            <v>1.3664000000000001</v>
          </cell>
          <cell r="P127">
            <v>1.3836999999999999</v>
          </cell>
          <cell r="Q127">
            <v>1.389</v>
          </cell>
          <cell r="U127">
            <v>-1.7783E-2</v>
          </cell>
          <cell r="V127">
            <v>-3.8370000000000001E-3</v>
          </cell>
          <cell r="W127">
            <v>-5.4299999999999997E-4</v>
          </cell>
          <cell r="Y127">
            <v>1.3664000000000001</v>
          </cell>
          <cell r="Z127">
            <v>1.3836999999999999</v>
          </cell>
          <cell r="AA127">
            <v>1.389</v>
          </cell>
          <cell r="AE127">
            <v>-1.7783E-2</v>
          </cell>
          <cell r="AF127">
            <v>-3.8370000000000001E-3</v>
          </cell>
          <cell r="AG127">
            <v>-5.4299999999999997E-4</v>
          </cell>
          <cell r="AR127">
            <v>4.4755000000000003E-2</v>
          </cell>
          <cell r="BC127">
            <v>4.3084999999999998E-2</v>
          </cell>
          <cell r="BF127">
            <v>8.7840000000000015E-2</v>
          </cell>
        </row>
        <row r="128">
          <cell r="O128">
            <v>1.3664000000000001</v>
          </cell>
          <cell r="P128">
            <v>1.3817999999999999</v>
          </cell>
          <cell r="Q128">
            <v>1.3891</v>
          </cell>
          <cell r="U128">
            <v>-2.3372E-2</v>
          </cell>
          <cell r="V128">
            <v>-1.0793000000000001E-2</v>
          </cell>
          <cell r="W128">
            <v>-6.9230000000000003E-3</v>
          </cell>
          <cell r="Y128">
            <v>1.3664000000000001</v>
          </cell>
          <cell r="Z128">
            <v>1.3817999999999999</v>
          </cell>
          <cell r="AA128">
            <v>1.3891</v>
          </cell>
          <cell r="AE128">
            <v>-2.3372E-2</v>
          </cell>
          <cell r="AF128">
            <v>-1.0793000000000001E-2</v>
          </cell>
          <cell r="AG128">
            <v>-6.9230000000000003E-3</v>
          </cell>
          <cell r="AR128">
            <v>4.4755000000000003E-2</v>
          </cell>
          <cell r="BC128">
            <v>4.3084999999999998E-2</v>
          </cell>
          <cell r="BF128">
            <v>8.7840000000000015E-2</v>
          </cell>
        </row>
        <row r="129">
          <cell r="O129">
            <v>1.3664000000000001</v>
          </cell>
          <cell r="P129">
            <v>1.3805000000000001</v>
          </cell>
          <cell r="Q129">
            <v>1.3893</v>
          </cell>
          <cell r="U129">
            <v>-2.1007000000000001E-2</v>
          </cell>
          <cell r="V129">
            <v>-9.7689999999999999E-3</v>
          </cell>
          <cell r="W129">
            <v>-4.4889999999999999E-3</v>
          </cell>
          <cell r="Y129">
            <v>1.3664000000000001</v>
          </cell>
          <cell r="Z129">
            <v>1.3805000000000001</v>
          </cell>
          <cell r="AA129">
            <v>1.3893</v>
          </cell>
          <cell r="AE129">
            <v>-2.1007000000000001E-2</v>
          </cell>
          <cell r="AF129">
            <v>-9.7689999999999999E-3</v>
          </cell>
          <cell r="AG129">
            <v>-4.4889999999999999E-3</v>
          </cell>
          <cell r="AR129">
            <v>4.4755000000000003E-2</v>
          </cell>
          <cell r="BC129">
            <v>4.3084999999999998E-2</v>
          </cell>
          <cell r="BF129">
            <v>8.7840000000000015E-2</v>
          </cell>
        </row>
        <row r="130">
          <cell r="O130">
            <v>1.3664000000000001</v>
          </cell>
          <cell r="P130">
            <v>1.3815999999999999</v>
          </cell>
          <cell r="Q130">
            <v>1.3898999999999999</v>
          </cell>
          <cell r="U130">
            <v>-2.3491999999999999E-2</v>
          </cell>
          <cell r="V130">
            <v>-1.3176999999999999E-2</v>
          </cell>
          <cell r="W130">
            <v>-6.8849999999999996E-3</v>
          </cell>
          <cell r="Y130">
            <v>1.3664000000000001</v>
          </cell>
          <cell r="Z130">
            <v>1.3815999999999999</v>
          </cell>
          <cell r="AA130">
            <v>1.3898999999999999</v>
          </cell>
          <cell r="AE130">
            <v>-2.3491999999999999E-2</v>
          </cell>
          <cell r="AF130">
            <v>-1.3176999999999999E-2</v>
          </cell>
          <cell r="AG130">
            <v>-6.8849999999999996E-3</v>
          </cell>
          <cell r="AR130">
            <v>4.4755000000000003E-2</v>
          </cell>
          <cell r="BC130">
            <v>4.3084999999999998E-2</v>
          </cell>
          <cell r="BF130">
            <v>8.7840000000000015E-2</v>
          </cell>
        </row>
        <row r="131">
          <cell r="O131">
            <v>1.3664000000000001</v>
          </cell>
          <cell r="P131">
            <v>1.3825000000000001</v>
          </cell>
          <cell r="Q131">
            <v>1.3913</v>
          </cell>
          <cell r="U131">
            <v>-2.2227E-2</v>
          </cell>
          <cell r="V131">
            <v>-1.1183999999999999E-2</v>
          </cell>
          <cell r="W131">
            <v>-5.1440000000000001E-3</v>
          </cell>
          <cell r="Y131">
            <v>1.3664000000000001</v>
          </cell>
          <cell r="Z131">
            <v>1.3825000000000001</v>
          </cell>
          <cell r="AA131">
            <v>1.3913</v>
          </cell>
          <cell r="AE131">
            <v>-2.2227E-2</v>
          </cell>
          <cell r="AF131">
            <v>-1.1183999999999999E-2</v>
          </cell>
          <cell r="AG131">
            <v>-5.1440000000000001E-3</v>
          </cell>
          <cell r="AR131">
            <v>4.4755000000000003E-2</v>
          </cell>
          <cell r="BC131">
            <v>4.3084999999999998E-2</v>
          </cell>
          <cell r="BF131">
            <v>8.7840000000000015E-2</v>
          </cell>
        </row>
        <row r="132">
          <cell r="O132">
            <v>1.3664000000000001</v>
          </cell>
          <cell r="P132">
            <v>1.3853</v>
          </cell>
          <cell r="Q132">
            <v>1.3920999999999999</v>
          </cell>
          <cell r="U132">
            <v>-2.0271999999999998E-2</v>
          </cell>
          <cell r="V132">
            <v>-8.5719999999999998E-3</v>
          </cell>
          <cell r="W132">
            <v>-2.1770000000000001E-3</v>
          </cell>
          <cell r="Y132">
            <v>1.3664000000000001</v>
          </cell>
          <cell r="Z132">
            <v>1.3853</v>
          </cell>
          <cell r="AA132">
            <v>1.3920999999999999</v>
          </cell>
          <cell r="AE132">
            <v>-2.0271999999999998E-2</v>
          </cell>
          <cell r="AF132">
            <v>-8.5719999999999998E-3</v>
          </cell>
          <cell r="AG132">
            <v>-2.1770000000000001E-3</v>
          </cell>
          <cell r="AR132">
            <v>4.4755000000000003E-2</v>
          </cell>
          <cell r="BC132">
            <v>4.3084999999999998E-2</v>
          </cell>
          <cell r="BF132">
            <v>8.7840000000000015E-2</v>
          </cell>
        </row>
        <row r="133">
          <cell r="O133">
            <v>1.3664000000000001</v>
          </cell>
          <cell r="P133">
            <v>1.3889</v>
          </cell>
          <cell r="Q133">
            <v>1.3934</v>
          </cell>
          <cell r="U133">
            <v>-3.1220999999999999E-2</v>
          </cell>
          <cell r="V133">
            <v>-1.7468999999999998E-2</v>
          </cell>
          <cell r="W133">
            <v>-1.26E-2</v>
          </cell>
          <cell r="Y133">
            <v>1.3664000000000001</v>
          </cell>
          <cell r="Z133">
            <v>1.3889</v>
          </cell>
          <cell r="AA133">
            <v>1.3934</v>
          </cell>
          <cell r="AE133">
            <v>-3.1220999999999999E-2</v>
          </cell>
          <cell r="AF133">
            <v>-1.7468999999999998E-2</v>
          </cell>
          <cell r="AG133">
            <v>-1.26E-2</v>
          </cell>
          <cell r="AR133">
            <v>4.4755000000000003E-2</v>
          </cell>
          <cell r="BC133">
            <v>4.3084999999999998E-2</v>
          </cell>
          <cell r="BF133">
            <v>8.7840000000000015E-2</v>
          </cell>
        </row>
        <row r="134">
          <cell r="O134">
            <v>1.3664000000000001</v>
          </cell>
          <cell r="P134">
            <v>1.3940999999999999</v>
          </cell>
          <cell r="Q134">
            <v>1.3945000000000001</v>
          </cell>
          <cell r="U134">
            <v>-3.4660999999999997E-2</v>
          </cell>
          <cell r="V134">
            <v>-1.8291999999999999E-2</v>
          </cell>
          <cell r="W134">
            <v>-1.5094E-2</v>
          </cell>
          <cell r="Y134">
            <v>1.3664000000000001</v>
          </cell>
          <cell r="Z134">
            <v>1.3940999999999999</v>
          </cell>
          <cell r="AA134">
            <v>1.3945000000000001</v>
          </cell>
          <cell r="AE134">
            <v>-3.4660999999999997E-2</v>
          </cell>
          <cell r="AF134">
            <v>-1.8291999999999999E-2</v>
          </cell>
          <cell r="AG134">
            <v>-1.5094E-2</v>
          </cell>
          <cell r="AR134">
            <v>4.4755000000000003E-2</v>
          </cell>
          <cell r="BC134">
            <v>4.3084999999999998E-2</v>
          </cell>
          <cell r="BF134">
            <v>8.7840000000000015E-2</v>
          </cell>
        </row>
        <row r="135">
          <cell r="O135">
            <v>1.3664000000000001</v>
          </cell>
          <cell r="P135">
            <v>1.3956</v>
          </cell>
          <cell r="Q135">
            <v>1.3931</v>
          </cell>
          <cell r="U135">
            <v>-9.8150000000000008E-3</v>
          </cell>
          <cell r="V135">
            <v>1.0265E-2</v>
          </cell>
          <cell r="W135">
            <v>1.0522999999999999E-2</v>
          </cell>
          <cell r="Y135">
            <v>1.3664000000000001</v>
          </cell>
          <cell r="Z135">
            <v>1.3956</v>
          </cell>
          <cell r="AA135">
            <v>1.3931</v>
          </cell>
          <cell r="AE135">
            <v>-9.8150000000000008E-3</v>
          </cell>
          <cell r="AF135">
            <v>1.0265E-2</v>
          </cell>
          <cell r="AG135">
            <v>1.0522999999999999E-2</v>
          </cell>
          <cell r="AR135">
            <v>4.4755000000000003E-2</v>
          </cell>
          <cell r="BC135">
            <v>4.3084999999999998E-2</v>
          </cell>
          <cell r="BF135">
            <v>8.7840000000000015E-2</v>
          </cell>
        </row>
        <row r="136">
          <cell r="O136">
            <v>1.3664000000000001</v>
          </cell>
          <cell r="P136">
            <v>1.3958999999999999</v>
          </cell>
          <cell r="Q136">
            <v>1.3907</v>
          </cell>
          <cell r="U136">
            <v>-9.8029999999999992E-3</v>
          </cell>
          <cell r="V136">
            <v>1.1335E-2</v>
          </cell>
          <cell r="W136">
            <v>9.5460000000000007E-3</v>
          </cell>
          <cell r="Y136">
            <v>1.3664000000000001</v>
          </cell>
          <cell r="Z136">
            <v>1.3958999999999999</v>
          </cell>
          <cell r="AA136">
            <v>1.3907</v>
          </cell>
          <cell r="AE136">
            <v>-9.8029999999999992E-3</v>
          </cell>
          <cell r="AF136">
            <v>1.1335E-2</v>
          </cell>
          <cell r="AG136">
            <v>9.5460000000000007E-3</v>
          </cell>
          <cell r="AR136">
            <v>4.4755000000000003E-2</v>
          </cell>
          <cell r="BC136">
            <v>4.3084999999999998E-2</v>
          </cell>
          <cell r="BF136">
            <v>8.7840000000000015E-2</v>
          </cell>
        </row>
        <row r="137">
          <cell r="O137">
            <v>1.3664000000000001</v>
          </cell>
          <cell r="P137">
            <v>1.3949</v>
          </cell>
          <cell r="Q137">
            <v>1.3893</v>
          </cell>
          <cell r="U137">
            <v>-1.0479E-2</v>
          </cell>
          <cell r="V137">
            <v>1.0914E-2</v>
          </cell>
          <cell r="W137">
            <v>7.1970000000000003E-3</v>
          </cell>
          <cell r="Y137">
            <v>1.3664000000000001</v>
          </cell>
          <cell r="Z137">
            <v>1.3949</v>
          </cell>
          <cell r="AA137">
            <v>1.3893</v>
          </cell>
          <cell r="AE137">
            <v>-1.0479E-2</v>
          </cell>
          <cell r="AF137">
            <v>1.0914E-2</v>
          </cell>
          <cell r="AG137">
            <v>7.1970000000000003E-3</v>
          </cell>
          <cell r="AR137">
            <v>4.4755000000000003E-2</v>
          </cell>
          <cell r="BC137">
            <v>4.3084999999999998E-2</v>
          </cell>
          <cell r="BF137">
            <v>8.7840000000000015E-2</v>
          </cell>
        </row>
        <row r="138">
          <cell r="O138">
            <v>1.3664000000000001</v>
          </cell>
          <cell r="P138">
            <v>1.3943000000000001</v>
          </cell>
          <cell r="Q138">
            <v>1.3880999999999999</v>
          </cell>
          <cell r="U138">
            <v>-1.9056E-2</v>
          </cell>
          <cell r="V138">
            <v>1.6119999999999999E-3</v>
          </cell>
          <cell r="W138">
            <v>-2.4239999999999999E-3</v>
          </cell>
          <cell r="Y138">
            <v>1.3664000000000001</v>
          </cell>
          <cell r="Z138">
            <v>1.3943000000000001</v>
          </cell>
          <cell r="AA138">
            <v>1.3880999999999999</v>
          </cell>
          <cell r="AE138">
            <v>-1.9056E-2</v>
          </cell>
          <cell r="AF138">
            <v>1.6119999999999999E-3</v>
          </cell>
          <cell r="AG138">
            <v>-2.4239999999999999E-3</v>
          </cell>
          <cell r="AR138">
            <v>4.4755000000000003E-2</v>
          </cell>
          <cell r="BC138">
            <v>4.3084999999999998E-2</v>
          </cell>
          <cell r="BF138">
            <v>8.7840000000000015E-2</v>
          </cell>
        </row>
        <row r="139">
          <cell r="O139">
            <v>1.3664000000000001</v>
          </cell>
          <cell r="P139">
            <v>1.3949</v>
          </cell>
          <cell r="Q139">
            <v>1.3876999999999999</v>
          </cell>
          <cell r="U139">
            <v>-2.4905E-2</v>
          </cell>
          <cell r="V139">
            <v>-4.6680000000000003E-3</v>
          </cell>
          <cell r="W139">
            <v>-9.1570000000000002E-3</v>
          </cell>
          <cell r="Y139">
            <v>1.3664000000000001</v>
          </cell>
          <cell r="Z139">
            <v>1.3949</v>
          </cell>
          <cell r="AA139">
            <v>1.3876999999999999</v>
          </cell>
          <cell r="AE139">
            <v>-2.4905E-2</v>
          </cell>
          <cell r="AF139">
            <v>-4.6680000000000003E-3</v>
          </cell>
          <cell r="AG139">
            <v>-9.1570000000000002E-3</v>
          </cell>
          <cell r="AR139">
            <v>4.4755000000000003E-2</v>
          </cell>
          <cell r="BC139">
            <v>4.3084999999999998E-2</v>
          </cell>
          <cell r="BF139">
            <v>8.7840000000000015E-2</v>
          </cell>
        </row>
        <row r="140">
          <cell r="O140">
            <v>1.3664000000000001</v>
          </cell>
          <cell r="P140">
            <v>1.3948</v>
          </cell>
          <cell r="Q140">
            <v>1.3882000000000001</v>
          </cell>
          <cell r="U140">
            <v>-2.3393000000000001E-2</v>
          </cell>
          <cell r="V140">
            <v>-2.7659999999999998E-3</v>
          </cell>
          <cell r="W140">
            <v>-7.9089999999999994E-3</v>
          </cell>
          <cell r="Y140">
            <v>1.3664000000000001</v>
          </cell>
          <cell r="Z140">
            <v>1.3948</v>
          </cell>
          <cell r="AA140">
            <v>1.3882000000000001</v>
          </cell>
          <cell r="AE140">
            <v>-2.3393000000000001E-2</v>
          </cell>
          <cell r="AF140">
            <v>-2.7659999999999998E-3</v>
          </cell>
          <cell r="AG140">
            <v>-7.9089999999999994E-3</v>
          </cell>
          <cell r="AR140">
            <v>4.4755000000000003E-2</v>
          </cell>
          <cell r="BC140">
            <v>4.3084999999999998E-2</v>
          </cell>
          <cell r="BF140">
            <v>8.7840000000000015E-2</v>
          </cell>
        </row>
        <row r="141">
          <cell r="O141">
            <v>1.3664000000000001</v>
          </cell>
          <cell r="P141">
            <v>1.3944000000000001</v>
          </cell>
          <cell r="Q141">
            <v>1.3884000000000001</v>
          </cell>
          <cell r="U141">
            <v>-1.9310999999999998E-2</v>
          </cell>
          <cell r="V141">
            <v>1.307E-3</v>
          </cell>
          <cell r="W141">
            <v>-3.4689999999999999E-3</v>
          </cell>
          <cell r="Y141">
            <v>1.3664000000000001</v>
          </cell>
          <cell r="Z141">
            <v>1.3944000000000001</v>
          </cell>
          <cell r="AA141">
            <v>1.3884000000000001</v>
          </cell>
          <cell r="AE141">
            <v>-1.9310999999999998E-2</v>
          </cell>
          <cell r="AF141">
            <v>1.307E-3</v>
          </cell>
          <cell r="AG141">
            <v>-3.4689999999999999E-3</v>
          </cell>
          <cell r="AR141">
            <v>4.4755000000000003E-2</v>
          </cell>
          <cell r="BC141">
            <v>4.3084999999999998E-2</v>
          </cell>
          <cell r="BF141">
            <v>8.7840000000000015E-2</v>
          </cell>
        </row>
        <row r="142">
          <cell r="O142">
            <v>1.3664000000000001</v>
          </cell>
          <cell r="P142">
            <v>1.3945000000000001</v>
          </cell>
          <cell r="Q142">
            <v>1.3898999999999999</v>
          </cell>
          <cell r="U142">
            <v>-2.0813000000000002E-2</v>
          </cell>
          <cell r="V142">
            <v>-4.8799999999999999E-4</v>
          </cell>
          <cell r="W142">
            <v>-4.7910000000000001E-3</v>
          </cell>
          <cell r="Y142">
            <v>1.3664000000000001</v>
          </cell>
          <cell r="Z142">
            <v>1.3945000000000001</v>
          </cell>
          <cell r="AA142">
            <v>1.3898999999999999</v>
          </cell>
          <cell r="AE142">
            <v>-2.0813000000000002E-2</v>
          </cell>
          <cell r="AF142">
            <v>-4.8799999999999999E-4</v>
          </cell>
          <cell r="AG142">
            <v>-4.7910000000000001E-3</v>
          </cell>
          <cell r="AR142">
            <v>4.4755000000000003E-2</v>
          </cell>
          <cell r="BC142">
            <v>4.3084999999999998E-2</v>
          </cell>
          <cell r="BF142">
            <v>8.7840000000000015E-2</v>
          </cell>
        </row>
        <row r="143">
          <cell r="O143">
            <v>1.3664000000000001</v>
          </cell>
          <cell r="P143">
            <v>1.3915</v>
          </cell>
          <cell r="Q143">
            <v>1.3902000000000001</v>
          </cell>
          <cell r="U143">
            <v>-9.5680000000000001E-3</v>
          </cell>
          <cell r="V143">
            <v>1.0810999999999999E-2</v>
          </cell>
          <cell r="W143">
            <v>7.5030000000000001E-3</v>
          </cell>
          <cell r="Y143">
            <v>1.3664000000000001</v>
          </cell>
          <cell r="Z143">
            <v>1.3915</v>
          </cell>
          <cell r="AA143">
            <v>1.3902000000000001</v>
          </cell>
          <cell r="AE143">
            <v>-9.5680000000000001E-3</v>
          </cell>
          <cell r="AF143">
            <v>1.0810999999999999E-2</v>
          </cell>
          <cell r="AG143">
            <v>7.5030000000000001E-3</v>
          </cell>
          <cell r="AR143">
            <v>4.4755000000000003E-2</v>
          </cell>
          <cell r="BC143">
            <v>4.3084999999999998E-2</v>
          </cell>
          <cell r="BF143">
            <v>8.7840000000000015E-2</v>
          </cell>
        </row>
        <row r="144">
          <cell r="O144">
            <v>1.3664000000000001</v>
          </cell>
          <cell r="P144">
            <v>1.3855999999999999</v>
          </cell>
          <cell r="Q144">
            <v>1.3898999999999999</v>
          </cell>
          <cell r="U144">
            <v>7.7889999999999999E-3</v>
          </cell>
          <cell r="V144">
            <v>2.6001E-2</v>
          </cell>
          <cell r="W144">
            <v>2.5080000000000002E-2</v>
          </cell>
          <cell r="Y144">
            <v>1.3664000000000001</v>
          </cell>
          <cell r="Z144">
            <v>1.3855999999999999</v>
          </cell>
          <cell r="AA144">
            <v>1.3898999999999999</v>
          </cell>
          <cell r="AE144">
            <v>7.7889999999999999E-3</v>
          </cell>
          <cell r="AF144">
            <v>2.6001E-2</v>
          </cell>
          <cell r="AG144">
            <v>2.5080000000000002E-2</v>
          </cell>
          <cell r="AR144">
            <v>4.4755000000000003E-2</v>
          </cell>
          <cell r="BC144">
            <v>4.3084999999999998E-2</v>
          </cell>
          <cell r="BF144">
            <v>8.7840000000000015E-2</v>
          </cell>
        </row>
        <row r="145">
          <cell r="O145">
            <v>1.3664000000000001</v>
          </cell>
          <cell r="P145">
            <v>1.3855999999999999</v>
          </cell>
          <cell r="Q145">
            <v>1.3906000000000001</v>
          </cell>
          <cell r="U145">
            <v>-9.894E-3</v>
          </cell>
          <cell r="V145">
            <v>4.084E-3</v>
          </cell>
          <cell r="W145">
            <v>7.1399999999999996E-3</v>
          </cell>
          <cell r="Y145">
            <v>1.3664000000000001</v>
          </cell>
          <cell r="Z145">
            <v>1.3855999999999999</v>
          </cell>
          <cell r="AA145">
            <v>1.3906000000000001</v>
          </cell>
          <cell r="AE145">
            <v>-9.894E-3</v>
          </cell>
          <cell r="AF145">
            <v>4.084E-3</v>
          </cell>
          <cell r="AG145">
            <v>7.1399999999999996E-3</v>
          </cell>
          <cell r="AR145">
            <v>4.4755000000000003E-2</v>
          </cell>
          <cell r="BC145">
            <v>6.0768000000000003E-2</v>
          </cell>
          <cell r="BF145">
            <v>0.10552300000000002</v>
          </cell>
        </row>
        <row r="146">
          <cell r="O146">
            <v>1.3664000000000001</v>
          </cell>
          <cell r="P146">
            <v>1.3855999999999999</v>
          </cell>
          <cell r="Q146">
            <v>1.3907</v>
          </cell>
          <cell r="U146">
            <v>-9.4289999999999999E-3</v>
          </cell>
          <cell r="V146">
            <v>4.5560000000000002E-3</v>
          </cell>
          <cell r="W146">
            <v>8.1390000000000004E-3</v>
          </cell>
          <cell r="Y146">
            <v>1.3664000000000001</v>
          </cell>
          <cell r="Z146">
            <v>1.3855999999999999</v>
          </cell>
          <cell r="AA146">
            <v>1.3907</v>
          </cell>
          <cell r="AE146">
            <v>-9.4289999999999999E-3</v>
          </cell>
          <cell r="AF146">
            <v>4.5560000000000002E-3</v>
          </cell>
          <cell r="AG146">
            <v>8.1390000000000004E-3</v>
          </cell>
          <cell r="AR146">
            <v>4.4755000000000003E-2</v>
          </cell>
          <cell r="BC146">
            <v>6.0304000000000003E-2</v>
          </cell>
          <cell r="BF146">
            <v>0.10505900000000001</v>
          </cell>
        </row>
        <row r="147">
          <cell r="O147">
            <v>1.3664000000000001</v>
          </cell>
          <cell r="P147">
            <v>1.3851</v>
          </cell>
          <cell r="Q147">
            <v>1.39</v>
          </cell>
          <cell r="U147">
            <v>-7.1650000000000004E-3</v>
          </cell>
          <cell r="V147">
            <v>6.783E-3</v>
          </cell>
          <cell r="W147">
            <v>1.0513E-2</v>
          </cell>
          <cell r="Y147">
            <v>1.3664000000000001</v>
          </cell>
          <cell r="Z147">
            <v>1.3851</v>
          </cell>
          <cell r="AA147">
            <v>1.39</v>
          </cell>
          <cell r="AE147">
            <v>-7.1650000000000004E-3</v>
          </cell>
          <cell r="AF147">
            <v>6.783E-3</v>
          </cell>
          <cell r="AG147">
            <v>1.0513E-2</v>
          </cell>
          <cell r="AR147">
            <v>4.4755000000000003E-2</v>
          </cell>
          <cell r="BC147">
            <v>5.8039000000000007E-2</v>
          </cell>
          <cell r="BF147">
            <v>0.10279400000000001</v>
          </cell>
        </row>
        <row r="148">
          <cell r="O148">
            <v>1.3664000000000001</v>
          </cell>
          <cell r="P148">
            <v>1.3837999999999999</v>
          </cell>
          <cell r="Q148">
            <v>1.389</v>
          </cell>
          <cell r="U148">
            <v>-9.2680000000000002E-3</v>
          </cell>
          <cell r="V148">
            <v>4.3509999999999998E-3</v>
          </cell>
          <cell r="W148">
            <v>7.8820000000000001E-3</v>
          </cell>
          <cell r="Y148">
            <v>1.3664000000000001</v>
          </cell>
          <cell r="Z148">
            <v>1.3837999999999999</v>
          </cell>
          <cell r="AA148">
            <v>1.389</v>
          </cell>
          <cell r="AE148">
            <v>-9.2680000000000002E-3</v>
          </cell>
          <cell r="AF148">
            <v>4.3509999999999998E-3</v>
          </cell>
          <cell r="AG148">
            <v>7.8820000000000001E-3</v>
          </cell>
          <cell r="AR148">
            <v>4.4755000000000003E-2</v>
          </cell>
          <cell r="BC148">
            <v>6.0142000000000008E-2</v>
          </cell>
          <cell r="BF148">
            <v>0.10489700000000002</v>
          </cell>
        </row>
        <row r="149">
          <cell r="O149">
            <v>1.3664000000000001</v>
          </cell>
          <cell r="P149">
            <v>1.3826000000000001</v>
          </cell>
          <cell r="Q149">
            <v>1.3888</v>
          </cell>
          <cell r="U149">
            <v>-1.6936E-2</v>
          </cell>
          <cell r="V149">
            <v>-4.2969999999999996E-3</v>
          </cell>
          <cell r="W149">
            <v>-4.9100000000000001E-4</v>
          </cell>
          <cell r="Y149">
            <v>1.3664000000000001</v>
          </cell>
          <cell r="Z149">
            <v>1.3826000000000001</v>
          </cell>
          <cell r="AA149">
            <v>1.3888</v>
          </cell>
          <cell r="AE149">
            <v>-1.6936E-2</v>
          </cell>
          <cell r="AF149">
            <v>-4.2969999999999996E-3</v>
          </cell>
          <cell r="AG149">
            <v>-4.9100000000000001E-4</v>
          </cell>
          <cell r="AR149">
            <v>4.4755000000000003E-2</v>
          </cell>
          <cell r="BC149">
            <v>6.7810000000000009E-2</v>
          </cell>
          <cell r="BF149">
            <v>0.11256500000000001</v>
          </cell>
        </row>
        <row r="150">
          <cell r="O150">
            <v>1.3664000000000001</v>
          </cell>
          <cell r="P150">
            <v>1.3816999999999999</v>
          </cell>
          <cell r="Q150">
            <v>1.3883000000000001</v>
          </cell>
          <cell r="U150">
            <v>-1.6743999999999998E-2</v>
          </cell>
          <cell r="V150">
            <v>-4.9090000000000002E-3</v>
          </cell>
          <cell r="W150">
            <v>-5.0299999999999997E-4</v>
          </cell>
          <cell r="Y150">
            <v>1.3664000000000001</v>
          </cell>
          <cell r="Z150">
            <v>1.3816999999999999</v>
          </cell>
          <cell r="AA150">
            <v>1.3883000000000001</v>
          </cell>
          <cell r="AE150">
            <v>-1.6743999999999998E-2</v>
          </cell>
          <cell r="AF150">
            <v>-4.9090000000000002E-3</v>
          </cell>
          <cell r="AG150">
            <v>-5.0299999999999997E-4</v>
          </cell>
          <cell r="AR150">
            <v>4.4755000000000003E-2</v>
          </cell>
          <cell r="BC150">
            <v>6.7810000000000009E-2</v>
          </cell>
          <cell r="BF150">
            <v>0.11256500000000001</v>
          </cell>
        </row>
        <row r="151">
          <cell r="O151">
            <v>1.3664000000000001</v>
          </cell>
          <cell r="P151">
            <v>1.3818999999999999</v>
          </cell>
          <cell r="Q151">
            <v>1.3882000000000001</v>
          </cell>
          <cell r="U151">
            <v>-2.0747999999999999E-2</v>
          </cell>
          <cell r="V151">
            <v>-9.5840000000000005E-3</v>
          </cell>
          <cell r="W151">
            <v>-4.8469999999999997E-3</v>
          </cell>
          <cell r="Y151">
            <v>1.3664000000000001</v>
          </cell>
          <cell r="Z151">
            <v>1.3818999999999999</v>
          </cell>
          <cell r="AA151">
            <v>1.3882000000000001</v>
          </cell>
          <cell r="AE151">
            <v>-2.0747999999999999E-2</v>
          </cell>
          <cell r="AF151">
            <v>-9.5840000000000005E-3</v>
          </cell>
          <cell r="AG151">
            <v>-4.8469999999999997E-3</v>
          </cell>
          <cell r="AR151">
            <v>4.4755000000000003E-2</v>
          </cell>
          <cell r="BC151">
            <v>6.7810000000000009E-2</v>
          </cell>
          <cell r="BF151">
            <v>0.11256500000000001</v>
          </cell>
        </row>
        <row r="152">
          <cell r="O152">
            <v>1.3664000000000001</v>
          </cell>
          <cell r="P152">
            <v>1.3823000000000001</v>
          </cell>
          <cell r="Q152">
            <v>1.3884000000000001</v>
          </cell>
          <cell r="U152">
            <v>-2.3837000000000001E-2</v>
          </cell>
          <cell r="V152">
            <v>-1.2527999999999999E-2</v>
          </cell>
          <cell r="W152">
            <v>-8.0099999999999998E-3</v>
          </cell>
          <cell r="Y152">
            <v>1.3664000000000001</v>
          </cell>
          <cell r="Z152">
            <v>1.3823000000000001</v>
          </cell>
          <cell r="AA152">
            <v>1.3884000000000001</v>
          </cell>
          <cell r="AE152">
            <v>-2.3837000000000001E-2</v>
          </cell>
          <cell r="AF152">
            <v>-1.2527999999999999E-2</v>
          </cell>
          <cell r="AG152">
            <v>-8.0099999999999998E-3</v>
          </cell>
          <cell r="AR152">
            <v>4.4755000000000003E-2</v>
          </cell>
          <cell r="BC152">
            <v>6.7810000000000009E-2</v>
          </cell>
          <cell r="BF152">
            <v>0.11256500000000001</v>
          </cell>
        </row>
        <row r="153">
          <cell r="O153">
            <v>1.3664000000000001</v>
          </cell>
          <cell r="P153">
            <v>1.3836999999999999</v>
          </cell>
          <cell r="Q153">
            <v>1.3875999999999999</v>
          </cell>
          <cell r="U153">
            <v>-1.9698E-2</v>
          </cell>
          <cell r="V153">
            <v>-8.0820000000000006E-3</v>
          </cell>
          <cell r="W153">
            <v>-3.6909999999999998E-3</v>
          </cell>
          <cell r="Y153">
            <v>1.3664000000000001</v>
          </cell>
          <cell r="Z153">
            <v>1.3836999999999999</v>
          </cell>
          <cell r="AA153">
            <v>1.3875999999999999</v>
          </cell>
          <cell r="AE153">
            <v>-1.9698E-2</v>
          </cell>
          <cell r="AF153">
            <v>-8.0820000000000006E-3</v>
          </cell>
          <cell r="AG153">
            <v>-3.6909999999999998E-3</v>
          </cell>
          <cell r="AR153">
            <v>4.4755000000000003E-2</v>
          </cell>
          <cell r="BC153">
            <v>6.7810000000000009E-2</v>
          </cell>
          <cell r="BF153">
            <v>0.11256500000000001</v>
          </cell>
        </row>
        <row r="154">
          <cell r="O154">
            <v>1.3664000000000001</v>
          </cell>
          <cell r="P154">
            <v>1.3879999999999999</v>
          </cell>
          <cell r="Q154">
            <v>1.3868</v>
          </cell>
          <cell r="U154">
            <v>-2.3220999999999999E-2</v>
          </cell>
          <cell r="V154">
            <v>-1.059E-2</v>
          </cell>
          <cell r="W154">
            <v>-7.7949999999999998E-3</v>
          </cell>
          <cell r="Y154">
            <v>1.3664000000000001</v>
          </cell>
          <cell r="Z154">
            <v>1.3879999999999999</v>
          </cell>
          <cell r="AA154">
            <v>1.3868</v>
          </cell>
          <cell r="AE154">
            <v>-2.3220999999999999E-2</v>
          </cell>
          <cell r="AF154">
            <v>-1.059E-2</v>
          </cell>
          <cell r="AG154">
            <v>-7.7949999999999998E-3</v>
          </cell>
          <cell r="AR154">
            <v>4.4755000000000003E-2</v>
          </cell>
          <cell r="BC154">
            <v>6.7810000000000009E-2</v>
          </cell>
          <cell r="BF154">
            <v>0.11256500000000001</v>
          </cell>
        </row>
        <row r="155">
          <cell r="O155">
            <v>1.3664000000000001</v>
          </cell>
          <cell r="P155">
            <v>1.389</v>
          </cell>
          <cell r="Q155">
            <v>1.3873</v>
          </cell>
          <cell r="U155">
            <v>-1.6636000000000001E-2</v>
          </cell>
          <cell r="V155">
            <v>-9.2400000000000002E-4</v>
          </cell>
          <cell r="W155">
            <v>-1.7910000000000001E-3</v>
          </cell>
          <cell r="Y155">
            <v>1.3664000000000001</v>
          </cell>
          <cell r="Z155">
            <v>1.389</v>
          </cell>
          <cell r="AA155">
            <v>1.3873</v>
          </cell>
          <cell r="AE155">
            <v>-1.6636000000000001E-2</v>
          </cell>
          <cell r="AF155">
            <v>-9.2400000000000002E-4</v>
          </cell>
          <cell r="AG155">
            <v>-1.7910000000000001E-3</v>
          </cell>
          <cell r="AR155">
            <v>4.4755000000000003E-2</v>
          </cell>
          <cell r="BC155">
            <v>6.7810000000000009E-2</v>
          </cell>
          <cell r="BF155">
            <v>0.11256500000000001</v>
          </cell>
        </row>
        <row r="156">
          <cell r="O156">
            <v>1.3664000000000001</v>
          </cell>
          <cell r="P156">
            <v>1.3900999999999999</v>
          </cell>
          <cell r="Q156">
            <v>1.3877999999999999</v>
          </cell>
          <cell r="U156">
            <v>-1.7828E-2</v>
          </cell>
          <cell r="V156">
            <v>-1.444E-3</v>
          </cell>
          <cell r="W156">
            <v>-2.643E-3</v>
          </cell>
          <cell r="Y156">
            <v>1.3664000000000001</v>
          </cell>
          <cell r="Z156">
            <v>1.3900999999999999</v>
          </cell>
          <cell r="AA156">
            <v>1.3877999999999999</v>
          </cell>
          <cell r="AE156">
            <v>-1.7828E-2</v>
          </cell>
          <cell r="AF156">
            <v>-1.444E-3</v>
          </cell>
          <cell r="AG156">
            <v>-2.643E-3</v>
          </cell>
          <cell r="AR156">
            <v>4.4755000000000003E-2</v>
          </cell>
          <cell r="BC156">
            <v>6.7810000000000009E-2</v>
          </cell>
          <cell r="BF156">
            <v>0.11256500000000001</v>
          </cell>
        </row>
        <row r="157">
          <cell r="O157">
            <v>1.3664000000000001</v>
          </cell>
          <cell r="P157">
            <v>1.3922000000000001</v>
          </cell>
          <cell r="Q157">
            <v>1.3887</v>
          </cell>
          <cell r="U157">
            <v>-2.2154E-2</v>
          </cell>
          <cell r="V157">
            <v>-4.9329999999999999E-3</v>
          </cell>
          <cell r="W157">
            <v>-6.5680000000000001E-3</v>
          </cell>
          <cell r="Y157">
            <v>1.3664000000000001</v>
          </cell>
          <cell r="Z157">
            <v>1.3922000000000001</v>
          </cell>
          <cell r="AA157">
            <v>1.3887</v>
          </cell>
          <cell r="AE157">
            <v>-2.2154E-2</v>
          </cell>
          <cell r="AF157">
            <v>-4.9329999999999999E-3</v>
          </cell>
          <cell r="AG157">
            <v>-6.5680000000000001E-3</v>
          </cell>
          <cell r="AR157">
            <v>4.4755000000000003E-2</v>
          </cell>
          <cell r="BC157">
            <v>6.7810000000000009E-2</v>
          </cell>
          <cell r="BF157">
            <v>0.11256500000000001</v>
          </cell>
        </row>
        <row r="158">
          <cell r="O158">
            <v>1.3664000000000001</v>
          </cell>
          <cell r="P158">
            <v>1.3944000000000001</v>
          </cell>
          <cell r="Q158">
            <v>1.3891</v>
          </cell>
          <cell r="U158">
            <v>-2.4813000000000002E-2</v>
          </cell>
          <cell r="V158">
            <v>-6.0980000000000001E-3</v>
          </cell>
          <cell r="W158">
            <v>-8.6429999999999996E-3</v>
          </cell>
          <cell r="Y158">
            <v>1.3664000000000001</v>
          </cell>
          <cell r="Z158">
            <v>1.3944000000000001</v>
          </cell>
          <cell r="AA158">
            <v>1.3891</v>
          </cell>
          <cell r="AE158">
            <v>-2.4813000000000002E-2</v>
          </cell>
          <cell r="AF158">
            <v>-6.0980000000000001E-3</v>
          </cell>
          <cell r="AG158">
            <v>-8.6429999999999996E-3</v>
          </cell>
          <cell r="AR158">
            <v>4.4755000000000003E-2</v>
          </cell>
          <cell r="BC158">
            <v>6.7810000000000009E-2</v>
          </cell>
          <cell r="BF158">
            <v>0.11256500000000001</v>
          </cell>
        </row>
        <row r="159">
          <cell r="O159">
            <v>1.3664000000000001</v>
          </cell>
          <cell r="P159">
            <v>1.395</v>
          </cell>
          <cell r="Q159">
            <v>1.3888</v>
          </cell>
          <cell r="U159">
            <v>-2.1638000000000001E-2</v>
          </cell>
          <cell r="V159">
            <v>-1.372E-3</v>
          </cell>
          <cell r="W159">
            <v>-5.1780000000000003E-3</v>
          </cell>
          <cell r="Y159">
            <v>1.3664000000000001</v>
          </cell>
          <cell r="Z159">
            <v>1.395</v>
          </cell>
          <cell r="AA159">
            <v>1.3888</v>
          </cell>
          <cell r="AE159">
            <v>-2.1638000000000001E-2</v>
          </cell>
          <cell r="AF159">
            <v>-1.372E-3</v>
          </cell>
          <cell r="AG159">
            <v>-5.1780000000000003E-3</v>
          </cell>
          <cell r="AR159">
            <v>4.4755000000000003E-2</v>
          </cell>
          <cell r="BC159">
            <v>6.7810000000000009E-2</v>
          </cell>
          <cell r="BF159">
            <v>0.11256500000000001</v>
          </cell>
        </row>
        <row r="160">
          <cell r="O160">
            <v>1.3664000000000001</v>
          </cell>
          <cell r="P160">
            <v>1.3942000000000001</v>
          </cell>
          <cell r="Q160">
            <v>1.3879999999999999</v>
          </cell>
          <cell r="U160">
            <v>-1.0808999999999999E-2</v>
          </cell>
          <cell r="V160">
            <v>9.9260000000000008E-3</v>
          </cell>
          <cell r="W160">
            <v>5.4860000000000004E-3</v>
          </cell>
          <cell r="Y160">
            <v>1.3664000000000001</v>
          </cell>
          <cell r="Z160">
            <v>1.3942000000000001</v>
          </cell>
          <cell r="AA160">
            <v>1.3879999999999999</v>
          </cell>
          <cell r="AE160">
            <v>-1.0808999999999999E-2</v>
          </cell>
          <cell r="AF160">
            <v>9.9260000000000008E-3</v>
          </cell>
          <cell r="AG160">
            <v>5.4860000000000004E-3</v>
          </cell>
          <cell r="AR160">
            <v>4.4755000000000003E-2</v>
          </cell>
          <cell r="BC160">
            <v>6.7810000000000009E-2</v>
          </cell>
          <cell r="BF160">
            <v>0.11256500000000001</v>
          </cell>
        </row>
        <row r="161">
          <cell r="O161">
            <v>1.3664000000000001</v>
          </cell>
          <cell r="P161">
            <v>1.3937999999999999</v>
          </cell>
          <cell r="Q161">
            <v>1.3878999999999999</v>
          </cell>
          <cell r="U161">
            <v>-1.7885999999999999E-2</v>
          </cell>
          <cell r="V161">
            <v>2.2599999999999999E-3</v>
          </cell>
          <cell r="W161">
            <v>-2.2209999999999999E-3</v>
          </cell>
          <cell r="Y161">
            <v>1.3664000000000001</v>
          </cell>
          <cell r="Z161">
            <v>1.3937999999999999</v>
          </cell>
          <cell r="AA161">
            <v>1.3878999999999999</v>
          </cell>
          <cell r="AE161">
            <v>-1.7885999999999999E-2</v>
          </cell>
          <cell r="AF161">
            <v>2.2599999999999999E-3</v>
          </cell>
          <cell r="AG161">
            <v>-2.2209999999999999E-3</v>
          </cell>
          <cell r="AR161">
            <v>4.4755000000000003E-2</v>
          </cell>
          <cell r="BC161">
            <v>6.7810000000000009E-2</v>
          </cell>
          <cell r="BF161">
            <v>0.11256500000000001</v>
          </cell>
        </row>
        <row r="162">
          <cell r="O162">
            <v>1.3664000000000001</v>
          </cell>
          <cell r="P162">
            <v>1.3935999999999999</v>
          </cell>
          <cell r="Q162">
            <v>1.3879999999999999</v>
          </cell>
          <cell r="U162">
            <v>-2.2686000000000001E-2</v>
          </cell>
          <cell r="V162">
            <v>-2.826E-3</v>
          </cell>
          <cell r="W162">
            <v>-7.0920000000000002E-3</v>
          </cell>
          <cell r="Y162">
            <v>1.3664000000000001</v>
          </cell>
          <cell r="Z162">
            <v>1.3935999999999999</v>
          </cell>
          <cell r="AA162">
            <v>1.3879999999999999</v>
          </cell>
          <cell r="AE162">
            <v>-2.2686000000000001E-2</v>
          </cell>
          <cell r="AF162">
            <v>-2.826E-3</v>
          </cell>
          <cell r="AG162">
            <v>-7.0920000000000002E-3</v>
          </cell>
          <cell r="AR162">
            <v>4.4755000000000003E-2</v>
          </cell>
          <cell r="BC162">
            <v>6.7810000000000009E-2</v>
          </cell>
          <cell r="BF162">
            <v>0.11256500000000001</v>
          </cell>
        </row>
        <row r="163">
          <cell r="O163">
            <v>1.3664000000000001</v>
          </cell>
          <cell r="P163">
            <v>1.3952</v>
          </cell>
          <cell r="Q163">
            <v>1.3895</v>
          </cell>
          <cell r="U163">
            <v>-3.1213000000000001E-2</v>
          </cell>
          <cell r="V163">
            <v>-1.1469E-2</v>
          </cell>
          <cell r="W163">
            <v>-1.5525000000000001E-2</v>
          </cell>
          <cell r="Y163">
            <v>1.3664000000000001</v>
          </cell>
          <cell r="Z163">
            <v>1.3952</v>
          </cell>
          <cell r="AA163">
            <v>1.3895</v>
          </cell>
          <cell r="AE163">
            <v>-3.1213000000000001E-2</v>
          </cell>
          <cell r="AF163">
            <v>-1.1469E-2</v>
          </cell>
          <cell r="AG163">
            <v>-1.5525000000000001E-2</v>
          </cell>
          <cell r="AR163">
            <v>4.4755000000000003E-2</v>
          </cell>
          <cell r="BC163">
            <v>6.7810000000000009E-2</v>
          </cell>
          <cell r="BF163">
            <v>0.11256500000000001</v>
          </cell>
        </row>
        <row r="164">
          <cell r="O164">
            <v>1.3664000000000001</v>
          </cell>
          <cell r="P164">
            <v>1.3958999999999999</v>
          </cell>
          <cell r="Q164">
            <v>1.3919999999999999</v>
          </cell>
          <cell r="U164">
            <v>-2.7836E-2</v>
          </cell>
          <cell r="V164">
            <v>-6.9340000000000001E-3</v>
          </cell>
          <cell r="W164">
            <v>-1.1061E-2</v>
          </cell>
          <cell r="Y164">
            <v>1.3664000000000001</v>
          </cell>
          <cell r="Z164">
            <v>1.3958999999999999</v>
          </cell>
          <cell r="AA164">
            <v>1.3919999999999999</v>
          </cell>
          <cell r="AE164">
            <v>-2.7836E-2</v>
          </cell>
          <cell r="AF164">
            <v>-6.9340000000000001E-3</v>
          </cell>
          <cell r="AG164">
            <v>-1.1061E-2</v>
          </cell>
          <cell r="AR164">
            <v>4.4755000000000003E-2</v>
          </cell>
          <cell r="BC164">
            <v>6.7810000000000009E-2</v>
          </cell>
          <cell r="BF164">
            <v>0.11256500000000001</v>
          </cell>
        </row>
        <row r="165">
          <cell r="O165">
            <v>1.3664000000000001</v>
          </cell>
          <cell r="P165">
            <v>1.3972</v>
          </cell>
          <cell r="Q165">
            <v>1.3931</v>
          </cell>
          <cell r="U165">
            <v>-2.631E-2</v>
          </cell>
          <cell r="V165">
            <v>-4.9439999999999996E-3</v>
          </cell>
          <cell r="W165">
            <v>-7.7669999999999996E-3</v>
          </cell>
          <cell r="Y165">
            <v>1.3664000000000001</v>
          </cell>
          <cell r="Z165">
            <v>1.3972</v>
          </cell>
          <cell r="AA165">
            <v>1.3931</v>
          </cell>
          <cell r="AE165">
            <v>-2.631E-2</v>
          </cell>
          <cell r="AF165">
            <v>-4.9439999999999996E-3</v>
          </cell>
          <cell r="AG165">
            <v>-7.7669999999999996E-3</v>
          </cell>
          <cell r="AR165">
            <v>4.4755000000000003E-2</v>
          </cell>
          <cell r="BC165">
            <v>6.7810000000000009E-2</v>
          </cell>
          <cell r="BF165">
            <v>0.11256500000000001</v>
          </cell>
        </row>
        <row r="166">
          <cell r="O166">
            <v>1.3664000000000001</v>
          </cell>
          <cell r="P166">
            <v>1.3988</v>
          </cell>
          <cell r="Q166">
            <v>1.3944000000000001</v>
          </cell>
          <cell r="U166">
            <v>-2.8846E-2</v>
          </cell>
          <cell r="V166">
            <v>-6.5139999999999998E-3</v>
          </cell>
          <cell r="W166">
            <v>-9.4830000000000001E-3</v>
          </cell>
          <cell r="Y166">
            <v>1.3664000000000001</v>
          </cell>
          <cell r="Z166">
            <v>1.3988</v>
          </cell>
          <cell r="AA166">
            <v>1.3944000000000001</v>
          </cell>
          <cell r="AE166">
            <v>-2.8846E-2</v>
          </cell>
          <cell r="AF166">
            <v>-6.5139999999999998E-3</v>
          </cell>
          <cell r="AG166">
            <v>-9.4830000000000001E-3</v>
          </cell>
          <cell r="AR166">
            <v>4.4755000000000003E-2</v>
          </cell>
          <cell r="BC166">
            <v>6.7810000000000009E-2</v>
          </cell>
          <cell r="BF166">
            <v>0.11256500000000001</v>
          </cell>
        </row>
        <row r="167">
          <cell r="O167">
            <v>1.3664000000000001</v>
          </cell>
          <cell r="P167">
            <v>1.3996999999999999</v>
          </cell>
          <cell r="Q167">
            <v>1.3959999999999999</v>
          </cell>
          <cell r="U167">
            <v>-2.8993999999999999E-2</v>
          </cell>
          <cell r="V167">
            <v>-5.5589999999999997E-3</v>
          </cell>
          <cell r="W167">
            <v>-8.6610000000000003E-3</v>
          </cell>
          <cell r="Y167">
            <v>1.3664000000000001</v>
          </cell>
          <cell r="Z167">
            <v>1.3996999999999999</v>
          </cell>
          <cell r="AA167">
            <v>1.3959999999999999</v>
          </cell>
          <cell r="AE167">
            <v>-2.8993999999999999E-2</v>
          </cell>
          <cell r="AF167">
            <v>-5.5589999999999997E-3</v>
          </cell>
          <cell r="AG167">
            <v>-8.6610000000000003E-3</v>
          </cell>
          <cell r="AR167">
            <v>4.4755000000000003E-2</v>
          </cell>
          <cell r="BC167">
            <v>6.7810000000000009E-2</v>
          </cell>
          <cell r="BF167">
            <v>0.11256500000000001</v>
          </cell>
        </row>
        <row r="168">
          <cell r="O168">
            <v>1.3664000000000001</v>
          </cell>
          <cell r="P168">
            <v>1.4011</v>
          </cell>
          <cell r="Q168">
            <v>1.3976999999999999</v>
          </cell>
          <cell r="U168">
            <v>-3.4285999999999997E-2</v>
          </cell>
          <cell r="V168">
            <v>-1.0166E-2</v>
          </cell>
          <cell r="W168">
            <v>-1.2865E-2</v>
          </cell>
          <cell r="Y168">
            <v>1.3664000000000001</v>
          </cell>
          <cell r="Z168">
            <v>1.4011</v>
          </cell>
          <cell r="AA168">
            <v>1.3976999999999999</v>
          </cell>
          <cell r="AE168">
            <v>-3.4285999999999997E-2</v>
          </cell>
          <cell r="AF168">
            <v>-1.0166E-2</v>
          </cell>
          <cell r="AG168">
            <v>-1.2865E-2</v>
          </cell>
          <cell r="AR168">
            <v>4.4755000000000003E-2</v>
          </cell>
          <cell r="BC168">
            <v>6.7810000000000009E-2</v>
          </cell>
          <cell r="BF168">
            <v>0.11256500000000001</v>
          </cell>
        </row>
        <row r="169">
          <cell r="O169">
            <v>1.3664000000000001</v>
          </cell>
          <cell r="P169">
            <v>1.4020999999999999</v>
          </cell>
          <cell r="Q169">
            <v>1.3986000000000001</v>
          </cell>
          <cell r="U169">
            <v>-2.9207E-2</v>
          </cell>
          <cell r="V169">
            <v>-4.1349999999999998E-3</v>
          </cell>
          <cell r="W169">
            <v>-6.535E-3</v>
          </cell>
          <cell r="Y169">
            <v>1.3664000000000001</v>
          </cell>
          <cell r="Z169">
            <v>1.4020999999999999</v>
          </cell>
          <cell r="AA169">
            <v>1.3986000000000001</v>
          </cell>
          <cell r="AE169">
            <v>-2.9207E-2</v>
          </cell>
          <cell r="AF169">
            <v>-4.1349999999999998E-3</v>
          </cell>
          <cell r="AG169">
            <v>-6.535E-3</v>
          </cell>
          <cell r="AR169">
            <v>4.4755000000000003E-2</v>
          </cell>
          <cell r="BC169">
            <v>6.7810000000000009E-2</v>
          </cell>
          <cell r="BF169">
            <v>0.11256500000000001</v>
          </cell>
        </row>
        <row r="170">
          <cell r="O170">
            <v>1.3664000000000001</v>
          </cell>
          <cell r="P170">
            <v>1.4053</v>
          </cell>
          <cell r="Q170">
            <v>1.3997999999999999</v>
          </cell>
          <cell r="U170">
            <v>-3.3627999999999998E-2</v>
          </cell>
          <cell r="V170">
            <v>-7.7990000000000004E-3</v>
          </cell>
          <cell r="W170">
            <v>-1.0342E-2</v>
          </cell>
          <cell r="Y170">
            <v>1.3664000000000001</v>
          </cell>
          <cell r="Z170">
            <v>1.4053</v>
          </cell>
          <cell r="AA170">
            <v>1.3997999999999999</v>
          </cell>
          <cell r="AE170">
            <v>-3.3627999999999998E-2</v>
          </cell>
          <cell r="AF170">
            <v>-7.7990000000000004E-3</v>
          </cell>
          <cell r="AG170">
            <v>-1.0342E-2</v>
          </cell>
          <cell r="AR170">
            <v>4.4755000000000003E-2</v>
          </cell>
          <cell r="BC170">
            <v>6.7810000000000009E-2</v>
          </cell>
          <cell r="BF170">
            <v>0.11256500000000001</v>
          </cell>
        </row>
        <row r="171">
          <cell r="O171">
            <v>1.3664000000000001</v>
          </cell>
          <cell r="P171">
            <v>1.407</v>
          </cell>
          <cell r="Q171">
            <v>1.4004000000000001</v>
          </cell>
          <cell r="U171">
            <v>-3.0203000000000001E-2</v>
          </cell>
          <cell r="V171">
            <v>-2.1029999999999998E-3</v>
          </cell>
          <cell r="W171">
            <v>-6.0720000000000001E-3</v>
          </cell>
          <cell r="Y171">
            <v>1.3664000000000001</v>
          </cell>
          <cell r="Z171">
            <v>1.407</v>
          </cell>
          <cell r="AA171">
            <v>1.4004000000000001</v>
          </cell>
          <cell r="AE171">
            <v>-3.0203000000000001E-2</v>
          </cell>
          <cell r="AF171">
            <v>-2.1029999999999998E-3</v>
          </cell>
          <cell r="AG171">
            <v>-6.0720000000000001E-3</v>
          </cell>
          <cell r="AR171">
            <v>4.4755000000000003E-2</v>
          </cell>
          <cell r="BC171">
            <v>6.7810000000000009E-2</v>
          </cell>
          <cell r="BF171">
            <v>0.11256500000000001</v>
          </cell>
        </row>
        <row r="172">
          <cell r="O172">
            <v>1.3664000000000001</v>
          </cell>
          <cell r="P172">
            <v>1.4085000000000001</v>
          </cell>
          <cell r="Q172">
            <v>1.4011</v>
          </cell>
          <cell r="U172">
            <v>-3.3248E-2</v>
          </cell>
          <cell r="V172">
            <v>-3.9220000000000001E-3</v>
          </cell>
          <cell r="W172">
            <v>-8.6440000000000006E-3</v>
          </cell>
          <cell r="Y172">
            <v>1.3664000000000001</v>
          </cell>
          <cell r="Z172">
            <v>1.4085000000000001</v>
          </cell>
          <cell r="AA172">
            <v>1.4011</v>
          </cell>
          <cell r="AE172">
            <v>-3.3248E-2</v>
          </cell>
          <cell r="AF172">
            <v>-3.9220000000000001E-3</v>
          </cell>
          <cell r="AG172">
            <v>-8.6440000000000006E-3</v>
          </cell>
          <cell r="AR172">
            <v>4.4755000000000003E-2</v>
          </cell>
          <cell r="BC172">
            <v>6.7810000000000009E-2</v>
          </cell>
          <cell r="BF172">
            <v>0.11256500000000001</v>
          </cell>
        </row>
        <row r="173">
          <cell r="O173">
            <v>1.3664000000000001</v>
          </cell>
          <cell r="P173">
            <v>1.41</v>
          </cell>
          <cell r="Q173">
            <v>1.4026000000000001</v>
          </cell>
          <cell r="U173">
            <v>-4.1387E-2</v>
          </cell>
          <cell r="V173">
            <v>-1.1006999999999999E-2</v>
          </cell>
          <cell r="W173">
            <v>-1.6310999999999999E-2</v>
          </cell>
          <cell r="Y173">
            <v>1.3664000000000001</v>
          </cell>
          <cell r="Z173">
            <v>1.41</v>
          </cell>
          <cell r="AA173">
            <v>1.4026000000000001</v>
          </cell>
          <cell r="AE173">
            <v>-4.1387E-2</v>
          </cell>
          <cell r="AF173">
            <v>-1.1006999999999999E-2</v>
          </cell>
          <cell r="AG173">
            <v>-1.6310999999999999E-2</v>
          </cell>
          <cell r="AR173">
            <v>4.4755000000000003E-2</v>
          </cell>
          <cell r="BC173">
            <v>6.7810000000000009E-2</v>
          </cell>
          <cell r="BF173">
            <v>0.11256500000000001</v>
          </cell>
        </row>
        <row r="174">
          <cell r="O174">
            <v>1.3664000000000001</v>
          </cell>
          <cell r="P174">
            <v>1.4111</v>
          </cell>
          <cell r="Q174">
            <v>1.4035</v>
          </cell>
          <cell r="U174">
            <v>-3.6176E-2</v>
          </cell>
          <cell r="V174">
            <v>-4.7730000000000003E-3</v>
          </cell>
          <cell r="W174">
            <v>-1.001E-2</v>
          </cell>
          <cell r="Y174">
            <v>1.3664000000000001</v>
          </cell>
          <cell r="Z174">
            <v>1.4111</v>
          </cell>
          <cell r="AA174">
            <v>1.4035</v>
          </cell>
          <cell r="AE174">
            <v>-3.6176E-2</v>
          </cell>
          <cell r="AF174">
            <v>-4.7730000000000003E-3</v>
          </cell>
          <cell r="AG174">
            <v>-1.001E-2</v>
          </cell>
          <cell r="AR174">
            <v>4.4755000000000003E-2</v>
          </cell>
          <cell r="BC174">
            <v>6.7810000000000009E-2</v>
          </cell>
          <cell r="BF174">
            <v>0.11256500000000001</v>
          </cell>
        </row>
        <row r="175">
          <cell r="O175">
            <v>1.3664000000000001</v>
          </cell>
          <cell r="P175">
            <v>1.4132</v>
          </cell>
          <cell r="Q175">
            <v>1.4052</v>
          </cell>
          <cell r="U175">
            <v>-4.0903000000000002E-2</v>
          </cell>
          <cell r="V175">
            <v>-8.6650000000000008E-3</v>
          </cell>
          <cell r="W175">
            <v>-1.4086E-2</v>
          </cell>
          <cell r="Y175">
            <v>1.3664000000000001</v>
          </cell>
          <cell r="Z175">
            <v>1.4132</v>
          </cell>
          <cell r="AA175">
            <v>1.4052</v>
          </cell>
          <cell r="AE175">
            <v>-4.0903000000000002E-2</v>
          </cell>
          <cell r="AF175">
            <v>-8.6650000000000008E-3</v>
          </cell>
          <cell r="AG175">
            <v>-1.4086E-2</v>
          </cell>
          <cell r="AR175">
            <v>4.4755000000000003E-2</v>
          </cell>
          <cell r="BC175">
            <v>6.7810000000000009E-2</v>
          </cell>
          <cell r="BF175">
            <v>0.11256500000000001</v>
          </cell>
        </row>
        <row r="176">
          <cell r="O176">
            <v>1.3664000000000001</v>
          </cell>
          <cell r="P176">
            <v>1.4119999999999999</v>
          </cell>
          <cell r="Q176">
            <v>1.4054</v>
          </cell>
          <cell r="U176">
            <v>-2.0358000000000001E-2</v>
          </cell>
          <cell r="V176">
            <v>1.3339999999999999E-2</v>
          </cell>
          <cell r="W176">
            <v>7.6730000000000001E-3</v>
          </cell>
          <cell r="Y176">
            <v>1.3664000000000001</v>
          </cell>
          <cell r="Z176">
            <v>1.4119999999999999</v>
          </cell>
          <cell r="AA176">
            <v>1.4054</v>
          </cell>
          <cell r="AE176">
            <v>-2.0358000000000001E-2</v>
          </cell>
          <cell r="AF176">
            <v>1.3339999999999999E-2</v>
          </cell>
          <cell r="AG176">
            <v>7.6730000000000001E-3</v>
          </cell>
          <cell r="AR176">
            <v>4.4755000000000003E-2</v>
          </cell>
          <cell r="BC176">
            <v>6.7810000000000009E-2</v>
          </cell>
          <cell r="BF176">
            <v>0.11256500000000001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B36E-41C2-4AA7-A226-EB9015D5BE14}">
  <dimension ref="A1:DZ179"/>
  <sheetViews>
    <sheetView tabSelected="1" topLeftCell="AF1" workbookViewId="0">
      <selection activeCell="BY18" sqref="BY18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0.76312644192726431</v>
      </c>
      <c r="AJ1" s="4">
        <v>0</v>
      </c>
      <c r="AK1" s="4">
        <f t="shared" ref="AK1:AQ1" si="0">AJ1-$AK12</f>
        <v>-0.01</v>
      </c>
      <c r="AL1" s="4">
        <f t="shared" si="0"/>
        <v>-0.02</v>
      </c>
      <c r="AM1" s="4">
        <f t="shared" si="0"/>
        <v>-0.03</v>
      </c>
      <c r="AN1" s="4">
        <f t="shared" si="0"/>
        <v>-0.04</v>
      </c>
      <c r="AO1" s="4">
        <f t="shared" si="0"/>
        <v>-0.05</v>
      </c>
      <c r="AP1" s="4">
        <f t="shared" si="0"/>
        <v>-6.0000000000000005E-2</v>
      </c>
      <c r="AQ1" s="4">
        <f t="shared" si="0"/>
        <v>-7.0000000000000007E-2</v>
      </c>
      <c r="AR1" s="5" t="s">
        <v>33</v>
      </c>
      <c r="AS1" s="2"/>
      <c r="AT1" s="3">
        <f>BB16</f>
        <v>1.7350385792839134</v>
      </c>
      <c r="AU1" s="4">
        <v>0</v>
      </c>
      <c r="AV1" s="6">
        <f>AU1+$AV12</f>
        <v>5.0000000000000001E-3</v>
      </c>
      <c r="AW1" s="6">
        <f t="shared" ref="AW1:BB1" si="1">AV1+$AV12</f>
        <v>0.01</v>
      </c>
      <c r="AX1" s="6">
        <f t="shared" si="1"/>
        <v>1.4999999999999999E-2</v>
      </c>
      <c r="AY1" s="6">
        <f t="shared" si="1"/>
        <v>0.02</v>
      </c>
      <c r="AZ1" s="6">
        <f t="shared" si="1"/>
        <v>2.5000000000000001E-2</v>
      </c>
      <c r="BA1" s="6">
        <f t="shared" si="1"/>
        <v>3.0000000000000002E-2</v>
      </c>
      <c r="BB1" s="6">
        <f t="shared" si="1"/>
        <v>3.5000000000000003E-2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102.69</v>
      </c>
      <c r="C2" s="33">
        <v>157.97999999999999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102.69</v>
      </c>
      <c r="M2" s="33">
        <v>157.97999999999999</v>
      </c>
      <c r="N2" s="34">
        <v>1.5384165936313099</v>
      </c>
      <c r="O2" s="34">
        <v>1.71162160919586</v>
      </c>
      <c r="X2" s="34">
        <v>1.5384165936313099</v>
      </c>
      <c r="Y2" s="34">
        <v>1.71151559356553</v>
      </c>
      <c r="AI2" s="35">
        <v>0</v>
      </c>
      <c r="AJ2" s="10">
        <f t="dataTable" ref="AJ2:AQ9" dt2D="1" dtr="1" r1="AI21" r2="AI22"/>
        <v>0.58414743672070235</v>
      </c>
      <c r="AK2" s="10">
        <v>1.0111585087263466</v>
      </c>
      <c r="AL2" s="10">
        <v>1.3434595479476923</v>
      </c>
      <c r="AM2" s="10">
        <v>0.92495763469179826</v>
      </c>
      <c r="AN2" s="10">
        <v>0.92495763469179826</v>
      </c>
      <c r="AO2" s="10">
        <v>1.1035974517146365</v>
      </c>
      <c r="AP2" s="10">
        <v>0.7626523495200207</v>
      </c>
      <c r="AQ2" s="10" t="e">
        <v>#DIV/0!</v>
      </c>
      <c r="AR2"/>
      <c r="AT2" s="4">
        <v>0</v>
      </c>
      <c r="AU2" s="10">
        <f t="dataTable" ref="AU2:BB9" dt2D="1" dtr="1" r1="AT21" r2="AT22"/>
        <v>1.8045266951983512</v>
      </c>
      <c r="AV2" s="11">
        <v>2.1867856715469056</v>
      </c>
      <c r="AW2" s="11">
        <v>1.975084456018656</v>
      </c>
      <c r="AX2" s="11">
        <v>1.631802236887838</v>
      </c>
      <c r="AY2" s="11">
        <v>0.75361255673730987</v>
      </c>
      <c r="AZ2" s="11">
        <v>-0.69708201986465224</v>
      </c>
      <c r="BA2" s="11">
        <v>-0.69708201986465224</v>
      </c>
      <c r="BB2" s="11">
        <v>-0.27352034272499648</v>
      </c>
      <c r="BC2"/>
    </row>
    <row r="3" spans="1:130" x14ac:dyDescent="0.25">
      <c r="A3" s="1">
        <v>46027</v>
      </c>
      <c r="B3" s="33">
        <v>103.97</v>
      </c>
      <c r="C3" s="33">
        <v>159.85</v>
      </c>
      <c r="D3" s="15">
        <v>1.2387654779675201E-2</v>
      </c>
      <c r="E3" s="15">
        <v>1.17674327695774E-2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103.97</v>
      </c>
      <c r="M3" s="33">
        <v>159.85</v>
      </c>
      <c r="N3" s="34">
        <v>1.5374627296335399</v>
      </c>
      <c r="O3" s="34">
        <v>1.71162160919586</v>
      </c>
      <c r="R3" s="33">
        <v>177.95729870809399</v>
      </c>
      <c r="U3" s="15">
        <v>0.10730775110850201</v>
      </c>
      <c r="X3" s="34">
        <v>1.5374627296335399</v>
      </c>
      <c r="Y3" s="34">
        <v>1.71151559356553</v>
      </c>
      <c r="AB3" s="33">
        <v>177.946276263009</v>
      </c>
      <c r="AE3" s="15">
        <v>0.10724581048265</v>
      </c>
      <c r="AI3" s="35">
        <f>AI2-0.005</f>
        <v>-5.0000000000000001E-3</v>
      </c>
      <c r="AJ3" s="10">
        <v>0.58414743672070235</v>
      </c>
      <c r="AK3" s="10">
        <v>0.7562358478633725</v>
      </c>
      <c r="AL3" s="10">
        <v>0.76312644192726431</v>
      </c>
      <c r="AM3" s="10">
        <v>0.62951266663325245</v>
      </c>
      <c r="AN3" s="10">
        <v>0.62951266663325245</v>
      </c>
      <c r="AO3" s="11">
        <v>0.80935403041892762</v>
      </c>
      <c r="AP3" s="10">
        <v>0.33792391032396035</v>
      </c>
      <c r="AQ3" s="10" t="e">
        <v>#DIV/0!</v>
      </c>
      <c r="AR3"/>
      <c r="AT3" s="4">
        <f>AT2+AV$12</f>
        <v>5.0000000000000001E-3</v>
      </c>
      <c r="AU3" s="10">
        <v>1.8045266951983512</v>
      </c>
      <c r="AV3" s="11">
        <v>3.2259788083835246</v>
      </c>
      <c r="AW3" s="11">
        <v>3.2173835217044768</v>
      </c>
      <c r="AX3" s="11">
        <v>2.7402037946196431</v>
      </c>
      <c r="AY3" s="11">
        <v>1.4558380169373268</v>
      </c>
      <c r="AZ3" s="11">
        <v>7.584471957565854E-2</v>
      </c>
      <c r="BA3" s="11">
        <v>7.584471957565854E-2</v>
      </c>
      <c r="BB3" s="11">
        <v>0.66199126080155768</v>
      </c>
      <c r="BC3"/>
    </row>
    <row r="4" spans="1:130" x14ac:dyDescent="0.25">
      <c r="A4" s="1">
        <v>46028</v>
      </c>
      <c r="B4" s="33">
        <v>104.92</v>
      </c>
      <c r="C4" s="33">
        <v>162.02000000000001</v>
      </c>
      <c r="D4" s="15">
        <v>9.0957590087941392E-3</v>
      </c>
      <c r="E4" s="15">
        <v>1.3483908896494701E-2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104.92</v>
      </c>
      <c r="M4" s="33">
        <v>162.02000000000001</v>
      </c>
      <c r="N4" s="34">
        <v>1.5442241707967901</v>
      </c>
      <c r="O4" s="34">
        <v>1.71162160919586</v>
      </c>
      <c r="R4" s="33">
        <v>179.58333923683</v>
      </c>
      <c r="U4" s="15">
        <v>0.102919601220802</v>
      </c>
      <c r="X4" s="34">
        <v>1.5442241707967901</v>
      </c>
      <c r="Y4" s="34">
        <v>1.71151559356553</v>
      </c>
      <c r="AB4" s="33">
        <v>179.57221607689601</v>
      </c>
      <c r="AE4" s="15">
        <v>0.102857660594949</v>
      </c>
      <c r="AG4"/>
      <c r="AI4" s="35">
        <f t="shared" ref="AI4:AI9" si="2">AI3-0.005</f>
        <v>-0.01</v>
      </c>
      <c r="AJ4" s="10">
        <v>0.58414743672070235</v>
      </c>
      <c r="AK4" s="11">
        <v>0.35514470425455402</v>
      </c>
      <c r="AL4" s="11">
        <v>0.34834496438533047</v>
      </c>
      <c r="AM4" s="11">
        <v>0.15355442380663187</v>
      </c>
      <c r="AN4" s="10">
        <v>0.15355442380663187</v>
      </c>
      <c r="AO4" s="11">
        <v>0.33990310219520914</v>
      </c>
      <c r="AP4" s="11">
        <v>0.30312007942571706</v>
      </c>
      <c r="AQ4" s="11" t="e">
        <v>#DIV/0!</v>
      </c>
      <c r="AR4"/>
      <c r="AT4" s="4">
        <f t="shared" ref="AT4:AT9" si="3">AT3+AV$12</f>
        <v>0.01</v>
      </c>
      <c r="AU4" s="10">
        <v>1.8045266951983512</v>
      </c>
      <c r="AV4" s="11">
        <v>3.2259788083835246</v>
      </c>
      <c r="AW4" s="11">
        <v>3.2923654916004081</v>
      </c>
      <c r="AX4" s="11">
        <v>3.1921959345690394</v>
      </c>
      <c r="AY4" s="11">
        <v>1.7350385792839134</v>
      </c>
      <c r="AZ4" s="11">
        <v>0.65015526577653138</v>
      </c>
      <c r="BA4" s="11">
        <v>0.39600001409902463</v>
      </c>
      <c r="BB4" s="11">
        <v>1.4651889824904196</v>
      </c>
      <c r="BC4"/>
      <c r="BE4" s="8"/>
      <c r="BF4" s="8"/>
    </row>
    <row r="5" spans="1:130" x14ac:dyDescent="0.25">
      <c r="A5" s="1">
        <v>46029</v>
      </c>
      <c r="B5" s="33">
        <v>104.52</v>
      </c>
      <c r="C5" s="33">
        <v>158.97</v>
      </c>
      <c r="D5" s="15">
        <v>-3.8197143462612702E-3</v>
      </c>
      <c r="E5" s="15">
        <v>-1.90042792295647E-2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104.52</v>
      </c>
      <c r="M5" s="33">
        <v>158.97</v>
      </c>
      <c r="N5" s="34">
        <v>1.5209529276693401</v>
      </c>
      <c r="O5" s="34">
        <v>1.71162160919586</v>
      </c>
      <c r="R5" s="33">
        <v>178.898690593151</v>
      </c>
      <c r="U5" s="15">
        <v>0.118104166104105</v>
      </c>
      <c r="X5" s="34">
        <v>1.5209529276693401</v>
      </c>
      <c r="Y5" s="34">
        <v>1.71151559356553</v>
      </c>
      <c r="AB5" s="33">
        <v>178.88760983947</v>
      </c>
      <c r="AE5" s="15">
        <v>0.11804222547825299</v>
      </c>
      <c r="AG5" s="29"/>
      <c r="AI5" s="35">
        <f t="shared" si="2"/>
        <v>-1.4999999999999999E-2</v>
      </c>
      <c r="AJ5" s="10">
        <v>0.58414743672070235</v>
      </c>
      <c r="AK5" s="11">
        <v>0.35514470425455402</v>
      </c>
      <c r="AL5" s="11">
        <v>0.20054635007053112</v>
      </c>
      <c r="AM5" s="11">
        <v>0.15355442380663187</v>
      </c>
      <c r="AN5" s="11">
        <v>0.15355442380663187</v>
      </c>
      <c r="AO5" s="11">
        <v>0.33990310219520914</v>
      </c>
      <c r="AP5" s="10">
        <v>0.30312007942571706</v>
      </c>
      <c r="AQ5" s="11" t="e">
        <v>#DIV/0!</v>
      </c>
      <c r="AR5"/>
      <c r="AT5" s="4">
        <f t="shared" si="3"/>
        <v>1.4999999999999999E-2</v>
      </c>
      <c r="AU5" s="10">
        <v>1.8045266951983512</v>
      </c>
      <c r="AV5" s="11">
        <v>3.2259788083835246</v>
      </c>
      <c r="AW5" s="11">
        <v>3.2923654916004081</v>
      </c>
      <c r="AX5" s="11">
        <v>2.7952790384373336</v>
      </c>
      <c r="AY5" s="11">
        <v>1.5905349961228532</v>
      </c>
      <c r="AZ5" s="11">
        <v>0.44445620600458507</v>
      </c>
      <c r="BA5" s="11">
        <v>0.15202163740928362</v>
      </c>
      <c r="BB5" s="11">
        <v>1.1827044893791356</v>
      </c>
      <c r="BC5"/>
    </row>
    <row r="6" spans="1:130" x14ac:dyDescent="0.25">
      <c r="A6" s="1">
        <v>46030</v>
      </c>
      <c r="B6" s="33">
        <v>106.08</v>
      </c>
      <c r="C6" s="33">
        <v>160.16999999999999</v>
      </c>
      <c r="D6" s="15">
        <v>1.4815085785140601E-2</v>
      </c>
      <c r="E6" s="15">
        <v>7.5202460074240904E-3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106.08</v>
      </c>
      <c r="M6" s="33">
        <v>160.16999999999999</v>
      </c>
      <c r="N6" s="34">
        <v>1.50989819004524</v>
      </c>
      <c r="O6" s="34">
        <v>1.71162160919586</v>
      </c>
      <c r="R6" s="33">
        <v>181.56882030349701</v>
      </c>
      <c r="U6" s="15">
        <v>0.12539900588182201</v>
      </c>
      <c r="X6" s="34">
        <v>1.50989819004524</v>
      </c>
      <c r="Y6" s="34">
        <v>1.71151559356553</v>
      </c>
      <c r="AB6" s="33">
        <v>181.55757416543199</v>
      </c>
      <c r="AE6" s="15">
        <v>0.12533706525596899</v>
      </c>
      <c r="AG6" s="29"/>
      <c r="AI6" s="35">
        <f t="shared" si="2"/>
        <v>-0.02</v>
      </c>
      <c r="AJ6" s="10">
        <v>0.58414743672070235</v>
      </c>
      <c r="AK6" s="11">
        <v>0.35514470425455402</v>
      </c>
      <c r="AL6" s="11">
        <v>0.40794017100884128</v>
      </c>
      <c r="AM6" s="11">
        <v>0.32563852854350928</v>
      </c>
      <c r="AN6" s="11">
        <v>5.8487586543227228E-2</v>
      </c>
      <c r="AO6" s="11">
        <v>0.26254625444957636</v>
      </c>
      <c r="AP6" s="11">
        <v>0.20173042741604513</v>
      </c>
      <c r="AQ6" s="11" t="e">
        <v>#DIV/0!</v>
      </c>
      <c r="AR6"/>
      <c r="AT6" s="4">
        <f t="shared" si="3"/>
        <v>0.02</v>
      </c>
      <c r="AU6" s="10">
        <v>1.8045266951983512</v>
      </c>
      <c r="AV6" s="11">
        <v>3.2259788083835246</v>
      </c>
      <c r="AW6" s="11">
        <v>3.2923654916004081</v>
      </c>
      <c r="AX6" s="11">
        <v>2.7952790384373336</v>
      </c>
      <c r="AY6" s="11">
        <v>1.8351988549337026</v>
      </c>
      <c r="AZ6" s="11">
        <v>0.44445620600458507</v>
      </c>
      <c r="BA6" s="11">
        <v>0.15202163740928362</v>
      </c>
      <c r="BB6" s="11">
        <v>1.1827044893791356</v>
      </c>
      <c r="BC6"/>
    </row>
    <row r="7" spans="1:130" x14ac:dyDescent="0.25">
      <c r="A7" s="1">
        <v>46031</v>
      </c>
      <c r="B7" s="33">
        <v>106.96</v>
      </c>
      <c r="C7" s="33">
        <v>161.93</v>
      </c>
      <c r="D7" s="15">
        <v>8.2614063561353302E-3</v>
      </c>
      <c r="E7" s="15">
        <v>1.0928391905175E-2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106.96</v>
      </c>
      <c r="M7" s="33">
        <v>161.93</v>
      </c>
      <c r="N7" s="34">
        <v>1.51393044128646</v>
      </c>
      <c r="O7" s="34">
        <v>1.71162160919586</v>
      </c>
      <c r="R7" s="33">
        <v>183.075047319589</v>
      </c>
      <c r="U7" s="15">
        <v>0.12273202033278199</v>
      </c>
      <c r="X7" s="34">
        <v>1.51393044128646</v>
      </c>
      <c r="Y7" s="34">
        <v>1.71151559356553</v>
      </c>
      <c r="AB7" s="33">
        <v>183.06370788776999</v>
      </c>
      <c r="AE7" s="15">
        <v>0.12267007970693</v>
      </c>
      <c r="AG7"/>
      <c r="AI7" s="35">
        <f t="shared" si="2"/>
        <v>-2.5000000000000001E-2</v>
      </c>
      <c r="AJ7" s="10">
        <v>0.58414743672070235</v>
      </c>
      <c r="AK7" s="11">
        <v>0.35514470425455402</v>
      </c>
      <c r="AL7" s="11">
        <v>0.40794017100884128</v>
      </c>
      <c r="AM7" s="11">
        <v>0.61506405840890122</v>
      </c>
      <c r="AN7" s="11">
        <v>7.8873176231855996E-2</v>
      </c>
      <c r="AO7" s="11">
        <v>0.2959596179339874</v>
      </c>
      <c r="AP7" s="11">
        <v>0.26037754169273258</v>
      </c>
      <c r="AQ7" s="11" t="e">
        <v>#DIV/0!</v>
      </c>
      <c r="AR7"/>
      <c r="AT7" s="4">
        <f t="shared" si="3"/>
        <v>2.5000000000000001E-2</v>
      </c>
      <c r="AU7" s="10">
        <v>1.8045266951983512</v>
      </c>
      <c r="AV7" s="11">
        <v>3.2259788083835246</v>
      </c>
      <c r="AW7" s="11">
        <v>3.2923654916004081</v>
      </c>
      <c r="AX7" s="11">
        <v>2.7952790384373336</v>
      </c>
      <c r="AY7" s="11">
        <v>1.8351988549337026</v>
      </c>
      <c r="AZ7" s="11">
        <v>0.70566763300248458</v>
      </c>
      <c r="BA7" s="11">
        <v>1.4646848701789195</v>
      </c>
      <c r="BB7" s="11">
        <v>1.1827044893791356</v>
      </c>
      <c r="BC7"/>
    </row>
    <row r="8" spans="1:130" x14ac:dyDescent="0.25">
      <c r="A8" s="1">
        <v>46034</v>
      </c>
      <c r="B8" s="33">
        <v>107.02</v>
      </c>
      <c r="C8" s="33">
        <v>163.16999999999999</v>
      </c>
      <c r="D8" s="15">
        <v>5.6080008947078101E-4</v>
      </c>
      <c r="E8" s="15">
        <v>7.6284590175994399E-3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107.02</v>
      </c>
      <c r="M8" s="33">
        <v>163.16999999999999</v>
      </c>
      <c r="N8" s="34">
        <v>1.5246682863016201</v>
      </c>
      <c r="O8" s="34">
        <v>1.71162160919586</v>
      </c>
      <c r="R8" s="33">
        <v>183.17774461614101</v>
      </c>
      <c r="U8" s="15">
        <v>0.115664361404653</v>
      </c>
      <c r="X8" s="34">
        <v>1.5246682863016201</v>
      </c>
      <c r="Y8" s="34">
        <v>1.71151559356553</v>
      </c>
      <c r="AB8" s="33">
        <v>183.16639882338399</v>
      </c>
      <c r="AE8" s="15">
        <v>0.11560242077880099</v>
      </c>
      <c r="AG8"/>
      <c r="AI8" s="35">
        <f t="shared" si="2"/>
        <v>-3.0000000000000002E-2</v>
      </c>
      <c r="AJ8" s="10">
        <v>0.58414743672070235</v>
      </c>
      <c r="AK8" s="11">
        <v>0.35514470425455402</v>
      </c>
      <c r="AL8" s="11">
        <v>0.40794017100884128</v>
      </c>
      <c r="AM8" s="11">
        <v>1.0507950998190618</v>
      </c>
      <c r="AN8" s="11">
        <v>0.39780166859997784</v>
      </c>
      <c r="AO8" s="11">
        <v>0.69766957645303029</v>
      </c>
      <c r="AP8" s="11">
        <v>0.15442461727749671</v>
      </c>
      <c r="AQ8" s="11" t="e">
        <v>#DIV/0!</v>
      </c>
      <c r="AR8"/>
      <c r="AT8" s="4">
        <f t="shared" si="3"/>
        <v>3.0000000000000002E-2</v>
      </c>
      <c r="AU8" s="10">
        <v>1.8045266951983512</v>
      </c>
      <c r="AV8" s="11">
        <v>3.2259788083835246</v>
      </c>
      <c r="AW8" s="11">
        <v>3.2923654916004081</v>
      </c>
      <c r="AX8" s="11">
        <v>2.7952790384373336</v>
      </c>
      <c r="AY8" s="11">
        <v>1.8351988549337026</v>
      </c>
      <c r="AZ8" s="11">
        <v>0.70566763300248458</v>
      </c>
      <c r="BA8" s="11">
        <v>1.4646848701789195</v>
      </c>
      <c r="BB8" s="11">
        <v>1.1827044893791356</v>
      </c>
      <c r="BC8"/>
    </row>
    <row r="9" spans="1:130" x14ac:dyDescent="0.25">
      <c r="A9" s="1">
        <v>46035</v>
      </c>
      <c r="B9" s="33">
        <v>107.18</v>
      </c>
      <c r="C9" s="33">
        <v>164.01</v>
      </c>
      <c r="D9" s="15">
        <v>1.49393118354567E-3</v>
      </c>
      <c r="E9" s="15">
        <v>5.1347994720384402E-3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107.18</v>
      </c>
      <c r="M9" s="33">
        <v>164.01</v>
      </c>
      <c r="N9" s="34">
        <v>1.5302295204329099</v>
      </c>
      <c r="O9" s="34">
        <v>1.71162160919586</v>
      </c>
      <c r="R9" s="33">
        <v>183.451604073612</v>
      </c>
      <c r="U9" s="15">
        <v>0.112023493116161</v>
      </c>
      <c r="X9" s="34">
        <v>1.5302295204329099</v>
      </c>
      <c r="Y9" s="34">
        <v>1.71151559356553</v>
      </c>
      <c r="AB9" s="33">
        <v>183.440241318354</v>
      </c>
      <c r="AE9" s="15">
        <v>0.11196155249030799</v>
      </c>
      <c r="AF9"/>
      <c r="AI9" s="35">
        <f t="shared" si="2"/>
        <v>-3.5000000000000003E-2</v>
      </c>
      <c r="AJ9" s="10">
        <v>0.58414743672070235</v>
      </c>
      <c r="AK9" s="11">
        <v>0.35514470425455402</v>
      </c>
      <c r="AL9" s="11">
        <v>0.40794017100884128</v>
      </c>
      <c r="AM9" s="11">
        <v>1.0507950998190618</v>
      </c>
      <c r="AN9" s="11">
        <v>0.35730525994804563</v>
      </c>
      <c r="AO9" s="11">
        <v>0.65573789149952944</v>
      </c>
      <c r="AP9" s="11">
        <v>0.15442461727749671</v>
      </c>
      <c r="AQ9" s="11" t="e">
        <v>#DIV/0!</v>
      </c>
      <c r="AR9"/>
      <c r="AT9" s="4">
        <f t="shared" si="3"/>
        <v>3.5000000000000003E-2</v>
      </c>
      <c r="AU9" s="10">
        <v>1.8045266951983512</v>
      </c>
      <c r="AV9" s="10">
        <v>3.2259788083835246</v>
      </c>
      <c r="AW9" s="10">
        <v>3.2923654916004081</v>
      </c>
      <c r="AX9" s="10">
        <v>2.7952790384373336</v>
      </c>
      <c r="AY9" s="10">
        <v>1.8351988549337026</v>
      </c>
      <c r="AZ9" s="10">
        <v>0.70566763300248458</v>
      </c>
      <c r="BA9" s="10">
        <v>1.4646848701789195</v>
      </c>
      <c r="BB9" s="10">
        <v>-1.2750711555097241</v>
      </c>
      <c r="BC9"/>
    </row>
    <row r="10" spans="1:130" x14ac:dyDescent="0.25">
      <c r="A10" s="1">
        <v>46036</v>
      </c>
      <c r="B10" s="33">
        <v>106.03</v>
      </c>
      <c r="C10" s="33">
        <v>164.27</v>
      </c>
      <c r="D10" s="15">
        <v>-1.07875911289974E-2</v>
      </c>
      <c r="E10" s="15">
        <v>1.58401397809095E-3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106.03</v>
      </c>
      <c r="M10" s="33">
        <v>164.27</v>
      </c>
      <c r="N10" s="34">
        <v>1.54927850608318</v>
      </c>
      <c r="O10" s="34">
        <v>1.71162160919586</v>
      </c>
      <c r="R10" s="33">
        <v>181.483239223037</v>
      </c>
      <c r="U10" s="15">
        <v>9.9651888009072501E-2</v>
      </c>
      <c r="X10" s="34">
        <v>1.54927850608318</v>
      </c>
      <c r="Y10" s="34">
        <v>1.71151559356553</v>
      </c>
      <c r="AB10" s="33">
        <v>181.47199838575401</v>
      </c>
      <c r="AE10" s="15">
        <v>9.9589947383219996E-2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106.34</v>
      </c>
      <c r="C11" s="33">
        <v>165.78</v>
      </c>
      <c r="D11" s="15">
        <v>2.9194351384857001E-3</v>
      </c>
      <c r="E11" s="15">
        <v>9.1501926102717304E-3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106.34</v>
      </c>
      <c r="M11" s="33">
        <v>165.78</v>
      </c>
      <c r="N11" s="34">
        <v>1.55896182057551</v>
      </c>
      <c r="O11" s="34">
        <v>1.71162160919586</v>
      </c>
      <c r="P11" s="34">
        <v>1.5328023186455899</v>
      </c>
      <c r="R11" s="33">
        <v>182.013841921888</v>
      </c>
      <c r="U11" s="15">
        <v>9.3421130537286401E-2</v>
      </c>
      <c r="X11" s="34">
        <v>1.55896182057551</v>
      </c>
      <c r="Y11" s="34">
        <v>1.71151559356553</v>
      </c>
      <c r="Z11" s="34">
        <v>1.5328023186455899</v>
      </c>
      <c r="AB11" s="33">
        <v>182.00256821975901</v>
      </c>
      <c r="AE11" s="15">
        <v>9.3359189911433896E-2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106</v>
      </c>
      <c r="C12" s="33">
        <v>166.9</v>
      </c>
      <c r="D12" s="15">
        <v>-3.20241396412526E-3</v>
      </c>
      <c r="E12" s="15">
        <v>6.73322250440929E-3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106</v>
      </c>
      <c r="M12" s="33">
        <v>166.9</v>
      </c>
      <c r="N12" s="34">
        <v>1.5745283018867899</v>
      </c>
      <c r="O12" s="34">
        <v>1.71162160919586</v>
      </c>
      <c r="P12" s="34">
        <v>1.5364134894711401</v>
      </c>
      <c r="R12" s="33">
        <v>181.43189057476101</v>
      </c>
      <c r="S12" s="33">
        <v>162.47704577643299</v>
      </c>
      <c r="U12" s="15">
        <v>8.34854940687519E-2</v>
      </c>
      <c r="V12" s="15">
        <v>-2.6858095636084298E-2</v>
      </c>
      <c r="X12" s="34">
        <v>1.5745283018867899</v>
      </c>
      <c r="Y12" s="34">
        <v>1.71151559356553</v>
      </c>
      <c r="Z12" s="34">
        <v>1.5364134894711401</v>
      </c>
      <c r="AB12" s="33">
        <v>181.420652917947</v>
      </c>
      <c r="AC12" s="33">
        <v>162.47704577643299</v>
      </c>
      <c r="AE12" s="15">
        <v>8.3423553442899395E-2</v>
      </c>
      <c r="AF12" s="15">
        <v>-2.6858095636084298E-2</v>
      </c>
      <c r="AK12" s="17">
        <v>0.01</v>
      </c>
      <c r="AL12" s="18" t="s">
        <v>37</v>
      </c>
      <c r="AM12" s="19" t="s">
        <v>38</v>
      </c>
      <c r="AV12" s="17">
        <v>5.0000000000000001E-3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103.83</v>
      </c>
      <c r="C13" s="33">
        <v>163.53</v>
      </c>
      <c r="D13" s="15">
        <v>-2.0684147796704602E-2</v>
      </c>
      <c r="E13" s="15">
        <v>-2.03983709234902E-2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103.83</v>
      </c>
      <c r="M13" s="33">
        <v>163.53</v>
      </c>
      <c r="N13" s="34">
        <v>1.57497832996243</v>
      </c>
      <c r="O13" s="34">
        <v>1.71162160919586</v>
      </c>
      <c r="P13" s="34">
        <v>1.54016504950403</v>
      </c>
      <c r="R13" s="33">
        <v>177.71767168280601</v>
      </c>
      <c r="S13" s="33">
        <v>159.52581261178801</v>
      </c>
      <c r="U13" s="15">
        <v>8.3199717195537704E-2</v>
      </c>
      <c r="V13" s="15">
        <v>-2.4790716056529501E-2</v>
      </c>
      <c r="X13" s="34">
        <v>1.57497832996243</v>
      </c>
      <c r="Y13" s="34">
        <v>1.71151559356553</v>
      </c>
      <c r="Z13" s="34">
        <v>1.54016504950403</v>
      </c>
      <c r="AB13" s="33">
        <v>177.70666407990899</v>
      </c>
      <c r="AC13" s="33">
        <v>159.52581261178801</v>
      </c>
      <c r="AE13" s="15">
        <v>8.3137776569684907E-2</v>
      </c>
      <c r="AF13" s="15">
        <v>-2.4790716056529501E-2</v>
      </c>
    </row>
    <row r="14" spans="1:130" x14ac:dyDescent="0.25">
      <c r="A14" s="1">
        <v>46043</v>
      </c>
      <c r="B14" s="33">
        <v>105.32</v>
      </c>
      <c r="C14" s="33">
        <v>166.36</v>
      </c>
      <c r="D14" s="15">
        <v>1.4248388312745899E-2</v>
      </c>
      <c r="E14" s="15">
        <v>1.71576551304118E-2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105.32</v>
      </c>
      <c r="M14" s="33">
        <v>166.36</v>
      </c>
      <c r="N14" s="34">
        <v>1.57956703380174</v>
      </c>
      <c r="O14" s="34">
        <v>1.71162160919586</v>
      </c>
      <c r="P14" s="34">
        <v>1.5436993358045199</v>
      </c>
      <c r="R14" s="33">
        <v>180.267987880508</v>
      </c>
      <c r="S14" s="33">
        <v>162.21018301376401</v>
      </c>
      <c r="U14" s="15">
        <v>8.0290450377871803E-2</v>
      </c>
      <c r="V14" s="15">
        <v>-2.5261194561276401E-2</v>
      </c>
      <c r="X14" s="34">
        <v>1.57956703380174</v>
      </c>
      <c r="Y14" s="34">
        <v>1.71151559356553</v>
      </c>
      <c r="Z14" s="34">
        <v>1.5436993358045199</v>
      </c>
      <c r="AB14" s="33">
        <v>180.25682231432199</v>
      </c>
      <c r="AC14" s="33">
        <v>162.21018301376401</v>
      </c>
      <c r="AE14" s="15">
        <v>8.0228509752019395E-2</v>
      </c>
      <c r="AF14" s="15">
        <v>-2.5261194561276401E-2</v>
      </c>
      <c r="AQ14" s="20">
        <f>AVERAGE(AQ22:AQ176)</f>
        <v>3.5457682227864882E-4</v>
      </c>
      <c r="AR14" s="21" t="s">
        <v>41</v>
      </c>
      <c r="BB14" s="20">
        <f>AVERAGE(BB22:BB176)</f>
        <v>3.7887841695418117E-4</v>
      </c>
      <c r="BC14" s="21" t="s">
        <v>41</v>
      </c>
      <c r="BD14" s="22"/>
      <c r="BE14" s="20">
        <f>AVERAGE(BE22:BE176)</f>
        <v>7.334552392328301E-4</v>
      </c>
      <c r="BF14" s="21" t="s">
        <v>41</v>
      </c>
    </row>
    <row r="15" spans="1:130" x14ac:dyDescent="0.25">
      <c r="A15" s="1">
        <v>46044</v>
      </c>
      <c r="B15" s="33">
        <v>105.48</v>
      </c>
      <c r="C15" s="33">
        <v>165.5</v>
      </c>
      <c r="D15" s="15">
        <v>1.5180268569774699E-3</v>
      </c>
      <c r="E15" s="15">
        <v>-5.1829200575934601E-3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105.48</v>
      </c>
      <c r="M15" s="33">
        <v>165.5</v>
      </c>
      <c r="N15" s="34">
        <v>1.5690178232840299</v>
      </c>
      <c r="O15" s="34">
        <v>1.71162160919586</v>
      </c>
      <c r="P15" s="34">
        <v>1.54850582536599</v>
      </c>
      <c r="R15" s="33">
        <v>180.54184733797899</v>
      </c>
      <c r="S15" s="33">
        <v>162.82940594066099</v>
      </c>
      <c r="U15" s="15">
        <v>8.6991397292442693E-2</v>
      </c>
      <c r="V15" s="15">
        <v>-1.6268131388480499E-2</v>
      </c>
      <c r="X15" s="34">
        <v>1.5690178232840299</v>
      </c>
      <c r="Y15" s="34">
        <v>1.71151559356553</v>
      </c>
      <c r="Z15" s="34">
        <v>1.54850582536599</v>
      </c>
      <c r="AB15" s="33">
        <v>180.530664809293</v>
      </c>
      <c r="AC15" s="33">
        <v>162.82940594066099</v>
      </c>
      <c r="AE15" s="15">
        <v>8.6929456666589994E-2</v>
      </c>
      <c r="AF15" s="15">
        <v>-1.6268131388480499E-2</v>
      </c>
      <c r="AQ15" s="20">
        <f>STDEV(AQ22:AQ176)</f>
        <v>7.3758845785579516E-3</v>
      </c>
      <c r="AR15" s="21" t="s">
        <v>42</v>
      </c>
      <c r="BB15" s="20">
        <f>STDEV(BB22:BB176)</f>
        <v>3.4664983719416326E-3</v>
      </c>
      <c r="BC15" s="21" t="s">
        <v>42</v>
      </c>
      <c r="BD15" s="22"/>
      <c r="BE15" s="20">
        <f>STDEV(BE22:BE176)</f>
        <v>8.1332562097713498E-3</v>
      </c>
      <c r="BF15" s="21" t="s">
        <v>42</v>
      </c>
    </row>
    <row r="16" spans="1:130" x14ac:dyDescent="0.25">
      <c r="A16" s="1">
        <v>46045</v>
      </c>
      <c r="B16" s="33">
        <v>105.79</v>
      </c>
      <c r="C16" s="33">
        <v>164.22</v>
      </c>
      <c r="D16" s="15">
        <v>2.9346355135973601E-3</v>
      </c>
      <c r="E16" s="15">
        <v>-7.76420253647493E-3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105.79</v>
      </c>
      <c r="M16" s="33">
        <v>164.22</v>
      </c>
      <c r="N16" s="34">
        <v>1.5523206352207199</v>
      </c>
      <c r="O16" s="34">
        <v>1.71162160919586</v>
      </c>
      <c r="P16" s="34">
        <v>1.5527480698835401</v>
      </c>
      <c r="R16" s="33">
        <v>181.07245003682999</v>
      </c>
      <c r="S16" s="33">
        <v>163.816431265468</v>
      </c>
      <c r="U16" s="15">
        <v>9.7690235342514795E-2</v>
      </c>
      <c r="V16" s="15">
        <v>-2.4605129166839698E-3</v>
      </c>
      <c r="X16" s="34">
        <v>1.5523206352207199</v>
      </c>
      <c r="Y16" s="34">
        <v>1.71151559356553</v>
      </c>
      <c r="Z16" s="34">
        <v>1.5527480698835401</v>
      </c>
      <c r="AB16" s="33">
        <v>181.06123464329801</v>
      </c>
      <c r="AC16" s="33">
        <v>163.816431265468</v>
      </c>
      <c r="AE16" s="15">
        <v>9.7628294716662206E-2</v>
      </c>
      <c r="AF16" s="15">
        <v>-2.4605129166839698E-3</v>
      </c>
      <c r="AQ16" s="23">
        <f>SQRT(252)*AQ14/AQ15</f>
        <v>0.76312644192726431</v>
      </c>
      <c r="AR16" s="21" t="s">
        <v>43</v>
      </c>
      <c r="BB16" s="23">
        <f>SQRT(252)*BB14/BB15</f>
        <v>1.7350385792839134</v>
      </c>
      <c r="BC16" s="21" t="s">
        <v>43</v>
      </c>
      <c r="BD16" s="22"/>
      <c r="BE16" s="23">
        <f>SQRT(252)*BE14/BE15</f>
        <v>1.4315595948958855</v>
      </c>
      <c r="BF16" s="21" t="s">
        <v>43</v>
      </c>
    </row>
    <row r="17" spans="1:124" x14ac:dyDescent="0.25">
      <c r="A17" s="1">
        <v>46048</v>
      </c>
      <c r="B17" s="33">
        <v>105.32</v>
      </c>
      <c r="C17" s="33">
        <v>164.38</v>
      </c>
      <c r="D17" s="15">
        <v>-4.4526623705746799E-3</v>
      </c>
      <c r="E17" s="15">
        <v>9.7382843971125096E-4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105.32</v>
      </c>
      <c r="M17" s="33">
        <v>164.38</v>
      </c>
      <c r="N17" s="34">
        <v>1.5607671857197101</v>
      </c>
      <c r="O17" s="34">
        <v>1.71162160919586</v>
      </c>
      <c r="P17" s="34">
        <v>1.5574317443268599</v>
      </c>
      <c r="R17" s="33">
        <v>180.267987880508</v>
      </c>
      <c r="S17" s="33">
        <v>163.53542672013401</v>
      </c>
      <c r="U17" s="15">
        <v>9.2263744532228895E-2</v>
      </c>
      <c r="V17" s="15">
        <v>-5.1511766667883298E-3</v>
      </c>
      <c r="X17" s="34">
        <v>1.5607671857197101</v>
      </c>
      <c r="Y17" s="34">
        <v>1.71151559356553</v>
      </c>
      <c r="Z17" s="34">
        <v>1.5574317443268599</v>
      </c>
      <c r="AB17" s="33">
        <v>180.25682231432199</v>
      </c>
      <c r="AC17" s="33">
        <v>163.53542672013401</v>
      </c>
      <c r="AE17" s="15">
        <v>9.2201803906376403E-2</v>
      </c>
      <c r="AF17" s="15">
        <v>-5.1511766667883298E-3</v>
      </c>
    </row>
    <row r="18" spans="1:124" x14ac:dyDescent="0.25">
      <c r="A18" s="1">
        <v>46049</v>
      </c>
      <c r="B18" s="33">
        <v>105.15</v>
      </c>
      <c r="C18" s="33">
        <v>165.06</v>
      </c>
      <c r="D18" s="15">
        <v>-1.6154324793997801E-3</v>
      </c>
      <c r="E18" s="15">
        <v>4.1282234441843398E-3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105.15</v>
      </c>
      <c r="M18" s="33">
        <v>165.06</v>
      </c>
      <c r="N18" s="34">
        <v>1.56975748930099</v>
      </c>
      <c r="O18" s="34">
        <v>1.71162160919586</v>
      </c>
      <c r="P18" s="34">
        <v>1.5619406646267999</v>
      </c>
      <c r="R18" s="33">
        <v>179.97701220694501</v>
      </c>
      <c r="S18" s="33">
        <v>163.76394791596999</v>
      </c>
      <c r="U18" s="15">
        <v>8.6520088608644796E-2</v>
      </c>
      <c r="V18" s="15">
        <v>-7.8829951638311399E-3</v>
      </c>
      <c r="X18" s="34">
        <v>1.56975748930099</v>
      </c>
      <c r="Y18" s="34">
        <v>1.71151559356553</v>
      </c>
      <c r="Z18" s="34">
        <v>1.5619406646267999</v>
      </c>
      <c r="AB18" s="33">
        <v>179.965864663416</v>
      </c>
      <c r="AC18" s="33">
        <v>163.76394791596999</v>
      </c>
      <c r="AE18" s="15">
        <v>8.6458147982792194E-2</v>
      </c>
      <c r="AF18" s="15">
        <v>-7.8829951638311399E-3</v>
      </c>
      <c r="BE18" s="24">
        <f>SUM(BE22:BE176)</f>
        <v>0.11368556208108867</v>
      </c>
      <c r="BF18" s="20">
        <f>BF176</f>
        <v>0.11368556208108867</v>
      </c>
    </row>
    <row r="19" spans="1:124" x14ac:dyDescent="0.25">
      <c r="A19" s="1">
        <v>46050</v>
      </c>
      <c r="B19" s="33">
        <v>104.31</v>
      </c>
      <c r="C19" s="33">
        <v>164.14</v>
      </c>
      <c r="D19" s="15">
        <v>-8.0206674608291305E-3</v>
      </c>
      <c r="E19" s="15">
        <v>-5.5893219629726898E-3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104.31</v>
      </c>
      <c r="M19" s="33">
        <v>164.14</v>
      </c>
      <c r="N19" s="34">
        <v>1.57357875563224</v>
      </c>
      <c r="O19" s="34">
        <v>1.71162160919586</v>
      </c>
      <c r="P19" s="34">
        <v>1.5662755881467301</v>
      </c>
      <c r="R19" s="33">
        <v>178.53925005522001</v>
      </c>
      <c r="S19" s="33">
        <v>162.92603072722201</v>
      </c>
      <c r="U19" s="15">
        <v>8.40887431107884E-2</v>
      </c>
      <c r="V19" s="15">
        <v>-7.4234236123269801E-3</v>
      </c>
      <c r="X19" s="34">
        <v>1.57357875563224</v>
      </c>
      <c r="Y19" s="34">
        <v>1.71151559356553</v>
      </c>
      <c r="Z19" s="34">
        <v>1.5662755881467301</v>
      </c>
      <c r="AB19" s="33">
        <v>178.52819156482099</v>
      </c>
      <c r="AC19" s="33">
        <v>162.92603072722201</v>
      </c>
      <c r="AE19" s="15">
        <v>8.4026802484936006E-2</v>
      </c>
      <c r="AF19" s="15">
        <v>-7.4234236123269801E-3</v>
      </c>
      <c r="AI19" s="12"/>
      <c r="AJ19"/>
      <c r="AK19"/>
      <c r="AL19"/>
      <c r="AM19"/>
      <c r="AN19"/>
      <c r="AO19"/>
      <c r="AP19"/>
      <c r="AQ19" s="24">
        <f>SUM(AQ22:AQ176)</f>
        <v>5.495940745319057E-2</v>
      </c>
      <c r="AR19" s="24">
        <f>AR176</f>
        <v>5.495940745319057E-2</v>
      </c>
      <c r="AU19"/>
      <c r="AV19"/>
      <c r="AW19"/>
      <c r="AX19"/>
      <c r="AY19"/>
      <c r="AZ19"/>
      <c r="BA19"/>
      <c r="BB19" s="24">
        <f>SUM(BB22:BB176)</f>
        <v>5.8726154627898083E-2</v>
      </c>
      <c r="BC19" s="24">
        <f>BC176</f>
        <v>5.8726154627898083E-2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104.22</v>
      </c>
      <c r="C20" s="33">
        <v>165.86</v>
      </c>
      <c r="D20" s="15">
        <v>-8.6318520681123896E-4</v>
      </c>
      <c r="E20" s="15">
        <v>1.04243368214922E-2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104.22</v>
      </c>
      <c r="M20" s="33">
        <v>165.86</v>
      </c>
      <c r="N20" s="34">
        <v>1.5914411821147501</v>
      </c>
      <c r="O20" s="34">
        <v>1.71162160919586</v>
      </c>
      <c r="P20" s="34">
        <v>1.5704918557498899</v>
      </c>
      <c r="R20" s="33">
        <v>178.385204110393</v>
      </c>
      <c r="S20" s="33">
        <v>163.237241796653</v>
      </c>
      <c r="U20" s="15">
        <v>7.2801221082485004E-2</v>
      </c>
      <c r="V20" s="15">
        <v>-1.5939445242677E-2</v>
      </c>
      <c r="X20" s="34">
        <v>1.5914411821147501</v>
      </c>
      <c r="Y20" s="34">
        <v>1.71151559356553</v>
      </c>
      <c r="Z20" s="34">
        <v>1.5704918557498899</v>
      </c>
      <c r="AB20" s="33">
        <v>178.37415516140001</v>
      </c>
      <c r="AC20" s="33">
        <v>163.237241796653</v>
      </c>
      <c r="AE20" s="15">
        <v>7.2739280456632402E-2</v>
      </c>
      <c r="AF20" s="15">
        <v>-1.5939445242677E-2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IYC log rtn</v>
      </c>
      <c r="AP20" s="7" t="str">
        <f>E1</f>
        <v>XLI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IYC log rtn</v>
      </c>
      <c r="BA20" s="24" t="str">
        <f>E1</f>
        <v>XLI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103.83</v>
      </c>
      <c r="C21" s="33">
        <v>165.44</v>
      </c>
      <c r="D21" s="15">
        <v>-3.74910316570594E-3</v>
      </c>
      <c r="E21" s="15">
        <v>-2.5354677029934599E-3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103.83</v>
      </c>
      <c r="M21" s="33">
        <v>165.44</v>
      </c>
      <c r="N21" s="34">
        <v>1.5933737840701101</v>
      </c>
      <c r="O21" s="34">
        <v>1.71162160919586</v>
      </c>
      <c r="P21" s="34">
        <v>1.57393305209935</v>
      </c>
      <c r="Q21" s="34">
        <v>1.5533676853724701</v>
      </c>
      <c r="R21" s="33">
        <v>177.71767168280601</v>
      </c>
      <c r="S21" s="33">
        <v>163.06416938251101</v>
      </c>
      <c r="U21" s="15">
        <v>7.1587585619772603E-2</v>
      </c>
      <c r="V21" s="15">
        <v>-1.4464790790513E-2</v>
      </c>
      <c r="X21" s="34">
        <v>1.5933737840701101</v>
      </c>
      <c r="Y21" s="34">
        <v>1.71151559356553</v>
      </c>
      <c r="Z21" s="34">
        <v>1.57393305209935</v>
      </c>
      <c r="AA21" s="34">
        <v>1.5533676853724701</v>
      </c>
      <c r="AB21" s="33">
        <v>177.70666407990899</v>
      </c>
      <c r="AC21" s="33">
        <v>163.06416938251101</v>
      </c>
      <c r="AE21" s="15">
        <v>7.1525644993919807E-2</v>
      </c>
      <c r="AF21" s="15">
        <v>-1.4464790790513E-2</v>
      </c>
      <c r="AI21" s="26">
        <v>-0.02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0.02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104.71</v>
      </c>
      <c r="C22" s="33">
        <v>167.53</v>
      </c>
      <c r="D22" s="15">
        <v>8.4396779840080292E-3</v>
      </c>
      <c r="E22" s="15">
        <v>1.25538483853767E-2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104.71</v>
      </c>
      <c r="M22" s="33">
        <v>167.53</v>
      </c>
      <c r="N22" s="34">
        <v>1.59994269888262</v>
      </c>
      <c r="O22" s="34">
        <v>1.71162160919586</v>
      </c>
      <c r="P22" s="34">
        <v>1.5764744917989399</v>
      </c>
      <c r="Q22" s="34">
        <v>1.55644399063504</v>
      </c>
      <c r="R22" s="33">
        <v>179.22389869889801</v>
      </c>
      <c r="S22" s="33">
        <v>164.80652988532299</v>
      </c>
      <c r="T22" s="33">
        <v>162.65313033535199</v>
      </c>
      <c r="U22" s="15">
        <v>6.7473415218403707E-2</v>
      </c>
      <c r="V22" s="15">
        <v>-1.6390199924487699E-2</v>
      </c>
      <c r="W22" s="15">
        <v>-2.9542541134500899E-2</v>
      </c>
      <c r="X22" s="34">
        <v>1.59994269888262</v>
      </c>
      <c r="Y22" s="34">
        <v>1.71151559356553</v>
      </c>
      <c r="Z22" s="34">
        <v>1.5764744917989399</v>
      </c>
      <c r="AA22" s="34">
        <v>1.55644399063504</v>
      </c>
      <c r="AB22" s="33">
        <v>179.212797802247</v>
      </c>
      <c r="AC22" s="33">
        <v>164.80652988532299</v>
      </c>
      <c r="AD22" s="33">
        <v>162.65313033535199</v>
      </c>
      <c r="AE22" s="15">
        <v>6.7411474592551396E-2</v>
      </c>
      <c r="AF22" s="15">
        <v>-1.6390199924487699E-2</v>
      </c>
      <c r="AG22" s="15">
        <v>-2.9542541134500899E-2</v>
      </c>
      <c r="AI22" s="26">
        <v>-5.0000000000000001E-3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0.01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103.9</v>
      </c>
      <c r="C23" s="33">
        <v>168.94</v>
      </c>
      <c r="D23" s="15">
        <v>-7.7657261941888496E-3</v>
      </c>
      <c r="E23" s="15">
        <v>8.3811825939095197E-3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103.9</v>
      </c>
      <c r="M23" s="33">
        <v>168.94</v>
      </c>
      <c r="N23" s="34">
        <v>1.6259865255052901</v>
      </c>
      <c r="O23" s="34">
        <v>1.71162160919586</v>
      </c>
      <c r="P23" s="34">
        <v>1.58157531135322</v>
      </c>
      <c r="Q23" s="34">
        <v>1.56087018042862</v>
      </c>
      <c r="R23" s="33">
        <v>177.83748519545</v>
      </c>
      <c r="S23" s="33">
        <v>163.79569969790899</v>
      </c>
      <c r="T23" s="33">
        <v>161.71453062698001</v>
      </c>
      <c r="U23" s="15">
        <v>5.13265064303055E-2</v>
      </c>
      <c r="V23" s="15">
        <v>-3.0923704595520799E-2</v>
      </c>
      <c r="W23" s="15">
        <v>-4.3710998114885602E-2</v>
      </c>
      <c r="X23" s="34">
        <v>1.6259865255052901</v>
      </c>
      <c r="Y23" s="34">
        <v>1.71151559356553</v>
      </c>
      <c r="Z23" s="34">
        <v>1.58157531135322</v>
      </c>
      <c r="AA23" s="34">
        <v>1.56087018042862</v>
      </c>
      <c r="AB23" s="33">
        <v>177.82647017145899</v>
      </c>
      <c r="AC23" s="33">
        <v>163.79569969790899</v>
      </c>
      <c r="AD23" s="33">
        <v>161.71453062698001</v>
      </c>
      <c r="AE23" s="15">
        <v>5.1264565804452801E-2</v>
      </c>
      <c r="AF23" s="15">
        <v>-3.0923704595520799E-2</v>
      </c>
      <c r="AG23" s="15">
        <v>-4.3710998114885602E-2</v>
      </c>
      <c r="AI23" s="12"/>
      <c r="AJ23">
        <f t="shared" si="6"/>
        <v>1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-7.7657261941888496E-3</v>
      </c>
      <c r="AP23" s="28">
        <f t="shared" si="9"/>
        <v>-8.3811825939095197E-3</v>
      </c>
      <c r="AQ23" s="28">
        <f t="shared" ref="AQ23:AQ86" si="16">AO23+AP23</f>
        <v>-1.6146908788098369E-2</v>
      </c>
      <c r="AR23" s="29">
        <f t="shared" ref="AR23:AR86" si="17">AR22+AQ23</f>
        <v>-1.6146908788098369E-2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-1.6146908788098369E-2</v>
      </c>
      <c r="BF23" s="29">
        <f t="shared" ref="BF23:BF86" si="23">BF22+BE23</f>
        <v>-1.6146908788098369E-2</v>
      </c>
      <c r="BH23" s="29"/>
    </row>
    <row r="24" spans="1:124" x14ac:dyDescent="0.25">
      <c r="A24" s="1">
        <v>46057</v>
      </c>
      <c r="B24" s="33">
        <v>103.67</v>
      </c>
      <c r="C24" s="33">
        <v>169.39</v>
      </c>
      <c r="D24" s="15">
        <v>-2.2161207701610502E-3</v>
      </c>
      <c r="E24" s="15">
        <v>2.6601262989397502E-3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103.67</v>
      </c>
      <c r="M24" s="33">
        <v>169.39</v>
      </c>
      <c r="N24" s="34">
        <v>1.6339346001736199</v>
      </c>
      <c r="O24" s="34">
        <v>1.71162160919586</v>
      </c>
      <c r="P24" s="34">
        <v>1.5870120679904101</v>
      </c>
      <c r="Q24" s="34">
        <v>1.56535570189747</v>
      </c>
      <c r="R24" s="33">
        <v>177.44381222533499</v>
      </c>
      <c r="S24" s="33">
        <v>163.96191252798801</v>
      </c>
      <c r="T24" s="33">
        <v>161.81541160503599</v>
      </c>
      <c r="U24" s="15">
        <v>4.6450259361204498E-2</v>
      </c>
      <c r="V24" s="15">
        <v>-3.2569588429129902E-2</v>
      </c>
      <c r="W24" s="15">
        <v>-4.5747497551788301E-2</v>
      </c>
      <c r="X24" s="34">
        <v>1.6339346001736199</v>
      </c>
      <c r="Y24" s="34">
        <v>1.71151559356553</v>
      </c>
      <c r="Z24" s="34">
        <v>1.5870120679904101</v>
      </c>
      <c r="AA24" s="34">
        <v>1.56535570189747</v>
      </c>
      <c r="AB24" s="33">
        <v>177.43282158493901</v>
      </c>
      <c r="AC24" s="33">
        <v>163.96191252798801</v>
      </c>
      <c r="AD24" s="33">
        <v>161.81541160503599</v>
      </c>
      <c r="AE24" s="15">
        <v>4.6388318735351999E-2</v>
      </c>
      <c r="AF24" s="15">
        <v>-3.2569588429129902E-2</v>
      </c>
      <c r="AG24" s="15">
        <v>-4.5747497551788301E-2</v>
      </c>
      <c r="AI24" s="12"/>
      <c r="AJ24">
        <f t="shared" si="6"/>
        <v>1</v>
      </c>
      <c r="AK24">
        <f t="shared" si="7"/>
        <v>0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-2.2161207701610502E-3</v>
      </c>
      <c r="AP24" s="28">
        <f t="shared" si="9"/>
        <v>-2.6601262989397502E-3</v>
      </c>
      <c r="AQ24" s="28">
        <f t="shared" si="16"/>
        <v>-4.8762470691008E-3</v>
      </c>
      <c r="AR24" s="29">
        <f t="shared" si="17"/>
        <v>-2.1023155857199168E-2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-4.8762470691008E-3</v>
      </c>
      <c r="BF24" s="29">
        <f t="shared" si="23"/>
        <v>-2.1023155857199168E-2</v>
      </c>
      <c r="BH24" s="29"/>
    </row>
    <row r="25" spans="1:124" x14ac:dyDescent="0.25">
      <c r="A25" s="1">
        <v>46058</v>
      </c>
      <c r="B25" s="33">
        <v>101.89</v>
      </c>
      <c r="C25" s="33">
        <v>168.37</v>
      </c>
      <c r="D25" s="15">
        <v>-1.7318977348826699E-2</v>
      </c>
      <c r="E25" s="15">
        <v>-6.03980992858203E-3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101.89</v>
      </c>
      <c r="M25" s="33">
        <v>168.37</v>
      </c>
      <c r="N25" s="34">
        <v>1.65246834821866</v>
      </c>
      <c r="O25" s="34">
        <v>1.71162160919586</v>
      </c>
      <c r="P25" s="34">
        <v>1.5953571204838699</v>
      </c>
      <c r="Q25" s="34">
        <v>1.5719314729249301</v>
      </c>
      <c r="R25" s="33">
        <v>174.39712576096599</v>
      </c>
      <c r="S25" s="33">
        <v>161.700659607543</v>
      </c>
      <c r="T25" s="33">
        <v>159.494092466333</v>
      </c>
      <c r="U25" s="15">
        <v>3.5171091940959902E-2</v>
      </c>
      <c r="V25" s="15">
        <v>-4.0417092889381299E-2</v>
      </c>
      <c r="W25" s="15">
        <v>-5.4157054959357798E-2</v>
      </c>
      <c r="X25" s="34">
        <v>1.65246834821866</v>
      </c>
      <c r="Y25" s="34">
        <v>1.71151559356553</v>
      </c>
      <c r="Z25" s="34">
        <v>1.5953571204838699</v>
      </c>
      <c r="AA25" s="34">
        <v>1.5719314729249301</v>
      </c>
      <c r="AB25" s="33">
        <v>174.38632382839199</v>
      </c>
      <c r="AC25" s="33">
        <v>161.700659607543</v>
      </c>
      <c r="AD25" s="33">
        <v>159.494092466333</v>
      </c>
      <c r="AE25" s="15">
        <v>3.5109151315107098E-2</v>
      </c>
      <c r="AF25" s="15">
        <v>-4.0417092889381299E-2</v>
      </c>
      <c r="AG25" s="15">
        <v>-5.4157054959357798E-2</v>
      </c>
      <c r="AI25" s="12"/>
      <c r="AJ25">
        <f t="shared" si="6"/>
        <v>1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-1.7318977348826699E-2</v>
      </c>
      <c r="AP25" s="28">
        <f t="shared" si="9"/>
        <v>6.03980992858203E-3</v>
      </c>
      <c r="AQ25" s="28">
        <f t="shared" si="16"/>
        <v>-1.1279167420244669E-2</v>
      </c>
      <c r="AR25" s="29">
        <f t="shared" si="17"/>
        <v>-3.230232327744384E-2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-1.1279167420244669E-2</v>
      </c>
      <c r="BF25" s="29">
        <f t="shared" si="23"/>
        <v>-3.230232327744384E-2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103.14</v>
      </c>
      <c r="C26" s="33">
        <v>173.18</v>
      </c>
      <c r="D26" s="15">
        <v>1.2193488636618999E-2</v>
      </c>
      <c r="E26" s="15">
        <v>2.8167577349946901E-2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103.14</v>
      </c>
      <c r="M26" s="33">
        <v>173.18</v>
      </c>
      <c r="N26" s="34">
        <v>1.6790769827419001</v>
      </c>
      <c r="O26" s="34">
        <v>1.71162160919586</v>
      </c>
      <c r="P26" s="34">
        <v>1.6080327552359901</v>
      </c>
      <c r="Q26" s="34">
        <v>1.5803904125597601</v>
      </c>
      <c r="R26" s="33">
        <v>176.536652772461</v>
      </c>
      <c r="S26" s="33">
        <v>164.54513340670701</v>
      </c>
      <c r="T26" s="33">
        <v>162.129012117477</v>
      </c>
      <c r="U26" s="15">
        <v>1.91970032276318E-2</v>
      </c>
      <c r="V26" s="15">
        <v>-5.1146616232004699E-2</v>
      </c>
      <c r="W26" s="15">
        <v>-6.5939126626934894E-2</v>
      </c>
      <c r="X26" s="34">
        <v>1.6790769827419001</v>
      </c>
      <c r="Y26" s="34">
        <v>1.71151559356553</v>
      </c>
      <c r="Z26" s="34">
        <v>1.6080327552359901</v>
      </c>
      <c r="AA26" s="34">
        <v>1.5803904125597601</v>
      </c>
      <c r="AB26" s="33">
        <v>176.525718320349</v>
      </c>
      <c r="AC26" s="33">
        <v>164.54513340670701</v>
      </c>
      <c r="AD26" s="33">
        <v>162.129012117477</v>
      </c>
      <c r="AE26" s="15">
        <v>1.9135062601779398E-2</v>
      </c>
      <c r="AF26" s="15">
        <v>-5.1146616232004699E-2</v>
      </c>
      <c r="AG26" s="15">
        <v>-6.5939126626934894E-2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1.2193488636618999E-2</v>
      </c>
      <c r="AP26" s="28">
        <f t="shared" si="9"/>
        <v>-2.8167577349946901E-2</v>
      </c>
      <c r="AQ26" s="28">
        <f t="shared" si="16"/>
        <v>-1.5974088713327901E-2</v>
      </c>
      <c r="AR26" s="29">
        <f t="shared" si="17"/>
        <v>-4.8276411990771741E-2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-1.5974088713327901E-2</v>
      </c>
      <c r="BF26" s="29">
        <f t="shared" si="23"/>
        <v>-4.8276411990771741E-2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102.66</v>
      </c>
      <c r="C27" s="33">
        <v>173.7</v>
      </c>
      <c r="D27" s="15">
        <v>-4.6647314906558398E-3</v>
      </c>
      <c r="E27" s="15">
        <v>2.9981572274039E-3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102.66</v>
      </c>
      <c r="M27" s="33">
        <v>173.7</v>
      </c>
      <c r="N27" s="34">
        <v>1.69199298655756</v>
      </c>
      <c r="O27" s="34">
        <v>1.71162160919586</v>
      </c>
      <c r="P27" s="34">
        <v>1.6211553353197801</v>
      </c>
      <c r="Q27" s="34">
        <v>1.5892935398233199</v>
      </c>
      <c r="R27" s="33">
        <v>175.715074400047</v>
      </c>
      <c r="S27" s="33">
        <v>165.08064265252699</v>
      </c>
      <c r="T27" s="33">
        <v>162.24287975338501</v>
      </c>
      <c r="U27" s="15">
        <v>1.15341145095721E-2</v>
      </c>
      <c r="V27" s="15">
        <v>-5.0895575393957698E-2</v>
      </c>
      <c r="W27" s="15">
        <v>-6.8235203042536802E-2</v>
      </c>
      <c r="X27" s="34">
        <v>1.69199298655756</v>
      </c>
      <c r="Y27" s="34">
        <v>1.71151559356553</v>
      </c>
      <c r="Z27" s="34">
        <v>1.6211553353197801</v>
      </c>
      <c r="AA27" s="34">
        <v>1.5892935398233199</v>
      </c>
      <c r="AB27" s="33">
        <v>175.704190835438</v>
      </c>
      <c r="AC27" s="33">
        <v>165.08064265252699</v>
      </c>
      <c r="AD27" s="33">
        <v>162.24287975338501</v>
      </c>
      <c r="AE27" s="15">
        <v>1.14721738837196E-2</v>
      </c>
      <c r="AF27" s="15">
        <v>-5.0895575393957698E-2</v>
      </c>
      <c r="AG27" s="15">
        <v>-6.8235203042536802E-2</v>
      </c>
      <c r="AI27" s="12"/>
      <c r="AJ27">
        <f t="shared" si="6"/>
        <v>1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-4.6647314906558398E-3</v>
      </c>
      <c r="AP27" s="28">
        <f t="shared" si="9"/>
        <v>-2.9981572274039E-3</v>
      </c>
      <c r="AQ27" s="28">
        <f t="shared" si="16"/>
        <v>-7.6628887180597398E-3</v>
      </c>
      <c r="AR27" s="29">
        <f t="shared" si="17"/>
        <v>-5.5939300708831477E-2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-7.6628887180597398E-3</v>
      </c>
      <c r="BF27" s="29">
        <f t="shared" si="23"/>
        <v>-5.5939300708831477E-2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103.18</v>
      </c>
      <c r="C28" s="33">
        <v>173.91</v>
      </c>
      <c r="D28" s="15">
        <v>5.0524786843468596E-3</v>
      </c>
      <c r="E28" s="15">
        <v>1.20825077269188E-3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103.18</v>
      </c>
      <c r="M28" s="33">
        <v>173.91</v>
      </c>
      <c r="N28" s="34">
        <v>1.68550106609808</v>
      </c>
      <c r="O28" s="34">
        <v>1.71162160919586</v>
      </c>
      <c r="P28" s="34">
        <v>1.6327296929994799</v>
      </c>
      <c r="Q28" s="34">
        <v>1.59733517881314</v>
      </c>
      <c r="R28" s="33">
        <v>176.60511763682899</v>
      </c>
      <c r="S28" s="33">
        <v>167.270807498295</v>
      </c>
      <c r="T28" s="33">
        <v>163.98330743897</v>
      </c>
      <c r="U28" s="15">
        <v>1.53783424212269E-2</v>
      </c>
      <c r="V28" s="15">
        <v>-3.8923823193317497E-2</v>
      </c>
      <c r="W28" s="15">
        <v>-5.8773285284601802E-2</v>
      </c>
      <c r="X28" s="34">
        <v>1.68550106609808</v>
      </c>
      <c r="Y28" s="34">
        <v>1.71151559356553</v>
      </c>
      <c r="Z28" s="34">
        <v>1.6327296929994799</v>
      </c>
      <c r="AA28" s="34">
        <v>1.59733517881314</v>
      </c>
      <c r="AB28" s="33">
        <v>176.59417894409199</v>
      </c>
      <c r="AC28" s="33">
        <v>167.270807498295</v>
      </c>
      <c r="AD28" s="33">
        <v>163.98330743897</v>
      </c>
      <c r="AE28" s="15">
        <v>1.5316401795374499E-2</v>
      </c>
      <c r="AF28" s="15">
        <v>-3.8923823193317497E-2</v>
      </c>
      <c r="AG28" s="15">
        <v>-5.8773285284601802E-2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5.0524786843468596E-3</v>
      </c>
      <c r="AP28" s="28">
        <f t="shared" si="9"/>
        <v>-1.20825077269188E-3</v>
      </c>
      <c r="AQ28" s="28">
        <f t="shared" si="16"/>
        <v>3.8442279116549793E-3</v>
      </c>
      <c r="AR28" s="29">
        <f t="shared" si="17"/>
        <v>-5.2095072797176498E-2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3.8442279116549793E-3</v>
      </c>
      <c r="BF28" s="29">
        <f t="shared" si="23"/>
        <v>-5.2095072797176498E-2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102.51</v>
      </c>
      <c r="C29" s="33">
        <v>174.84</v>
      </c>
      <c r="D29" s="15">
        <v>-6.5146810211937503E-3</v>
      </c>
      <c r="E29" s="15">
        <v>5.3333459753626003E-3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102.51</v>
      </c>
      <c r="M29" s="33">
        <v>174.84</v>
      </c>
      <c r="N29" s="34">
        <v>1.70558969856599</v>
      </c>
      <c r="O29" s="34">
        <v>1.71162160919586</v>
      </c>
      <c r="P29" s="34">
        <v>1.6459307872928599</v>
      </c>
      <c r="Q29" s="34">
        <v>1.6061031877198</v>
      </c>
      <c r="R29" s="33">
        <v>175.45833115866799</v>
      </c>
      <c r="S29" s="33">
        <v>167.37112082937699</v>
      </c>
      <c r="T29" s="33">
        <v>163.742829180135</v>
      </c>
      <c r="U29" s="15">
        <v>3.5303154246706099E-3</v>
      </c>
      <c r="V29" s="15">
        <v>-4.3657642775866E-2</v>
      </c>
      <c r="W29" s="15">
        <v>-6.5574187704964398E-2</v>
      </c>
      <c r="X29" s="34">
        <v>1.70558969856599</v>
      </c>
      <c r="Y29" s="34">
        <v>1.71151559356553</v>
      </c>
      <c r="Z29" s="34">
        <v>1.6459307872928599</v>
      </c>
      <c r="AA29" s="34">
        <v>1.6061031877198</v>
      </c>
      <c r="AB29" s="33">
        <v>175.447463496403</v>
      </c>
      <c r="AC29" s="33">
        <v>167.37112082937699</v>
      </c>
      <c r="AD29" s="33">
        <v>163.742829180135</v>
      </c>
      <c r="AE29" s="15">
        <v>3.4683747988179798E-3</v>
      </c>
      <c r="AF29" s="15">
        <v>-4.3657642775866E-2</v>
      </c>
      <c r="AG29" s="15">
        <v>-6.5574187704964398E-2</v>
      </c>
      <c r="AI29" s="12"/>
      <c r="AJ29">
        <f t="shared" si="6"/>
        <v>1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-6.5146810211937503E-3</v>
      </c>
      <c r="AP29" s="28">
        <f t="shared" si="9"/>
        <v>-5.3333459753626003E-3</v>
      </c>
      <c r="AQ29" s="28">
        <f t="shared" si="16"/>
        <v>-1.1848026996556351E-2</v>
      </c>
      <c r="AR29" s="29">
        <f t="shared" si="17"/>
        <v>-6.3943099793732847E-2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-1.1848026996556351E-2</v>
      </c>
      <c r="BF29" s="29">
        <f t="shared" si="23"/>
        <v>-6.3943099793732847E-2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101.1</v>
      </c>
      <c r="C30" s="33">
        <v>172.75</v>
      </c>
      <c r="D30" s="15">
        <v>-1.38502287688845E-2</v>
      </c>
      <c r="E30" s="15">
        <v>-1.2025807347334499E-2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101.1</v>
      </c>
      <c r="M30" s="33">
        <v>172.75</v>
      </c>
      <c r="N30" s="34">
        <v>1.7087042532146299</v>
      </c>
      <c r="O30" s="34">
        <v>1.71162160919586</v>
      </c>
      <c r="P30" s="34">
        <v>1.6576570944028499</v>
      </c>
      <c r="Q30" s="34">
        <v>1.61407447507637</v>
      </c>
      <c r="R30" s="33">
        <v>173.044944689701</v>
      </c>
      <c r="S30" s="33">
        <v>166.403602595308</v>
      </c>
      <c r="T30" s="33">
        <v>162.37703227847101</v>
      </c>
      <c r="U30" s="15">
        <v>1.7058940031205801E-3</v>
      </c>
      <c r="V30" s="15">
        <v>-3.7429284282842902E-2</v>
      </c>
      <c r="W30" s="15">
        <v>-6.19244717786228E-2</v>
      </c>
      <c r="X30" s="34">
        <v>1.7087042532146299</v>
      </c>
      <c r="Y30" s="34">
        <v>1.71151559356553</v>
      </c>
      <c r="Z30" s="34">
        <v>1.6576570944028499</v>
      </c>
      <c r="AA30" s="34">
        <v>1.61407447507637</v>
      </c>
      <c r="AB30" s="33">
        <v>173.03422650947601</v>
      </c>
      <c r="AC30" s="33">
        <v>166.403602595308</v>
      </c>
      <c r="AD30" s="33">
        <v>162.37703227847101</v>
      </c>
      <c r="AE30" s="15">
        <v>1.64395337726813E-3</v>
      </c>
      <c r="AF30" s="15">
        <v>-3.7429284282842902E-2</v>
      </c>
      <c r="AG30" s="15">
        <v>-6.19244717786228E-2</v>
      </c>
      <c r="AI30" s="12"/>
      <c r="AJ30">
        <f t="shared" si="6"/>
        <v>1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-1.38502287688845E-2</v>
      </c>
      <c r="AP30" s="28">
        <f t="shared" si="9"/>
        <v>1.2025807347334499E-2</v>
      </c>
      <c r="AQ30" s="28">
        <f t="shared" si="16"/>
        <v>-1.8244214215500012E-3</v>
      </c>
      <c r="AR30" s="29">
        <f t="shared" si="17"/>
        <v>-6.5767521215282843E-2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-1.8244214215500012E-3</v>
      </c>
      <c r="BF30" s="29">
        <f t="shared" si="23"/>
        <v>-6.5767521215282843E-2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101.47</v>
      </c>
      <c r="C31" s="33">
        <v>174.17</v>
      </c>
      <c r="D31" s="15">
        <v>3.6530622645657498E-3</v>
      </c>
      <c r="E31" s="15">
        <v>8.1863710959142605E-3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101.47</v>
      </c>
      <c r="M31" s="33">
        <v>174.17</v>
      </c>
      <c r="N31" s="34">
        <v>1.71646792155316</v>
      </c>
      <c r="O31" s="34">
        <v>1.71162160919586</v>
      </c>
      <c r="P31" s="34">
        <v>1.6699665081511501</v>
      </c>
      <c r="Q31" s="34">
        <v>1.62194978012525</v>
      </c>
      <c r="R31" s="33">
        <v>173.678244685104</v>
      </c>
      <c r="S31" s="33">
        <v>168.20246536905699</v>
      </c>
      <c r="T31" s="33">
        <v>163.78013698599901</v>
      </c>
      <c r="U31" s="15">
        <v>-2.8274148282276899E-3</v>
      </c>
      <c r="V31" s="15">
        <v>-3.48634289456922E-2</v>
      </c>
      <c r="W31" s="15">
        <v>-6.1506933499511897E-2</v>
      </c>
      <c r="X31" s="34">
        <v>1.71646792155316</v>
      </c>
      <c r="Y31" s="34">
        <v>1.71151559356553</v>
      </c>
      <c r="Z31" s="34">
        <v>1.6699665081511501</v>
      </c>
      <c r="AA31" s="34">
        <v>1.62194978012525</v>
      </c>
      <c r="AB31" s="33">
        <v>173.66748727909501</v>
      </c>
      <c r="AC31" s="33">
        <v>168.20246536905699</v>
      </c>
      <c r="AD31" s="33">
        <v>163.78013698599901</v>
      </c>
      <c r="AE31" s="15">
        <v>-2.88935545408029E-3</v>
      </c>
      <c r="AF31" s="15">
        <v>-3.48634289456922E-2</v>
      </c>
      <c r="AG31" s="15">
        <v>-6.1506933499511897E-2</v>
      </c>
      <c r="AI31" s="12"/>
      <c r="AJ31">
        <f t="shared" si="6"/>
        <v>1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3.6530622645657498E-3</v>
      </c>
      <c r="AP31" s="28">
        <f t="shared" si="9"/>
        <v>-8.1863710959142605E-3</v>
      </c>
      <c r="AQ31" s="28">
        <f t="shared" si="16"/>
        <v>-4.5333088313485106E-3</v>
      </c>
      <c r="AR31" s="29">
        <f t="shared" si="17"/>
        <v>-7.0300830046631346E-2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-4.5333088313485106E-3</v>
      </c>
      <c r="BF31" s="29">
        <f t="shared" si="23"/>
        <v>-7.0300830046631346E-2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101.41</v>
      </c>
      <c r="C32" s="33">
        <v>175.08</v>
      </c>
      <c r="D32" s="15">
        <v>-5.9148266708655998E-4</v>
      </c>
      <c r="E32" s="15">
        <v>5.2111785790012501E-3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101.41</v>
      </c>
      <c r="M32" s="33">
        <v>175.08</v>
      </c>
      <c r="N32" s="34">
        <v>1.7264569569076</v>
      </c>
      <c r="O32" s="34">
        <v>1.71162160919586</v>
      </c>
      <c r="P32" s="34">
        <v>1.68261793395365</v>
      </c>
      <c r="Q32" s="34">
        <v>1.6295462128762901</v>
      </c>
      <c r="R32" s="33">
        <v>173.575547388552</v>
      </c>
      <c r="S32" s="33">
        <v>169.351303591608</v>
      </c>
      <c r="T32" s="33">
        <v>164.48192720250199</v>
      </c>
      <c r="U32" s="15">
        <v>-8.6300760743153893E-3</v>
      </c>
      <c r="V32" s="15">
        <v>-3.3267735470537199E-2</v>
      </c>
      <c r="W32" s="15">
        <v>-6.2442313183253703E-2</v>
      </c>
      <c r="X32" s="34">
        <v>1.7264569569076</v>
      </c>
      <c r="Y32" s="34">
        <v>1.71151559356553</v>
      </c>
      <c r="Z32" s="34">
        <v>1.68261793395365</v>
      </c>
      <c r="AA32" s="34">
        <v>1.6295462128762901</v>
      </c>
      <c r="AB32" s="33">
        <v>173.56479634348099</v>
      </c>
      <c r="AC32" s="33">
        <v>169.351303591608</v>
      </c>
      <c r="AD32" s="33">
        <v>164.48192720250199</v>
      </c>
      <c r="AE32" s="15">
        <v>-8.6920167001680107E-3</v>
      </c>
      <c r="AF32" s="15">
        <v>-3.3267735470537199E-2</v>
      </c>
      <c r="AG32" s="15">
        <v>-6.2442313183253703E-2</v>
      </c>
      <c r="AI32" s="12"/>
      <c r="AJ32">
        <f t="shared" si="6"/>
        <v>1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-5.9148266708655998E-4</v>
      </c>
      <c r="AP32" s="28">
        <f t="shared" si="9"/>
        <v>-5.2111785790012501E-3</v>
      </c>
      <c r="AQ32" s="28">
        <f t="shared" si="16"/>
        <v>-5.8026612460878105E-3</v>
      </c>
      <c r="AR32" s="29">
        <f t="shared" si="17"/>
        <v>-7.610349129271915E-2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-5.8026612460878105E-3</v>
      </c>
      <c r="BF32" s="29">
        <f t="shared" si="23"/>
        <v>-7.610349129271915E-2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102.19</v>
      </c>
      <c r="C33" s="33">
        <v>175.04</v>
      </c>
      <c r="D33" s="15">
        <v>7.6621200002126898E-3</v>
      </c>
      <c r="E33" s="15">
        <v>-2.2849308907832501E-4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102.19</v>
      </c>
      <c r="M33" s="33">
        <v>175.04</v>
      </c>
      <c r="N33" s="34">
        <v>1.71288775809766</v>
      </c>
      <c r="O33" s="34">
        <v>1.71162160919586</v>
      </c>
      <c r="P33" s="34">
        <v>1.69130805721289</v>
      </c>
      <c r="Q33" s="34">
        <v>1.63644168428305</v>
      </c>
      <c r="R33" s="33">
        <v>174.91061224372501</v>
      </c>
      <c r="S33" s="33">
        <v>171.94672667072399</v>
      </c>
      <c r="T33" s="33">
        <v>166.52332749382799</v>
      </c>
      <c r="U33" s="15">
        <v>-7.3946298502441303E-4</v>
      </c>
      <c r="V33" s="15">
        <v>-1.7829819054572298E-2</v>
      </c>
      <c r="W33" s="15">
        <v>-4.9879114558875302E-2</v>
      </c>
      <c r="X33" s="34">
        <v>1.71288775809766</v>
      </c>
      <c r="Y33" s="34">
        <v>1.71151559356553</v>
      </c>
      <c r="Z33" s="34">
        <v>1.69130805721289</v>
      </c>
      <c r="AA33" s="34">
        <v>1.63644168428305</v>
      </c>
      <c r="AB33" s="33">
        <v>174.89977850646201</v>
      </c>
      <c r="AC33" s="33">
        <v>171.94672667072399</v>
      </c>
      <c r="AD33" s="33">
        <v>166.52332749382799</v>
      </c>
      <c r="AE33" s="15">
        <v>-8.0140361087689899E-4</v>
      </c>
      <c r="AF33" s="15">
        <v>-1.7829819054572298E-2</v>
      </c>
      <c r="AG33" s="15">
        <v>-4.9879114558875302E-2</v>
      </c>
      <c r="AI33" s="12"/>
      <c r="AJ33">
        <f t="shared" si="6"/>
        <v>1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7.6621200002126898E-3</v>
      </c>
      <c r="AP33" s="28">
        <f t="shared" si="9"/>
        <v>2.2849308907832501E-4</v>
      </c>
      <c r="AQ33" s="28">
        <f t="shared" si="16"/>
        <v>7.890613089291015E-3</v>
      </c>
      <c r="AR33" s="29">
        <f t="shared" si="17"/>
        <v>-6.821287820342814E-2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7.890613089291015E-3</v>
      </c>
      <c r="BF33" s="29">
        <f t="shared" si="23"/>
        <v>-6.821287820342814E-2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101.39</v>
      </c>
      <c r="C34" s="33">
        <v>176.34</v>
      </c>
      <c r="D34" s="15">
        <v>-7.8593586596292699E-3</v>
      </c>
      <c r="E34" s="15">
        <v>7.3994304252647204E-3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101.39</v>
      </c>
      <c r="M34" s="33">
        <v>176.34</v>
      </c>
      <c r="N34" s="34">
        <v>1.7392247756188901</v>
      </c>
      <c r="O34" s="34">
        <v>1.71162160919586</v>
      </c>
      <c r="P34" s="34">
        <v>1.7018370747574101</v>
      </c>
      <c r="Q34" s="34">
        <v>1.6444245713739101</v>
      </c>
      <c r="R34" s="33">
        <v>173.54131495636801</v>
      </c>
      <c r="S34" s="33">
        <v>171.481723920815</v>
      </c>
      <c r="T34" s="33">
        <v>165.91882236945901</v>
      </c>
      <c r="U34" s="15">
        <v>-1.5998252069918201E-2</v>
      </c>
      <c r="V34" s="15">
        <v>-2.79372547908396E-2</v>
      </c>
      <c r="W34" s="15">
        <v>-6.0915302783255999E-2</v>
      </c>
      <c r="X34" s="34">
        <v>1.7392247756188901</v>
      </c>
      <c r="Y34" s="34">
        <v>1.71151559356553</v>
      </c>
      <c r="Z34" s="34">
        <v>1.7018370747574101</v>
      </c>
      <c r="AA34" s="34">
        <v>1.6444245713739101</v>
      </c>
      <c r="AB34" s="33">
        <v>173.53056603160999</v>
      </c>
      <c r="AC34" s="33">
        <v>171.481723920815</v>
      </c>
      <c r="AD34" s="33">
        <v>165.91882236945901</v>
      </c>
      <c r="AE34" s="15">
        <v>-1.60601926957708E-2</v>
      </c>
      <c r="AF34" s="15">
        <v>-2.79372547908396E-2</v>
      </c>
      <c r="AG34" s="15">
        <v>-6.0915302783255999E-2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-7.8593586596292699E-3</v>
      </c>
      <c r="AP34" s="28">
        <f t="shared" si="9"/>
        <v>-7.3994304252647204E-3</v>
      </c>
      <c r="AQ34" s="28">
        <f t="shared" si="16"/>
        <v>-1.5258789084893989E-2</v>
      </c>
      <c r="AR34" s="29">
        <f t="shared" si="17"/>
        <v>-8.3471667288322129E-2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-1.5258789084893989E-2</v>
      </c>
      <c r="BF34" s="29">
        <f t="shared" si="23"/>
        <v>-8.3471667288322129E-2</v>
      </c>
      <c r="BH34" s="29"/>
    </row>
    <row r="35" spans="1:124" x14ac:dyDescent="0.25">
      <c r="A35" s="1">
        <v>46073</v>
      </c>
      <c r="B35" s="33">
        <v>102.27</v>
      </c>
      <c r="C35" s="33">
        <v>177.23</v>
      </c>
      <c r="D35" s="15">
        <v>8.6419078534330403E-3</v>
      </c>
      <c r="E35" s="15">
        <v>5.03437440816722E-3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102.27</v>
      </c>
      <c r="M35" s="33">
        <v>177.23</v>
      </c>
      <c r="N35" s="34">
        <v>1.7329617678693601</v>
      </c>
      <c r="O35" s="34">
        <v>1.71162160919586</v>
      </c>
      <c r="P35" s="34">
        <v>1.7098864167224801</v>
      </c>
      <c r="Q35" s="34">
        <v>1.6526217686031801</v>
      </c>
      <c r="R35" s="33">
        <v>175.047541972461</v>
      </c>
      <c r="S35" s="33">
        <v>174.04687763544101</v>
      </c>
      <c r="T35" s="33">
        <v>168.17530091441</v>
      </c>
      <c r="U35" s="15">
        <v>-1.23907186246525E-2</v>
      </c>
      <c r="V35" s="15">
        <v>-1.8123649439396001E-2</v>
      </c>
      <c r="W35" s="15">
        <v>-5.24414308636219E-2</v>
      </c>
      <c r="X35" s="34">
        <v>1.7329617678693601</v>
      </c>
      <c r="Y35" s="34">
        <v>1.71151559356553</v>
      </c>
      <c r="Z35" s="34">
        <v>1.7098864167224801</v>
      </c>
      <c r="AA35" s="34">
        <v>1.6526217686031801</v>
      </c>
      <c r="AB35" s="33">
        <v>175.036699753947</v>
      </c>
      <c r="AC35" s="33">
        <v>174.04687763544101</v>
      </c>
      <c r="AD35" s="33">
        <v>168.17530091441</v>
      </c>
      <c r="AE35" s="15">
        <v>-1.2452659250505101E-2</v>
      </c>
      <c r="AF35" s="15">
        <v>-1.8123649439396001E-2</v>
      </c>
      <c r="AG35" s="15">
        <v>-5.24414308636219E-2</v>
      </c>
      <c r="AI35" s="12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8.6419078534330403E-3</v>
      </c>
      <c r="AP35" s="28">
        <f t="shared" si="9"/>
        <v>-5.03437440816722E-3</v>
      </c>
      <c r="AQ35" s="28">
        <f t="shared" si="16"/>
        <v>3.6075334452658203E-3</v>
      </c>
      <c r="AR35" s="29">
        <f t="shared" si="17"/>
        <v>-7.9864133843056309E-2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3.6075334452658203E-3</v>
      </c>
      <c r="BF35" s="29">
        <f t="shared" si="23"/>
        <v>-7.9864133843056309E-2</v>
      </c>
      <c r="BH35" s="29"/>
    </row>
    <row r="36" spans="1:124" x14ac:dyDescent="0.25">
      <c r="A36" s="1">
        <v>46076</v>
      </c>
      <c r="B36" s="33">
        <v>100.33</v>
      </c>
      <c r="C36" s="33">
        <v>174.83</v>
      </c>
      <c r="D36" s="15">
        <v>-1.91516218804E-2</v>
      </c>
      <c r="E36" s="15">
        <v>-1.36342508574906E-2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100.33</v>
      </c>
      <c r="M36" s="33">
        <v>174.83</v>
      </c>
      <c r="N36" s="34">
        <v>1.74254958636499</v>
      </c>
      <c r="O36" s="34">
        <v>1.71162160919586</v>
      </c>
      <c r="P36" s="34">
        <v>1.7162336770847899</v>
      </c>
      <c r="Q36" s="34">
        <v>1.6621332161603899</v>
      </c>
      <c r="R36" s="33">
        <v>171.72699605062101</v>
      </c>
      <c r="S36" s="33">
        <v>171.55290418976699</v>
      </c>
      <c r="T36" s="33">
        <v>165.807542043957</v>
      </c>
      <c r="U36" s="15">
        <v>-1.7908089647561999E-2</v>
      </c>
      <c r="V36" s="15">
        <v>-1.8922374932876001E-2</v>
      </c>
      <c r="W36" s="15">
        <v>-5.2986342737414802E-2</v>
      </c>
      <c r="X36" s="34">
        <v>1.74254958636499</v>
      </c>
      <c r="Y36" s="34">
        <v>1.71151559356553</v>
      </c>
      <c r="Z36" s="34">
        <v>1.7162336770847899</v>
      </c>
      <c r="AA36" s="34">
        <v>1.6621332161603899</v>
      </c>
      <c r="AB36" s="33">
        <v>171.71635950243001</v>
      </c>
      <c r="AC36" s="33">
        <v>171.55290418976699</v>
      </c>
      <c r="AD36" s="33">
        <v>165.807542043957</v>
      </c>
      <c r="AE36" s="15">
        <v>-1.7970030273414501E-2</v>
      </c>
      <c r="AF36" s="15">
        <v>-1.8922374932876001E-2</v>
      </c>
      <c r="AG36" s="15">
        <v>-5.2986342737414802E-2</v>
      </c>
      <c r="AI36" s="12"/>
      <c r="AJ36">
        <f t="shared" si="6"/>
        <v>1</v>
      </c>
      <c r="AK36">
        <f t="shared" si="7"/>
        <v>0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-1.91516218804E-2</v>
      </c>
      <c r="AP36" s="28">
        <f t="shared" si="9"/>
        <v>1.36342508574906E-2</v>
      </c>
      <c r="AQ36" s="28">
        <f t="shared" si="16"/>
        <v>-5.5173710229094002E-3</v>
      </c>
      <c r="AR36" s="29">
        <f t="shared" si="17"/>
        <v>-8.5381504865965713E-2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-5.5173710229094002E-3</v>
      </c>
      <c r="BF36" s="29">
        <f t="shared" si="23"/>
        <v>-8.5381504865965713E-2</v>
      </c>
      <c r="BH36" s="29"/>
    </row>
    <row r="37" spans="1:124" x14ac:dyDescent="0.25">
      <c r="A37" s="1">
        <v>46077</v>
      </c>
      <c r="B37" s="33">
        <v>101.81</v>
      </c>
      <c r="C37" s="33">
        <v>176.98</v>
      </c>
      <c r="D37" s="15">
        <v>1.4643578181582999E-2</v>
      </c>
      <c r="E37" s="15">
        <v>1.22226586296464E-2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101.81</v>
      </c>
      <c r="M37" s="33">
        <v>176.98</v>
      </c>
      <c r="N37" s="34">
        <v>1.7383361162950499</v>
      </c>
      <c r="O37" s="34">
        <v>1.71162160919586</v>
      </c>
      <c r="P37" s="34">
        <v>1.72086799005854</v>
      </c>
      <c r="Q37" s="34">
        <v>1.67101166268916</v>
      </c>
      <c r="R37" s="33">
        <v>174.26019603223</v>
      </c>
      <c r="S37" s="33">
        <v>174.72975066400301</v>
      </c>
      <c r="T37" s="33">
        <v>169.221782737289</v>
      </c>
      <c r="U37" s="15">
        <v>-1.54871700956254E-2</v>
      </c>
      <c r="V37" s="15">
        <v>-1.2796233468024099E-2</v>
      </c>
      <c r="W37" s="15">
        <v>-4.4826553371218103E-2</v>
      </c>
      <c r="X37" s="34">
        <v>1.7383361162950499</v>
      </c>
      <c r="Y37" s="34">
        <v>1.71151559356553</v>
      </c>
      <c r="Z37" s="34">
        <v>1.72086799005854</v>
      </c>
      <c r="AA37" s="34">
        <v>1.67101166268916</v>
      </c>
      <c r="AB37" s="33">
        <v>174.249402580907</v>
      </c>
      <c r="AC37" s="33">
        <v>174.72975066400301</v>
      </c>
      <c r="AD37" s="33">
        <v>169.221782737289</v>
      </c>
      <c r="AE37" s="15">
        <v>-1.55491107214779E-2</v>
      </c>
      <c r="AF37" s="15">
        <v>-1.2796233468024099E-2</v>
      </c>
      <c r="AG37" s="15">
        <v>-4.4826553371218103E-2</v>
      </c>
      <c r="AI37" s="12"/>
      <c r="AJ37">
        <f t="shared" si="6"/>
        <v>1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1.4643578181582999E-2</v>
      </c>
      <c r="AP37" s="28">
        <f t="shared" si="9"/>
        <v>-1.22226586296464E-2</v>
      </c>
      <c r="AQ37" s="28">
        <f t="shared" si="16"/>
        <v>2.4209195519365994E-3</v>
      </c>
      <c r="AR37" s="29">
        <f t="shared" si="17"/>
        <v>-8.2960585314029112E-2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2.4209195519365994E-3</v>
      </c>
      <c r="BF37" s="29">
        <f t="shared" si="23"/>
        <v>-8.2960585314029112E-2</v>
      </c>
      <c r="BH37" s="29"/>
    </row>
    <row r="38" spans="1:124" x14ac:dyDescent="0.25">
      <c r="A38" s="1">
        <v>46078</v>
      </c>
      <c r="B38" s="33">
        <v>102.11</v>
      </c>
      <c r="C38" s="33">
        <v>175.6</v>
      </c>
      <c r="D38" s="15">
        <v>2.9423324483421999E-3</v>
      </c>
      <c r="E38" s="15">
        <v>-7.8280506381877696E-3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102.11</v>
      </c>
      <c r="M38" s="33">
        <v>175.6</v>
      </c>
      <c r="N38" s="34">
        <v>1.7197140338850201</v>
      </c>
      <c r="O38" s="34">
        <v>1.71162160919586</v>
      </c>
      <c r="P38" s="34">
        <v>1.7242892868372399</v>
      </c>
      <c r="Q38" s="34">
        <v>1.6785094899183599</v>
      </c>
      <c r="R38" s="33">
        <v>174.77368251498899</v>
      </c>
      <c r="S38" s="33">
        <v>175.71783046487801</v>
      </c>
      <c r="T38" s="33">
        <v>170.62700087719</v>
      </c>
      <c r="U38" s="15">
        <v>-4.71678700909532E-3</v>
      </c>
      <c r="V38" s="15">
        <v>6.7079128400905597E-4</v>
      </c>
      <c r="W38" s="15">
        <v>-2.8728788577785099E-2</v>
      </c>
      <c r="X38" s="34">
        <v>1.7197140338850201</v>
      </c>
      <c r="Y38" s="34">
        <v>1.71151559356553</v>
      </c>
      <c r="Z38" s="34">
        <v>1.7242892868372399</v>
      </c>
      <c r="AA38" s="34">
        <v>1.6785094899183599</v>
      </c>
      <c r="AB38" s="33">
        <v>174.76285725897699</v>
      </c>
      <c r="AC38" s="33">
        <v>175.71783046487801</v>
      </c>
      <c r="AD38" s="33">
        <v>170.62700087719</v>
      </c>
      <c r="AE38" s="15">
        <v>-4.7787276349478599E-3</v>
      </c>
      <c r="AF38" s="15">
        <v>6.7079128400905597E-4</v>
      </c>
      <c r="AG38" s="15">
        <v>-2.8728788577785099E-2</v>
      </c>
      <c r="AI38" s="12"/>
      <c r="AJ38">
        <f t="shared" si="6"/>
        <v>1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2.9423324483421999E-3</v>
      </c>
      <c r="AP38" s="28">
        <f t="shared" si="9"/>
        <v>7.8280506381877696E-3</v>
      </c>
      <c r="AQ38" s="28">
        <f t="shared" si="16"/>
        <v>1.0770383086529969E-2</v>
      </c>
      <c r="AR38" s="29">
        <f t="shared" si="17"/>
        <v>-7.219020222749914E-2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1.0770383086529969E-2</v>
      </c>
      <c r="BF38" s="29">
        <f t="shared" si="23"/>
        <v>-7.219020222749914E-2</v>
      </c>
      <c r="BH38" s="29"/>
    </row>
    <row r="39" spans="1:124" x14ac:dyDescent="0.25">
      <c r="A39" s="1">
        <v>46079</v>
      </c>
      <c r="B39" s="33">
        <v>102.62</v>
      </c>
      <c r="C39" s="33">
        <v>176.7</v>
      </c>
      <c r="D39" s="15">
        <v>4.9821819463722397E-3</v>
      </c>
      <c r="E39" s="15">
        <v>6.2446981246343297E-3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102.62</v>
      </c>
      <c r="M39" s="33">
        <v>176.7</v>
      </c>
      <c r="N39" s="34">
        <v>1.72188657181835</v>
      </c>
      <c r="O39" s="34">
        <v>1.71162160919586</v>
      </c>
      <c r="P39" s="34">
        <v>1.7259189741624701</v>
      </c>
      <c r="Q39" s="34">
        <v>1.6859248807276701</v>
      </c>
      <c r="R39" s="33">
        <v>175.646609535679</v>
      </c>
      <c r="S39" s="33">
        <v>176.946566615237</v>
      </c>
      <c r="T39" s="33">
        <v>172.24864385542199</v>
      </c>
      <c r="U39" s="15">
        <v>-5.9793031873575202E-3</v>
      </c>
      <c r="V39" s="15">
        <v>1.3944241424423401E-3</v>
      </c>
      <c r="W39" s="15">
        <v>-2.5514342580886799E-2</v>
      </c>
      <c r="X39" s="34">
        <v>1.72188657181835</v>
      </c>
      <c r="Y39" s="34">
        <v>1.71151559356553</v>
      </c>
      <c r="Z39" s="34">
        <v>1.7259189741624701</v>
      </c>
      <c r="AA39" s="34">
        <v>1.6859248807276701</v>
      </c>
      <c r="AB39" s="33">
        <v>175.63573021169501</v>
      </c>
      <c r="AC39" s="33">
        <v>176.946566615237</v>
      </c>
      <c r="AD39" s="33">
        <v>172.24864385542199</v>
      </c>
      <c r="AE39" s="15">
        <v>-6.0412438132100496E-3</v>
      </c>
      <c r="AF39" s="15">
        <v>1.3944241424423401E-3</v>
      </c>
      <c r="AG39" s="15">
        <v>-2.5514342580886799E-2</v>
      </c>
      <c r="AI39" s="12"/>
      <c r="AJ39">
        <f t="shared" si="6"/>
        <v>1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4.9821819463722397E-3</v>
      </c>
      <c r="AP39" s="28">
        <f t="shared" si="9"/>
        <v>-6.2446981246343297E-3</v>
      </c>
      <c r="AQ39" s="28">
        <f t="shared" si="16"/>
        <v>-1.26251617826209E-3</v>
      </c>
      <c r="AR39" s="29">
        <f t="shared" si="17"/>
        <v>-7.345271840576123E-2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-1.26251617826209E-3</v>
      </c>
      <c r="BF39" s="29">
        <f t="shared" si="23"/>
        <v>-7.345271840576123E-2</v>
      </c>
      <c r="BH39" s="29"/>
    </row>
    <row r="40" spans="1:124" x14ac:dyDescent="0.25">
      <c r="A40" s="1">
        <v>46080</v>
      </c>
      <c r="B40" s="33">
        <v>103.17</v>
      </c>
      <c r="C40" s="33">
        <v>177.14</v>
      </c>
      <c r="D40" s="15">
        <v>5.3452675984657898E-3</v>
      </c>
      <c r="E40" s="15">
        <v>2.4870010557861998E-3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103.17</v>
      </c>
      <c r="M40" s="33">
        <v>177.14</v>
      </c>
      <c r="N40" s="34">
        <v>1.7169719879809999</v>
      </c>
      <c r="O40" s="34">
        <v>1.71162160919586</v>
      </c>
      <c r="P40" s="34">
        <v>1.7267457476391099</v>
      </c>
      <c r="Q40" s="34">
        <v>1.6922014210209799</v>
      </c>
      <c r="R40" s="33">
        <v>176.58800142073699</v>
      </c>
      <c r="S40" s="33">
        <v>178.06306056434201</v>
      </c>
      <c r="T40" s="33">
        <v>173.93686994467299</v>
      </c>
      <c r="U40" s="15">
        <v>-3.12103664467815E-3</v>
      </c>
      <c r="V40" s="15">
        <v>5.1973800042321898E-3</v>
      </c>
      <c r="W40" s="15">
        <v>-1.8247963410626601E-2</v>
      </c>
      <c r="X40" s="34">
        <v>1.7169719879809999</v>
      </c>
      <c r="Y40" s="34">
        <v>1.71151559356553</v>
      </c>
      <c r="Z40" s="34">
        <v>1.7267457476391099</v>
      </c>
      <c r="AA40" s="34">
        <v>1.6922014210209799</v>
      </c>
      <c r="AB40" s="33">
        <v>176.57706378815601</v>
      </c>
      <c r="AC40" s="33">
        <v>178.06306056434201</v>
      </c>
      <c r="AD40" s="33">
        <v>173.93686994467299</v>
      </c>
      <c r="AE40" s="15">
        <v>-3.1829772705306201E-3</v>
      </c>
      <c r="AF40" s="15">
        <v>5.1973800042321898E-3</v>
      </c>
      <c r="AG40" s="15">
        <v>-1.8247963410626601E-2</v>
      </c>
      <c r="AI40" s="12"/>
      <c r="AJ40">
        <f t="shared" si="6"/>
        <v>0</v>
      </c>
      <c r="AK40">
        <f t="shared" si="7"/>
        <v>0</v>
      </c>
      <c r="AL40">
        <f t="shared" si="14"/>
        <v>1</v>
      </c>
      <c r="AM40">
        <f t="shared" si="4"/>
        <v>1</v>
      </c>
      <c r="AN40">
        <f t="shared" si="15"/>
        <v>1</v>
      </c>
      <c r="AO40" s="28">
        <f t="shared" si="8"/>
        <v>5.3452675984657898E-3</v>
      </c>
      <c r="AP40" s="28">
        <f t="shared" si="9"/>
        <v>-2.4870010557861998E-3</v>
      </c>
      <c r="AQ40" s="28">
        <f t="shared" si="16"/>
        <v>2.85826654267959E-3</v>
      </c>
      <c r="AR40" s="29">
        <f t="shared" si="17"/>
        <v>-7.0594451863081636E-2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2.85826654267959E-3</v>
      </c>
      <c r="BF40" s="29">
        <f t="shared" si="23"/>
        <v>-7.0594451863081636E-2</v>
      </c>
      <c r="BH40" s="29"/>
    </row>
    <row r="41" spans="1:124" x14ac:dyDescent="0.25">
      <c r="A41" s="1">
        <v>46083</v>
      </c>
      <c r="B41" s="33">
        <v>102.11</v>
      </c>
      <c r="C41" s="33">
        <v>178.9</v>
      </c>
      <c r="D41" s="15">
        <v>-1.0327449544837899E-2</v>
      </c>
      <c r="E41" s="15">
        <v>9.8866101332367295E-3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102.11</v>
      </c>
      <c r="M41" s="33">
        <v>178.9</v>
      </c>
      <c r="N41" s="34">
        <v>1.7520321222211299</v>
      </c>
      <c r="O41" s="34">
        <v>1.71162160919586</v>
      </c>
      <c r="P41" s="34">
        <v>1.7303021677059101</v>
      </c>
      <c r="Q41" s="34">
        <v>1.7001343379285301</v>
      </c>
      <c r="R41" s="33">
        <v>174.77368251498899</v>
      </c>
      <c r="S41" s="33">
        <v>176.31800829142901</v>
      </c>
      <c r="T41" s="33">
        <v>172.790687100452</v>
      </c>
      <c r="U41" s="15">
        <v>-2.3335096322752599E-2</v>
      </c>
      <c r="V41" s="15">
        <v>-1.45377606017309E-2</v>
      </c>
      <c r="W41" s="15">
        <v>-3.47460296916604E-2</v>
      </c>
      <c r="X41" s="34">
        <v>1.7520321222211299</v>
      </c>
      <c r="Y41" s="34">
        <v>1.71151559356553</v>
      </c>
      <c r="Z41" s="34">
        <v>1.7303021677059101</v>
      </c>
      <c r="AA41" s="34">
        <v>1.7001343379285301</v>
      </c>
      <c r="AB41" s="33">
        <v>174.76285725897699</v>
      </c>
      <c r="AC41" s="33">
        <v>176.31800829142901</v>
      </c>
      <c r="AD41" s="33">
        <v>172.790687100452</v>
      </c>
      <c r="AE41" s="15">
        <v>-2.3397036948605201E-2</v>
      </c>
      <c r="AF41" s="15">
        <v>-1.45377606017309E-2</v>
      </c>
      <c r="AG41" s="15">
        <v>-3.47460296916604E-2</v>
      </c>
      <c r="AI41" s="12"/>
      <c r="AJ41">
        <f t="shared" si="6"/>
        <v>1</v>
      </c>
      <c r="AK41">
        <f t="shared" si="7"/>
        <v>0</v>
      </c>
      <c r="AL41">
        <f t="shared" si="14"/>
        <v>1</v>
      </c>
      <c r="AM41">
        <f t="shared" si="4"/>
        <v>1</v>
      </c>
      <c r="AN41">
        <f t="shared" si="15"/>
        <v>1</v>
      </c>
      <c r="AO41" s="28">
        <f t="shared" si="8"/>
        <v>-1.0327449544837899E-2</v>
      </c>
      <c r="AP41" s="28">
        <f t="shared" si="9"/>
        <v>-9.8866101332367295E-3</v>
      </c>
      <c r="AQ41" s="28">
        <f t="shared" si="16"/>
        <v>-2.0214059678074631E-2</v>
      </c>
      <c r="AR41" s="29">
        <f t="shared" si="17"/>
        <v>-9.0808511541156267E-2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-2.0214059678074631E-2</v>
      </c>
      <c r="BF41" s="29">
        <f t="shared" si="23"/>
        <v>-9.0808511541156267E-2</v>
      </c>
      <c r="BH41" s="29"/>
    </row>
    <row r="42" spans="1:124" x14ac:dyDescent="0.25">
      <c r="A42" s="1">
        <v>46084</v>
      </c>
      <c r="B42" s="33">
        <v>101.64</v>
      </c>
      <c r="C42" s="33">
        <v>175.44</v>
      </c>
      <c r="D42" s="15">
        <v>-4.61350511548327E-3</v>
      </c>
      <c r="E42" s="15">
        <v>-1.9529886405040699E-2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101.64</v>
      </c>
      <c r="M42" s="33">
        <v>175.44</v>
      </c>
      <c r="N42" s="34">
        <v>1.72609208972845</v>
      </c>
      <c r="O42" s="34">
        <v>1.71162160919586</v>
      </c>
      <c r="P42" s="34">
        <v>1.7302656809879899</v>
      </c>
      <c r="Q42" s="34">
        <v>1.7064418074708201</v>
      </c>
      <c r="R42" s="33">
        <v>173.969220358667</v>
      </c>
      <c r="S42" s="33">
        <v>175.867912325628</v>
      </c>
      <c r="T42" s="33">
        <v>172.80165410705601</v>
      </c>
      <c r="U42" s="15">
        <v>-8.4187150331952298E-3</v>
      </c>
      <c r="V42" s="15">
        <v>2.4361110139610302E-3</v>
      </c>
      <c r="W42" s="15">
        <v>-1.51526754066954E-2</v>
      </c>
      <c r="X42" s="34">
        <v>1.72609208972845</v>
      </c>
      <c r="Y42" s="34">
        <v>1.71151559356553</v>
      </c>
      <c r="Z42" s="34">
        <v>1.7302656809879899</v>
      </c>
      <c r="AA42" s="34">
        <v>1.7064418074708201</v>
      </c>
      <c r="AB42" s="33">
        <v>173.95844493000101</v>
      </c>
      <c r="AC42" s="33">
        <v>175.867912325628</v>
      </c>
      <c r="AD42" s="33">
        <v>172.80165410705601</v>
      </c>
      <c r="AE42" s="15">
        <v>-8.4806556590477193E-3</v>
      </c>
      <c r="AF42" s="15">
        <v>2.4361110139610302E-3</v>
      </c>
      <c r="AG42" s="15">
        <v>-1.51526754066954E-2</v>
      </c>
      <c r="AI42" s="12"/>
      <c r="AJ42">
        <f t="shared" si="6"/>
        <v>0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-4.61350511548327E-3</v>
      </c>
      <c r="AP42" s="28">
        <f t="shared" si="9"/>
        <v>1.9529886405040699E-2</v>
      </c>
      <c r="AQ42" s="28">
        <f t="shared" si="16"/>
        <v>1.491638128955743E-2</v>
      </c>
      <c r="AR42" s="29">
        <f t="shared" si="17"/>
        <v>-7.5892130251598841E-2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1.491638128955743E-2</v>
      </c>
      <c r="BF42" s="29">
        <f t="shared" si="23"/>
        <v>-7.5892130251598841E-2</v>
      </c>
      <c r="BH42" s="29"/>
    </row>
    <row r="43" spans="1:124" x14ac:dyDescent="0.25">
      <c r="A43" s="1">
        <v>46085</v>
      </c>
      <c r="B43" s="33">
        <v>102.69</v>
      </c>
      <c r="C43" s="33">
        <v>175.97</v>
      </c>
      <c r="D43" s="15">
        <v>1.02775827582402E-2</v>
      </c>
      <c r="E43" s="15">
        <v>3.01642185403735E-3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102.69</v>
      </c>
      <c r="M43" s="33">
        <v>175.97</v>
      </c>
      <c r="N43" s="34">
        <v>1.71360405102736</v>
      </c>
      <c r="O43" s="34">
        <v>1.71162160919586</v>
      </c>
      <c r="P43" s="34">
        <v>1.7303373102809601</v>
      </c>
      <c r="Q43" s="34">
        <v>1.71082268374692</v>
      </c>
      <c r="R43" s="33">
        <v>175.76642304832299</v>
      </c>
      <c r="S43" s="33">
        <v>177.68098278065699</v>
      </c>
      <c r="T43" s="33">
        <v>175.23450920917799</v>
      </c>
      <c r="U43" s="15">
        <v>-1.1575541289922E-3</v>
      </c>
      <c r="V43" s="15">
        <v>9.6761847905526294E-3</v>
      </c>
      <c r="W43" s="15">
        <v>-4.1883964854697803E-3</v>
      </c>
      <c r="X43" s="34">
        <v>1.71360405102736</v>
      </c>
      <c r="Y43" s="34">
        <v>1.71151559356553</v>
      </c>
      <c r="Z43" s="34">
        <v>1.7303373102809601</v>
      </c>
      <c r="AA43" s="34">
        <v>1.71082268374692</v>
      </c>
      <c r="AB43" s="33">
        <v>175.75553630324501</v>
      </c>
      <c r="AC43" s="33">
        <v>177.68098278065699</v>
      </c>
      <c r="AD43" s="33">
        <v>175.23450920917799</v>
      </c>
      <c r="AE43" s="15">
        <v>-1.2194947548447199E-3</v>
      </c>
      <c r="AF43" s="15">
        <v>9.6761847905526294E-3</v>
      </c>
      <c r="AG43" s="15">
        <v>-4.1883964854697803E-3</v>
      </c>
      <c r="AI43" s="12"/>
      <c r="AJ43">
        <f t="shared" si="6"/>
        <v>0</v>
      </c>
      <c r="AK43">
        <f t="shared" si="7"/>
        <v>1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1.02775827582402E-2</v>
      </c>
      <c r="AP43" s="28">
        <f t="shared" si="9"/>
        <v>-3.01642185403735E-3</v>
      </c>
      <c r="AQ43" s="28">
        <f t="shared" si="16"/>
        <v>7.2611609042028506E-3</v>
      </c>
      <c r="AR43" s="29">
        <f t="shared" si="17"/>
        <v>-6.8630969347395987E-2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7.2611609042028506E-3</v>
      </c>
      <c r="BF43" s="29">
        <f t="shared" si="23"/>
        <v>-6.8630969347395987E-2</v>
      </c>
      <c r="BH43" s="29"/>
    </row>
    <row r="44" spans="1:124" x14ac:dyDescent="0.25">
      <c r="A44" s="1">
        <v>46086</v>
      </c>
      <c r="B44" s="33">
        <v>102.37</v>
      </c>
      <c r="C44" s="33">
        <v>172.06</v>
      </c>
      <c r="D44" s="15">
        <v>-3.1210402785241298E-3</v>
      </c>
      <c r="E44" s="15">
        <v>-2.2470272770468001E-2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102.37</v>
      </c>
      <c r="M44" s="33">
        <v>172.06</v>
      </c>
      <c r="N44" s="34">
        <v>1.68076584936993</v>
      </c>
      <c r="O44" s="34">
        <v>1.71162160919586</v>
      </c>
      <c r="P44" s="34">
        <v>1.72449141765606</v>
      </c>
      <c r="Q44" s="34">
        <v>1.71316424620674</v>
      </c>
      <c r="R44" s="33">
        <v>175.21870413337999</v>
      </c>
      <c r="S44" s="33">
        <v>177.13463045346199</v>
      </c>
      <c r="T44" s="33">
        <v>175.136918135173</v>
      </c>
      <c r="U44" s="15">
        <v>1.8191678362951502E-2</v>
      </c>
      <c r="V44" s="15">
        <v>2.9066814283632399E-2</v>
      </c>
      <c r="W44" s="15">
        <v>1.7724804167163901E-2</v>
      </c>
      <c r="X44" s="34">
        <v>1.68076584936993</v>
      </c>
      <c r="Y44" s="34">
        <v>1.71151559356553</v>
      </c>
      <c r="Z44" s="34">
        <v>1.72449141765606</v>
      </c>
      <c r="AA44" s="34">
        <v>1.71316424620674</v>
      </c>
      <c r="AB44" s="33">
        <v>175.20785131330399</v>
      </c>
      <c r="AC44" s="33">
        <v>177.13463045346199</v>
      </c>
      <c r="AD44" s="33">
        <v>175.136918135173</v>
      </c>
      <c r="AE44" s="15">
        <v>1.81297377370991E-2</v>
      </c>
      <c r="AF44" s="15">
        <v>2.9066814283632399E-2</v>
      </c>
      <c r="AG44" s="15">
        <v>1.7724804167163901E-2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-6.8630969347395987E-2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-6.8630969347395987E-2</v>
      </c>
      <c r="BH44" s="29"/>
    </row>
    <row r="45" spans="1:124" x14ac:dyDescent="0.25">
      <c r="A45" s="1">
        <v>46087</v>
      </c>
      <c r="B45" s="33">
        <v>101.04</v>
      </c>
      <c r="C45" s="33">
        <v>169.94</v>
      </c>
      <c r="D45" s="15">
        <v>-1.30772228894437E-2</v>
      </c>
      <c r="E45" s="15">
        <v>-1.2397819617806701E-2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101.04</v>
      </c>
      <c r="M45" s="33">
        <v>169.94</v>
      </c>
      <c r="N45" s="34">
        <v>1.68190815518606</v>
      </c>
      <c r="O45" s="34">
        <v>1.71162160919586</v>
      </c>
      <c r="P45" s="34">
        <v>1.7193860563877299</v>
      </c>
      <c r="Q45" s="34">
        <v>1.71463623655511</v>
      </c>
      <c r="R45" s="33">
        <v>172.94224739315001</v>
      </c>
      <c r="S45" s="33">
        <v>174.24261283996901</v>
      </c>
      <c r="T45" s="33">
        <v>173.09811543672899</v>
      </c>
      <c r="U45" s="15">
        <v>1.7512275091314599E-2</v>
      </c>
      <c r="V45" s="15">
        <v>2.50032211348452E-2</v>
      </c>
      <c r="W45" s="15">
        <v>1.8413141411335401E-2</v>
      </c>
      <c r="X45" s="34">
        <v>1.68190815518606</v>
      </c>
      <c r="Y45" s="34">
        <v>1.71151559356553</v>
      </c>
      <c r="Z45" s="34">
        <v>1.7193860563877299</v>
      </c>
      <c r="AA45" s="34">
        <v>1.71463623655511</v>
      </c>
      <c r="AB45" s="33">
        <v>172.93153557386199</v>
      </c>
      <c r="AC45" s="33">
        <v>174.24261283996901</v>
      </c>
      <c r="AD45" s="33">
        <v>173.09811543672899</v>
      </c>
      <c r="AE45" s="15">
        <v>1.7450334465462201E-2</v>
      </c>
      <c r="AF45" s="15">
        <v>2.50032211348452E-2</v>
      </c>
      <c r="AG45" s="15">
        <v>1.8413141411335401E-2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-6.8630969347395987E-2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-6.8630969347395987E-2</v>
      </c>
      <c r="BH45" s="29"/>
    </row>
    <row r="46" spans="1:124" x14ac:dyDescent="0.25">
      <c r="A46" s="1">
        <v>46090</v>
      </c>
      <c r="B46" s="33">
        <v>101.07</v>
      </c>
      <c r="C46" s="33">
        <v>170.94</v>
      </c>
      <c r="D46" s="15">
        <v>2.9686804433544302E-4</v>
      </c>
      <c r="E46" s="15">
        <v>5.8671841624767301E-3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101.07</v>
      </c>
      <c r="M46" s="33">
        <v>170.94</v>
      </c>
      <c r="N46" s="34">
        <v>1.69130305728702</v>
      </c>
      <c r="O46" s="34">
        <v>1.71162160919586</v>
      </c>
      <c r="P46" s="34">
        <v>1.7142614034799399</v>
      </c>
      <c r="Q46" s="34">
        <v>1.7152475402823699</v>
      </c>
      <c r="R46" s="33">
        <v>172.993596041426</v>
      </c>
      <c r="S46" s="33">
        <v>173.77834871910801</v>
      </c>
      <c r="T46" s="33">
        <v>173.29828442862501</v>
      </c>
      <c r="U46" s="15">
        <v>1.19419589731734E-2</v>
      </c>
      <c r="V46" s="15">
        <v>1.6468011493785101E-2</v>
      </c>
      <c r="W46" s="15">
        <v>1.3701679503790601E-2</v>
      </c>
      <c r="X46" s="34">
        <v>1.69130305728702</v>
      </c>
      <c r="Y46" s="34">
        <v>1.71151559356553</v>
      </c>
      <c r="Z46" s="34">
        <v>1.7142614034799399</v>
      </c>
      <c r="AA46" s="34">
        <v>1.7152475402823699</v>
      </c>
      <c r="AB46" s="33">
        <v>172.982881041669</v>
      </c>
      <c r="AC46" s="33">
        <v>173.77834871910801</v>
      </c>
      <c r="AD46" s="33">
        <v>173.29828442862501</v>
      </c>
      <c r="AE46" s="15">
        <v>1.18800183473208E-2</v>
      </c>
      <c r="AF46" s="15">
        <v>1.6468011493785101E-2</v>
      </c>
      <c r="AG46" s="15">
        <v>1.3701679503790601E-2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-6.8630969347395987E-2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-6.8630969347395987E-2</v>
      </c>
      <c r="BH46" s="29"/>
    </row>
    <row r="47" spans="1:124" x14ac:dyDescent="0.25">
      <c r="A47" s="1">
        <v>46091</v>
      </c>
      <c r="B47" s="33">
        <v>100.66</v>
      </c>
      <c r="C47" s="33">
        <v>170.02</v>
      </c>
      <c r="D47" s="15">
        <v>-4.0648447383572301E-3</v>
      </c>
      <c r="E47" s="15">
        <v>-5.3965405486590201E-3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100.66</v>
      </c>
      <c r="M47" s="33">
        <v>170.02</v>
      </c>
      <c r="N47" s="34">
        <v>1.6890522551162299</v>
      </c>
      <c r="O47" s="34">
        <v>1.71162160919586</v>
      </c>
      <c r="P47" s="34">
        <v>1.70933301736205</v>
      </c>
      <c r="Q47" s="34">
        <v>1.7151005037103</v>
      </c>
      <c r="R47" s="33">
        <v>172.291831181655</v>
      </c>
      <c r="S47" s="33">
        <v>172.55755287429</v>
      </c>
      <c r="T47" s="33">
        <v>172.65681740482299</v>
      </c>
      <c r="U47" s="15">
        <v>1.32736547834753E-2</v>
      </c>
      <c r="V47" s="15">
        <v>1.48147434877652E-2</v>
      </c>
      <c r="W47" s="15">
        <v>1.5389832718193001E-2</v>
      </c>
      <c r="X47" s="34">
        <v>1.6890522551162299</v>
      </c>
      <c r="Y47" s="34">
        <v>1.71151559356553</v>
      </c>
      <c r="Z47" s="34">
        <v>1.70933301736205</v>
      </c>
      <c r="AA47" s="34">
        <v>1.7151005037103</v>
      </c>
      <c r="AB47" s="33">
        <v>172.28115964830701</v>
      </c>
      <c r="AC47" s="33">
        <v>172.55755287429</v>
      </c>
      <c r="AD47" s="33">
        <v>172.65681740482299</v>
      </c>
      <c r="AE47" s="15">
        <v>1.3211714157622701E-2</v>
      </c>
      <c r="AF47" s="15">
        <v>1.48147434877652E-2</v>
      </c>
      <c r="AG47" s="15">
        <v>1.5389832718193001E-2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-6.8630969347395987E-2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-6.8630969347395987E-2</v>
      </c>
      <c r="BH47" s="29"/>
    </row>
    <row r="48" spans="1:124" x14ac:dyDescent="0.25">
      <c r="A48" s="1">
        <v>46092</v>
      </c>
      <c r="B48" s="33">
        <v>100.22</v>
      </c>
      <c r="C48" s="33">
        <v>169.49</v>
      </c>
      <c r="D48" s="15">
        <v>-4.3807318166353302E-3</v>
      </c>
      <c r="E48" s="15">
        <v>-3.1221491592497799E-3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100.22</v>
      </c>
      <c r="M48" s="33">
        <v>169.49</v>
      </c>
      <c r="N48" s="34">
        <v>1.69117940530832</v>
      </c>
      <c r="O48" s="34">
        <v>1.71162160919586</v>
      </c>
      <c r="P48" s="34">
        <v>1.70647955450438</v>
      </c>
      <c r="Q48" s="34">
        <v>1.71538442067081</v>
      </c>
      <c r="R48" s="33">
        <v>171.538717673609</v>
      </c>
      <c r="S48" s="33">
        <v>171.30935500002499</v>
      </c>
      <c r="T48" s="33">
        <v>171.887372481846</v>
      </c>
      <c r="U48" s="15">
        <v>1.20150721260898E-2</v>
      </c>
      <c r="V48" s="15">
        <v>1.06770876012685E-2</v>
      </c>
      <c r="W48" s="15">
        <v>1.4045523148976899E-2</v>
      </c>
      <c r="X48" s="34">
        <v>1.69117940530832</v>
      </c>
      <c r="Y48" s="34">
        <v>1.71151559356553</v>
      </c>
      <c r="Z48" s="34">
        <v>1.70647955450438</v>
      </c>
      <c r="AA48" s="34">
        <v>1.71538442067081</v>
      </c>
      <c r="AB48" s="33">
        <v>171.52809278713801</v>
      </c>
      <c r="AC48" s="33">
        <v>171.30935500002499</v>
      </c>
      <c r="AD48" s="33">
        <v>171.887372481846</v>
      </c>
      <c r="AE48" s="15">
        <v>1.19531315002373E-2</v>
      </c>
      <c r="AF48" s="15">
        <v>1.06770876012685E-2</v>
      </c>
      <c r="AG48" s="15">
        <v>1.4045523148976899E-2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-6.8630969347395987E-2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-6.8630969347395987E-2</v>
      </c>
      <c r="BH48" s="29"/>
    </row>
    <row r="49" spans="1:60" x14ac:dyDescent="0.25">
      <c r="A49" s="1">
        <v>46093</v>
      </c>
      <c r="B49" s="33">
        <v>98.33</v>
      </c>
      <c r="C49" s="33">
        <v>165.24</v>
      </c>
      <c r="D49" s="15">
        <v>-1.90386007395137E-2</v>
      </c>
      <c r="E49" s="15">
        <v>-2.5394965501399198E-2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98.33</v>
      </c>
      <c r="M49" s="33">
        <v>165.24</v>
      </c>
      <c r="N49" s="34">
        <v>1.6804637445337101</v>
      </c>
      <c r="O49" s="34">
        <v>1.71162160919586</v>
      </c>
      <c r="P49" s="34">
        <v>1.70233727177592</v>
      </c>
      <c r="Q49" s="34">
        <v>1.7141281229692</v>
      </c>
      <c r="R49" s="33">
        <v>168.30375283222901</v>
      </c>
      <c r="S49" s="33">
        <v>167.79813459441601</v>
      </c>
      <c r="T49" s="33">
        <v>168.67375008456099</v>
      </c>
      <c r="U49" s="15">
        <v>1.8371436887975299E-2</v>
      </c>
      <c r="V49" s="15">
        <v>1.53627146037543E-2</v>
      </c>
      <c r="W49" s="15">
        <v>2.0567413757743801E-2</v>
      </c>
      <c r="X49" s="34">
        <v>1.6804637445337101</v>
      </c>
      <c r="Y49" s="34">
        <v>1.71151559356553</v>
      </c>
      <c r="Z49" s="34">
        <v>1.70233727177592</v>
      </c>
      <c r="AA49" s="34">
        <v>1.7141281229692</v>
      </c>
      <c r="AB49" s="33">
        <v>168.29332831529899</v>
      </c>
      <c r="AC49" s="33">
        <v>167.79813459441601</v>
      </c>
      <c r="AD49" s="33">
        <v>168.67375008456099</v>
      </c>
      <c r="AE49" s="15">
        <v>1.8309496262122801E-2</v>
      </c>
      <c r="AF49" s="15">
        <v>1.53627146037543E-2</v>
      </c>
      <c r="AG49" s="15">
        <v>2.0567413757743801E-2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-6.8630969347395987E-2</v>
      </c>
      <c r="AT49" s="12"/>
      <c r="AU49">
        <f t="shared" si="10"/>
        <v>1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-6.8630969347395987E-2</v>
      </c>
      <c r="BH49" s="29"/>
    </row>
    <row r="50" spans="1:60" x14ac:dyDescent="0.25">
      <c r="A50" s="1">
        <v>46094</v>
      </c>
      <c r="B50" s="33">
        <v>98.12</v>
      </c>
      <c r="C50" s="33">
        <v>164.65</v>
      </c>
      <c r="D50" s="15">
        <v>-2.1379494017762001E-3</v>
      </c>
      <c r="E50" s="15">
        <v>-3.57695370619055E-3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98.12</v>
      </c>
      <c r="M50" s="33">
        <v>164.65</v>
      </c>
      <c r="N50" s="34">
        <v>1.67804728903383</v>
      </c>
      <c r="O50" s="34">
        <v>1.71162160919586</v>
      </c>
      <c r="P50" s="34">
        <v>1.6984448018812</v>
      </c>
      <c r="Q50" s="34">
        <v>1.71259527476016</v>
      </c>
      <c r="R50" s="33">
        <v>167.94431229429799</v>
      </c>
      <c r="S50" s="33">
        <v>167.033333106653</v>
      </c>
      <c r="T50" s="33">
        <v>168.19025142573801</v>
      </c>
      <c r="U50" s="15">
        <v>1.9810441192389401E-2</v>
      </c>
      <c r="V50" s="15">
        <v>1.4371383118104E-2</v>
      </c>
      <c r="W50" s="15">
        <v>2.1273778806974099E-2</v>
      </c>
      <c r="X50" s="34">
        <v>1.67804728903383</v>
      </c>
      <c r="Y50" s="34">
        <v>1.71151559356553</v>
      </c>
      <c r="Z50" s="34">
        <v>1.6984448018812</v>
      </c>
      <c r="AA50" s="34">
        <v>1.71259527476016</v>
      </c>
      <c r="AB50" s="33">
        <v>167.93391004065001</v>
      </c>
      <c r="AC50" s="33">
        <v>167.033333106653</v>
      </c>
      <c r="AD50" s="33">
        <v>168.19025142573801</v>
      </c>
      <c r="AE50" s="15">
        <v>1.9748500566536899E-2</v>
      </c>
      <c r="AF50" s="15">
        <v>1.4371383118104E-2</v>
      </c>
      <c r="AG50" s="15">
        <v>2.1273778806974099E-2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-6.8630969347395987E-2</v>
      </c>
      <c r="AT50" s="12"/>
      <c r="AU50">
        <f t="shared" si="10"/>
        <v>1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28">
        <f t="shared" si="12"/>
        <v>2.1379494017762001E-3</v>
      </c>
      <c r="BA50" s="28">
        <f t="shared" si="13"/>
        <v>-3.57695370619055E-3</v>
      </c>
      <c r="BB50" s="28">
        <f t="shared" si="20"/>
        <v>-1.4390043044143499E-3</v>
      </c>
      <c r="BC50" s="29">
        <f t="shared" si="21"/>
        <v>-1.4390043044143499E-3</v>
      </c>
      <c r="BE50" s="29">
        <f t="shared" si="22"/>
        <v>-1.4390043044143499E-3</v>
      </c>
      <c r="BF50" s="29">
        <f t="shared" si="23"/>
        <v>-7.0069973651810336E-2</v>
      </c>
      <c r="BH50" s="29"/>
    </row>
    <row r="51" spans="1:60" x14ac:dyDescent="0.25">
      <c r="A51" s="1">
        <v>46097</v>
      </c>
      <c r="B51" s="33">
        <v>99.11</v>
      </c>
      <c r="C51" s="33">
        <v>166.06</v>
      </c>
      <c r="D51" s="15">
        <v>1.00391250283284E-2</v>
      </c>
      <c r="E51" s="15">
        <v>8.5271600115112804E-3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99.11</v>
      </c>
      <c r="M51" s="33">
        <v>166.06</v>
      </c>
      <c r="N51" s="34">
        <v>1.6755120573100499</v>
      </c>
      <c r="O51" s="34">
        <v>1.71162160919586</v>
      </c>
      <c r="P51" s="34">
        <v>1.6907927953901001</v>
      </c>
      <c r="Q51" s="34">
        <v>1.710547481548</v>
      </c>
      <c r="R51" s="33">
        <v>169.638817687402</v>
      </c>
      <c r="S51" s="33">
        <v>168.332864314446</v>
      </c>
      <c r="T51" s="33">
        <v>169.73531768147899</v>
      </c>
      <c r="U51" s="15">
        <v>2.13224062092068E-2</v>
      </c>
      <c r="V51" s="15">
        <v>1.3594185518671399E-2</v>
      </c>
      <c r="W51" s="15">
        <v>2.1891100087856798E-2</v>
      </c>
      <c r="X51" s="34">
        <v>1.6755120573100499</v>
      </c>
      <c r="Y51" s="34">
        <v>1.71151559356553</v>
      </c>
      <c r="Z51" s="34">
        <v>1.6907927953901001</v>
      </c>
      <c r="AA51" s="34">
        <v>1.710547481548</v>
      </c>
      <c r="AB51" s="33">
        <v>169.62831047828001</v>
      </c>
      <c r="AC51" s="33">
        <v>168.332864314446</v>
      </c>
      <c r="AD51" s="33">
        <v>169.73531768147899</v>
      </c>
      <c r="AE51" s="15">
        <v>2.1260465583354201E-2</v>
      </c>
      <c r="AF51" s="15">
        <v>1.3594185518671399E-2</v>
      </c>
      <c r="AG51" s="15">
        <v>2.1891100087856798E-2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-6.8630969347395987E-2</v>
      </c>
      <c r="AT51" s="12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0</v>
      </c>
      <c r="AY51">
        <f t="shared" si="19"/>
        <v>1</v>
      </c>
      <c r="AZ51" s="28">
        <f t="shared" si="12"/>
        <v>-1.00391250283284E-2</v>
      </c>
      <c r="BA51" s="28">
        <f t="shared" si="13"/>
        <v>8.5271600115112804E-3</v>
      </c>
      <c r="BB51" s="28">
        <f t="shared" si="20"/>
        <v>-1.5119650168171194E-3</v>
      </c>
      <c r="BC51" s="29">
        <f t="shared" si="21"/>
        <v>-2.9509693212314693E-3</v>
      </c>
      <c r="BE51" s="29">
        <f t="shared" si="22"/>
        <v>-1.5119650168171194E-3</v>
      </c>
      <c r="BF51" s="29">
        <f t="shared" si="23"/>
        <v>-7.1581938668627457E-2</v>
      </c>
      <c r="BH51" s="29"/>
    </row>
    <row r="52" spans="1:60" x14ac:dyDescent="0.25">
      <c r="A52" s="1">
        <v>46098</v>
      </c>
      <c r="B52" s="33">
        <v>99.67</v>
      </c>
      <c r="C52" s="33">
        <v>166.5</v>
      </c>
      <c r="D52" s="15">
        <v>5.6343845607478502E-3</v>
      </c>
      <c r="E52" s="15">
        <v>2.6461405866140199E-3</v>
      </c>
      <c r="F52" s="33">
        <v>0.12673200000000001</v>
      </c>
      <c r="G52" s="33">
        <v>0.12673200000000001</v>
      </c>
      <c r="H52" s="33">
        <v>0</v>
      </c>
      <c r="I52" s="33">
        <v>0</v>
      </c>
      <c r="J52" s="33">
        <v>0.12673200000000001</v>
      </c>
      <c r="K52" s="33">
        <v>0</v>
      </c>
      <c r="L52" s="33">
        <v>99.796732000000006</v>
      </c>
      <c r="M52" s="33">
        <v>166.5</v>
      </c>
      <c r="N52" s="34">
        <v>1.6705126918832101</v>
      </c>
      <c r="O52" s="34">
        <v>1.71162160919586</v>
      </c>
      <c r="P52" s="34">
        <v>1.6852348556055701</v>
      </c>
      <c r="Q52" s="34">
        <v>1.70775026829678</v>
      </c>
      <c r="R52" s="33">
        <v>170.59732578855099</v>
      </c>
      <c r="S52" s="33">
        <v>168.52131791653099</v>
      </c>
      <c r="T52" s="33">
        <v>170.49026748588901</v>
      </c>
      <c r="U52" s="15">
        <v>2.43106501833407E-2</v>
      </c>
      <c r="V52" s="15">
        <v>1.20669481945776E-2</v>
      </c>
      <c r="W52" s="15">
        <v>2.3682903479627301E-2</v>
      </c>
      <c r="X52" s="34">
        <v>1.66839130563914</v>
      </c>
      <c r="Y52" s="34">
        <v>1.71151559356553</v>
      </c>
      <c r="Z52" s="34">
        <v>1.68502271698117</v>
      </c>
      <c r="AA52" s="34">
        <v>1.7076441989845801</v>
      </c>
      <c r="AB52" s="33">
        <v>170.803663004881</v>
      </c>
      <c r="AC52" s="33">
        <v>168.735595469076</v>
      </c>
      <c r="AD52" s="33">
        <v>170.707048589321</v>
      </c>
      <c r="AE52" s="15">
        <v>2.5519417868414301E-2</v>
      </c>
      <c r="AF52" s="15">
        <v>1.33376565055038E-2</v>
      </c>
      <c r="AG52" s="15">
        <v>2.4953611790553502E-2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-6.8630969347395987E-2</v>
      </c>
      <c r="AT52" s="12"/>
      <c r="AU52">
        <f t="shared" si="10"/>
        <v>1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-2.9509693212314693E-3</v>
      </c>
      <c r="BE52" s="29">
        <f t="shared" si="22"/>
        <v>0</v>
      </c>
      <c r="BF52" s="29">
        <f t="shared" si="23"/>
        <v>-7.1581938668627457E-2</v>
      </c>
      <c r="BH52" s="29"/>
    </row>
    <row r="53" spans="1:60" x14ac:dyDescent="0.25">
      <c r="A53" s="1">
        <v>46099</v>
      </c>
      <c r="B53" s="33">
        <v>97.63</v>
      </c>
      <c r="C53" s="33">
        <v>165.18</v>
      </c>
      <c r="D53" s="15">
        <v>-2.0679905741784799E-2</v>
      </c>
      <c r="E53" s="15">
        <v>-7.9595210379274899E-3</v>
      </c>
      <c r="F53" s="33">
        <v>0</v>
      </c>
      <c r="G53" s="33">
        <v>0.12673200000000001</v>
      </c>
      <c r="H53" s="33">
        <v>0</v>
      </c>
      <c r="I53" s="33">
        <v>0</v>
      </c>
      <c r="J53" s="33">
        <v>0.12673200000000001</v>
      </c>
      <c r="K53" s="33">
        <v>0</v>
      </c>
      <c r="L53" s="33">
        <v>97.756732</v>
      </c>
      <c r="M53" s="33">
        <v>165.18</v>
      </c>
      <c r="N53" s="34">
        <v>1.6918979821775999</v>
      </c>
      <c r="O53" s="34">
        <v>1.71162160919586</v>
      </c>
      <c r="P53" s="34">
        <v>1.6830642487206</v>
      </c>
      <c r="Q53" s="34">
        <v>1.70670077950078</v>
      </c>
      <c r="R53" s="33">
        <v>167.10561770579201</v>
      </c>
      <c r="S53" s="33">
        <v>164.529478952772</v>
      </c>
      <c r="T53" s="33">
        <v>166.72765869381499</v>
      </c>
      <c r="U53" s="15">
        <v>1.15902654794834E-2</v>
      </c>
      <c r="V53" s="15">
        <v>-3.9460308718298996E-3</v>
      </c>
      <c r="W53" s="15">
        <v>9.3259065902413906E-3</v>
      </c>
      <c r="X53" s="34">
        <v>1.6897046026456699</v>
      </c>
      <c r="Y53" s="34">
        <v>1.71151559356553</v>
      </c>
      <c r="Z53" s="34">
        <v>1.6826327721430001</v>
      </c>
      <c r="AA53" s="34">
        <v>1.7064850412119801</v>
      </c>
      <c r="AB53" s="33">
        <v>167.31217119400699</v>
      </c>
      <c r="AC53" s="33">
        <v>164.72231415784</v>
      </c>
      <c r="AD53" s="33">
        <v>166.93371631149</v>
      </c>
      <c r="AE53" s="15">
        <v>1.2825567675343499E-2</v>
      </c>
      <c r="AF53" s="15">
        <v>-2.7746767218981001E-3</v>
      </c>
      <c r="AG53" s="15">
        <v>1.0561036930802299E-2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-6.8630969347395987E-2</v>
      </c>
      <c r="AT53" s="12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28">
        <f t="shared" si="12"/>
        <v>2.0679905741784799E-2</v>
      </c>
      <c r="BA53" s="28">
        <f t="shared" si="13"/>
        <v>-7.9595210379274899E-3</v>
      </c>
      <c r="BB53" s="28">
        <f t="shared" si="20"/>
        <v>1.2720384703857309E-2</v>
      </c>
      <c r="BC53" s="29">
        <f t="shared" si="21"/>
        <v>9.769415382625839E-3</v>
      </c>
      <c r="BE53" s="29">
        <f t="shared" si="22"/>
        <v>1.2720384703857309E-2</v>
      </c>
      <c r="BF53" s="29">
        <f t="shared" si="23"/>
        <v>-5.886155396477015E-2</v>
      </c>
      <c r="BH53" s="29"/>
    </row>
    <row r="54" spans="1:60" x14ac:dyDescent="0.25">
      <c r="A54" s="1">
        <v>46100</v>
      </c>
      <c r="B54" s="33">
        <v>96.94</v>
      </c>
      <c r="C54" s="33">
        <v>164.06</v>
      </c>
      <c r="D54" s="15">
        <v>-7.0925928203501801E-3</v>
      </c>
      <c r="E54" s="15">
        <v>-6.80357380796715E-3</v>
      </c>
      <c r="F54" s="33">
        <v>0</v>
      </c>
      <c r="G54" s="33">
        <v>0.12673200000000001</v>
      </c>
      <c r="H54" s="33">
        <v>0</v>
      </c>
      <c r="I54" s="33">
        <v>0</v>
      </c>
      <c r="J54" s="33">
        <v>0.12673200000000001</v>
      </c>
      <c r="K54" s="33">
        <v>0</v>
      </c>
      <c r="L54" s="33">
        <v>97.066732000000002</v>
      </c>
      <c r="M54" s="33">
        <v>164.06</v>
      </c>
      <c r="N54" s="34">
        <v>1.69238704353208</v>
      </c>
      <c r="O54" s="34">
        <v>1.71162160919586</v>
      </c>
      <c r="P54" s="34">
        <v>1.6842263681368099</v>
      </c>
      <c r="Q54" s="34">
        <v>1.7043588928964399</v>
      </c>
      <c r="R54" s="33">
        <v>165.924598795447</v>
      </c>
      <c r="S54" s="33">
        <v>163.156248270975</v>
      </c>
      <c r="T54" s="33">
        <v>165.447573564805</v>
      </c>
      <c r="U54" s="15">
        <v>1.13012464671002E-2</v>
      </c>
      <c r="V54" s="15">
        <v>-5.52389456113436E-3</v>
      </c>
      <c r="W54" s="15">
        <v>8.4221540149160799E-3</v>
      </c>
      <c r="X54" s="34">
        <v>1.69017743380914</v>
      </c>
      <c r="Y54" s="34">
        <v>1.71151559356553</v>
      </c>
      <c r="Z54" s="34">
        <v>1.68357393058692</v>
      </c>
      <c r="AA54" s="34">
        <v>1.70403267412149</v>
      </c>
      <c r="AB54" s="33">
        <v>166.131225434447</v>
      </c>
      <c r="AC54" s="33">
        <v>163.32766434802099</v>
      </c>
      <c r="AD54" s="33">
        <v>165.642926157332</v>
      </c>
      <c r="AE54" s="15">
        <v>1.25457761551356E-2</v>
      </c>
      <c r="AF54" s="15">
        <v>-4.4738208137165402E-3</v>
      </c>
      <c r="AG54" s="15">
        <v>9.6022097118331103E-3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-6.8630969347395987E-2</v>
      </c>
      <c r="AT54" s="12"/>
      <c r="AU54">
        <f t="shared" si="10"/>
        <v>0</v>
      </c>
      <c r="AV54">
        <f t="shared" si="11"/>
        <v>1</v>
      </c>
      <c r="AW54">
        <f t="shared" si="18"/>
        <v>1</v>
      </c>
      <c r="AX54">
        <f t="shared" si="5"/>
        <v>1</v>
      </c>
      <c r="AY54">
        <f t="shared" si="19"/>
        <v>1</v>
      </c>
      <c r="AZ54" s="28">
        <f t="shared" si="12"/>
        <v>7.0925928203501801E-3</v>
      </c>
      <c r="BA54" s="28">
        <f t="shared" si="13"/>
        <v>-6.80357380796715E-3</v>
      </c>
      <c r="BB54" s="28">
        <f t="shared" si="20"/>
        <v>2.890190123830301E-4</v>
      </c>
      <c r="BC54" s="29">
        <f t="shared" si="21"/>
        <v>1.0058434395008869E-2</v>
      </c>
      <c r="BE54" s="29">
        <f t="shared" si="22"/>
        <v>2.890190123830301E-4</v>
      </c>
      <c r="BF54" s="29">
        <f t="shared" si="23"/>
        <v>-5.8572534952387123E-2</v>
      </c>
      <c r="BH54" s="29"/>
    </row>
    <row r="55" spans="1:60" x14ac:dyDescent="0.25">
      <c r="A55" s="1">
        <v>46101</v>
      </c>
      <c r="B55" s="33">
        <v>95.51</v>
      </c>
      <c r="C55" s="33">
        <v>161.66999999999999</v>
      </c>
      <c r="D55" s="15">
        <v>-1.48612763705836E-2</v>
      </c>
      <c r="E55" s="15">
        <v>-1.46749939610888E-2</v>
      </c>
      <c r="F55" s="33">
        <v>0</v>
      </c>
      <c r="G55" s="33">
        <v>0.12673200000000001</v>
      </c>
      <c r="H55" s="33">
        <v>0</v>
      </c>
      <c r="I55" s="33">
        <v>0</v>
      </c>
      <c r="J55" s="33">
        <v>0.12673200000000001</v>
      </c>
      <c r="K55" s="33">
        <v>0</v>
      </c>
      <c r="L55" s="33">
        <v>95.636731999999995</v>
      </c>
      <c r="M55" s="33">
        <v>161.66999999999999</v>
      </c>
      <c r="N55" s="34">
        <v>1.69270233483404</v>
      </c>
      <c r="O55" s="34">
        <v>1.71162160919586</v>
      </c>
      <c r="P55" s="34">
        <v>1.6853057861016101</v>
      </c>
      <c r="Q55" s="34">
        <v>1.7023459212446701</v>
      </c>
      <c r="R55" s="33">
        <v>163.47697989429699</v>
      </c>
      <c r="S55" s="33">
        <v>160.86046042074699</v>
      </c>
      <c r="T55" s="33">
        <v>162.783317860539</v>
      </c>
      <c r="U55" s="15">
        <v>1.11149640576055E-2</v>
      </c>
      <c r="V55" s="15">
        <v>-5.0199368965848402E-3</v>
      </c>
      <c r="W55" s="15">
        <v>6.8627575603930997E-3</v>
      </c>
      <c r="X55" s="34">
        <v>1.6904592683070701</v>
      </c>
      <c r="Y55" s="34">
        <v>1.71151559356553</v>
      </c>
      <c r="Z55" s="34">
        <v>1.68442904189902</v>
      </c>
      <c r="AA55" s="34">
        <v>1.7019075491433799</v>
      </c>
      <c r="AB55" s="33">
        <v>163.68375813564799</v>
      </c>
      <c r="AC55" s="33">
        <v>161.01150880172801</v>
      </c>
      <c r="AD55" s="33">
        <v>162.96811617419999</v>
      </c>
      <c r="AE55" s="15">
        <v>1.2379041588000199E-2</v>
      </c>
      <c r="AF55" s="15">
        <v>-4.08137494330968E-3</v>
      </c>
      <c r="AG55" s="15">
        <v>7.9973547665949194E-3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-6.8630969347395987E-2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1.0058434395008869E-2</v>
      </c>
      <c r="BE55" s="29">
        <f t="shared" si="22"/>
        <v>0</v>
      </c>
      <c r="BF55" s="29">
        <f t="shared" si="23"/>
        <v>-5.8572534952387123E-2</v>
      </c>
      <c r="BH55" s="29"/>
    </row>
    <row r="56" spans="1:60" x14ac:dyDescent="0.25">
      <c r="A56" s="1">
        <v>46104</v>
      </c>
      <c r="B56" s="33">
        <v>97.35</v>
      </c>
      <c r="C56" s="33">
        <v>163.05000000000001</v>
      </c>
      <c r="D56" s="15">
        <v>1.9081777771562301E-2</v>
      </c>
      <c r="E56" s="15">
        <v>8.4996816218132001E-3</v>
      </c>
      <c r="F56" s="33">
        <v>0</v>
      </c>
      <c r="G56" s="33">
        <v>0.12673200000000001</v>
      </c>
      <c r="H56" s="33">
        <v>0.45321</v>
      </c>
      <c r="I56" s="33">
        <v>0.45321</v>
      </c>
      <c r="J56" s="33">
        <v>0</v>
      </c>
      <c r="K56" s="33">
        <v>0</v>
      </c>
      <c r="L56" s="33">
        <v>97.35</v>
      </c>
      <c r="M56" s="33">
        <v>163.05000000000001</v>
      </c>
      <c r="N56" s="34">
        <v>1.6748844375962999</v>
      </c>
      <c r="O56" s="34">
        <v>1.71162160919586</v>
      </c>
      <c r="P56" s="34">
        <v>1.68366392413254</v>
      </c>
      <c r="Q56" s="34">
        <v>1.6989626638062401</v>
      </c>
      <c r="R56" s="33">
        <v>166.62636365521701</v>
      </c>
      <c r="S56" s="33">
        <v>164.064518276992</v>
      </c>
      <c r="T56" s="33">
        <v>165.723375433169</v>
      </c>
      <c r="U56" s="15">
        <v>2.1697060207354599E-2</v>
      </c>
      <c r="V56" s="15">
        <v>6.2028523537565397E-3</v>
      </c>
      <c r="W56" s="15">
        <v>1.6263083057350001E-2</v>
      </c>
      <c r="X56" s="34">
        <v>1.6748844375962999</v>
      </c>
      <c r="Y56" s="34">
        <v>1.71151559356553</v>
      </c>
      <c r="Z56" s="34">
        <v>1.6827871799299501</v>
      </c>
      <c r="AA56" s="34">
        <v>1.6985242917049399</v>
      </c>
      <c r="AB56" s="33">
        <v>166.616043033605</v>
      </c>
      <c r="AC56" s="33">
        <v>163.97916722886899</v>
      </c>
      <c r="AD56" s="33">
        <v>165.680699909108</v>
      </c>
      <c r="AE56" s="15">
        <v>2.1635119581502101E-2</v>
      </c>
      <c r="AF56" s="15">
        <v>5.6824884277352702E-3</v>
      </c>
      <c r="AG56" s="15">
        <v>1.6005539306550201E-2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-6.8630969347395987E-2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1.0058434395008869E-2</v>
      </c>
      <c r="BE56" s="29">
        <f t="shared" si="22"/>
        <v>0</v>
      </c>
      <c r="BF56" s="29">
        <f t="shared" si="23"/>
        <v>-5.8572534952387123E-2</v>
      </c>
      <c r="BH56" s="29"/>
    </row>
    <row r="57" spans="1:60" x14ac:dyDescent="0.25">
      <c r="A57" s="1">
        <v>46105</v>
      </c>
      <c r="B57" s="33">
        <v>96.75</v>
      </c>
      <c r="C57" s="33">
        <v>164</v>
      </c>
      <c r="D57" s="15">
        <v>-6.1823999083174203E-3</v>
      </c>
      <c r="E57" s="15">
        <v>5.80952558887032E-3</v>
      </c>
      <c r="F57" s="33">
        <v>0</v>
      </c>
      <c r="G57" s="33">
        <v>0.12673200000000001</v>
      </c>
      <c r="H57" s="33">
        <v>0</v>
      </c>
      <c r="I57" s="33">
        <v>0.45321</v>
      </c>
      <c r="J57" s="33">
        <v>0</v>
      </c>
      <c r="K57" s="33">
        <v>0</v>
      </c>
      <c r="L57" s="33">
        <v>96.75</v>
      </c>
      <c r="M57" s="33">
        <v>164</v>
      </c>
      <c r="N57" s="34">
        <v>1.6950904392764801</v>
      </c>
      <c r="O57" s="34">
        <v>1.71162160919586</v>
      </c>
      <c r="P57" s="34">
        <v>1.6842677425485599</v>
      </c>
      <c r="Q57" s="34">
        <v>1.69680037995531</v>
      </c>
      <c r="R57" s="33">
        <v>165.59939068969899</v>
      </c>
      <c r="S57" s="33">
        <v>162.89448465982301</v>
      </c>
      <c r="T57" s="33">
        <v>164.37463772325299</v>
      </c>
      <c r="U57" s="15">
        <v>9.7051347101671792E-3</v>
      </c>
      <c r="V57" s="15">
        <v>-6.7637700034655999E-3</v>
      </c>
      <c r="W57" s="15">
        <v>2.2817711404068E-3</v>
      </c>
      <c r="X57" s="34">
        <v>1.6950904392764801</v>
      </c>
      <c r="Y57" s="34">
        <v>1.71151559356553</v>
      </c>
      <c r="Z57" s="34">
        <v>1.6833909983459701</v>
      </c>
      <c r="AA57" s="34">
        <v>1.69636200785401</v>
      </c>
      <c r="AB57" s="33">
        <v>165.58913367746499</v>
      </c>
      <c r="AC57" s="33">
        <v>162.80965965822199</v>
      </c>
      <c r="AD57" s="33">
        <v>164.33222522245299</v>
      </c>
      <c r="AE57" s="15">
        <v>9.6431940843145301E-3</v>
      </c>
      <c r="AF57" s="15">
        <v>-7.2846415060129396E-3</v>
      </c>
      <c r="AG57" s="15">
        <v>2.0237144594137699E-3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-6.8630969347395987E-2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1.0058434395008869E-2</v>
      </c>
      <c r="BE57" s="29">
        <f t="shared" si="22"/>
        <v>0</v>
      </c>
      <c r="BF57" s="29">
        <f t="shared" si="23"/>
        <v>-5.8572534952387123E-2</v>
      </c>
      <c r="BH57" s="29"/>
    </row>
    <row r="58" spans="1:60" x14ac:dyDescent="0.25">
      <c r="A58" s="1">
        <v>46106</v>
      </c>
      <c r="B58" s="33">
        <v>97.52</v>
      </c>
      <c r="C58" s="33">
        <v>165.1</v>
      </c>
      <c r="D58" s="15">
        <v>7.9271532631247504E-3</v>
      </c>
      <c r="E58" s="15">
        <v>6.6849231018837902E-3</v>
      </c>
      <c r="F58" s="33">
        <v>0</v>
      </c>
      <c r="G58" s="33">
        <v>0.12673200000000001</v>
      </c>
      <c r="H58" s="33">
        <v>0</v>
      </c>
      <c r="I58" s="33">
        <v>0.45321</v>
      </c>
      <c r="J58" s="33">
        <v>0</v>
      </c>
      <c r="K58" s="33">
        <v>0</v>
      </c>
      <c r="L58" s="33">
        <v>97.52</v>
      </c>
      <c r="M58" s="33">
        <v>165.1</v>
      </c>
      <c r="N58" s="34">
        <v>1.6929860541427399</v>
      </c>
      <c r="O58" s="34">
        <v>1.71162160919586</v>
      </c>
      <c r="P58" s="34">
        <v>1.6844484074320001</v>
      </c>
      <c r="Q58" s="34">
        <v>1.69546398096819</v>
      </c>
      <c r="R58" s="33">
        <v>166.91733932878</v>
      </c>
      <c r="S58" s="33">
        <v>164.24979025333599</v>
      </c>
      <c r="T58" s="33">
        <v>165.47197305324201</v>
      </c>
      <c r="U58" s="15">
        <v>1.0947364871407799E-2</v>
      </c>
      <c r="V58" s="15">
        <v>-5.1629705586083603E-3</v>
      </c>
      <c r="W58" s="15">
        <v>2.2504824398752801E-3</v>
      </c>
      <c r="X58" s="34">
        <v>1.6929860541427399</v>
      </c>
      <c r="Y58" s="34">
        <v>1.71151559356553</v>
      </c>
      <c r="Z58" s="34">
        <v>1.68357166322941</v>
      </c>
      <c r="AA58" s="34">
        <v>1.6950256088669</v>
      </c>
      <c r="AB58" s="33">
        <v>166.90700068451099</v>
      </c>
      <c r="AC58" s="33">
        <v>164.164290158699</v>
      </c>
      <c r="AD58" s="33">
        <v>165.42922300592301</v>
      </c>
      <c r="AE58" s="15">
        <v>1.0885424245555501E-2</v>
      </c>
      <c r="AF58" s="15">
        <v>-5.6836552774916097E-3</v>
      </c>
      <c r="AG58" s="15">
        <v>1.9920968669892999E-3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-6.8630969347395987E-2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1.0058434395008869E-2</v>
      </c>
      <c r="BE58" s="29">
        <f t="shared" si="22"/>
        <v>0</v>
      </c>
      <c r="BF58" s="29">
        <f t="shared" si="23"/>
        <v>-5.8572534952387123E-2</v>
      </c>
      <c r="BH58" s="29"/>
    </row>
    <row r="59" spans="1:60" x14ac:dyDescent="0.25">
      <c r="A59" s="1">
        <v>46107</v>
      </c>
      <c r="B59" s="33">
        <v>96.26</v>
      </c>
      <c r="C59" s="33">
        <v>161.27000000000001</v>
      </c>
      <c r="D59" s="15">
        <v>-1.3004621298052599E-2</v>
      </c>
      <c r="E59" s="15">
        <v>-2.3471371933657802E-2</v>
      </c>
      <c r="F59" s="33">
        <v>0</v>
      </c>
      <c r="G59" s="33">
        <v>0.12673200000000001</v>
      </c>
      <c r="H59" s="33">
        <v>0</v>
      </c>
      <c r="I59" s="33">
        <v>0.45321</v>
      </c>
      <c r="J59" s="33">
        <v>0</v>
      </c>
      <c r="K59" s="33">
        <v>0</v>
      </c>
      <c r="L59" s="33">
        <v>96.26</v>
      </c>
      <c r="M59" s="33">
        <v>161.27000000000001</v>
      </c>
      <c r="N59" s="34">
        <v>1.6753584043216201</v>
      </c>
      <c r="O59" s="34">
        <v>1.71162160919586</v>
      </c>
      <c r="P59" s="34">
        <v>1.6839378734107999</v>
      </c>
      <c r="Q59" s="34">
        <v>1.69313757259336</v>
      </c>
      <c r="R59" s="33">
        <v>164.76069610119299</v>
      </c>
      <c r="S59" s="33">
        <v>162.14500369940501</v>
      </c>
      <c r="T59" s="33">
        <v>163.205362807998</v>
      </c>
      <c r="U59" s="15">
        <v>2.14141155070132E-2</v>
      </c>
      <c r="V59" s="15">
        <v>5.4110404548806199E-3</v>
      </c>
      <c r="W59" s="15">
        <v>1.19293233408233E-2</v>
      </c>
      <c r="X59" s="34">
        <v>1.6753584043216201</v>
      </c>
      <c r="Y59" s="34">
        <v>1.71151559356553</v>
      </c>
      <c r="Z59" s="34">
        <v>1.68306112920821</v>
      </c>
      <c r="AA59" s="34">
        <v>1.69269920049206</v>
      </c>
      <c r="AB59" s="33">
        <v>164.750491036618</v>
      </c>
      <c r="AC59" s="33">
        <v>162.06060830246301</v>
      </c>
      <c r="AD59" s="33">
        <v>163.16316510952799</v>
      </c>
      <c r="AE59" s="15">
        <v>2.1352174881160702E-2</v>
      </c>
      <c r="AF59" s="15">
        <v>4.8904115963819298E-3</v>
      </c>
      <c r="AG59" s="15">
        <v>1.16707340768702E-2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-6.8630969347395987E-2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1.0058434395008869E-2</v>
      </c>
      <c r="BE59" s="29">
        <f t="shared" si="22"/>
        <v>0</v>
      </c>
      <c r="BF59" s="29">
        <f t="shared" si="23"/>
        <v>-5.8572534952387123E-2</v>
      </c>
      <c r="BH59" s="29"/>
    </row>
    <row r="60" spans="1:60" x14ac:dyDescent="0.25">
      <c r="A60" s="1">
        <v>46108</v>
      </c>
      <c r="B60" s="33">
        <v>94.23</v>
      </c>
      <c r="C60" s="33">
        <v>159.19999999999999</v>
      </c>
      <c r="D60" s="15">
        <v>-2.1314261656298399E-2</v>
      </c>
      <c r="E60" s="15">
        <v>-1.2918705582141801E-2</v>
      </c>
      <c r="F60" s="33">
        <v>0</v>
      </c>
      <c r="G60" s="33">
        <v>0.12673200000000001</v>
      </c>
      <c r="H60" s="33">
        <v>0</v>
      </c>
      <c r="I60" s="33">
        <v>0.45321</v>
      </c>
      <c r="J60" s="33">
        <v>0</v>
      </c>
      <c r="K60" s="33">
        <v>0</v>
      </c>
      <c r="L60" s="33">
        <v>94.23</v>
      </c>
      <c r="M60" s="33">
        <v>159.19999999999999</v>
      </c>
      <c r="N60" s="34">
        <v>1.68948317945452</v>
      </c>
      <c r="O60" s="34">
        <v>1.71162160919586</v>
      </c>
      <c r="P60" s="34">
        <v>1.6850814624528601</v>
      </c>
      <c r="Q60" s="34">
        <v>1.6917631321670299</v>
      </c>
      <c r="R60" s="33">
        <v>161.28610423452599</v>
      </c>
      <c r="S60" s="33">
        <v>158.67746581149899</v>
      </c>
      <c r="T60" s="33">
        <v>159.544353465472</v>
      </c>
      <c r="U60" s="15">
        <v>1.30185594328566E-2</v>
      </c>
      <c r="V60" s="15">
        <v>-3.2876483258906502E-3</v>
      </c>
      <c r="W60" s="15">
        <v>2.1606883114861E-3</v>
      </c>
      <c r="X60" s="34">
        <v>1.68948317945452</v>
      </c>
      <c r="Y60" s="34">
        <v>1.71151559356553</v>
      </c>
      <c r="Z60" s="34">
        <v>1.68420471825027</v>
      </c>
      <c r="AA60" s="34">
        <v>1.69132476006574</v>
      </c>
      <c r="AB60" s="33">
        <v>161.27611438168</v>
      </c>
      <c r="AC60" s="33">
        <v>158.59485020528899</v>
      </c>
      <c r="AD60" s="33">
        <v>159.50304566236699</v>
      </c>
      <c r="AE60" s="15">
        <v>1.2956618807004E-2</v>
      </c>
      <c r="AF60" s="15">
        <v>-3.8084350690553901E-3</v>
      </c>
      <c r="AG60" s="15">
        <v>1.9017436941735899E-3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-6.8630969347395987E-2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1.0058434395008869E-2</v>
      </c>
      <c r="BE60" s="29">
        <f t="shared" si="22"/>
        <v>0</v>
      </c>
      <c r="BF60" s="29">
        <f t="shared" si="23"/>
        <v>-5.8572534952387123E-2</v>
      </c>
      <c r="BH60" s="29"/>
    </row>
    <row r="61" spans="1:60" x14ac:dyDescent="0.25">
      <c r="A61" s="1">
        <v>46111</v>
      </c>
      <c r="B61" s="33">
        <v>94.35</v>
      </c>
      <c r="C61" s="33">
        <v>156.61000000000001</v>
      </c>
      <c r="D61" s="15">
        <v>1.2726695958942501E-3</v>
      </c>
      <c r="E61" s="15">
        <v>-1.640263493194E-2</v>
      </c>
      <c r="F61" s="33">
        <v>0</v>
      </c>
      <c r="G61" s="33">
        <v>0.12673200000000001</v>
      </c>
      <c r="H61" s="33">
        <v>0</v>
      </c>
      <c r="I61" s="33">
        <v>0.45321</v>
      </c>
      <c r="J61" s="33">
        <v>0</v>
      </c>
      <c r="K61" s="33">
        <v>0</v>
      </c>
      <c r="L61" s="33">
        <v>94.35</v>
      </c>
      <c r="M61" s="33">
        <v>156.61000000000001</v>
      </c>
      <c r="N61" s="34">
        <v>1.6598834128245801</v>
      </c>
      <c r="O61" s="34">
        <v>1.71162160919586</v>
      </c>
      <c r="P61" s="34">
        <v>1.6835185980043199</v>
      </c>
      <c r="Q61" s="34">
        <v>1.6871556966972101</v>
      </c>
      <c r="R61" s="33">
        <v>161.49149882762899</v>
      </c>
      <c r="S61" s="33">
        <v>158.987435982428</v>
      </c>
      <c r="T61" s="33">
        <v>159.61785151996</v>
      </c>
      <c r="U61" s="15">
        <v>3.06938639606908E-2</v>
      </c>
      <c r="V61" s="15">
        <v>1.50665416412862E-2</v>
      </c>
      <c r="W61" s="15">
        <v>1.9023891911261501E-2</v>
      </c>
      <c r="X61" s="34">
        <v>1.6598834128245801</v>
      </c>
      <c r="Y61" s="34">
        <v>1.71151559356553</v>
      </c>
      <c r="Z61" s="34">
        <v>1.68264185380173</v>
      </c>
      <c r="AA61" s="34">
        <v>1.68671732459591</v>
      </c>
      <c r="AB61" s="33">
        <v>161.48149625290799</v>
      </c>
      <c r="AC61" s="33">
        <v>158.90471516691301</v>
      </c>
      <c r="AD61" s="33">
        <v>159.57649111220201</v>
      </c>
      <c r="AE61" s="15">
        <v>3.06319233348381E-2</v>
      </c>
      <c r="AF61" s="15">
        <v>1.45461084246594E-2</v>
      </c>
      <c r="AG61" s="15">
        <v>1.87647368921115E-2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-6.8630969347395987E-2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1.0058434395008869E-2</v>
      </c>
      <c r="BE61" s="29">
        <f t="shared" si="22"/>
        <v>0</v>
      </c>
      <c r="BF61" s="29">
        <f t="shared" si="23"/>
        <v>-5.8572534952387123E-2</v>
      </c>
      <c r="BH61" s="29"/>
    </row>
    <row r="62" spans="1:60" x14ac:dyDescent="0.25">
      <c r="A62" s="1">
        <v>46112</v>
      </c>
      <c r="B62" s="33">
        <v>96.92</v>
      </c>
      <c r="C62" s="33">
        <v>161.72999999999999</v>
      </c>
      <c r="D62" s="15">
        <v>2.68746241337657E-2</v>
      </c>
      <c r="E62" s="15">
        <v>3.2169639653344399E-2</v>
      </c>
      <c r="F62" s="33">
        <v>0</v>
      </c>
      <c r="G62" s="33">
        <v>0.12673200000000001</v>
      </c>
      <c r="H62" s="33">
        <v>0</v>
      </c>
      <c r="I62" s="33">
        <v>0.45321</v>
      </c>
      <c r="J62" s="33">
        <v>0</v>
      </c>
      <c r="K62" s="33">
        <v>0</v>
      </c>
      <c r="L62" s="33">
        <v>96.92</v>
      </c>
      <c r="M62" s="33">
        <v>161.72999999999999</v>
      </c>
      <c r="N62" s="34">
        <v>1.6686958316136999</v>
      </c>
      <c r="O62" s="34">
        <v>1.71162160919586</v>
      </c>
      <c r="P62" s="34">
        <v>1.68333691197737</v>
      </c>
      <c r="Q62" s="34">
        <v>1.68428588379147</v>
      </c>
      <c r="R62" s="33">
        <v>165.89036636326301</v>
      </c>
      <c r="S62" s="33">
        <v>163.16662251857801</v>
      </c>
      <c r="T62" s="33">
        <v>163.51913012389301</v>
      </c>
      <c r="U62" s="15">
        <v>2.5398848441112301E-2</v>
      </c>
      <c r="V62" s="15">
        <v>8.8436246002250203E-3</v>
      </c>
      <c r="W62" s="15">
        <v>1.1001709177072499E-2</v>
      </c>
      <c r="X62" s="34">
        <v>1.6686958316136999</v>
      </c>
      <c r="Y62" s="34">
        <v>1.71151559356553</v>
      </c>
      <c r="Z62" s="34">
        <v>1.68267230639918</v>
      </c>
      <c r="AA62" s="34">
        <v>1.6838475116901701</v>
      </c>
      <c r="AB62" s="33">
        <v>165.880091328372</v>
      </c>
      <c r="AC62" s="33">
        <v>163.08164847046299</v>
      </c>
      <c r="AD62" s="33">
        <v>163.476643099836</v>
      </c>
      <c r="AE62" s="15">
        <v>2.5336907815259602E-2</v>
      </c>
      <c r="AF62" s="15">
        <v>8.3227081228501292E-3</v>
      </c>
      <c r="AG62" s="15">
        <v>1.0741846342285701E-2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-6.8630969347395987E-2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1.0058434395008869E-2</v>
      </c>
      <c r="BE62" s="29">
        <f t="shared" si="22"/>
        <v>0</v>
      </c>
      <c r="BF62" s="29">
        <f t="shared" si="23"/>
        <v>-5.8572534952387123E-2</v>
      </c>
      <c r="BH62" s="29"/>
    </row>
    <row r="63" spans="1:60" x14ac:dyDescent="0.25">
      <c r="A63" s="1">
        <v>46113</v>
      </c>
      <c r="B63" s="33">
        <v>97.28</v>
      </c>
      <c r="C63" s="33">
        <v>164.43</v>
      </c>
      <c r="D63" s="15">
        <v>3.70752226953182E-3</v>
      </c>
      <c r="E63" s="15">
        <v>1.65566695944478E-2</v>
      </c>
      <c r="F63" s="33">
        <v>0</v>
      </c>
      <c r="G63" s="33">
        <v>0.12673200000000001</v>
      </c>
      <c r="H63" s="33">
        <v>0</v>
      </c>
      <c r="I63" s="33">
        <v>0.45321</v>
      </c>
      <c r="J63" s="33">
        <v>0</v>
      </c>
      <c r="K63" s="33">
        <v>0</v>
      </c>
      <c r="L63" s="33">
        <v>97.28</v>
      </c>
      <c r="M63" s="33">
        <v>164.43</v>
      </c>
      <c r="N63" s="34">
        <v>1.69027549342105</v>
      </c>
      <c r="O63" s="34">
        <v>1.71162160919586</v>
      </c>
      <c r="P63" s="34">
        <v>1.6831746631017099</v>
      </c>
      <c r="Q63" s="34">
        <v>1.68311945591115</v>
      </c>
      <c r="R63" s="33">
        <v>166.50655014257299</v>
      </c>
      <c r="S63" s="33">
        <v>163.755014797158</v>
      </c>
      <c r="T63" s="33">
        <v>163.84733077523401</v>
      </c>
      <c r="U63" s="15">
        <v>1.25497011161964E-2</v>
      </c>
      <c r="V63" s="15">
        <v>-4.1134489642276504E-3</v>
      </c>
      <c r="W63" s="15">
        <v>-3.5498633747646198E-3</v>
      </c>
      <c r="X63" s="34">
        <v>1.69027549342105</v>
      </c>
      <c r="Y63" s="34">
        <v>1.71151559356553</v>
      </c>
      <c r="Z63" s="34">
        <v>1.68272939547672</v>
      </c>
      <c r="AA63" s="34">
        <v>1.68268108380986</v>
      </c>
      <c r="AB63" s="33">
        <v>166.49623694205499</v>
      </c>
      <c r="AC63" s="33">
        <v>163.690361966512</v>
      </c>
      <c r="AD63" s="33">
        <v>163.80468593722</v>
      </c>
      <c r="AE63" s="15">
        <v>1.2487760490343801E-2</v>
      </c>
      <c r="AF63" s="15">
        <v>-4.5083412795498502E-3</v>
      </c>
      <c r="AG63" s="15">
        <v>-3.8101690410180401E-3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-6.8630969347395987E-2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1.0058434395008869E-2</v>
      </c>
      <c r="BE63" s="29">
        <f t="shared" si="22"/>
        <v>0</v>
      </c>
      <c r="BF63" s="29">
        <f t="shared" si="23"/>
        <v>-5.8572534952387123E-2</v>
      </c>
      <c r="BH63" s="29"/>
    </row>
    <row r="64" spans="1:60" x14ac:dyDescent="0.25">
      <c r="A64" s="1">
        <v>46114</v>
      </c>
      <c r="B64" s="33">
        <v>96.93</v>
      </c>
      <c r="C64" s="33">
        <v>163.77000000000001</v>
      </c>
      <c r="D64" s="15">
        <v>-3.6043497133402299E-3</v>
      </c>
      <c r="E64" s="15">
        <v>-4.0219432643587997E-3</v>
      </c>
      <c r="F64" s="33">
        <v>0</v>
      </c>
      <c r="G64" s="33">
        <v>0.12673200000000001</v>
      </c>
      <c r="H64" s="33">
        <v>0</v>
      </c>
      <c r="I64" s="33">
        <v>0.45321</v>
      </c>
      <c r="J64" s="33">
        <v>0</v>
      </c>
      <c r="K64" s="33">
        <v>0</v>
      </c>
      <c r="L64" s="33">
        <v>96.93</v>
      </c>
      <c r="M64" s="33">
        <v>163.77000000000001</v>
      </c>
      <c r="N64" s="34">
        <v>1.68956979263385</v>
      </c>
      <c r="O64" s="34">
        <v>1.71162160919586</v>
      </c>
      <c r="P64" s="34">
        <v>1.68289293801189</v>
      </c>
      <c r="Q64" s="34">
        <v>1.68355965307435</v>
      </c>
      <c r="R64" s="33">
        <v>165.90748257935499</v>
      </c>
      <c r="S64" s="33">
        <v>163.15012009444899</v>
      </c>
      <c r="T64" s="33">
        <v>163.14476886146801</v>
      </c>
      <c r="U64" s="15">
        <v>1.29672946672148E-2</v>
      </c>
      <c r="V64" s="15">
        <v>-3.79224532434576E-3</v>
      </c>
      <c r="W64" s="15">
        <v>-3.8250453047457399E-3</v>
      </c>
      <c r="X64" s="34">
        <v>1.68956979263385</v>
      </c>
      <c r="Y64" s="34">
        <v>1.71151559356553</v>
      </c>
      <c r="Z64" s="34">
        <v>1.6826686313591901</v>
      </c>
      <c r="AA64" s="34">
        <v>1.68312128097305</v>
      </c>
      <c r="AB64" s="33">
        <v>165.89720648430699</v>
      </c>
      <c r="AC64" s="33">
        <v>163.106960303558</v>
      </c>
      <c r="AD64" s="33">
        <v>163.10227745368999</v>
      </c>
      <c r="AE64" s="15">
        <v>1.29053540413623E-2</v>
      </c>
      <c r="AF64" s="15">
        <v>-4.0568206775577704E-3</v>
      </c>
      <c r="AG64" s="15">
        <v>-4.0855313903593897E-3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-6.8630969347395987E-2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1.0058434395008869E-2</v>
      </c>
      <c r="BE64" s="29">
        <f t="shared" si="22"/>
        <v>0</v>
      </c>
      <c r="BF64" s="29">
        <f t="shared" si="23"/>
        <v>-5.8572534952387123E-2</v>
      </c>
      <c r="BH64" s="29"/>
    </row>
    <row r="65" spans="1:60" x14ac:dyDescent="0.25">
      <c r="A65" s="1">
        <v>46118</v>
      </c>
      <c r="B65" s="33">
        <v>97.68</v>
      </c>
      <c r="C65" s="33">
        <v>164.61</v>
      </c>
      <c r="D65" s="15">
        <v>7.7077612979326599E-3</v>
      </c>
      <c r="E65" s="15">
        <v>5.1160352772178803E-3</v>
      </c>
      <c r="F65" s="33">
        <v>0</v>
      </c>
      <c r="G65" s="33">
        <v>0.12673200000000001</v>
      </c>
      <c r="H65" s="33">
        <v>0</v>
      </c>
      <c r="I65" s="33">
        <v>0.45321</v>
      </c>
      <c r="J65" s="33">
        <v>0</v>
      </c>
      <c r="K65" s="33">
        <v>0</v>
      </c>
      <c r="L65" s="33">
        <v>97.68</v>
      </c>
      <c r="M65" s="33">
        <v>164.61</v>
      </c>
      <c r="N65" s="34">
        <v>1.6851965601965599</v>
      </c>
      <c r="O65" s="34">
        <v>1.71162160919586</v>
      </c>
      <c r="P65" s="34">
        <v>1.68214236054814</v>
      </c>
      <c r="Q65" s="34">
        <v>1.68372407332487</v>
      </c>
      <c r="R65" s="33">
        <v>167.19119878625199</v>
      </c>
      <c r="S65" s="33">
        <v>164.38498218500101</v>
      </c>
      <c r="T65" s="33">
        <v>164.450106912303</v>
      </c>
      <c r="U65" s="15">
        <v>1.5559020687929701E-2</v>
      </c>
      <c r="V65" s="15">
        <v>-1.3679105291587201E-3</v>
      </c>
      <c r="W65" s="15">
        <v>-9.7181698371955104E-4</v>
      </c>
      <c r="X65" s="34">
        <v>1.6851965601965599</v>
      </c>
      <c r="Y65" s="34">
        <v>1.71151559356553</v>
      </c>
      <c r="Z65" s="34">
        <v>1.68214236054814</v>
      </c>
      <c r="AA65" s="34">
        <v>1.68328570122358</v>
      </c>
      <c r="AB65" s="33">
        <v>167.180843179481</v>
      </c>
      <c r="AC65" s="33">
        <v>164.363071911166</v>
      </c>
      <c r="AD65" s="33">
        <v>164.40728672544799</v>
      </c>
      <c r="AE65" s="15">
        <v>1.5497080062077199E-2</v>
      </c>
      <c r="AF65" s="15">
        <v>-1.5012057599283E-3</v>
      </c>
      <c r="AG65" s="15">
        <v>-1.23223495165931E-3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-6.8630969347395987E-2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1.0058434395008869E-2</v>
      </c>
      <c r="BE65" s="29">
        <f t="shared" si="22"/>
        <v>0</v>
      </c>
      <c r="BF65" s="29">
        <f t="shared" si="23"/>
        <v>-5.8572534952387123E-2</v>
      </c>
      <c r="BH65" s="29"/>
    </row>
    <row r="66" spans="1:60" x14ac:dyDescent="0.25">
      <c r="A66" s="1">
        <v>46119</v>
      </c>
      <c r="B66" s="33">
        <v>96.58</v>
      </c>
      <c r="C66" s="33">
        <v>164.28</v>
      </c>
      <c r="D66" s="15">
        <v>-1.1325149357053499E-2</v>
      </c>
      <c r="E66" s="15">
        <v>-2.0067506506359399E-3</v>
      </c>
      <c r="F66" s="33">
        <v>0</v>
      </c>
      <c r="G66" s="33">
        <v>0.12673200000000001</v>
      </c>
      <c r="H66" s="33">
        <v>0</v>
      </c>
      <c r="I66" s="33">
        <v>0.45321</v>
      </c>
      <c r="J66" s="33">
        <v>0</v>
      </c>
      <c r="K66" s="33">
        <v>0</v>
      </c>
      <c r="L66" s="33">
        <v>96.58</v>
      </c>
      <c r="M66" s="33">
        <v>164.28</v>
      </c>
      <c r="N66" s="34">
        <v>1.70097328639469</v>
      </c>
      <c r="O66" s="34">
        <v>1.71162160919586</v>
      </c>
      <c r="P66" s="34">
        <v>1.68475124542798</v>
      </c>
      <c r="Q66" s="34">
        <v>1.68420758478026</v>
      </c>
      <c r="R66" s="33">
        <v>165.308415016136</v>
      </c>
      <c r="S66" s="33">
        <v>162.46130918173901</v>
      </c>
      <c r="T66" s="33">
        <v>162.61407100171601</v>
      </c>
      <c r="U66" s="15">
        <v>6.2406219815123003E-3</v>
      </c>
      <c r="V66" s="15">
        <v>-1.1132413011377899E-2</v>
      </c>
      <c r="W66" s="15">
        <v>-1.01925581928693E-2</v>
      </c>
      <c r="X66" s="34">
        <v>1.70097328639469</v>
      </c>
      <c r="Y66" s="34">
        <v>1.71151559356553</v>
      </c>
      <c r="Z66" s="34">
        <v>1.68475124542798</v>
      </c>
      <c r="AA66" s="34">
        <v>1.6837692126789601</v>
      </c>
      <c r="AB66" s="33">
        <v>165.29817602655899</v>
      </c>
      <c r="AC66" s="33">
        <v>162.46130918173901</v>
      </c>
      <c r="AD66" s="33">
        <v>162.571733024173</v>
      </c>
      <c r="AE66" s="15">
        <v>6.1786813556596902E-3</v>
      </c>
      <c r="AF66" s="15">
        <v>-1.1132413011377899E-2</v>
      </c>
      <c r="AG66" s="15">
        <v>-1.04529507269724E-2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-6.8630969347395987E-2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1.0058434395008869E-2</v>
      </c>
      <c r="BE66" s="29">
        <f t="shared" si="22"/>
        <v>0</v>
      </c>
      <c r="BF66" s="29">
        <f t="shared" si="23"/>
        <v>-5.8572534952387123E-2</v>
      </c>
      <c r="BH66" s="29"/>
    </row>
    <row r="67" spans="1:60" x14ac:dyDescent="0.25">
      <c r="A67" s="1">
        <v>46120</v>
      </c>
      <c r="B67" s="33">
        <v>99.14</v>
      </c>
      <c r="C67" s="33">
        <v>170.44</v>
      </c>
      <c r="D67" s="15">
        <v>2.6161312147032E-2</v>
      </c>
      <c r="E67" s="15">
        <v>3.6811039543353401E-2</v>
      </c>
      <c r="F67" s="33">
        <v>0</v>
      </c>
      <c r="G67" s="33">
        <v>0.12673200000000001</v>
      </c>
      <c r="H67" s="33">
        <v>0</v>
      </c>
      <c r="I67" s="33">
        <v>0.45321</v>
      </c>
      <c r="J67" s="33">
        <v>0</v>
      </c>
      <c r="K67" s="33">
        <v>0</v>
      </c>
      <c r="L67" s="33">
        <v>99.14</v>
      </c>
      <c r="M67" s="33">
        <v>170.44</v>
      </c>
      <c r="N67" s="34">
        <v>1.7191849909219199</v>
      </c>
      <c r="O67" s="34">
        <v>1.71162160919586</v>
      </c>
      <c r="P67" s="34">
        <v>1.68716070059252</v>
      </c>
      <c r="Q67" s="34">
        <v>1.6857142215705401</v>
      </c>
      <c r="R67" s="33">
        <v>169.69016633567799</v>
      </c>
      <c r="S67" s="33">
        <v>167.02623847173001</v>
      </c>
      <c r="T67" s="33">
        <v>166.97233995511499</v>
      </c>
      <c r="U67" s="15">
        <v>-4.4091054148091601E-3</v>
      </c>
      <c r="V67" s="15">
        <v>-2.0232411959288099E-2</v>
      </c>
      <c r="W67" s="15">
        <v>-2.05551589442412E-2</v>
      </c>
      <c r="X67" s="34">
        <v>1.7191849909219199</v>
      </c>
      <c r="Y67" s="34">
        <v>1.71151559356553</v>
      </c>
      <c r="Z67" s="34">
        <v>1.68716070059252</v>
      </c>
      <c r="AA67" s="34">
        <v>1.6852758494692499</v>
      </c>
      <c r="AB67" s="33">
        <v>169.679655946087</v>
      </c>
      <c r="AC67" s="33">
        <v>167.02623847173001</v>
      </c>
      <c r="AD67" s="33">
        <v>166.928879744992</v>
      </c>
      <c r="AE67" s="15">
        <v>-4.4710460406617502E-3</v>
      </c>
      <c r="AF67" s="15">
        <v>-2.0232411959288099E-2</v>
      </c>
      <c r="AG67" s="15">
        <v>-2.0815476713711499E-2</v>
      </c>
      <c r="AI67" s="12"/>
      <c r="AJ67">
        <f t="shared" si="6"/>
        <v>1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-6.8630969347395987E-2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1.0058434395008869E-2</v>
      </c>
      <c r="BE67" s="29">
        <f t="shared" si="22"/>
        <v>0</v>
      </c>
      <c r="BF67" s="29">
        <f t="shared" si="23"/>
        <v>-5.8572534952387123E-2</v>
      </c>
      <c r="BH67" s="29"/>
    </row>
    <row r="68" spans="1:60" x14ac:dyDescent="0.25">
      <c r="A68" s="1">
        <v>46121</v>
      </c>
      <c r="B68" s="33">
        <v>100.37</v>
      </c>
      <c r="C68" s="33">
        <v>172.19</v>
      </c>
      <c r="D68" s="15">
        <v>1.2330365233281E-2</v>
      </c>
      <c r="E68" s="15">
        <v>1.02151896663832E-2</v>
      </c>
      <c r="F68" s="33">
        <v>0</v>
      </c>
      <c r="G68" s="33">
        <v>0.12673200000000001</v>
      </c>
      <c r="H68" s="33">
        <v>0</v>
      </c>
      <c r="I68" s="33">
        <v>0.45321</v>
      </c>
      <c r="J68" s="33">
        <v>0</v>
      </c>
      <c r="K68" s="33">
        <v>0</v>
      </c>
      <c r="L68" s="33">
        <v>100.37</v>
      </c>
      <c r="M68" s="33">
        <v>172.19</v>
      </c>
      <c r="N68" s="34">
        <v>1.7155524559131199</v>
      </c>
      <c r="O68" s="34">
        <v>1.71162160919586</v>
      </c>
      <c r="P68" s="34">
        <v>1.6894173407695601</v>
      </c>
      <c r="Q68" s="34">
        <v>1.6869328741007801</v>
      </c>
      <c r="R68" s="33">
        <v>171.79546091498801</v>
      </c>
      <c r="S68" s="33">
        <v>169.340319518472</v>
      </c>
      <c r="T68" s="33">
        <v>169.19513641903501</v>
      </c>
      <c r="U68" s="15">
        <v>-2.2939298479112999E-3</v>
      </c>
      <c r="V68" s="15">
        <v>-1.6688103239917901E-2</v>
      </c>
      <c r="W68" s="15">
        <v>-1.75458161074501E-2</v>
      </c>
      <c r="X68" s="34">
        <v>1.7155524559131199</v>
      </c>
      <c r="Y68" s="34">
        <v>1.71151559356553</v>
      </c>
      <c r="Z68" s="34">
        <v>1.6894173407695601</v>
      </c>
      <c r="AA68" s="34">
        <v>1.6864945019994899</v>
      </c>
      <c r="AB68" s="33">
        <v>171.784820126173</v>
      </c>
      <c r="AC68" s="33">
        <v>169.340319518472</v>
      </c>
      <c r="AD68" s="33">
        <v>169.151137011228</v>
      </c>
      <c r="AE68" s="15">
        <v>-2.3558704737638501E-3</v>
      </c>
      <c r="AF68" s="15">
        <v>-1.6688103239917599E-2</v>
      </c>
      <c r="AG68" s="15">
        <v>-1.7805901183068001E-2</v>
      </c>
      <c r="AI68" s="12"/>
      <c r="AJ68">
        <f t="shared" si="6"/>
        <v>0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1.2330365233281E-2</v>
      </c>
      <c r="AP68" s="28">
        <f t="shared" si="9"/>
        <v>-1.02151896663832E-2</v>
      </c>
      <c r="AQ68" s="28">
        <f t="shared" si="16"/>
        <v>2.1151755668977999E-3</v>
      </c>
      <c r="AR68" s="29">
        <f t="shared" si="17"/>
        <v>-6.6515793780498184E-2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1.0058434395008869E-2</v>
      </c>
      <c r="BE68" s="29">
        <f t="shared" si="22"/>
        <v>2.1151755668977999E-3</v>
      </c>
      <c r="BF68" s="29">
        <f t="shared" si="23"/>
        <v>-5.645735938548932E-2</v>
      </c>
      <c r="BH68" s="29"/>
    </row>
    <row r="69" spans="1:60" x14ac:dyDescent="0.25">
      <c r="A69" s="1">
        <v>46122</v>
      </c>
      <c r="B69" s="33">
        <v>99.98</v>
      </c>
      <c r="C69" s="33">
        <v>171.52</v>
      </c>
      <c r="D69" s="15">
        <v>-3.89319184028461E-3</v>
      </c>
      <c r="E69" s="15">
        <v>-3.8986404156571902E-3</v>
      </c>
      <c r="F69" s="33">
        <v>0</v>
      </c>
      <c r="G69" s="33">
        <v>0.12673200000000001</v>
      </c>
      <c r="H69" s="33">
        <v>0</v>
      </c>
      <c r="I69" s="33">
        <v>0.45321</v>
      </c>
      <c r="J69" s="33">
        <v>0</v>
      </c>
      <c r="K69" s="33">
        <v>0</v>
      </c>
      <c r="L69" s="33">
        <v>99.98</v>
      </c>
      <c r="M69" s="33">
        <v>171.52</v>
      </c>
      <c r="N69" s="34">
        <v>1.7155431086217201</v>
      </c>
      <c r="O69" s="34">
        <v>1.71162160919586</v>
      </c>
      <c r="P69" s="34">
        <v>1.69343581119957</v>
      </c>
      <c r="Q69" s="34">
        <v>1.68868684230518</v>
      </c>
      <c r="R69" s="33">
        <v>171.12792848740199</v>
      </c>
      <c r="S69" s="33">
        <v>168.90794573014099</v>
      </c>
      <c r="T69" s="33">
        <v>168.65954875259601</v>
      </c>
      <c r="U69" s="15">
        <v>-2.2884812725386702E-3</v>
      </c>
      <c r="V69" s="15">
        <v>-1.53460111838532E-2</v>
      </c>
      <c r="W69" s="15">
        <v>-1.6817699225131998E-2</v>
      </c>
      <c r="X69" s="34">
        <v>1.7155431086217201</v>
      </c>
      <c r="Y69" s="34">
        <v>1.71151559356553</v>
      </c>
      <c r="Z69" s="34">
        <v>1.69343581119957</v>
      </c>
      <c r="AA69" s="34">
        <v>1.68824847020389</v>
      </c>
      <c r="AB69" s="33">
        <v>171.11732904468201</v>
      </c>
      <c r="AC69" s="33">
        <v>168.90794573014099</v>
      </c>
      <c r="AD69" s="33">
        <v>168.61572030990899</v>
      </c>
      <c r="AE69" s="15">
        <v>-2.35042189839107E-3</v>
      </c>
      <c r="AF69" s="15">
        <v>-1.53460111838532E-2</v>
      </c>
      <c r="AG69" s="15">
        <v>-1.70775963889893E-2</v>
      </c>
      <c r="AI69" s="12"/>
      <c r="AJ69">
        <f t="shared" si="6"/>
        <v>0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-3.89319184028461E-3</v>
      </c>
      <c r="AP69" s="28">
        <f t="shared" si="9"/>
        <v>3.8986404156571902E-3</v>
      </c>
      <c r="AQ69" s="28">
        <f t="shared" si="16"/>
        <v>5.4485753725802208E-6</v>
      </c>
      <c r="AR69" s="29">
        <f t="shared" si="17"/>
        <v>-6.6510345205125609E-2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1.0058434395008869E-2</v>
      </c>
      <c r="BE69" s="29">
        <f t="shared" si="22"/>
        <v>5.4485753725802208E-6</v>
      </c>
      <c r="BF69" s="29">
        <f t="shared" si="23"/>
        <v>-5.6451910810116739E-2</v>
      </c>
      <c r="BH69" s="29"/>
    </row>
    <row r="70" spans="1:60" x14ac:dyDescent="0.25">
      <c r="A70" s="1">
        <v>46125</v>
      </c>
      <c r="B70" s="33">
        <v>100.71</v>
      </c>
      <c r="C70" s="33">
        <v>172.73</v>
      </c>
      <c r="D70" s="15">
        <v>7.2749336746287798E-3</v>
      </c>
      <c r="E70" s="15">
        <v>7.0298038227558099E-3</v>
      </c>
      <c r="F70" s="33">
        <v>0</v>
      </c>
      <c r="G70" s="33">
        <v>0.12673200000000001</v>
      </c>
      <c r="H70" s="33">
        <v>0</v>
      </c>
      <c r="I70" s="33">
        <v>0.45321</v>
      </c>
      <c r="J70" s="33">
        <v>0</v>
      </c>
      <c r="K70" s="33">
        <v>0</v>
      </c>
      <c r="L70" s="33">
        <v>100.71</v>
      </c>
      <c r="M70" s="33">
        <v>172.73</v>
      </c>
      <c r="N70" s="34">
        <v>1.7151226293317401</v>
      </c>
      <c r="O70" s="34">
        <v>1.71162160919586</v>
      </c>
      <c r="P70" s="34">
        <v>1.6959997561872899</v>
      </c>
      <c r="Q70" s="34">
        <v>1.6905406093200801</v>
      </c>
      <c r="R70" s="33">
        <v>172.377412262115</v>
      </c>
      <c r="S70" s="33">
        <v>170.54592054590901</v>
      </c>
      <c r="T70" s="33">
        <v>170.06765188855499</v>
      </c>
      <c r="U70" s="15">
        <v>-2.04335142066547E-3</v>
      </c>
      <c r="V70" s="15">
        <v>-1.2725092529078301E-2</v>
      </c>
      <c r="W70" s="15">
        <v>-1.5533371531320299E-2</v>
      </c>
      <c r="X70" s="34">
        <v>1.7151226293317401</v>
      </c>
      <c r="Y70" s="34">
        <v>1.71151559356553</v>
      </c>
      <c r="Z70" s="34">
        <v>1.6959997561872899</v>
      </c>
      <c r="AA70" s="34">
        <v>1.6901022372187799</v>
      </c>
      <c r="AB70" s="33">
        <v>172.36673542798499</v>
      </c>
      <c r="AC70" s="33">
        <v>170.54592054590901</v>
      </c>
      <c r="AD70" s="33">
        <v>170.02350343423399</v>
      </c>
      <c r="AE70" s="15">
        <v>-2.1052920465180901E-3</v>
      </c>
      <c r="AF70" s="15">
        <v>-1.2725092529078301E-2</v>
      </c>
      <c r="AG70" s="15">
        <v>-1.5792998715846999E-2</v>
      </c>
      <c r="AI70" s="12"/>
      <c r="AJ70">
        <f t="shared" si="6"/>
        <v>0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7.2749336746287798E-3</v>
      </c>
      <c r="AP70" s="28">
        <f t="shared" si="9"/>
        <v>-7.0298038227558099E-3</v>
      </c>
      <c r="AQ70" s="28">
        <f t="shared" si="16"/>
        <v>2.4512985187296991E-4</v>
      </c>
      <c r="AR70" s="29">
        <f t="shared" si="17"/>
        <v>-6.6265215353252638E-2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1.0058434395008869E-2</v>
      </c>
      <c r="BE70" s="29">
        <f t="shared" si="22"/>
        <v>2.4512985187296991E-4</v>
      </c>
      <c r="BF70" s="29">
        <f t="shared" si="23"/>
        <v>-5.6206780958243767E-2</v>
      </c>
      <c r="BH70" s="29"/>
    </row>
    <row r="71" spans="1:60" x14ac:dyDescent="0.25">
      <c r="A71" s="1">
        <v>46126</v>
      </c>
      <c r="B71" s="33">
        <v>102.4</v>
      </c>
      <c r="C71" s="33">
        <v>173.35</v>
      </c>
      <c r="D71" s="15">
        <v>1.6641612945354201E-2</v>
      </c>
      <c r="E71" s="15">
        <v>3.5829904258394799E-3</v>
      </c>
      <c r="F71" s="33">
        <v>0</v>
      </c>
      <c r="G71" s="33">
        <v>0.12673200000000001</v>
      </c>
      <c r="H71" s="33">
        <v>0</v>
      </c>
      <c r="I71" s="33">
        <v>0.45321</v>
      </c>
      <c r="J71" s="33">
        <v>0</v>
      </c>
      <c r="K71" s="33">
        <v>0</v>
      </c>
      <c r="L71" s="33">
        <v>102.4</v>
      </c>
      <c r="M71" s="33">
        <v>173.35</v>
      </c>
      <c r="N71" s="34">
        <v>1.69287109374999</v>
      </c>
      <c r="O71" s="34">
        <v>1.71162160919586</v>
      </c>
      <c r="P71" s="34">
        <v>1.69929852427983</v>
      </c>
      <c r="Q71" s="34">
        <v>1.6914085611420799</v>
      </c>
      <c r="R71" s="33">
        <v>175.27005278165601</v>
      </c>
      <c r="S71" s="33">
        <v>173.67037503357901</v>
      </c>
      <c r="T71" s="33">
        <v>173.111358394376</v>
      </c>
      <c r="U71" s="15">
        <v>1.10152710988493E-2</v>
      </c>
      <c r="V71" s="15">
        <v>1.8464340865868101E-3</v>
      </c>
      <c r="W71" s="15">
        <v>-1.37759457198841E-3</v>
      </c>
      <c r="X71" s="34">
        <v>1.69287109374999</v>
      </c>
      <c r="Y71" s="34">
        <v>1.71151559356553</v>
      </c>
      <c r="Z71" s="34">
        <v>1.69929852427983</v>
      </c>
      <c r="AA71" s="34">
        <v>1.69097018904078</v>
      </c>
      <c r="AB71" s="33">
        <v>175.259196781111</v>
      </c>
      <c r="AC71" s="33">
        <v>173.67037503357901</v>
      </c>
      <c r="AD71" s="33">
        <v>173.066469091203</v>
      </c>
      <c r="AE71" s="15">
        <v>1.09533304729968E-2</v>
      </c>
      <c r="AF71" s="15">
        <v>1.8464340865868101E-3</v>
      </c>
      <c r="AG71" s="15">
        <v>-1.6369370246825401E-3</v>
      </c>
      <c r="AI71" s="12"/>
      <c r="AJ71">
        <f t="shared" si="6"/>
        <v>0</v>
      </c>
      <c r="AK71">
        <f t="shared" si="7"/>
        <v>1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1.6641612945354201E-2</v>
      </c>
      <c r="AP71" s="28">
        <f t="shared" si="9"/>
        <v>-3.5829904258394799E-3</v>
      </c>
      <c r="AQ71" s="28">
        <f t="shared" si="16"/>
        <v>1.3058622519514722E-2</v>
      </c>
      <c r="AR71" s="29">
        <f t="shared" si="17"/>
        <v>-5.3206592833737916E-2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1.0058434395008869E-2</v>
      </c>
      <c r="BE71" s="29">
        <f t="shared" si="22"/>
        <v>1.3058622519514722E-2</v>
      </c>
      <c r="BF71" s="29">
        <f t="shared" si="23"/>
        <v>-4.3148158438729045E-2</v>
      </c>
      <c r="BH71" s="29"/>
    </row>
    <row r="72" spans="1:60" x14ac:dyDescent="0.25">
      <c r="A72" s="1">
        <v>46127</v>
      </c>
      <c r="B72" s="33">
        <v>103.48</v>
      </c>
      <c r="C72" s="33">
        <v>171.18</v>
      </c>
      <c r="D72" s="15">
        <v>1.04916447124209E-2</v>
      </c>
      <c r="E72" s="15">
        <v>-1.25970376775686E-2</v>
      </c>
      <c r="F72" s="33">
        <v>0</v>
      </c>
      <c r="G72" s="33">
        <v>0.12673200000000001</v>
      </c>
      <c r="H72" s="33">
        <v>0</v>
      </c>
      <c r="I72" s="33">
        <v>0.45321</v>
      </c>
      <c r="J72" s="33">
        <v>0</v>
      </c>
      <c r="K72" s="33">
        <v>0</v>
      </c>
      <c r="L72" s="33">
        <v>103.48</v>
      </c>
      <c r="M72" s="33">
        <v>171.18</v>
      </c>
      <c r="N72" s="34">
        <v>1.6542327019713901</v>
      </c>
      <c r="O72" s="34">
        <v>1.71162160919586</v>
      </c>
      <c r="P72" s="34">
        <v>1.6978522113156</v>
      </c>
      <c r="Q72" s="34">
        <v>1.6905945616464799</v>
      </c>
      <c r="R72" s="33">
        <v>177.11860411958801</v>
      </c>
      <c r="S72" s="33">
        <v>175.84341129247699</v>
      </c>
      <c r="T72" s="33">
        <v>175.02695790698201</v>
      </c>
      <c r="U72" s="15">
        <v>3.41039534888391E-2</v>
      </c>
      <c r="V72" s="15">
        <v>2.68782559936393E-2</v>
      </c>
      <c r="W72" s="15">
        <v>2.2224372789066801E-2</v>
      </c>
      <c r="X72" s="34">
        <v>1.6542327019713901</v>
      </c>
      <c r="Y72" s="34">
        <v>1.71151559356553</v>
      </c>
      <c r="Z72" s="34">
        <v>1.6978522113156</v>
      </c>
      <c r="AA72" s="34">
        <v>1.6902622588573899</v>
      </c>
      <c r="AB72" s="33">
        <v>177.10763362216201</v>
      </c>
      <c r="AC72" s="33">
        <v>175.84341129247699</v>
      </c>
      <c r="AD72" s="33">
        <v>174.98159516193999</v>
      </c>
      <c r="AE72" s="15">
        <v>3.4042012862986498E-2</v>
      </c>
      <c r="AF72" s="15">
        <v>2.68782559936393E-2</v>
      </c>
      <c r="AG72" s="15">
        <v>2.19651634360482E-2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-5.3206592833737916E-2</v>
      </c>
      <c r="AT72" s="12"/>
      <c r="AU72">
        <f t="shared" si="10"/>
        <v>1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1.0058434395008869E-2</v>
      </c>
      <c r="BE72" s="29">
        <f t="shared" si="22"/>
        <v>0</v>
      </c>
      <c r="BF72" s="29">
        <f t="shared" si="23"/>
        <v>-4.3148158438729045E-2</v>
      </c>
      <c r="BH72" s="29"/>
    </row>
    <row r="73" spans="1:60" x14ac:dyDescent="0.25">
      <c r="A73" s="1">
        <v>46128</v>
      </c>
      <c r="B73" s="33">
        <v>103.25</v>
      </c>
      <c r="C73" s="33">
        <v>170.33</v>
      </c>
      <c r="D73" s="15">
        <v>-2.2251254766863298E-3</v>
      </c>
      <c r="E73" s="15">
        <v>-4.9779025809776802E-3</v>
      </c>
      <c r="F73" s="33">
        <v>0</v>
      </c>
      <c r="G73" s="33">
        <v>0.12673200000000001</v>
      </c>
      <c r="H73" s="33">
        <v>0</v>
      </c>
      <c r="I73" s="33">
        <v>0.45321</v>
      </c>
      <c r="J73" s="33">
        <v>0</v>
      </c>
      <c r="K73" s="33">
        <v>0</v>
      </c>
      <c r="L73" s="33">
        <v>103.25</v>
      </c>
      <c r="M73" s="33">
        <v>170.33</v>
      </c>
      <c r="N73" s="34">
        <v>1.64968523002421</v>
      </c>
      <c r="O73" s="34">
        <v>1.71162160919586</v>
      </c>
      <c r="P73" s="34">
        <v>1.69379318497592</v>
      </c>
      <c r="Q73" s="34">
        <v>1.6884839240388201</v>
      </c>
      <c r="R73" s="33">
        <v>176.72493114947301</v>
      </c>
      <c r="S73" s="33">
        <v>175.30324081833601</v>
      </c>
      <c r="T73" s="33">
        <v>174.55388848999999</v>
      </c>
      <c r="U73" s="15">
        <v>3.6856730593130299E-2</v>
      </c>
      <c r="V73" s="15">
        <v>2.87795471532768E-2</v>
      </c>
      <c r="W73" s="15">
        <v>2.44957786575811E-2</v>
      </c>
      <c r="X73" s="34">
        <v>1.64968523002421</v>
      </c>
      <c r="Y73" s="34">
        <v>1.71151559356553</v>
      </c>
      <c r="Z73" s="34">
        <v>1.69379318497592</v>
      </c>
      <c r="AA73" s="34">
        <v>1.6882612902263201</v>
      </c>
      <c r="AB73" s="33">
        <v>176.713985035641</v>
      </c>
      <c r="AC73" s="33">
        <v>175.30324081833601</v>
      </c>
      <c r="AD73" s="33">
        <v>174.51957822702599</v>
      </c>
      <c r="AE73" s="15">
        <v>3.6794789967277898E-2</v>
      </c>
      <c r="AF73" s="15">
        <v>2.87795471532768E-2</v>
      </c>
      <c r="AG73" s="15">
        <v>2.42991996198967E-2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-5.3206592833737916E-2</v>
      </c>
      <c r="AT73" s="12"/>
      <c r="AU73">
        <f t="shared" si="10"/>
        <v>1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2.2251254766863298E-3</v>
      </c>
      <c r="BA73" s="28">
        <f t="shared" si="13"/>
        <v>-4.9779025809776802E-3</v>
      </c>
      <c r="BB73" s="28">
        <f t="shared" si="20"/>
        <v>-2.7527771042913504E-3</v>
      </c>
      <c r="BC73" s="29">
        <f t="shared" si="21"/>
        <v>7.3056572907175188E-3</v>
      </c>
      <c r="BE73" s="29">
        <f t="shared" si="22"/>
        <v>-2.7527771042913504E-3</v>
      </c>
      <c r="BF73" s="29">
        <f t="shared" si="23"/>
        <v>-4.5900935543020396E-2</v>
      </c>
      <c r="BH73" s="29"/>
    </row>
    <row r="74" spans="1:60" x14ac:dyDescent="0.25">
      <c r="A74" s="1">
        <v>46129</v>
      </c>
      <c r="B74" s="33">
        <v>104.87</v>
      </c>
      <c r="C74" s="33">
        <v>173.51</v>
      </c>
      <c r="D74" s="15">
        <v>1.5568256005171701E-2</v>
      </c>
      <c r="E74" s="15">
        <v>1.84975027410943E-2</v>
      </c>
      <c r="F74" s="33">
        <v>0</v>
      </c>
      <c r="G74" s="33">
        <v>0.12673200000000001</v>
      </c>
      <c r="H74" s="33">
        <v>0</v>
      </c>
      <c r="I74" s="33">
        <v>0.45321</v>
      </c>
      <c r="J74" s="33">
        <v>0</v>
      </c>
      <c r="K74" s="33">
        <v>0</v>
      </c>
      <c r="L74" s="33">
        <v>104.87</v>
      </c>
      <c r="M74" s="33">
        <v>173.51</v>
      </c>
      <c r="N74" s="34">
        <v>1.6545246495661201</v>
      </c>
      <c r="O74" s="34">
        <v>1.71162160919586</v>
      </c>
      <c r="P74" s="34">
        <v>1.69028867066915</v>
      </c>
      <c r="Q74" s="34">
        <v>1.68659080434052</v>
      </c>
      <c r="R74" s="33">
        <v>179.49775815637</v>
      </c>
      <c r="S74" s="33">
        <v>177.62809130842501</v>
      </c>
      <c r="T74" s="33">
        <v>177.071309113951</v>
      </c>
      <c r="U74" s="15">
        <v>3.3927483857207598E-2</v>
      </c>
      <c r="V74" s="15">
        <v>2.3456755218325499E-2</v>
      </c>
      <c r="W74" s="15">
        <v>2.0317293177368401E-2</v>
      </c>
      <c r="X74" s="34">
        <v>1.6545246495661201</v>
      </c>
      <c r="Y74" s="34">
        <v>1.71151559356553</v>
      </c>
      <c r="Z74" s="34">
        <v>1.69028867066915</v>
      </c>
      <c r="AA74" s="34">
        <v>1.68647865101417</v>
      </c>
      <c r="AB74" s="33">
        <v>179.486640297218</v>
      </c>
      <c r="AC74" s="33">
        <v>177.62809130842501</v>
      </c>
      <c r="AD74" s="33">
        <v>177.047961506034</v>
      </c>
      <c r="AE74" s="15">
        <v>3.38655432313551E-2</v>
      </c>
      <c r="AF74" s="15">
        <v>2.3456755218325499E-2</v>
      </c>
      <c r="AG74" s="15">
        <v>2.01854302154384E-2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-5.3206592833737916E-2</v>
      </c>
      <c r="AT74" s="12"/>
      <c r="AU74">
        <f t="shared" si="10"/>
        <v>1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-1.5568256005171701E-2</v>
      </c>
      <c r="BA74" s="28">
        <f t="shared" si="13"/>
        <v>1.84975027410943E-2</v>
      </c>
      <c r="BB74" s="28">
        <f t="shared" si="20"/>
        <v>2.9292467359225988E-3</v>
      </c>
      <c r="BC74" s="29">
        <f t="shared" si="21"/>
        <v>1.0234904026640117E-2</v>
      </c>
      <c r="BE74" s="29">
        <f t="shared" si="22"/>
        <v>2.9292467359225988E-3</v>
      </c>
      <c r="BF74" s="29">
        <f t="shared" si="23"/>
        <v>-4.2971688807097799E-2</v>
      </c>
      <c r="BH74" s="29"/>
    </row>
    <row r="75" spans="1:60" x14ac:dyDescent="0.25">
      <c r="A75" s="1">
        <v>46132</v>
      </c>
      <c r="B75" s="33">
        <v>104.7</v>
      </c>
      <c r="C75" s="33">
        <v>173.9</v>
      </c>
      <c r="D75" s="15">
        <v>-1.62236996982254E-3</v>
      </c>
      <c r="E75" s="15">
        <v>2.2451867466570701E-3</v>
      </c>
      <c r="F75" s="33">
        <v>0</v>
      </c>
      <c r="G75" s="33">
        <v>0.12673200000000001</v>
      </c>
      <c r="H75" s="33">
        <v>0</v>
      </c>
      <c r="I75" s="33">
        <v>0.45321</v>
      </c>
      <c r="J75" s="33">
        <v>0</v>
      </c>
      <c r="K75" s="33">
        <v>0</v>
      </c>
      <c r="L75" s="33">
        <v>104.7</v>
      </c>
      <c r="M75" s="33">
        <v>173.9</v>
      </c>
      <c r="N75" s="34">
        <v>1.6609360076408699</v>
      </c>
      <c r="O75" s="34">
        <v>1.71162160919586</v>
      </c>
      <c r="P75" s="34">
        <v>1.6878626154135801</v>
      </c>
      <c r="Q75" s="34">
        <v>1.6850024879808601</v>
      </c>
      <c r="R75" s="33">
        <v>179.206782482807</v>
      </c>
      <c r="S75" s="33">
        <v>176.97322381906</v>
      </c>
      <c r="T75" s="33">
        <v>176.58605721445201</v>
      </c>
      <c r="U75" s="15">
        <v>3.00599271407282E-2</v>
      </c>
      <c r="V75" s="15">
        <v>1.7518021911525201E-2</v>
      </c>
      <c r="W75" s="15">
        <v>1.53279124722711E-2</v>
      </c>
      <c r="X75" s="34">
        <v>1.6609360076408699</v>
      </c>
      <c r="Y75" s="34">
        <v>1.71151559356553</v>
      </c>
      <c r="Z75" s="34">
        <v>1.6878626154135801</v>
      </c>
      <c r="AA75" s="34">
        <v>1.6850024879808601</v>
      </c>
      <c r="AB75" s="33">
        <v>179.19568264631101</v>
      </c>
      <c r="AC75" s="33">
        <v>176.97322381906</v>
      </c>
      <c r="AD75" s="33">
        <v>176.57431476118401</v>
      </c>
      <c r="AE75" s="15">
        <v>2.9997986514875601E-2</v>
      </c>
      <c r="AF75" s="15">
        <v>1.7518021911525201E-2</v>
      </c>
      <c r="AG75" s="15">
        <v>1.52614132033563E-2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-5.3206592833737916E-2</v>
      </c>
      <c r="AT75" s="12"/>
      <c r="AU75">
        <f t="shared" si="10"/>
        <v>0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1.62236996982254E-3</v>
      </c>
      <c r="BA75" s="28">
        <f t="shared" si="13"/>
        <v>2.2451867466570701E-3</v>
      </c>
      <c r="BB75" s="28">
        <f t="shared" si="20"/>
        <v>3.8675567164796103E-3</v>
      </c>
      <c r="BC75" s="29">
        <f t="shared" si="21"/>
        <v>1.4102460743119726E-2</v>
      </c>
      <c r="BE75" s="29">
        <f t="shared" si="22"/>
        <v>3.8675567164796103E-3</v>
      </c>
      <c r="BF75" s="29">
        <f t="shared" si="23"/>
        <v>-3.9104132090618186E-2</v>
      </c>
      <c r="BH75" s="29"/>
    </row>
    <row r="76" spans="1:60" x14ac:dyDescent="0.25">
      <c r="A76" s="1">
        <v>46133</v>
      </c>
      <c r="B76" s="33">
        <v>103.97</v>
      </c>
      <c r="C76" s="33">
        <v>171.44</v>
      </c>
      <c r="D76" s="15">
        <v>-6.9967218866123903E-3</v>
      </c>
      <c r="E76" s="15">
        <v>-1.42470701949157E-2</v>
      </c>
      <c r="F76" s="33">
        <v>0</v>
      </c>
      <c r="G76" s="33">
        <v>0.12673200000000001</v>
      </c>
      <c r="H76" s="33">
        <v>0</v>
      </c>
      <c r="I76" s="33">
        <v>0.45321</v>
      </c>
      <c r="J76" s="33">
        <v>0</v>
      </c>
      <c r="K76" s="33">
        <v>0</v>
      </c>
      <c r="L76" s="33">
        <v>103.97</v>
      </c>
      <c r="M76" s="33">
        <v>171.44</v>
      </c>
      <c r="N76" s="34">
        <v>1.6489371934211701</v>
      </c>
      <c r="O76" s="34">
        <v>1.71162160919586</v>
      </c>
      <c r="P76" s="34">
        <v>1.6826590061162301</v>
      </c>
      <c r="Q76" s="34">
        <v>1.6837051257721001</v>
      </c>
      <c r="R76" s="33">
        <v>177.95729870809399</v>
      </c>
      <c r="S76" s="33">
        <v>175.48707612454999</v>
      </c>
      <c r="T76" s="33">
        <v>175.18970867537001</v>
      </c>
      <c r="U76" s="15">
        <v>3.7310275449031503E-2</v>
      </c>
      <c r="V76" s="15">
        <v>2.33320487130649E-2</v>
      </c>
      <c r="W76" s="15">
        <v>2.1636085174299099E-2</v>
      </c>
      <c r="X76" s="34">
        <v>1.6489371934211701</v>
      </c>
      <c r="Y76" s="34">
        <v>1.71151559356553</v>
      </c>
      <c r="Z76" s="34">
        <v>1.6826590061162301</v>
      </c>
      <c r="AA76" s="34">
        <v>1.6837051257721001</v>
      </c>
      <c r="AB76" s="33">
        <v>177.946276263009</v>
      </c>
      <c r="AC76" s="33">
        <v>175.48707612454999</v>
      </c>
      <c r="AD76" s="33">
        <v>175.18970867537001</v>
      </c>
      <c r="AE76" s="15">
        <v>3.7248334823178901E-2</v>
      </c>
      <c r="AF76" s="15">
        <v>2.33320487130649E-2</v>
      </c>
      <c r="AG76" s="15">
        <v>2.16360851742993E-2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-5.3206592833737916E-2</v>
      </c>
      <c r="AT76" s="12"/>
      <c r="AU76">
        <f t="shared" si="10"/>
        <v>1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6.9967218866123903E-3</v>
      </c>
      <c r="BA76" s="28">
        <f t="shared" si="13"/>
        <v>-1.42470701949157E-2</v>
      </c>
      <c r="BB76" s="28">
        <f t="shared" si="20"/>
        <v>-7.2503483083033102E-3</v>
      </c>
      <c r="BC76" s="29">
        <f t="shared" si="21"/>
        <v>6.852112434816416E-3</v>
      </c>
      <c r="BE76" s="29">
        <f t="shared" si="22"/>
        <v>-7.2503483083033102E-3</v>
      </c>
      <c r="BF76" s="29">
        <f t="shared" si="23"/>
        <v>-4.6354480398921497E-2</v>
      </c>
      <c r="BH76" s="29"/>
    </row>
    <row r="77" spans="1:60" x14ac:dyDescent="0.25">
      <c r="A77" s="1">
        <v>46134</v>
      </c>
      <c r="B77" s="33">
        <v>103.7</v>
      </c>
      <c r="C77" s="33">
        <v>171.04</v>
      </c>
      <c r="D77" s="15">
        <v>-2.6002807543971701E-3</v>
      </c>
      <c r="E77" s="15">
        <v>-2.3359038885864799E-3</v>
      </c>
      <c r="F77" s="33">
        <v>0</v>
      </c>
      <c r="G77" s="33">
        <v>0.12673200000000001</v>
      </c>
      <c r="H77" s="33">
        <v>0</v>
      </c>
      <c r="I77" s="33">
        <v>0.45321</v>
      </c>
      <c r="J77" s="33">
        <v>0</v>
      </c>
      <c r="K77" s="33">
        <v>0</v>
      </c>
      <c r="L77" s="33">
        <v>103.7</v>
      </c>
      <c r="M77" s="33">
        <v>171.04</v>
      </c>
      <c r="N77" s="34">
        <v>1.6493731918997101</v>
      </c>
      <c r="O77" s="34">
        <v>1.71162160919586</v>
      </c>
      <c r="P77" s="34">
        <v>1.675677826214</v>
      </c>
      <c r="Q77" s="34">
        <v>1.6814192634032601</v>
      </c>
      <c r="R77" s="33">
        <v>177.49516087361101</v>
      </c>
      <c r="S77" s="33">
        <v>174.49173893425299</v>
      </c>
      <c r="T77" s="33">
        <v>174.600221542567</v>
      </c>
      <c r="U77" s="15">
        <v>3.7045898583220903E-2</v>
      </c>
      <c r="V77" s="15">
        <v>1.9979951894124999E-2</v>
      </c>
      <c r="W77" s="15">
        <v>2.0601464985737301E-2</v>
      </c>
      <c r="X77" s="34">
        <v>1.6493731918997101</v>
      </c>
      <c r="Y77" s="34">
        <v>1.71151559356553</v>
      </c>
      <c r="Z77" s="34">
        <v>1.67567782621401</v>
      </c>
      <c r="AA77" s="34">
        <v>1.6814192634032601</v>
      </c>
      <c r="AB77" s="33">
        <v>177.48416705274599</v>
      </c>
      <c r="AC77" s="33">
        <v>174.49173893425299</v>
      </c>
      <c r="AD77" s="33">
        <v>174.600221542567</v>
      </c>
      <c r="AE77" s="15">
        <v>3.6983957957368301E-2</v>
      </c>
      <c r="AF77" s="15">
        <v>1.9979951894124999E-2</v>
      </c>
      <c r="AG77" s="15">
        <v>2.0601464985737301E-2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-5.3206592833737916E-2</v>
      </c>
      <c r="AT77" s="12"/>
      <c r="AU77">
        <f t="shared" si="10"/>
        <v>1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2.6002807543971701E-3</v>
      </c>
      <c r="BA77" s="28">
        <f t="shared" si="13"/>
        <v>-2.3359038885864799E-3</v>
      </c>
      <c r="BB77" s="28">
        <f t="shared" si="20"/>
        <v>2.6437686581069026E-4</v>
      </c>
      <c r="BC77" s="29">
        <f t="shared" si="21"/>
        <v>7.1164893006271067E-3</v>
      </c>
      <c r="BE77" s="29">
        <f t="shared" si="22"/>
        <v>2.6437686581069026E-4</v>
      </c>
      <c r="BF77" s="29">
        <f t="shared" si="23"/>
        <v>-4.6090103533110806E-2</v>
      </c>
      <c r="BH77" s="29"/>
    </row>
    <row r="78" spans="1:60" x14ac:dyDescent="0.25">
      <c r="A78" s="1">
        <v>46135</v>
      </c>
      <c r="B78" s="33">
        <v>102.94</v>
      </c>
      <c r="C78" s="33">
        <v>174.07</v>
      </c>
      <c r="D78" s="15">
        <v>-7.3558210108732097E-3</v>
      </c>
      <c r="E78" s="15">
        <v>1.75600698878828E-2</v>
      </c>
      <c r="F78" s="33">
        <v>0</v>
      </c>
      <c r="G78" s="33">
        <v>0.12673200000000001</v>
      </c>
      <c r="H78" s="33">
        <v>0</v>
      </c>
      <c r="I78" s="33">
        <v>0.45321</v>
      </c>
      <c r="J78" s="33">
        <v>0</v>
      </c>
      <c r="K78" s="33">
        <v>0</v>
      </c>
      <c r="L78" s="33">
        <v>102.94</v>
      </c>
      <c r="M78" s="33">
        <v>174.07</v>
      </c>
      <c r="N78" s="34">
        <v>1.69098503982902</v>
      </c>
      <c r="O78" s="34">
        <v>1.71162160919586</v>
      </c>
      <c r="P78" s="34">
        <v>1.6732210846055999</v>
      </c>
      <c r="Q78" s="34">
        <v>1.68131921268758</v>
      </c>
      <c r="R78" s="33">
        <v>176.19432845062201</v>
      </c>
      <c r="S78" s="33">
        <v>172.49427543047</v>
      </c>
      <c r="T78" s="33">
        <v>173.08529897473201</v>
      </c>
      <c r="U78" s="15">
        <v>1.21300076844649E-2</v>
      </c>
      <c r="V78" s="15">
        <v>-9.0934671541859705E-3</v>
      </c>
      <c r="W78" s="15">
        <v>-5.6729865224117403E-3</v>
      </c>
      <c r="X78" s="34">
        <v>1.69098503982902</v>
      </c>
      <c r="Y78" s="34">
        <v>1.71151559356553</v>
      </c>
      <c r="Z78" s="34">
        <v>1.6732210846055999</v>
      </c>
      <c r="AA78" s="34">
        <v>1.68131921268758</v>
      </c>
      <c r="AB78" s="33">
        <v>176.183415201636</v>
      </c>
      <c r="AC78" s="33">
        <v>172.49427543047</v>
      </c>
      <c r="AD78" s="33">
        <v>173.08529897473201</v>
      </c>
      <c r="AE78" s="15">
        <v>1.20680670586122E-2</v>
      </c>
      <c r="AF78" s="15">
        <v>-9.0934671541857397E-3</v>
      </c>
      <c r="AG78" s="15">
        <v>-5.6729865224120699E-3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-5.3206592833737916E-2</v>
      </c>
      <c r="AT78" s="12"/>
      <c r="AU78">
        <f t="shared" si="10"/>
        <v>0</v>
      </c>
      <c r="AV78">
        <f t="shared" si="11"/>
        <v>1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7.3558210108732097E-3</v>
      </c>
      <c r="BA78" s="28">
        <f t="shared" si="13"/>
        <v>1.75600698878828E-2</v>
      </c>
      <c r="BB78" s="28">
        <f t="shared" si="20"/>
        <v>2.491589089875601E-2</v>
      </c>
      <c r="BC78" s="29">
        <f t="shared" si="21"/>
        <v>3.203238019938312E-2</v>
      </c>
      <c r="BE78" s="29">
        <f t="shared" si="22"/>
        <v>2.491589089875601E-2</v>
      </c>
      <c r="BF78" s="29">
        <f t="shared" si="23"/>
        <v>-2.1174212634354796E-2</v>
      </c>
      <c r="BH78" s="29"/>
    </row>
    <row r="79" spans="1:60" x14ac:dyDescent="0.25">
      <c r="A79" s="1">
        <v>46136</v>
      </c>
      <c r="B79" s="33">
        <v>103.28</v>
      </c>
      <c r="C79" s="33">
        <v>172.47</v>
      </c>
      <c r="D79" s="15">
        <v>3.2974523137786599E-3</v>
      </c>
      <c r="E79" s="15">
        <v>-9.2342088613085894E-3</v>
      </c>
      <c r="F79" s="33">
        <v>0</v>
      </c>
      <c r="G79" s="33">
        <v>0.12673200000000001</v>
      </c>
      <c r="H79" s="33">
        <v>0</v>
      </c>
      <c r="I79" s="33">
        <v>0.45321</v>
      </c>
      <c r="J79" s="33">
        <v>0</v>
      </c>
      <c r="K79" s="33">
        <v>0</v>
      </c>
      <c r="L79" s="33">
        <v>103.28</v>
      </c>
      <c r="M79" s="33">
        <v>172.47</v>
      </c>
      <c r="N79" s="34">
        <v>1.66992641363284</v>
      </c>
      <c r="O79" s="34">
        <v>1.71162160919586</v>
      </c>
      <c r="P79" s="34">
        <v>1.66865941510671</v>
      </c>
      <c r="Q79" s="34">
        <v>1.68104761315314</v>
      </c>
      <c r="R79" s="33">
        <v>176.776279797748</v>
      </c>
      <c r="S79" s="33">
        <v>172.81027361806599</v>
      </c>
      <c r="T79" s="33">
        <v>173.64664828637299</v>
      </c>
      <c r="U79" s="15">
        <v>2.4661668859552E-2</v>
      </c>
      <c r="V79" s="15">
        <v>1.9710001075929698E-3</v>
      </c>
      <c r="W79" s="15">
        <v>6.7991691535551103E-3</v>
      </c>
      <c r="X79" s="34">
        <v>1.66992641363284</v>
      </c>
      <c r="Y79" s="34">
        <v>1.71151559356553</v>
      </c>
      <c r="Z79" s="34">
        <v>1.66865941510671</v>
      </c>
      <c r="AA79" s="34">
        <v>1.68104761315314</v>
      </c>
      <c r="AB79" s="33">
        <v>176.76533050344801</v>
      </c>
      <c r="AC79" s="33">
        <v>172.81027361806599</v>
      </c>
      <c r="AD79" s="33">
        <v>173.64664828637299</v>
      </c>
      <c r="AE79" s="15">
        <v>2.4599728233699599E-2</v>
      </c>
      <c r="AF79" s="15">
        <v>1.9710001075929698E-3</v>
      </c>
      <c r="AG79" s="15">
        <v>6.7991691535551103E-3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-5.3206592833737916E-2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3.203238019938312E-2</v>
      </c>
      <c r="BE79" s="29">
        <f t="shared" si="22"/>
        <v>0</v>
      </c>
      <c r="BF79" s="29">
        <f t="shared" si="23"/>
        <v>-2.1174212634354796E-2</v>
      </c>
      <c r="BH79" s="29"/>
    </row>
    <row r="80" spans="1:60" x14ac:dyDescent="0.25">
      <c r="A80" s="1">
        <v>46139</v>
      </c>
      <c r="B80" s="33">
        <v>102.54</v>
      </c>
      <c r="C80" s="33">
        <v>172.51</v>
      </c>
      <c r="D80" s="15">
        <v>-7.1907801828325199E-3</v>
      </c>
      <c r="E80" s="15">
        <v>2.31897502343498E-4</v>
      </c>
      <c r="F80" s="33">
        <v>0</v>
      </c>
      <c r="G80" s="33">
        <v>0.12673200000000001</v>
      </c>
      <c r="H80" s="33">
        <v>0</v>
      </c>
      <c r="I80" s="33">
        <v>0.45321</v>
      </c>
      <c r="J80" s="33">
        <v>0</v>
      </c>
      <c r="K80" s="33">
        <v>0</v>
      </c>
      <c r="L80" s="33">
        <v>102.54</v>
      </c>
      <c r="M80" s="33">
        <v>172.51</v>
      </c>
      <c r="N80" s="34">
        <v>1.6823678564462601</v>
      </c>
      <c r="O80" s="34">
        <v>1.71162160919586</v>
      </c>
      <c r="P80" s="34">
        <v>1.6653839378181601</v>
      </c>
      <c r="Q80" s="34">
        <v>1.6806918470027301</v>
      </c>
      <c r="R80" s="33">
        <v>175.50967980694301</v>
      </c>
      <c r="S80" s="33">
        <v>171.10433642504199</v>
      </c>
      <c r="T80" s="33">
        <v>172.37462225272299</v>
      </c>
      <c r="U80" s="15">
        <v>1.7238991174375998E-2</v>
      </c>
      <c r="V80" s="15">
        <v>-8.1816808391756597E-3</v>
      </c>
      <c r="W80" s="15">
        <v>-7.8506112186350896E-4</v>
      </c>
      <c r="X80" s="34">
        <v>1.6823678564462601</v>
      </c>
      <c r="Y80" s="34">
        <v>1.71151559356553</v>
      </c>
      <c r="Z80" s="34">
        <v>1.6653839378181601</v>
      </c>
      <c r="AA80" s="34">
        <v>1.6806918470027301</v>
      </c>
      <c r="AB80" s="33">
        <v>175.49880896421001</v>
      </c>
      <c r="AC80" s="33">
        <v>171.10433642504199</v>
      </c>
      <c r="AD80" s="33">
        <v>172.37462225272299</v>
      </c>
      <c r="AE80" s="15">
        <v>1.71770505485234E-2</v>
      </c>
      <c r="AF80" s="15">
        <v>-8.1816808391756597E-3</v>
      </c>
      <c r="AG80" s="15">
        <v>-7.8506112186350896E-4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-5.3206592833737916E-2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3.203238019938312E-2</v>
      </c>
      <c r="BE80" s="29">
        <f t="shared" si="22"/>
        <v>0</v>
      </c>
      <c r="BF80" s="29">
        <f t="shared" si="23"/>
        <v>-2.1174212634354796E-2</v>
      </c>
      <c r="BH80" s="29"/>
    </row>
    <row r="81" spans="1:60" x14ac:dyDescent="0.25">
      <c r="A81" s="1">
        <v>46140</v>
      </c>
      <c r="B81" s="33">
        <v>101.67</v>
      </c>
      <c r="C81" s="33">
        <v>170.98</v>
      </c>
      <c r="D81" s="15">
        <v>-8.5206920684848895E-3</v>
      </c>
      <c r="E81" s="15">
        <v>-8.9086152075652202E-3</v>
      </c>
      <c r="F81" s="33">
        <v>0</v>
      </c>
      <c r="G81" s="33">
        <v>0.12673200000000001</v>
      </c>
      <c r="H81" s="33">
        <v>0</v>
      </c>
      <c r="I81" s="33">
        <v>0.45321</v>
      </c>
      <c r="J81" s="33">
        <v>0</v>
      </c>
      <c r="K81" s="33">
        <v>0</v>
      </c>
      <c r="L81" s="33">
        <v>101.67</v>
      </c>
      <c r="M81" s="33">
        <v>170.98</v>
      </c>
      <c r="N81" s="34">
        <v>1.68171535359496</v>
      </c>
      <c r="O81" s="34">
        <v>1.71162160919586</v>
      </c>
      <c r="P81" s="34">
        <v>1.6642683638026601</v>
      </c>
      <c r="Q81" s="34">
        <v>1.68178344404124</v>
      </c>
      <c r="R81" s="33">
        <v>174.02056900694299</v>
      </c>
      <c r="S81" s="33">
        <v>169.31958495797201</v>
      </c>
      <c r="T81" s="33">
        <v>170.875940084767</v>
      </c>
      <c r="U81" s="15">
        <v>1.76269143134563E-2</v>
      </c>
      <c r="V81" s="15">
        <v>-9.7586261769730398E-3</v>
      </c>
      <c r="W81" s="15">
        <v>-6.0879397573421396E-4</v>
      </c>
      <c r="X81" s="34">
        <v>1.68171535359496</v>
      </c>
      <c r="Y81" s="34">
        <v>1.71151559356553</v>
      </c>
      <c r="Z81" s="34">
        <v>1.6642683638026601</v>
      </c>
      <c r="AA81" s="34">
        <v>1.68178344404124</v>
      </c>
      <c r="AB81" s="33">
        <v>174.00979039780799</v>
      </c>
      <c r="AC81" s="33">
        <v>169.31958495797201</v>
      </c>
      <c r="AD81" s="33">
        <v>170.875940084767</v>
      </c>
      <c r="AE81" s="15">
        <v>1.7564973687603801E-2</v>
      </c>
      <c r="AF81" s="15">
        <v>-9.7586261769730398E-3</v>
      </c>
      <c r="AG81" s="15">
        <v>-6.0879397573421396E-4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-5.3206592833737916E-2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3.203238019938312E-2</v>
      </c>
      <c r="BE81" s="29">
        <f t="shared" si="22"/>
        <v>0</v>
      </c>
      <c r="BF81" s="29">
        <f t="shared" si="23"/>
        <v>-2.1174212634354796E-2</v>
      </c>
      <c r="BH81" s="29"/>
    </row>
    <row r="82" spans="1:60" x14ac:dyDescent="0.25">
      <c r="A82" s="1">
        <v>46141</v>
      </c>
      <c r="B82" s="33">
        <v>101.52</v>
      </c>
      <c r="C82" s="33">
        <v>169.93</v>
      </c>
      <c r="D82" s="15">
        <v>-1.47645088093751E-3</v>
      </c>
      <c r="E82" s="15">
        <v>-6.1600030520734097E-3</v>
      </c>
      <c r="F82" s="33">
        <v>0</v>
      </c>
      <c r="G82" s="33">
        <v>0.12673200000000001</v>
      </c>
      <c r="H82" s="33">
        <v>0</v>
      </c>
      <c r="I82" s="33">
        <v>0.45321</v>
      </c>
      <c r="J82" s="33">
        <v>0</v>
      </c>
      <c r="K82" s="33">
        <v>0</v>
      </c>
      <c r="L82" s="33">
        <v>101.52</v>
      </c>
      <c r="M82" s="33">
        <v>169.93</v>
      </c>
      <c r="N82" s="34">
        <v>1.6738573680063</v>
      </c>
      <c r="O82" s="34">
        <v>1.71162160919586</v>
      </c>
      <c r="P82" s="34">
        <v>1.6662308304061499</v>
      </c>
      <c r="Q82" s="34">
        <v>1.6820415208608801</v>
      </c>
      <c r="R82" s="33">
        <v>173.76382576556401</v>
      </c>
      <c r="S82" s="33">
        <v>168.95652429324599</v>
      </c>
      <c r="T82" s="33">
        <v>170.734655239067</v>
      </c>
      <c r="U82" s="15">
        <v>2.2310466484592201E-2</v>
      </c>
      <c r="V82" s="15">
        <v>-5.7451584207791903E-3</v>
      </c>
      <c r="W82" s="15">
        <v>4.7240400383194003E-3</v>
      </c>
      <c r="X82" s="34">
        <v>1.6738573680063</v>
      </c>
      <c r="Y82" s="34">
        <v>1.71151559356553</v>
      </c>
      <c r="Z82" s="34">
        <v>1.6662308304061499</v>
      </c>
      <c r="AA82" s="34">
        <v>1.6820415208608801</v>
      </c>
      <c r="AB82" s="33">
        <v>173.75306305877299</v>
      </c>
      <c r="AC82" s="33">
        <v>168.95652429324599</v>
      </c>
      <c r="AD82" s="33">
        <v>170.734655239067</v>
      </c>
      <c r="AE82" s="15">
        <v>2.2248525858739598E-2</v>
      </c>
      <c r="AF82" s="15">
        <v>-5.7451584207791903E-3</v>
      </c>
      <c r="AG82" s="15">
        <v>4.7240400383194003E-3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-5.3206592833737916E-2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3.203238019938312E-2</v>
      </c>
      <c r="BE82" s="29">
        <f t="shared" si="22"/>
        <v>0</v>
      </c>
      <c r="BF82" s="29">
        <f t="shared" si="23"/>
        <v>-2.1174212634354796E-2</v>
      </c>
      <c r="BH82" s="29"/>
    </row>
    <row r="83" spans="1:60" x14ac:dyDescent="0.25">
      <c r="A83" s="1">
        <v>46142</v>
      </c>
      <c r="B83" s="33">
        <v>102.88</v>
      </c>
      <c r="C83" s="33">
        <v>174.58</v>
      </c>
      <c r="D83" s="15">
        <v>1.3307437083176899E-2</v>
      </c>
      <c r="E83" s="15">
        <v>2.69965017611896E-2</v>
      </c>
      <c r="F83" s="33">
        <v>0</v>
      </c>
      <c r="G83" s="33">
        <v>0.12673200000000001</v>
      </c>
      <c r="H83" s="33">
        <v>0</v>
      </c>
      <c r="I83" s="33">
        <v>0.45321</v>
      </c>
      <c r="J83" s="33">
        <v>0</v>
      </c>
      <c r="K83" s="33">
        <v>0</v>
      </c>
      <c r="L83" s="33">
        <v>102.88</v>
      </c>
      <c r="M83" s="33">
        <v>174.58</v>
      </c>
      <c r="N83" s="34">
        <v>1.69692846034214</v>
      </c>
      <c r="O83" s="34">
        <v>1.71162160919586</v>
      </c>
      <c r="P83" s="34">
        <v>1.6709551534379401</v>
      </c>
      <c r="Q83" s="34">
        <v>1.6823741692069301</v>
      </c>
      <c r="R83" s="33">
        <v>176.09163115407</v>
      </c>
      <c r="S83" s="33">
        <v>171.42182783218399</v>
      </c>
      <c r="T83" s="33">
        <v>173.04843166616701</v>
      </c>
      <c r="U83" s="15">
        <v>8.6214018065796805E-3</v>
      </c>
      <c r="V83" s="15">
        <v>-1.8255741005759201E-2</v>
      </c>
      <c r="W83" s="15">
        <v>-8.8115821610687609E-3</v>
      </c>
      <c r="X83" s="34">
        <v>1.69692846034214</v>
      </c>
      <c r="Y83" s="34">
        <v>1.71151559356553</v>
      </c>
      <c r="Z83" s="34">
        <v>1.6709551534379401</v>
      </c>
      <c r="AA83" s="34">
        <v>1.6823741692069301</v>
      </c>
      <c r="AB83" s="33">
        <v>176.080724266022</v>
      </c>
      <c r="AC83" s="33">
        <v>171.42182783218399</v>
      </c>
      <c r="AD83" s="33">
        <v>173.04843166616701</v>
      </c>
      <c r="AE83" s="15">
        <v>8.5594611807272292E-3</v>
      </c>
      <c r="AF83" s="15">
        <v>-1.8255741005759399E-2</v>
      </c>
      <c r="AG83" s="15">
        <v>-8.8115821610687609E-3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-5.3206592833737916E-2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3.203238019938312E-2</v>
      </c>
      <c r="BE83" s="29">
        <f t="shared" si="22"/>
        <v>0</v>
      </c>
      <c r="BF83" s="29">
        <f t="shared" si="23"/>
        <v>-2.1174212634354796E-2</v>
      </c>
      <c r="BH83" s="29"/>
    </row>
    <row r="84" spans="1:60" x14ac:dyDescent="0.25">
      <c r="A84" s="1">
        <v>46143</v>
      </c>
      <c r="B84" s="33">
        <v>102.5</v>
      </c>
      <c r="C84" s="33">
        <v>172.96</v>
      </c>
      <c r="D84" s="15">
        <v>-3.7004619108463302E-3</v>
      </c>
      <c r="E84" s="15">
        <v>-9.3227354163055894E-3</v>
      </c>
      <c r="F84" s="33">
        <v>0</v>
      </c>
      <c r="G84" s="33">
        <v>0.12673200000000001</v>
      </c>
      <c r="H84" s="33">
        <v>0</v>
      </c>
      <c r="I84" s="33">
        <v>0.45321</v>
      </c>
      <c r="J84" s="33">
        <v>0</v>
      </c>
      <c r="K84" s="33">
        <v>0</v>
      </c>
      <c r="L84" s="33">
        <v>102.5</v>
      </c>
      <c r="M84" s="33">
        <v>172.96</v>
      </c>
      <c r="N84" s="34">
        <v>1.6874146341463401</v>
      </c>
      <c r="O84" s="34">
        <v>1.71162160919586</v>
      </c>
      <c r="P84" s="34">
        <v>1.6742441518959601</v>
      </c>
      <c r="Q84" s="34">
        <v>1.6822664112825501</v>
      </c>
      <c r="R84" s="33">
        <v>175.44121494257601</v>
      </c>
      <c r="S84" s="33">
        <v>171.27290322738901</v>
      </c>
      <c r="T84" s="33">
        <v>172.44335234370999</v>
      </c>
      <c r="U84" s="15">
        <v>1.4243675312038699E-2</v>
      </c>
      <c r="V84" s="15">
        <v>-9.8021442173506605E-3</v>
      </c>
      <c r="W84" s="15">
        <v>-2.9915635623853701E-3</v>
      </c>
      <c r="X84" s="34">
        <v>1.6874146341463401</v>
      </c>
      <c r="Y84" s="34">
        <v>1.71151559356553</v>
      </c>
      <c r="Z84" s="34">
        <v>1.6742441518959601</v>
      </c>
      <c r="AA84" s="34">
        <v>1.6822664112825501</v>
      </c>
      <c r="AB84" s="33">
        <v>175.43034834046699</v>
      </c>
      <c r="AC84" s="33">
        <v>171.27290322738901</v>
      </c>
      <c r="AD84" s="33">
        <v>172.44335234370999</v>
      </c>
      <c r="AE84" s="15">
        <v>1.41817346861863E-2</v>
      </c>
      <c r="AF84" s="15">
        <v>-9.8021442173506605E-3</v>
      </c>
      <c r="AG84" s="15">
        <v>-2.9915635623853701E-3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-5.3206592833737916E-2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3.203238019938312E-2</v>
      </c>
      <c r="BE84" s="29">
        <f t="shared" si="22"/>
        <v>0</v>
      </c>
      <c r="BF84" s="29">
        <f t="shared" si="23"/>
        <v>-2.1174212634354796E-2</v>
      </c>
      <c r="BH84" s="29"/>
    </row>
    <row r="85" spans="1:60" x14ac:dyDescent="0.25">
      <c r="A85" s="1">
        <v>46146</v>
      </c>
      <c r="B85" s="33">
        <v>101.52</v>
      </c>
      <c r="C85" s="33">
        <v>170.98</v>
      </c>
      <c r="D85" s="15">
        <v>-9.60697517233065E-3</v>
      </c>
      <c r="E85" s="15">
        <v>-1.15137632928106E-2</v>
      </c>
      <c r="F85" s="33">
        <v>0</v>
      </c>
      <c r="G85" s="33">
        <v>0.12673200000000001</v>
      </c>
      <c r="H85" s="33">
        <v>0</v>
      </c>
      <c r="I85" s="33">
        <v>0.45321</v>
      </c>
      <c r="J85" s="33">
        <v>0</v>
      </c>
      <c r="K85" s="33">
        <v>0</v>
      </c>
      <c r="L85" s="33">
        <v>101.52</v>
      </c>
      <c r="M85" s="33">
        <v>170.98</v>
      </c>
      <c r="N85" s="34">
        <v>1.6842001576044101</v>
      </c>
      <c r="O85" s="34">
        <v>1.71162160919586</v>
      </c>
      <c r="P85" s="34">
        <v>1.6765705668923101</v>
      </c>
      <c r="Q85" s="34">
        <v>1.6822165911529501</v>
      </c>
      <c r="R85" s="33">
        <v>173.76382576556401</v>
      </c>
      <c r="S85" s="33">
        <v>169.96926630047801</v>
      </c>
      <c r="T85" s="33">
        <v>170.78368607340499</v>
      </c>
      <c r="U85" s="15">
        <v>1.6150463432518702E-2</v>
      </c>
      <c r="V85" s="15">
        <v>-5.92895635944303E-3</v>
      </c>
      <c r="W85" s="15">
        <v>-1.1488285981552E-3</v>
      </c>
      <c r="X85" s="34">
        <v>1.6842001576044101</v>
      </c>
      <c r="Y85" s="34">
        <v>1.71151559356553</v>
      </c>
      <c r="Z85" s="34">
        <v>1.6765705668923101</v>
      </c>
      <c r="AA85" s="34">
        <v>1.6822165911529501</v>
      </c>
      <c r="AB85" s="33">
        <v>173.75306305877299</v>
      </c>
      <c r="AC85" s="33">
        <v>169.96926630047801</v>
      </c>
      <c r="AD85" s="33">
        <v>170.78368607340499</v>
      </c>
      <c r="AE85" s="15">
        <v>1.60885228066662E-2</v>
      </c>
      <c r="AF85" s="15">
        <v>-5.92895635944303E-3</v>
      </c>
      <c r="AG85" s="15">
        <v>-1.1488285981552E-3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-5.3206592833737916E-2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3.203238019938312E-2</v>
      </c>
      <c r="BE85" s="29">
        <f t="shared" si="22"/>
        <v>0</v>
      </c>
      <c r="BF85" s="29">
        <f t="shared" si="23"/>
        <v>-2.1174212634354796E-2</v>
      </c>
      <c r="BH85" s="29"/>
    </row>
    <row r="86" spans="1:60" x14ac:dyDescent="0.25">
      <c r="A86" s="1">
        <v>46147</v>
      </c>
      <c r="B86" s="33">
        <v>101.71</v>
      </c>
      <c r="C86" s="33">
        <v>172.41</v>
      </c>
      <c r="D86" s="15">
        <v>1.8698032313726901E-3</v>
      </c>
      <c r="E86" s="15">
        <v>8.32877058967222E-3</v>
      </c>
      <c r="F86" s="33">
        <v>0</v>
      </c>
      <c r="G86" s="33">
        <v>0.12673200000000001</v>
      </c>
      <c r="H86" s="33">
        <v>0</v>
      </c>
      <c r="I86" s="33">
        <v>0.45321</v>
      </c>
      <c r="J86" s="33">
        <v>0</v>
      </c>
      <c r="K86" s="33">
        <v>0</v>
      </c>
      <c r="L86" s="33">
        <v>101.71</v>
      </c>
      <c r="M86" s="33">
        <v>172.41</v>
      </c>
      <c r="N86" s="34">
        <v>1.6951135581555401</v>
      </c>
      <c r="O86" s="34">
        <v>1.71162160919586</v>
      </c>
      <c r="P86" s="34">
        <v>1.6811882033657499</v>
      </c>
      <c r="Q86" s="34">
        <v>1.68192360474099</v>
      </c>
      <c r="R86" s="33">
        <v>174.08903387131099</v>
      </c>
      <c r="S86" s="33">
        <v>170.52399235861699</v>
      </c>
      <c r="T86" s="33">
        <v>171.098249486166</v>
      </c>
      <c r="U86" s="15">
        <v>9.6914960742190692E-3</v>
      </c>
      <c r="V86" s="15">
        <v>-1.09993567181354E-2</v>
      </c>
      <c r="W86" s="15">
        <v>-7.6374112819444402E-3</v>
      </c>
      <c r="X86" s="34">
        <v>1.6951135581555401</v>
      </c>
      <c r="Y86" s="34">
        <v>1.71151559356553</v>
      </c>
      <c r="Z86" s="34">
        <v>1.6811882033657499</v>
      </c>
      <c r="AA86" s="34">
        <v>1.68192360474099</v>
      </c>
      <c r="AB86" s="33">
        <v>174.07825102154999</v>
      </c>
      <c r="AC86" s="33">
        <v>170.52399235861699</v>
      </c>
      <c r="AD86" s="33">
        <v>171.098249486166</v>
      </c>
      <c r="AE86" s="15">
        <v>9.6295554483666803E-3</v>
      </c>
      <c r="AF86" s="15">
        <v>-1.09993567181354E-2</v>
      </c>
      <c r="AG86" s="15">
        <v>-7.6374112819444402E-3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-5.3206592833737916E-2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3.203238019938312E-2</v>
      </c>
      <c r="BE86" s="29">
        <f t="shared" si="22"/>
        <v>0</v>
      </c>
      <c r="BF86" s="29">
        <f t="shared" si="23"/>
        <v>-2.1174212634354796E-2</v>
      </c>
      <c r="BH86" s="29"/>
    </row>
    <row r="87" spans="1:60" x14ac:dyDescent="0.25">
      <c r="A87" s="1">
        <v>46148</v>
      </c>
      <c r="B87" s="33">
        <v>103.28</v>
      </c>
      <c r="C87" s="33">
        <v>176.87</v>
      </c>
      <c r="D87" s="15">
        <v>1.53181199008822E-2</v>
      </c>
      <c r="E87" s="15">
        <v>2.5539638258942499E-2</v>
      </c>
      <c r="F87" s="33">
        <v>0</v>
      </c>
      <c r="G87" s="33">
        <v>0.12673200000000001</v>
      </c>
      <c r="H87" s="33">
        <v>0</v>
      </c>
      <c r="I87" s="33">
        <v>0.45321</v>
      </c>
      <c r="J87" s="33">
        <v>0</v>
      </c>
      <c r="K87" s="33">
        <v>0</v>
      </c>
      <c r="L87" s="33">
        <v>103.28</v>
      </c>
      <c r="M87" s="33">
        <v>176.87</v>
      </c>
      <c r="N87" s="34">
        <v>1.71252904725019</v>
      </c>
      <c r="O87" s="34">
        <v>1.71162160919586</v>
      </c>
      <c r="P87" s="34">
        <v>1.6875037889008</v>
      </c>
      <c r="Q87" s="34">
        <v>1.6815908075574</v>
      </c>
      <c r="R87" s="33">
        <v>176.776279797748</v>
      </c>
      <c r="S87" s="33">
        <v>173.63311764361501</v>
      </c>
      <c r="T87" s="33">
        <v>173.70906989764899</v>
      </c>
      <c r="U87" s="15">
        <v>-5.30022283841003E-4</v>
      </c>
      <c r="V87" s="15">
        <v>-1.8470445578210499E-2</v>
      </c>
      <c r="W87" s="15">
        <v>-1.8033111686910099E-2</v>
      </c>
      <c r="X87" s="34">
        <v>1.71252904725019</v>
      </c>
      <c r="Y87" s="34">
        <v>1.71151559356553</v>
      </c>
      <c r="Z87" s="34">
        <v>1.6875037889008</v>
      </c>
      <c r="AA87" s="34">
        <v>1.6815908075574</v>
      </c>
      <c r="AB87" s="33">
        <v>176.76533050344801</v>
      </c>
      <c r="AC87" s="33">
        <v>173.63311764361501</v>
      </c>
      <c r="AD87" s="33">
        <v>173.70906989764899</v>
      </c>
      <c r="AE87" s="15">
        <v>-5.9196290969359001E-4</v>
      </c>
      <c r="AF87" s="15">
        <v>-1.8470445578210499E-2</v>
      </c>
      <c r="AG87" s="15">
        <v>-1.8033111686910099E-2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-5.3206592833737916E-2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3.203238019938312E-2</v>
      </c>
      <c r="BE87" s="29">
        <f t="shared" ref="BE87:BE150" si="42">AQ87+BB87</f>
        <v>0</v>
      </c>
      <c r="BF87" s="29">
        <f t="shared" ref="BF87:BF150" si="43">BF86+BE87</f>
        <v>-2.1174212634354796E-2</v>
      </c>
      <c r="BH87" s="29"/>
    </row>
    <row r="88" spans="1:60" x14ac:dyDescent="0.25">
      <c r="A88" s="1">
        <v>46149</v>
      </c>
      <c r="B88" s="33">
        <v>102.99</v>
      </c>
      <c r="C88" s="33">
        <v>174</v>
      </c>
      <c r="D88" s="15">
        <v>-2.8118504006767399E-3</v>
      </c>
      <c r="E88" s="15">
        <v>-1.6359700232173299E-2</v>
      </c>
      <c r="F88" s="33">
        <v>0</v>
      </c>
      <c r="G88" s="33">
        <v>0.12673200000000001</v>
      </c>
      <c r="H88" s="33">
        <v>0</v>
      </c>
      <c r="I88" s="33">
        <v>0.45321</v>
      </c>
      <c r="J88" s="33">
        <v>0</v>
      </c>
      <c r="K88" s="33">
        <v>0</v>
      </c>
      <c r="L88" s="33">
        <v>102.99</v>
      </c>
      <c r="M88" s="33">
        <v>174</v>
      </c>
      <c r="N88" s="34">
        <v>1.68948441596271</v>
      </c>
      <c r="O88" s="34">
        <v>1.71162160919586</v>
      </c>
      <c r="P88" s="34">
        <v>1.68735372651417</v>
      </c>
      <c r="Q88" s="34">
        <v>1.68028740555988</v>
      </c>
      <c r="R88" s="33">
        <v>176.27990953108201</v>
      </c>
      <c r="S88" s="33">
        <v>173.79601521889299</v>
      </c>
      <c r="T88" s="33">
        <v>173.18703727033699</v>
      </c>
      <c r="U88" s="15">
        <v>1.3017827547655399E-2</v>
      </c>
      <c r="V88" s="15">
        <v>-1.1730140402410199E-3</v>
      </c>
      <c r="W88" s="15">
        <v>-4.6831484370530602E-3</v>
      </c>
      <c r="X88" s="34">
        <v>1.68948441596271</v>
      </c>
      <c r="Y88" s="34">
        <v>1.71151559356553</v>
      </c>
      <c r="Z88" s="34">
        <v>1.68735372651417</v>
      </c>
      <c r="AA88" s="34">
        <v>1.68028740555988</v>
      </c>
      <c r="AB88" s="33">
        <v>176.268990981314</v>
      </c>
      <c r="AC88" s="33">
        <v>173.79601521889299</v>
      </c>
      <c r="AD88" s="33">
        <v>173.18703727033699</v>
      </c>
      <c r="AE88" s="15">
        <v>1.2955886921803E-2</v>
      </c>
      <c r="AF88" s="15">
        <v>-1.1730140402410199E-3</v>
      </c>
      <c r="AG88" s="15">
        <v>-4.6831484370530602E-3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-5.3206592833737916E-2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3.203238019938312E-2</v>
      </c>
      <c r="BE88" s="29">
        <f t="shared" si="42"/>
        <v>0</v>
      </c>
      <c r="BF88" s="29">
        <f t="shared" si="43"/>
        <v>-2.1174212634354796E-2</v>
      </c>
      <c r="BH88" s="29"/>
    </row>
    <row r="89" spans="1:60" x14ac:dyDescent="0.25">
      <c r="A89" s="1">
        <v>46150</v>
      </c>
      <c r="B89" s="33">
        <v>102.78</v>
      </c>
      <c r="C89" s="33">
        <v>173.2</v>
      </c>
      <c r="D89" s="15">
        <v>-2.04111457362674E-3</v>
      </c>
      <c r="E89" s="15">
        <v>-4.6083030861943297E-3</v>
      </c>
      <c r="F89" s="33">
        <v>0</v>
      </c>
      <c r="G89" s="33">
        <v>0.12673200000000001</v>
      </c>
      <c r="H89" s="33">
        <v>0</v>
      </c>
      <c r="I89" s="33">
        <v>0.45321</v>
      </c>
      <c r="J89" s="33">
        <v>0</v>
      </c>
      <c r="K89" s="33">
        <v>0</v>
      </c>
      <c r="L89" s="33">
        <v>102.78</v>
      </c>
      <c r="M89" s="33">
        <v>173.2</v>
      </c>
      <c r="N89" s="34">
        <v>1.6851527534539701</v>
      </c>
      <c r="O89" s="34">
        <v>1.71162160919586</v>
      </c>
      <c r="P89" s="34">
        <v>1.68887636049628</v>
      </c>
      <c r="Q89" s="34">
        <v>1.67876788780149</v>
      </c>
      <c r="R89" s="33">
        <v>175.92046899315</v>
      </c>
      <c r="S89" s="33">
        <v>173.426216011126</v>
      </c>
      <c r="T89" s="33">
        <v>172.699939543445</v>
      </c>
      <c r="U89" s="15">
        <v>1.5585016060223E-2</v>
      </c>
      <c r="V89" s="15">
        <v>1.30524485912371E-3</v>
      </c>
      <c r="W89" s="15">
        <v>-2.89136104267023E-3</v>
      </c>
      <c r="X89" s="34">
        <v>1.6851527534539701</v>
      </c>
      <c r="Y89" s="34">
        <v>1.71151559356553</v>
      </c>
      <c r="Z89" s="34">
        <v>1.68887636049628</v>
      </c>
      <c r="AA89" s="34">
        <v>1.67876788780149</v>
      </c>
      <c r="AB89" s="33">
        <v>175.90957270666601</v>
      </c>
      <c r="AC89" s="33">
        <v>173.426216011126</v>
      </c>
      <c r="AD89" s="33">
        <v>172.699939543445</v>
      </c>
      <c r="AE89" s="15">
        <v>1.55230754343704E-2</v>
      </c>
      <c r="AF89" s="15">
        <v>1.30524485912371E-3</v>
      </c>
      <c r="AG89" s="15">
        <v>-2.89136104267023E-3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-5.3206592833737916E-2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3.203238019938312E-2</v>
      </c>
      <c r="BE89" s="29">
        <f t="shared" si="42"/>
        <v>0</v>
      </c>
      <c r="BF89" s="29">
        <f t="shared" si="43"/>
        <v>-2.1174212634354796E-2</v>
      </c>
      <c r="BH89" s="29"/>
    </row>
    <row r="90" spans="1:60" x14ac:dyDescent="0.25">
      <c r="A90" s="1">
        <v>46153</v>
      </c>
      <c r="B90" s="33">
        <v>101.38</v>
      </c>
      <c r="C90" s="33">
        <v>175.04</v>
      </c>
      <c r="D90" s="15">
        <v>-1.37149485198803E-2</v>
      </c>
      <c r="E90" s="15">
        <v>1.0567523105281499E-2</v>
      </c>
      <c r="F90" s="33">
        <v>0</v>
      </c>
      <c r="G90" s="33">
        <v>0.12673200000000001</v>
      </c>
      <c r="H90" s="33">
        <v>0</v>
      </c>
      <c r="I90" s="33">
        <v>0.45321</v>
      </c>
      <c r="J90" s="33">
        <v>0</v>
      </c>
      <c r="K90" s="33">
        <v>0</v>
      </c>
      <c r="L90" s="33">
        <v>101.38</v>
      </c>
      <c r="M90" s="33">
        <v>175.04</v>
      </c>
      <c r="N90" s="34">
        <v>1.7265732886170799</v>
      </c>
      <c r="O90" s="34">
        <v>1.71162160919586</v>
      </c>
      <c r="P90" s="34">
        <v>1.6932969037133601</v>
      </c>
      <c r="Q90" s="34">
        <v>1.6793404207657601</v>
      </c>
      <c r="R90" s="33">
        <v>173.52419874027601</v>
      </c>
      <c r="S90" s="33">
        <v>171.21828542711299</v>
      </c>
      <c r="T90" s="33">
        <v>170.193488465315</v>
      </c>
      <c r="U90" s="15">
        <v>-8.69745556493879E-3</v>
      </c>
      <c r="V90" s="15">
        <v>-2.2075253828115E-2</v>
      </c>
      <c r="W90" s="15">
        <v>-2.8078561961832501E-2</v>
      </c>
      <c r="X90" s="34">
        <v>1.7265732886170799</v>
      </c>
      <c r="Y90" s="34">
        <v>1.71151559356553</v>
      </c>
      <c r="Z90" s="34">
        <v>1.6932969037133601</v>
      </c>
      <c r="AA90" s="34">
        <v>1.6793404207657601</v>
      </c>
      <c r="AB90" s="33">
        <v>173.51345087567401</v>
      </c>
      <c r="AC90" s="33">
        <v>171.21828542711299</v>
      </c>
      <c r="AD90" s="33">
        <v>170.193488465315</v>
      </c>
      <c r="AE90" s="15">
        <v>-8.7593961907914998E-3</v>
      </c>
      <c r="AF90" s="15">
        <v>-2.2075253828115E-2</v>
      </c>
      <c r="AG90" s="15">
        <v>-2.8078561961832501E-2</v>
      </c>
      <c r="AI90" s="12"/>
      <c r="AJ90">
        <f t="shared" si="26"/>
        <v>1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-5.3206592833737916E-2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3.203238019938312E-2</v>
      </c>
      <c r="BE90" s="29">
        <f t="shared" si="42"/>
        <v>0</v>
      </c>
      <c r="BF90" s="29">
        <f t="shared" si="43"/>
        <v>-2.1174212634354796E-2</v>
      </c>
      <c r="BH90" s="29"/>
    </row>
    <row r="91" spans="1:60" x14ac:dyDescent="0.25">
      <c r="A91" s="1">
        <v>46154</v>
      </c>
      <c r="B91" s="33">
        <v>101.35</v>
      </c>
      <c r="C91" s="33">
        <v>174.35</v>
      </c>
      <c r="D91" s="15">
        <v>-2.9596014619421998E-4</v>
      </c>
      <c r="E91" s="15">
        <v>-3.9497461119562399E-3</v>
      </c>
      <c r="F91" s="33">
        <v>0</v>
      </c>
      <c r="G91" s="33">
        <v>0.12673200000000001</v>
      </c>
      <c r="H91" s="33">
        <v>0</v>
      </c>
      <c r="I91" s="33">
        <v>0.45321</v>
      </c>
      <c r="J91" s="33">
        <v>0</v>
      </c>
      <c r="K91" s="33">
        <v>0</v>
      </c>
      <c r="L91" s="33">
        <v>101.35</v>
      </c>
      <c r="M91" s="33">
        <v>174.35</v>
      </c>
      <c r="N91" s="34">
        <v>1.7202762703502701</v>
      </c>
      <c r="O91" s="34">
        <v>1.71162160919586</v>
      </c>
      <c r="P91" s="34">
        <v>1.69715299538889</v>
      </c>
      <c r="Q91" s="34">
        <v>1.68071067959577</v>
      </c>
      <c r="R91" s="33">
        <v>173.47285009199999</v>
      </c>
      <c r="S91" s="33">
        <v>171.615641191349</v>
      </c>
      <c r="T91" s="33">
        <v>170.20115164461001</v>
      </c>
      <c r="U91" s="15">
        <v>-5.0436695991768598E-3</v>
      </c>
      <c r="V91" s="15">
        <v>-1.5807441087887699E-2</v>
      </c>
      <c r="W91" s="15">
        <v>-2.4083790585711199E-2</v>
      </c>
      <c r="X91" s="34">
        <v>1.7202762703502701</v>
      </c>
      <c r="Y91" s="34">
        <v>1.71151559356553</v>
      </c>
      <c r="Z91" s="34">
        <v>1.69715299538889</v>
      </c>
      <c r="AA91" s="34">
        <v>1.68071067959577</v>
      </c>
      <c r="AB91" s="33">
        <v>173.462105407867</v>
      </c>
      <c r="AC91" s="33">
        <v>171.615641191349</v>
      </c>
      <c r="AD91" s="33">
        <v>170.20115164461001</v>
      </c>
      <c r="AE91" s="15">
        <v>-5.1056102250293996E-3</v>
      </c>
      <c r="AF91" s="15">
        <v>-1.5807441087887699E-2</v>
      </c>
      <c r="AG91" s="15">
        <v>-2.4083790585711199E-2</v>
      </c>
      <c r="AI91" s="12"/>
      <c r="AJ91">
        <f t="shared" si="26"/>
        <v>1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-2.9596014619421998E-4</v>
      </c>
      <c r="AP91" s="28">
        <f t="shared" si="29"/>
        <v>3.9497461119562399E-3</v>
      </c>
      <c r="AQ91" s="28">
        <f t="shared" si="36"/>
        <v>3.6537859657620199E-3</v>
      </c>
      <c r="AR91" s="29">
        <f t="shared" si="37"/>
        <v>-4.9552806867975897E-2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3.203238019938312E-2</v>
      </c>
      <c r="BE91" s="29">
        <f t="shared" si="42"/>
        <v>3.6537859657620199E-3</v>
      </c>
      <c r="BF91" s="29">
        <f t="shared" si="43"/>
        <v>-1.7520426668592777E-2</v>
      </c>
      <c r="BH91" s="29"/>
    </row>
    <row r="92" spans="1:60" x14ac:dyDescent="0.25">
      <c r="A92" s="1">
        <v>46155</v>
      </c>
      <c r="B92" s="33">
        <v>101.32</v>
      </c>
      <c r="C92" s="33">
        <v>173.62</v>
      </c>
      <c r="D92" s="15">
        <v>-2.9604776453452799E-4</v>
      </c>
      <c r="E92" s="15">
        <v>-4.1957701579981898E-3</v>
      </c>
      <c r="F92" s="33">
        <v>0</v>
      </c>
      <c r="G92" s="33">
        <v>0.12673200000000001</v>
      </c>
      <c r="H92" s="33">
        <v>0</v>
      </c>
      <c r="I92" s="33">
        <v>0.45321</v>
      </c>
      <c r="J92" s="33">
        <v>0</v>
      </c>
      <c r="K92" s="33">
        <v>0</v>
      </c>
      <c r="L92" s="33">
        <v>101.32</v>
      </c>
      <c r="M92" s="33">
        <v>173.62</v>
      </c>
      <c r="N92" s="34">
        <v>1.7135807343071401</v>
      </c>
      <c r="O92" s="34">
        <v>1.71162160919586</v>
      </c>
      <c r="P92" s="34">
        <v>1.7011253320189801</v>
      </c>
      <c r="Q92" s="34">
        <v>1.68367808121256</v>
      </c>
      <c r="R92" s="33">
        <v>173.421501443724</v>
      </c>
      <c r="S92" s="33">
        <v>171.95554149280301</v>
      </c>
      <c r="T92" s="33">
        <v>170.289606056644</v>
      </c>
      <c r="U92" s="15">
        <v>-1.1439472057133101E-3</v>
      </c>
      <c r="V92" s="15">
        <v>-9.6330392548470006E-3</v>
      </c>
      <c r="W92" s="15">
        <v>-1.93684502953483E-2</v>
      </c>
      <c r="X92" s="34">
        <v>1.7135807343071401</v>
      </c>
      <c r="Y92" s="34">
        <v>1.71151559356553</v>
      </c>
      <c r="Z92" s="34">
        <v>1.7011253320189801</v>
      </c>
      <c r="AA92" s="34">
        <v>1.68367808121256</v>
      </c>
      <c r="AB92" s="33">
        <v>173.41075994005999</v>
      </c>
      <c r="AC92" s="33">
        <v>171.95554149280301</v>
      </c>
      <c r="AD92" s="33">
        <v>170.289606056644</v>
      </c>
      <c r="AE92" s="15">
        <v>-1.2058878315659299E-3</v>
      </c>
      <c r="AF92" s="15">
        <v>-9.6330392548470006E-3</v>
      </c>
      <c r="AG92" s="15">
        <v>-1.93684502953483E-2</v>
      </c>
      <c r="AI92" s="12"/>
      <c r="AJ92">
        <f t="shared" si="26"/>
        <v>0</v>
      </c>
      <c r="AK92">
        <f t="shared" si="27"/>
        <v>0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-2.9604776453452799E-4</v>
      </c>
      <c r="AP92" s="28">
        <f t="shared" si="29"/>
        <v>4.1957701579981898E-3</v>
      </c>
      <c r="AQ92" s="28">
        <f t="shared" si="36"/>
        <v>3.8997223934636618E-3</v>
      </c>
      <c r="AR92" s="29">
        <f t="shared" si="37"/>
        <v>-4.5653084474512239E-2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3.203238019938312E-2</v>
      </c>
      <c r="BE92" s="29">
        <f t="shared" si="42"/>
        <v>3.8997223934636618E-3</v>
      </c>
      <c r="BF92" s="29">
        <f t="shared" si="43"/>
        <v>-1.3620704275129115E-2</v>
      </c>
      <c r="BH92" s="29"/>
    </row>
    <row r="93" spans="1:60" x14ac:dyDescent="0.25">
      <c r="A93" s="1">
        <v>46156</v>
      </c>
      <c r="B93" s="33">
        <v>101.58</v>
      </c>
      <c r="C93" s="33">
        <v>174.51</v>
      </c>
      <c r="D93" s="15">
        <v>2.5628402396246299E-3</v>
      </c>
      <c r="E93" s="15">
        <v>5.1130436271177599E-3</v>
      </c>
      <c r="F93" s="33">
        <v>0</v>
      </c>
      <c r="G93" s="33">
        <v>0.12673200000000001</v>
      </c>
      <c r="H93" s="33">
        <v>0</v>
      </c>
      <c r="I93" s="33">
        <v>0.45321</v>
      </c>
      <c r="J93" s="33">
        <v>0</v>
      </c>
      <c r="K93" s="33">
        <v>0</v>
      </c>
      <c r="L93" s="33">
        <v>101.58</v>
      </c>
      <c r="M93" s="33">
        <v>174.51</v>
      </c>
      <c r="N93" s="34">
        <v>1.7179562906083801</v>
      </c>
      <c r="O93" s="34">
        <v>1.71162160919586</v>
      </c>
      <c r="P93" s="34">
        <v>1.7032281150455999</v>
      </c>
      <c r="Q93" s="34">
        <v>1.6870916342417701</v>
      </c>
      <c r="R93" s="33">
        <v>173.86652306211499</v>
      </c>
      <c r="S93" s="33">
        <v>172.80031122648799</v>
      </c>
      <c r="T93" s="33">
        <v>171.02801948957199</v>
      </c>
      <c r="U93" s="15">
        <v>-3.69415059320658E-3</v>
      </c>
      <c r="V93" s="15">
        <v>-9.8453891432318894E-3</v>
      </c>
      <c r="W93" s="15">
        <v>-2.0154646846989699E-2</v>
      </c>
      <c r="X93" s="34">
        <v>1.7179562906083801</v>
      </c>
      <c r="Y93" s="34">
        <v>1.71151559356553</v>
      </c>
      <c r="Z93" s="34">
        <v>1.7032281150455999</v>
      </c>
      <c r="AA93" s="34">
        <v>1.6870916342417701</v>
      </c>
      <c r="AB93" s="33">
        <v>173.85575399438699</v>
      </c>
      <c r="AC93" s="33">
        <v>172.80031122648799</v>
      </c>
      <c r="AD93" s="33">
        <v>171.02801948957199</v>
      </c>
      <c r="AE93" s="15">
        <v>-3.7560912190591502E-3</v>
      </c>
      <c r="AF93" s="15">
        <v>-9.8453891432318894E-3</v>
      </c>
      <c r="AG93" s="15">
        <v>-2.0154646846989699E-2</v>
      </c>
      <c r="AI93" s="12"/>
      <c r="AJ93">
        <f t="shared" si="26"/>
        <v>1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2.5628402396246299E-3</v>
      </c>
      <c r="AP93" s="28">
        <f t="shared" si="29"/>
        <v>-5.1130436271177599E-3</v>
      </c>
      <c r="AQ93" s="28">
        <f t="shared" si="36"/>
        <v>-2.55020338749313E-3</v>
      </c>
      <c r="AR93" s="29">
        <f t="shared" si="37"/>
        <v>-4.8203287862005367E-2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3.203238019938312E-2</v>
      </c>
      <c r="BE93" s="29">
        <f t="shared" si="42"/>
        <v>-2.55020338749313E-3</v>
      </c>
      <c r="BF93" s="29">
        <f t="shared" si="43"/>
        <v>-1.6170907662622244E-2</v>
      </c>
      <c r="BH93" s="29"/>
    </row>
    <row r="94" spans="1:60" x14ac:dyDescent="0.25">
      <c r="A94" s="1">
        <v>46157</v>
      </c>
      <c r="B94" s="33">
        <v>100.29</v>
      </c>
      <c r="C94" s="33">
        <v>171.4</v>
      </c>
      <c r="D94" s="15">
        <v>-1.27806762729819E-2</v>
      </c>
      <c r="E94" s="15">
        <v>-1.7982040427100301E-2</v>
      </c>
      <c r="F94" s="33">
        <v>0</v>
      </c>
      <c r="G94" s="33">
        <v>0.12673200000000001</v>
      </c>
      <c r="H94" s="33">
        <v>0</v>
      </c>
      <c r="I94" s="33">
        <v>0.45321</v>
      </c>
      <c r="J94" s="33">
        <v>0</v>
      </c>
      <c r="K94" s="33">
        <v>0</v>
      </c>
      <c r="L94" s="33">
        <v>100.29</v>
      </c>
      <c r="M94" s="33">
        <v>171.4</v>
      </c>
      <c r="N94" s="34">
        <v>1.70904377305813</v>
      </c>
      <c r="O94" s="34">
        <v>1.71162160919586</v>
      </c>
      <c r="P94" s="34">
        <v>1.70539102893678</v>
      </c>
      <c r="Q94" s="34">
        <v>1.6898175904163699</v>
      </c>
      <c r="R94" s="33">
        <v>171.65853118625299</v>
      </c>
      <c r="S94" s="33">
        <v>170.816747657923</v>
      </c>
      <c r="T94" s="33">
        <v>169.198419998107</v>
      </c>
      <c r="U94" s="15">
        <v>1.50721356091177E-3</v>
      </c>
      <c r="V94" s="15">
        <v>-3.4086754129071901E-3</v>
      </c>
      <c r="W94" s="15">
        <v>-1.29278971078058E-2</v>
      </c>
      <c r="X94" s="34">
        <v>1.70904377305813</v>
      </c>
      <c r="Y94" s="34">
        <v>1.71151559356553</v>
      </c>
      <c r="Z94" s="34">
        <v>1.70539102893678</v>
      </c>
      <c r="AA94" s="34">
        <v>1.6898175904163699</v>
      </c>
      <c r="AB94" s="33">
        <v>171.64789887868699</v>
      </c>
      <c r="AC94" s="33">
        <v>170.816747657923</v>
      </c>
      <c r="AD94" s="33">
        <v>169.198419998107</v>
      </c>
      <c r="AE94" s="15">
        <v>1.4452729350592801E-3</v>
      </c>
      <c r="AF94" s="15">
        <v>-3.4086754129071901E-3</v>
      </c>
      <c r="AG94" s="15">
        <v>-1.29278971078058E-2</v>
      </c>
      <c r="AI94" s="12"/>
      <c r="AJ94">
        <f t="shared" si="26"/>
        <v>0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-1.27806762729819E-2</v>
      </c>
      <c r="AP94" s="28">
        <f t="shared" si="29"/>
        <v>1.7982040427100301E-2</v>
      </c>
      <c r="AQ94" s="28">
        <f t="shared" si="36"/>
        <v>5.2013641541184003E-3</v>
      </c>
      <c r="AR94" s="29">
        <f t="shared" si="37"/>
        <v>-4.3001923707886969E-2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3.203238019938312E-2</v>
      </c>
      <c r="BE94" s="29">
        <f t="shared" si="42"/>
        <v>5.2013641541184003E-3</v>
      </c>
      <c r="BF94" s="29">
        <f t="shared" si="43"/>
        <v>-1.0969543508503843E-2</v>
      </c>
      <c r="BH94" s="29"/>
    </row>
    <row r="95" spans="1:60" x14ac:dyDescent="0.25">
      <c r="A95" s="1">
        <v>46160</v>
      </c>
      <c r="B95" s="33">
        <v>100.93</v>
      </c>
      <c r="C95" s="33">
        <v>170.75</v>
      </c>
      <c r="D95" s="15">
        <v>6.36121815065116E-3</v>
      </c>
      <c r="E95" s="15">
        <v>-3.79950771278004E-3</v>
      </c>
      <c r="F95" s="33">
        <v>0</v>
      </c>
      <c r="G95" s="33">
        <v>0.12673200000000001</v>
      </c>
      <c r="H95" s="33">
        <v>0</v>
      </c>
      <c r="I95" s="33">
        <v>0.45321</v>
      </c>
      <c r="J95" s="33">
        <v>0</v>
      </c>
      <c r="K95" s="33">
        <v>0</v>
      </c>
      <c r="L95" s="33">
        <v>100.93</v>
      </c>
      <c r="M95" s="33">
        <v>170.75</v>
      </c>
      <c r="N95" s="34">
        <v>1.6917665708907099</v>
      </c>
      <c r="O95" s="34">
        <v>1.71162160919586</v>
      </c>
      <c r="P95" s="34">
        <v>1.7061476702654099</v>
      </c>
      <c r="Q95" s="34">
        <v>1.6913591185788599</v>
      </c>
      <c r="R95" s="33">
        <v>172.753969016138</v>
      </c>
      <c r="S95" s="33">
        <v>172.12511655058901</v>
      </c>
      <c r="T95" s="33">
        <v>170.553289400724</v>
      </c>
      <c r="U95" s="15">
        <v>1.1667939424343E-2</v>
      </c>
      <c r="V95" s="15">
        <v>8.0211357252997894E-3</v>
      </c>
      <c r="W95" s="15">
        <v>-1.1527027553804501E-3</v>
      </c>
      <c r="X95" s="34">
        <v>1.6917665708907099</v>
      </c>
      <c r="Y95" s="34">
        <v>1.71151559356553</v>
      </c>
      <c r="Z95" s="34">
        <v>1.7061476702654099</v>
      </c>
      <c r="AA95" s="34">
        <v>1.6913591185788599</v>
      </c>
      <c r="AB95" s="33">
        <v>172.743268858569</v>
      </c>
      <c r="AC95" s="33">
        <v>172.12511655058901</v>
      </c>
      <c r="AD95" s="33">
        <v>170.553289400724</v>
      </c>
      <c r="AE95" s="15">
        <v>1.1605998798490599E-2</v>
      </c>
      <c r="AF95" s="15">
        <v>8.02113572530023E-3</v>
      </c>
      <c r="AG95" s="15">
        <v>-1.1527027553806799E-3</v>
      </c>
      <c r="AI95" s="12"/>
      <c r="AJ95">
        <f t="shared" si="26"/>
        <v>0</v>
      </c>
      <c r="AK95">
        <f t="shared" si="27"/>
        <v>1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6.36121815065116E-3</v>
      </c>
      <c r="AP95" s="28">
        <f t="shared" si="29"/>
        <v>3.79950771278004E-3</v>
      </c>
      <c r="AQ95" s="28">
        <f t="shared" si="36"/>
        <v>1.01607258634312E-2</v>
      </c>
      <c r="AR95" s="29">
        <f t="shared" si="37"/>
        <v>-3.2841197844455772E-2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3.203238019938312E-2</v>
      </c>
      <c r="BE95" s="29">
        <f t="shared" si="42"/>
        <v>1.01607258634312E-2</v>
      </c>
      <c r="BF95" s="29">
        <f t="shared" si="43"/>
        <v>-8.0881764507264274E-4</v>
      </c>
      <c r="BH95" s="29"/>
    </row>
    <row r="96" spans="1:60" x14ac:dyDescent="0.25">
      <c r="A96" s="1">
        <v>46161</v>
      </c>
      <c r="B96" s="33">
        <v>100.05</v>
      </c>
      <c r="C96" s="33">
        <v>168.74</v>
      </c>
      <c r="D96" s="15">
        <v>-8.7571462210257797E-3</v>
      </c>
      <c r="E96" s="15">
        <v>-1.18414297134187E-2</v>
      </c>
      <c r="F96" s="33">
        <v>0</v>
      </c>
      <c r="G96" s="33">
        <v>0.12673200000000001</v>
      </c>
      <c r="H96" s="33">
        <v>0</v>
      </c>
      <c r="I96" s="33">
        <v>0.45321</v>
      </c>
      <c r="J96" s="33">
        <v>0</v>
      </c>
      <c r="K96" s="33">
        <v>0</v>
      </c>
      <c r="L96" s="33">
        <v>100.05</v>
      </c>
      <c r="M96" s="33">
        <v>168.74</v>
      </c>
      <c r="N96" s="34">
        <v>1.6865567216391799</v>
      </c>
      <c r="O96" s="34">
        <v>1.71162160919586</v>
      </c>
      <c r="P96" s="34">
        <v>1.7052919866137799</v>
      </c>
      <c r="Q96" s="34">
        <v>1.6932400949897599</v>
      </c>
      <c r="R96" s="33">
        <v>171.247742000046</v>
      </c>
      <c r="S96" s="33">
        <v>170.70007441005399</v>
      </c>
      <c r="T96" s="33">
        <v>169.22047981381499</v>
      </c>
      <c r="U96" s="15">
        <v>1.47522229167359E-2</v>
      </c>
      <c r="V96" s="15">
        <v>1.15489969740959E-2</v>
      </c>
      <c r="W96" s="15">
        <v>2.8434101987477802E-3</v>
      </c>
      <c r="X96" s="34">
        <v>1.6865567216391799</v>
      </c>
      <c r="Y96" s="34">
        <v>1.71151559356553</v>
      </c>
      <c r="Z96" s="34">
        <v>1.7052919866137799</v>
      </c>
      <c r="AA96" s="34">
        <v>1.6932400949897599</v>
      </c>
      <c r="AB96" s="33">
        <v>171.23713513623201</v>
      </c>
      <c r="AC96" s="33">
        <v>170.70007441005399</v>
      </c>
      <c r="AD96" s="33">
        <v>169.22047981381499</v>
      </c>
      <c r="AE96" s="15">
        <v>1.4690282290883301E-2</v>
      </c>
      <c r="AF96" s="15">
        <v>1.15489969740959E-2</v>
      </c>
      <c r="AG96" s="15">
        <v>2.8434101987482299E-3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-3.2841197844455772E-2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3.203238019938312E-2</v>
      </c>
      <c r="BE96" s="29">
        <f t="shared" si="42"/>
        <v>0</v>
      </c>
      <c r="BF96" s="29">
        <f t="shared" si="43"/>
        <v>-8.0881764507264274E-4</v>
      </c>
      <c r="BH96" s="29"/>
    </row>
    <row r="97" spans="1:60" x14ac:dyDescent="0.25">
      <c r="A97" s="1">
        <v>46162</v>
      </c>
      <c r="B97" s="33">
        <v>101.73</v>
      </c>
      <c r="C97" s="33">
        <v>170.73</v>
      </c>
      <c r="D97" s="15">
        <v>1.66521837759145E-2</v>
      </c>
      <c r="E97" s="15">
        <v>1.17242925456613E-2</v>
      </c>
      <c r="F97" s="33">
        <v>0</v>
      </c>
      <c r="G97" s="33">
        <v>0.12673200000000001</v>
      </c>
      <c r="H97" s="33">
        <v>0</v>
      </c>
      <c r="I97" s="33">
        <v>0.45321</v>
      </c>
      <c r="J97" s="33">
        <v>0</v>
      </c>
      <c r="K97" s="33">
        <v>0</v>
      </c>
      <c r="L97" s="33">
        <v>101.73</v>
      </c>
      <c r="M97" s="33">
        <v>170.73</v>
      </c>
      <c r="N97" s="34">
        <v>1.6782659982306101</v>
      </c>
      <c r="O97" s="34">
        <v>1.71162160919586</v>
      </c>
      <c r="P97" s="34">
        <v>1.7018656817118201</v>
      </c>
      <c r="Q97" s="34">
        <v>1.6946847353063099</v>
      </c>
      <c r="R97" s="33">
        <v>174.123266303495</v>
      </c>
      <c r="S97" s="33">
        <v>173.47935379821899</v>
      </c>
      <c r="T97" s="33">
        <v>172.25331486330899</v>
      </c>
      <c r="U97" s="15">
        <v>1.96801141469891E-2</v>
      </c>
      <c r="V97" s="15">
        <v>1.5975232741761099E-2</v>
      </c>
      <c r="W97" s="15">
        <v>8.8827929149108194E-3</v>
      </c>
      <c r="X97" s="34">
        <v>1.6782659982306101</v>
      </c>
      <c r="Y97" s="34">
        <v>1.71151559356553</v>
      </c>
      <c r="Z97" s="34">
        <v>1.7018656817118201</v>
      </c>
      <c r="AA97" s="34">
        <v>1.6946847353063099</v>
      </c>
      <c r="AB97" s="33">
        <v>174.11248133342201</v>
      </c>
      <c r="AC97" s="33">
        <v>173.47935379821899</v>
      </c>
      <c r="AD97" s="33">
        <v>172.25331486330899</v>
      </c>
      <c r="AE97" s="15">
        <v>1.9618173521136501E-2</v>
      </c>
      <c r="AF97" s="15">
        <v>1.5975232741761099E-2</v>
      </c>
      <c r="AG97" s="15">
        <v>8.8827929149108194E-3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-3.2841197844455772E-2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3.203238019938312E-2</v>
      </c>
      <c r="BE97" s="29">
        <f t="shared" si="42"/>
        <v>0</v>
      </c>
      <c r="BF97" s="29">
        <f t="shared" si="43"/>
        <v>-8.0881764507264274E-4</v>
      </c>
      <c r="BH97" s="29"/>
    </row>
    <row r="98" spans="1:60" x14ac:dyDescent="0.25">
      <c r="A98" s="1">
        <v>46163</v>
      </c>
      <c r="B98" s="33">
        <v>102.04</v>
      </c>
      <c r="C98" s="33">
        <v>170.53</v>
      </c>
      <c r="D98" s="15">
        <v>3.0426484679537298E-3</v>
      </c>
      <c r="E98" s="15">
        <v>-1.17212695831927E-3</v>
      </c>
      <c r="F98" s="33">
        <v>0</v>
      </c>
      <c r="G98" s="33">
        <v>0.12673200000000001</v>
      </c>
      <c r="H98" s="33">
        <v>0</v>
      </c>
      <c r="I98" s="33">
        <v>0.45321</v>
      </c>
      <c r="J98" s="33">
        <v>0</v>
      </c>
      <c r="K98" s="33">
        <v>0</v>
      </c>
      <c r="L98" s="33">
        <v>102.04</v>
      </c>
      <c r="M98" s="33">
        <v>170.53</v>
      </c>
      <c r="N98" s="34">
        <v>1.67120736965895</v>
      </c>
      <c r="O98" s="34">
        <v>1.71162160919586</v>
      </c>
      <c r="P98" s="34">
        <v>1.70003797708144</v>
      </c>
      <c r="Q98" s="34">
        <v>1.6936958517978</v>
      </c>
      <c r="R98" s="33">
        <v>174.653869002346</v>
      </c>
      <c r="S98" s="33">
        <v>173.65837416187401</v>
      </c>
      <c r="T98" s="33">
        <v>172.92563039065601</v>
      </c>
      <c r="U98" s="15">
        <v>2.3894889573261999E-2</v>
      </c>
      <c r="V98" s="15">
        <v>1.8178768072639701E-2</v>
      </c>
      <c r="W98" s="15">
        <v>1.3950385612206601E-2</v>
      </c>
      <c r="X98" s="34">
        <v>1.67120736965895</v>
      </c>
      <c r="Y98" s="34">
        <v>1.71151559356553</v>
      </c>
      <c r="Z98" s="34">
        <v>1.70003797708144</v>
      </c>
      <c r="AA98" s="34">
        <v>1.6936958517978</v>
      </c>
      <c r="AB98" s="33">
        <v>174.64305116742699</v>
      </c>
      <c r="AC98" s="33">
        <v>173.65837416187401</v>
      </c>
      <c r="AD98" s="33">
        <v>172.92563039065601</v>
      </c>
      <c r="AE98" s="15">
        <v>2.3832948947409401E-2</v>
      </c>
      <c r="AF98" s="15">
        <v>1.8178768072639701E-2</v>
      </c>
      <c r="AG98" s="15">
        <v>1.3950385612206601E-2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-3.2841197844455772E-2</v>
      </c>
      <c r="AT98" s="12"/>
      <c r="AU98">
        <f t="shared" si="30"/>
        <v>0</v>
      </c>
      <c r="AV98">
        <f t="shared" si="31"/>
        <v>0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3.203238019938312E-2</v>
      </c>
      <c r="BE98" s="29">
        <f t="shared" si="42"/>
        <v>0</v>
      </c>
      <c r="BF98" s="29">
        <f t="shared" si="43"/>
        <v>-8.0881764507264274E-4</v>
      </c>
      <c r="BH98" s="29"/>
    </row>
    <row r="99" spans="1:60" x14ac:dyDescent="0.25">
      <c r="A99" s="1">
        <v>46164</v>
      </c>
      <c r="B99" s="33">
        <v>102.18</v>
      </c>
      <c r="C99" s="33">
        <v>171.77</v>
      </c>
      <c r="D99" s="15">
        <v>1.3710706290412E-3</v>
      </c>
      <c r="E99" s="15">
        <v>7.2451383241110704E-3</v>
      </c>
      <c r="F99" s="33">
        <v>0</v>
      </c>
      <c r="G99" s="33">
        <v>0.12673200000000001</v>
      </c>
      <c r="H99" s="33">
        <v>0</v>
      </c>
      <c r="I99" s="33">
        <v>0.45321</v>
      </c>
      <c r="J99" s="33">
        <v>0</v>
      </c>
      <c r="K99" s="33">
        <v>0</v>
      </c>
      <c r="L99" s="33">
        <v>102.18</v>
      </c>
      <c r="M99" s="33">
        <v>171.77</v>
      </c>
      <c r="N99" s="34">
        <v>1.6810530436484601</v>
      </c>
      <c r="O99" s="34">
        <v>1.71162160919586</v>
      </c>
      <c r="P99" s="34">
        <v>1.6996280061008899</v>
      </c>
      <c r="Q99" s="34">
        <v>1.69425218329859</v>
      </c>
      <c r="R99" s="33">
        <v>174.89349602763301</v>
      </c>
      <c r="S99" s="33">
        <v>173.709880498182</v>
      </c>
      <c r="T99" s="33">
        <v>173.06184213669999</v>
      </c>
      <c r="U99" s="15">
        <v>1.8020821878192098E-2</v>
      </c>
      <c r="V99" s="15">
        <v>1.1230181526040601E-2</v>
      </c>
      <c r="W99" s="15">
        <v>7.4926269702917997E-3</v>
      </c>
      <c r="X99" s="34">
        <v>1.6810530436484601</v>
      </c>
      <c r="Y99" s="34">
        <v>1.71151559356553</v>
      </c>
      <c r="Z99" s="34">
        <v>1.6996280061008899</v>
      </c>
      <c r="AA99" s="34">
        <v>1.69425218329859</v>
      </c>
      <c r="AB99" s="33">
        <v>174.882663350526</v>
      </c>
      <c r="AC99" s="33">
        <v>173.709880498182</v>
      </c>
      <c r="AD99" s="33">
        <v>173.06184213669999</v>
      </c>
      <c r="AE99" s="15">
        <v>1.7958881252339701E-2</v>
      </c>
      <c r="AF99" s="15">
        <v>1.1230181526040399E-2</v>
      </c>
      <c r="AG99" s="15">
        <v>7.4926269702917997E-3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-3.2841197844455772E-2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3.203238019938312E-2</v>
      </c>
      <c r="BE99" s="29">
        <f t="shared" si="42"/>
        <v>0</v>
      </c>
      <c r="BF99" s="29">
        <f t="shared" si="43"/>
        <v>-8.0881764507264274E-4</v>
      </c>
      <c r="BH99" s="29"/>
    </row>
    <row r="100" spans="1:60" x14ac:dyDescent="0.25">
      <c r="A100" s="1">
        <v>46168</v>
      </c>
      <c r="B100" s="33">
        <v>102.15</v>
      </c>
      <c r="C100" s="33">
        <v>174.3</v>
      </c>
      <c r="D100" s="15">
        <v>-2.9364263902087001E-4</v>
      </c>
      <c r="E100" s="15">
        <v>1.4621579877041199E-2</v>
      </c>
      <c r="F100" s="33">
        <v>0</v>
      </c>
      <c r="G100" s="33">
        <v>0.12673200000000001</v>
      </c>
      <c r="H100" s="33">
        <v>0</v>
      </c>
      <c r="I100" s="33">
        <v>0.45321</v>
      </c>
      <c r="J100" s="33">
        <v>0</v>
      </c>
      <c r="K100" s="33">
        <v>0</v>
      </c>
      <c r="L100" s="33">
        <v>102.15</v>
      </c>
      <c r="M100" s="33">
        <v>174.3</v>
      </c>
      <c r="N100" s="34">
        <v>1.7063142437591701</v>
      </c>
      <c r="O100" s="34">
        <v>1.71162160919586</v>
      </c>
      <c r="P100" s="34">
        <v>1.6976021016150999</v>
      </c>
      <c r="Q100" s="34">
        <v>1.69544950266423</v>
      </c>
      <c r="R100" s="33">
        <v>174.84214737935699</v>
      </c>
      <c r="S100" s="33">
        <v>173.61700082320601</v>
      </c>
      <c r="T100" s="33">
        <v>173.067860523951</v>
      </c>
      <c r="U100" s="15">
        <v>3.1055993621300401E-3</v>
      </c>
      <c r="V100" s="15">
        <v>-3.9262240854003403E-3</v>
      </c>
      <c r="W100" s="15">
        <v>-7.0941775771248897E-3</v>
      </c>
      <c r="X100" s="34">
        <v>1.7063142437591701</v>
      </c>
      <c r="Y100" s="34">
        <v>1.71151559356553</v>
      </c>
      <c r="Z100" s="34">
        <v>1.6976021016150999</v>
      </c>
      <c r="AA100" s="34">
        <v>1.69544950266423</v>
      </c>
      <c r="AB100" s="33">
        <v>174.83131788271899</v>
      </c>
      <c r="AC100" s="33">
        <v>173.61700082320601</v>
      </c>
      <c r="AD100" s="33">
        <v>173.067860523951</v>
      </c>
      <c r="AE100" s="15">
        <v>3.0436587362775601E-3</v>
      </c>
      <c r="AF100" s="15">
        <v>-3.9262240854003403E-3</v>
      </c>
      <c r="AG100" s="15">
        <v>-7.0941775771248897E-3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-3.2841197844455772E-2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3.203238019938312E-2</v>
      </c>
      <c r="BE100" s="29">
        <f t="shared" si="42"/>
        <v>0</v>
      </c>
      <c r="BF100" s="29">
        <f t="shared" si="43"/>
        <v>-8.0881764507264274E-4</v>
      </c>
      <c r="BH100" s="29"/>
    </row>
    <row r="101" spans="1:60" x14ac:dyDescent="0.25">
      <c r="A101" s="1">
        <v>46169</v>
      </c>
      <c r="B101" s="33">
        <v>103.44</v>
      </c>
      <c r="C101" s="33">
        <v>174.3</v>
      </c>
      <c r="D101" s="15">
        <v>1.25494131999709E-2</v>
      </c>
      <c r="E101" s="15">
        <v>0</v>
      </c>
      <c r="F101" s="33">
        <v>0</v>
      </c>
      <c r="G101" s="33">
        <v>0.12673200000000001</v>
      </c>
      <c r="H101" s="33">
        <v>0</v>
      </c>
      <c r="I101" s="33">
        <v>0.45321</v>
      </c>
      <c r="J101" s="33">
        <v>0</v>
      </c>
      <c r="K101" s="33">
        <v>0</v>
      </c>
      <c r="L101" s="33">
        <v>103.44</v>
      </c>
      <c r="M101" s="33">
        <v>174.3</v>
      </c>
      <c r="N101" s="34">
        <v>1.6850348027842199</v>
      </c>
      <c r="O101" s="34">
        <v>1.71162160919586</v>
      </c>
      <c r="P101" s="34">
        <v>1.6940779548584901</v>
      </c>
      <c r="Q101" s="34">
        <v>1.69561547512369</v>
      </c>
      <c r="R101" s="33">
        <v>177.05013925521999</v>
      </c>
      <c r="S101" s="33">
        <v>175.59996139106599</v>
      </c>
      <c r="T101" s="33">
        <v>175.377296555588</v>
      </c>
      <c r="U101" s="15">
        <v>1.56550125621009E-2</v>
      </c>
      <c r="V101" s="15">
        <v>7.43050880637429E-3</v>
      </c>
      <c r="W101" s="15">
        <v>6.1616809247431997E-3</v>
      </c>
      <c r="X101" s="34">
        <v>1.6850348027842199</v>
      </c>
      <c r="Y101" s="34">
        <v>1.71151559356553</v>
      </c>
      <c r="Z101" s="34">
        <v>1.6940779548584901</v>
      </c>
      <c r="AA101" s="34">
        <v>1.69561547512369</v>
      </c>
      <c r="AB101" s="33">
        <v>177.03917299841899</v>
      </c>
      <c r="AC101" s="33">
        <v>175.59996139106599</v>
      </c>
      <c r="AD101" s="33">
        <v>175.377296555588</v>
      </c>
      <c r="AE101" s="15">
        <v>1.5593071936248299E-2</v>
      </c>
      <c r="AF101" s="15">
        <v>7.43050880637429E-3</v>
      </c>
      <c r="AG101" s="15">
        <v>6.1616809247431997E-3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-3.2841197844455772E-2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3.203238019938312E-2</v>
      </c>
      <c r="BE101" s="29">
        <f t="shared" si="42"/>
        <v>0</v>
      </c>
      <c r="BF101" s="29">
        <f t="shared" si="43"/>
        <v>-8.0881764507264274E-4</v>
      </c>
      <c r="BH101" s="29"/>
    </row>
    <row r="102" spans="1:60" x14ac:dyDescent="0.25">
      <c r="A102" s="1">
        <v>46170</v>
      </c>
      <c r="B102" s="33">
        <v>103.78</v>
      </c>
      <c r="C102" s="33">
        <v>173.8</v>
      </c>
      <c r="D102" s="15">
        <v>3.2815394759914498E-3</v>
      </c>
      <c r="E102" s="15">
        <v>-2.8727396946835199E-3</v>
      </c>
      <c r="F102" s="33">
        <v>0</v>
      </c>
      <c r="G102" s="33">
        <v>0.12673200000000001</v>
      </c>
      <c r="H102" s="33">
        <v>0</v>
      </c>
      <c r="I102" s="33">
        <v>0.45321</v>
      </c>
      <c r="J102" s="33">
        <v>0</v>
      </c>
      <c r="K102" s="33">
        <v>0</v>
      </c>
      <c r="L102" s="33">
        <v>103.78</v>
      </c>
      <c r="M102" s="33">
        <v>173.8</v>
      </c>
      <c r="N102" s="34">
        <v>1.67469647330892</v>
      </c>
      <c r="O102" s="34">
        <v>1.71162160919586</v>
      </c>
      <c r="P102" s="34">
        <v>1.6901895287586699</v>
      </c>
      <c r="Q102" s="34">
        <v>1.6956574303888201</v>
      </c>
      <c r="R102" s="33">
        <v>177.63209060234601</v>
      </c>
      <c r="S102" s="33">
        <v>175.81141015521499</v>
      </c>
      <c r="T102" s="33">
        <v>175.97097400833701</v>
      </c>
      <c r="U102" s="15">
        <v>2.1809291732776102E-2</v>
      </c>
      <c r="V102" s="15">
        <v>1.1506674495710099E-2</v>
      </c>
      <c r="W102" s="15">
        <v>1.2413848198820999E-2</v>
      </c>
      <c r="X102" s="34">
        <v>1.67469647330892</v>
      </c>
      <c r="Y102" s="34">
        <v>1.71151559356553</v>
      </c>
      <c r="Z102" s="34">
        <v>1.6901895287586699</v>
      </c>
      <c r="AA102" s="34">
        <v>1.6956574303888201</v>
      </c>
      <c r="AB102" s="33">
        <v>177.62108830023101</v>
      </c>
      <c r="AC102" s="33">
        <v>175.81141015521499</v>
      </c>
      <c r="AD102" s="33">
        <v>175.97097400833701</v>
      </c>
      <c r="AE102" s="15">
        <v>2.1747351106923399E-2</v>
      </c>
      <c r="AF102" s="15">
        <v>1.1506674495710099E-2</v>
      </c>
      <c r="AG102" s="15">
        <v>1.2413848198820999E-2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-3.2841197844455772E-2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3.203238019938312E-2</v>
      </c>
      <c r="BE102" s="29">
        <f t="shared" si="42"/>
        <v>0</v>
      </c>
      <c r="BF102" s="29">
        <f t="shared" si="43"/>
        <v>-8.0881764507264274E-4</v>
      </c>
      <c r="BH102" s="29"/>
    </row>
    <row r="103" spans="1:60" x14ac:dyDescent="0.25">
      <c r="A103" s="1">
        <v>46171</v>
      </c>
      <c r="B103" s="33">
        <v>102.74</v>
      </c>
      <c r="C103" s="33">
        <v>173.13</v>
      </c>
      <c r="D103" s="15">
        <v>-1.00717489004718E-2</v>
      </c>
      <c r="E103" s="15">
        <v>-3.86245544030696E-3</v>
      </c>
      <c r="F103" s="33">
        <v>0</v>
      </c>
      <c r="G103" s="33">
        <v>0.12673200000000001</v>
      </c>
      <c r="H103" s="33">
        <v>0</v>
      </c>
      <c r="I103" s="33">
        <v>0.45321</v>
      </c>
      <c r="J103" s="33">
        <v>0</v>
      </c>
      <c r="K103" s="33">
        <v>0</v>
      </c>
      <c r="L103" s="33">
        <v>102.74</v>
      </c>
      <c r="M103" s="33">
        <v>173.13</v>
      </c>
      <c r="N103" s="34">
        <v>1.68512750632664</v>
      </c>
      <c r="O103" s="34">
        <v>1.71162160919586</v>
      </c>
      <c r="P103" s="34">
        <v>1.6869066503304999</v>
      </c>
      <c r="Q103" s="34">
        <v>1.69506738268805</v>
      </c>
      <c r="R103" s="33">
        <v>175.85200412878299</v>
      </c>
      <c r="S103" s="33">
        <v>173.65007218466599</v>
      </c>
      <c r="T103" s="33">
        <v>174.211844398148</v>
      </c>
      <c r="U103" s="15">
        <v>1.55999982726112E-2</v>
      </c>
      <c r="V103" s="15">
        <v>2.9994374895760101E-3</v>
      </c>
      <c r="W103" s="15">
        <v>6.2292978167285797E-3</v>
      </c>
      <c r="X103" s="34">
        <v>1.68512750632664</v>
      </c>
      <c r="Y103" s="34">
        <v>1.71151559356553</v>
      </c>
      <c r="Z103" s="34">
        <v>1.6869066503304999</v>
      </c>
      <c r="AA103" s="34">
        <v>1.69506738268805</v>
      </c>
      <c r="AB103" s="33">
        <v>175.84111208292299</v>
      </c>
      <c r="AC103" s="33">
        <v>173.65007218466599</v>
      </c>
      <c r="AD103" s="33">
        <v>174.211844398148</v>
      </c>
      <c r="AE103" s="15">
        <v>1.55380576467587E-2</v>
      </c>
      <c r="AF103" s="15">
        <v>2.9994374895760101E-3</v>
      </c>
      <c r="AG103" s="15">
        <v>6.2292978167285797E-3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-3.2841197844455772E-2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3.203238019938312E-2</v>
      </c>
      <c r="BE103" s="29">
        <f t="shared" si="42"/>
        <v>0</v>
      </c>
      <c r="BF103" s="29">
        <f t="shared" si="43"/>
        <v>-8.0881764507264274E-4</v>
      </c>
      <c r="BH103" s="29"/>
    </row>
    <row r="104" spans="1:60" x14ac:dyDescent="0.25">
      <c r="A104" s="1">
        <v>46174</v>
      </c>
      <c r="B104" s="33">
        <v>101.62</v>
      </c>
      <c r="C104" s="33">
        <v>172.4</v>
      </c>
      <c r="D104" s="15">
        <v>-1.09611588735359E-2</v>
      </c>
      <c r="E104" s="15">
        <v>-4.22539916139196E-3</v>
      </c>
      <c r="F104" s="33">
        <v>0</v>
      </c>
      <c r="G104" s="33">
        <v>0.12673200000000001</v>
      </c>
      <c r="H104" s="33">
        <v>0</v>
      </c>
      <c r="I104" s="33">
        <v>0.45321</v>
      </c>
      <c r="J104" s="33">
        <v>0</v>
      </c>
      <c r="K104" s="33">
        <v>0</v>
      </c>
      <c r="L104" s="33">
        <v>101.62</v>
      </c>
      <c r="M104" s="33">
        <v>172.4</v>
      </c>
      <c r="N104" s="34">
        <v>1.69651643377287</v>
      </c>
      <c r="O104" s="34">
        <v>1.71162160919586</v>
      </c>
      <c r="P104" s="34">
        <v>1.6856539164019699</v>
      </c>
      <c r="Q104" s="34">
        <v>1.6955224726693801</v>
      </c>
      <c r="R104" s="33">
        <v>173.93498792648299</v>
      </c>
      <c r="S104" s="33">
        <v>171.423453806585</v>
      </c>
      <c r="T104" s="33">
        <v>172.25274742875999</v>
      </c>
      <c r="U104" s="15">
        <v>8.8642385604672802E-3</v>
      </c>
      <c r="V104" s="15">
        <v>-5.68052474933448E-3</v>
      </c>
      <c r="W104" s="15">
        <v>-8.5449822349206196E-4</v>
      </c>
      <c r="X104" s="34">
        <v>1.69651643377287</v>
      </c>
      <c r="Y104" s="34">
        <v>1.71151559356553</v>
      </c>
      <c r="Z104" s="34">
        <v>1.6856539164019699</v>
      </c>
      <c r="AA104" s="34">
        <v>1.6955224726693801</v>
      </c>
      <c r="AB104" s="33">
        <v>173.92421461813001</v>
      </c>
      <c r="AC104" s="33">
        <v>171.423453806585</v>
      </c>
      <c r="AD104" s="33">
        <v>172.25274742875999</v>
      </c>
      <c r="AE104" s="15">
        <v>8.8022979346148705E-3</v>
      </c>
      <c r="AF104" s="15">
        <v>-5.68052474933448E-3</v>
      </c>
      <c r="AG104" s="15">
        <v>-8.5449822349206196E-4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-3.2841197844455772E-2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3.203238019938312E-2</v>
      </c>
      <c r="BE104" s="29">
        <f t="shared" si="42"/>
        <v>0</v>
      </c>
      <c r="BF104" s="29">
        <f t="shared" si="43"/>
        <v>-8.0881764507264274E-4</v>
      </c>
      <c r="BH104" s="29"/>
    </row>
    <row r="105" spans="1:60" x14ac:dyDescent="0.25">
      <c r="A105" s="1">
        <v>46175</v>
      </c>
      <c r="B105" s="33">
        <v>100.73</v>
      </c>
      <c r="C105" s="33">
        <v>174.19</v>
      </c>
      <c r="D105" s="15">
        <v>-8.7966962109960502E-3</v>
      </c>
      <c r="E105" s="15">
        <v>1.0329299259777601E-2</v>
      </c>
      <c r="F105" s="33">
        <v>0</v>
      </c>
      <c r="G105" s="33">
        <v>0.12673200000000001</v>
      </c>
      <c r="H105" s="33">
        <v>0</v>
      </c>
      <c r="I105" s="33">
        <v>0.45321</v>
      </c>
      <c r="J105" s="33">
        <v>0</v>
      </c>
      <c r="K105" s="33">
        <v>0</v>
      </c>
      <c r="L105" s="33">
        <v>100.73</v>
      </c>
      <c r="M105" s="33">
        <v>174.19</v>
      </c>
      <c r="N105" s="34">
        <v>1.7292762831331201</v>
      </c>
      <c r="O105" s="34">
        <v>1.71162160919586</v>
      </c>
      <c r="P105" s="34">
        <v>1.68940488762621</v>
      </c>
      <c r="Q105" s="34">
        <v>1.69777627894581</v>
      </c>
      <c r="R105" s="33">
        <v>172.41164469429901</v>
      </c>
      <c r="S105" s="33">
        <v>169.79591899917099</v>
      </c>
      <c r="T105" s="33">
        <v>170.78997867198601</v>
      </c>
      <c r="U105" s="15">
        <v>-1.0261756910306201E-2</v>
      </c>
      <c r="V105" s="15">
        <v>-2.5549418063661799E-2</v>
      </c>
      <c r="W105" s="15">
        <v>-1.9712050736860501E-2</v>
      </c>
      <c r="X105" s="34">
        <v>1.7292762831331201</v>
      </c>
      <c r="Y105" s="34">
        <v>1.71151559356553</v>
      </c>
      <c r="Z105" s="34">
        <v>1.68940488762621</v>
      </c>
      <c r="AA105" s="34">
        <v>1.69777627894581</v>
      </c>
      <c r="AB105" s="33">
        <v>172.40096573985599</v>
      </c>
      <c r="AC105" s="33">
        <v>169.79591899917099</v>
      </c>
      <c r="AD105" s="33">
        <v>170.78997867198601</v>
      </c>
      <c r="AE105" s="15">
        <v>-1.0323697536158701E-2</v>
      </c>
      <c r="AF105" s="15">
        <v>-2.5549418063661899E-2</v>
      </c>
      <c r="AG105" s="15">
        <v>-1.9712050736860699E-2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-3.2841197844455772E-2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3.203238019938312E-2</v>
      </c>
      <c r="BE105" s="29">
        <f t="shared" si="42"/>
        <v>0</v>
      </c>
      <c r="BF105" s="29">
        <f t="shared" si="43"/>
        <v>-8.0881764507264274E-4</v>
      </c>
      <c r="BH105" s="29"/>
    </row>
    <row r="106" spans="1:60" x14ac:dyDescent="0.25">
      <c r="A106" s="1">
        <v>46176</v>
      </c>
      <c r="B106" s="33">
        <v>100.2</v>
      </c>
      <c r="C106" s="33">
        <v>174.05</v>
      </c>
      <c r="D106" s="15">
        <v>-5.2754813038253801E-3</v>
      </c>
      <c r="E106" s="15">
        <v>-8.0404323192231702E-4</v>
      </c>
      <c r="F106" s="33">
        <v>0</v>
      </c>
      <c r="G106" s="33">
        <v>0.12673200000000001</v>
      </c>
      <c r="H106" s="33">
        <v>0</v>
      </c>
      <c r="I106" s="33">
        <v>0.45321</v>
      </c>
      <c r="J106" s="33">
        <v>0</v>
      </c>
      <c r="K106" s="33">
        <v>0</v>
      </c>
      <c r="L106" s="33">
        <v>100.2</v>
      </c>
      <c r="M106" s="33">
        <v>174.05</v>
      </c>
      <c r="N106" s="34">
        <v>1.73702594810379</v>
      </c>
      <c r="O106" s="34">
        <v>1.71162160919586</v>
      </c>
      <c r="P106" s="34">
        <v>1.69445181027268</v>
      </c>
      <c r="Q106" s="34">
        <v>1.6998718984432299</v>
      </c>
      <c r="R106" s="33">
        <v>171.50448524142499</v>
      </c>
      <c r="S106" s="33">
        <v>169.27836974014701</v>
      </c>
      <c r="T106" s="33">
        <v>170.11718315037001</v>
      </c>
      <c r="U106" s="15">
        <v>-1.4733194982209199E-2</v>
      </c>
      <c r="V106" s="15">
        <v>-2.7798096185948099E-2</v>
      </c>
      <c r="W106" s="15">
        <v>-2.28551020247896E-2</v>
      </c>
      <c r="X106" s="34">
        <v>1.73702594810379</v>
      </c>
      <c r="Y106" s="34">
        <v>1.71151559356553</v>
      </c>
      <c r="Z106" s="34">
        <v>1.69445181027268</v>
      </c>
      <c r="AA106" s="34">
        <v>1.6998718984432299</v>
      </c>
      <c r="AB106" s="33">
        <v>171.49386247526701</v>
      </c>
      <c r="AC106" s="33">
        <v>169.27836974014701</v>
      </c>
      <c r="AD106" s="33">
        <v>170.11718315037001</v>
      </c>
      <c r="AE106" s="15">
        <v>-1.47951356080618E-2</v>
      </c>
      <c r="AF106" s="15">
        <v>-2.7798096185948099E-2</v>
      </c>
      <c r="AG106" s="15">
        <v>-2.28551020247896E-2</v>
      </c>
      <c r="AI106" s="12"/>
      <c r="AJ106">
        <f t="shared" si="26"/>
        <v>1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-3.2841197844455772E-2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3.203238019938312E-2</v>
      </c>
      <c r="BE106" s="29">
        <f t="shared" si="42"/>
        <v>0</v>
      </c>
      <c r="BF106" s="29">
        <f t="shared" si="43"/>
        <v>-8.0881764507264274E-4</v>
      </c>
      <c r="BH106" s="29"/>
    </row>
    <row r="107" spans="1:60" x14ac:dyDescent="0.25">
      <c r="A107" s="1">
        <v>46177</v>
      </c>
      <c r="B107" s="33">
        <v>100.57</v>
      </c>
      <c r="C107" s="33">
        <v>176.16</v>
      </c>
      <c r="D107" s="15">
        <v>3.6858138056245402E-3</v>
      </c>
      <c r="E107" s="15">
        <v>1.2050058716921899E-2</v>
      </c>
      <c r="F107" s="33">
        <v>0</v>
      </c>
      <c r="G107" s="33">
        <v>0.12673200000000001</v>
      </c>
      <c r="H107" s="33">
        <v>0</v>
      </c>
      <c r="I107" s="33">
        <v>0.45321</v>
      </c>
      <c r="J107" s="33">
        <v>0</v>
      </c>
      <c r="K107" s="33">
        <v>0</v>
      </c>
      <c r="L107" s="33">
        <v>100.57</v>
      </c>
      <c r="M107" s="33">
        <v>176.16</v>
      </c>
      <c r="N107" s="34">
        <v>1.75161578999701</v>
      </c>
      <c r="O107" s="34">
        <v>1.71162160919586</v>
      </c>
      <c r="P107" s="34">
        <v>1.7017867894493199</v>
      </c>
      <c r="Q107" s="34">
        <v>1.70182623558057</v>
      </c>
      <c r="R107" s="33">
        <v>172.13778523682799</v>
      </c>
      <c r="S107" s="33">
        <v>170.41101855912299</v>
      </c>
      <c r="T107" s="33">
        <v>170.95611682643499</v>
      </c>
      <c r="U107" s="15">
        <v>-2.3097439893506599E-2</v>
      </c>
      <c r="V107" s="15">
        <v>-3.3179397764055901E-2</v>
      </c>
      <c r="W107" s="15">
        <v>-2.99857761519782E-2</v>
      </c>
      <c r="X107" s="34">
        <v>1.75161578999701</v>
      </c>
      <c r="Y107" s="34">
        <v>1.71151559356553</v>
      </c>
      <c r="Z107" s="34">
        <v>1.7017867894493199</v>
      </c>
      <c r="AA107" s="34">
        <v>1.70182623558057</v>
      </c>
      <c r="AB107" s="33">
        <v>172.12712324488601</v>
      </c>
      <c r="AC107" s="33">
        <v>170.41101855912299</v>
      </c>
      <c r="AD107" s="33">
        <v>170.95611682643499</v>
      </c>
      <c r="AE107" s="15">
        <v>-2.3159380519359202E-2</v>
      </c>
      <c r="AF107" s="15">
        <v>-3.3179397764055901E-2</v>
      </c>
      <c r="AG107" s="15">
        <v>-2.99857761519782E-2</v>
      </c>
      <c r="AI107" s="12"/>
      <c r="AJ107">
        <f t="shared" si="26"/>
        <v>1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8">
        <f t="shared" si="28"/>
        <v>3.6858138056245402E-3</v>
      </c>
      <c r="AP107" s="28">
        <f t="shared" si="29"/>
        <v>-1.2050058716921899E-2</v>
      </c>
      <c r="AQ107" s="28">
        <f t="shared" si="36"/>
        <v>-8.3642449112973586E-3</v>
      </c>
      <c r="AR107" s="29">
        <f t="shared" si="37"/>
        <v>-4.1205442755753129E-2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3.203238019938312E-2</v>
      </c>
      <c r="BE107" s="29">
        <f t="shared" si="42"/>
        <v>-8.3642449112973586E-3</v>
      </c>
      <c r="BF107" s="29">
        <f t="shared" si="43"/>
        <v>-9.1730625563700013E-3</v>
      </c>
      <c r="BH107" s="29"/>
    </row>
    <row r="108" spans="1:60" x14ac:dyDescent="0.25">
      <c r="A108" s="1">
        <v>46178</v>
      </c>
      <c r="B108" s="33">
        <v>99.59</v>
      </c>
      <c r="C108" s="33">
        <v>174.18</v>
      </c>
      <c r="D108" s="15">
        <v>-9.7922445128407701E-3</v>
      </c>
      <c r="E108" s="15">
        <v>-1.13034257097762E-2</v>
      </c>
      <c r="F108" s="33">
        <v>0</v>
      </c>
      <c r="G108" s="33">
        <v>0.12673200000000001</v>
      </c>
      <c r="H108" s="33">
        <v>0</v>
      </c>
      <c r="I108" s="33">
        <v>0.45321</v>
      </c>
      <c r="J108" s="33">
        <v>0</v>
      </c>
      <c r="K108" s="33">
        <v>0</v>
      </c>
      <c r="L108" s="33">
        <v>99.59</v>
      </c>
      <c r="M108" s="33">
        <v>174.18</v>
      </c>
      <c r="N108" s="34">
        <v>1.7489707801988099</v>
      </c>
      <c r="O108" s="34">
        <v>1.71162160919586</v>
      </c>
      <c r="P108" s="34">
        <v>1.7095631305033001</v>
      </c>
      <c r="Q108" s="34">
        <v>1.7048005537923701</v>
      </c>
      <c r="R108" s="33">
        <v>170.46039605981599</v>
      </c>
      <c r="S108" s="33">
        <v>169.480946361257</v>
      </c>
      <c r="T108" s="33">
        <v>169.484874801469</v>
      </c>
      <c r="U108" s="15">
        <v>-2.1586258696570999E-2</v>
      </c>
      <c r="V108" s="15">
        <v>-2.7348737610697602E-2</v>
      </c>
      <c r="W108" s="15">
        <v>-2.7325558635319099E-2</v>
      </c>
      <c r="X108" s="34">
        <v>1.7489707801988099</v>
      </c>
      <c r="Y108" s="34">
        <v>1.71151559356553</v>
      </c>
      <c r="Z108" s="34">
        <v>1.7095631305033001</v>
      </c>
      <c r="AA108" s="34">
        <v>1.7048005537923701</v>
      </c>
      <c r="AB108" s="33">
        <v>170.44983796319201</v>
      </c>
      <c r="AC108" s="33">
        <v>169.480946361257</v>
      </c>
      <c r="AD108" s="33">
        <v>169.484874801469</v>
      </c>
      <c r="AE108" s="15">
        <v>-2.1648199322423602E-2</v>
      </c>
      <c r="AF108" s="15">
        <v>-2.7348737610697602E-2</v>
      </c>
      <c r="AG108" s="15">
        <v>-2.7325558635319099E-2</v>
      </c>
      <c r="AI108" s="12"/>
      <c r="AJ108">
        <f t="shared" si="26"/>
        <v>1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8">
        <f t="shared" si="28"/>
        <v>-9.7922445128407701E-3</v>
      </c>
      <c r="AP108" s="28">
        <f t="shared" si="29"/>
        <v>1.13034257097762E-2</v>
      </c>
      <c r="AQ108" s="28">
        <f t="shared" si="36"/>
        <v>1.5111811969354301E-3</v>
      </c>
      <c r="AR108" s="29">
        <f t="shared" si="37"/>
        <v>-3.9694261558817695E-2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3.203238019938312E-2</v>
      </c>
      <c r="BE108" s="29">
        <f t="shared" si="42"/>
        <v>1.5111811969354301E-3</v>
      </c>
      <c r="BF108" s="29">
        <f t="shared" si="43"/>
        <v>-7.6618813594345712E-3</v>
      </c>
      <c r="BH108" s="29"/>
    </row>
    <row r="109" spans="1:60" x14ac:dyDescent="0.25">
      <c r="A109" s="1">
        <v>46181</v>
      </c>
      <c r="B109" s="33">
        <v>99.74</v>
      </c>
      <c r="C109" s="33">
        <v>173.63</v>
      </c>
      <c r="D109" s="15">
        <v>1.5050421744282399E-3</v>
      </c>
      <c r="E109" s="15">
        <v>-3.1626489085471599E-3</v>
      </c>
      <c r="F109" s="33">
        <v>0</v>
      </c>
      <c r="G109" s="33">
        <v>0.12673200000000001</v>
      </c>
      <c r="H109" s="33">
        <v>0</v>
      </c>
      <c r="I109" s="33">
        <v>0.45321</v>
      </c>
      <c r="J109" s="33">
        <v>0</v>
      </c>
      <c r="K109" s="33">
        <v>0</v>
      </c>
      <c r="L109" s="33">
        <v>99.74</v>
      </c>
      <c r="M109" s="33">
        <v>173.63</v>
      </c>
      <c r="N109" s="34">
        <v>1.74082614798476</v>
      </c>
      <c r="O109" s="34">
        <v>1.71162160919586</v>
      </c>
      <c r="P109" s="34">
        <v>1.7155404409369299</v>
      </c>
      <c r="Q109" s="34">
        <v>1.70758422351891</v>
      </c>
      <c r="R109" s="33">
        <v>170.717139301195</v>
      </c>
      <c r="S109" s="33">
        <v>170.51182663639901</v>
      </c>
      <c r="T109" s="33">
        <v>170.03680723525099</v>
      </c>
      <c r="U109" s="15">
        <v>-1.6918567613595701E-2</v>
      </c>
      <c r="V109" s="15">
        <v>-1.8121939601713499E-2</v>
      </c>
      <c r="W109" s="15">
        <v>-2.0911671592834701E-2</v>
      </c>
      <c r="X109" s="34">
        <v>1.74082614798476</v>
      </c>
      <c r="Y109" s="34">
        <v>1.71151559356553</v>
      </c>
      <c r="Z109" s="34">
        <v>1.7155404409369299</v>
      </c>
      <c r="AA109" s="34">
        <v>1.70758422351891</v>
      </c>
      <c r="AB109" s="33">
        <v>170.70656530222601</v>
      </c>
      <c r="AC109" s="33">
        <v>170.51182663639901</v>
      </c>
      <c r="AD109" s="33">
        <v>170.03680723525099</v>
      </c>
      <c r="AE109" s="15">
        <v>-1.6980508239448099E-2</v>
      </c>
      <c r="AF109" s="15">
        <v>-1.8121939601713901E-2</v>
      </c>
      <c r="AG109" s="15">
        <v>-2.0911671592834701E-2</v>
      </c>
      <c r="AI109" s="12"/>
      <c r="AJ109">
        <f t="shared" si="26"/>
        <v>1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8">
        <f t="shared" si="28"/>
        <v>1.5050421744282399E-3</v>
      </c>
      <c r="AP109" s="28">
        <f t="shared" si="29"/>
        <v>3.1626489085471599E-3</v>
      </c>
      <c r="AQ109" s="28">
        <f t="shared" si="36"/>
        <v>4.6676910829753998E-3</v>
      </c>
      <c r="AR109" s="29">
        <f t="shared" si="37"/>
        <v>-3.5026570475842296E-2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3.203238019938312E-2</v>
      </c>
      <c r="BE109" s="29">
        <f t="shared" si="42"/>
        <v>4.6676910829753998E-3</v>
      </c>
      <c r="BF109" s="29">
        <f t="shared" si="43"/>
        <v>-2.9941902764591714E-3</v>
      </c>
      <c r="BH109" s="29"/>
    </row>
    <row r="110" spans="1:60" x14ac:dyDescent="0.25">
      <c r="A110" s="1">
        <v>46182</v>
      </c>
      <c r="B110" s="33">
        <v>100.48</v>
      </c>
      <c r="C110" s="33">
        <v>175.6</v>
      </c>
      <c r="D110" s="15">
        <v>7.3919026019120702E-3</v>
      </c>
      <c r="E110" s="15">
        <v>1.12820828449698E-2</v>
      </c>
      <c r="F110" s="33">
        <v>0</v>
      </c>
      <c r="G110" s="33">
        <v>0.12673200000000001</v>
      </c>
      <c r="H110" s="33">
        <v>0</v>
      </c>
      <c r="I110" s="33">
        <v>0.45321</v>
      </c>
      <c r="J110" s="33">
        <v>0</v>
      </c>
      <c r="K110" s="33">
        <v>0</v>
      </c>
      <c r="L110" s="33">
        <v>100.48</v>
      </c>
      <c r="M110" s="33">
        <v>175.6</v>
      </c>
      <c r="N110" s="34">
        <v>1.74761146496815</v>
      </c>
      <c r="O110" s="34">
        <v>1.71162160919586</v>
      </c>
      <c r="P110" s="34">
        <v>1.7196701630578299</v>
      </c>
      <c r="Q110" s="34">
        <v>1.7086361323364601</v>
      </c>
      <c r="R110" s="33">
        <v>171.983739292</v>
      </c>
      <c r="S110" s="33">
        <v>172.37750350534299</v>
      </c>
      <c r="T110" s="33">
        <v>171.57806277917999</v>
      </c>
      <c r="U110" s="15">
        <v>-2.0808747856653299E-2</v>
      </c>
      <c r="V110" s="15">
        <v>-1.85218215942154E-2</v>
      </c>
      <c r="W110" s="15">
        <v>-2.31703416014559E-2</v>
      </c>
      <c r="X110" s="34">
        <v>1.74761146496815</v>
      </c>
      <c r="Y110" s="34">
        <v>1.71151559356553</v>
      </c>
      <c r="Z110" s="34">
        <v>1.7196701630578299</v>
      </c>
      <c r="AA110" s="34">
        <v>1.7086361323364601</v>
      </c>
      <c r="AB110" s="33">
        <v>171.973086841465</v>
      </c>
      <c r="AC110" s="33">
        <v>172.37750350534299</v>
      </c>
      <c r="AD110" s="33">
        <v>171.57806277917999</v>
      </c>
      <c r="AE110" s="15">
        <v>-2.0870688482505902E-2</v>
      </c>
      <c r="AF110" s="15">
        <v>-1.85218215942154E-2</v>
      </c>
      <c r="AG110" s="15">
        <v>-2.31703416014559E-2</v>
      </c>
      <c r="AI110" s="12"/>
      <c r="AJ110">
        <f t="shared" si="26"/>
        <v>1</v>
      </c>
      <c r="AK110">
        <f t="shared" si="27"/>
        <v>0</v>
      </c>
      <c r="AL110">
        <f t="shared" si="34"/>
        <v>1</v>
      </c>
      <c r="AM110">
        <f t="shared" si="24"/>
        <v>1</v>
      </c>
      <c r="AN110">
        <f t="shared" si="35"/>
        <v>1</v>
      </c>
      <c r="AO110" s="28">
        <f t="shared" si="28"/>
        <v>7.3919026019120702E-3</v>
      </c>
      <c r="AP110" s="28">
        <f t="shared" si="29"/>
        <v>-1.12820828449698E-2</v>
      </c>
      <c r="AQ110" s="28">
        <f t="shared" si="36"/>
        <v>-3.8901802430577294E-3</v>
      </c>
      <c r="AR110" s="29">
        <f t="shared" si="37"/>
        <v>-3.8916750718900023E-2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3.203238019938312E-2</v>
      </c>
      <c r="BE110" s="29">
        <f t="shared" si="42"/>
        <v>-3.8901802430577294E-3</v>
      </c>
      <c r="BF110" s="29">
        <f t="shared" si="43"/>
        <v>-6.8843705195169008E-3</v>
      </c>
      <c r="BH110" s="29"/>
    </row>
    <row r="111" spans="1:60" x14ac:dyDescent="0.25">
      <c r="A111" s="1">
        <v>46183</v>
      </c>
      <c r="B111" s="33">
        <v>99.35</v>
      </c>
      <c r="C111" s="33">
        <v>169.66</v>
      </c>
      <c r="D111" s="15">
        <v>-1.1309733722062801E-2</v>
      </c>
      <c r="E111" s="15">
        <v>-3.44122468214276E-2</v>
      </c>
      <c r="F111" s="33">
        <v>0</v>
      </c>
      <c r="G111" s="33">
        <v>0.12673200000000001</v>
      </c>
      <c r="H111" s="33">
        <v>0</v>
      </c>
      <c r="I111" s="33">
        <v>0.45321</v>
      </c>
      <c r="J111" s="33">
        <v>0</v>
      </c>
      <c r="K111" s="33">
        <v>0</v>
      </c>
      <c r="L111" s="33">
        <v>99.35</v>
      </c>
      <c r="M111" s="33">
        <v>169.66</v>
      </c>
      <c r="N111" s="34">
        <v>1.70770005032712</v>
      </c>
      <c r="O111" s="34">
        <v>1.71162160919586</v>
      </c>
      <c r="P111" s="34">
        <v>1.7219366878121201</v>
      </c>
      <c r="Q111" s="34">
        <v>1.70800732133531</v>
      </c>
      <c r="R111" s="33">
        <v>170.04960687360901</v>
      </c>
      <c r="S111" s="33">
        <v>170.84923069979499</v>
      </c>
      <c r="T111" s="33">
        <v>169.752999747628</v>
      </c>
      <c r="U111" s="15">
        <v>2.29376524271144E-3</v>
      </c>
      <c r="V111" s="15">
        <v>6.9850413901627996E-3</v>
      </c>
      <c r="W111" s="15">
        <v>5.48003464951069E-4</v>
      </c>
      <c r="X111" s="34">
        <v>1.70770005032712</v>
      </c>
      <c r="Y111" s="34">
        <v>1.71151559356553</v>
      </c>
      <c r="Z111" s="34">
        <v>1.7219366878121201</v>
      </c>
      <c r="AA111" s="34">
        <v>1.70800732133531</v>
      </c>
      <c r="AB111" s="33">
        <v>170.03907422073601</v>
      </c>
      <c r="AC111" s="33">
        <v>170.84923069979499</v>
      </c>
      <c r="AD111" s="33">
        <v>169.752999747628</v>
      </c>
      <c r="AE111" s="15">
        <v>2.2318246168589401E-3</v>
      </c>
      <c r="AF111" s="15">
        <v>6.9850413901630199E-3</v>
      </c>
      <c r="AG111" s="15">
        <v>5.4800346495084695E-4</v>
      </c>
      <c r="AI111" s="12"/>
      <c r="AJ111">
        <f t="shared" si="26"/>
        <v>0</v>
      </c>
      <c r="AK111">
        <f t="shared" si="27"/>
        <v>1</v>
      </c>
      <c r="AL111">
        <f t="shared" si="34"/>
        <v>1</v>
      </c>
      <c r="AM111">
        <f t="shared" si="24"/>
        <v>1</v>
      </c>
      <c r="AN111">
        <f t="shared" si="35"/>
        <v>1</v>
      </c>
      <c r="AO111" s="28">
        <f t="shared" si="28"/>
        <v>-1.1309733722062801E-2</v>
      </c>
      <c r="AP111" s="28">
        <f t="shared" si="29"/>
        <v>3.44122468214276E-2</v>
      </c>
      <c r="AQ111" s="28">
        <f t="shared" si="36"/>
        <v>2.3102513099364799E-2</v>
      </c>
      <c r="AR111" s="29">
        <f t="shared" si="37"/>
        <v>-1.5814237619535224E-2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3.203238019938312E-2</v>
      </c>
      <c r="BE111" s="29">
        <f t="shared" si="42"/>
        <v>2.3102513099364799E-2</v>
      </c>
      <c r="BF111" s="29">
        <f t="shared" si="43"/>
        <v>1.6218142579847897E-2</v>
      </c>
      <c r="BH111" s="29"/>
    </row>
    <row r="112" spans="1:60" x14ac:dyDescent="0.25">
      <c r="A112" s="1">
        <v>46184</v>
      </c>
      <c r="B112" s="33">
        <v>101.4</v>
      </c>
      <c r="C112" s="33">
        <v>175.15</v>
      </c>
      <c r="D112" s="15">
        <v>2.04241221592571E-2</v>
      </c>
      <c r="E112" s="15">
        <v>3.1846315263907098E-2</v>
      </c>
      <c r="F112" s="33">
        <v>0</v>
      </c>
      <c r="G112" s="33">
        <v>0.12673200000000001</v>
      </c>
      <c r="H112" s="33">
        <v>0</v>
      </c>
      <c r="I112" s="33">
        <v>0.45321</v>
      </c>
      <c r="J112" s="33">
        <v>0</v>
      </c>
      <c r="K112" s="33">
        <v>0</v>
      </c>
      <c r="L112" s="33">
        <v>101.4</v>
      </c>
      <c r="M112" s="33">
        <v>175.15</v>
      </c>
      <c r="N112" s="34">
        <v>1.72731755424063</v>
      </c>
      <c r="O112" s="34">
        <v>1.71162160919586</v>
      </c>
      <c r="P112" s="34">
        <v>1.7271987959052899</v>
      </c>
      <c r="Q112" s="34">
        <v>1.70869416233198</v>
      </c>
      <c r="R112" s="33">
        <v>173.55843117245999</v>
      </c>
      <c r="S112" s="33">
        <v>174.60438014414899</v>
      </c>
      <c r="T112" s="33">
        <v>173.1919423834</v>
      </c>
      <c r="U112" s="15">
        <v>-9.1284278619387406E-3</v>
      </c>
      <c r="V112" s="15">
        <v>-3.1200198164100098E-3</v>
      </c>
      <c r="W112" s="15">
        <v>-1.12422766331376E-2</v>
      </c>
      <c r="X112" s="34">
        <v>1.72731755424063</v>
      </c>
      <c r="Y112" s="34">
        <v>1.71151559356553</v>
      </c>
      <c r="Z112" s="34">
        <v>1.7271987959052899</v>
      </c>
      <c r="AA112" s="34">
        <v>1.70869416233198</v>
      </c>
      <c r="AB112" s="33">
        <v>173.54768118754501</v>
      </c>
      <c r="AC112" s="33">
        <v>174.60438014414899</v>
      </c>
      <c r="AD112" s="33">
        <v>173.1919423834</v>
      </c>
      <c r="AE112" s="15">
        <v>-9.1903684877912804E-3</v>
      </c>
      <c r="AF112" s="15">
        <v>-3.12001981640978E-3</v>
      </c>
      <c r="AG112" s="15">
        <v>-1.12422766331376E-2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-1.5814237619535224E-2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3.203238019938312E-2</v>
      </c>
      <c r="BE112" s="29">
        <f t="shared" si="42"/>
        <v>0</v>
      </c>
      <c r="BF112" s="29">
        <f t="shared" si="43"/>
        <v>1.6218142579847897E-2</v>
      </c>
      <c r="BH112" s="29"/>
    </row>
    <row r="113" spans="1:60" x14ac:dyDescent="0.25">
      <c r="A113" s="1">
        <v>46185</v>
      </c>
      <c r="B113" s="33">
        <v>101.56</v>
      </c>
      <c r="C113" s="33">
        <v>176.18</v>
      </c>
      <c r="D113" s="15">
        <v>1.5766656793947699E-3</v>
      </c>
      <c r="E113" s="15">
        <v>5.8634500381539098E-3</v>
      </c>
      <c r="F113" s="33">
        <v>0</v>
      </c>
      <c r="G113" s="33">
        <v>0.12673200000000001</v>
      </c>
      <c r="H113" s="33">
        <v>0</v>
      </c>
      <c r="I113" s="33">
        <v>0.45321</v>
      </c>
      <c r="J113" s="33">
        <v>0</v>
      </c>
      <c r="K113" s="33">
        <v>0</v>
      </c>
      <c r="L113" s="33">
        <v>101.56</v>
      </c>
      <c r="M113" s="33">
        <v>176.18</v>
      </c>
      <c r="N113" s="34">
        <v>1.7347380858605701</v>
      </c>
      <c r="O113" s="34">
        <v>1.71162160919586</v>
      </c>
      <c r="P113" s="34">
        <v>1.73215985385868</v>
      </c>
      <c r="Q113" s="34">
        <v>1.7095332520945901</v>
      </c>
      <c r="R113" s="33">
        <v>173.832290629932</v>
      </c>
      <c r="S113" s="33">
        <v>175.41430971214101</v>
      </c>
      <c r="T113" s="33">
        <v>173.53497912643601</v>
      </c>
      <c r="U113" s="15">
        <v>-1.34152122206976E-2</v>
      </c>
      <c r="V113" s="15">
        <v>-4.3555397637681202E-3</v>
      </c>
      <c r="W113" s="15">
        <v>-1.51270118171532E-2</v>
      </c>
      <c r="X113" s="34">
        <v>1.7347380858605701</v>
      </c>
      <c r="Y113" s="34">
        <v>1.71151559356553</v>
      </c>
      <c r="Z113" s="34">
        <v>1.73215985385868</v>
      </c>
      <c r="AA113" s="34">
        <v>1.7095332520945901</v>
      </c>
      <c r="AB113" s="33">
        <v>173.82152368251599</v>
      </c>
      <c r="AC113" s="33">
        <v>175.41430971214101</v>
      </c>
      <c r="AD113" s="33">
        <v>173.53497912643601</v>
      </c>
      <c r="AE113" s="15">
        <v>-1.34771528465501E-2</v>
      </c>
      <c r="AF113" s="15">
        <v>-4.3555397637681202E-3</v>
      </c>
      <c r="AG113" s="15">
        <v>-1.51270118171532E-2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-1.5814237619535224E-2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3.203238019938312E-2</v>
      </c>
      <c r="BE113" s="29">
        <f t="shared" si="42"/>
        <v>0</v>
      </c>
      <c r="BF113" s="29">
        <f t="shared" si="43"/>
        <v>1.6218142579847897E-2</v>
      </c>
      <c r="BH113" s="29"/>
    </row>
    <row r="114" spans="1:60" x14ac:dyDescent="0.25">
      <c r="A114" s="1">
        <v>46188</v>
      </c>
      <c r="B114" s="33">
        <v>102.52</v>
      </c>
      <c r="C114" s="33">
        <v>178.68</v>
      </c>
      <c r="D114" s="15">
        <v>9.4081446593925304E-3</v>
      </c>
      <c r="E114" s="15">
        <v>1.4090296802268301E-2</v>
      </c>
      <c r="F114" s="33">
        <v>0.14061399999999999</v>
      </c>
      <c r="G114" s="33">
        <v>0.26734599999999997</v>
      </c>
      <c r="H114" s="33">
        <v>0</v>
      </c>
      <c r="I114" s="33">
        <v>0.45321</v>
      </c>
      <c r="J114" s="33">
        <v>0.14061399999999999</v>
      </c>
      <c r="K114" s="33">
        <v>0</v>
      </c>
      <c r="L114" s="33">
        <v>102.660614</v>
      </c>
      <c r="M114" s="33">
        <v>178.68</v>
      </c>
      <c r="N114" s="34">
        <v>1.7428794381584001</v>
      </c>
      <c r="O114" s="34">
        <v>1.71162160919586</v>
      </c>
      <c r="P114" s="34">
        <v>1.7367961542972401</v>
      </c>
      <c r="Q114" s="34">
        <v>1.7112250353495999</v>
      </c>
      <c r="R114" s="33">
        <v>175.47544737475999</v>
      </c>
      <c r="S114" s="33">
        <v>177.58102821759201</v>
      </c>
      <c r="T114" s="33">
        <v>175.26134900473701</v>
      </c>
      <c r="U114" s="15">
        <v>-1.8097364363573301E-2</v>
      </c>
      <c r="V114" s="15">
        <v>-6.1694947309821604E-3</v>
      </c>
      <c r="W114" s="15">
        <v>-1.9318213723118701E-2</v>
      </c>
      <c r="X114" s="34">
        <v>1.7404922203173201</v>
      </c>
      <c r="Y114" s="34">
        <v>1.71151559356553</v>
      </c>
      <c r="Z114" s="34">
        <v>1.7365574325131301</v>
      </c>
      <c r="AA114" s="34">
        <v>1.7111056744575499</v>
      </c>
      <c r="AB114" s="33">
        <v>175.705241706012</v>
      </c>
      <c r="AC114" s="33">
        <v>177.82459414328301</v>
      </c>
      <c r="AD114" s="33">
        <v>175.50173331344701</v>
      </c>
      <c r="AE114" s="15">
        <v>-1.6788668463173499E-2</v>
      </c>
      <c r="AF114" s="15">
        <v>-4.7988582047300901E-3</v>
      </c>
      <c r="AG114" s="15">
        <v>-1.7947577196866401E-2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-1.5814237619535224E-2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3.203238019938312E-2</v>
      </c>
      <c r="BE114" s="29">
        <f t="shared" si="42"/>
        <v>0</v>
      </c>
      <c r="BF114" s="29">
        <f t="shared" si="43"/>
        <v>1.6218142579847897E-2</v>
      </c>
      <c r="BH114" s="29"/>
    </row>
    <row r="115" spans="1:60" x14ac:dyDescent="0.25">
      <c r="A115" s="1">
        <v>46189</v>
      </c>
      <c r="B115" s="33">
        <v>102.45</v>
      </c>
      <c r="C115" s="33">
        <v>179.85</v>
      </c>
      <c r="D115" s="15">
        <v>-6.8302681096151603E-4</v>
      </c>
      <c r="E115" s="15">
        <v>6.5266736577149799E-3</v>
      </c>
      <c r="F115" s="33">
        <v>0</v>
      </c>
      <c r="G115" s="33">
        <v>0.26734599999999997</v>
      </c>
      <c r="H115" s="33">
        <v>0</v>
      </c>
      <c r="I115" s="33">
        <v>0.45321</v>
      </c>
      <c r="J115" s="33">
        <v>0.14061399999999999</v>
      </c>
      <c r="K115" s="33">
        <v>0</v>
      </c>
      <c r="L115" s="33">
        <v>102.590614</v>
      </c>
      <c r="M115" s="33">
        <v>179.85</v>
      </c>
      <c r="N115" s="34">
        <v>1.75549048316251</v>
      </c>
      <c r="O115" s="34">
        <v>1.71162160919586</v>
      </c>
      <c r="P115" s="34">
        <v>1.7394175743001701</v>
      </c>
      <c r="Q115" s="34">
        <v>1.71441123096319</v>
      </c>
      <c r="R115" s="33">
        <v>175.35563386211601</v>
      </c>
      <c r="S115" s="33">
        <v>177.93476600775199</v>
      </c>
      <c r="T115" s="33">
        <v>175.315004871567</v>
      </c>
      <c r="U115" s="15">
        <v>-2.5307064832249801E-2</v>
      </c>
      <c r="V115" s="15">
        <v>-1.07061701234071E-2</v>
      </c>
      <c r="W115" s="15">
        <v>-2.5538786489228901E-2</v>
      </c>
      <c r="X115" s="34">
        <v>1.75308435136181</v>
      </c>
      <c r="Y115" s="34">
        <v>1.71151559356553</v>
      </c>
      <c r="Z115" s="34">
        <v>1.738938239336</v>
      </c>
      <c r="AA115" s="34">
        <v>1.7141715634810999</v>
      </c>
      <c r="AB115" s="33">
        <v>175.58543561446299</v>
      </c>
      <c r="AC115" s="33">
        <v>178.15449324778501</v>
      </c>
      <c r="AD115" s="33">
        <v>175.543381761484</v>
      </c>
      <c r="AE115" s="15">
        <v>-2.39974330725094E-2</v>
      </c>
      <c r="AF115" s="15">
        <v>-9.4720566970117204E-3</v>
      </c>
      <c r="AG115" s="15">
        <v>-2.4236968257879601E-2</v>
      </c>
      <c r="AI115" s="12"/>
      <c r="AJ115">
        <f t="shared" si="26"/>
        <v>1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-1.5814237619535224E-2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3.203238019938312E-2</v>
      </c>
      <c r="BE115" s="29">
        <f t="shared" si="42"/>
        <v>0</v>
      </c>
      <c r="BF115" s="29">
        <f t="shared" si="43"/>
        <v>1.6218142579847897E-2</v>
      </c>
      <c r="BH115" s="29"/>
    </row>
    <row r="116" spans="1:60" x14ac:dyDescent="0.25">
      <c r="A116" s="1">
        <v>46190</v>
      </c>
      <c r="B116" s="33">
        <v>100.07</v>
      </c>
      <c r="C116" s="33">
        <v>179.6</v>
      </c>
      <c r="D116" s="15">
        <v>-2.3504933582544098E-2</v>
      </c>
      <c r="E116" s="15">
        <v>-1.39101427353367E-3</v>
      </c>
      <c r="F116" s="33">
        <v>0</v>
      </c>
      <c r="G116" s="33">
        <v>0.26734599999999997</v>
      </c>
      <c r="H116" s="33">
        <v>0</v>
      </c>
      <c r="I116" s="33">
        <v>0.45321</v>
      </c>
      <c r="J116" s="33">
        <v>0.14061399999999999</v>
      </c>
      <c r="K116" s="33">
        <v>0</v>
      </c>
      <c r="L116" s="33">
        <v>100.210613999999</v>
      </c>
      <c r="M116" s="33">
        <v>179.6</v>
      </c>
      <c r="N116" s="34">
        <v>1.7947436794244001</v>
      </c>
      <c r="O116" s="34">
        <v>1.71162160919586</v>
      </c>
      <c r="P116" s="34">
        <v>1.74518934743224</v>
      </c>
      <c r="Q116" s="34">
        <v>1.7198205788524601</v>
      </c>
      <c r="R116" s="33">
        <v>171.28197443222999</v>
      </c>
      <c r="S116" s="33">
        <v>174.063516660218</v>
      </c>
      <c r="T116" s="33">
        <v>171.56113188248699</v>
      </c>
      <c r="U116" s="15">
        <v>-4.7420984141260197E-2</v>
      </c>
      <c r="V116" s="15">
        <v>-3.1311884986711801E-2</v>
      </c>
      <c r="W116" s="15">
        <v>-4.5792498651492597E-2</v>
      </c>
      <c r="X116" s="34">
        <v>1.79222532255914</v>
      </c>
      <c r="Y116" s="34">
        <v>1.71151559356553</v>
      </c>
      <c r="Z116" s="34">
        <v>1.7444581767815299</v>
      </c>
      <c r="AA116" s="34">
        <v>1.7194549935271</v>
      </c>
      <c r="AB116" s="33">
        <v>171.512028501777</v>
      </c>
      <c r="AC116" s="33">
        <v>174.260068671939</v>
      </c>
      <c r="AD116" s="33">
        <v>171.778184877782</v>
      </c>
      <c r="AE116" s="15">
        <v>-4.6078754684990099E-2</v>
      </c>
      <c r="AF116" s="15">
        <v>-3.01833249875679E-2</v>
      </c>
      <c r="AG116" s="15">
        <v>-4.4528134137354701E-2</v>
      </c>
      <c r="AI116" s="12"/>
      <c r="AJ116">
        <f t="shared" si="26"/>
        <v>1</v>
      </c>
      <c r="AK116">
        <f t="shared" si="27"/>
        <v>0</v>
      </c>
      <c r="AL116">
        <f t="shared" si="34"/>
        <v>1</v>
      </c>
      <c r="AM116">
        <f t="shared" si="24"/>
        <v>1</v>
      </c>
      <c r="AN116">
        <f t="shared" si="35"/>
        <v>1</v>
      </c>
      <c r="AO116" s="28">
        <f t="shared" si="28"/>
        <v>-2.3504933582544098E-2</v>
      </c>
      <c r="AP116" s="28">
        <f t="shared" si="29"/>
        <v>1.39101427353367E-3</v>
      </c>
      <c r="AQ116" s="28">
        <f t="shared" si="36"/>
        <v>-2.2113919309010428E-2</v>
      </c>
      <c r="AR116" s="29">
        <f t="shared" si="37"/>
        <v>-3.7928156928545648E-2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3.203238019938312E-2</v>
      </c>
      <c r="BE116" s="29">
        <f t="shared" si="42"/>
        <v>-2.2113919309010428E-2</v>
      </c>
      <c r="BF116" s="29">
        <f t="shared" si="43"/>
        <v>-5.8957767291625308E-3</v>
      </c>
      <c r="BH116" s="29"/>
    </row>
    <row r="117" spans="1:60" x14ac:dyDescent="0.25">
      <c r="A117" s="1">
        <v>46191</v>
      </c>
      <c r="B117" s="33">
        <v>101.34</v>
      </c>
      <c r="C117" s="33">
        <v>180.91</v>
      </c>
      <c r="D117" s="15">
        <v>1.26112589453992E-2</v>
      </c>
      <c r="E117" s="15">
        <v>7.2675141650704999E-3</v>
      </c>
      <c r="F117" s="33">
        <v>0</v>
      </c>
      <c r="G117" s="33">
        <v>0.26734599999999997</v>
      </c>
      <c r="H117" s="33">
        <v>0</v>
      </c>
      <c r="I117" s="33">
        <v>0.45321</v>
      </c>
      <c r="J117" s="33">
        <v>0.14061399999999999</v>
      </c>
      <c r="K117" s="33">
        <v>0</v>
      </c>
      <c r="L117" s="33">
        <v>101.480614</v>
      </c>
      <c r="M117" s="33">
        <v>180.91</v>
      </c>
      <c r="N117" s="34">
        <v>1.7851786066706099</v>
      </c>
      <c r="O117" s="34">
        <v>1.71162160919586</v>
      </c>
      <c r="P117" s="34">
        <v>1.7485456290996</v>
      </c>
      <c r="Q117" s="34">
        <v>1.72516620927446</v>
      </c>
      <c r="R117" s="33">
        <v>173.45573387590801</v>
      </c>
      <c r="S117" s="33">
        <v>176.857488468783</v>
      </c>
      <c r="T117" s="33">
        <v>174.28661746090799</v>
      </c>
      <c r="U117" s="15">
        <v>-4.2077239360931697E-2</v>
      </c>
      <c r="V117" s="15">
        <v>-2.2655411660485202E-2</v>
      </c>
      <c r="W117" s="15">
        <v>-3.7298499221855297E-2</v>
      </c>
      <c r="X117" s="34">
        <v>1.7827050198967</v>
      </c>
      <c r="Y117" s="34">
        <v>1.71151559356553</v>
      </c>
      <c r="Z117" s="34">
        <v>1.7475670997715</v>
      </c>
      <c r="AA117" s="34">
        <v>1.72467694461041</v>
      </c>
      <c r="AB117" s="33">
        <v>173.685653305605</v>
      </c>
      <c r="AC117" s="33">
        <v>177.02868687711</v>
      </c>
      <c r="AD117" s="33">
        <v>174.49134848849599</v>
      </c>
      <c r="AE117" s="15">
        <v>-4.07525948684795E-2</v>
      </c>
      <c r="AF117" s="15">
        <v>-2.16878778396715E-2</v>
      </c>
      <c r="AG117" s="15">
        <v>-3.6124508482241698E-2</v>
      </c>
      <c r="AI117" s="12"/>
      <c r="AJ117">
        <f t="shared" si="26"/>
        <v>1</v>
      </c>
      <c r="AK117">
        <f t="shared" si="27"/>
        <v>0</v>
      </c>
      <c r="AL117">
        <f t="shared" si="34"/>
        <v>1</v>
      </c>
      <c r="AM117">
        <f t="shared" si="24"/>
        <v>0</v>
      </c>
      <c r="AN117">
        <f t="shared" si="35"/>
        <v>1</v>
      </c>
      <c r="AO117" s="28">
        <f t="shared" si="28"/>
        <v>1.26112589453992E-2</v>
      </c>
      <c r="AP117" s="28">
        <f t="shared" si="29"/>
        <v>-7.2675141650704999E-3</v>
      </c>
      <c r="AQ117" s="28">
        <f t="shared" si="36"/>
        <v>5.3437447803287002E-3</v>
      </c>
      <c r="AR117" s="29">
        <f t="shared" si="37"/>
        <v>-3.2584412148216946E-2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3.203238019938312E-2</v>
      </c>
      <c r="BE117" s="29">
        <f t="shared" si="42"/>
        <v>5.3437447803287002E-3</v>
      </c>
      <c r="BF117" s="29">
        <f t="shared" si="43"/>
        <v>-5.5203194883383065E-4</v>
      </c>
      <c r="BH117" s="29"/>
    </row>
    <row r="118" spans="1:60" x14ac:dyDescent="0.25">
      <c r="A118" s="1">
        <v>46195</v>
      </c>
      <c r="B118" s="33">
        <v>99.61</v>
      </c>
      <c r="C118" s="33">
        <v>181.8</v>
      </c>
      <c r="D118" s="15">
        <v>-1.7218638890689399E-2</v>
      </c>
      <c r="E118" s="15">
        <v>4.9075117102087796E-3</v>
      </c>
      <c r="F118" s="33">
        <v>0</v>
      </c>
      <c r="G118" s="33">
        <v>0.26734599999999997</v>
      </c>
      <c r="H118" s="33">
        <v>0.44408999999999998</v>
      </c>
      <c r="I118" s="33">
        <v>0.89729999999999999</v>
      </c>
      <c r="J118" s="33">
        <v>0</v>
      </c>
      <c r="K118" s="33">
        <v>0</v>
      </c>
      <c r="L118" s="33">
        <v>99.61</v>
      </c>
      <c r="M118" s="33">
        <v>181.8</v>
      </c>
      <c r="N118" s="34">
        <v>1.82511796004417</v>
      </c>
      <c r="O118" s="34">
        <v>1.71162160919586</v>
      </c>
      <c r="P118" s="34">
        <v>1.75616034708413</v>
      </c>
      <c r="Q118" s="34">
        <v>1.73286173879372</v>
      </c>
      <c r="R118" s="33">
        <v>170.494628492</v>
      </c>
      <c r="S118" s="33">
        <v>174.172630114611</v>
      </c>
      <c r="T118" s="33">
        <v>171.843806105829</v>
      </c>
      <c r="U118" s="15">
        <v>-6.4203389961829893E-2</v>
      </c>
      <c r="V118" s="15">
        <v>-4.2860247266189297E-2</v>
      </c>
      <c r="W118" s="15">
        <v>-5.6321221542066598E-2</v>
      </c>
      <c r="X118" s="34">
        <v>1.82511796004417</v>
      </c>
      <c r="Y118" s="34">
        <v>1.71151559356553</v>
      </c>
      <c r="Z118" s="34">
        <v>1.7551818177560401</v>
      </c>
      <c r="AA118" s="34">
        <v>1.73237247412967</v>
      </c>
      <c r="AB118" s="33">
        <v>170.48406827506301</v>
      </c>
      <c r="AC118" s="33">
        <v>174.075158808239</v>
      </c>
      <c r="AD118" s="33">
        <v>171.79507045264299</v>
      </c>
      <c r="AE118" s="15">
        <v>-6.4265330587682398E-2</v>
      </c>
      <c r="AF118" s="15">
        <v>-4.3420028617383498E-2</v>
      </c>
      <c r="AG118" s="15">
        <v>-5.6604866128503802E-2</v>
      </c>
      <c r="AI118" s="12"/>
      <c r="AJ118">
        <f t="shared" si="26"/>
        <v>1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-3.2584412148216946E-2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3.203238019938312E-2</v>
      </c>
      <c r="BE118" s="29">
        <f t="shared" si="42"/>
        <v>0</v>
      </c>
      <c r="BF118" s="29">
        <f t="shared" si="43"/>
        <v>-5.5203194883383065E-4</v>
      </c>
      <c r="BH118" s="29"/>
    </row>
    <row r="119" spans="1:60" x14ac:dyDescent="0.25">
      <c r="A119" s="1">
        <v>46196</v>
      </c>
      <c r="B119" s="33">
        <v>99.34</v>
      </c>
      <c r="C119" s="33">
        <v>178.15</v>
      </c>
      <c r="D119" s="15">
        <v>-2.7142514778697598E-3</v>
      </c>
      <c r="E119" s="15">
        <v>-2.0281289691533401E-2</v>
      </c>
      <c r="F119" s="33">
        <v>0</v>
      </c>
      <c r="G119" s="33">
        <v>0.26734599999999997</v>
      </c>
      <c r="H119" s="33">
        <v>0</v>
      </c>
      <c r="I119" s="33">
        <v>0.89729999999999999</v>
      </c>
      <c r="J119" s="33">
        <v>0</v>
      </c>
      <c r="K119" s="33">
        <v>0</v>
      </c>
      <c r="L119" s="33">
        <v>99.34</v>
      </c>
      <c r="M119" s="33">
        <v>178.15</v>
      </c>
      <c r="N119" s="34">
        <v>1.79333601771693</v>
      </c>
      <c r="O119" s="34">
        <v>1.71162160919586</v>
      </c>
      <c r="P119" s="34">
        <v>1.7614113340573501</v>
      </c>
      <c r="Q119" s="34">
        <v>1.73847588749714</v>
      </c>
      <c r="R119" s="33">
        <v>170.032490657517</v>
      </c>
      <c r="S119" s="33">
        <v>174.45696887933801</v>
      </c>
      <c r="T119" s="33">
        <v>172.14248513176801</v>
      </c>
      <c r="U119" s="15">
        <v>-4.6636351748166299E-2</v>
      </c>
      <c r="V119" s="15">
        <v>-2.0947777499334901E-2</v>
      </c>
      <c r="W119" s="15">
        <v>-3.4303356245005197E-2</v>
      </c>
      <c r="X119" s="34">
        <v>1.79333601771693</v>
      </c>
      <c r="Y119" s="34">
        <v>1.71151559356553</v>
      </c>
      <c r="Z119" s="34">
        <v>1.7604328047292499</v>
      </c>
      <c r="AA119" s="34">
        <v>1.73798662283309</v>
      </c>
      <c r="AB119" s="33">
        <v>170.0219590648</v>
      </c>
      <c r="AC119" s="33">
        <v>174.359761775885</v>
      </c>
      <c r="AD119" s="33">
        <v>172.093881580041</v>
      </c>
      <c r="AE119" s="15">
        <v>-4.6698292374018797E-2</v>
      </c>
      <c r="AF119" s="15">
        <v>-2.1505130959914399E-2</v>
      </c>
      <c r="AG119" s="15">
        <v>-3.4585741005881701E-2</v>
      </c>
      <c r="AI119" s="12"/>
      <c r="AJ119">
        <f t="shared" si="26"/>
        <v>1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-2.7142514778697598E-3</v>
      </c>
      <c r="AP119" s="28">
        <f t="shared" si="29"/>
        <v>2.0281289691533401E-2</v>
      </c>
      <c r="AQ119" s="28">
        <f t="shared" si="36"/>
        <v>1.7567038213663642E-2</v>
      </c>
      <c r="AR119" s="29">
        <f t="shared" si="37"/>
        <v>-1.5017373934553303E-2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3.203238019938312E-2</v>
      </c>
      <c r="BE119" s="29">
        <f t="shared" si="42"/>
        <v>1.7567038213663642E-2</v>
      </c>
      <c r="BF119" s="29">
        <f t="shared" si="43"/>
        <v>1.701500626482981E-2</v>
      </c>
      <c r="BH119" s="29"/>
    </row>
    <row r="120" spans="1:60" x14ac:dyDescent="0.25">
      <c r="A120" s="1">
        <v>46197</v>
      </c>
      <c r="B120" s="33">
        <v>100.65</v>
      </c>
      <c r="C120" s="33">
        <v>180.21</v>
      </c>
      <c r="D120" s="15">
        <v>1.3100842406595901E-2</v>
      </c>
      <c r="E120" s="15">
        <v>1.14969454783347E-2</v>
      </c>
      <c r="F120" s="33">
        <v>0</v>
      </c>
      <c r="G120" s="33">
        <v>0.26734599999999997</v>
      </c>
      <c r="H120" s="33">
        <v>0</v>
      </c>
      <c r="I120" s="33">
        <v>0.89729999999999999</v>
      </c>
      <c r="J120" s="33">
        <v>0</v>
      </c>
      <c r="K120" s="33">
        <v>0</v>
      </c>
      <c r="L120" s="33">
        <v>100.65</v>
      </c>
      <c r="M120" s="33">
        <v>180.21</v>
      </c>
      <c r="N120" s="34">
        <v>1.79046199701937</v>
      </c>
      <c r="O120" s="34">
        <v>1.71162160919586</v>
      </c>
      <c r="P120" s="34">
        <v>1.76569638726247</v>
      </c>
      <c r="Q120" s="34">
        <v>1.74268327516015</v>
      </c>
      <c r="R120" s="33">
        <v>172.27471496556299</v>
      </c>
      <c r="S120" s="33">
        <v>177.28605077287199</v>
      </c>
      <c r="T120" s="33">
        <v>174.97759807658699</v>
      </c>
      <c r="U120" s="15">
        <v>-4.5032454819904998E-2</v>
      </c>
      <c r="V120" s="15">
        <v>-1.6358303389046199E-2</v>
      </c>
      <c r="W120" s="15">
        <v>-2.94648827916997E-2</v>
      </c>
      <c r="X120" s="34">
        <v>1.79046199701937</v>
      </c>
      <c r="Y120" s="34">
        <v>1.71151559356553</v>
      </c>
      <c r="Z120" s="34">
        <v>1.7647178579343801</v>
      </c>
      <c r="AA120" s="34">
        <v>1.7421940104961</v>
      </c>
      <c r="AB120" s="33">
        <v>172.264044492371</v>
      </c>
      <c r="AC120" s="33">
        <v>177.18756179599899</v>
      </c>
      <c r="AD120" s="33">
        <v>174.928353588151</v>
      </c>
      <c r="AE120" s="15">
        <v>-4.5094395445757399E-2</v>
      </c>
      <c r="AF120" s="15">
        <v>-1.6913994847676601E-2</v>
      </c>
      <c r="AG120" s="15">
        <v>-2.9746355504737199E-2</v>
      </c>
      <c r="AI120" s="12"/>
      <c r="AJ120">
        <f t="shared" si="26"/>
        <v>1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1.3100842406595901E-2</v>
      </c>
      <c r="AP120" s="28">
        <f t="shared" si="29"/>
        <v>-1.14969454783347E-2</v>
      </c>
      <c r="AQ120" s="28">
        <f t="shared" si="36"/>
        <v>1.603896928261201E-3</v>
      </c>
      <c r="AR120" s="29">
        <f t="shared" si="37"/>
        <v>-1.3413477006292102E-2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3.203238019938312E-2</v>
      </c>
      <c r="BE120" s="29">
        <f t="shared" si="42"/>
        <v>1.603896928261201E-3</v>
      </c>
      <c r="BF120" s="29">
        <f t="shared" si="43"/>
        <v>1.8618903193091011E-2</v>
      </c>
      <c r="BH120" s="29"/>
    </row>
    <row r="121" spans="1:60" x14ac:dyDescent="0.25">
      <c r="A121" s="1">
        <v>46198</v>
      </c>
      <c r="B121" s="33">
        <v>99.21</v>
      </c>
      <c r="C121" s="33">
        <v>184.12</v>
      </c>
      <c r="D121" s="15">
        <v>-1.4410336423989501E-2</v>
      </c>
      <c r="E121" s="15">
        <v>2.1464881418860899E-2</v>
      </c>
      <c r="F121" s="33">
        <v>0</v>
      </c>
      <c r="G121" s="33">
        <v>0.26734599999999997</v>
      </c>
      <c r="H121" s="33">
        <v>0</v>
      </c>
      <c r="I121" s="33">
        <v>0.89729999999999999</v>
      </c>
      <c r="J121" s="33">
        <v>0</v>
      </c>
      <c r="K121" s="33">
        <v>0</v>
      </c>
      <c r="L121" s="33">
        <v>99.21</v>
      </c>
      <c r="M121" s="33">
        <v>184.12</v>
      </c>
      <c r="N121" s="34">
        <v>1.855861304304</v>
      </c>
      <c r="O121" s="34">
        <v>1.71162160919586</v>
      </c>
      <c r="P121" s="34">
        <v>1.78051251266016</v>
      </c>
      <c r="Q121" s="34">
        <v>1.75122460023614</v>
      </c>
      <c r="R121" s="33">
        <v>169.80997984832101</v>
      </c>
      <c r="S121" s="33">
        <v>175.17473858030999</v>
      </c>
      <c r="T121" s="33">
        <v>172.89160772863801</v>
      </c>
      <c r="U121" s="15">
        <v>-8.0907672662755295E-2</v>
      </c>
      <c r="V121" s="15">
        <v>-4.9803737028021197E-2</v>
      </c>
      <c r="W121" s="15">
        <v>-6.2922865733716804E-2</v>
      </c>
      <c r="X121" s="34">
        <v>1.855861304304</v>
      </c>
      <c r="Y121" s="34">
        <v>1.71151559356553</v>
      </c>
      <c r="Z121" s="34">
        <v>1.77953398333206</v>
      </c>
      <c r="AA121" s="34">
        <v>1.75073533557209</v>
      </c>
      <c r="AB121" s="33">
        <v>169.799462037637</v>
      </c>
      <c r="AC121" s="33">
        <v>175.07765868566901</v>
      </c>
      <c r="AD121" s="33">
        <v>172.84306778131801</v>
      </c>
      <c r="AE121" s="15">
        <v>-8.0969613288607994E-2</v>
      </c>
      <c r="AF121" s="15">
        <v>-5.03580795415009E-2</v>
      </c>
      <c r="AG121" s="15">
        <v>-6.3203658787334999E-2</v>
      </c>
      <c r="AI121" s="12"/>
      <c r="AJ121">
        <f t="shared" si="26"/>
        <v>1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-1.4410336423989501E-2</v>
      </c>
      <c r="AP121" s="28">
        <f t="shared" si="29"/>
        <v>-2.1464881418860899E-2</v>
      </c>
      <c r="AQ121" s="28">
        <f t="shared" si="36"/>
        <v>-3.5875217842850401E-2</v>
      </c>
      <c r="AR121" s="29">
        <f t="shared" si="37"/>
        <v>-4.92886948491425E-2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3.203238019938312E-2</v>
      </c>
      <c r="BE121" s="29">
        <f t="shared" si="42"/>
        <v>-3.5875217842850401E-2</v>
      </c>
      <c r="BF121" s="29">
        <f t="shared" si="43"/>
        <v>-1.725631464975939E-2</v>
      </c>
      <c r="BH121" s="29"/>
    </row>
    <row r="122" spans="1:60" x14ac:dyDescent="0.25">
      <c r="A122" s="1">
        <v>46199</v>
      </c>
      <c r="B122" s="33">
        <v>100.48</v>
      </c>
      <c r="C122" s="33">
        <v>181.2</v>
      </c>
      <c r="D122" s="15">
        <v>1.2719887058077599E-2</v>
      </c>
      <c r="E122" s="15">
        <v>-1.5986325340161801E-2</v>
      </c>
      <c r="F122" s="33">
        <v>0</v>
      </c>
      <c r="G122" s="33">
        <v>0.26734599999999997</v>
      </c>
      <c r="H122" s="33">
        <v>0</v>
      </c>
      <c r="I122" s="33">
        <v>0.89729999999999999</v>
      </c>
      <c r="J122" s="33">
        <v>0</v>
      </c>
      <c r="K122" s="33">
        <v>0</v>
      </c>
      <c r="L122" s="33">
        <v>100.48</v>
      </c>
      <c r="M122" s="33">
        <v>181.2</v>
      </c>
      <c r="N122" s="34">
        <v>1.80334394904458</v>
      </c>
      <c r="O122" s="34">
        <v>1.71162160919586</v>
      </c>
      <c r="P122" s="34">
        <v>1.7881151521405501</v>
      </c>
      <c r="Q122" s="34">
        <v>1.75765697402292</v>
      </c>
      <c r="R122" s="33">
        <v>171.983739292</v>
      </c>
      <c r="S122" s="33">
        <v>178.905897272093</v>
      </c>
      <c r="T122" s="33">
        <v>175.96304783172701</v>
      </c>
      <c r="U122" s="15">
        <v>-5.2201460264515998E-2</v>
      </c>
      <c r="V122" s="15">
        <v>-1.27414395676752E-2</v>
      </c>
      <c r="W122" s="15">
        <v>-2.9327376116016001E-2</v>
      </c>
      <c r="X122" s="34">
        <v>1.80334394904458</v>
      </c>
      <c r="Y122" s="34">
        <v>1.71151559356553</v>
      </c>
      <c r="Z122" s="34">
        <v>1.7871366228124601</v>
      </c>
      <c r="AA122" s="34">
        <v>1.75716770935887</v>
      </c>
      <c r="AB122" s="33">
        <v>171.973086841465</v>
      </c>
      <c r="AC122" s="33">
        <v>178.80757464520599</v>
      </c>
      <c r="AD122" s="33">
        <v>175.91388651828399</v>
      </c>
      <c r="AE122" s="15">
        <v>-5.2263400890368503E-2</v>
      </c>
      <c r="AF122" s="15">
        <v>-1.32911679792785E-2</v>
      </c>
      <c r="AG122" s="15">
        <v>-2.9606799453917899E-2</v>
      </c>
      <c r="AI122" s="12"/>
      <c r="AJ122">
        <f t="shared" si="26"/>
        <v>1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1.2719887058077599E-2</v>
      </c>
      <c r="AP122" s="28">
        <f t="shared" si="29"/>
        <v>1.5986325340161801E-2</v>
      </c>
      <c r="AQ122" s="28">
        <f t="shared" si="36"/>
        <v>2.8706212398239402E-2</v>
      </c>
      <c r="AR122" s="29">
        <f t="shared" si="37"/>
        <v>-2.0582482450903099E-2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3.203238019938312E-2</v>
      </c>
      <c r="BE122" s="29">
        <f t="shared" si="42"/>
        <v>2.8706212398239402E-2</v>
      </c>
      <c r="BF122" s="29">
        <f t="shared" si="43"/>
        <v>1.1449897748480011E-2</v>
      </c>
      <c r="BH122" s="29"/>
    </row>
    <row r="123" spans="1:60" x14ac:dyDescent="0.25">
      <c r="A123" s="1">
        <v>46202</v>
      </c>
      <c r="B123" s="33">
        <v>101.52</v>
      </c>
      <c r="C123" s="33">
        <v>182.76</v>
      </c>
      <c r="D123" s="15">
        <v>1.0297120686243701E-2</v>
      </c>
      <c r="E123" s="15">
        <v>8.5724230861919E-3</v>
      </c>
      <c r="F123" s="33">
        <v>0</v>
      </c>
      <c r="G123" s="33">
        <v>0.26734599999999997</v>
      </c>
      <c r="H123" s="33">
        <v>0</v>
      </c>
      <c r="I123" s="33">
        <v>0.89729999999999999</v>
      </c>
      <c r="J123" s="33">
        <v>0</v>
      </c>
      <c r="K123" s="33">
        <v>0</v>
      </c>
      <c r="L123" s="33">
        <v>101.52</v>
      </c>
      <c r="M123" s="33">
        <v>182.76</v>
      </c>
      <c r="N123" s="34">
        <v>1.8002364066193799</v>
      </c>
      <c r="O123" s="34">
        <v>1.71162160919586</v>
      </c>
      <c r="P123" s="34">
        <v>1.7946649842164299</v>
      </c>
      <c r="Q123" s="34">
        <v>1.76341241903756</v>
      </c>
      <c r="R123" s="33">
        <v>173.76382576556401</v>
      </c>
      <c r="S123" s="33">
        <v>181.52945024530899</v>
      </c>
      <c r="T123" s="33">
        <v>178.437336002807</v>
      </c>
      <c r="U123" s="15">
        <v>-5.04767626644642E-2</v>
      </c>
      <c r="V123" s="15">
        <v>-6.7559158482090598E-3</v>
      </c>
      <c r="W123" s="15">
        <v>-2.3936335918746599E-2</v>
      </c>
      <c r="X123" s="34">
        <v>1.8002364066193799</v>
      </c>
      <c r="Y123" s="34">
        <v>1.71151559356553</v>
      </c>
      <c r="Z123" s="34">
        <v>1.79368645488834</v>
      </c>
      <c r="AA123" s="34">
        <v>1.76292315437351</v>
      </c>
      <c r="AB123" s="33">
        <v>173.75306305877299</v>
      </c>
      <c r="AC123" s="33">
        <v>181.43010994792101</v>
      </c>
      <c r="AD123" s="33">
        <v>178.38766585411301</v>
      </c>
      <c r="AE123" s="15">
        <v>-5.0538703290316803E-2</v>
      </c>
      <c r="AF123" s="15">
        <v>-7.30330630578981E-3</v>
      </c>
      <c r="AG123" s="15">
        <v>-2.42147365283252E-2</v>
      </c>
      <c r="AI123" s="12"/>
      <c r="AJ123">
        <f t="shared" si="26"/>
        <v>1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1.0297120686243701E-2</v>
      </c>
      <c r="AP123" s="28">
        <f t="shared" si="29"/>
        <v>-8.5724230861919E-3</v>
      </c>
      <c r="AQ123" s="28">
        <f t="shared" si="36"/>
        <v>1.7246976000518006E-3</v>
      </c>
      <c r="AR123" s="29">
        <f t="shared" si="37"/>
        <v>-1.8857784850851298E-2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3.203238019938312E-2</v>
      </c>
      <c r="BE123" s="29">
        <f t="shared" si="42"/>
        <v>1.7246976000518006E-3</v>
      </c>
      <c r="BF123" s="29">
        <f t="shared" si="43"/>
        <v>1.3174595348531812E-2</v>
      </c>
      <c r="BH123" s="29"/>
    </row>
    <row r="124" spans="1:60" x14ac:dyDescent="0.25">
      <c r="A124" s="1">
        <v>46203</v>
      </c>
      <c r="B124" s="33">
        <v>101.1</v>
      </c>
      <c r="C124" s="33">
        <v>185.23</v>
      </c>
      <c r="D124" s="15">
        <v>-4.1456973797064601E-3</v>
      </c>
      <c r="E124" s="15">
        <v>1.3424479439560899E-2</v>
      </c>
      <c r="F124" s="33">
        <v>0</v>
      </c>
      <c r="G124" s="33">
        <v>0.26734599999999997</v>
      </c>
      <c r="H124" s="33">
        <v>0</v>
      </c>
      <c r="I124" s="33">
        <v>0.89729999999999999</v>
      </c>
      <c r="J124" s="33">
        <v>0</v>
      </c>
      <c r="K124" s="33">
        <v>0</v>
      </c>
      <c r="L124" s="33">
        <v>101.1</v>
      </c>
      <c r="M124" s="33">
        <v>185.23</v>
      </c>
      <c r="N124" s="34">
        <v>1.83214638971315</v>
      </c>
      <c r="O124" s="34">
        <v>1.71162160919586</v>
      </c>
      <c r="P124" s="34">
        <v>1.80359167937191</v>
      </c>
      <c r="Q124" s="34">
        <v>1.7701939168345699</v>
      </c>
      <c r="R124" s="33">
        <v>173.044944689701</v>
      </c>
      <c r="S124" s="33">
        <v>181.44062990428199</v>
      </c>
      <c r="T124" s="33">
        <v>178.28099556469701</v>
      </c>
      <c r="U124" s="15">
        <v>-6.8046939483731694E-2</v>
      </c>
      <c r="V124" s="15">
        <v>-2.0669803906594598E-2</v>
      </c>
      <c r="W124" s="15">
        <v>-3.8237363796023202E-2</v>
      </c>
      <c r="X124" s="34">
        <v>1.83214638971315</v>
      </c>
      <c r="Y124" s="34">
        <v>1.71151559356553</v>
      </c>
      <c r="Z124" s="34">
        <v>1.8028518718279201</v>
      </c>
      <c r="AA124" s="34">
        <v>1.76970465217053</v>
      </c>
      <c r="AB124" s="33">
        <v>173.03422650947601</v>
      </c>
      <c r="AC124" s="33">
        <v>181.341700589211</v>
      </c>
      <c r="AD124" s="33">
        <v>178.23153090716201</v>
      </c>
      <c r="AE124" s="15">
        <v>-6.8108880109584102E-2</v>
      </c>
      <c r="AF124" s="15">
        <v>-2.1215196056141101E-2</v>
      </c>
      <c r="AG124" s="15">
        <v>-3.8514855632521397E-2</v>
      </c>
      <c r="AI124" s="12"/>
      <c r="AJ124">
        <f t="shared" si="26"/>
        <v>1</v>
      </c>
      <c r="AK124">
        <f t="shared" si="27"/>
        <v>0</v>
      </c>
      <c r="AL124">
        <f t="shared" si="34"/>
        <v>1</v>
      </c>
      <c r="AM124">
        <f t="shared" si="24"/>
        <v>1</v>
      </c>
      <c r="AN124">
        <f t="shared" si="35"/>
        <v>1</v>
      </c>
      <c r="AO124" s="28">
        <f t="shared" si="28"/>
        <v>-4.1456973797064601E-3</v>
      </c>
      <c r="AP124" s="28">
        <f t="shared" si="29"/>
        <v>-1.3424479439560899E-2</v>
      </c>
      <c r="AQ124" s="28">
        <f t="shared" si="36"/>
        <v>-1.7570176819267359E-2</v>
      </c>
      <c r="AR124" s="29">
        <f t="shared" si="37"/>
        <v>-3.6427961670118657E-2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3.203238019938312E-2</v>
      </c>
      <c r="BE124" s="29">
        <f t="shared" si="42"/>
        <v>-1.7570176819267359E-2</v>
      </c>
      <c r="BF124" s="29">
        <f t="shared" si="43"/>
        <v>-4.3955814707355469E-3</v>
      </c>
      <c r="BH124" s="29"/>
    </row>
    <row r="125" spans="1:60" x14ac:dyDescent="0.25">
      <c r="A125" s="1">
        <v>46204</v>
      </c>
      <c r="B125" s="33">
        <v>101.5</v>
      </c>
      <c r="C125" s="33">
        <v>183.36</v>
      </c>
      <c r="D125" s="15">
        <v>3.9486724554162796E-3</v>
      </c>
      <c r="E125" s="15">
        <v>-1.01468626082568E-2</v>
      </c>
      <c r="F125" s="33">
        <v>0</v>
      </c>
      <c r="G125" s="33">
        <v>0.26734599999999997</v>
      </c>
      <c r="H125" s="33">
        <v>0</v>
      </c>
      <c r="I125" s="33">
        <v>0.89729999999999999</v>
      </c>
      <c r="J125" s="33">
        <v>0</v>
      </c>
      <c r="K125" s="33">
        <v>0</v>
      </c>
      <c r="L125" s="33">
        <v>101.5</v>
      </c>
      <c r="M125" s="33">
        <v>183.36</v>
      </c>
      <c r="N125" s="34">
        <v>1.8065024630541799</v>
      </c>
      <c r="O125" s="34">
        <v>1.71162160919586</v>
      </c>
      <c r="P125" s="34">
        <v>1.80869287736108</v>
      </c>
      <c r="Q125" s="34">
        <v>1.7740552258306299</v>
      </c>
      <c r="R125" s="33">
        <v>173.72959333338</v>
      </c>
      <c r="S125" s="33">
        <v>183.064555456249</v>
      </c>
      <c r="T125" s="33">
        <v>179.67468255870901</v>
      </c>
      <c r="U125" s="15">
        <v>-5.3951404420058503E-2</v>
      </c>
      <c r="V125" s="15">
        <v>-1.61258083485215E-3</v>
      </c>
      <c r="W125" s="15">
        <v>-2.0303536926123699E-2</v>
      </c>
      <c r="X125" s="34">
        <v>1.8065024630541799</v>
      </c>
      <c r="Y125" s="34">
        <v>1.71151559356553</v>
      </c>
      <c r="Z125" s="34">
        <v>1.8081936829971601</v>
      </c>
      <c r="AA125" s="34">
        <v>1.7735659611665799</v>
      </c>
      <c r="AB125" s="33">
        <v>173.718832746902</v>
      </c>
      <c r="AC125" s="33">
        <v>182.989464990534</v>
      </c>
      <c r="AD125" s="33">
        <v>179.62502219530799</v>
      </c>
      <c r="AE125" s="15">
        <v>-5.4013345045911001E-2</v>
      </c>
      <c r="AF125" s="15">
        <v>-2.0228506998099501E-3</v>
      </c>
      <c r="AG125" s="15">
        <v>-2.0579965562495899E-2</v>
      </c>
      <c r="AI125" s="12"/>
      <c r="AJ125">
        <f t="shared" si="26"/>
        <v>1</v>
      </c>
      <c r="AK125">
        <f t="shared" si="27"/>
        <v>0</v>
      </c>
      <c r="AL125">
        <f t="shared" si="34"/>
        <v>1</v>
      </c>
      <c r="AM125">
        <f t="shared" si="24"/>
        <v>1</v>
      </c>
      <c r="AN125">
        <f t="shared" si="35"/>
        <v>1</v>
      </c>
      <c r="AO125" s="28">
        <f t="shared" si="28"/>
        <v>3.9486724554162796E-3</v>
      </c>
      <c r="AP125" s="28">
        <f t="shared" si="29"/>
        <v>1.01468626082568E-2</v>
      </c>
      <c r="AQ125" s="28">
        <f t="shared" si="36"/>
        <v>1.409553506367308E-2</v>
      </c>
      <c r="AR125" s="29">
        <f t="shared" si="37"/>
        <v>-2.2332426606445577E-2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3.203238019938312E-2</v>
      </c>
      <c r="BE125" s="29">
        <f t="shared" si="42"/>
        <v>1.409553506367308E-2</v>
      </c>
      <c r="BF125" s="29">
        <f t="shared" si="43"/>
        <v>9.6999535929375331E-3</v>
      </c>
      <c r="BH125" s="29"/>
    </row>
    <row r="126" spans="1:60" x14ac:dyDescent="0.25">
      <c r="A126" s="1">
        <v>46205</v>
      </c>
      <c r="B126" s="33">
        <v>102.07</v>
      </c>
      <c r="C126" s="33">
        <v>183.91</v>
      </c>
      <c r="D126" s="15">
        <v>5.6000539335649101E-3</v>
      </c>
      <c r="E126" s="15">
        <v>2.9950739845148902E-3</v>
      </c>
      <c r="F126" s="33">
        <v>0</v>
      </c>
      <c r="G126" s="33">
        <v>0.26734599999999997</v>
      </c>
      <c r="H126" s="33">
        <v>0</v>
      </c>
      <c r="I126" s="33">
        <v>0.89729999999999999</v>
      </c>
      <c r="J126" s="33">
        <v>0</v>
      </c>
      <c r="K126" s="33">
        <v>0</v>
      </c>
      <c r="L126" s="33">
        <v>102.07</v>
      </c>
      <c r="M126" s="33">
        <v>183.91</v>
      </c>
      <c r="N126" s="34">
        <v>1.8018026844322499</v>
      </c>
      <c r="O126" s="34">
        <v>1.71162160919586</v>
      </c>
      <c r="P126" s="34">
        <v>1.8093987778618601</v>
      </c>
      <c r="Q126" s="34">
        <v>1.7772940626470499</v>
      </c>
      <c r="R126" s="33">
        <v>174.70521765062099</v>
      </c>
      <c r="S126" s="33">
        <v>184.61328199224499</v>
      </c>
      <c r="T126" s="33">
        <v>181.07781690053201</v>
      </c>
      <c r="U126" s="15">
        <v>-5.1346424471008401E-2</v>
      </c>
      <c r="V126" s="15">
        <v>3.8167620900830699E-3</v>
      </c>
      <c r="W126" s="15">
        <v>-1.55196410102148E-2</v>
      </c>
      <c r="X126" s="34">
        <v>1.8018026844322499</v>
      </c>
      <c r="Y126" s="34">
        <v>1.71151559356553</v>
      </c>
      <c r="Z126" s="34">
        <v>1.80915141918447</v>
      </c>
      <c r="AA126" s="34">
        <v>1.776804797983</v>
      </c>
      <c r="AB126" s="33">
        <v>174.694396635234</v>
      </c>
      <c r="AC126" s="33">
        <v>184.56232922352001</v>
      </c>
      <c r="AD126" s="33">
        <v>181.02787765627301</v>
      </c>
      <c r="AE126" s="15">
        <v>-5.1408365096860802E-2</v>
      </c>
      <c r="AF126" s="15">
        <v>3.5407266884991098E-3</v>
      </c>
      <c r="AG126" s="15">
        <v>-1.5795467904553301E-2</v>
      </c>
      <c r="AI126" s="12"/>
      <c r="AJ126">
        <f t="shared" si="26"/>
        <v>0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5.6000539335649101E-3</v>
      </c>
      <c r="AP126" s="28">
        <f t="shared" si="29"/>
        <v>-2.9950739845148902E-3</v>
      </c>
      <c r="AQ126" s="28">
        <f t="shared" si="36"/>
        <v>2.6049799490500199E-3</v>
      </c>
      <c r="AR126" s="29">
        <f t="shared" si="37"/>
        <v>-1.9727446657395557E-2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3.203238019938312E-2</v>
      </c>
      <c r="BE126" s="29">
        <f t="shared" si="42"/>
        <v>2.6049799490500199E-3</v>
      </c>
      <c r="BF126" s="29">
        <f t="shared" si="43"/>
        <v>1.2304933541987553E-2</v>
      </c>
      <c r="BH126" s="29"/>
    </row>
    <row r="127" spans="1:60" x14ac:dyDescent="0.25">
      <c r="A127" s="1">
        <v>46209</v>
      </c>
      <c r="B127" s="33">
        <v>101.92</v>
      </c>
      <c r="C127" s="33">
        <v>185.56</v>
      </c>
      <c r="D127" s="15">
        <v>-1.47066059155374E-3</v>
      </c>
      <c r="E127" s="15">
        <v>8.9317723726532808E-3</v>
      </c>
      <c r="F127" s="33">
        <v>0</v>
      </c>
      <c r="G127" s="33">
        <v>0.26734599999999997</v>
      </c>
      <c r="H127" s="33">
        <v>0</v>
      </c>
      <c r="I127" s="33">
        <v>0.89729999999999999</v>
      </c>
      <c r="J127" s="33">
        <v>0</v>
      </c>
      <c r="K127" s="33">
        <v>0</v>
      </c>
      <c r="L127" s="33">
        <v>101.92</v>
      </c>
      <c r="M127" s="33">
        <v>185.56</v>
      </c>
      <c r="N127" s="34">
        <v>1.8206436420722101</v>
      </c>
      <c r="O127" s="34">
        <v>1.71162160919586</v>
      </c>
      <c r="P127" s="34">
        <v>1.8129452814020199</v>
      </c>
      <c r="Q127" s="34">
        <v>1.78074545525081</v>
      </c>
      <c r="R127" s="33">
        <v>174.44847440924201</v>
      </c>
      <c r="S127" s="33">
        <v>184.41392343968101</v>
      </c>
      <c r="T127" s="33">
        <v>181.14181086498701</v>
      </c>
      <c r="U127" s="15">
        <v>-6.1748857435215299E-2</v>
      </c>
      <c r="V127" s="15">
        <v>-6.1954648887544801E-3</v>
      </c>
      <c r="W127" s="15">
        <v>-2.40980699402954E-2</v>
      </c>
      <c r="X127" s="34">
        <v>1.8206436420722101</v>
      </c>
      <c r="Y127" s="34">
        <v>1.71151559356553</v>
      </c>
      <c r="Z127" s="34">
        <v>1.8129452814020199</v>
      </c>
      <c r="AA127" s="34">
        <v>1.78025619058676</v>
      </c>
      <c r="AB127" s="33">
        <v>174.437669296199</v>
      </c>
      <c r="AC127" s="33">
        <v>184.388712643281</v>
      </c>
      <c r="AD127" s="33">
        <v>181.091945010427</v>
      </c>
      <c r="AE127" s="15">
        <v>-6.1810798061067901E-2</v>
      </c>
      <c r="AF127" s="15">
        <v>-6.3321818965650298E-3</v>
      </c>
      <c r="AG127" s="15">
        <v>-2.4373394114621399E-2</v>
      </c>
      <c r="AI127" s="12"/>
      <c r="AJ127">
        <f t="shared" si="26"/>
        <v>1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-1.47066059155374E-3</v>
      </c>
      <c r="AP127" s="28">
        <f t="shared" si="29"/>
        <v>-8.9317723726532808E-3</v>
      </c>
      <c r="AQ127" s="28">
        <f t="shared" si="36"/>
        <v>-1.0402432964207021E-2</v>
      </c>
      <c r="AR127" s="29">
        <f t="shared" si="37"/>
        <v>-3.012987962160258E-2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3.203238019938312E-2</v>
      </c>
      <c r="BE127" s="29">
        <f t="shared" si="42"/>
        <v>-1.0402432964207021E-2</v>
      </c>
      <c r="BF127" s="29">
        <f t="shared" si="43"/>
        <v>1.9025005777805314E-3</v>
      </c>
      <c r="BH127" s="29"/>
    </row>
    <row r="128" spans="1:60" x14ac:dyDescent="0.25">
      <c r="A128" s="1">
        <v>46210</v>
      </c>
      <c r="B128" s="33">
        <v>101.63</v>
      </c>
      <c r="C128" s="33">
        <v>182.38</v>
      </c>
      <c r="D128" s="15">
        <v>-2.84942467417819E-3</v>
      </c>
      <c r="E128" s="15">
        <v>-1.72858573780235E-2</v>
      </c>
      <c r="F128" s="33">
        <v>0</v>
      </c>
      <c r="G128" s="33">
        <v>0.26734599999999997</v>
      </c>
      <c r="H128" s="33">
        <v>0</v>
      </c>
      <c r="I128" s="33">
        <v>0.89729999999999999</v>
      </c>
      <c r="J128" s="33">
        <v>0</v>
      </c>
      <c r="K128" s="33">
        <v>0</v>
      </c>
      <c r="L128" s="33">
        <v>101.63</v>
      </c>
      <c r="M128" s="33">
        <v>182.38</v>
      </c>
      <c r="N128" s="34">
        <v>1.7945488536849299</v>
      </c>
      <c r="O128" s="34">
        <v>1.71162160919586</v>
      </c>
      <c r="P128" s="34">
        <v>1.8098883707661</v>
      </c>
      <c r="Q128" s="34">
        <v>1.78302435892511</v>
      </c>
      <c r="R128" s="33">
        <v>173.952104142575</v>
      </c>
      <c r="S128" s="33">
        <v>184.24962894888699</v>
      </c>
      <c r="T128" s="33">
        <v>180.97716061713999</v>
      </c>
      <c r="U128" s="15">
        <v>-4.7312424731370102E-2</v>
      </c>
      <c r="V128" s="15">
        <v>1.0199094715971401E-2</v>
      </c>
      <c r="W128" s="15">
        <v>-7.7215836373092797E-3</v>
      </c>
      <c r="X128" s="34">
        <v>1.7945488536849299</v>
      </c>
      <c r="Y128" s="34">
        <v>1.71151559356553</v>
      </c>
      <c r="Z128" s="34">
        <v>1.8098883707661</v>
      </c>
      <c r="AA128" s="34">
        <v>1.78253509426107</v>
      </c>
      <c r="AB128" s="33">
        <v>173.941329774065</v>
      </c>
      <c r="AC128" s="33">
        <v>184.24962894888699</v>
      </c>
      <c r="AD128" s="33">
        <v>180.92743664933201</v>
      </c>
      <c r="AE128" s="15">
        <v>-4.7374365357222697E-2</v>
      </c>
      <c r="AF128" s="15">
        <v>1.0199094715971401E-2</v>
      </c>
      <c r="AG128" s="15">
        <v>-7.9963741124544404E-3</v>
      </c>
      <c r="AI128" s="12"/>
      <c r="AJ128">
        <f t="shared" si="26"/>
        <v>0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-2.84942467417819E-3</v>
      </c>
      <c r="AP128" s="28">
        <f t="shared" si="29"/>
        <v>1.72858573780235E-2</v>
      </c>
      <c r="AQ128" s="28">
        <f t="shared" si="36"/>
        <v>1.4436432703845309E-2</v>
      </c>
      <c r="AR128" s="29">
        <f t="shared" si="37"/>
        <v>-1.5693446917757273E-2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3.203238019938312E-2</v>
      </c>
      <c r="BE128" s="29">
        <f t="shared" si="42"/>
        <v>1.4436432703845309E-2</v>
      </c>
      <c r="BF128" s="29">
        <f t="shared" si="43"/>
        <v>1.6338933281625841E-2</v>
      </c>
      <c r="BH128" s="29"/>
    </row>
    <row r="129" spans="1:60" x14ac:dyDescent="0.25">
      <c r="A129" s="1">
        <v>46211</v>
      </c>
      <c r="B129" s="33">
        <v>100.33</v>
      </c>
      <c r="C129" s="33">
        <v>180.42</v>
      </c>
      <c r="D129" s="15">
        <v>-1.28740142121536E-2</v>
      </c>
      <c r="E129" s="15">
        <v>-1.08049562770268E-2</v>
      </c>
      <c r="F129" s="33">
        <v>0</v>
      </c>
      <c r="G129" s="33">
        <v>0.26734599999999997</v>
      </c>
      <c r="H129" s="33">
        <v>0</v>
      </c>
      <c r="I129" s="33">
        <v>0.89729999999999999</v>
      </c>
      <c r="J129" s="33">
        <v>0</v>
      </c>
      <c r="K129" s="33">
        <v>0</v>
      </c>
      <c r="L129" s="33">
        <v>100.33</v>
      </c>
      <c r="M129" s="33">
        <v>180.42</v>
      </c>
      <c r="N129" s="34">
        <v>1.79826572311372</v>
      </c>
      <c r="O129" s="34">
        <v>1.71162160919586</v>
      </c>
      <c r="P129" s="34">
        <v>1.8103813413057801</v>
      </c>
      <c r="Q129" s="34">
        <v>1.78589633768156</v>
      </c>
      <c r="R129" s="33">
        <v>171.72699605062101</v>
      </c>
      <c r="S129" s="33">
        <v>181.58610023896301</v>
      </c>
      <c r="T129" s="33">
        <v>178.890833930957</v>
      </c>
      <c r="U129" s="15">
        <v>-4.9381482666497098E-2</v>
      </c>
      <c r="V129" s="15">
        <v>6.4424564749795696E-3</v>
      </c>
      <c r="W129" s="15">
        <v>-8.5117127393408605E-3</v>
      </c>
      <c r="X129" s="34">
        <v>1.79826572311372</v>
      </c>
      <c r="Y129" s="34">
        <v>1.71151559356553</v>
      </c>
      <c r="Z129" s="34">
        <v>1.8103813413057801</v>
      </c>
      <c r="AA129" s="34">
        <v>1.78540707301751</v>
      </c>
      <c r="AB129" s="33">
        <v>171.71635950243001</v>
      </c>
      <c r="AC129" s="33">
        <v>181.58610023896301</v>
      </c>
      <c r="AD129" s="33">
        <v>178.841746007213</v>
      </c>
      <c r="AE129" s="15">
        <v>-4.9443423292349603E-2</v>
      </c>
      <c r="AF129" s="15">
        <v>6.4424564749795696E-3</v>
      </c>
      <c r="AG129" s="15">
        <v>-8.78615195346274E-3</v>
      </c>
      <c r="AI129" s="12"/>
      <c r="AJ129">
        <f t="shared" si="26"/>
        <v>0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-1.28740142121536E-2</v>
      </c>
      <c r="AP129" s="28">
        <f t="shared" si="29"/>
        <v>1.08049562770268E-2</v>
      </c>
      <c r="AQ129" s="28">
        <f t="shared" si="36"/>
        <v>-2.0690579351267998E-3</v>
      </c>
      <c r="AR129" s="29">
        <f t="shared" si="37"/>
        <v>-1.7762504852884074E-2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3.203238019938312E-2</v>
      </c>
      <c r="BE129" s="29">
        <f t="shared" si="42"/>
        <v>-2.0690579351267998E-3</v>
      </c>
      <c r="BF129" s="29">
        <f t="shared" si="43"/>
        <v>1.4269875346499041E-2</v>
      </c>
      <c r="BH129" s="29"/>
    </row>
    <row r="130" spans="1:60" x14ac:dyDescent="0.25">
      <c r="A130" s="1">
        <v>46212</v>
      </c>
      <c r="B130" s="33">
        <v>101.08</v>
      </c>
      <c r="C130" s="33">
        <v>181.11</v>
      </c>
      <c r="D130" s="15">
        <v>7.44752958247198E-3</v>
      </c>
      <c r="E130" s="15">
        <v>3.8171152479519002E-3</v>
      </c>
      <c r="F130" s="33">
        <v>0</v>
      </c>
      <c r="G130" s="33">
        <v>0.26734599999999997</v>
      </c>
      <c r="H130" s="33">
        <v>0</v>
      </c>
      <c r="I130" s="33">
        <v>0.89729999999999999</v>
      </c>
      <c r="J130" s="33">
        <v>0</v>
      </c>
      <c r="K130" s="33">
        <v>0</v>
      </c>
      <c r="L130" s="33">
        <v>101.08</v>
      </c>
      <c r="M130" s="33">
        <v>181.11</v>
      </c>
      <c r="N130" s="34">
        <v>1.79174910961614</v>
      </c>
      <c r="O130" s="34">
        <v>1.71162160919586</v>
      </c>
      <c r="P130" s="34">
        <v>1.8105100525654501</v>
      </c>
      <c r="Q130" s="34">
        <v>1.7881032199139599</v>
      </c>
      <c r="R130" s="33">
        <v>173.01071225751701</v>
      </c>
      <c r="S130" s="33">
        <v>182.99334597918801</v>
      </c>
      <c r="T130" s="33">
        <v>180.51840181285201</v>
      </c>
      <c r="U130" s="15">
        <v>-4.5751068331976799E-2</v>
      </c>
      <c r="V130" s="15">
        <v>1.0345209934445E-2</v>
      </c>
      <c r="W130" s="15">
        <v>-3.27185979828771E-3</v>
      </c>
      <c r="X130" s="34">
        <v>1.79174910961614</v>
      </c>
      <c r="Y130" s="34">
        <v>1.71151559356553</v>
      </c>
      <c r="Z130" s="34">
        <v>1.8105100525654501</v>
      </c>
      <c r="AA130" s="34">
        <v>1.78761395524991</v>
      </c>
      <c r="AB130" s="33">
        <v>172.99999619760399</v>
      </c>
      <c r="AC130" s="33">
        <v>182.99334597918801</v>
      </c>
      <c r="AD130" s="33">
        <v>180.46894694061001</v>
      </c>
      <c r="AE130" s="15">
        <v>-4.5813008957829401E-2</v>
      </c>
      <c r="AF130" s="15">
        <v>1.0345209934445E-2</v>
      </c>
      <c r="AG130" s="15">
        <v>-3.5458576141231902E-3</v>
      </c>
      <c r="AI130" s="12"/>
      <c r="AJ130">
        <f t="shared" si="26"/>
        <v>0</v>
      </c>
      <c r="AK130">
        <f t="shared" si="27"/>
        <v>1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7.44752958247198E-3</v>
      </c>
      <c r="AP130" s="28">
        <f t="shared" si="29"/>
        <v>-3.8171152479519002E-3</v>
      </c>
      <c r="AQ130" s="28">
        <f t="shared" si="36"/>
        <v>3.6304143345200798E-3</v>
      </c>
      <c r="AR130" s="29">
        <f t="shared" si="37"/>
        <v>-1.4132090518363994E-2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3.203238019938312E-2</v>
      </c>
      <c r="BE130" s="29">
        <f t="shared" si="42"/>
        <v>3.6304143345200798E-3</v>
      </c>
      <c r="BF130" s="29">
        <f t="shared" si="43"/>
        <v>1.7900289681019119E-2</v>
      </c>
      <c r="BH130" s="29"/>
    </row>
    <row r="131" spans="1:60" x14ac:dyDescent="0.25">
      <c r="A131" s="1">
        <v>46213</v>
      </c>
      <c r="B131" s="33">
        <v>101.23</v>
      </c>
      <c r="C131" s="33">
        <v>181.92</v>
      </c>
      <c r="D131" s="15">
        <v>1.48287309066688E-3</v>
      </c>
      <c r="E131" s="15">
        <v>4.4624485257813897E-3</v>
      </c>
      <c r="F131" s="33">
        <v>0</v>
      </c>
      <c r="G131" s="33">
        <v>0.26734599999999997</v>
      </c>
      <c r="H131" s="33">
        <v>0</v>
      </c>
      <c r="I131" s="33">
        <v>0.89729999999999999</v>
      </c>
      <c r="J131" s="33">
        <v>0</v>
      </c>
      <c r="K131" s="33">
        <v>0</v>
      </c>
      <c r="L131" s="33">
        <v>101.23</v>
      </c>
      <c r="M131" s="33">
        <v>181.92</v>
      </c>
      <c r="N131" s="34">
        <v>1.79709572261187</v>
      </c>
      <c r="O131" s="34">
        <v>1.71162160919586</v>
      </c>
      <c r="P131" s="34">
        <v>1.8046334943962401</v>
      </c>
      <c r="Q131" s="34">
        <v>1.7925730035281999</v>
      </c>
      <c r="R131" s="33">
        <v>173.26745549889699</v>
      </c>
      <c r="S131" s="33">
        <v>183.27793262120099</v>
      </c>
      <c r="T131" s="33">
        <v>181.00968895189001</v>
      </c>
      <c r="U131" s="15">
        <v>-4.8730643767091103E-2</v>
      </c>
      <c r="V131" s="15">
        <v>7.4367281863436299E-3</v>
      </c>
      <c r="W131" s="15">
        <v>-5.0164700481417296E-3</v>
      </c>
      <c r="X131" s="34">
        <v>1.79709572261187</v>
      </c>
      <c r="Y131" s="34">
        <v>1.71151559356553</v>
      </c>
      <c r="Z131" s="34">
        <v>1.8046334943962401</v>
      </c>
      <c r="AA131" s="34">
        <v>1.79208373886415</v>
      </c>
      <c r="AB131" s="33">
        <v>173.25672353663899</v>
      </c>
      <c r="AC131" s="33">
        <v>183.27793262120099</v>
      </c>
      <c r="AD131" s="33">
        <v>180.96016068994899</v>
      </c>
      <c r="AE131" s="15">
        <v>-4.8792584392943698E-2</v>
      </c>
      <c r="AF131" s="15">
        <v>7.4367281863436299E-3</v>
      </c>
      <c r="AG131" s="15">
        <v>-5.2901296487941297E-3</v>
      </c>
      <c r="AI131" s="12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-1.4132090518363994E-2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3.203238019938312E-2</v>
      </c>
      <c r="BE131" s="29">
        <f t="shared" si="42"/>
        <v>0</v>
      </c>
      <c r="BF131" s="29">
        <f t="shared" si="43"/>
        <v>1.7900289681019119E-2</v>
      </c>
      <c r="BH131" s="29"/>
    </row>
    <row r="132" spans="1:60" x14ac:dyDescent="0.25">
      <c r="A132" s="1">
        <v>46216</v>
      </c>
      <c r="B132" s="33">
        <v>100.8</v>
      </c>
      <c r="C132" s="33">
        <v>180.37</v>
      </c>
      <c r="D132" s="15">
        <v>-4.2567999733921398E-3</v>
      </c>
      <c r="E132" s="15">
        <v>-8.5567333201179204E-3</v>
      </c>
      <c r="F132" s="33">
        <v>0</v>
      </c>
      <c r="G132" s="33">
        <v>0.26734599999999997</v>
      </c>
      <c r="H132" s="33">
        <v>0</v>
      </c>
      <c r="I132" s="33">
        <v>0.89729999999999999</v>
      </c>
      <c r="J132" s="33">
        <v>0</v>
      </c>
      <c r="K132" s="33">
        <v>0</v>
      </c>
      <c r="L132" s="33">
        <v>100.8</v>
      </c>
      <c r="M132" s="33">
        <v>180.37</v>
      </c>
      <c r="N132" s="34">
        <v>1.7893849206349199</v>
      </c>
      <c r="O132" s="34">
        <v>1.71162160919586</v>
      </c>
      <c r="P132" s="34">
        <v>1.8032375915552701</v>
      </c>
      <c r="Q132" s="34">
        <v>1.7956763718479101</v>
      </c>
      <c r="R132" s="33">
        <v>172.531458206943</v>
      </c>
      <c r="S132" s="33">
        <v>181.907056235141</v>
      </c>
      <c r="T132" s="33">
        <v>180.69135875564299</v>
      </c>
      <c r="U132" s="15">
        <v>-4.4430710420365303E-2</v>
      </c>
      <c r="V132" s="15">
        <v>8.4855799265370103E-3</v>
      </c>
      <c r="W132" s="15">
        <v>1.78007882985572E-3</v>
      </c>
      <c r="X132" s="34">
        <v>1.7893849206349199</v>
      </c>
      <c r="Y132" s="34">
        <v>1.71151559356553</v>
      </c>
      <c r="Z132" s="34">
        <v>1.8032375915552701</v>
      </c>
      <c r="AA132" s="34">
        <v>1.7951871071838701</v>
      </c>
      <c r="AB132" s="33">
        <v>172.52077183140599</v>
      </c>
      <c r="AC132" s="33">
        <v>181.907056235141</v>
      </c>
      <c r="AD132" s="33">
        <v>180.64204087750699</v>
      </c>
      <c r="AE132" s="15">
        <v>-4.4492651046217802E-2</v>
      </c>
      <c r="AF132" s="15">
        <v>8.48557992653679E-3</v>
      </c>
      <c r="AG132" s="15">
        <v>1.5071016929937399E-3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-1.4132090518363994E-2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3.203238019938312E-2</v>
      </c>
      <c r="BE132" s="29">
        <f t="shared" si="42"/>
        <v>0</v>
      </c>
      <c r="BF132" s="29">
        <f t="shared" si="43"/>
        <v>1.7900289681019119E-2</v>
      </c>
      <c r="BH132" s="29"/>
    </row>
    <row r="133" spans="1:60" x14ac:dyDescent="0.25">
      <c r="A133" s="1">
        <v>46217</v>
      </c>
      <c r="B133" s="33">
        <v>100.41</v>
      </c>
      <c r="C133" s="33">
        <v>180.45</v>
      </c>
      <c r="D133" s="15">
        <v>-3.8765517459232899E-3</v>
      </c>
      <c r="E133" s="15">
        <v>4.4343440668962901E-4</v>
      </c>
      <c r="F133" s="33">
        <v>0</v>
      </c>
      <c r="G133" s="33">
        <v>0.26734599999999997</v>
      </c>
      <c r="H133" s="33">
        <v>0</v>
      </c>
      <c r="I133" s="33">
        <v>0.89729999999999999</v>
      </c>
      <c r="J133" s="33">
        <v>0</v>
      </c>
      <c r="K133" s="33">
        <v>0</v>
      </c>
      <c r="L133" s="33">
        <v>100.41</v>
      </c>
      <c r="M133" s="33">
        <v>180.45</v>
      </c>
      <c r="N133" s="34">
        <v>1.7971317597848799</v>
      </c>
      <c r="O133" s="34">
        <v>1.71162160919586</v>
      </c>
      <c r="P133" s="34">
        <v>1.8029271268718201</v>
      </c>
      <c r="Q133" s="34">
        <v>1.79879605554413</v>
      </c>
      <c r="R133" s="33">
        <v>171.86392577935601</v>
      </c>
      <c r="S133" s="33">
        <v>181.06308656806499</v>
      </c>
      <c r="T133" s="33">
        <v>180.30386449724901</v>
      </c>
      <c r="U133" s="15">
        <v>-4.8750696572978397E-2</v>
      </c>
      <c r="V133" s="15">
        <v>3.3917840244261999E-3</v>
      </c>
      <c r="W133" s="15">
        <v>-8.1016740290438703E-4</v>
      </c>
      <c r="X133" s="34">
        <v>1.7971317597848799</v>
      </c>
      <c r="Y133" s="34">
        <v>1.71151559356553</v>
      </c>
      <c r="Z133" s="34">
        <v>1.8029271268718201</v>
      </c>
      <c r="AA133" s="34">
        <v>1.7983067908800801</v>
      </c>
      <c r="AB133" s="33">
        <v>171.853280749915</v>
      </c>
      <c r="AC133" s="33">
        <v>181.06308656806499</v>
      </c>
      <c r="AD133" s="33">
        <v>180.25473743233201</v>
      </c>
      <c r="AE133" s="15">
        <v>-4.8812637198830798E-2</v>
      </c>
      <c r="AF133" s="15">
        <v>3.3917840244261999E-3</v>
      </c>
      <c r="AG133" s="15">
        <v>-1.08267270416806E-3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-1.4132090518363994E-2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3.203238019938312E-2</v>
      </c>
      <c r="BE133" s="29">
        <f t="shared" si="42"/>
        <v>0</v>
      </c>
      <c r="BF133" s="29">
        <f t="shared" si="43"/>
        <v>1.7900289681019119E-2</v>
      </c>
      <c r="BH133" s="29"/>
    </row>
    <row r="134" spans="1:60" x14ac:dyDescent="0.25">
      <c r="A134" s="1">
        <v>46218</v>
      </c>
      <c r="B134" s="33">
        <v>101.25</v>
      </c>
      <c r="C134" s="33">
        <v>180.06</v>
      </c>
      <c r="D134" s="15">
        <v>8.3309020953036203E-3</v>
      </c>
      <c r="E134" s="15">
        <v>-2.1636024084666998E-3</v>
      </c>
      <c r="F134" s="33">
        <v>0</v>
      </c>
      <c r="G134" s="33">
        <v>0.26734599999999997</v>
      </c>
      <c r="H134" s="33">
        <v>0</v>
      </c>
      <c r="I134" s="33">
        <v>0.89729999999999999</v>
      </c>
      <c r="J134" s="33">
        <v>0</v>
      </c>
      <c r="K134" s="33">
        <v>0</v>
      </c>
      <c r="L134" s="33">
        <v>101.25</v>
      </c>
      <c r="M134" s="33">
        <v>180.06</v>
      </c>
      <c r="N134" s="34">
        <v>1.7783703703703699</v>
      </c>
      <c r="O134" s="34">
        <v>1.71162160919586</v>
      </c>
      <c r="P134" s="34">
        <v>1.7975495249375499</v>
      </c>
      <c r="Q134" s="34">
        <v>1.8005706021547301</v>
      </c>
      <c r="R134" s="33">
        <v>173.30168793108101</v>
      </c>
      <c r="S134" s="33">
        <v>182.546371595772</v>
      </c>
      <c r="T134" s="33">
        <v>182.12810062384301</v>
      </c>
      <c r="U134" s="15">
        <v>-3.8256192069207801E-2</v>
      </c>
      <c r="V134" s="15">
        <v>1.3714103002321501E-2</v>
      </c>
      <c r="W134" s="15">
        <v>1.1420160392074699E-2</v>
      </c>
      <c r="X134" s="34">
        <v>1.7783703703703699</v>
      </c>
      <c r="Y134" s="34">
        <v>1.71151559356553</v>
      </c>
      <c r="Z134" s="34">
        <v>1.7975495249375499</v>
      </c>
      <c r="AA134" s="34">
        <v>1.8002006983827299</v>
      </c>
      <c r="AB134" s="33">
        <v>173.29095384850999</v>
      </c>
      <c r="AC134" s="33">
        <v>182.546371595772</v>
      </c>
      <c r="AD134" s="33">
        <v>182.07856257660799</v>
      </c>
      <c r="AE134" s="15">
        <v>-3.83181326950605E-2</v>
      </c>
      <c r="AF134" s="15">
        <v>1.37141030023217E-2</v>
      </c>
      <c r="AG134" s="15">
        <v>1.1148127765845501E-2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-1.4132090518363994E-2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3.203238019938312E-2</v>
      </c>
      <c r="BE134" s="29">
        <f t="shared" si="42"/>
        <v>0</v>
      </c>
      <c r="BF134" s="29">
        <f t="shared" si="43"/>
        <v>1.7900289681019119E-2</v>
      </c>
      <c r="BH134" s="29"/>
    </row>
    <row r="135" spans="1:60" x14ac:dyDescent="0.25">
      <c r="A135" s="1">
        <v>46219</v>
      </c>
      <c r="B135" s="33">
        <v>102.07</v>
      </c>
      <c r="C135" s="33">
        <v>180.15</v>
      </c>
      <c r="D135" s="15">
        <v>8.0661464287584902E-3</v>
      </c>
      <c r="E135" s="15">
        <v>4.9970851377150003E-4</v>
      </c>
      <c r="F135" s="33">
        <v>0</v>
      </c>
      <c r="G135" s="33">
        <v>0.26734599999999997</v>
      </c>
      <c r="H135" s="33">
        <v>0</v>
      </c>
      <c r="I135" s="33">
        <v>0.89729999999999999</v>
      </c>
      <c r="J135" s="33">
        <v>0</v>
      </c>
      <c r="K135" s="33">
        <v>0</v>
      </c>
      <c r="L135" s="33">
        <v>102.07</v>
      </c>
      <c r="M135" s="33">
        <v>180.15</v>
      </c>
      <c r="N135" s="34">
        <v>1.76496521994709</v>
      </c>
      <c r="O135" s="34">
        <v>1.71162160919586</v>
      </c>
      <c r="P135" s="34">
        <v>1.79339580062684</v>
      </c>
      <c r="Q135" s="34">
        <v>1.8010443389939601</v>
      </c>
      <c r="R135" s="33">
        <v>174.70521765062099</v>
      </c>
      <c r="S135" s="33">
        <v>183.47588001037499</v>
      </c>
      <c r="T135" s="33">
        <v>183.784241361933</v>
      </c>
      <c r="U135" s="15">
        <v>-3.0689754154221E-2</v>
      </c>
      <c r="V135" s="15">
        <v>1.82933775758462E-2</v>
      </c>
      <c r="W135" s="15">
        <v>1.9972631086233698E-2</v>
      </c>
      <c r="X135" s="34">
        <v>1.76496521994709</v>
      </c>
      <c r="Y135" s="34">
        <v>1.71151559356553</v>
      </c>
      <c r="Z135" s="34">
        <v>1.79339580062684</v>
      </c>
      <c r="AA135" s="34">
        <v>1.8007947418120001</v>
      </c>
      <c r="AB135" s="33">
        <v>174.694396635234</v>
      </c>
      <c r="AC135" s="33">
        <v>183.47588001037499</v>
      </c>
      <c r="AD135" s="33">
        <v>183.74648528392601</v>
      </c>
      <c r="AE135" s="15">
        <v>-3.0751694780073498E-2</v>
      </c>
      <c r="AF135" s="15">
        <v>1.82933775758462E-2</v>
      </c>
      <c r="AG135" s="15">
        <v>1.9767173009382601E-2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-1.4132090518363994E-2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3.203238019938312E-2</v>
      </c>
      <c r="BE135" s="29">
        <f t="shared" si="42"/>
        <v>0</v>
      </c>
      <c r="BF135" s="29">
        <f t="shared" si="43"/>
        <v>1.7900289681019119E-2</v>
      </c>
      <c r="BH135" s="29"/>
    </row>
    <row r="136" spans="1:60" x14ac:dyDescent="0.25">
      <c r="A136" s="1">
        <v>46220</v>
      </c>
      <c r="B136" s="33">
        <v>100.38</v>
      </c>
      <c r="C136" s="33">
        <v>179.41</v>
      </c>
      <c r="D136" s="15">
        <v>-1.66958681886193E-2</v>
      </c>
      <c r="E136" s="15">
        <v>-4.1161477628092798E-3</v>
      </c>
      <c r="F136" s="33">
        <v>0</v>
      </c>
      <c r="G136" s="33">
        <v>0.26734599999999997</v>
      </c>
      <c r="H136" s="33">
        <v>0</v>
      </c>
      <c r="I136" s="33">
        <v>0.89729999999999999</v>
      </c>
      <c r="J136" s="33">
        <v>0</v>
      </c>
      <c r="K136" s="33">
        <v>0</v>
      </c>
      <c r="L136" s="33">
        <v>100.38</v>
      </c>
      <c r="M136" s="33">
        <v>179.41</v>
      </c>
      <c r="N136" s="34">
        <v>1.78730822873082</v>
      </c>
      <c r="O136" s="34">
        <v>1.71162160919586</v>
      </c>
      <c r="P136" s="34">
        <v>1.7919463550566901</v>
      </c>
      <c r="Q136" s="34">
        <v>1.80067256645928</v>
      </c>
      <c r="R136" s="33">
        <v>171.81257713107999</v>
      </c>
      <c r="S136" s="33">
        <v>180.021070466922</v>
      </c>
      <c r="T136" s="33">
        <v>180.788830748213</v>
      </c>
      <c r="U136" s="15">
        <v>-4.3269474580031199E-2</v>
      </c>
      <c r="V136" s="15">
        <v>3.4002127577152201E-3</v>
      </c>
      <c r="W136" s="15">
        <v>7.6559797834153702E-3</v>
      </c>
      <c r="X136" s="34">
        <v>1.78730822873082</v>
      </c>
      <c r="Y136" s="34">
        <v>1.71151559356553</v>
      </c>
      <c r="Z136" s="34">
        <v>1.7919463550566901</v>
      </c>
      <c r="AA136" s="34">
        <v>1.8005488871205799</v>
      </c>
      <c r="AB136" s="33">
        <v>171.80193528210799</v>
      </c>
      <c r="AC136" s="33">
        <v>180.021070466922</v>
      </c>
      <c r="AD136" s="33">
        <v>180.763776183088</v>
      </c>
      <c r="AE136" s="15">
        <v>-4.3331415205883801E-2</v>
      </c>
      <c r="AF136" s="15">
        <v>3.4002127577152201E-3</v>
      </c>
      <c r="AG136" s="15">
        <v>7.5173854838043999E-3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-1.4132090518363994E-2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3.203238019938312E-2</v>
      </c>
      <c r="BE136" s="29">
        <f t="shared" si="42"/>
        <v>0</v>
      </c>
      <c r="BF136" s="29">
        <f t="shared" si="43"/>
        <v>1.7900289681019119E-2</v>
      </c>
      <c r="BH136" s="29"/>
    </row>
    <row r="137" spans="1:60" x14ac:dyDescent="0.25">
      <c r="A137" s="1">
        <v>46223</v>
      </c>
      <c r="B137" s="33">
        <v>99.71</v>
      </c>
      <c r="C137" s="33">
        <v>178.12</v>
      </c>
      <c r="D137" s="15">
        <v>-6.6970113860860599E-3</v>
      </c>
      <c r="E137" s="15">
        <v>-7.2162089777913999E-3</v>
      </c>
      <c r="F137" s="33">
        <v>0</v>
      </c>
      <c r="G137" s="33">
        <v>0.26734599999999997</v>
      </c>
      <c r="H137" s="33">
        <v>0</v>
      </c>
      <c r="I137" s="33">
        <v>0.89729999999999999</v>
      </c>
      <c r="J137" s="33">
        <v>0</v>
      </c>
      <c r="K137" s="33">
        <v>0</v>
      </c>
      <c r="L137" s="33">
        <v>99.71</v>
      </c>
      <c r="M137" s="33">
        <v>178.12</v>
      </c>
      <c r="N137" s="34">
        <v>1.78638050346003</v>
      </c>
      <c r="O137" s="34">
        <v>1.71162160919586</v>
      </c>
      <c r="P137" s="34">
        <v>1.78852004119548</v>
      </c>
      <c r="Q137" s="34">
        <v>1.80073266129875</v>
      </c>
      <c r="R137" s="33">
        <v>170.66579065291899</v>
      </c>
      <c r="S137" s="33">
        <v>178.67497106270301</v>
      </c>
      <c r="T137" s="33">
        <v>179.54506160165499</v>
      </c>
      <c r="U137" s="15">
        <v>-4.27502769883258E-2</v>
      </c>
      <c r="V137" s="15">
        <v>3.1108706976006699E-3</v>
      </c>
      <c r="W137" s="15">
        <v>7.9687355332112107E-3</v>
      </c>
      <c r="X137" s="34">
        <v>1.78638050346003</v>
      </c>
      <c r="Y137" s="34">
        <v>1.71151559356553</v>
      </c>
      <c r="Z137" s="34">
        <v>1.78852004119548</v>
      </c>
      <c r="AA137" s="34">
        <v>1.80073266129875</v>
      </c>
      <c r="AB137" s="33">
        <v>170.655219834419</v>
      </c>
      <c r="AC137" s="33">
        <v>178.67497106270301</v>
      </c>
      <c r="AD137" s="33">
        <v>179.53272953479299</v>
      </c>
      <c r="AE137" s="15">
        <v>-4.2812217614178499E-2</v>
      </c>
      <c r="AF137" s="15">
        <v>3.1108706976006699E-3</v>
      </c>
      <c r="AG137" s="15">
        <v>7.9000480946079896E-3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-1.4132090518363994E-2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3.203238019938312E-2</v>
      </c>
      <c r="BE137" s="29">
        <f t="shared" si="42"/>
        <v>0</v>
      </c>
      <c r="BF137" s="29">
        <f t="shared" si="43"/>
        <v>1.7900289681019119E-2</v>
      </c>
      <c r="BH137" s="29"/>
    </row>
    <row r="138" spans="1:60" x14ac:dyDescent="0.25">
      <c r="A138" s="1">
        <v>46224</v>
      </c>
      <c r="B138" s="33">
        <v>99.55</v>
      </c>
      <c r="C138" s="33">
        <v>178.66</v>
      </c>
      <c r="D138" s="15">
        <v>-1.6059423304961901E-3</v>
      </c>
      <c r="E138" s="15">
        <v>3.0270778201913801E-3</v>
      </c>
      <c r="F138" s="33">
        <v>0</v>
      </c>
      <c r="G138" s="33">
        <v>0.26734599999999997</v>
      </c>
      <c r="H138" s="33">
        <v>0</v>
      </c>
      <c r="I138" s="33">
        <v>0.89729999999999999</v>
      </c>
      <c r="J138" s="33">
        <v>0</v>
      </c>
      <c r="K138" s="33">
        <v>0</v>
      </c>
      <c r="L138" s="33">
        <v>99.55</v>
      </c>
      <c r="M138" s="33">
        <v>178.66</v>
      </c>
      <c r="N138" s="34">
        <v>1.79467604218985</v>
      </c>
      <c r="O138" s="34">
        <v>1.71162160919586</v>
      </c>
      <c r="P138" s="34">
        <v>1.7885327600459699</v>
      </c>
      <c r="Q138" s="34">
        <v>1.79921056540603</v>
      </c>
      <c r="R138" s="33">
        <v>170.391931195448</v>
      </c>
      <c r="S138" s="33">
        <v>178.04717010101001</v>
      </c>
      <c r="T138" s="33">
        <v>179.26293643228999</v>
      </c>
      <c r="U138" s="15">
        <v>-4.7383297139013403E-2</v>
      </c>
      <c r="V138" s="15">
        <v>-3.4360425205839E-3</v>
      </c>
      <c r="W138" s="15">
        <v>3.36908837760514E-3</v>
      </c>
      <c r="X138" s="34">
        <v>1.79467604218985</v>
      </c>
      <c r="Y138" s="34">
        <v>1.71151559356553</v>
      </c>
      <c r="Z138" s="34">
        <v>1.7885327600459699</v>
      </c>
      <c r="AA138" s="34">
        <v>1.79921056540603</v>
      </c>
      <c r="AB138" s="33">
        <v>170.38137733944899</v>
      </c>
      <c r="AC138" s="33">
        <v>178.04717010101001</v>
      </c>
      <c r="AD138" s="33">
        <v>179.26293643228999</v>
      </c>
      <c r="AE138" s="15">
        <v>-4.7445237764865901E-2</v>
      </c>
      <c r="AF138" s="15">
        <v>-3.4360425205839E-3</v>
      </c>
      <c r="AG138" s="15">
        <v>3.36908837760514E-3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-1.4132090518363994E-2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3.203238019938312E-2</v>
      </c>
      <c r="BE138" s="29">
        <f t="shared" si="42"/>
        <v>0</v>
      </c>
      <c r="BF138" s="29">
        <f t="shared" si="43"/>
        <v>1.7900289681019119E-2</v>
      </c>
      <c r="BH138" s="29"/>
    </row>
    <row r="139" spans="1:60" x14ac:dyDescent="0.25">
      <c r="A139" s="1">
        <v>46225</v>
      </c>
      <c r="B139" s="33">
        <v>98.88</v>
      </c>
      <c r="C139" s="33">
        <v>178.85</v>
      </c>
      <c r="D139" s="15">
        <v>-6.7530368008246197E-3</v>
      </c>
      <c r="E139" s="15">
        <v>1.0629074313337401E-3</v>
      </c>
      <c r="F139" s="33">
        <v>0</v>
      </c>
      <c r="G139" s="33">
        <v>0.26734599999999997</v>
      </c>
      <c r="H139" s="33">
        <v>0</v>
      </c>
      <c r="I139" s="33">
        <v>0.89729999999999999</v>
      </c>
      <c r="J139" s="33">
        <v>0</v>
      </c>
      <c r="K139" s="33">
        <v>0</v>
      </c>
      <c r="L139" s="33">
        <v>98.88</v>
      </c>
      <c r="M139" s="33">
        <v>178.85</v>
      </c>
      <c r="N139" s="34">
        <v>1.8087580906148799</v>
      </c>
      <c r="O139" s="34">
        <v>1.71162160919586</v>
      </c>
      <c r="P139" s="34">
        <v>1.78958199679608</v>
      </c>
      <c r="Q139" s="34">
        <v>1.79998166905093</v>
      </c>
      <c r="R139" s="33">
        <v>169.24514471728699</v>
      </c>
      <c r="S139" s="33">
        <v>176.850119313345</v>
      </c>
      <c r="T139" s="33">
        <v>177.90594070734801</v>
      </c>
      <c r="U139" s="15">
        <v>-5.5199241371171798E-2</v>
      </c>
      <c r="V139" s="15">
        <v>-1.12448753953211E-2</v>
      </c>
      <c r="W139" s="15">
        <v>-5.2924780699959697E-3</v>
      </c>
      <c r="X139" s="34">
        <v>1.8087580906148799</v>
      </c>
      <c r="Y139" s="34">
        <v>1.71151559356553</v>
      </c>
      <c r="Z139" s="34">
        <v>1.78958199679608</v>
      </c>
      <c r="AA139" s="34">
        <v>1.79998166905093</v>
      </c>
      <c r="AB139" s="33">
        <v>169.23466189176</v>
      </c>
      <c r="AC139" s="33">
        <v>176.850119313345</v>
      </c>
      <c r="AD139" s="33">
        <v>177.90594070734801</v>
      </c>
      <c r="AE139" s="15">
        <v>-5.52611819970244E-2</v>
      </c>
      <c r="AF139" s="15">
        <v>-1.12448753953211E-2</v>
      </c>
      <c r="AG139" s="15">
        <v>-5.2924780699959697E-3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-1.4132090518363994E-2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3.203238019938312E-2</v>
      </c>
      <c r="BE139" s="29">
        <f t="shared" si="42"/>
        <v>0</v>
      </c>
      <c r="BF139" s="29">
        <f t="shared" si="43"/>
        <v>1.7900289681019119E-2</v>
      </c>
      <c r="BH139" s="29"/>
    </row>
    <row r="140" spans="1:60" x14ac:dyDescent="0.25">
      <c r="A140" s="1">
        <v>46226</v>
      </c>
      <c r="B140" s="33">
        <v>95.95</v>
      </c>
      <c r="C140" s="33">
        <v>181.94</v>
      </c>
      <c r="D140" s="15">
        <v>-3.00797712556716E-2</v>
      </c>
      <c r="E140" s="15">
        <v>1.71294966888891E-2</v>
      </c>
      <c r="F140" s="33">
        <v>0</v>
      </c>
      <c r="G140" s="33">
        <v>0.26734599999999997</v>
      </c>
      <c r="H140" s="33">
        <v>0</v>
      </c>
      <c r="I140" s="33">
        <v>0.89729999999999999</v>
      </c>
      <c r="J140" s="33">
        <v>0</v>
      </c>
      <c r="K140" s="33">
        <v>0</v>
      </c>
      <c r="L140" s="33">
        <v>95.95</v>
      </c>
      <c r="M140" s="33">
        <v>181.94</v>
      </c>
      <c r="N140" s="34">
        <v>1.89619593538301</v>
      </c>
      <c r="O140" s="34">
        <v>1.71162160919586</v>
      </c>
      <c r="P140" s="34">
        <v>1.8000266793727699</v>
      </c>
      <c r="Q140" s="34">
        <v>1.80526836596911</v>
      </c>
      <c r="R140" s="33">
        <v>164.23009340234299</v>
      </c>
      <c r="S140" s="33">
        <v>171.71039259258399</v>
      </c>
      <c r="T140" s="33">
        <v>172.708241145437</v>
      </c>
      <c r="U140" s="15">
        <v>-0.102408509315732</v>
      </c>
      <c r="V140" s="15">
        <v>-5.7867668700864697E-2</v>
      </c>
      <c r="W140" s="15">
        <v>-5.2073258950535203E-2</v>
      </c>
      <c r="X140" s="34">
        <v>1.89619593538301</v>
      </c>
      <c r="Y140" s="34">
        <v>1.71151559356553</v>
      </c>
      <c r="Z140" s="34">
        <v>1.8000266793727699</v>
      </c>
      <c r="AA140" s="34">
        <v>1.80526836596911</v>
      </c>
      <c r="AB140" s="33">
        <v>164.21992120261299</v>
      </c>
      <c r="AC140" s="33">
        <v>171.71039259258399</v>
      </c>
      <c r="AD140" s="33">
        <v>172.708241145437</v>
      </c>
      <c r="AE140" s="15">
        <v>-0.102470449941585</v>
      </c>
      <c r="AF140" s="15">
        <v>-5.7867668700864697E-2</v>
      </c>
      <c r="AG140" s="15">
        <v>-5.2073258950535502E-2</v>
      </c>
      <c r="AI140" s="12"/>
      <c r="AJ140">
        <f t="shared" si="26"/>
        <v>1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-1.4132090518363994E-2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3.203238019938312E-2</v>
      </c>
      <c r="BE140" s="29">
        <f t="shared" si="42"/>
        <v>0</v>
      </c>
      <c r="BF140" s="29">
        <f t="shared" si="43"/>
        <v>1.7900289681019119E-2</v>
      </c>
      <c r="BH140" s="29"/>
    </row>
    <row r="141" spans="1:60" x14ac:dyDescent="0.25">
      <c r="A141" s="1">
        <v>46227</v>
      </c>
      <c r="B141" s="33">
        <v>96.78</v>
      </c>
      <c r="C141" s="33">
        <v>182.66</v>
      </c>
      <c r="D141" s="15">
        <v>8.6131389114635307E-3</v>
      </c>
      <c r="E141" s="15">
        <v>3.9495388696169902E-3</v>
      </c>
      <c r="F141" s="33">
        <v>0</v>
      </c>
      <c r="G141" s="33">
        <v>0.26734599999999997</v>
      </c>
      <c r="H141" s="33">
        <v>0</v>
      </c>
      <c r="I141" s="33">
        <v>0.89729999999999999</v>
      </c>
      <c r="J141" s="33">
        <v>0</v>
      </c>
      <c r="K141" s="33">
        <v>0</v>
      </c>
      <c r="L141" s="33">
        <v>96.78</v>
      </c>
      <c r="M141" s="33">
        <v>182.66</v>
      </c>
      <c r="N141" s="34">
        <v>1.8873734242612099</v>
      </c>
      <c r="O141" s="34">
        <v>1.71162160919586</v>
      </c>
      <c r="P141" s="34">
        <v>1.8090544495376999</v>
      </c>
      <c r="Q141" s="34">
        <v>1.80684397196697</v>
      </c>
      <c r="R141" s="33">
        <v>165.65073933797501</v>
      </c>
      <c r="S141" s="33">
        <v>174.20658202969699</v>
      </c>
      <c r="T141" s="33">
        <v>174.71387245849101</v>
      </c>
      <c r="U141" s="15">
        <v>-9.7744909273885905E-2</v>
      </c>
      <c r="V141" s="15">
        <v>-4.7384653232320301E-2</v>
      </c>
      <c r="W141" s="15">
        <v>-4.4476879957907098E-2</v>
      </c>
      <c r="X141" s="34">
        <v>1.8873734242612099</v>
      </c>
      <c r="Y141" s="34">
        <v>1.71151559356553</v>
      </c>
      <c r="Z141" s="34">
        <v>1.8090544495376999</v>
      </c>
      <c r="AA141" s="34">
        <v>1.80684397196697</v>
      </c>
      <c r="AB141" s="33">
        <v>165.640479145272</v>
      </c>
      <c r="AC141" s="33">
        <v>174.20658202969699</v>
      </c>
      <c r="AD141" s="33">
        <v>174.71387245849101</v>
      </c>
      <c r="AE141" s="15">
        <v>-9.7806849899738604E-2</v>
      </c>
      <c r="AF141" s="15">
        <v>-4.7384653232320301E-2</v>
      </c>
      <c r="AG141" s="15">
        <v>-4.4476879957907098E-2</v>
      </c>
      <c r="AI141" s="12"/>
      <c r="AJ141">
        <f t="shared" si="26"/>
        <v>1</v>
      </c>
      <c r="AK141">
        <f t="shared" si="27"/>
        <v>0</v>
      </c>
      <c r="AL141">
        <f t="shared" si="34"/>
        <v>1</v>
      </c>
      <c r="AM141">
        <f t="shared" si="24"/>
        <v>1</v>
      </c>
      <c r="AN141">
        <f t="shared" si="35"/>
        <v>1</v>
      </c>
      <c r="AO141" s="28">
        <f t="shared" si="28"/>
        <v>8.6131389114635307E-3</v>
      </c>
      <c r="AP141" s="28">
        <f t="shared" si="29"/>
        <v>-3.9495388696169902E-3</v>
      </c>
      <c r="AQ141" s="28">
        <f t="shared" si="36"/>
        <v>4.6636000418465405E-3</v>
      </c>
      <c r="AR141" s="29">
        <f t="shared" si="37"/>
        <v>-9.4684904765174535E-3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3.203238019938312E-2</v>
      </c>
      <c r="BE141" s="29">
        <f t="shared" si="42"/>
        <v>4.6636000418465405E-3</v>
      </c>
      <c r="BF141" s="29">
        <f t="shared" si="43"/>
        <v>2.256388972286566E-2</v>
      </c>
      <c r="BH141" s="29"/>
    </row>
    <row r="142" spans="1:60" x14ac:dyDescent="0.25">
      <c r="A142" s="1">
        <v>46230</v>
      </c>
      <c r="B142" s="33">
        <v>98.42</v>
      </c>
      <c r="C142" s="33">
        <v>183.2</v>
      </c>
      <c r="D142" s="15">
        <v>1.6803674072659602E-2</v>
      </c>
      <c r="E142" s="15">
        <v>2.9519509764968999E-3</v>
      </c>
      <c r="F142" s="33">
        <v>0</v>
      </c>
      <c r="G142" s="33">
        <v>0.26734599999999997</v>
      </c>
      <c r="H142" s="33">
        <v>0</v>
      </c>
      <c r="I142" s="33">
        <v>0.89729999999999999</v>
      </c>
      <c r="J142" s="33">
        <v>0</v>
      </c>
      <c r="K142" s="33">
        <v>0</v>
      </c>
      <c r="L142" s="33">
        <v>98.42</v>
      </c>
      <c r="M142" s="33">
        <v>183.2</v>
      </c>
      <c r="N142" s="34">
        <v>1.86141028246291</v>
      </c>
      <c r="O142" s="34">
        <v>1.71162160919586</v>
      </c>
      <c r="P142" s="34">
        <v>1.8162569857205</v>
      </c>
      <c r="Q142" s="34">
        <v>1.80974728863789</v>
      </c>
      <c r="R142" s="33">
        <v>168.45779877705601</v>
      </c>
      <c r="S142" s="33">
        <v>178.047138923501</v>
      </c>
      <c r="T142" s="33">
        <v>177.82958372098901</v>
      </c>
      <c r="U142" s="15">
        <v>-8.3893186177723303E-2</v>
      </c>
      <c r="V142" s="15">
        <v>-2.8530111595075701E-2</v>
      </c>
      <c r="W142" s="15">
        <v>-2.9752755368998001E-2</v>
      </c>
      <c r="X142" s="34">
        <v>1.86141028246291</v>
      </c>
      <c r="Y142" s="34">
        <v>1.71151559356553</v>
      </c>
      <c r="Z142" s="34">
        <v>1.8162569857205</v>
      </c>
      <c r="AA142" s="34">
        <v>1.80974728863789</v>
      </c>
      <c r="AB142" s="33">
        <v>168.44736471872</v>
      </c>
      <c r="AC142" s="33">
        <v>178.047138923501</v>
      </c>
      <c r="AD142" s="33">
        <v>177.82958372098901</v>
      </c>
      <c r="AE142" s="15">
        <v>-8.3955126803576099E-2</v>
      </c>
      <c r="AF142" s="15">
        <v>-2.8530111595075701E-2</v>
      </c>
      <c r="AG142" s="15">
        <v>-2.9752755368998001E-2</v>
      </c>
      <c r="AI142" s="12"/>
      <c r="AJ142">
        <f t="shared" si="26"/>
        <v>1</v>
      </c>
      <c r="AK142">
        <f t="shared" si="27"/>
        <v>0</v>
      </c>
      <c r="AL142">
        <f t="shared" si="34"/>
        <v>1</v>
      </c>
      <c r="AM142">
        <f t="shared" si="24"/>
        <v>1</v>
      </c>
      <c r="AN142">
        <f t="shared" si="35"/>
        <v>1</v>
      </c>
      <c r="AO142" s="28">
        <f t="shared" si="28"/>
        <v>1.6803674072659602E-2</v>
      </c>
      <c r="AP142" s="28">
        <f t="shared" si="29"/>
        <v>-2.9519509764968999E-3</v>
      </c>
      <c r="AQ142" s="28">
        <f t="shared" si="36"/>
        <v>1.3851723096162703E-2</v>
      </c>
      <c r="AR142" s="29">
        <f t="shared" si="37"/>
        <v>4.3832326196452491E-3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3.203238019938312E-2</v>
      </c>
      <c r="BE142" s="29">
        <f t="shared" si="42"/>
        <v>1.3851723096162703E-2</v>
      </c>
      <c r="BF142" s="29">
        <f t="shared" si="43"/>
        <v>3.6415612819028359E-2</v>
      </c>
      <c r="BH142" s="29"/>
    </row>
    <row r="143" spans="1:60" x14ac:dyDescent="0.25">
      <c r="A143" s="1">
        <v>46231</v>
      </c>
      <c r="B143" s="33">
        <v>100.11</v>
      </c>
      <c r="C143" s="33">
        <v>182.49</v>
      </c>
      <c r="D143" s="15">
        <v>1.7025545993560098E-2</v>
      </c>
      <c r="E143" s="15">
        <v>-3.8830752393061098E-3</v>
      </c>
      <c r="F143" s="33">
        <v>0</v>
      </c>
      <c r="G143" s="33">
        <v>0.26734599999999997</v>
      </c>
      <c r="H143" s="33">
        <v>0</v>
      </c>
      <c r="I143" s="33">
        <v>0.89729999999999999</v>
      </c>
      <c r="J143" s="33">
        <v>0</v>
      </c>
      <c r="K143" s="33">
        <v>0</v>
      </c>
      <c r="L143" s="33">
        <v>100.11</v>
      </c>
      <c r="M143" s="33">
        <v>182.49</v>
      </c>
      <c r="N143" s="34">
        <v>1.8228948157027201</v>
      </c>
      <c r="O143" s="34">
        <v>1.71162160919586</v>
      </c>
      <c r="P143" s="34">
        <v>1.81883329131229</v>
      </c>
      <c r="Q143" s="34">
        <v>1.8108802090920599</v>
      </c>
      <c r="R143" s="33">
        <v>171.35043929659699</v>
      </c>
      <c r="S143" s="33">
        <v>181.82548684048001</v>
      </c>
      <c r="T143" s="33">
        <v>181.17380106553901</v>
      </c>
      <c r="U143" s="15">
        <v>-6.2984564944857102E-2</v>
      </c>
      <c r="V143" s="15">
        <v>-3.64801344147058E-3</v>
      </c>
      <c r="W143" s="15">
        <v>-7.2385795763870798E-3</v>
      </c>
      <c r="X143" s="34">
        <v>1.8228948157027201</v>
      </c>
      <c r="Y143" s="34">
        <v>1.71151559356553</v>
      </c>
      <c r="Z143" s="34">
        <v>1.81883329131229</v>
      </c>
      <c r="AA143" s="34">
        <v>1.8108802090920599</v>
      </c>
      <c r="AB143" s="33">
        <v>171.33982607184601</v>
      </c>
      <c r="AC143" s="33">
        <v>181.82548684048001</v>
      </c>
      <c r="AD143" s="33">
        <v>181.17380106553901</v>
      </c>
      <c r="AE143" s="15">
        <v>-6.3046505570709593E-2</v>
      </c>
      <c r="AF143" s="15">
        <v>-3.64801344147058E-3</v>
      </c>
      <c r="AG143" s="15">
        <v>-7.2385795763870798E-3</v>
      </c>
      <c r="AI143" s="12"/>
      <c r="AJ143">
        <f t="shared" si="26"/>
        <v>0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8">
        <f t="shared" si="28"/>
        <v>1.7025545993560098E-2</v>
      </c>
      <c r="AP143" s="28">
        <f t="shared" si="29"/>
        <v>3.8830752393061098E-3</v>
      </c>
      <c r="AQ143" s="28">
        <f t="shared" si="36"/>
        <v>2.0908621232866208E-2</v>
      </c>
      <c r="AR143" s="29">
        <f t="shared" si="37"/>
        <v>2.5291853852511457E-2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3.203238019938312E-2</v>
      </c>
      <c r="BE143" s="29">
        <f t="shared" si="42"/>
        <v>2.0908621232866208E-2</v>
      </c>
      <c r="BF143" s="29">
        <f t="shared" si="43"/>
        <v>5.7324234051894567E-2</v>
      </c>
      <c r="BH143" s="29"/>
    </row>
    <row r="144" spans="1:60" x14ac:dyDescent="0.25">
      <c r="A144" s="1">
        <v>46232</v>
      </c>
      <c r="B144" s="33">
        <v>99.83</v>
      </c>
      <c r="C144" s="33">
        <v>176.66</v>
      </c>
      <c r="D144" s="15">
        <v>-2.8008420830584798E-3</v>
      </c>
      <c r="E144" s="15">
        <v>-3.2468395683737598E-2</v>
      </c>
      <c r="F144" s="33">
        <v>0</v>
      </c>
      <c r="G144" s="33">
        <v>0.26734599999999997</v>
      </c>
      <c r="H144" s="33">
        <v>0</v>
      </c>
      <c r="I144" s="33">
        <v>0.89729999999999999</v>
      </c>
      <c r="J144" s="33">
        <v>0</v>
      </c>
      <c r="K144" s="33">
        <v>0</v>
      </c>
      <c r="L144" s="33">
        <v>99.83</v>
      </c>
      <c r="M144" s="33">
        <v>176.66</v>
      </c>
      <c r="N144" s="34">
        <v>1.7696083341680799</v>
      </c>
      <c r="O144" s="34">
        <v>1.71162160919586</v>
      </c>
      <c r="P144" s="34">
        <v>1.8179570876920601</v>
      </c>
      <c r="Q144" s="34">
        <v>1.8077533063147999</v>
      </c>
      <c r="R144" s="33">
        <v>170.871185246023</v>
      </c>
      <c r="S144" s="33">
        <v>181.57412747170599</v>
      </c>
      <c r="T144" s="33">
        <v>180.78017127365999</v>
      </c>
      <c r="U144" s="15">
        <v>-3.3317011344177999E-2</v>
      </c>
      <c r="V144" s="15">
        <v>2.7437004830951701E-2</v>
      </c>
      <c r="W144" s="15">
        <v>2.3054788467701301E-2</v>
      </c>
      <c r="X144" s="34">
        <v>1.7696083341680799</v>
      </c>
      <c r="Y144" s="34">
        <v>1.71151559356553</v>
      </c>
      <c r="Z144" s="34">
        <v>1.8179570876920601</v>
      </c>
      <c r="AA144" s="34">
        <v>1.8077533063147999</v>
      </c>
      <c r="AB144" s="33">
        <v>170.86060170564701</v>
      </c>
      <c r="AC144" s="33">
        <v>181.57412747170599</v>
      </c>
      <c r="AD144" s="33">
        <v>180.78017127365999</v>
      </c>
      <c r="AE144" s="15">
        <v>-3.3378951970030601E-2</v>
      </c>
      <c r="AF144" s="15">
        <v>2.74370048309515E-2</v>
      </c>
      <c r="AG144" s="15">
        <v>2.3054788467701301E-2</v>
      </c>
      <c r="AI144" s="12"/>
      <c r="AJ144">
        <f t="shared" si="26"/>
        <v>0</v>
      </c>
      <c r="AK144">
        <f t="shared" si="27"/>
        <v>1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-2.8008420830584798E-3</v>
      </c>
      <c r="AP144" s="28">
        <f t="shared" si="29"/>
        <v>3.2468395683737598E-2</v>
      </c>
      <c r="AQ144" s="28">
        <f t="shared" si="36"/>
        <v>2.9667553600679117E-2</v>
      </c>
      <c r="AR144" s="29">
        <f t="shared" si="37"/>
        <v>5.495940745319057E-2</v>
      </c>
      <c r="AT144" s="12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3.203238019938312E-2</v>
      </c>
      <c r="BE144" s="29">
        <f t="shared" si="42"/>
        <v>2.9667553600679117E-2</v>
      </c>
      <c r="BF144" s="29">
        <f t="shared" si="43"/>
        <v>8.6991787652573677E-2</v>
      </c>
      <c r="BH144" s="29"/>
    </row>
    <row r="145" spans="1:60" x14ac:dyDescent="0.25">
      <c r="A145" s="1">
        <v>46233</v>
      </c>
      <c r="B145" s="33">
        <v>99.64</v>
      </c>
      <c r="C145" s="33">
        <v>178.39</v>
      </c>
      <c r="D145" s="15">
        <v>-1.9050489543541E-3</v>
      </c>
      <c r="E145" s="15">
        <v>9.7451834461899194E-3</v>
      </c>
      <c r="F145" s="33">
        <v>0</v>
      </c>
      <c r="G145" s="33">
        <v>0.26734599999999997</v>
      </c>
      <c r="H145" s="33">
        <v>0</v>
      </c>
      <c r="I145" s="33">
        <v>0.89729999999999999</v>
      </c>
      <c r="J145" s="33">
        <v>0</v>
      </c>
      <c r="K145" s="33">
        <v>0</v>
      </c>
      <c r="L145" s="33">
        <v>99.64</v>
      </c>
      <c r="M145" s="33">
        <v>178.39</v>
      </c>
      <c r="N145" s="34">
        <v>1.79034524287434</v>
      </c>
      <c r="O145" s="34">
        <v>1.71162160919586</v>
      </c>
      <c r="P145" s="34">
        <v>1.82049508998478</v>
      </c>
      <c r="Q145" s="34">
        <v>1.80694544530581</v>
      </c>
      <c r="R145" s="33">
        <v>170.545977140275</v>
      </c>
      <c r="S145" s="33">
        <v>181.141244217637</v>
      </c>
      <c r="T145" s="33">
        <v>180.12453944120699</v>
      </c>
      <c r="U145" s="15">
        <v>-4.4967243744722198E-2</v>
      </c>
      <c r="V145" s="15">
        <v>1.5304916977731099E-2</v>
      </c>
      <c r="W145" s="15">
        <v>9.6763326688965E-3</v>
      </c>
      <c r="X145" s="34">
        <v>1.79034524287434</v>
      </c>
      <c r="Y145" s="34">
        <v>1.71151559356553</v>
      </c>
      <c r="Z145" s="34">
        <v>1.82049508998478</v>
      </c>
      <c r="AA145" s="34">
        <v>1.80694544530581</v>
      </c>
      <c r="AB145" s="33">
        <v>170.53541374286999</v>
      </c>
      <c r="AC145" s="33">
        <v>181.141244217637</v>
      </c>
      <c r="AD145" s="33">
        <v>180.12453944120699</v>
      </c>
      <c r="AE145" s="15">
        <v>-4.5029184370574703E-2</v>
      </c>
      <c r="AF145" s="15">
        <v>1.5304916977731099E-2</v>
      </c>
      <c r="AG145" s="15">
        <v>9.6763326688965E-3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5.495940745319057E-2</v>
      </c>
      <c r="AT145" s="12"/>
      <c r="AU145">
        <f t="shared" si="30"/>
        <v>0</v>
      </c>
      <c r="AV145">
        <f t="shared" si="31"/>
        <v>1</v>
      </c>
      <c r="AW145">
        <f t="shared" si="38"/>
        <v>1</v>
      </c>
      <c r="AX145">
        <f t="shared" si="25"/>
        <v>1</v>
      </c>
      <c r="AY145">
        <f t="shared" si="39"/>
        <v>1</v>
      </c>
      <c r="AZ145" s="28">
        <f t="shared" si="32"/>
        <v>1.9050489543541E-3</v>
      </c>
      <c r="BA145" s="28">
        <f t="shared" si="33"/>
        <v>9.7451834461899194E-3</v>
      </c>
      <c r="BB145" s="28">
        <f t="shared" si="40"/>
        <v>1.165023240054402E-2</v>
      </c>
      <c r="BC145" s="29">
        <f t="shared" si="41"/>
        <v>4.3682612599927138E-2</v>
      </c>
      <c r="BE145" s="29">
        <f t="shared" si="42"/>
        <v>1.165023240054402E-2</v>
      </c>
      <c r="BF145" s="29">
        <f t="shared" si="43"/>
        <v>9.8642020053117702E-2</v>
      </c>
      <c r="BH145" s="29"/>
    </row>
    <row r="146" spans="1:60" x14ac:dyDescent="0.25">
      <c r="A146" s="1">
        <v>46234</v>
      </c>
      <c r="B146" s="33">
        <v>101.14</v>
      </c>
      <c r="C146" s="33">
        <v>179.84</v>
      </c>
      <c r="D146" s="15">
        <v>1.4942005257857299E-2</v>
      </c>
      <c r="E146" s="15">
        <v>8.0954019421502505E-3</v>
      </c>
      <c r="F146" s="33">
        <v>0</v>
      </c>
      <c r="G146" s="33">
        <v>0.26734599999999997</v>
      </c>
      <c r="H146" s="33">
        <v>0</v>
      </c>
      <c r="I146" s="33">
        <v>0.89729999999999999</v>
      </c>
      <c r="J146" s="33">
        <v>0</v>
      </c>
      <c r="K146" s="33">
        <v>0</v>
      </c>
      <c r="L146" s="33">
        <v>101.14</v>
      </c>
      <c r="M146" s="33">
        <v>179.84</v>
      </c>
      <c r="N146" s="34">
        <v>1.77812932568716</v>
      </c>
      <c r="O146" s="34">
        <v>1.71162160919586</v>
      </c>
      <c r="P146" s="34">
        <v>1.81957719968042</v>
      </c>
      <c r="Q146" s="34">
        <v>1.8057617773685599</v>
      </c>
      <c r="R146" s="33">
        <v>173.11340955406899</v>
      </c>
      <c r="S146" s="33">
        <v>184.124873401061</v>
      </c>
      <c r="T146" s="33">
        <v>182.75446233823001</v>
      </c>
      <c r="U146" s="15">
        <v>-3.8120640429015001E-2</v>
      </c>
      <c r="V146" s="15">
        <v>2.3546620506622502E-2</v>
      </c>
      <c r="W146" s="15">
        <v>1.60759493459076E-2</v>
      </c>
      <c r="X146" s="34">
        <v>1.77812932568716</v>
      </c>
      <c r="Y146" s="34">
        <v>1.71151559356553</v>
      </c>
      <c r="Z146" s="34">
        <v>1.81957719968042</v>
      </c>
      <c r="AA146" s="34">
        <v>1.8057617773685599</v>
      </c>
      <c r="AB146" s="33">
        <v>173.10268713321801</v>
      </c>
      <c r="AC146" s="33">
        <v>184.124873401061</v>
      </c>
      <c r="AD146" s="33">
        <v>182.75446233823001</v>
      </c>
      <c r="AE146" s="15">
        <v>-3.8182581054867597E-2</v>
      </c>
      <c r="AF146" s="15">
        <v>2.3546620506622502E-2</v>
      </c>
      <c r="AG146" s="15">
        <v>1.60759493459076E-2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5.495940745319057E-2</v>
      </c>
      <c r="AT146" s="12"/>
      <c r="AU146">
        <f t="shared" si="30"/>
        <v>0</v>
      </c>
      <c r="AV146">
        <f t="shared" si="31"/>
        <v>0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4.3682612599927138E-2</v>
      </c>
      <c r="BE146" s="29">
        <f t="shared" si="42"/>
        <v>0</v>
      </c>
      <c r="BF146" s="29">
        <f t="shared" si="43"/>
        <v>9.8642020053117702E-2</v>
      </c>
      <c r="BH146" s="29"/>
    </row>
    <row r="147" spans="1:60" x14ac:dyDescent="0.25">
      <c r="A147" s="1">
        <v>46237</v>
      </c>
      <c r="B147" s="33">
        <v>102.62</v>
      </c>
      <c r="C147" s="33">
        <v>183.16</v>
      </c>
      <c r="D147" s="15">
        <v>1.4527149861981699E-2</v>
      </c>
      <c r="E147" s="15">
        <v>1.8292521083568301E-2</v>
      </c>
      <c r="F147" s="33">
        <v>0</v>
      </c>
      <c r="G147" s="33">
        <v>0.26734599999999997</v>
      </c>
      <c r="H147" s="33">
        <v>0</v>
      </c>
      <c r="I147" s="33">
        <v>0.89729999999999999</v>
      </c>
      <c r="J147" s="33">
        <v>0</v>
      </c>
      <c r="K147" s="33">
        <v>0</v>
      </c>
      <c r="L147" s="33">
        <v>102.62</v>
      </c>
      <c r="M147" s="33">
        <v>183.16</v>
      </c>
      <c r="N147" s="34">
        <v>1.7848372636912799</v>
      </c>
      <c r="O147" s="34">
        <v>1.71162160919586</v>
      </c>
      <c r="P147" s="34">
        <v>1.81942287570354</v>
      </c>
      <c r="Q147" s="34">
        <v>1.8039714584495099</v>
      </c>
      <c r="R147" s="33">
        <v>175.646609535679</v>
      </c>
      <c r="S147" s="33">
        <v>186.725012231205</v>
      </c>
      <c r="T147" s="33">
        <v>185.30727359356101</v>
      </c>
      <c r="U147" s="15">
        <v>-4.1886011650601601E-2</v>
      </c>
      <c r="V147" s="15">
        <v>1.9276923958076599E-2</v>
      </c>
      <c r="W147" s="15">
        <v>1.1655297800369099E-2</v>
      </c>
      <c r="X147" s="34">
        <v>1.7848372636912799</v>
      </c>
      <c r="Y147" s="34">
        <v>1.71151559356553</v>
      </c>
      <c r="Z147" s="34">
        <v>1.81942287570354</v>
      </c>
      <c r="AA147" s="34">
        <v>1.8039714584495099</v>
      </c>
      <c r="AB147" s="33">
        <v>175.63573021169501</v>
      </c>
      <c r="AC147" s="33">
        <v>186.725012231205</v>
      </c>
      <c r="AD147" s="33">
        <v>185.30727359356101</v>
      </c>
      <c r="AE147" s="15">
        <v>-4.1947952276454099E-2</v>
      </c>
      <c r="AF147" s="15">
        <v>1.9276923958076599E-2</v>
      </c>
      <c r="AG147" s="15">
        <v>1.1655297800368799E-2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5.495940745319057E-2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4.3682612599927138E-2</v>
      </c>
      <c r="BE147" s="29">
        <f t="shared" si="42"/>
        <v>0</v>
      </c>
      <c r="BF147" s="29">
        <f t="shared" si="43"/>
        <v>9.8642020053117702E-2</v>
      </c>
      <c r="BH147" s="29"/>
    </row>
    <row r="148" spans="1:60" x14ac:dyDescent="0.25">
      <c r="A148" s="1">
        <v>46238</v>
      </c>
      <c r="B148" s="33">
        <v>102.86</v>
      </c>
      <c r="C148" s="33">
        <v>186.4</v>
      </c>
      <c r="D148" s="15">
        <v>2.3359948329513399E-3</v>
      </c>
      <c r="E148" s="15">
        <v>1.75348144625961E-2</v>
      </c>
      <c r="F148" s="33">
        <v>0</v>
      </c>
      <c r="G148" s="33">
        <v>0.26734599999999997</v>
      </c>
      <c r="H148" s="33">
        <v>0</v>
      </c>
      <c r="I148" s="33">
        <v>0.89729999999999999</v>
      </c>
      <c r="J148" s="33">
        <v>0</v>
      </c>
      <c r="K148" s="33">
        <v>0</v>
      </c>
      <c r="L148" s="33">
        <v>102.86</v>
      </c>
      <c r="M148" s="33">
        <v>186.4</v>
      </c>
      <c r="N148" s="34">
        <v>1.8121718841143299</v>
      </c>
      <c r="O148" s="34">
        <v>1.71162160919586</v>
      </c>
      <c r="P148" s="34">
        <v>1.82117245989599</v>
      </c>
      <c r="Q148" s="34">
        <v>1.8048526099709801</v>
      </c>
      <c r="R148" s="33">
        <v>176.05739872188599</v>
      </c>
      <c r="S148" s="33">
        <v>187.14583699486701</v>
      </c>
      <c r="T148" s="33">
        <v>185.55650421611699</v>
      </c>
      <c r="U148" s="15">
        <v>-5.7084831280246502E-2</v>
      </c>
      <c r="V148" s="15">
        <v>3.9932876349610801E-3</v>
      </c>
      <c r="W148" s="15">
        <v>-4.5354616480299103E-3</v>
      </c>
      <c r="X148" s="34">
        <v>1.8121718841143299</v>
      </c>
      <c r="Y148" s="34">
        <v>1.71151559356553</v>
      </c>
      <c r="Z148" s="34">
        <v>1.82117245989599</v>
      </c>
      <c r="AA148" s="34">
        <v>1.8048526099709801</v>
      </c>
      <c r="AB148" s="33">
        <v>176.046493954151</v>
      </c>
      <c r="AC148" s="33">
        <v>187.14583699486701</v>
      </c>
      <c r="AD148" s="33">
        <v>185.55650421611699</v>
      </c>
      <c r="AE148" s="15">
        <v>-5.7146771906099E-2</v>
      </c>
      <c r="AF148" s="15">
        <v>3.9932876349610801E-3</v>
      </c>
      <c r="AG148" s="15">
        <v>-4.5354616480301297E-3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5.495940745319057E-2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4.3682612599927138E-2</v>
      </c>
      <c r="BE148" s="29">
        <f t="shared" si="42"/>
        <v>0</v>
      </c>
      <c r="BF148" s="29">
        <f t="shared" si="43"/>
        <v>9.8642020053117702E-2</v>
      </c>
      <c r="BH148" s="29"/>
    </row>
    <row r="149" spans="1:60" x14ac:dyDescent="0.25">
      <c r="A149" s="1">
        <v>46239</v>
      </c>
      <c r="B149" s="33">
        <v>102.98</v>
      </c>
      <c r="C149" s="33">
        <v>186.35</v>
      </c>
      <c r="D149" s="15">
        <v>1.1659542712252201E-3</v>
      </c>
      <c r="E149" s="15">
        <v>-2.6827632622346297E-4</v>
      </c>
      <c r="F149" s="33">
        <v>0</v>
      </c>
      <c r="G149" s="33">
        <v>0.26734599999999997</v>
      </c>
      <c r="H149" s="33">
        <v>0</v>
      </c>
      <c r="I149" s="33">
        <v>0.89729999999999999</v>
      </c>
      <c r="J149" s="33">
        <v>0</v>
      </c>
      <c r="K149" s="33">
        <v>0</v>
      </c>
      <c r="L149" s="33">
        <v>102.98</v>
      </c>
      <c r="M149" s="33">
        <v>186.35</v>
      </c>
      <c r="N149" s="34">
        <v>1.8095746746941099</v>
      </c>
      <c r="O149" s="34">
        <v>1.71162160919586</v>
      </c>
      <c r="P149" s="34">
        <v>1.8212541183039199</v>
      </c>
      <c r="Q149" s="34">
        <v>1.8054180575500001</v>
      </c>
      <c r="R149" s="33">
        <v>176.26279331499001</v>
      </c>
      <c r="S149" s="33">
        <v>187.54433992008899</v>
      </c>
      <c r="T149" s="33">
        <v>185.86372177481201</v>
      </c>
      <c r="U149" s="15">
        <v>-5.5650600682797799E-2</v>
      </c>
      <c r="V149" s="15">
        <v>6.3886711021232502E-3</v>
      </c>
      <c r="W149" s="15">
        <v>-2.61289938227363E-3</v>
      </c>
      <c r="X149" s="34">
        <v>1.8095746746941099</v>
      </c>
      <c r="Y149" s="34">
        <v>1.71151559356553</v>
      </c>
      <c r="Z149" s="34">
        <v>1.8212541183039199</v>
      </c>
      <c r="AA149" s="34">
        <v>1.8054180575500001</v>
      </c>
      <c r="AB149" s="33">
        <v>176.25187582537899</v>
      </c>
      <c r="AC149" s="33">
        <v>187.54433992008899</v>
      </c>
      <c r="AD149" s="33">
        <v>185.86372177481201</v>
      </c>
      <c r="AE149" s="15">
        <v>-5.5712541308650297E-2</v>
      </c>
      <c r="AF149" s="15">
        <v>6.3886711021230299E-3</v>
      </c>
      <c r="AG149" s="15">
        <v>-2.61289938227363E-3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5.495940745319057E-2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4.3682612599927138E-2</v>
      </c>
      <c r="BE149" s="29">
        <f t="shared" si="42"/>
        <v>0</v>
      </c>
      <c r="BF149" s="29">
        <f t="shared" si="43"/>
        <v>9.8642020053117702E-2</v>
      </c>
      <c r="BH149" s="29"/>
    </row>
    <row r="150" spans="1:60" x14ac:dyDescent="0.25">
      <c r="A150" s="1">
        <v>46240</v>
      </c>
      <c r="B150" s="33">
        <v>102.64</v>
      </c>
      <c r="C150" s="33">
        <v>184.76</v>
      </c>
      <c r="D150" s="15">
        <v>-3.3070743106143599E-3</v>
      </c>
      <c r="E150" s="15">
        <v>-8.5689403628627803E-3</v>
      </c>
      <c r="F150" s="33">
        <v>0</v>
      </c>
      <c r="G150" s="33">
        <v>0.26734599999999997</v>
      </c>
      <c r="H150" s="33">
        <v>0</v>
      </c>
      <c r="I150" s="33">
        <v>0.89729999999999999</v>
      </c>
      <c r="J150" s="33">
        <v>0</v>
      </c>
      <c r="K150" s="33">
        <v>0</v>
      </c>
      <c r="L150" s="33">
        <v>102.64</v>
      </c>
      <c r="M150" s="33">
        <v>184.76</v>
      </c>
      <c r="N150" s="34">
        <v>1.80007794232268</v>
      </c>
      <c r="O150" s="34">
        <v>1.71162160919586</v>
      </c>
      <c r="P150" s="34">
        <v>1.8116423189978801</v>
      </c>
      <c r="Q150" s="34">
        <v>1.8058344991853299</v>
      </c>
      <c r="R150" s="33">
        <v>175.68084196786299</v>
      </c>
      <c r="S150" s="33">
        <v>186.93352270271399</v>
      </c>
      <c r="T150" s="33">
        <v>185.30810942693199</v>
      </c>
      <c r="U150" s="15">
        <v>-5.0388734630549298E-2</v>
      </c>
      <c r="V150" s="15">
        <v>1.1695374520991699E-2</v>
      </c>
      <c r="W150" s="15">
        <v>2.9622105432004601E-3</v>
      </c>
      <c r="X150" s="34">
        <v>1.80007794232268</v>
      </c>
      <c r="Y150" s="34">
        <v>1.71151559356553</v>
      </c>
      <c r="Z150" s="34">
        <v>1.8116423189978801</v>
      </c>
      <c r="AA150" s="34">
        <v>1.8058344991853299</v>
      </c>
      <c r="AB150" s="33">
        <v>175.669960523566</v>
      </c>
      <c r="AC150" s="33">
        <v>186.93352270271399</v>
      </c>
      <c r="AD150" s="33">
        <v>185.30810942693199</v>
      </c>
      <c r="AE150" s="15">
        <v>-5.04506752564019E-2</v>
      </c>
      <c r="AF150" s="15">
        <v>1.1695374520991699E-2</v>
      </c>
      <c r="AG150" s="15">
        <v>2.96221054320001E-3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5.495940745319057E-2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4.3682612599927138E-2</v>
      </c>
      <c r="BE150" s="29">
        <f t="shared" si="42"/>
        <v>0</v>
      </c>
      <c r="BF150" s="29">
        <f t="shared" si="43"/>
        <v>9.8642020053117702E-2</v>
      </c>
      <c r="BH150" s="29"/>
    </row>
    <row r="151" spans="1:60" x14ac:dyDescent="0.25">
      <c r="A151" s="1">
        <v>46241</v>
      </c>
      <c r="B151" s="33">
        <v>103.91</v>
      </c>
      <c r="C151" s="33">
        <v>185.18</v>
      </c>
      <c r="D151" s="15">
        <v>1.22974195571743E-2</v>
      </c>
      <c r="E151" s="15">
        <v>2.2706394574964401E-3</v>
      </c>
      <c r="F151" s="33">
        <v>0</v>
      </c>
      <c r="G151" s="33">
        <v>0.26734599999999997</v>
      </c>
      <c r="H151" s="33">
        <v>0</v>
      </c>
      <c r="I151" s="33">
        <v>0.89729999999999999</v>
      </c>
      <c r="J151" s="33">
        <v>0</v>
      </c>
      <c r="K151" s="33">
        <v>0</v>
      </c>
      <c r="L151" s="33">
        <v>103.91</v>
      </c>
      <c r="M151" s="33">
        <v>185.18</v>
      </c>
      <c r="N151" s="34">
        <v>1.7821191415648101</v>
      </c>
      <c r="O151" s="34">
        <v>1.71162160919586</v>
      </c>
      <c r="P151" s="34">
        <v>1.80111689072824</v>
      </c>
      <c r="Q151" s="34">
        <v>1.8050856701329701</v>
      </c>
      <c r="R151" s="33">
        <v>177.85460141154201</v>
      </c>
      <c r="S151" s="33">
        <v>188.24775336707</v>
      </c>
      <c r="T151" s="33">
        <v>187.64426281034699</v>
      </c>
      <c r="U151" s="15">
        <v>-4.0361954530871498E-2</v>
      </c>
      <c r="V151" s="15">
        <v>1.6430607283816599E-2</v>
      </c>
      <c r="W151" s="15">
        <v>1.3219626208034499E-2</v>
      </c>
      <c r="X151" s="34">
        <v>1.7821191415648101</v>
      </c>
      <c r="Y151" s="34">
        <v>1.71151559356553</v>
      </c>
      <c r="Z151" s="34">
        <v>1.80111689072824</v>
      </c>
      <c r="AA151" s="34">
        <v>1.8050856701329701</v>
      </c>
      <c r="AB151" s="33">
        <v>177.843585327395</v>
      </c>
      <c r="AC151" s="33">
        <v>188.24775336707</v>
      </c>
      <c r="AD151" s="33">
        <v>187.64426281034699</v>
      </c>
      <c r="AE151" s="15">
        <v>-4.0423895156724003E-2</v>
      </c>
      <c r="AF151" s="15">
        <v>1.6430607283816599E-2</v>
      </c>
      <c r="AG151" s="15">
        <v>1.3219626208034499E-2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5.495940745319057E-2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4.3682612599927138E-2</v>
      </c>
      <c r="BE151" s="29">
        <f t="shared" ref="BE151:BE176" si="62">AQ151+BB151</f>
        <v>0</v>
      </c>
      <c r="BF151" s="29">
        <f t="shared" ref="BF151:BF176" si="63">BF150+BE151</f>
        <v>9.8642020053117702E-2</v>
      </c>
      <c r="BH151" s="29"/>
    </row>
    <row r="152" spans="1:60" x14ac:dyDescent="0.25">
      <c r="A152" s="1">
        <v>46244</v>
      </c>
      <c r="B152" s="33">
        <v>103.99</v>
      </c>
      <c r="C152" s="33">
        <v>184.6</v>
      </c>
      <c r="D152" s="15">
        <v>7.69600807585923E-4</v>
      </c>
      <c r="E152" s="15">
        <v>-3.1370029511493202E-3</v>
      </c>
      <c r="F152" s="33">
        <v>0</v>
      </c>
      <c r="G152" s="33">
        <v>0.26734599999999997</v>
      </c>
      <c r="H152" s="33">
        <v>0</v>
      </c>
      <c r="I152" s="33">
        <v>0.89729999999999999</v>
      </c>
      <c r="J152" s="33">
        <v>0</v>
      </c>
      <c r="K152" s="33">
        <v>0</v>
      </c>
      <c r="L152" s="33">
        <v>103.99</v>
      </c>
      <c r="M152" s="33">
        <v>184.6</v>
      </c>
      <c r="N152" s="34">
        <v>1.77517068948937</v>
      </c>
      <c r="O152" s="34">
        <v>1.71162160919586</v>
      </c>
      <c r="P152" s="34">
        <v>1.7924929314308899</v>
      </c>
      <c r="Q152" s="34">
        <v>1.8043749585757001</v>
      </c>
      <c r="R152" s="33">
        <v>177.991531140277</v>
      </c>
      <c r="S152" s="33">
        <v>187.29814546682999</v>
      </c>
      <c r="T152" s="33">
        <v>187.710858837128</v>
      </c>
      <c r="U152" s="15">
        <v>-3.6455350772136103E-2</v>
      </c>
      <c r="V152" s="15">
        <v>1.4510385927201899E-2</v>
      </c>
      <c r="W152" s="15">
        <v>1.67114719394666E-2</v>
      </c>
      <c r="X152" s="34">
        <v>1.77517068948937</v>
      </c>
      <c r="Y152" s="34">
        <v>1.71151559356553</v>
      </c>
      <c r="Z152" s="34">
        <v>1.7924929314308899</v>
      </c>
      <c r="AA152" s="34">
        <v>1.8043749585757001</v>
      </c>
      <c r="AB152" s="33">
        <v>177.98050657488</v>
      </c>
      <c r="AC152" s="33">
        <v>187.29814546682999</v>
      </c>
      <c r="AD152" s="33">
        <v>187.710858837128</v>
      </c>
      <c r="AE152" s="15">
        <v>-3.6517291397988601E-2</v>
      </c>
      <c r="AF152" s="15">
        <v>1.4510385927201899E-2</v>
      </c>
      <c r="AG152" s="15">
        <v>1.67114719394666E-2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5.495940745319057E-2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4.3682612599927138E-2</v>
      </c>
      <c r="BE152" s="29">
        <f t="shared" si="62"/>
        <v>0</v>
      </c>
      <c r="BF152" s="29">
        <f t="shared" si="63"/>
        <v>9.8642020053117702E-2</v>
      </c>
      <c r="BH152" s="29"/>
    </row>
    <row r="153" spans="1:60" x14ac:dyDescent="0.25">
      <c r="A153" s="1">
        <v>46245</v>
      </c>
      <c r="B153" s="33">
        <v>103.61</v>
      </c>
      <c r="C153" s="33">
        <v>185.7</v>
      </c>
      <c r="D153" s="15">
        <v>-3.6608904084809799E-3</v>
      </c>
      <c r="E153" s="15">
        <v>5.9411462899082003E-3</v>
      </c>
      <c r="F153" s="33">
        <v>0</v>
      </c>
      <c r="G153" s="33">
        <v>0.26734599999999997</v>
      </c>
      <c r="H153" s="33">
        <v>0</v>
      </c>
      <c r="I153" s="33">
        <v>0.89729999999999999</v>
      </c>
      <c r="J153" s="33">
        <v>0</v>
      </c>
      <c r="K153" s="33">
        <v>0</v>
      </c>
      <c r="L153" s="33">
        <v>103.61</v>
      </c>
      <c r="M153" s="33">
        <v>185.7</v>
      </c>
      <c r="N153" s="34">
        <v>1.79229804072965</v>
      </c>
      <c r="O153" s="34">
        <v>1.71162160919586</v>
      </c>
      <c r="P153" s="34">
        <v>1.78943325393358</v>
      </c>
      <c r="Q153" s="34">
        <v>1.80413327262293</v>
      </c>
      <c r="R153" s="33">
        <v>177.34111492878301</v>
      </c>
      <c r="S153" s="33">
        <v>185.72019262555401</v>
      </c>
      <c r="T153" s="33">
        <v>186.95128945802799</v>
      </c>
      <c r="U153" s="15">
        <v>-4.6057387470525298E-2</v>
      </c>
      <c r="V153" s="15">
        <v>1.0873197513585301E-4</v>
      </c>
      <c r="W153" s="15">
        <v>6.7156303823629202E-3</v>
      </c>
      <c r="X153" s="34">
        <v>1.79229804072965</v>
      </c>
      <c r="Y153" s="34">
        <v>1.71151559356553</v>
      </c>
      <c r="Z153" s="34">
        <v>1.78943325393358</v>
      </c>
      <c r="AA153" s="34">
        <v>1.80413327262293</v>
      </c>
      <c r="AB153" s="33">
        <v>177.33013064932501</v>
      </c>
      <c r="AC153" s="33">
        <v>185.72019262555401</v>
      </c>
      <c r="AD153" s="33">
        <v>186.95128945802799</v>
      </c>
      <c r="AE153" s="15">
        <v>-4.61193280963779E-2</v>
      </c>
      <c r="AF153" s="15">
        <v>1.0873197513585301E-4</v>
      </c>
      <c r="AG153" s="15">
        <v>6.7156303823629202E-3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5.495940745319057E-2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4.3682612599927138E-2</v>
      </c>
      <c r="BE153" s="29">
        <f t="shared" si="62"/>
        <v>0</v>
      </c>
      <c r="BF153" s="29">
        <f t="shared" si="63"/>
        <v>9.8642020053117702E-2</v>
      </c>
      <c r="BH153" s="29"/>
    </row>
    <row r="154" spans="1:60" x14ac:dyDescent="0.25">
      <c r="A154" s="1">
        <v>46246</v>
      </c>
      <c r="B154" s="33">
        <v>102.81</v>
      </c>
      <c r="C154" s="33">
        <v>185.88</v>
      </c>
      <c r="D154" s="15">
        <v>-7.7512257090332198E-3</v>
      </c>
      <c r="E154" s="15">
        <v>9.6883585811759004E-4</v>
      </c>
      <c r="F154" s="33">
        <v>0</v>
      </c>
      <c r="G154" s="33">
        <v>0.26734599999999997</v>
      </c>
      <c r="H154" s="33">
        <v>0</v>
      </c>
      <c r="I154" s="33">
        <v>0.89729999999999999</v>
      </c>
      <c r="J154" s="33">
        <v>0</v>
      </c>
      <c r="K154" s="33">
        <v>0</v>
      </c>
      <c r="L154" s="33">
        <v>102.81</v>
      </c>
      <c r="M154" s="33">
        <v>185.88</v>
      </c>
      <c r="N154" s="34">
        <v>1.80799533119346</v>
      </c>
      <c r="O154" s="34">
        <v>1.71162160919586</v>
      </c>
      <c r="P154" s="34">
        <v>1.7932719536361199</v>
      </c>
      <c r="Q154" s="34">
        <v>1.8056145206640899</v>
      </c>
      <c r="R154" s="33">
        <v>175.97181764142599</v>
      </c>
      <c r="S154" s="33">
        <v>183.97163283691199</v>
      </c>
      <c r="T154" s="33">
        <v>185.48294175836401</v>
      </c>
      <c r="U154" s="15">
        <v>-5.4777449037676E-2</v>
      </c>
      <c r="V154" s="15">
        <v>-1.03197278577186E-2</v>
      </c>
      <c r="W154" s="15">
        <v>-2.1383845736330899E-3</v>
      </c>
      <c r="X154" s="34">
        <v>1.80799533119346</v>
      </c>
      <c r="Y154" s="34">
        <v>1.71151559356553</v>
      </c>
      <c r="Z154" s="34">
        <v>1.7932719536361199</v>
      </c>
      <c r="AA154" s="34">
        <v>1.8056145206640899</v>
      </c>
      <c r="AB154" s="33">
        <v>175.96091817447299</v>
      </c>
      <c r="AC154" s="33">
        <v>183.97163283691199</v>
      </c>
      <c r="AD154" s="33">
        <v>185.48294175836401</v>
      </c>
      <c r="AE154" s="15">
        <v>-5.4839389663528602E-2</v>
      </c>
      <c r="AF154" s="15">
        <v>-1.03197278577186E-2</v>
      </c>
      <c r="AG154" s="15">
        <v>-2.1383845736330899E-3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5.495940745319057E-2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4.3682612599927138E-2</v>
      </c>
      <c r="BE154" s="29">
        <f t="shared" si="62"/>
        <v>0</v>
      </c>
      <c r="BF154" s="29">
        <f t="shared" si="63"/>
        <v>9.8642020053117702E-2</v>
      </c>
      <c r="BH154" s="29"/>
    </row>
    <row r="155" spans="1:60" x14ac:dyDescent="0.25">
      <c r="A155" s="1">
        <v>46247</v>
      </c>
      <c r="B155" s="33">
        <v>103.5</v>
      </c>
      <c r="C155" s="33">
        <v>185.79</v>
      </c>
      <c r="D155" s="15">
        <v>6.6889881507964802E-3</v>
      </c>
      <c r="E155" s="15">
        <v>-4.8430059869830801E-4</v>
      </c>
      <c r="F155" s="33">
        <v>0</v>
      </c>
      <c r="G155" s="33">
        <v>0.26734599999999997</v>
      </c>
      <c r="H155" s="33">
        <v>0</v>
      </c>
      <c r="I155" s="33">
        <v>0.89729999999999999</v>
      </c>
      <c r="J155" s="33">
        <v>0</v>
      </c>
      <c r="K155" s="33">
        <v>0</v>
      </c>
      <c r="L155" s="33">
        <v>103.5</v>
      </c>
      <c r="M155" s="33">
        <v>185.79</v>
      </c>
      <c r="N155" s="34">
        <v>1.7950724637681099</v>
      </c>
      <c r="O155" s="34">
        <v>1.71162160919586</v>
      </c>
      <c r="P155" s="34">
        <v>1.7937446757255</v>
      </c>
      <c r="Q155" s="34">
        <v>1.80711988285514</v>
      </c>
      <c r="R155" s="33">
        <v>177.152836551771</v>
      </c>
      <c r="S155" s="33">
        <v>185.60364720133799</v>
      </c>
      <c r="T155" s="33">
        <v>186.88110288873301</v>
      </c>
      <c r="U155" s="15">
        <v>-4.7604160288181201E-2</v>
      </c>
      <c r="V155" s="15">
        <v>-1.00353258977211E-3</v>
      </c>
      <c r="W155" s="15">
        <v>5.8555975921994099E-3</v>
      </c>
      <c r="X155" s="34">
        <v>1.7950724637681099</v>
      </c>
      <c r="Y155" s="34">
        <v>1.71151559356553</v>
      </c>
      <c r="Z155" s="34">
        <v>1.7937446757255</v>
      </c>
      <c r="AA155" s="34">
        <v>1.80711988285514</v>
      </c>
      <c r="AB155" s="33">
        <v>177.14186393403301</v>
      </c>
      <c r="AC155" s="33">
        <v>185.60364720133799</v>
      </c>
      <c r="AD155" s="33">
        <v>186.88110288873301</v>
      </c>
      <c r="AE155" s="15">
        <v>-4.7666100914033602E-2</v>
      </c>
      <c r="AF155" s="15">
        <v>-1.00353258977211E-3</v>
      </c>
      <c r="AG155" s="15">
        <v>5.8555975921991896E-3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5.495940745319057E-2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4.3682612599927138E-2</v>
      </c>
      <c r="BE155" s="29">
        <f t="shared" si="62"/>
        <v>0</v>
      </c>
      <c r="BF155" s="29">
        <f t="shared" si="63"/>
        <v>9.8642020053117702E-2</v>
      </c>
      <c r="BH155" s="29"/>
    </row>
    <row r="156" spans="1:60" x14ac:dyDescent="0.25">
      <c r="A156" s="1">
        <v>46248</v>
      </c>
      <c r="B156" s="33">
        <v>103.45</v>
      </c>
      <c r="C156" s="33">
        <v>186.51</v>
      </c>
      <c r="D156" s="15">
        <v>-4.8320851387166202E-4</v>
      </c>
      <c r="E156" s="15">
        <v>3.8678533312767002E-3</v>
      </c>
      <c r="F156" s="33">
        <v>0</v>
      </c>
      <c r="G156" s="33">
        <v>0.26734599999999997</v>
      </c>
      <c r="H156" s="33">
        <v>0</v>
      </c>
      <c r="I156" s="33">
        <v>0.89729999999999999</v>
      </c>
      <c r="J156" s="33">
        <v>0</v>
      </c>
      <c r="K156" s="33">
        <v>0</v>
      </c>
      <c r="L156" s="33">
        <v>103.45</v>
      </c>
      <c r="M156" s="33">
        <v>186.51</v>
      </c>
      <c r="N156" s="34">
        <v>1.80289995166747</v>
      </c>
      <c r="O156" s="34">
        <v>1.71162160919586</v>
      </c>
      <c r="P156" s="34">
        <v>1.7962217383235299</v>
      </c>
      <c r="Q156" s="34">
        <v>1.8078994690019701</v>
      </c>
      <c r="R156" s="33">
        <v>177.067255471312</v>
      </c>
      <c r="S156" s="33">
        <v>185.562886703803</v>
      </c>
      <c r="T156" s="33">
        <v>186.946551881364</v>
      </c>
      <c r="U156" s="15">
        <v>-5.1955222133329398E-2</v>
      </c>
      <c r="V156" s="15">
        <v>-5.09102047306924E-3</v>
      </c>
      <c r="W156" s="15">
        <v>2.3379002350170201E-3</v>
      </c>
      <c r="X156" s="34">
        <v>1.80289995166747</v>
      </c>
      <c r="Y156" s="34">
        <v>1.71151559356553</v>
      </c>
      <c r="Z156" s="34">
        <v>1.7962217383235299</v>
      </c>
      <c r="AA156" s="34">
        <v>1.8078994690019701</v>
      </c>
      <c r="AB156" s="33">
        <v>177.056288154355</v>
      </c>
      <c r="AC156" s="33">
        <v>185.562886703803</v>
      </c>
      <c r="AD156" s="33">
        <v>186.946551881364</v>
      </c>
      <c r="AE156" s="15">
        <v>-5.2017162759182098E-2</v>
      </c>
      <c r="AF156" s="15">
        <v>-5.09102047306924E-3</v>
      </c>
      <c r="AG156" s="15">
        <v>2.3379002350170201E-3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5.495940745319057E-2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4.3682612599927138E-2</v>
      </c>
      <c r="BE156" s="29">
        <f t="shared" si="62"/>
        <v>0</v>
      </c>
      <c r="BF156" s="29">
        <f t="shared" si="63"/>
        <v>9.8642020053117702E-2</v>
      </c>
      <c r="BH156" s="29"/>
    </row>
    <row r="157" spans="1:60" x14ac:dyDescent="0.25">
      <c r="A157" s="1">
        <v>46251</v>
      </c>
      <c r="B157" s="33">
        <v>101.94</v>
      </c>
      <c r="C157" s="33">
        <v>186.32</v>
      </c>
      <c r="D157" s="15">
        <v>-1.4703999279656399E-2</v>
      </c>
      <c r="E157" s="15">
        <v>-1.0192313732702799E-3</v>
      </c>
      <c r="F157" s="33">
        <v>0</v>
      </c>
      <c r="G157" s="33">
        <v>0.26734599999999997</v>
      </c>
      <c r="H157" s="33">
        <v>0</v>
      </c>
      <c r="I157" s="33">
        <v>0.89729999999999999</v>
      </c>
      <c r="J157" s="33">
        <v>0</v>
      </c>
      <c r="K157" s="33">
        <v>0</v>
      </c>
      <c r="L157" s="33">
        <v>101.94</v>
      </c>
      <c r="M157" s="33">
        <v>186.32</v>
      </c>
      <c r="N157" s="34">
        <v>1.8277418089071999</v>
      </c>
      <c r="O157" s="34">
        <v>1.71162160919586</v>
      </c>
      <c r="P157" s="34">
        <v>1.80051219284512</v>
      </c>
      <c r="Q157" s="34">
        <v>1.80996753427433</v>
      </c>
      <c r="R157" s="33">
        <v>174.48270684142599</v>
      </c>
      <c r="S157" s="33">
        <v>183.10684400470001</v>
      </c>
      <c r="T157" s="33">
        <v>184.297271870061</v>
      </c>
      <c r="U157" s="15">
        <v>-6.5639990039715504E-2</v>
      </c>
      <c r="V157" s="15">
        <v>-1.7395796086802098E-2</v>
      </c>
      <c r="W157" s="15">
        <v>-1.09155636682427E-2</v>
      </c>
      <c r="X157" s="34">
        <v>1.8277418089071999</v>
      </c>
      <c r="Y157" s="34">
        <v>1.71151559356553</v>
      </c>
      <c r="Z157" s="34">
        <v>1.80051219284512</v>
      </c>
      <c r="AA157" s="34">
        <v>1.80996753427433</v>
      </c>
      <c r="AB157" s="33">
        <v>174.471899608071</v>
      </c>
      <c r="AC157" s="33">
        <v>183.10684400470001</v>
      </c>
      <c r="AD157" s="33">
        <v>184.297271870061</v>
      </c>
      <c r="AE157" s="15">
        <v>-6.5701930665568106E-2</v>
      </c>
      <c r="AF157" s="15">
        <v>-1.7395796086802098E-2</v>
      </c>
      <c r="AG157" s="15">
        <v>-1.09155636682427E-2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5.495940745319057E-2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4.3682612599927138E-2</v>
      </c>
      <c r="BE157" s="29">
        <f t="shared" si="62"/>
        <v>0</v>
      </c>
      <c r="BF157" s="29">
        <f t="shared" si="63"/>
        <v>9.8642020053117702E-2</v>
      </c>
      <c r="BH157" s="29"/>
    </row>
    <row r="158" spans="1:60" x14ac:dyDescent="0.25">
      <c r="A158" s="1">
        <v>46252</v>
      </c>
      <c r="B158" s="33">
        <v>101.9</v>
      </c>
      <c r="C158" s="33">
        <v>183.57</v>
      </c>
      <c r="D158" s="15">
        <v>-3.9246468321647702E-4</v>
      </c>
      <c r="E158" s="15">
        <v>-1.48695594335267E-2</v>
      </c>
      <c r="F158" s="33">
        <v>0</v>
      </c>
      <c r="G158" s="33">
        <v>0.26734599999999997</v>
      </c>
      <c r="H158" s="33">
        <v>0</v>
      </c>
      <c r="I158" s="33">
        <v>0.89729999999999999</v>
      </c>
      <c r="J158" s="33">
        <v>0</v>
      </c>
      <c r="K158" s="33">
        <v>0</v>
      </c>
      <c r="L158" s="33">
        <v>101.9</v>
      </c>
      <c r="M158" s="33">
        <v>183.57</v>
      </c>
      <c r="N158" s="34">
        <v>1.8014720314033299</v>
      </c>
      <c r="O158" s="34">
        <v>1.71162160919586</v>
      </c>
      <c r="P158" s="34">
        <v>1.79944220757402</v>
      </c>
      <c r="Q158" s="34">
        <v>1.81030733373501</v>
      </c>
      <c r="R158" s="33">
        <v>174.414241977058</v>
      </c>
      <c r="S158" s="33">
        <v>183.47219245091799</v>
      </c>
      <c r="T158" s="33">
        <v>184.43569174255401</v>
      </c>
      <c r="U158" s="15">
        <v>-5.1162895289405298E-2</v>
      </c>
      <c r="V158" s="15">
        <v>-5.3294990825936801E-4</v>
      </c>
      <c r="W158" s="15">
        <v>4.7047823379794303E-3</v>
      </c>
      <c r="X158" s="34">
        <v>1.8014720314033299</v>
      </c>
      <c r="Y158" s="34">
        <v>1.71151559356553</v>
      </c>
      <c r="Z158" s="34">
        <v>1.79944220757402</v>
      </c>
      <c r="AA158" s="34">
        <v>1.81030733373501</v>
      </c>
      <c r="AB158" s="33">
        <v>174.40343898432801</v>
      </c>
      <c r="AC158" s="33">
        <v>183.47219245091799</v>
      </c>
      <c r="AD158" s="33">
        <v>184.43569174255401</v>
      </c>
      <c r="AE158" s="15">
        <v>-5.1224835915257803E-2</v>
      </c>
      <c r="AF158" s="15">
        <v>-5.3294990825936801E-4</v>
      </c>
      <c r="AG158" s="15">
        <v>4.7047823379794303E-3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5.495940745319057E-2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4.3682612599927138E-2</v>
      </c>
      <c r="BE158" s="29">
        <f t="shared" si="62"/>
        <v>0</v>
      </c>
      <c r="BF158" s="29">
        <f t="shared" si="63"/>
        <v>9.8642020053117702E-2</v>
      </c>
      <c r="BH158" s="29"/>
    </row>
    <row r="159" spans="1:60" x14ac:dyDescent="0.25">
      <c r="A159" s="1">
        <v>46253</v>
      </c>
      <c r="B159" s="33">
        <v>103.58</v>
      </c>
      <c r="C159" s="33">
        <v>181.95</v>
      </c>
      <c r="D159" s="15">
        <v>1.6352320767066199E-2</v>
      </c>
      <c r="E159" s="15">
        <v>-8.8641420843900802E-3</v>
      </c>
      <c r="F159" s="33">
        <v>0</v>
      </c>
      <c r="G159" s="33">
        <v>0.26734599999999997</v>
      </c>
      <c r="H159" s="33">
        <v>0</v>
      </c>
      <c r="I159" s="33">
        <v>0.89729999999999999</v>
      </c>
      <c r="J159" s="33">
        <v>0</v>
      </c>
      <c r="K159" s="33">
        <v>0</v>
      </c>
      <c r="L159" s="33">
        <v>103.58</v>
      </c>
      <c r="M159" s="33">
        <v>181.95</v>
      </c>
      <c r="N159" s="34">
        <v>1.7566132458003401</v>
      </c>
      <c r="O159" s="34">
        <v>1.71162160919586</v>
      </c>
      <c r="P159" s="34">
        <v>1.7941460646846401</v>
      </c>
      <c r="Q159" s="34">
        <v>1.80770009149428</v>
      </c>
      <c r="R159" s="33">
        <v>177.289766280507</v>
      </c>
      <c r="S159" s="33">
        <v>186.38622386051699</v>
      </c>
      <c r="T159" s="33">
        <v>187.51163362827199</v>
      </c>
      <c r="U159" s="15">
        <v>-2.5946432437948998E-2</v>
      </c>
      <c r="V159" s="15">
        <v>2.4089069134418099E-2</v>
      </c>
      <c r="W159" s="15">
        <v>3.0108965444974701E-2</v>
      </c>
      <c r="X159" s="34">
        <v>1.7566132458003401</v>
      </c>
      <c r="Y159" s="34">
        <v>1.71151559356553</v>
      </c>
      <c r="Z159" s="34">
        <v>1.7941460646846401</v>
      </c>
      <c r="AA159" s="34">
        <v>1.80770009149428</v>
      </c>
      <c r="AB159" s="33">
        <v>177.278785181518</v>
      </c>
      <c r="AC159" s="33">
        <v>186.38622386051699</v>
      </c>
      <c r="AD159" s="33">
        <v>187.51163362827199</v>
      </c>
      <c r="AE159" s="15">
        <v>-2.6008373063801701E-2</v>
      </c>
      <c r="AF159" s="15">
        <v>2.4089069134418099E-2</v>
      </c>
      <c r="AG159" s="15">
        <v>3.0108965444974701E-2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5.495940745319057E-2</v>
      </c>
      <c r="AT159" s="12"/>
      <c r="AU159">
        <f t="shared" si="50"/>
        <v>1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4.3682612599927138E-2</v>
      </c>
      <c r="BE159" s="29">
        <f t="shared" si="62"/>
        <v>0</v>
      </c>
      <c r="BF159" s="29">
        <f t="shared" si="63"/>
        <v>9.8642020053117702E-2</v>
      </c>
      <c r="BH159" s="29"/>
    </row>
    <row r="160" spans="1:60" x14ac:dyDescent="0.25">
      <c r="A160" s="1">
        <v>46254</v>
      </c>
      <c r="B160" s="33">
        <v>101.84</v>
      </c>
      <c r="C160" s="33">
        <v>179.77</v>
      </c>
      <c r="D160" s="15">
        <v>-1.6941306746594199E-2</v>
      </c>
      <c r="E160" s="15">
        <v>-1.2053667999844E-2</v>
      </c>
      <c r="F160" s="33">
        <v>0</v>
      </c>
      <c r="G160" s="33">
        <v>0.26734599999999997</v>
      </c>
      <c r="H160" s="33">
        <v>0</v>
      </c>
      <c r="I160" s="33">
        <v>0.89729999999999999</v>
      </c>
      <c r="J160" s="33">
        <v>0</v>
      </c>
      <c r="K160" s="33">
        <v>0</v>
      </c>
      <c r="L160" s="33">
        <v>101.84</v>
      </c>
      <c r="M160" s="33">
        <v>179.77</v>
      </c>
      <c r="N160" s="34">
        <v>1.7652199528672401</v>
      </c>
      <c r="O160" s="34">
        <v>1.71162160919586</v>
      </c>
      <c r="P160" s="34">
        <v>1.7906602657391</v>
      </c>
      <c r="Q160" s="34">
        <v>1.80115129236849</v>
      </c>
      <c r="R160" s="33">
        <v>174.31154468050599</v>
      </c>
      <c r="S160" s="33">
        <v>182.71583522748401</v>
      </c>
      <c r="T160" s="33">
        <v>184.09617731777701</v>
      </c>
      <c r="U160" s="15">
        <v>-3.0834071184699299E-2</v>
      </c>
      <c r="V160" s="15">
        <v>1.6253876954961201E-2</v>
      </c>
      <c r="W160" s="15">
        <v>2.3780067803140199E-2</v>
      </c>
      <c r="X160" s="34">
        <v>1.7652199528672401</v>
      </c>
      <c r="Y160" s="34">
        <v>1.71151559356553</v>
      </c>
      <c r="Z160" s="34">
        <v>1.7906602657391</v>
      </c>
      <c r="AA160" s="34">
        <v>1.80115129236849</v>
      </c>
      <c r="AB160" s="33">
        <v>174.30074804871401</v>
      </c>
      <c r="AC160" s="33">
        <v>182.71583522748401</v>
      </c>
      <c r="AD160" s="33">
        <v>184.09617731777701</v>
      </c>
      <c r="AE160" s="15">
        <v>-3.08960118105518E-2</v>
      </c>
      <c r="AF160" s="15">
        <v>1.6253876954961201E-2</v>
      </c>
      <c r="AG160" s="15">
        <v>2.3780067803140199E-2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5.495940745319057E-2</v>
      </c>
      <c r="AT160" s="12"/>
      <c r="AU160">
        <f t="shared" si="50"/>
        <v>1</v>
      </c>
      <c r="AV160">
        <f t="shared" si="51"/>
        <v>0</v>
      </c>
      <c r="AW160">
        <f t="shared" si="58"/>
        <v>1</v>
      </c>
      <c r="AX160">
        <f t="shared" si="45"/>
        <v>1</v>
      </c>
      <c r="AY160">
        <f t="shared" si="59"/>
        <v>1</v>
      </c>
      <c r="AZ160" s="28">
        <f t="shared" si="52"/>
        <v>1.6941306746594199E-2</v>
      </c>
      <c r="BA160" s="28">
        <f t="shared" si="53"/>
        <v>-1.2053667999844E-2</v>
      </c>
      <c r="BB160" s="28">
        <f t="shared" si="60"/>
        <v>4.8876387467501996E-3</v>
      </c>
      <c r="BC160" s="29">
        <f t="shared" si="61"/>
        <v>4.8570251346677334E-2</v>
      </c>
      <c r="BE160" s="29">
        <f t="shared" si="62"/>
        <v>4.8876387467501996E-3</v>
      </c>
      <c r="BF160" s="29">
        <f t="shared" si="63"/>
        <v>0.1035296587998679</v>
      </c>
      <c r="BH160" s="29"/>
    </row>
    <row r="161" spans="1:60" x14ac:dyDescent="0.25">
      <c r="A161" s="1">
        <v>46255</v>
      </c>
      <c r="B161" s="33">
        <v>102.69</v>
      </c>
      <c r="C161" s="33">
        <v>180.25</v>
      </c>
      <c r="D161" s="15">
        <v>8.3117869610524302E-3</v>
      </c>
      <c r="E161" s="15">
        <v>2.6665201067336002E-3</v>
      </c>
      <c r="F161" s="33">
        <v>0</v>
      </c>
      <c r="G161" s="33">
        <v>0.26734599999999997</v>
      </c>
      <c r="H161" s="33">
        <v>0</v>
      </c>
      <c r="I161" s="33">
        <v>0.89729999999999999</v>
      </c>
      <c r="J161" s="33">
        <v>0</v>
      </c>
      <c r="K161" s="33">
        <v>0</v>
      </c>
      <c r="L161" s="33">
        <v>102.69</v>
      </c>
      <c r="M161" s="33">
        <v>180.25</v>
      </c>
      <c r="N161" s="34">
        <v>1.75528289025221</v>
      </c>
      <c r="O161" s="34">
        <v>1.71162160919586</v>
      </c>
      <c r="P161" s="34">
        <v>1.7879766406078399</v>
      </c>
      <c r="Q161" s="34">
        <v>1.7945467656680401</v>
      </c>
      <c r="R161" s="33">
        <v>175.76642304832299</v>
      </c>
      <c r="S161" s="33">
        <v>183.882902688748</v>
      </c>
      <c r="T161" s="33">
        <v>184.96022621332</v>
      </c>
      <c r="U161" s="15">
        <v>-2.5188804330380499E-2</v>
      </c>
      <c r="V161" s="15">
        <v>1.9954380425775499E-2</v>
      </c>
      <c r="W161" s="15">
        <v>2.5796032357353602E-2</v>
      </c>
      <c r="X161" s="34">
        <v>1.75528289025221</v>
      </c>
      <c r="Y161" s="34">
        <v>1.71151559356553</v>
      </c>
      <c r="Z161" s="34">
        <v>1.7879766406078399</v>
      </c>
      <c r="AA161" s="34">
        <v>1.7945467656680401</v>
      </c>
      <c r="AB161" s="33">
        <v>175.75553630324501</v>
      </c>
      <c r="AC161" s="33">
        <v>183.882902688748</v>
      </c>
      <c r="AD161" s="33">
        <v>184.96022621332</v>
      </c>
      <c r="AE161" s="15">
        <v>-2.52507449562329E-2</v>
      </c>
      <c r="AF161" s="15">
        <v>1.9954380425775499E-2</v>
      </c>
      <c r="AG161" s="15">
        <v>2.5796032357353602E-2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5.495940745319057E-2</v>
      </c>
      <c r="AT161" s="12"/>
      <c r="AU161">
        <f t="shared" si="50"/>
        <v>1</v>
      </c>
      <c r="AV161">
        <f t="shared" si="51"/>
        <v>0</v>
      </c>
      <c r="AW161">
        <f t="shared" si="58"/>
        <v>1</v>
      </c>
      <c r="AX161">
        <f t="shared" si="45"/>
        <v>1</v>
      </c>
      <c r="AY161">
        <f t="shared" si="59"/>
        <v>1</v>
      </c>
      <c r="AZ161" s="28">
        <f t="shared" si="52"/>
        <v>-8.3117869610524302E-3</v>
      </c>
      <c r="BA161" s="28">
        <f t="shared" si="53"/>
        <v>2.6665201067336002E-3</v>
      </c>
      <c r="BB161" s="28">
        <f t="shared" si="60"/>
        <v>-5.6452668543188304E-3</v>
      </c>
      <c r="BC161" s="29">
        <f t="shared" si="61"/>
        <v>4.2924984492358501E-2</v>
      </c>
      <c r="BE161" s="29">
        <f t="shared" si="62"/>
        <v>-5.6452668543188304E-3</v>
      </c>
      <c r="BF161" s="29">
        <f t="shared" si="63"/>
        <v>9.7884391945549071E-2</v>
      </c>
      <c r="BH161" s="29"/>
    </row>
    <row r="162" spans="1:60" x14ac:dyDescent="0.25">
      <c r="A162" s="1">
        <v>46258</v>
      </c>
      <c r="B162" s="33">
        <v>103.41</v>
      </c>
      <c r="C162" s="33">
        <v>179</v>
      </c>
      <c r="D162" s="15">
        <v>6.98692798667993E-3</v>
      </c>
      <c r="E162" s="15">
        <v>-6.9589703243034496E-3</v>
      </c>
      <c r="F162" s="33">
        <v>0</v>
      </c>
      <c r="G162" s="33">
        <v>0.26734599999999997</v>
      </c>
      <c r="H162" s="33">
        <v>0</v>
      </c>
      <c r="I162" s="33">
        <v>0.89729999999999999</v>
      </c>
      <c r="J162" s="33">
        <v>0</v>
      </c>
      <c r="K162" s="33">
        <v>0</v>
      </c>
      <c r="L162" s="33">
        <v>103.41</v>
      </c>
      <c r="M162" s="33">
        <v>179</v>
      </c>
      <c r="N162" s="34">
        <v>1.73097379363697</v>
      </c>
      <c r="O162" s="34">
        <v>1.71162160919586</v>
      </c>
      <c r="P162" s="34">
        <v>1.7835569510225999</v>
      </c>
      <c r="Q162" s="34">
        <v>1.7880249412267399</v>
      </c>
      <c r="R162" s="33">
        <v>176.998790606944</v>
      </c>
      <c r="S162" s="33">
        <v>184.894664405257</v>
      </c>
      <c r="T162" s="33">
        <v>185.57408103773199</v>
      </c>
      <c r="U162" s="15">
        <v>-1.1242906019397E-2</v>
      </c>
      <c r="V162" s="15">
        <v>3.2400475485108403E-2</v>
      </c>
      <c r="W162" s="15">
        <v>3.6068355178251903E-2</v>
      </c>
      <c r="X162" s="34">
        <v>1.73097379363697</v>
      </c>
      <c r="Y162" s="34">
        <v>1.71151559356553</v>
      </c>
      <c r="Z162" s="34">
        <v>1.7835569510225999</v>
      </c>
      <c r="AA162" s="34">
        <v>1.7880249412267399</v>
      </c>
      <c r="AB162" s="33">
        <v>176.98782753061201</v>
      </c>
      <c r="AC162" s="33">
        <v>184.894664405257</v>
      </c>
      <c r="AD162" s="33">
        <v>185.57408103773199</v>
      </c>
      <c r="AE162" s="15">
        <v>-1.1304846645249601E-2</v>
      </c>
      <c r="AF162" s="15">
        <v>3.2400475485108403E-2</v>
      </c>
      <c r="AG162" s="15">
        <v>3.6068355178251903E-2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5.495940745319057E-2</v>
      </c>
      <c r="AT162" s="12"/>
      <c r="AU162">
        <f t="shared" si="50"/>
        <v>1</v>
      </c>
      <c r="AV162">
        <f t="shared" si="51"/>
        <v>0</v>
      </c>
      <c r="AW162">
        <f t="shared" si="58"/>
        <v>1</v>
      </c>
      <c r="AX162">
        <f t="shared" si="45"/>
        <v>1</v>
      </c>
      <c r="AY162">
        <f t="shared" si="59"/>
        <v>1</v>
      </c>
      <c r="AZ162" s="28">
        <f t="shared" si="52"/>
        <v>-6.98692798667993E-3</v>
      </c>
      <c r="BA162" s="28">
        <f t="shared" si="53"/>
        <v>-6.9589703243034496E-3</v>
      </c>
      <c r="BB162" s="28">
        <f t="shared" si="60"/>
        <v>-1.394589831098338E-2</v>
      </c>
      <c r="BC162" s="29">
        <f t="shared" si="61"/>
        <v>2.8979086181375121E-2</v>
      </c>
      <c r="BE162" s="29">
        <f t="shared" si="62"/>
        <v>-1.394589831098338E-2</v>
      </c>
      <c r="BF162" s="29">
        <f t="shared" si="63"/>
        <v>8.3938493634565695E-2</v>
      </c>
      <c r="BH162" s="29"/>
    </row>
    <row r="163" spans="1:60" x14ac:dyDescent="0.25">
      <c r="A163" s="1">
        <v>46259</v>
      </c>
      <c r="B163" s="33">
        <v>103.2</v>
      </c>
      <c r="C163" s="33">
        <v>178.4</v>
      </c>
      <c r="D163" s="15">
        <v>-2.0328161494212599E-3</v>
      </c>
      <c r="E163" s="15">
        <v>-3.3575856948459301E-3</v>
      </c>
      <c r="F163" s="33">
        <v>0</v>
      </c>
      <c r="G163" s="33">
        <v>0.26734599999999997</v>
      </c>
      <c r="H163" s="33">
        <v>0</v>
      </c>
      <c r="I163" s="33">
        <v>0.89729999999999999</v>
      </c>
      <c r="J163" s="33">
        <v>0</v>
      </c>
      <c r="K163" s="33">
        <v>0</v>
      </c>
      <c r="L163" s="33">
        <v>103.2</v>
      </c>
      <c r="M163" s="33">
        <v>178.4</v>
      </c>
      <c r="N163" s="34">
        <v>1.7286821705426301</v>
      </c>
      <c r="O163" s="34">
        <v>1.71162160919586</v>
      </c>
      <c r="P163" s="34">
        <v>1.7771953640039</v>
      </c>
      <c r="Q163" s="34">
        <v>1.78331430896874</v>
      </c>
      <c r="R163" s="33">
        <v>176.63935006901301</v>
      </c>
      <c r="S163" s="33">
        <v>184.06307734553201</v>
      </c>
      <c r="T163" s="33">
        <v>184.52417393459999</v>
      </c>
      <c r="U163" s="15">
        <v>-9.9181364739722999E-3</v>
      </c>
      <c r="V163" s="15">
        <v>3.1250290377088298E-2</v>
      </c>
      <c r="W163" s="15">
        <v>3.3752258787548103E-2</v>
      </c>
      <c r="X163" s="34">
        <v>1.7286821705426301</v>
      </c>
      <c r="Y163" s="34">
        <v>1.71151559356553</v>
      </c>
      <c r="Z163" s="34">
        <v>1.7771953640039</v>
      </c>
      <c r="AA163" s="34">
        <v>1.78331430896874</v>
      </c>
      <c r="AB163" s="33">
        <v>176.62840925596299</v>
      </c>
      <c r="AC163" s="33">
        <v>184.06307734553201</v>
      </c>
      <c r="AD163" s="33">
        <v>184.52417393459999</v>
      </c>
      <c r="AE163" s="15">
        <v>-9.9800770998250601E-3</v>
      </c>
      <c r="AF163" s="15">
        <v>3.1250290377088298E-2</v>
      </c>
      <c r="AG163" s="15">
        <v>3.3752258787548103E-2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5.495940745319057E-2</v>
      </c>
      <c r="AT163" s="12"/>
      <c r="AU163">
        <f t="shared" si="50"/>
        <v>1</v>
      </c>
      <c r="AV163">
        <f t="shared" si="51"/>
        <v>0</v>
      </c>
      <c r="AW163">
        <f t="shared" si="58"/>
        <v>1</v>
      </c>
      <c r="AX163">
        <f t="shared" si="45"/>
        <v>1</v>
      </c>
      <c r="AY163">
        <f t="shared" si="59"/>
        <v>1</v>
      </c>
      <c r="AZ163" s="28">
        <f t="shared" si="52"/>
        <v>2.0328161494212599E-3</v>
      </c>
      <c r="BA163" s="28">
        <f t="shared" si="53"/>
        <v>-3.3575856948459301E-3</v>
      </c>
      <c r="BB163" s="28">
        <f t="shared" si="60"/>
        <v>-1.3247695454246702E-3</v>
      </c>
      <c r="BC163" s="29">
        <f t="shared" si="61"/>
        <v>2.765431663595045E-2</v>
      </c>
      <c r="BE163" s="29">
        <f t="shared" si="62"/>
        <v>-1.3247695454246702E-3</v>
      </c>
      <c r="BF163" s="29">
        <f t="shared" si="63"/>
        <v>8.2613724089141027E-2</v>
      </c>
      <c r="BH163" s="29"/>
    </row>
    <row r="164" spans="1:60" x14ac:dyDescent="0.25">
      <c r="A164" s="1">
        <v>46260</v>
      </c>
      <c r="B164" s="33">
        <v>102.36</v>
      </c>
      <c r="C164" s="33">
        <v>180.34</v>
      </c>
      <c r="D164" s="15">
        <v>-8.1728417558743494E-3</v>
      </c>
      <c r="E164" s="15">
        <v>1.0815737925851601E-2</v>
      </c>
      <c r="F164" s="33">
        <v>0</v>
      </c>
      <c r="G164" s="33">
        <v>0.26734599999999997</v>
      </c>
      <c r="H164" s="33">
        <v>0</v>
      </c>
      <c r="I164" s="33">
        <v>0.89729999999999999</v>
      </c>
      <c r="J164" s="33">
        <v>0</v>
      </c>
      <c r="K164" s="33">
        <v>0</v>
      </c>
      <c r="L164" s="33">
        <v>102.36</v>
      </c>
      <c r="M164" s="33">
        <v>180.34</v>
      </c>
      <c r="N164" s="34">
        <v>1.7618210238374299</v>
      </c>
      <c r="O164" s="34">
        <v>1.71162160919586</v>
      </c>
      <c r="P164" s="34">
        <v>1.7725779332682901</v>
      </c>
      <c r="Q164" s="34">
        <v>1.7829249434522101</v>
      </c>
      <c r="R164" s="33">
        <v>175.20158791728801</v>
      </c>
      <c r="S164" s="33">
        <v>181.913717459439</v>
      </c>
      <c r="T164" s="33">
        <v>182.54005266604</v>
      </c>
      <c r="U164" s="15">
        <v>-2.89067161556983E-2</v>
      </c>
      <c r="V164" s="15">
        <v>8.6885367004419095E-3</v>
      </c>
      <c r="W164" s="15">
        <v>1.2125657534736401E-2</v>
      </c>
      <c r="X164" s="34">
        <v>1.7618210238374299</v>
      </c>
      <c r="Y164" s="34">
        <v>1.71151559356553</v>
      </c>
      <c r="Z164" s="34">
        <v>1.7725779332682901</v>
      </c>
      <c r="AA164" s="34">
        <v>1.7829249434522101</v>
      </c>
      <c r="AB164" s="33">
        <v>175.19073615736801</v>
      </c>
      <c r="AC164" s="33">
        <v>181.913717459439</v>
      </c>
      <c r="AD164" s="33">
        <v>182.54005266604</v>
      </c>
      <c r="AE164" s="15">
        <v>-2.8968656781550799E-2</v>
      </c>
      <c r="AF164" s="15">
        <v>8.6885367004419095E-3</v>
      </c>
      <c r="AG164" s="15">
        <v>1.2125657534736401E-2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5.495940745319057E-2</v>
      </c>
      <c r="AT164" s="12"/>
      <c r="AU164">
        <f t="shared" si="50"/>
        <v>0</v>
      </c>
      <c r="AV164">
        <f t="shared" si="51"/>
        <v>0</v>
      </c>
      <c r="AW164">
        <f t="shared" si="58"/>
        <v>1</v>
      </c>
      <c r="AX164">
        <f t="shared" si="45"/>
        <v>1</v>
      </c>
      <c r="AY164">
        <f t="shared" si="59"/>
        <v>1</v>
      </c>
      <c r="AZ164" s="28">
        <f t="shared" si="52"/>
        <v>8.1728417558743494E-3</v>
      </c>
      <c r="BA164" s="28">
        <f t="shared" si="53"/>
        <v>1.0815737925851601E-2</v>
      </c>
      <c r="BB164" s="28">
        <f t="shared" si="60"/>
        <v>1.8988579681725952E-2</v>
      </c>
      <c r="BC164" s="29">
        <f t="shared" si="61"/>
        <v>4.6642896317676402E-2</v>
      </c>
      <c r="BE164" s="29">
        <f t="shared" si="62"/>
        <v>1.8988579681725952E-2</v>
      </c>
      <c r="BF164" s="29">
        <f t="shared" si="63"/>
        <v>0.10160230377086699</v>
      </c>
      <c r="BH164" s="29"/>
    </row>
    <row r="165" spans="1:60" x14ac:dyDescent="0.25">
      <c r="A165" s="1">
        <v>46261</v>
      </c>
      <c r="B165" s="33">
        <v>100.99</v>
      </c>
      <c r="C165" s="33">
        <v>178.8</v>
      </c>
      <c r="D165" s="15">
        <v>-1.3474509253122499E-2</v>
      </c>
      <c r="E165" s="15">
        <v>-8.5760953323468E-3</v>
      </c>
      <c r="F165" s="33">
        <v>0</v>
      </c>
      <c r="G165" s="33">
        <v>0.26734599999999997</v>
      </c>
      <c r="H165" s="33">
        <v>0</v>
      </c>
      <c r="I165" s="33">
        <v>0.89729999999999999</v>
      </c>
      <c r="J165" s="33">
        <v>0</v>
      </c>
      <c r="K165" s="33">
        <v>0</v>
      </c>
      <c r="L165" s="33">
        <v>100.99</v>
      </c>
      <c r="M165" s="33">
        <v>178.8</v>
      </c>
      <c r="N165" s="34">
        <v>1.77047232399247</v>
      </c>
      <c r="O165" s="34">
        <v>1.71162160919586</v>
      </c>
      <c r="P165" s="34">
        <v>1.7701179192907299</v>
      </c>
      <c r="Q165" s="34">
        <v>1.7819312975081101</v>
      </c>
      <c r="R165" s="33">
        <v>172.85666631269001</v>
      </c>
      <c r="S165" s="33">
        <v>179.012645480765</v>
      </c>
      <c r="T165" s="33">
        <v>180.05759003923799</v>
      </c>
      <c r="U165" s="15">
        <v>-3.3805130076473899E-2</v>
      </c>
      <c r="V165" s="15">
        <v>1.18858575003136E-3</v>
      </c>
      <c r="W165" s="15">
        <v>7.00888164185514E-3</v>
      </c>
      <c r="X165" s="34">
        <v>1.77047232399247</v>
      </c>
      <c r="Y165" s="34">
        <v>1.71151559356553</v>
      </c>
      <c r="Z165" s="34">
        <v>1.7701179192907299</v>
      </c>
      <c r="AA165" s="34">
        <v>1.7819312975081101</v>
      </c>
      <c r="AB165" s="33">
        <v>172.84595979418299</v>
      </c>
      <c r="AC165" s="33">
        <v>179.012645480765</v>
      </c>
      <c r="AD165" s="33">
        <v>180.05759003923799</v>
      </c>
      <c r="AE165" s="15">
        <v>-3.3867070702326502E-2</v>
      </c>
      <c r="AF165" s="15">
        <v>1.18858575003136E-3</v>
      </c>
      <c r="AG165" s="15">
        <v>7.00888164185514E-3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5.495940745319057E-2</v>
      </c>
      <c r="AT165" s="12"/>
      <c r="AU165">
        <f t="shared" si="50"/>
        <v>0</v>
      </c>
      <c r="AV165">
        <f t="shared" si="51"/>
        <v>1</v>
      </c>
      <c r="AW165">
        <f t="shared" si="58"/>
        <v>1</v>
      </c>
      <c r="AX165">
        <f t="shared" si="45"/>
        <v>1</v>
      </c>
      <c r="AY165">
        <f t="shared" si="59"/>
        <v>1</v>
      </c>
      <c r="AZ165" s="28">
        <f t="shared" si="52"/>
        <v>1.3474509253122499E-2</v>
      </c>
      <c r="BA165" s="28">
        <f t="shared" si="53"/>
        <v>-8.5760953323468E-3</v>
      </c>
      <c r="BB165" s="28">
        <f t="shared" si="60"/>
        <v>4.8984139207756995E-3</v>
      </c>
      <c r="BC165" s="29">
        <f t="shared" si="61"/>
        <v>5.1541310238452098E-2</v>
      </c>
      <c r="BE165" s="29">
        <f t="shared" si="62"/>
        <v>4.8984139207756995E-3</v>
      </c>
      <c r="BF165" s="29">
        <f t="shared" si="63"/>
        <v>0.10650071769164268</v>
      </c>
      <c r="BH165" s="29"/>
    </row>
    <row r="166" spans="1:60" x14ac:dyDescent="0.25">
      <c r="A166" s="1">
        <v>46262</v>
      </c>
      <c r="B166" s="33">
        <v>102.04</v>
      </c>
      <c r="C166" s="33">
        <v>177.14</v>
      </c>
      <c r="D166" s="15">
        <v>1.0343391235145299E-2</v>
      </c>
      <c r="E166" s="15">
        <v>-9.3274823579770107E-3</v>
      </c>
      <c r="F166" s="33">
        <v>0</v>
      </c>
      <c r="G166" s="33">
        <v>0.26734599999999997</v>
      </c>
      <c r="H166" s="33">
        <v>0</v>
      </c>
      <c r="I166" s="33">
        <v>0.89729999999999999</v>
      </c>
      <c r="J166" s="33">
        <v>0</v>
      </c>
      <c r="K166" s="33">
        <v>0</v>
      </c>
      <c r="L166" s="33">
        <v>102.04</v>
      </c>
      <c r="M166" s="33">
        <v>177.14</v>
      </c>
      <c r="N166" s="34">
        <v>1.7359858878871</v>
      </c>
      <c r="O166" s="34">
        <v>1.71162160919586</v>
      </c>
      <c r="P166" s="34">
        <v>1.76342651291269</v>
      </c>
      <c r="Q166" s="34">
        <v>1.77982412561811</v>
      </c>
      <c r="R166" s="33">
        <v>174.653869002346</v>
      </c>
      <c r="S166" s="33">
        <v>180.622832484426</v>
      </c>
      <c r="T166" s="33">
        <v>181.828269597728</v>
      </c>
      <c r="U166" s="15">
        <v>-1.41342564833519E-2</v>
      </c>
      <c r="V166" s="15">
        <v>1.94706783270382E-2</v>
      </c>
      <c r="W166" s="15">
        <v>2.6122287610667601E-2</v>
      </c>
      <c r="X166" s="34">
        <v>1.7359858878871</v>
      </c>
      <c r="Y166" s="34">
        <v>1.71151559356553</v>
      </c>
      <c r="Z166" s="34">
        <v>1.76342651291269</v>
      </c>
      <c r="AA166" s="34">
        <v>1.77982412561811</v>
      </c>
      <c r="AB166" s="33">
        <v>174.64305116742699</v>
      </c>
      <c r="AC166" s="33">
        <v>180.622832484426</v>
      </c>
      <c r="AD166" s="33">
        <v>181.828269597728</v>
      </c>
      <c r="AE166" s="15">
        <v>-1.4196197109204301E-2</v>
      </c>
      <c r="AF166" s="15">
        <v>1.94706783270382E-2</v>
      </c>
      <c r="AG166" s="15">
        <v>2.6122287610667601E-2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5.495940745319057E-2</v>
      </c>
      <c r="AT166" s="12"/>
      <c r="AU166">
        <f t="shared" si="50"/>
        <v>1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5.1541310238452098E-2</v>
      </c>
      <c r="BE166" s="29">
        <f t="shared" si="62"/>
        <v>0</v>
      </c>
      <c r="BF166" s="29">
        <f t="shared" si="63"/>
        <v>0.10650071769164268</v>
      </c>
      <c r="BH166" s="29"/>
    </row>
    <row r="167" spans="1:60" x14ac:dyDescent="0.25">
      <c r="A167" s="1">
        <v>46265</v>
      </c>
      <c r="B167" s="33">
        <v>101.22</v>
      </c>
      <c r="C167" s="33">
        <v>175.13</v>
      </c>
      <c r="D167" s="15">
        <v>-8.0685274876787297E-3</v>
      </c>
      <c r="E167" s="15">
        <v>-1.14118250968637E-2</v>
      </c>
      <c r="F167" s="33">
        <v>0</v>
      </c>
      <c r="G167" s="33">
        <v>0.26734599999999997</v>
      </c>
      <c r="H167" s="33">
        <v>0</v>
      </c>
      <c r="I167" s="33">
        <v>0.89729999999999999</v>
      </c>
      <c r="J167" s="33">
        <v>0</v>
      </c>
      <c r="K167" s="33">
        <v>0</v>
      </c>
      <c r="L167" s="33">
        <v>101.22</v>
      </c>
      <c r="M167" s="33">
        <v>175.13</v>
      </c>
      <c r="N167" s="34">
        <v>1.73019166172693</v>
      </c>
      <c r="O167" s="34">
        <v>1.71162160919586</v>
      </c>
      <c r="P167" s="34">
        <v>1.7536714981946699</v>
      </c>
      <c r="Q167" s="34">
        <v>1.7770918455198901</v>
      </c>
      <c r="R167" s="33">
        <v>173.25033928280499</v>
      </c>
      <c r="S167" s="33">
        <v>178.494031637023</v>
      </c>
      <c r="T167" s="33">
        <v>180.15379799506499</v>
      </c>
      <c r="U167" s="15">
        <v>-1.0790958874166701E-2</v>
      </c>
      <c r="V167" s="15">
        <v>1.9026609168965199E-2</v>
      </c>
      <c r="W167" s="15">
        <v>2.82823640912148E-2</v>
      </c>
      <c r="X167" s="34">
        <v>1.73019166172693</v>
      </c>
      <c r="Y167" s="34">
        <v>1.71151559356553</v>
      </c>
      <c r="Z167" s="34">
        <v>1.7536714981946699</v>
      </c>
      <c r="AA167" s="34">
        <v>1.7770918455198901</v>
      </c>
      <c r="AB167" s="33">
        <v>173.239608380703</v>
      </c>
      <c r="AC167" s="33">
        <v>178.494031637023</v>
      </c>
      <c r="AD167" s="33">
        <v>180.15379799506499</v>
      </c>
      <c r="AE167" s="15">
        <v>-1.08528995000194E-2</v>
      </c>
      <c r="AF167" s="15">
        <v>1.9026609168965199E-2</v>
      </c>
      <c r="AG167" s="15">
        <v>2.82823640912148E-2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5.495940745319057E-2</v>
      </c>
      <c r="AT167" s="12"/>
      <c r="AU167">
        <f t="shared" si="50"/>
        <v>1</v>
      </c>
      <c r="AV167">
        <f t="shared" si="51"/>
        <v>0</v>
      </c>
      <c r="AW167">
        <f t="shared" si="58"/>
        <v>1</v>
      </c>
      <c r="AX167">
        <f t="shared" si="45"/>
        <v>1</v>
      </c>
      <c r="AY167">
        <f t="shared" si="59"/>
        <v>1</v>
      </c>
      <c r="AZ167" s="28">
        <f t="shared" si="52"/>
        <v>8.0685274876787297E-3</v>
      </c>
      <c r="BA167" s="28">
        <f t="shared" si="53"/>
        <v>-1.14118250968637E-2</v>
      </c>
      <c r="BB167" s="28">
        <f t="shared" si="60"/>
        <v>-3.3432976091849701E-3</v>
      </c>
      <c r="BC167" s="29">
        <f t="shared" si="61"/>
        <v>4.819801262926713E-2</v>
      </c>
      <c r="BE167" s="29">
        <f t="shared" si="62"/>
        <v>-3.3432976091849701E-3</v>
      </c>
      <c r="BF167" s="29">
        <f t="shared" si="63"/>
        <v>0.10315742008245771</v>
      </c>
      <c r="BH167" s="29"/>
    </row>
    <row r="168" spans="1:60" x14ac:dyDescent="0.25">
      <c r="A168" s="1">
        <v>46266</v>
      </c>
      <c r="B168" s="33">
        <v>99.9</v>
      </c>
      <c r="C168" s="33">
        <v>172.73</v>
      </c>
      <c r="D168" s="15">
        <v>-1.3126680131424E-2</v>
      </c>
      <c r="E168" s="15">
        <v>-1.37988735793799E-2</v>
      </c>
      <c r="F168" s="33">
        <v>0</v>
      </c>
      <c r="G168" s="33">
        <v>0.26734599999999997</v>
      </c>
      <c r="H168" s="33">
        <v>0</v>
      </c>
      <c r="I168" s="33">
        <v>0.89729999999999999</v>
      </c>
      <c r="J168" s="33">
        <v>0</v>
      </c>
      <c r="K168" s="33">
        <v>0</v>
      </c>
      <c r="L168" s="33">
        <v>99.9</v>
      </c>
      <c r="M168" s="33">
        <v>172.73</v>
      </c>
      <c r="N168" s="34">
        <v>1.72902902902902</v>
      </c>
      <c r="O168" s="34">
        <v>1.71162160919586</v>
      </c>
      <c r="P168" s="34">
        <v>1.7464271979572299</v>
      </c>
      <c r="Q168" s="34">
        <v>1.7729347027656299</v>
      </c>
      <c r="R168" s="33">
        <v>170.990998758666</v>
      </c>
      <c r="S168" s="33">
        <v>175.19178266964701</v>
      </c>
      <c r="T168" s="33">
        <v>177.531475367437</v>
      </c>
      <c r="U168" s="15">
        <v>-1.0118765426210799E-2</v>
      </c>
      <c r="V168" s="15">
        <v>1.41515931266331E-2</v>
      </c>
      <c r="W168" s="15">
        <v>2.7418237503611501E-2</v>
      </c>
      <c r="X168" s="34">
        <v>1.72902902902902</v>
      </c>
      <c r="Y168" s="34">
        <v>1.71151559356553</v>
      </c>
      <c r="Z168" s="34">
        <v>1.7464271979572299</v>
      </c>
      <c r="AA168" s="34">
        <v>1.7729347027656299</v>
      </c>
      <c r="AB168" s="33">
        <v>170.98040779719699</v>
      </c>
      <c r="AC168" s="33">
        <v>175.19178266964701</v>
      </c>
      <c r="AD168" s="33">
        <v>177.531475367437</v>
      </c>
      <c r="AE168" s="15">
        <v>-1.01807060520634E-2</v>
      </c>
      <c r="AF168" s="15">
        <v>1.41515931266331E-2</v>
      </c>
      <c r="AG168" s="15">
        <v>2.74182375036119E-2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5.495940745319057E-2</v>
      </c>
      <c r="AT168" s="12"/>
      <c r="AU168">
        <f t="shared" si="50"/>
        <v>1</v>
      </c>
      <c r="AV168">
        <f t="shared" si="51"/>
        <v>0</v>
      </c>
      <c r="AW168">
        <f t="shared" si="58"/>
        <v>1</v>
      </c>
      <c r="AX168">
        <f t="shared" si="45"/>
        <v>1</v>
      </c>
      <c r="AY168">
        <f t="shared" si="59"/>
        <v>1</v>
      </c>
      <c r="AZ168" s="28">
        <f t="shared" si="52"/>
        <v>1.3126680131424E-2</v>
      </c>
      <c r="BA168" s="28">
        <f t="shared" si="53"/>
        <v>-1.37988735793799E-2</v>
      </c>
      <c r="BB168" s="28">
        <f t="shared" si="60"/>
        <v>-6.7219344795589955E-4</v>
      </c>
      <c r="BC168" s="29">
        <f t="shared" si="61"/>
        <v>4.7525819181311227E-2</v>
      </c>
      <c r="BE168" s="29">
        <f t="shared" si="62"/>
        <v>-6.7219344795589955E-4</v>
      </c>
      <c r="BF168" s="29">
        <f t="shared" si="63"/>
        <v>0.10248522663450181</v>
      </c>
      <c r="BH168" s="29"/>
    </row>
    <row r="169" spans="1:60" x14ac:dyDescent="0.25">
      <c r="A169" s="1">
        <v>46267</v>
      </c>
      <c r="B169" s="33">
        <v>100.41</v>
      </c>
      <c r="C169" s="33">
        <v>172.78</v>
      </c>
      <c r="D169" s="15">
        <v>5.0921182368369698E-3</v>
      </c>
      <c r="E169" s="15">
        <v>2.8942722554515903E-4</v>
      </c>
      <c r="F169" s="33">
        <v>0</v>
      </c>
      <c r="G169" s="33">
        <v>0.26734599999999997</v>
      </c>
      <c r="H169" s="33">
        <v>0</v>
      </c>
      <c r="I169" s="33">
        <v>0.89729999999999999</v>
      </c>
      <c r="J169" s="33">
        <v>0</v>
      </c>
      <c r="K169" s="33">
        <v>0</v>
      </c>
      <c r="L169" s="33">
        <v>100.41</v>
      </c>
      <c r="M169" s="33">
        <v>172.78</v>
      </c>
      <c r="N169" s="34">
        <v>1.7207449457225299</v>
      </c>
      <c r="O169" s="34">
        <v>1.71162160919586</v>
      </c>
      <c r="P169" s="34">
        <v>1.74284036794945</v>
      </c>
      <c r="Q169" s="34">
        <v>1.7684932163170499</v>
      </c>
      <c r="R169" s="33">
        <v>171.86392577935601</v>
      </c>
      <c r="S169" s="33">
        <v>175.35875494688599</v>
      </c>
      <c r="T169" s="33">
        <v>178.02037350469701</v>
      </c>
      <c r="U169" s="15">
        <v>-5.3160744149189096E-3</v>
      </c>
      <c r="V169" s="15">
        <v>1.48147948201673E-2</v>
      </c>
      <c r="W169" s="15">
        <v>2.9878892703098701E-2</v>
      </c>
      <c r="X169" s="34">
        <v>1.7207449457225299</v>
      </c>
      <c r="Y169" s="34">
        <v>1.71151559356553</v>
      </c>
      <c r="Z169" s="34">
        <v>1.74284036794945</v>
      </c>
      <c r="AA169" s="34">
        <v>1.7684932163170499</v>
      </c>
      <c r="AB169" s="33">
        <v>171.853280749915</v>
      </c>
      <c r="AC169" s="33">
        <v>175.35875494688599</v>
      </c>
      <c r="AD169" s="33">
        <v>178.02037350469701</v>
      </c>
      <c r="AE169" s="15">
        <v>-5.3780150407714902E-3</v>
      </c>
      <c r="AF169" s="15">
        <v>1.48147948201673E-2</v>
      </c>
      <c r="AG169" s="15">
        <v>2.9878892703098701E-2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5.495940745319057E-2</v>
      </c>
      <c r="AT169" s="12"/>
      <c r="AU169">
        <f t="shared" si="50"/>
        <v>1</v>
      </c>
      <c r="AV169">
        <f t="shared" si="51"/>
        <v>0</v>
      </c>
      <c r="AW169">
        <f t="shared" si="58"/>
        <v>1</v>
      </c>
      <c r="AX169">
        <f t="shared" si="45"/>
        <v>1</v>
      </c>
      <c r="AY169">
        <f t="shared" si="59"/>
        <v>1</v>
      </c>
      <c r="AZ169" s="28">
        <f t="shared" si="52"/>
        <v>-5.0921182368369698E-3</v>
      </c>
      <c r="BA169" s="28">
        <f t="shared" si="53"/>
        <v>2.8942722554515903E-4</v>
      </c>
      <c r="BB169" s="28">
        <f t="shared" si="60"/>
        <v>-4.8026910112918108E-3</v>
      </c>
      <c r="BC169" s="29">
        <f t="shared" si="61"/>
        <v>4.2723128170019414E-2</v>
      </c>
      <c r="BE169" s="29">
        <f t="shared" si="62"/>
        <v>-4.8026910112918108E-3</v>
      </c>
      <c r="BF169" s="29">
        <f t="shared" si="63"/>
        <v>9.7682535623209998E-2</v>
      </c>
      <c r="BH169" s="29"/>
    </row>
    <row r="170" spans="1:60" x14ac:dyDescent="0.25">
      <c r="A170" s="1">
        <v>46268</v>
      </c>
      <c r="B170" s="33">
        <v>101.22</v>
      </c>
      <c r="C170" s="33">
        <v>174.56</v>
      </c>
      <c r="D170" s="15">
        <v>8.0345618945870008E-3</v>
      </c>
      <c r="E170" s="15">
        <v>1.02494131540225E-2</v>
      </c>
      <c r="F170" s="33">
        <v>0</v>
      </c>
      <c r="G170" s="33">
        <v>0.26734599999999997</v>
      </c>
      <c r="H170" s="33">
        <v>0</v>
      </c>
      <c r="I170" s="33">
        <v>0.89729999999999999</v>
      </c>
      <c r="J170" s="33">
        <v>0</v>
      </c>
      <c r="K170" s="33">
        <v>0</v>
      </c>
      <c r="L170" s="33">
        <v>101.22</v>
      </c>
      <c r="M170" s="33">
        <v>174.56</v>
      </c>
      <c r="N170" s="34">
        <v>1.7245603635645099</v>
      </c>
      <c r="O170" s="34">
        <v>1.71162160919586</v>
      </c>
      <c r="P170" s="34">
        <v>1.7387744090191799</v>
      </c>
      <c r="Q170" s="34">
        <v>1.76471733737914</v>
      </c>
      <c r="R170" s="33">
        <v>173.25033928280499</v>
      </c>
      <c r="S170" s="33">
        <v>176.41030204384401</v>
      </c>
      <c r="T170" s="33">
        <v>179.00688335561199</v>
      </c>
      <c r="U170" s="15">
        <v>-7.5309256743544498E-3</v>
      </c>
      <c r="V170" s="15">
        <v>1.0544021391716899E-2</v>
      </c>
      <c r="W170" s="15">
        <v>2.5155737517264801E-2</v>
      </c>
      <c r="X170" s="34">
        <v>1.7245603635645099</v>
      </c>
      <c r="Y170" s="34">
        <v>1.71151559356553</v>
      </c>
      <c r="Z170" s="34">
        <v>1.7387744090191799</v>
      </c>
      <c r="AA170" s="34">
        <v>1.76471733737914</v>
      </c>
      <c r="AB170" s="33">
        <v>173.239608380703</v>
      </c>
      <c r="AC170" s="33">
        <v>176.41030204384401</v>
      </c>
      <c r="AD170" s="33">
        <v>179.00688335561199</v>
      </c>
      <c r="AE170" s="15">
        <v>-7.59286630020702E-3</v>
      </c>
      <c r="AF170" s="15">
        <v>1.0544021391716899E-2</v>
      </c>
      <c r="AG170" s="15">
        <v>2.5155737517264801E-2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5.495940745319057E-2</v>
      </c>
      <c r="AT170" s="12"/>
      <c r="AU170">
        <f t="shared" si="50"/>
        <v>1</v>
      </c>
      <c r="AV170">
        <f t="shared" si="51"/>
        <v>0</v>
      </c>
      <c r="AW170">
        <f t="shared" si="58"/>
        <v>1</v>
      </c>
      <c r="AX170">
        <f t="shared" si="45"/>
        <v>1</v>
      </c>
      <c r="AY170">
        <f t="shared" si="59"/>
        <v>1</v>
      </c>
      <c r="AZ170" s="28">
        <f t="shared" si="52"/>
        <v>-8.0345618945870008E-3</v>
      </c>
      <c r="BA170" s="28">
        <f t="shared" si="53"/>
        <v>1.02494131540225E-2</v>
      </c>
      <c r="BB170" s="28">
        <f t="shared" si="60"/>
        <v>2.2148512594354994E-3</v>
      </c>
      <c r="BC170" s="29">
        <f t="shared" si="61"/>
        <v>4.4937979429454912E-2</v>
      </c>
      <c r="BE170" s="29">
        <f t="shared" si="62"/>
        <v>2.2148512594354994E-3</v>
      </c>
      <c r="BF170" s="29">
        <f t="shared" si="63"/>
        <v>9.9897386882645503E-2</v>
      </c>
      <c r="BH170" s="29"/>
    </row>
    <row r="171" spans="1:60" x14ac:dyDescent="0.25">
      <c r="A171" s="1">
        <v>46269</v>
      </c>
      <c r="B171" s="33">
        <v>100.24</v>
      </c>
      <c r="C171" s="33">
        <v>175.27</v>
      </c>
      <c r="D171" s="15">
        <v>-9.7290551981191499E-3</v>
      </c>
      <c r="E171" s="15">
        <v>4.0591200003240197E-3</v>
      </c>
      <c r="F171" s="33">
        <v>0</v>
      </c>
      <c r="G171" s="33">
        <v>0.26734599999999997</v>
      </c>
      <c r="H171" s="33">
        <v>0</v>
      </c>
      <c r="I171" s="33">
        <v>0.89729999999999999</v>
      </c>
      <c r="J171" s="33">
        <v>0</v>
      </c>
      <c r="K171" s="33">
        <v>0</v>
      </c>
      <c r="L171" s="33">
        <v>100.24</v>
      </c>
      <c r="M171" s="33">
        <v>175.27</v>
      </c>
      <c r="N171" s="34">
        <v>1.7485035913806799</v>
      </c>
      <c r="O171" s="34">
        <v>1.71162160919586</v>
      </c>
      <c r="P171" s="34">
        <v>1.7380964791320299</v>
      </c>
      <c r="Q171" s="34">
        <v>1.76303655986993</v>
      </c>
      <c r="R171" s="33">
        <v>171.57295010579301</v>
      </c>
      <c r="S171" s="33">
        <v>174.294746760083</v>
      </c>
      <c r="T171" s="33">
        <v>176.89526589888499</v>
      </c>
      <c r="U171" s="15">
        <v>-2.1319100872797599E-2</v>
      </c>
      <c r="V171" s="15">
        <v>-5.5798290833913196E-3</v>
      </c>
      <c r="W171" s="15">
        <v>9.2301972691145994E-3</v>
      </c>
      <c r="X171" s="34">
        <v>1.7485035913806799</v>
      </c>
      <c r="Y171" s="34">
        <v>1.71151559356553</v>
      </c>
      <c r="Z171" s="34">
        <v>1.7380964791320299</v>
      </c>
      <c r="AA171" s="34">
        <v>1.76303655986993</v>
      </c>
      <c r="AB171" s="33">
        <v>171.56232309900901</v>
      </c>
      <c r="AC171" s="33">
        <v>174.294746760083</v>
      </c>
      <c r="AD171" s="33">
        <v>176.89526589888499</v>
      </c>
      <c r="AE171" s="15">
        <v>-2.13810414986501E-2</v>
      </c>
      <c r="AF171" s="15">
        <v>-5.5798290833913196E-3</v>
      </c>
      <c r="AG171" s="15">
        <v>9.2301972691148197E-3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5.495940745319057E-2</v>
      </c>
      <c r="AT171" s="12"/>
      <c r="AU171">
        <f t="shared" si="50"/>
        <v>0</v>
      </c>
      <c r="AV171">
        <f t="shared" si="51"/>
        <v>1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9.7290551981191499E-3</v>
      </c>
      <c r="BA171" s="28">
        <f t="shared" si="53"/>
        <v>4.0591200003240197E-3</v>
      </c>
      <c r="BB171" s="28">
        <f t="shared" si="60"/>
        <v>1.378817519844317E-2</v>
      </c>
      <c r="BC171" s="29">
        <f t="shared" si="61"/>
        <v>5.8726154627898083E-2</v>
      </c>
      <c r="BE171" s="29">
        <f t="shared" si="62"/>
        <v>1.378817519844317E-2</v>
      </c>
      <c r="BF171" s="29">
        <f t="shared" si="63"/>
        <v>0.11368556208108867</v>
      </c>
      <c r="BH171" s="29"/>
    </row>
    <row r="172" spans="1:60" x14ac:dyDescent="0.25">
      <c r="A172" s="1">
        <v>46273</v>
      </c>
      <c r="B172" s="33">
        <v>99.08</v>
      </c>
      <c r="C172" s="33">
        <v>174.42</v>
      </c>
      <c r="D172" s="15">
        <v>-1.1639705966654E-2</v>
      </c>
      <c r="E172" s="15">
        <v>-4.8614582862452002E-3</v>
      </c>
      <c r="F172" s="33">
        <v>0</v>
      </c>
      <c r="G172" s="33">
        <v>0.26734599999999997</v>
      </c>
      <c r="H172" s="33">
        <v>0</v>
      </c>
      <c r="I172" s="33">
        <v>0.89729999999999999</v>
      </c>
      <c r="J172" s="33">
        <v>0</v>
      </c>
      <c r="K172" s="33">
        <v>0</v>
      </c>
      <c r="L172" s="33">
        <v>99.08</v>
      </c>
      <c r="M172" s="33">
        <v>174.42</v>
      </c>
      <c r="N172" s="34">
        <v>1.76039563988696</v>
      </c>
      <c r="O172" s="34">
        <v>1.71162160919586</v>
      </c>
      <c r="P172" s="34">
        <v>1.7410386637570301</v>
      </c>
      <c r="Q172" s="34">
        <v>1.7622978073898099</v>
      </c>
      <c r="R172" s="33">
        <v>169.58746903912601</v>
      </c>
      <c r="S172" s="33">
        <v>172.21059915240099</v>
      </c>
      <c r="T172" s="33">
        <v>174.68166235191299</v>
      </c>
      <c r="U172" s="15">
        <v>-2.8097348553206301E-2</v>
      </c>
      <c r="V172" s="15">
        <v>-1.27480422917432E-2</v>
      </c>
      <c r="W172" s="15">
        <v>1.49906132873127E-3</v>
      </c>
      <c r="X172" s="34">
        <v>1.76039563988696</v>
      </c>
      <c r="Y172" s="34">
        <v>1.71151559356553</v>
      </c>
      <c r="Z172" s="34">
        <v>1.7410386637570301</v>
      </c>
      <c r="AA172" s="34">
        <v>1.7622978073898099</v>
      </c>
      <c r="AB172" s="33">
        <v>169.576965010473</v>
      </c>
      <c r="AC172" s="33">
        <v>172.21059915240099</v>
      </c>
      <c r="AD172" s="33">
        <v>174.68166235191299</v>
      </c>
      <c r="AE172" s="15">
        <v>-2.81592891790589E-2</v>
      </c>
      <c r="AF172" s="15">
        <v>-1.27480422917432E-2</v>
      </c>
      <c r="AG172" s="15">
        <v>1.49906132873082E-3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5.495940745319057E-2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5.8726154627898083E-2</v>
      </c>
      <c r="BE172" s="29">
        <f t="shared" si="62"/>
        <v>0</v>
      </c>
      <c r="BF172" s="29">
        <f t="shared" si="63"/>
        <v>0.11368556208108867</v>
      </c>
      <c r="BH172" s="29"/>
    </row>
    <row r="173" spans="1:60" x14ac:dyDescent="0.25">
      <c r="A173" s="1">
        <v>46274</v>
      </c>
      <c r="B173" s="33">
        <v>97.72</v>
      </c>
      <c r="C173" s="33">
        <v>171.79</v>
      </c>
      <c r="D173" s="15">
        <v>-1.3821358231619001E-2</v>
      </c>
      <c r="E173" s="15">
        <v>-1.5193383160485401E-2</v>
      </c>
      <c r="F173" s="33">
        <v>0</v>
      </c>
      <c r="G173" s="33">
        <v>0.26734599999999997</v>
      </c>
      <c r="H173" s="33">
        <v>0</v>
      </c>
      <c r="I173" s="33">
        <v>0.89729999999999999</v>
      </c>
      <c r="J173" s="33">
        <v>0</v>
      </c>
      <c r="K173" s="33">
        <v>0</v>
      </c>
      <c r="L173" s="33">
        <v>97.72</v>
      </c>
      <c r="M173" s="33">
        <v>171.79</v>
      </c>
      <c r="N173" s="34">
        <v>1.7579819893573401</v>
      </c>
      <c r="O173" s="34">
        <v>1.71162160919586</v>
      </c>
      <c r="P173" s="34">
        <v>1.7439686456385</v>
      </c>
      <c r="Q173" s="34">
        <v>1.7605820048212</v>
      </c>
      <c r="R173" s="33">
        <v>167.25966365061899</v>
      </c>
      <c r="S173" s="33">
        <v>170.13429822233701</v>
      </c>
      <c r="T173" s="33">
        <v>172.21174173813199</v>
      </c>
      <c r="U173" s="15">
        <v>-2.6725323624340099E-2</v>
      </c>
      <c r="V173" s="15">
        <v>-9.6846859224300006E-3</v>
      </c>
      <c r="W173" s="15">
        <v>2.45197566326899E-3</v>
      </c>
      <c r="X173" s="34">
        <v>1.7579819893573401</v>
      </c>
      <c r="Y173" s="34">
        <v>1.71151559356553</v>
      </c>
      <c r="Z173" s="34">
        <v>1.7439686456385</v>
      </c>
      <c r="AA173" s="34">
        <v>1.7605820048212</v>
      </c>
      <c r="AB173" s="33">
        <v>167.249303803224</v>
      </c>
      <c r="AC173" s="33">
        <v>170.13429822233701</v>
      </c>
      <c r="AD173" s="33">
        <v>172.21174173813199</v>
      </c>
      <c r="AE173" s="15">
        <v>-2.6787264250192601E-2</v>
      </c>
      <c r="AF173" s="15">
        <v>-9.6846859224300006E-3</v>
      </c>
      <c r="AG173" s="15">
        <v>2.45197566326899E-3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5.495940745319057E-2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5.8726154627898083E-2</v>
      </c>
      <c r="BE173" s="29">
        <f t="shared" si="62"/>
        <v>0</v>
      </c>
      <c r="BF173" s="29">
        <f t="shared" si="63"/>
        <v>0.11368556208108867</v>
      </c>
      <c r="BH173" s="29"/>
    </row>
    <row r="174" spans="1:60" x14ac:dyDescent="0.25">
      <c r="A174" s="1">
        <v>46275</v>
      </c>
      <c r="B174" s="33">
        <v>97.41</v>
      </c>
      <c r="C174" s="33">
        <v>170.55</v>
      </c>
      <c r="D174" s="15">
        <v>-3.1773716066754898E-3</v>
      </c>
      <c r="E174" s="15">
        <v>-7.2442917736992704E-3</v>
      </c>
      <c r="F174" s="33">
        <v>0</v>
      </c>
      <c r="G174" s="33">
        <v>0.26734599999999997</v>
      </c>
      <c r="H174" s="33">
        <v>0</v>
      </c>
      <c r="I174" s="33">
        <v>0.89729999999999999</v>
      </c>
      <c r="J174" s="33">
        <v>0</v>
      </c>
      <c r="K174" s="33">
        <v>0</v>
      </c>
      <c r="L174" s="33">
        <v>97.41</v>
      </c>
      <c r="M174" s="33">
        <v>170.55</v>
      </c>
      <c r="N174" s="34">
        <v>1.75084693563289</v>
      </c>
      <c r="O174" s="34">
        <v>1.71162160919586</v>
      </c>
      <c r="P174" s="34">
        <v>1.7428712368180399</v>
      </c>
      <c r="Q174" s="34">
        <v>1.75772458504317</v>
      </c>
      <c r="R174" s="33">
        <v>166.72906095176899</v>
      </c>
      <c r="S174" s="33">
        <v>169.87998577164601</v>
      </c>
      <c r="T174" s="33">
        <v>171.49829308963299</v>
      </c>
      <c r="U174" s="15">
        <v>-2.2658403457316199E-2</v>
      </c>
      <c r="V174" s="15">
        <v>-3.9362871749066396E-3</v>
      </c>
      <c r="W174" s="15">
        <v>5.5448048616831697E-3</v>
      </c>
      <c r="X174" s="34">
        <v>1.75084693563289</v>
      </c>
      <c r="Y174" s="34">
        <v>1.71151559356553</v>
      </c>
      <c r="Z174" s="34">
        <v>1.7428712368180399</v>
      </c>
      <c r="AA174" s="34">
        <v>1.75772458504317</v>
      </c>
      <c r="AB174" s="33">
        <v>166.71873396921899</v>
      </c>
      <c r="AC174" s="33">
        <v>169.87998577164601</v>
      </c>
      <c r="AD174" s="33">
        <v>171.49829308963299</v>
      </c>
      <c r="AE174" s="15">
        <v>-2.2720344083168701E-2</v>
      </c>
      <c r="AF174" s="15">
        <v>-3.9362871749066396E-3</v>
      </c>
      <c r="AG174" s="15">
        <v>5.5448048616831697E-3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5.495940745319057E-2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5.8726154627898083E-2</v>
      </c>
      <c r="BE174" s="29">
        <f t="shared" si="62"/>
        <v>0</v>
      </c>
      <c r="BF174" s="29">
        <f t="shared" si="63"/>
        <v>0.11368556208108867</v>
      </c>
      <c r="BH174" s="29"/>
    </row>
    <row r="175" spans="1:60" x14ac:dyDescent="0.25">
      <c r="A175" s="1">
        <v>46276</v>
      </c>
      <c r="B175" s="33">
        <v>98.29</v>
      </c>
      <c r="C175" s="33">
        <v>172.37</v>
      </c>
      <c r="D175" s="15">
        <v>8.9934177956737596E-3</v>
      </c>
      <c r="E175" s="15">
        <v>1.06148203016451E-2</v>
      </c>
      <c r="F175" s="33">
        <v>0</v>
      </c>
      <c r="G175" s="33">
        <v>0.26734599999999997</v>
      </c>
      <c r="H175" s="33">
        <v>0</v>
      </c>
      <c r="I175" s="33">
        <v>0.89729999999999999</v>
      </c>
      <c r="J175" s="33">
        <v>0</v>
      </c>
      <c r="K175" s="33">
        <v>0</v>
      </c>
      <c r="L175" s="33">
        <v>98.29</v>
      </c>
      <c r="M175" s="33">
        <v>172.37</v>
      </c>
      <c r="N175" s="34">
        <v>1.7536880659273499</v>
      </c>
      <c r="O175" s="34">
        <v>1.71162160919586</v>
      </c>
      <c r="P175" s="34">
        <v>1.74119281101153</v>
      </c>
      <c r="Q175" s="34">
        <v>1.75565536515113</v>
      </c>
      <c r="R175" s="33">
        <v>168.23528796786101</v>
      </c>
      <c r="S175" s="33">
        <v>171.306813866845</v>
      </c>
      <c r="T175" s="33">
        <v>172.76674946389301</v>
      </c>
      <c r="U175" s="15">
        <v>-2.4279805963287701E-2</v>
      </c>
      <c r="V175" s="15">
        <v>-6.1871472376819796E-3</v>
      </c>
      <c r="W175" s="15">
        <v>2.2990866042009498E-3</v>
      </c>
      <c r="X175" s="34">
        <v>1.7536880659273499</v>
      </c>
      <c r="Y175" s="34">
        <v>1.71151559356553</v>
      </c>
      <c r="Z175" s="34">
        <v>1.74119281101153</v>
      </c>
      <c r="AA175" s="34">
        <v>1.75565536515113</v>
      </c>
      <c r="AB175" s="33">
        <v>168.224867691556</v>
      </c>
      <c r="AC175" s="33">
        <v>171.306813866845</v>
      </c>
      <c r="AD175" s="33">
        <v>172.76674946389301</v>
      </c>
      <c r="AE175" s="15">
        <v>-2.4341746589140099E-2</v>
      </c>
      <c r="AF175" s="15">
        <v>-6.1871472376819796E-3</v>
      </c>
      <c r="AG175" s="15">
        <v>2.2990866042011801E-3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5.495940745319057E-2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5.8726154627898083E-2</v>
      </c>
      <c r="BE175" s="29">
        <f t="shared" si="62"/>
        <v>0</v>
      </c>
      <c r="BF175" s="29">
        <f t="shared" si="63"/>
        <v>0.11368556208108867</v>
      </c>
      <c r="BH175" s="29"/>
    </row>
    <row r="176" spans="1:60" x14ac:dyDescent="0.25">
      <c r="A176" s="1">
        <v>46279</v>
      </c>
      <c r="B176" s="33">
        <v>99</v>
      </c>
      <c r="C176" s="33">
        <v>169.93</v>
      </c>
      <c r="D176" s="15">
        <v>7.1975575560519599E-3</v>
      </c>
      <c r="E176" s="15">
        <v>-1.42567416202858E-2</v>
      </c>
      <c r="F176" s="33">
        <v>0</v>
      </c>
      <c r="G176" s="33">
        <v>0.26734599999999997</v>
      </c>
      <c r="H176" s="33">
        <v>0</v>
      </c>
      <c r="I176" s="33">
        <v>0.89729999999999999</v>
      </c>
      <c r="J176" s="33">
        <v>0</v>
      </c>
      <c r="K176" s="33">
        <v>0</v>
      </c>
      <c r="L176" s="33">
        <v>99</v>
      </c>
      <c r="M176" s="33">
        <v>169.93</v>
      </c>
      <c r="N176" s="34">
        <v>1.71646464646464</v>
      </c>
      <c r="O176" s="34">
        <v>1.71162160919586</v>
      </c>
      <c r="P176" s="34">
        <v>1.73924068686929</v>
      </c>
      <c r="Q176" s="34">
        <v>1.75133359989099</v>
      </c>
      <c r="R176" s="33">
        <v>169.45053931039001</v>
      </c>
      <c r="S176" s="33">
        <v>172.37808829014199</v>
      </c>
      <c r="T176" s="33">
        <v>173.809881149962</v>
      </c>
      <c r="U176" s="15">
        <v>-2.8255067869500101E-3</v>
      </c>
      <c r="V176" s="15">
        <v>1.43036645209095E-2</v>
      </c>
      <c r="W176" s="15">
        <v>2.25754772362767E-2</v>
      </c>
      <c r="X176" s="34">
        <v>1.71646464646464</v>
      </c>
      <c r="Y176" s="34">
        <v>1.71151559356553</v>
      </c>
      <c r="Z176" s="34">
        <v>1.73924068686929</v>
      </c>
      <c r="AA176" s="34">
        <v>1.75133359989099</v>
      </c>
      <c r="AB176" s="33">
        <v>169.44004376298801</v>
      </c>
      <c r="AC176" s="33">
        <v>172.37808829014199</v>
      </c>
      <c r="AD176" s="33">
        <v>173.809881149962</v>
      </c>
      <c r="AE176" s="15">
        <v>-2.88744741280252E-3</v>
      </c>
      <c r="AF176" s="15">
        <v>1.43036645209095E-2</v>
      </c>
      <c r="AG176" s="15">
        <v>2.2575477236276901E-2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5.495940745319057E-2</v>
      </c>
      <c r="AT176" s="12"/>
      <c r="AU176">
        <f t="shared" si="50"/>
        <v>1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5.8726154627898083E-2</v>
      </c>
      <c r="BE176" s="29">
        <f t="shared" si="62"/>
        <v>0</v>
      </c>
      <c r="BF176" s="29">
        <f t="shared" si="63"/>
        <v>0.11368556208108867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2026-09-21T19:48:17Z</dcterms:created>
  <dcterms:modified xsi:type="dcterms:W3CDTF">2026-09-21T20:02:04Z</dcterms:modified>
</cp:coreProperties>
</file>